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BM-FILES\VidMate\Projects\"/>
    </mc:Choice>
  </mc:AlternateContent>
  <xr:revisionPtr revIDLastSave="0" documentId="8_{02F537C8-9DC4-4258-8D61-C74766FAA37F}" xr6:coauthVersionLast="47" xr6:coauthVersionMax="47" xr10:uidLastSave="{00000000-0000-0000-0000-000000000000}"/>
  <bookViews>
    <workbookView xWindow="20" yWindow="20" windowWidth="19180" windowHeight="10780" firstSheet="6" activeTab="8" xr2:uid="{00000000-000D-0000-FFFF-FFFF00000000}"/>
  </bookViews>
  <sheets>
    <sheet name="Raw Data" sheetId="1" r:id="rId1"/>
    <sheet name="Clean Data" sheetId="2" r:id="rId2"/>
    <sheet name="PT1-Revenue by Category" sheetId="5" r:id="rId3"/>
    <sheet name="PT2-Revenue by Season" sheetId="8" r:id="rId4"/>
    <sheet name="PT3-Effect of Discounts on R" sheetId="11" r:id="rId5"/>
    <sheet name="PT4-Age-Loyalty Analysis" sheetId="12" r:id="rId6"/>
    <sheet name="PT5-Gender-category sales perfo" sheetId="13" r:id="rId7"/>
    <sheet name="Analysis" sheetId="3" r:id="rId8"/>
    <sheet name="Dashboard" sheetId="4" r:id="rId9"/>
  </sheets>
  <definedNames>
    <definedName name="_xlnm._FilterDatabase" localSheetId="1" hidden="1">'Clean Data'!$K$1:$K$5001</definedName>
  </definedNames>
  <calcPr calcId="191029"/>
  <pivotCaches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2" i="2"/>
  <c r="E5" i="5"/>
  <c r="E6" i="5"/>
  <c r="E7" i="5"/>
  <c r="E8" i="5"/>
  <c r="E9" i="5"/>
  <c r="E10" i="5"/>
  <c r="E11" i="5"/>
  <c r="E12" i="5"/>
  <c r="E13" i="5"/>
  <c r="E4" i="5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2" i="2"/>
</calcChain>
</file>

<file path=xl/sharedStrings.xml><?xml version="1.0" encoding="utf-8"?>
<sst xmlns="http://schemas.openxmlformats.org/spreadsheetml/2006/main" count="50090" uniqueCount="80">
  <si>
    <t>CustomerID</t>
  </si>
  <si>
    <t>Age</t>
  </si>
  <si>
    <t>Gender</t>
  </si>
  <si>
    <t>Category</t>
  </si>
  <si>
    <t>ItemPurchased</t>
  </si>
  <si>
    <t>Amount</t>
  </si>
  <si>
    <t>Season</t>
  </si>
  <si>
    <t>PaymentMethod</t>
  </si>
  <si>
    <t>ItemRating</t>
  </si>
  <si>
    <t>DiscountApplied(%)</t>
  </si>
  <si>
    <t>PreviousPurchases</t>
  </si>
  <si>
    <t>Female</t>
  </si>
  <si>
    <t>Accessories</t>
  </si>
  <si>
    <t>Handbag</t>
  </si>
  <si>
    <t>Autumn</t>
  </si>
  <si>
    <t>Card</t>
  </si>
  <si>
    <t>Male</t>
  </si>
  <si>
    <t>Mens Clothing</t>
  </si>
  <si>
    <t>Shirt</t>
  </si>
  <si>
    <t>Spring</t>
  </si>
  <si>
    <t>Sports</t>
  </si>
  <si>
    <t>Football</t>
  </si>
  <si>
    <t>Home</t>
  </si>
  <si>
    <t>Curtains</t>
  </si>
  <si>
    <t>Winter</t>
  </si>
  <si>
    <t>Groceries</t>
  </si>
  <si>
    <t>Snacks</t>
  </si>
  <si>
    <t>Electronics</t>
  </si>
  <si>
    <t>Mobile Phone</t>
  </si>
  <si>
    <t>Beauty</t>
  </si>
  <si>
    <t>Perfume</t>
  </si>
  <si>
    <t>Summer</t>
  </si>
  <si>
    <t>Smart Watch</t>
  </si>
  <si>
    <t>Footwear</t>
  </si>
  <si>
    <t>Formal Shoes</t>
  </si>
  <si>
    <t>T-Shirt</t>
  </si>
  <si>
    <t>Yoga Mat</t>
  </si>
  <si>
    <t>Cash on Delivery</t>
  </si>
  <si>
    <t>Sandals</t>
  </si>
  <si>
    <t>Dumbbells</t>
  </si>
  <si>
    <t>Sneakers</t>
  </si>
  <si>
    <t>Womens Clothing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</si>
  <si>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</si>
  <si>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</si>
  <si>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</si>
  <si>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</si>
  <si>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</si>
  <si>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</si>
  <si>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</si>
  <si>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</si>
  <si>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</si>
  <si>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</si>
  <si>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</si>
  <si>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</si>
  <si>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</si>
  <si>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</si>
  <si>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</si>
  <si>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</si>
  <si>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Loyalty</t>
  </si>
  <si>
    <t>Net_Amount</t>
  </si>
  <si>
    <t>Age_Category</t>
  </si>
  <si>
    <t>Grand Total</t>
  </si>
  <si>
    <t>Adult</t>
  </si>
  <si>
    <t>Regular</t>
  </si>
  <si>
    <t>Youth</t>
  </si>
  <si>
    <t>Loyal</t>
  </si>
  <si>
    <t>New</t>
  </si>
  <si>
    <t>Senior</t>
  </si>
  <si>
    <t>% of Total Revenue</t>
  </si>
  <si>
    <t>Average of Amount</t>
  </si>
  <si>
    <t>Discount Applied(%)</t>
  </si>
  <si>
    <t>LOYALTY</t>
  </si>
  <si>
    <t>Age_Group</t>
  </si>
  <si>
    <t>Revenue</t>
  </si>
  <si>
    <t>Number of purchases</t>
  </si>
  <si>
    <t/>
  </si>
  <si>
    <t>Seasons</t>
  </si>
  <si>
    <t>Average Revenue</t>
  </si>
  <si>
    <t>Average of Net_Revenue</t>
  </si>
  <si>
    <t>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</si>
</sst>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#,##0.0"/>
    <numFmt numFmtId="167" formatCode="&quot;$&quot;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42" applyFont="1"/>
    <xf numFmtId="0" fontId="0" fillId="0" borderId="0" xfId="0" pivotButton="1" applyAlignment="1">
      <alignment horizontal="center"/>
    </xf>
    <xf numFmtId="3" fontId="0" fillId="0" borderId="0" xfId="0" applyNumberFormat="1"/>
    <xf numFmtId="0" fontId="0" fillId="0" borderId="0" xfId="0" applyNumberFormat="1" applyAlignment="1">
      <alignment horizontal="center"/>
    </xf>
    <xf numFmtId="9" fontId="16" fillId="34" borderId="0" xfId="42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5">
    <dxf>
      <numFmt numFmtId="164" formatCode="&quot;$&quot;#,##0.00"/>
    </dxf>
    <dxf>
      <numFmt numFmtId="167" formatCode="&quot;$&quot;#,##0.0"/>
    </dxf>
    <dxf>
      <numFmt numFmtId="166" formatCode="#,##0.0"/>
    </dxf>
    <dxf>
      <alignment horizontal="center" readingOrder="0"/>
    </dxf>
    <dxf>
      <numFmt numFmtId="164" formatCode="&quot;$&quot;#,##0.00"/>
    </dxf>
    <dxf>
      <numFmt numFmtId="4" formatCode="#,##0.00"/>
    </dxf>
    <dxf>
      <alignment horizontal="center" readingOrder="0"/>
    </dxf>
    <dxf>
      <numFmt numFmtId="164" formatCode="&quot;$&quot;#,##0.00"/>
    </dxf>
    <dxf>
      <numFmt numFmtId="4" formatCode="#,##0.00"/>
    </dxf>
    <dxf>
      <numFmt numFmtId="164" formatCode="&quot;$&quot;#,##0.0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&quot;$&quot;#,##0.0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&quot;$&quot;#,##0.0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alignment horizontal="center"/>
    </dxf>
    <dxf>
      <alignment horizontal="center"/>
    </dxf>
    <dxf>
      <alignment horizontal="center" readingOrder="0"/>
    </dxf>
    <dxf>
      <numFmt numFmtId="165" formatCode="&quot;$&quot;#,##0"/>
    </dxf>
    <dxf>
      <numFmt numFmtId="164" formatCode="&quot;$&quot;#,##0.00"/>
    </dxf>
    <dxf>
      <numFmt numFmtId="164" formatCode="&quot;$&quot;#,##0.00"/>
    </dxf>
    <dxf>
      <numFmt numFmtId="4" formatCode="#,##0.00"/>
    </dxf>
    <dxf>
      <numFmt numFmtId="4" formatCode="#,##0.00"/>
    </dxf>
    <dxf>
      <alignment horizontal="center" readingOrder="0"/>
    </dxf>
    <dxf>
      <numFmt numFmtId="165" formatCode="&quot;$&quot;#,##0"/>
    </dxf>
    <dxf>
      <numFmt numFmtId="164" formatCode="&quot;$&quot;#,##0.00"/>
    </dxf>
    <dxf>
      <numFmt numFmtId="164" formatCode="&quot;$&quot;#,##0.00"/>
    </dxf>
    <dxf>
      <numFmt numFmtId="4" formatCode="#,##0.00"/>
    </dxf>
    <dxf>
      <numFmt numFmtId="4" formatCode="#,##0.00"/>
    </dxf>
    <dxf>
      <alignment horizontal="center" readingOrder="0"/>
    </dxf>
    <dxf>
      <numFmt numFmtId="165" formatCode="&quot;$&quot;#,##0"/>
    </dxf>
    <dxf>
      <numFmt numFmtId="164" formatCode="&quot;$&quot;#,##0.00"/>
    </dxf>
    <dxf>
      <numFmt numFmtId="164" formatCode="&quot;$&quot;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164" formatCode="&quot;$&quot;#,##0.00"/>
    </dxf>
    <dxf>
      <numFmt numFmtId="164" formatCode="&quot;$&quot;#,##0.00"/>
    </dxf>
    <dxf>
      <numFmt numFmtId="165" formatCode="&quot;$&quot;#,##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MBENI BRANCH MANAGER" refreshedDate="46079.808933101849" createdVersion="6" refreshedVersion="6" minRefreshableVersion="3" recordCount="5000" xr:uid="{00000000-000A-0000-FFFF-FFFF25000000}">
  <cacheSource type="worksheet">
    <worksheetSource ref="A1:N5001" sheet="Clean Data"/>
  </cacheSource>
  <cacheFields count="14">
    <cacheField name="Customer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20" maxValue="70"/>
    </cacheField>
    <cacheField name="Age_Category" numFmtId="0">
      <sharedItems count="3">
        <s v="Adult"/>
        <s v="Senior"/>
        <s v="Youth"/>
      </sharedItems>
    </cacheField>
    <cacheField name="Gender" numFmtId="0">
      <sharedItems count="2">
        <s v="Female"/>
        <s v="Male"/>
      </sharedItems>
    </cacheField>
    <cacheField name="Category" numFmtId="0">
      <sharedItems count="9">
        <s v="Accessories"/>
        <s v="Mens Clothing"/>
        <s v="Sports"/>
        <s v="Home"/>
        <s v="Groceries"/>
        <s v="Electronics"/>
        <s v="Beauty"/>
        <s v="Footwear"/>
        <s v="Womens Clothing"/>
      </sharedItems>
    </cacheField>
    <cacheField name="ItemPurchased" numFmtId="0">
      <sharedItems/>
    </cacheField>
    <cacheField name="Amount" numFmtId="0">
      <sharedItems containsSemiMixedTypes="0" containsString="0" containsNumber="1" minValue="5.08" maxValue="2997.94"/>
    </cacheField>
    <cacheField name="Season" numFmtId="0">
      <sharedItems count="4">
        <s v="Autumn"/>
        <s v="Spring"/>
        <s v="Winter"/>
        <s v="Summer"/>
      </sharedItems>
    </cacheField>
    <cacheField name="PaymentMethod" numFmtId="0">
      <sharedItems/>
    </cacheField>
    <cacheField name="ItemRating" numFmtId="0">
      <sharedItems containsSemiMixedTypes="0" containsString="0" containsNumber="1" minValue="1.1000000000000001" maxValue="5"/>
    </cacheField>
    <cacheField name="DiscountApplied(%)" numFmtId="0">
      <sharedItems containsSemiMixedTypes="0" containsString="0" containsNumber="1" containsInteger="1" minValue="0" maxValue="36" count="32">
        <n v="18"/>
        <n v="13"/>
        <n v="11"/>
        <n v="20"/>
        <n v="14"/>
        <n v="8"/>
        <n v="16"/>
        <n v="10"/>
        <n v="12"/>
        <n v="27"/>
        <n v="22"/>
        <n v="26"/>
        <n v="19"/>
        <n v="9"/>
        <n v="17"/>
        <n v="2"/>
        <n v="6"/>
        <n v="4"/>
        <n v="24"/>
        <n v="15"/>
        <n v="32"/>
        <n v="21"/>
        <n v="23"/>
        <n v="7"/>
        <n v="28"/>
        <n v="30"/>
        <n v="5"/>
        <n v="25"/>
        <n v="29"/>
        <n v="0"/>
        <n v="34"/>
        <n v="36"/>
      </sharedItems>
    </cacheField>
    <cacheField name="Net_Amount" numFmtId="0">
      <sharedItems containsSemiMixedTypes="0" containsString="0" containsNumber="1" minValue="4.2164000000000001" maxValue="2749.65"/>
    </cacheField>
    <cacheField name="PreviousPurchases" numFmtId="0">
      <sharedItems containsSemiMixedTypes="0" containsString="0" containsNumber="1" containsInteger="1" minValue="0" maxValue="13"/>
    </cacheField>
    <cacheField name="Loyalty" numFmtId="0">
      <sharedItems count="3">
        <s v="Regular"/>
        <s v="New"/>
        <s v="Loy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"/>
    <n v="58"/>
    <x v="0"/>
    <x v="0"/>
    <x v="0"/>
    <s v="Handbag"/>
    <n v="115.5"/>
    <x v="0"/>
    <s v="Card"/>
    <n v="3.5"/>
    <x v="0"/>
    <n v="94.710000000000008"/>
    <n v="4"/>
    <x v="0"/>
  </r>
  <r>
    <n v="2"/>
    <n v="40"/>
    <x v="0"/>
    <x v="1"/>
    <x v="1"/>
    <s v="Shirt"/>
    <n v="103.43"/>
    <x v="1"/>
    <s v="Card"/>
    <n v="4.0999999999999996"/>
    <x v="1"/>
    <n v="89.984100000000012"/>
    <n v="4"/>
    <x v="0"/>
  </r>
  <r>
    <n v="3"/>
    <n v="66"/>
    <x v="1"/>
    <x v="0"/>
    <x v="2"/>
    <s v="Football"/>
    <n v="35.450000000000003"/>
    <x v="1"/>
    <s v="Card"/>
    <n v="3.3"/>
    <x v="2"/>
    <n v="31.550500000000003"/>
    <n v="3"/>
    <x v="1"/>
  </r>
  <r>
    <n v="4"/>
    <n v="39"/>
    <x v="0"/>
    <x v="0"/>
    <x v="0"/>
    <s v="Handbag"/>
    <n v="153.31"/>
    <x v="1"/>
    <s v="Card"/>
    <n v="4.4000000000000004"/>
    <x v="1"/>
    <n v="133.37970000000001"/>
    <n v="4"/>
    <x v="0"/>
  </r>
  <r>
    <n v="5"/>
    <n v="23"/>
    <x v="2"/>
    <x v="0"/>
    <x v="3"/>
    <s v="Curtains"/>
    <n v="151.43"/>
    <x v="2"/>
    <s v="Card"/>
    <n v="4.0999999999999996"/>
    <x v="3"/>
    <n v="121.14400000000001"/>
    <n v="10"/>
    <x v="2"/>
  </r>
  <r>
    <n v="6"/>
    <n v="48"/>
    <x v="0"/>
    <x v="1"/>
    <x v="4"/>
    <s v="Snacks"/>
    <n v="36.76"/>
    <x v="0"/>
    <s v="Card"/>
    <n v="2.5"/>
    <x v="4"/>
    <n v="31.613599999999998"/>
    <n v="2"/>
    <x v="1"/>
  </r>
  <r>
    <n v="7"/>
    <n v="54"/>
    <x v="0"/>
    <x v="1"/>
    <x v="5"/>
    <s v="Mobile Phone"/>
    <n v="1396.16"/>
    <x v="0"/>
    <s v="Card"/>
    <n v="4.7"/>
    <x v="0"/>
    <n v="1144.8512000000001"/>
    <n v="4"/>
    <x v="0"/>
  </r>
  <r>
    <n v="8"/>
    <n v="59"/>
    <x v="0"/>
    <x v="0"/>
    <x v="6"/>
    <s v="Perfume"/>
    <n v="35.549999999999997"/>
    <x v="3"/>
    <s v="Card"/>
    <n v="4.5999999999999996"/>
    <x v="4"/>
    <n v="30.572999999999997"/>
    <n v="7"/>
    <x v="0"/>
  </r>
  <r>
    <n v="9"/>
    <n v="51"/>
    <x v="0"/>
    <x v="1"/>
    <x v="5"/>
    <s v="Smart Watch"/>
    <n v="2238.79"/>
    <x v="1"/>
    <s v="Card"/>
    <n v="4.3"/>
    <x v="3"/>
    <n v="1791.0320000000002"/>
    <n v="5"/>
    <x v="0"/>
  </r>
  <r>
    <n v="10"/>
    <n v="47"/>
    <x v="0"/>
    <x v="0"/>
    <x v="7"/>
    <s v="Formal Shoes"/>
    <n v="225.49"/>
    <x v="1"/>
    <s v="Card"/>
    <n v="4.7"/>
    <x v="0"/>
    <n v="184.90180000000001"/>
    <n v="4"/>
    <x v="0"/>
  </r>
  <r>
    <n v="11"/>
    <n v="32"/>
    <x v="0"/>
    <x v="1"/>
    <x v="1"/>
    <s v="T-Shirt"/>
    <n v="120.8"/>
    <x v="1"/>
    <s v="Card"/>
    <n v="3.2"/>
    <x v="5"/>
    <n v="111.136"/>
    <n v="4"/>
    <x v="0"/>
  </r>
  <r>
    <n v="12"/>
    <n v="31"/>
    <x v="0"/>
    <x v="0"/>
    <x v="0"/>
    <s v="Handbag"/>
    <n v="43.69"/>
    <x v="3"/>
    <s v="Card"/>
    <n v="3.6"/>
    <x v="5"/>
    <n v="40.194800000000001"/>
    <n v="4"/>
    <x v="0"/>
  </r>
  <r>
    <n v="13"/>
    <n v="21"/>
    <x v="2"/>
    <x v="1"/>
    <x v="2"/>
    <s v="Yoga Mat"/>
    <n v="79.459999999999994"/>
    <x v="2"/>
    <s v="Cash on Delivery"/>
    <n v="3.8"/>
    <x v="6"/>
    <n v="66.746399999999994"/>
    <n v="8"/>
    <x v="2"/>
  </r>
  <r>
    <n v="14"/>
    <n v="22"/>
    <x v="2"/>
    <x v="0"/>
    <x v="7"/>
    <s v="Sandals"/>
    <n v="189.34"/>
    <x v="3"/>
    <s v="Card"/>
    <n v="2.9"/>
    <x v="7"/>
    <n v="170.40600000000001"/>
    <n v="5"/>
    <x v="0"/>
  </r>
  <r>
    <n v="15"/>
    <n v="47"/>
    <x v="0"/>
    <x v="1"/>
    <x v="2"/>
    <s v="Dumbbells"/>
    <n v="222.4"/>
    <x v="2"/>
    <s v="Card"/>
    <n v="3.9"/>
    <x v="8"/>
    <n v="195.71200000000002"/>
    <n v="6"/>
    <x v="0"/>
  </r>
  <r>
    <n v="16"/>
    <n v="60"/>
    <x v="0"/>
    <x v="1"/>
    <x v="2"/>
    <s v="Dumbbells"/>
    <n v="217.67"/>
    <x v="1"/>
    <s v="Card"/>
    <n v="4.5999999999999996"/>
    <x v="9"/>
    <n v="158.89909999999998"/>
    <n v="11"/>
    <x v="2"/>
  </r>
  <r>
    <n v="17"/>
    <n v="54"/>
    <x v="0"/>
    <x v="0"/>
    <x v="7"/>
    <s v="Sneakers"/>
    <n v="43.8"/>
    <x v="1"/>
    <s v="Cash on Delivery"/>
    <n v="2.9"/>
    <x v="3"/>
    <n v="35.04"/>
    <n v="5"/>
    <x v="0"/>
  </r>
  <r>
    <n v="18"/>
    <n v="57"/>
    <x v="0"/>
    <x v="0"/>
    <x v="8"/>
    <s v="Jeans"/>
    <n v="137.29"/>
    <x v="0"/>
    <s v="Card"/>
    <n v="3.4"/>
    <x v="10"/>
    <n v="107.08619999999999"/>
    <n v="6"/>
    <x v="0"/>
  </r>
  <r>
    <n v="19"/>
    <n v="68"/>
    <x v="1"/>
    <x v="0"/>
    <x v="3"/>
    <s v="Lamp"/>
    <n v="105.48"/>
    <x v="0"/>
    <s v="Card"/>
    <n v="4.5"/>
    <x v="4"/>
    <n v="90.712800000000001"/>
    <n v="7"/>
    <x v="0"/>
  </r>
  <r>
    <n v="20"/>
    <n v="22"/>
    <x v="2"/>
    <x v="0"/>
    <x v="8"/>
    <s v="Skirt"/>
    <n v="173.52"/>
    <x v="3"/>
    <s v="Card"/>
    <n v="3.6"/>
    <x v="0"/>
    <n v="142.28640000000001"/>
    <n v="4"/>
    <x v="0"/>
  </r>
  <r>
    <n v="21"/>
    <n v="61"/>
    <x v="1"/>
    <x v="0"/>
    <x v="7"/>
    <s v="Sneakers"/>
    <n v="68.69"/>
    <x v="0"/>
    <s v="Card"/>
    <n v="4.9000000000000004"/>
    <x v="10"/>
    <n v="53.578200000000002"/>
    <n v="6"/>
    <x v="0"/>
  </r>
  <r>
    <n v="22"/>
    <n v="65"/>
    <x v="1"/>
    <x v="0"/>
    <x v="2"/>
    <s v="Dumbbells"/>
    <n v="31.21"/>
    <x v="1"/>
    <s v="Cash on Delivery"/>
    <n v="3.8"/>
    <x v="4"/>
    <n v="26.840600000000002"/>
    <n v="7"/>
    <x v="0"/>
  </r>
  <r>
    <n v="23"/>
    <n v="25"/>
    <x v="2"/>
    <x v="1"/>
    <x v="2"/>
    <s v="Football"/>
    <n v="142.5"/>
    <x v="0"/>
    <s v="Card"/>
    <n v="5"/>
    <x v="1"/>
    <n v="123.97499999999999"/>
    <n v="4"/>
    <x v="0"/>
  </r>
  <r>
    <n v="24"/>
    <n v="35"/>
    <x v="0"/>
    <x v="1"/>
    <x v="1"/>
    <s v="Jeans"/>
    <n v="36.979999999999997"/>
    <x v="3"/>
    <s v="Card"/>
    <n v="4.2"/>
    <x v="1"/>
    <n v="32.172599999999996"/>
    <n v="4"/>
    <x v="0"/>
  </r>
  <r>
    <n v="25"/>
    <n v="28"/>
    <x v="2"/>
    <x v="0"/>
    <x v="8"/>
    <s v="Top"/>
    <n v="56.59"/>
    <x v="2"/>
    <s v="Card"/>
    <n v="4.0999999999999996"/>
    <x v="11"/>
    <n v="41.876600000000003"/>
    <n v="8"/>
    <x v="2"/>
  </r>
  <r>
    <n v="26"/>
    <n v="41"/>
    <x v="0"/>
    <x v="1"/>
    <x v="2"/>
    <s v="Football"/>
    <n v="46.19"/>
    <x v="2"/>
    <s v="Cash on Delivery"/>
    <n v="3.3"/>
    <x v="2"/>
    <n v="41.109099999999998"/>
    <n v="3"/>
    <x v="1"/>
  </r>
  <r>
    <n v="27"/>
    <n v="58"/>
    <x v="0"/>
    <x v="0"/>
    <x v="3"/>
    <s v="Lamp"/>
    <n v="137.6"/>
    <x v="0"/>
    <s v="Card"/>
    <n v="3.7"/>
    <x v="2"/>
    <n v="122.464"/>
    <n v="3"/>
    <x v="1"/>
  </r>
  <r>
    <n v="28"/>
    <n v="24"/>
    <x v="2"/>
    <x v="1"/>
    <x v="2"/>
    <s v="Yoga Mat"/>
    <n v="30.97"/>
    <x v="0"/>
    <s v="Card"/>
    <n v="4.4000000000000004"/>
    <x v="3"/>
    <n v="24.776"/>
    <n v="10"/>
    <x v="2"/>
  </r>
  <r>
    <n v="29"/>
    <n v="50"/>
    <x v="0"/>
    <x v="0"/>
    <x v="2"/>
    <s v="Yoga Mat"/>
    <n v="178.68"/>
    <x v="1"/>
    <s v="Card"/>
    <n v="3.7"/>
    <x v="2"/>
    <n v="159.02520000000001"/>
    <n v="3"/>
    <x v="1"/>
  </r>
  <r>
    <n v="30"/>
    <n v="69"/>
    <x v="1"/>
    <x v="1"/>
    <x v="2"/>
    <s v="Football"/>
    <n v="205.78"/>
    <x v="0"/>
    <s v="Card"/>
    <n v="2.7"/>
    <x v="10"/>
    <n v="160.50839999999999"/>
    <n v="6"/>
    <x v="0"/>
  </r>
  <r>
    <n v="31"/>
    <n v="43"/>
    <x v="0"/>
    <x v="1"/>
    <x v="5"/>
    <s v="Smart Watch"/>
    <n v="1572.49"/>
    <x v="0"/>
    <s v="Card"/>
    <n v="3.5"/>
    <x v="4"/>
    <n v="1352.3414"/>
    <n v="7"/>
    <x v="0"/>
  </r>
  <r>
    <n v="32"/>
    <n v="33"/>
    <x v="0"/>
    <x v="1"/>
    <x v="7"/>
    <s v="Formal Shoes"/>
    <n v="172.69"/>
    <x v="1"/>
    <s v="Card"/>
    <n v="4.5999999999999996"/>
    <x v="12"/>
    <n v="139.87890000000002"/>
    <n v="7"/>
    <x v="0"/>
  </r>
  <r>
    <n v="33"/>
    <n v="58"/>
    <x v="0"/>
    <x v="0"/>
    <x v="6"/>
    <s v="Perfume"/>
    <n v="135.4"/>
    <x v="1"/>
    <s v="Card"/>
    <n v="3.7"/>
    <x v="13"/>
    <n v="123.21400000000001"/>
    <n v="2"/>
    <x v="1"/>
  </r>
  <r>
    <n v="34"/>
    <n v="26"/>
    <x v="2"/>
    <x v="0"/>
    <x v="8"/>
    <s v="Dress"/>
    <n v="169.72"/>
    <x v="0"/>
    <s v="Card"/>
    <n v="3.8"/>
    <x v="4"/>
    <n v="145.95920000000001"/>
    <n v="2"/>
    <x v="1"/>
  </r>
  <r>
    <n v="35"/>
    <n v="67"/>
    <x v="1"/>
    <x v="1"/>
    <x v="2"/>
    <s v="Football"/>
    <n v="238.13"/>
    <x v="2"/>
    <s v="Card"/>
    <n v="3.3"/>
    <x v="14"/>
    <n v="197.64789999999999"/>
    <n v="6"/>
    <x v="0"/>
  </r>
  <r>
    <n v="36"/>
    <n v="32"/>
    <x v="0"/>
    <x v="0"/>
    <x v="8"/>
    <s v="Jeans"/>
    <n v="50.2"/>
    <x v="2"/>
    <s v="Cash on Delivery"/>
    <n v="2.4"/>
    <x v="8"/>
    <n v="44.176000000000002"/>
    <n v="6"/>
    <x v="0"/>
  </r>
  <r>
    <n v="37"/>
    <n v="25"/>
    <x v="2"/>
    <x v="0"/>
    <x v="4"/>
    <s v="Rice Pack"/>
    <n v="29.2"/>
    <x v="3"/>
    <s v="Cash on Delivery"/>
    <n v="5"/>
    <x v="5"/>
    <n v="26.864000000000001"/>
    <n v="4"/>
    <x v="0"/>
  </r>
  <r>
    <n v="38"/>
    <n v="50"/>
    <x v="0"/>
    <x v="1"/>
    <x v="1"/>
    <s v="Jacket"/>
    <n v="183.2"/>
    <x v="0"/>
    <s v="Card"/>
    <n v="3.9"/>
    <x v="5"/>
    <n v="168.54399999999998"/>
    <n v="4"/>
    <x v="0"/>
  </r>
  <r>
    <n v="39"/>
    <n v="47"/>
    <x v="0"/>
    <x v="0"/>
    <x v="8"/>
    <s v="Jeans"/>
    <n v="129.22"/>
    <x v="2"/>
    <s v="Card"/>
    <n v="3.7"/>
    <x v="4"/>
    <n v="111.1292"/>
    <n v="7"/>
    <x v="0"/>
  </r>
  <r>
    <n v="40"/>
    <n v="66"/>
    <x v="1"/>
    <x v="1"/>
    <x v="2"/>
    <s v="Yoga Mat"/>
    <n v="219.86"/>
    <x v="1"/>
    <s v="Card"/>
    <n v="4"/>
    <x v="15"/>
    <n v="215.46280000000002"/>
    <n v="1"/>
    <x v="1"/>
  </r>
  <r>
    <n v="41"/>
    <n v="20"/>
    <x v="2"/>
    <x v="0"/>
    <x v="6"/>
    <s v="Perfume"/>
    <n v="97.24"/>
    <x v="1"/>
    <s v="Card"/>
    <n v="4.0999999999999996"/>
    <x v="12"/>
    <n v="78.764399999999995"/>
    <n v="7"/>
    <x v="0"/>
  </r>
  <r>
    <n v="42"/>
    <n v="22"/>
    <x v="2"/>
    <x v="1"/>
    <x v="5"/>
    <s v="Laptop"/>
    <n v="2392.6999999999998"/>
    <x v="2"/>
    <s v="Card"/>
    <n v="5"/>
    <x v="16"/>
    <n v="2249.1379999999999"/>
    <n v="3"/>
    <x v="1"/>
  </r>
  <r>
    <n v="43"/>
    <n v="23"/>
    <x v="2"/>
    <x v="0"/>
    <x v="7"/>
    <s v="Formal Shoes"/>
    <n v="115.21"/>
    <x v="3"/>
    <s v="Card"/>
    <n v="4.2"/>
    <x v="12"/>
    <n v="93.320099999999996"/>
    <n v="7"/>
    <x v="0"/>
  </r>
  <r>
    <n v="44"/>
    <n v="66"/>
    <x v="1"/>
    <x v="1"/>
    <x v="5"/>
    <s v="Mobile Phone"/>
    <n v="2260.1999999999998"/>
    <x v="1"/>
    <s v="Card"/>
    <n v="4.5999999999999996"/>
    <x v="13"/>
    <n v="2056.7819999999997"/>
    <n v="2"/>
    <x v="1"/>
  </r>
  <r>
    <n v="45"/>
    <n v="53"/>
    <x v="0"/>
    <x v="0"/>
    <x v="0"/>
    <s v="Sunglasses"/>
    <n v="164.67"/>
    <x v="0"/>
    <s v="Card"/>
    <n v="2.6"/>
    <x v="4"/>
    <n v="141.61619999999999"/>
    <n v="7"/>
    <x v="0"/>
  </r>
  <r>
    <n v="46"/>
    <n v="24"/>
    <x v="2"/>
    <x v="0"/>
    <x v="8"/>
    <s v="Dress"/>
    <n v="65.55"/>
    <x v="0"/>
    <s v="Card"/>
    <n v="3.7"/>
    <x v="4"/>
    <n v="56.372999999999998"/>
    <n v="7"/>
    <x v="0"/>
  </r>
  <r>
    <n v="47"/>
    <n v="22"/>
    <x v="2"/>
    <x v="1"/>
    <x v="1"/>
    <s v="Shirt"/>
    <n v="62.69"/>
    <x v="2"/>
    <s v="Card"/>
    <n v="3.6"/>
    <x v="17"/>
    <n v="60.182399999999994"/>
    <n v="2"/>
    <x v="1"/>
  </r>
  <r>
    <n v="48"/>
    <n v="31"/>
    <x v="0"/>
    <x v="0"/>
    <x v="6"/>
    <s v="Makeup Set"/>
    <n v="62.91"/>
    <x v="0"/>
    <s v="Card"/>
    <n v="3.5"/>
    <x v="0"/>
    <n v="51.586199999999998"/>
    <n v="4"/>
    <x v="0"/>
  </r>
  <r>
    <n v="49"/>
    <n v="36"/>
    <x v="0"/>
    <x v="0"/>
    <x v="7"/>
    <s v="Sneakers"/>
    <n v="165.43"/>
    <x v="3"/>
    <s v="Card"/>
    <n v="4.5999999999999996"/>
    <x v="18"/>
    <n v="125.72680000000001"/>
    <n v="7"/>
    <x v="0"/>
  </r>
  <r>
    <n v="50"/>
    <n v="42"/>
    <x v="0"/>
    <x v="0"/>
    <x v="7"/>
    <s v="Sneakers"/>
    <n v="222.12"/>
    <x v="2"/>
    <s v="Card"/>
    <n v="3.2"/>
    <x v="0"/>
    <n v="182.13840000000002"/>
    <n v="4"/>
    <x v="0"/>
  </r>
  <r>
    <n v="51"/>
    <n v="36"/>
    <x v="0"/>
    <x v="1"/>
    <x v="3"/>
    <s v="Lamp"/>
    <n v="270.44"/>
    <x v="2"/>
    <s v="Card"/>
    <n v="2.2999999999999998"/>
    <x v="8"/>
    <n v="237.9872"/>
    <n v="6"/>
    <x v="0"/>
  </r>
  <r>
    <n v="52"/>
    <n v="25"/>
    <x v="2"/>
    <x v="0"/>
    <x v="8"/>
    <s v="Skirt"/>
    <n v="90.54"/>
    <x v="0"/>
    <s v="Cash on Delivery"/>
    <n v="4.5999999999999996"/>
    <x v="0"/>
    <n v="74.242800000000017"/>
    <n v="4"/>
    <x v="0"/>
  </r>
  <r>
    <n v="53"/>
    <n v="49"/>
    <x v="0"/>
    <x v="1"/>
    <x v="3"/>
    <s v="Kitchen Set"/>
    <n v="45.03"/>
    <x v="3"/>
    <s v="Cash on Delivery"/>
    <n v="3.9"/>
    <x v="17"/>
    <n v="43.2288"/>
    <n v="2"/>
    <x v="1"/>
  </r>
  <r>
    <n v="54"/>
    <n v="25"/>
    <x v="2"/>
    <x v="0"/>
    <x v="7"/>
    <s v="Formal Shoes"/>
    <n v="180.42"/>
    <x v="0"/>
    <s v="Card"/>
    <n v="3.9"/>
    <x v="10"/>
    <n v="140.7276"/>
    <n v="6"/>
    <x v="0"/>
  </r>
  <r>
    <n v="55"/>
    <n v="52"/>
    <x v="0"/>
    <x v="0"/>
    <x v="0"/>
    <s v="Handbag"/>
    <n v="117.7"/>
    <x v="2"/>
    <s v="Card"/>
    <n v="3.1"/>
    <x v="5"/>
    <n v="108.28400000000001"/>
    <n v="4"/>
    <x v="0"/>
  </r>
  <r>
    <n v="56"/>
    <n v="42"/>
    <x v="0"/>
    <x v="0"/>
    <x v="6"/>
    <s v="Makeup Set"/>
    <n v="31.42"/>
    <x v="3"/>
    <s v="Card"/>
    <n v="2"/>
    <x v="15"/>
    <n v="30.791600000000003"/>
    <n v="1"/>
    <x v="1"/>
  </r>
  <r>
    <n v="57"/>
    <n v="43"/>
    <x v="0"/>
    <x v="0"/>
    <x v="8"/>
    <s v="Skirt"/>
    <n v="188.02"/>
    <x v="0"/>
    <s v="Card"/>
    <n v="4.2"/>
    <x v="14"/>
    <n v="156.0566"/>
    <n v="6"/>
    <x v="0"/>
  </r>
  <r>
    <n v="58"/>
    <n v="49"/>
    <x v="0"/>
    <x v="1"/>
    <x v="4"/>
    <s v="Snacks"/>
    <n v="54.89"/>
    <x v="3"/>
    <s v="Card"/>
    <n v="4.4000000000000004"/>
    <x v="12"/>
    <n v="44.460900000000002"/>
    <n v="7"/>
    <x v="0"/>
  </r>
  <r>
    <n v="59"/>
    <n v="34"/>
    <x v="0"/>
    <x v="1"/>
    <x v="5"/>
    <s v="Headphones"/>
    <n v="1459.73"/>
    <x v="1"/>
    <s v="Card"/>
    <n v="4"/>
    <x v="18"/>
    <n v="1109.3948"/>
    <n v="7"/>
    <x v="0"/>
  </r>
  <r>
    <n v="60"/>
    <n v="58"/>
    <x v="0"/>
    <x v="1"/>
    <x v="1"/>
    <s v="Shirt"/>
    <n v="82.99"/>
    <x v="1"/>
    <s v="Cash on Delivery"/>
    <n v="4.4000000000000004"/>
    <x v="13"/>
    <n v="75.520899999999997"/>
    <n v="2"/>
    <x v="1"/>
  </r>
  <r>
    <n v="61"/>
    <n v="24"/>
    <x v="2"/>
    <x v="1"/>
    <x v="1"/>
    <s v="Jeans"/>
    <n v="121.2"/>
    <x v="3"/>
    <s v="Card"/>
    <n v="4.3"/>
    <x v="8"/>
    <n v="106.65600000000001"/>
    <n v="6"/>
    <x v="0"/>
  </r>
  <r>
    <n v="62"/>
    <n v="55"/>
    <x v="0"/>
    <x v="0"/>
    <x v="0"/>
    <s v="Handbag"/>
    <n v="152.29"/>
    <x v="2"/>
    <s v="Card"/>
    <n v="4.7"/>
    <x v="19"/>
    <n v="129.44649999999999"/>
    <n v="5"/>
    <x v="0"/>
  </r>
  <r>
    <n v="63"/>
    <n v="59"/>
    <x v="0"/>
    <x v="0"/>
    <x v="4"/>
    <s v="Snacks"/>
    <n v="59.46"/>
    <x v="2"/>
    <s v="Cash on Delivery"/>
    <n v="4"/>
    <x v="0"/>
    <n v="48.757200000000005"/>
    <n v="4"/>
    <x v="0"/>
  </r>
  <r>
    <n v="64"/>
    <n v="70"/>
    <x v="1"/>
    <x v="1"/>
    <x v="4"/>
    <s v="Cooking Oil"/>
    <n v="73.3"/>
    <x v="2"/>
    <s v="Card"/>
    <n v="2.9"/>
    <x v="13"/>
    <n v="66.703000000000003"/>
    <n v="2"/>
    <x v="1"/>
  </r>
  <r>
    <n v="65"/>
    <n v="20"/>
    <x v="2"/>
    <x v="1"/>
    <x v="7"/>
    <s v="Sandals"/>
    <n v="123.79"/>
    <x v="1"/>
    <s v="Card"/>
    <n v="3.5"/>
    <x v="16"/>
    <n v="116.3626"/>
    <n v="3"/>
    <x v="1"/>
  </r>
  <r>
    <n v="66"/>
    <n v="30"/>
    <x v="2"/>
    <x v="0"/>
    <x v="8"/>
    <s v="Skirt"/>
    <n v="155.38"/>
    <x v="3"/>
    <s v="Card"/>
    <n v="3"/>
    <x v="16"/>
    <n v="146.05719999999999"/>
    <n v="3"/>
    <x v="1"/>
  </r>
  <r>
    <n v="67"/>
    <n v="25"/>
    <x v="2"/>
    <x v="1"/>
    <x v="5"/>
    <s v="Laptop"/>
    <n v="1951.47"/>
    <x v="0"/>
    <s v="Card"/>
    <n v="3.8"/>
    <x v="4"/>
    <n v="1678.2642000000001"/>
    <n v="2"/>
    <x v="1"/>
  </r>
  <r>
    <n v="68"/>
    <n v="41"/>
    <x v="0"/>
    <x v="0"/>
    <x v="7"/>
    <s v="Sneakers"/>
    <n v="102.92"/>
    <x v="1"/>
    <s v="Card"/>
    <n v="4"/>
    <x v="8"/>
    <n v="90.569600000000008"/>
    <n v="6"/>
    <x v="0"/>
  </r>
  <r>
    <n v="69"/>
    <n v="35"/>
    <x v="0"/>
    <x v="0"/>
    <x v="6"/>
    <s v="Makeup Set"/>
    <n v="112.83"/>
    <x v="1"/>
    <s v="Card"/>
    <n v="3.8"/>
    <x v="7"/>
    <n v="101.547"/>
    <n v="5"/>
    <x v="0"/>
  </r>
  <r>
    <n v="70"/>
    <n v="29"/>
    <x v="2"/>
    <x v="1"/>
    <x v="2"/>
    <s v="Football"/>
    <n v="30.71"/>
    <x v="0"/>
    <s v="Card"/>
    <n v="3.7"/>
    <x v="6"/>
    <n v="25.796399999999998"/>
    <n v="3"/>
    <x v="1"/>
  </r>
  <r>
    <n v="71"/>
    <n v="42"/>
    <x v="0"/>
    <x v="1"/>
    <x v="2"/>
    <s v="Yoga Mat"/>
    <n v="101.34"/>
    <x v="1"/>
    <s v="Card"/>
    <n v="3"/>
    <x v="20"/>
    <n v="68.911199999999994"/>
    <n v="11"/>
    <x v="2"/>
  </r>
  <r>
    <n v="72"/>
    <n v="20"/>
    <x v="2"/>
    <x v="1"/>
    <x v="7"/>
    <s v="Formal Shoes"/>
    <n v="213.27"/>
    <x v="2"/>
    <s v="Card"/>
    <n v="5"/>
    <x v="2"/>
    <n v="189.81030000000001"/>
    <n v="3"/>
    <x v="1"/>
  </r>
  <r>
    <n v="73"/>
    <n v="53"/>
    <x v="0"/>
    <x v="1"/>
    <x v="2"/>
    <s v="Yoga Mat"/>
    <n v="196.81"/>
    <x v="2"/>
    <s v="Card"/>
    <n v="4.4000000000000004"/>
    <x v="14"/>
    <n v="163.35229999999999"/>
    <n v="6"/>
    <x v="0"/>
  </r>
  <r>
    <n v="74"/>
    <n v="58"/>
    <x v="0"/>
    <x v="1"/>
    <x v="2"/>
    <s v="Yoga Mat"/>
    <n v="246.49"/>
    <x v="0"/>
    <s v="Card"/>
    <n v="4.5"/>
    <x v="2"/>
    <n v="219.37610000000001"/>
    <n v="3"/>
    <x v="1"/>
  </r>
  <r>
    <n v="75"/>
    <n v="40"/>
    <x v="0"/>
    <x v="0"/>
    <x v="8"/>
    <s v="Top"/>
    <n v="124.21"/>
    <x v="3"/>
    <s v="Card"/>
    <n v="3"/>
    <x v="16"/>
    <n v="116.75739999999999"/>
    <n v="3"/>
    <x v="1"/>
  </r>
  <r>
    <n v="76"/>
    <n v="59"/>
    <x v="0"/>
    <x v="0"/>
    <x v="6"/>
    <s v="Skincare Kit"/>
    <n v="42.8"/>
    <x v="2"/>
    <s v="Card"/>
    <n v="3.1"/>
    <x v="1"/>
    <n v="37.235999999999997"/>
    <n v="4"/>
    <x v="0"/>
  </r>
  <r>
    <n v="77"/>
    <n v="70"/>
    <x v="1"/>
    <x v="1"/>
    <x v="1"/>
    <s v="Shirt"/>
    <n v="96.18"/>
    <x v="0"/>
    <s v="Card"/>
    <n v="2.7"/>
    <x v="3"/>
    <n v="76.944000000000017"/>
    <n v="5"/>
    <x v="0"/>
  </r>
  <r>
    <n v="78"/>
    <n v="38"/>
    <x v="0"/>
    <x v="1"/>
    <x v="5"/>
    <s v="Mobile Phone"/>
    <n v="2888.09"/>
    <x v="2"/>
    <s v="Card"/>
    <n v="3.6"/>
    <x v="5"/>
    <n v="2657.0428000000002"/>
    <n v="4"/>
    <x v="0"/>
  </r>
  <r>
    <n v="79"/>
    <n v="62"/>
    <x v="1"/>
    <x v="0"/>
    <x v="0"/>
    <s v="Sunglasses"/>
    <n v="151.06"/>
    <x v="0"/>
    <s v="Card"/>
    <n v="4.0999999999999996"/>
    <x v="3"/>
    <n v="120.84800000000001"/>
    <n v="5"/>
    <x v="0"/>
  </r>
  <r>
    <n v="80"/>
    <n v="35"/>
    <x v="0"/>
    <x v="0"/>
    <x v="0"/>
    <s v="Handbag"/>
    <n v="141.44999999999999"/>
    <x v="0"/>
    <s v="Card"/>
    <n v="5"/>
    <x v="12"/>
    <n v="114.5745"/>
    <n v="7"/>
    <x v="0"/>
  </r>
  <r>
    <n v="81"/>
    <n v="26"/>
    <x v="2"/>
    <x v="1"/>
    <x v="4"/>
    <s v="Cooking Oil"/>
    <n v="73.66"/>
    <x v="1"/>
    <s v="Card"/>
    <n v="4.7"/>
    <x v="2"/>
    <n v="65.557400000000001"/>
    <n v="3"/>
    <x v="1"/>
  </r>
  <r>
    <n v="82"/>
    <n v="58"/>
    <x v="0"/>
    <x v="1"/>
    <x v="1"/>
    <s v="Jacket"/>
    <n v="36.29"/>
    <x v="0"/>
    <s v="Card"/>
    <n v="3.4"/>
    <x v="16"/>
    <n v="34.1126"/>
    <n v="3"/>
    <x v="1"/>
  </r>
  <r>
    <n v="83"/>
    <n v="45"/>
    <x v="0"/>
    <x v="1"/>
    <x v="7"/>
    <s v="Sandals"/>
    <n v="208.84"/>
    <x v="3"/>
    <s v="Card"/>
    <n v="4.4000000000000004"/>
    <x v="0"/>
    <n v="171.24880000000002"/>
    <n v="9"/>
    <x v="2"/>
  </r>
  <r>
    <n v="84"/>
    <n v="58"/>
    <x v="0"/>
    <x v="0"/>
    <x v="8"/>
    <s v="Dress"/>
    <n v="98.33"/>
    <x v="1"/>
    <s v="Card"/>
    <n v="4.0999999999999996"/>
    <x v="11"/>
    <n v="72.764200000000002"/>
    <n v="8"/>
    <x v="2"/>
  </r>
  <r>
    <n v="85"/>
    <n v="49"/>
    <x v="0"/>
    <x v="0"/>
    <x v="8"/>
    <s v="Dress"/>
    <n v="37.159999999999997"/>
    <x v="3"/>
    <s v="Cash on Delivery"/>
    <n v="3.7"/>
    <x v="6"/>
    <n v="31.214399999999998"/>
    <n v="3"/>
    <x v="1"/>
  </r>
  <r>
    <n v="86"/>
    <n v="65"/>
    <x v="1"/>
    <x v="0"/>
    <x v="6"/>
    <s v="Makeup Set"/>
    <n v="41.71"/>
    <x v="2"/>
    <s v="Card"/>
    <n v="3.3"/>
    <x v="12"/>
    <n v="33.7851"/>
    <n v="7"/>
    <x v="0"/>
  </r>
  <r>
    <n v="87"/>
    <n v="22"/>
    <x v="2"/>
    <x v="0"/>
    <x v="6"/>
    <s v="Makeup Set"/>
    <n v="145.97999999999999"/>
    <x v="3"/>
    <s v="Card"/>
    <n v="3.5"/>
    <x v="18"/>
    <n v="110.94479999999999"/>
    <n v="7"/>
    <x v="0"/>
  </r>
  <r>
    <n v="88"/>
    <n v="44"/>
    <x v="0"/>
    <x v="1"/>
    <x v="5"/>
    <s v="Mobile Phone"/>
    <n v="1643.58"/>
    <x v="0"/>
    <s v="Card"/>
    <n v="3.2"/>
    <x v="2"/>
    <n v="1462.7862"/>
    <n v="3"/>
    <x v="1"/>
  </r>
  <r>
    <n v="89"/>
    <n v="61"/>
    <x v="1"/>
    <x v="1"/>
    <x v="5"/>
    <s v="Laptop"/>
    <n v="2338.0300000000002"/>
    <x v="1"/>
    <s v="Card"/>
    <n v="3.8"/>
    <x v="4"/>
    <n v="2010.7058000000002"/>
    <n v="2"/>
    <x v="1"/>
  </r>
  <r>
    <n v="90"/>
    <n v="56"/>
    <x v="0"/>
    <x v="0"/>
    <x v="4"/>
    <s v="Rice Pack"/>
    <n v="68.84"/>
    <x v="3"/>
    <s v="Cash on Delivery"/>
    <n v="5"/>
    <x v="12"/>
    <n v="55.760400000000004"/>
    <n v="7"/>
    <x v="0"/>
  </r>
  <r>
    <n v="91"/>
    <n v="35"/>
    <x v="0"/>
    <x v="0"/>
    <x v="0"/>
    <s v="Sunglasses"/>
    <n v="45.66"/>
    <x v="1"/>
    <s v="Cash on Delivery"/>
    <n v="4.5999999999999996"/>
    <x v="0"/>
    <n v="37.441200000000002"/>
    <n v="4"/>
    <x v="0"/>
  </r>
  <r>
    <n v="92"/>
    <n v="51"/>
    <x v="0"/>
    <x v="1"/>
    <x v="7"/>
    <s v="Sandals"/>
    <n v="40.24"/>
    <x v="2"/>
    <s v="Card"/>
    <n v="3.8"/>
    <x v="0"/>
    <n v="32.996800000000007"/>
    <n v="4"/>
    <x v="0"/>
  </r>
  <r>
    <n v="93"/>
    <n v="36"/>
    <x v="0"/>
    <x v="0"/>
    <x v="7"/>
    <s v="Sneakers"/>
    <n v="203.77"/>
    <x v="1"/>
    <s v="Card"/>
    <n v="4.4000000000000004"/>
    <x v="12"/>
    <n v="165.05370000000002"/>
    <n v="7"/>
    <x v="0"/>
  </r>
  <r>
    <n v="94"/>
    <n v="20"/>
    <x v="2"/>
    <x v="0"/>
    <x v="0"/>
    <s v="Wallet"/>
    <n v="159.44999999999999"/>
    <x v="2"/>
    <s v="Card"/>
    <n v="4.5999999999999996"/>
    <x v="3"/>
    <n v="127.56"/>
    <n v="5"/>
    <x v="0"/>
  </r>
  <r>
    <n v="95"/>
    <n v="25"/>
    <x v="2"/>
    <x v="1"/>
    <x v="7"/>
    <s v="Sandals"/>
    <n v="183.49"/>
    <x v="0"/>
    <s v="Card"/>
    <n v="3.5"/>
    <x v="3"/>
    <n v="146.792"/>
    <n v="5"/>
    <x v="0"/>
  </r>
  <r>
    <n v="96"/>
    <n v="21"/>
    <x v="2"/>
    <x v="1"/>
    <x v="1"/>
    <s v="Jacket"/>
    <n v="76.45"/>
    <x v="3"/>
    <s v="Card"/>
    <n v="4.4000000000000004"/>
    <x v="8"/>
    <n v="67.275999999999996"/>
    <n v="6"/>
    <x v="0"/>
  </r>
  <r>
    <n v="97"/>
    <n v="20"/>
    <x v="2"/>
    <x v="0"/>
    <x v="0"/>
    <s v="Wallet"/>
    <n v="54.1"/>
    <x v="3"/>
    <s v="Card"/>
    <n v="4.0999999999999996"/>
    <x v="6"/>
    <n v="45.444000000000003"/>
    <n v="3"/>
    <x v="1"/>
  </r>
  <r>
    <n v="98"/>
    <n v="65"/>
    <x v="1"/>
    <x v="0"/>
    <x v="0"/>
    <s v="Handbag"/>
    <n v="41"/>
    <x v="0"/>
    <s v="Cash on Delivery"/>
    <n v="4"/>
    <x v="7"/>
    <n v="36.9"/>
    <n v="5"/>
    <x v="0"/>
  </r>
  <r>
    <n v="99"/>
    <n v="39"/>
    <x v="0"/>
    <x v="0"/>
    <x v="7"/>
    <s v="Sneakers"/>
    <n v="73.77"/>
    <x v="1"/>
    <s v="Card"/>
    <n v="3.5"/>
    <x v="14"/>
    <n v="61.229099999999995"/>
    <n v="6"/>
    <x v="0"/>
  </r>
  <r>
    <n v="100"/>
    <n v="51"/>
    <x v="0"/>
    <x v="1"/>
    <x v="5"/>
    <s v="Smart Watch"/>
    <n v="2449.63"/>
    <x v="0"/>
    <s v="Card"/>
    <n v="1.9"/>
    <x v="17"/>
    <n v="2351.6448"/>
    <n v="2"/>
    <x v="1"/>
  </r>
  <r>
    <n v="101"/>
    <n v="65"/>
    <x v="1"/>
    <x v="0"/>
    <x v="3"/>
    <s v="Curtains"/>
    <n v="86.79"/>
    <x v="1"/>
    <s v="Cash on Delivery"/>
    <n v="3.6"/>
    <x v="8"/>
    <n v="76.375200000000007"/>
    <n v="6"/>
    <x v="0"/>
  </r>
  <r>
    <n v="102"/>
    <n v="58"/>
    <x v="0"/>
    <x v="0"/>
    <x v="8"/>
    <s v="Skirt"/>
    <n v="64.03"/>
    <x v="3"/>
    <s v="Card"/>
    <n v="3.2"/>
    <x v="1"/>
    <n v="55.706099999999999"/>
    <n v="4"/>
    <x v="0"/>
  </r>
  <r>
    <n v="103"/>
    <n v="50"/>
    <x v="0"/>
    <x v="0"/>
    <x v="7"/>
    <s v="Formal Shoes"/>
    <n v="171.31"/>
    <x v="0"/>
    <s v="Card"/>
    <n v="5"/>
    <x v="21"/>
    <n v="135.3349"/>
    <n v="8"/>
    <x v="2"/>
  </r>
  <r>
    <n v="104"/>
    <n v="42"/>
    <x v="0"/>
    <x v="0"/>
    <x v="4"/>
    <s v="Snacks"/>
    <n v="21.44"/>
    <x v="0"/>
    <s v="Card"/>
    <n v="3.6"/>
    <x v="12"/>
    <n v="17.366400000000002"/>
    <n v="7"/>
    <x v="0"/>
  </r>
  <r>
    <n v="105"/>
    <n v="60"/>
    <x v="0"/>
    <x v="1"/>
    <x v="1"/>
    <s v="Jacket"/>
    <n v="145.63999999999999"/>
    <x v="2"/>
    <s v="Card"/>
    <n v="3.3"/>
    <x v="15"/>
    <n v="142.72719999999998"/>
    <n v="1"/>
    <x v="1"/>
  </r>
  <r>
    <n v="106"/>
    <n v="50"/>
    <x v="0"/>
    <x v="0"/>
    <x v="7"/>
    <s v="Sneakers"/>
    <n v="112.65"/>
    <x v="1"/>
    <s v="Card"/>
    <n v="3.9"/>
    <x v="7"/>
    <n v="101.38500000000001"/>
    <n v="5"/>
    <x v="0"/>
  </r>
  <r>
    <n v="107"/>
    <n v="55"/>
    <x v="0"/>
    <x v="0"/>
    <x v="7"/>
    <s v="Formal Shoes"/>
    <n v="177.55"/>
    <x v="3"/>
    <s v="Card"/>
    <n v="4.2"/>
    <x v="14"/>
    <n v="147.3665"/>
    <n v="6"/>
    <x v="0"/>
  </r>
  <r>
    <n v="108"/>
    <n v="61"/>
    <x v="1"/>
    <x v="0"/>
    <x v="8"/>
    <s v="Skirt"/>
    <n v="100.22"/>
    <x v="3"/>
    <s v="Card"/>
    <n v="3.8"/>
    <x v="17"/>
    <n v="96.211199999999991"/>
    <n v="2"/>
    <x v="1"/>
  </r>
  <r>
    <n v="109"/>
    <n v="33"/>
    <x v="0"/>
    <x v="0"/>
    <x v="7"/>
    <s v="Formal Shoes"/>
    <n v="60"/>
    <x v="3"/>
    <s v="Card"/>
    <n v="3.3"/>
    <x v="5"/>
    <n v="55.2"/>
    <n v="4"/>
    <x v="0"/>
  </r>
  <r>
    <n v="110"/>
    <n v="66"/>
    <x v="1"/>
    <x v="1"/>
    <x v="7"/>
    <s v="Formal Shoes"/>
    <n v="75.650000000000006"/>
    <x v="2"/>
    <s v="Card"/>
    <n v="4"/>
    <x v="4"/>
    <n v="65.058999999999997"/>
    <n v="7"/>
    <x v="0"/>
  </r>
  <r>
    <n v="111"/>
    <n v="66"/>
    <x v="1"/>
    <x v="1"/>
    <x v="5"/>
    <s v="Laptop"/>
    <n v="2263.46"/>
    <x v="0"/>
    <s v="Card"/>
    <n v="3.8"/>
    <x v="1"/>
    <n v="1969.2102"/>
    <n v="4"/>
    <x v="0"/>
  </r>
  <r>
    <n v="112"/>
    <n v="45"/>
    <x v="0"/>
    <x v="1"/>
    <x v="7"/>
    <s v="Formal Shoes"/>
    <n v="77.8"/>
    <x v="2"/>
    <s v="Cash on Delivery"/>
    <n v="3.2"/>
    <x v="13"/>
    <n v="70.798000000000002"/>
    <n v="2"/>
    <x v="1"/>
  </r>
  <r>
    <n v="113"/>
    <n v="69"/>
    <x v="1"/>
    <x v="0"/>
    <x v="8"/>
    <s v="Top"/>
    <n v="84.93"/>
    <x v="0"/>
    <s v="Cash on Delivery"/>
    <n v="4.5999999999999996"/>
    <x v="14"/>
    <n v="70.491900000000001"/>
    <n v="6"/>
    <x v="0"/>
  </r>
  <r>
    <n v="114"/>
    <n v="27"/>
    <x v="2"/>
    <x v="0"/>
    <x v="2"/>
    <s v="Football"/>
    <n v="124.84"/>
    <x v="1"/>
    <s v="Card"/>
    <n v="3.2"/>
    <x v="3"/>
    <n v="99.872000000000014"/>
    <n v="10"/>
    <x v="2"/>
  </r>
  <r>
    <n v="115"/>
    <n v="23"/>
    <x v="2"/>
    <x v="1"/>
    <x v="7"/>
    <s v="Formal Shoes"/>
    <n v="122.71"/>
    <x v="3"/>
    <s v="Card"/>
    <n v="3.4"/>
    <x v="5"/>
    <n v="112.89319999999999"/>
    <n v="4"/>
    <x v="0"/>
  </r>
  <r>
    <n v="116"/>
    <n v="60"/>
    <x v="0"/>
    <x v="1"/>
    <x v="5"/>
    <s v="Mobile Phone"/>
    <n v="1317.58"/>
    <x v="2"/>
    <s v="Card"/>
    <n v="4.2"/>
    <x v="11"/>
    <n v="975.00919999999996"/>
    <n v="8"/>
    <x v="2"/>
  </r>
  <r>
    <n v="117"/>
    <n v="31"/>
    <x v="0"/>
    <x v="0"/>
    <x v="6"/>
    <s v="Perfume"/>
    <n v="70.510000000000005"/>
    <x v="1"/>
    <s v="Cash on Delivery"/>
    <n v="4.2"/>
    <x v="0"/>
    <n v="57.818200000000012"/>
    <n v="4"/>
    <x v="0"/>
  </r>
  <r>
    <n v="118"/>
    <n v="28"/>
    <x v="2"/>
    <x v="1"/>
    <x v="2"/>
    <s v="Yoga Mat"/>
    <n v="132.82"/>
    <x v="0"/>
    <s v="Card"/>
    <n v="2.9"/>
    <x v="13"/>
    <n v="120.86619999999999"/>
    <n v="2"/>
    <x v="1"/>
  </r>
  <r>
    <n v="119"/>
    <n v="56"/>
    <x v="0"/>
    <x v="1"/>
    <x v="7"/>
    <s v="Sandals"/>
    <n v="200.63"/>
    <x v="3"/>
    <s v="Card"/>
    <n v="4"/>
    <x v="0"/>
    <n v="164.51660000000001"/>
    <n v="4"/>
    <x v="0"/>
  </r>
  <r>
    <n v="120"/>
    <n v="34"/>
    <x v="0"/>
    <x v="0"/>
    <x v="8"/>
    <s v="Skirt"/>
    <n v="47.24"/>
    <x v="1"/>
    <s v="Cash on Delivery"/>
    <n v="4.0999999999999996"/>
    <x v="19"/>
    <n v="40.154000000000003"/>
    <n v="5"/>
    <x v="0"/>
  </r>
  <r>
    <n v="121"/>
    <n v="37"/>
    <x v="0"/>
    <x v="0"/>
    <x v="7"/>
    <s v="Formal Shoes"/>
    <n v="65.599999999999994"/>
    <x v="2"/>
    <s v="Cash on Delivery"/>
    <n v="3.2"/>
    <x v="19"/>
    <n v="55.759999999999991"/>
    <n v="5"/>
    <x v="0"/>
  </r>
  <r>
    <n v="122"/>
    <n v="63"/>
    <x v="1"/>
    <x v="0"/>
    <x v="0"/>
    <s v="Sunglasses"/>
    <n v="20.41"/>
    <x v="0"/>
    <s v="Cash on Delivery"/>
    <n v="3.7"/>
    <x v="14"/>
    <n v="16.940300000000001"/>
    <n v="6"/>
    <x v="0"/>
  </r>
  <r>
    <n v="123"/>
    <n v="35"/>
    <x v="0"/>
    <x v="1"/>
    <x v="5"/>
    <s v="Smart Watch"/>
    <n v="1187.02"/>
    <x v="0"/>
    <s v="Card"/>
    <n v="3.5"/>
    <x v="19"/>
    <n v="1008.967"/>
    <n v="5"/>
    <x v="0"/>
  </r>
  <r>
    <n v="124"/>
    <n v="53"/>
    <x v="0"/>
    <x v="1"/>
    <x v="5"/>
    <s v="Mobile Phone"/>
    <n v="559.1"/>
    <x v="0"/>
    <s v="Card"/>
    <n v="3.4"/>
    <x v="14"/>
    <n v="464.053"/>
    <n v="6"/>
    <x v="0"/>
  </r>
  <r>
    <n v="125"/>
    <n v="54"/>
    <x v="0"/>
    <x v="1"/>
    <x v="7"/>
    <s v="Formal Shoes"/>
    <n v="129.91999999999999"/>
    <x v="2"/>
    <s v="Card"/>
    <n v="4.2"/>
    <x v="1"/>
    <n v="113.03039999999999"/>
    <n v="4"/>
    <x v="0"/>
  </r>
  <r>
    <n v="126"/>
    <n v="65"/>
    <x v="1"/>
    <x v="0"/>
    <x v="4"/>
    <s v="Beverages"/>
    <n v="19.39"/>
    <x v="1"/>
    <s v="Cash on Delivery"/>
    <n v="3.4"/>
    <x v="16"/>
    <n v="18.226600000000001"/>
    <n v="3"/>
    <x v="1"/>
  </r>
  <r>
    <n v="127"/>
    <n v="24"/>
    <x v="2"/>
    <x v="0"/>
    <x v="6"/>
    <s v="Makeup Set"/>
    <n v="97.07"/>
    <x v="0"/>
    <s v="Cash on Delivery"/>
    <n v="2.4"/>
    <x v="1"/>
    <n v="84.45089999999999"/>
    <n v="4"/>
    <x v="0"/>
  </r>
  <r>
    <n v="128"/>
    <n v="55"/>
    <x v="0"/>
    <x v="1"/>
    <x v="2"/>
    <s v="Dumbbells"/>
    <n v="70.209999999999994"/>
    <x v="1"/>
    <s v="Cash on Delivery"/>
    <n v="3.4"/>
    <x v="0"/>
    <n v="57.572200000000002"/>
    <n v="4"/>
    <x v="0"/>
  </r>
  <r>
    <n v="129"/>
    <n v="64"/>
    <x v="1"/>
    <x v="1"/>
    <x v="2"/>
    <s v="Yoga Mat"/>
    <n v="248.31"/>
    <x v="2"/>
    <s v="Card"/>
    <n v="3.7"/>
    <x v="12"/>
    <n v="201.1311"/>
    <n v="7"/>
    <x v="0"/>
  </r>
  <r>
    <n v="130"/>
    <n v="21"/>
    <x v="2"/>
    <x v="1"/>
    <x v="2"/>
    <s v="Football"/>
    <n v="149.61000000000001"/>
    <x v="0"/>
    <s v="Card"/>
    <n v="3.6"/>
    <x v="21"/>
    <n v="118.19190000000002"/>
    <n v="8"/>
    <x v="2"/>
  </r>
  <r>
    <n v="131"/>
    <n v="66"/>
    <x v="1"/>
    <x v="1"/>
    <x v="3"/>
    <s v="Lamp"/>
    <n v="132.77000000000001"/>
    <x v="1"/>
    <s v="Card"/>
    <n v="3.5"/>
    <x v="14"/>
    <n v="110.1991"/>
    <n v="6"/>
    <x v="0"/>
  </r>
  <r>
    <n v="132"/>
    <n v="39"/>
    <x v="0"/>
    <x v="0"/>
    <x v="6"/>
    <s v="Makeup Set"/>
    <n v="37.229999999999997"/>
    <x v="2"/>
    <s v="Card"/>
    <n v="3.4"/>
    <x v="4"/>
    <n v="32.017799999999994"/>
    <n v="7"/>
    <x v="0"/>
  </r>
  <r>
    <n v="133"/>
    <n v="53"/>
    <x v="0"/>
    <x v="0"/>
    <x v="7"/>
    <s v="Sneakers"/>
    <n v="88.84"/>
    <x v="3"/>
    <s v="Cash on Delivery"/>
    <n v="1.8"/>
    <x v="6"/>
    <n v="74.625600000000006"/>
    <n v="3"/>
    <x v="1"/>
  </r>
  <r>
    <n v="134"/>
    <n v="25"/>
    <x v="2"/>
    <x v="0"/>
    <x v="8"/>
    <s v="Top"/>
    <n v="140.53"/>
    <x v="1"/>
    <s v="Card"/>
    <n v="3.9"/>
    <x v="2"/>
    <n v="125.07170000000001"/>
    <n v="3"/>
    <x v="1"/>
  </r>
  <r>
    <n v="135"/>
    <n v="30"/>
    <x v="2"/>
    <x v="0"/>
    <x v="2"/>
    <s v="Football"/>
    <n v="121.83"/>
    <x v="0"/>
    <s v="Card"/>
    <n v="3.5"/>
    <x v="6"/>
    <n v="102.3372"/>
    <n v="3"/>
    <x v="1"/>
  </r>
  <r>
    <n v="136"/>
    <n v="23"/>
    <x v="2"/>
    <x v="1"/>
    <x v="5"/>
    <s v="Headphones"/>
    <n v="1052.01"/>
    <x v="0"/>
    <s v="Card"/>
    <n v="4.0999999999999996"/>
    <x v="18"/>
    <n v="799.52760000000001"/>
    <n v="7"/>
    <x v="0"/>
  </r>
  <r>
    <n v="137"/>
    <n v="41"/>
    <x v="0"/>
    <x v="0"/>
    <x v="4"/>
    <s v="Cooking Oil"/>
    <n v="77.290000000000006"/>
    <x v="2"/>
    <s v="Card"/>
    <n v="3.9"/>
    <x v="0"/>
    <n v="63.377800000000008"/>
    <n v="4"/>
    <x v="0"/>
  </r>
  <r>
    <n v="138"/>
    <n v="40"/>
    <x v="0"/>
    <x v="0"/>
    <x v="6"/>
    <s v="Skincare Kit"/>
    <n v="124.2"/>
    <x v="1"/>
    <s v="Card"/>
    <n v="3.1"/>
    <x v="14"/>
    <n v="103.086"/>
    <n v="6"/>
    <x v="0"/>
  </r>
  <r>
    <n v="139"/>
    <n v="23"/>
    <x v="2"/>
    <x v="0"/>
    <x v="7"/>
    <s v="Formal Shoes"/>
    <n v="139.96"/>
    <x v="0"/>
    <s v="Card"/>
    <n v="4.0999999999999996"/>
    <x v="0"/>
    <n v="114.76720000000002"/>
    <n v="9"/>
    <x v="2"/>
  </r>
  <r>
    <n v="140"/>
    <n v="59"/>
    <x v="0"/>
    <x v="1"/>
    <x v="7"/>
    <s v="Formal Shoes"/>
    <n v="121.13"/>
    <x v="3"/>
    <s v="Card"/>
    <n v="3.6"/>
    <x v="7"/>
    <n v="109.017"/>
    <n v="5"/>
    <x v="0"/>
  </r>
  <r>
    <n v="141"/>
    <n v="56"/>
    <x v="0"/>
    <x v="0"/>
    <x v="4"/>
    <s v="Snacks"/>
    <n v="58.72"/>
    <x v="0"/>
    <s v="Card"/>
    <n v="2.6"/>
    <x v="15"/>
    <n v="57.5456"/>
    <n v="1"/>
    <x v="1"/>
  </r>
  <r>
    <n v="142"/>
    <n v="34"/>
    <x v="0"/>
    <x v="1"/>
    <x v="2"/>
    <s v="Dumbbells"/>
    <n v="64.17"/>
    <x v="0"/>
    <s v="Card"/>
    <n v="3"/>
    <x v="5"/>
    <n v="59.036400000000008"/>
    <n v="4"/>
    <x v="0"/>
  </r>
  <r>
    <n v="143"/>
    <n v="59"/>
    <x v="0"/>
    <x v="1"/>
    <x v="7"/>
    <s v="Formal Shoes"/>
    <n v="42.19"/>
    <x v="1"/>
    <s v="Cash on Delivery"/>
    <n v="3.2"/>
    <x v="17"/>
    <n v="40.502399999999994"/>
    <n v="2"/>
    <x v="1"/>
  </r>
  <r>
    <n v="144"/>
    <n v="40"/>
    <x v="0"/>
    <x v="0"/>
    <x v="7"/>
    <s v="Formal Shoes"/>
    <n v="166.4"/>
    <x v="0"/>
    <s v="Card"/>
    <n v="3.8"/>
    <x v="4"/>
    <n v="143.10400000000001"/>
    <n v="7"/>
    <x v="0"/>
  </r>
  <r>
    <n v="145"/>
    <n v="33"/>
    <x v="0"/>
    <x v="0"/>
    <x v="8"/>
    <s v="Top"/>
    <n v="76.540000000000006"/>
    <x v="3"/>
    <s v="Card"/>
    <n v="4.2"/>
    <x v="16"/>
    <n v="71.947600000000008"/>
    <n v="3"/>
    <x v="1"/>
  </r>
  <r>
    <n v="146"/>
    <n v="68"/>
    <x v="1"/>
    <x v="0"/>
    <x v="8"/>
    <s v="Dress"/>
    <n v="158.36000000000001"/>
    <x v="1"/>
    <s v="Card"/>
    <n v="3.6"/>
    <x v="22"/>
    <n v="121.93720000000002"/>
    <n v="9"/>
    <x v="2"/>
  </r>
  <r>
    <n v="147"/>
    <n v="48"/>
    <x v="0"/>
    <x v="1"/>
    <x v="7"/>
    <s v="Formal Shoes"/>
    <n v="84.84"/>
    <x v="3"/>
    <s v="Card"/>
    <n v="4.7"/>
    <x v="11"/>
    <n v="62.781600000000005"/>
    <n v="8"/>
    <x v="2"/>
  </r>
  <r>
    <n v="148"/>
    <n v="27"/>
    <x v="2"/>
    <x v="0"/>
    <x v="7"/>
    <s v="Sneakers"/>
    <n v="195.76"/>
    <x v="3"/>
    <s v="Card"/>
    <n v="4"/>
    <x v="14"/>
    <n v="162.48079999999999"/>
    <n v="6"/>
    <x v="0"/>
  </r>
  <r>
    <n v="149"/>
    <n v="46"/>
    <x v="0"/>
    <x v="1"/>
    <x v="2"/>
    <s v="Football"/>
    <n v="146.21"/>
    <x v="3"/>
    <s v="Card"/>
    <n v="3.6"/>
    <x v="5"/>
    <n v="134.51320000000001"/>
    <n v="4"/>
    <x v="0"/>
  </r>
  <r>
    <n v="150"/>
    <n v="35"/>
    <x v="0"/>
    <x v="1"/>
    <x v="1"/>
    <s v="T-Shirt"/>
    <n v="115.35"/>
    <x v="2"/>
    <s v="Card"/>
    <n v="4.0999999999999996"/>
    <x v="1"/>
    <n v="100.3545"/>
    <n v="4"/>
    <x v="0"/>
  </r>
  <r>
    <n v="151"/>
    <n v="57"/>
    <x v="0"/>
    <x v="1"/>
    <x v="2"/>
    <s v="Football"/>
    <n v="31.54"/>
    <x v="2"/>
    <s v="Cash on Delivery"/>
    <n v="5"/>
    <x v="6"/>
    <n v="26.493599999999997"/>
    <n v="3"/>
    <x v="1"/>
  </r>
  <r>
    <n v="152"/>
    <n v="35"/>
    <x v="0"/>
    <x v="0"/>
    <x v="7"/>
    <s v="Formal Shoes"/>
    <n v="142.19"/>
    <x v="1"/>
    <s v="Card"/>
    <n v="3.6"/>
    <x v="6"/>
    <n v="119.4396"/>
    <n v="3"/>
    <x v="1"/>
  </r>
  <r>
    <n v="153"/>
    <n v="38"/>
    <x v="0"/>
    <x v="0"/>
    <x v="7"/>
    <s v="Formal Shoes"/>
    <n v="246.21"/>
    <x v="0"/>
    <s v="Card"/>
    <n v="3.1"/>
    <x v="5"/>
    <n v="226.51320000000001"/>
    <n v="4"/>
    <x v="0"/>
  </r>
  <r>
    <n v="154"/>
    <n v="68"/>
    <x v="1"/>
    <x v="1"/>
    <x v="7"/>
    <s v="Sandals"/>
    <n v="194.06"/>
    <x v="1"/>
    <s v="Card"/>
    <n v="3.8"/>
    <x v="0"/>
    <n v="159.12920000000003"/>
    <n v="4"/>
    <x v="0"/>
  </r>
  <r>
    <n v="155"/>
    <n v="66"/>
    <x v="1"/>
    <x v="0"/>
    <x v="0"/>
    <s v="Handbag"/>
    <n v="172.05"/>
    <x v="2"/>
    <s v="Card"/>
    <n v="2.5"/>
    <x v="14"/>
    <n v="142.8015"/>
    <n v="6"/>
    <x v="0"/>
  </r>
  <r>
    <n v="156"/>
    <n v="38"/>
    <x v="0"/>
    <x v="0"/>
    <x v="8"/>
    <s v="Skirt"/>
    <n v="94.08"/>
    <x v="3"/>
    <s v="Cash on Delivery"/>
    <n v="4.0999999999999996"/>
    <x v="10"/>
    <n v="73.382400000000004"/>
    <n v="6"/>
    <x v="0"/>
  </r>
  <r>
    <n v="157"/>
    <n v="20"/>
    <x v="2"/>
    <x v="0"/>
    <x v="8"/>
    <s v="Dress"/>
    <n v="57.01"/>
    <x v="3"/>
    <s v="Card"/>
    <n v="3.1"/>
    <x v="19"/>
    <n v="48.458499999999994"/>
    <n v="5"/>
    <x v="0"/>
  </r>
  <r>
    <n v="158"/>
    <n v="47"/>
    <x v="0"/>
    <x v="0"/>
    <x v="7"/>
    <s v="Formal Shoes"/>
    <n v="130.07"/>
    <x v="1"/>
    <s v="Card"/>
    <n v="3.1"/>
    <x v="1"/>
    <n v="113.1609"/>
    <n v="4"/>
    <x v="0"/>
  </r>
  <r>
    <n v="159"/>
    <n v="62"/>
    <x v="1"/>
    <x v="1"/>
    <x v="1"/>
    <s v="Shirt"/>
    <n v="161.22"/>
    <x v="0"/>
    <s v="Card"/>
    <n v="4.7"/>
    <x v="0"/>
    <n v="132.2004"/>
    <n v="4"/>
    <x v="0"/>
  </r>
  <r>
    <n v="160"/>
    <n v="33"/>
    <x v="0"/>
    <x v="1"/>
    <x v="5"/>
    <s v="Mobile Phone"/>
    <n v="862.41"/>
    <x v="1"/>
    <s v="Card"/>
    <n v="3.5"/>
    <x v="8"/>
    <n v="758.92079999999999"/>
    <n v="6"/>
    <x v="0"/>
  </r>
  <r>
    <n v="161"/>
    <n v="23"/>
    <x v="2"/>
    <x v="1"/>
    <x v="7"/>
    <s v="Formal Shoes"/>
    <n v="157.86000000000001"/>
    <x v="1"/>
    <s v="Card"/>
    <n v="5"/>
    <x v="1"/>
    <n v="137.3382"/>
    <n v="4"/>
    <x v="0"/>
  </r>
  <r>
    <n v="162"/>
    <n v="25"/>
    <x v="2"/>
    <x v="0"/>
    <x v="6"/>
    <s v="Skincare Kit"/>
    <n v="142.94"/>
    <x v="0"/>
    <s v="Card"/>
    <n v="4.5"/>
    <x v="14"/>
    <n v="118.64019999999999"/>
    <n v="6"/>
    <x v="0"/>
  </r>
  <r>
    <n v="163"/>
    <n v="29"/>
    <x v="2"/>
    <x v="1"/>
    <x v="2"/>
    <s v="Football"/>
    <n v="70.31"/>
    <x v="3"/>
    <s v="Cash on Delivery"/>
    <n v="3"/>
    <x v="5"/>
    <n v="64.685200000000009"/>
    <n v="4"/>
    <x v="0"/>
  </r>
  <r>
    <n v="164"/>
    <n v="60"/>
    <x v="0"/>
    <x v="0"/>
    <x v="8"/>
    <s v="Dress"/>
    <n v="34.619999999999997"/>
    <x v="3"/>
    <s v="Card"/>
    <n v="4.2"/>
    <x v="3"/>
    <n v="27.695999999999998"/>
    <n v="5"/>
    <x v="0"/>
  </r>
  <r>
    <n v="165"/>
    <n v="69"/>
    <x v="1"/>
    <x v="1"/>
    <x v="7"/>
    <s v="Sandals"/>
    <n v="82.79"/>
    <x v="3"/>
    <s v="Cash on Delivery"/>
    <n v="5"/>
    <x v="21"/>
    <n v="65.404100000000014"/>
    <n v="8"/>
    <x v="2"/>
  </r>
  <r>
    <n v="166"/>
    <n v="35"/>
    <x v="0"/>
    <x v="1"/>
    <x v="7"/>
    <s v="Formal Shoes"/>
    <n v="75.459999999999994"/>
    <x v="0"/>
    <s v="Card"/>
    <n v="2.5"/>
    <x v="6"/>
    <n v="63.386399999999995"/>
    <n v="3"/>
    <x v="1"/>
  </r>
  <r>
    <n v="167"/>
    <n v="49"/>
    <x v="0"/>
    <x v="0"/>
    <x v="0"/>
    <s v="Handbag"/>
    <n v="148.58000000000001"/>
    <x v="3"/>
    <s v="Card"/>
    <n v="4.3"/>
    <x v="11"/>
    <n v="109.9492"/>
    <n v="8"/>
    <x v="2"/>
  </r>
  <r>
    <n v="168"/>
    <n v="52"/>
    <x v="0"/>
    <x v="0"/>
    <x v="8"/>
    <s v="Top"/>
    <n v="43.5"/>
    <x v="0"/>
    <s v="Cash on Delivery"/>
    <n v="3.4"/>
    <x v="18"/>
    <n v="33.06"/>
    <n v="7"/>
    <x v="0"/>
  </r>
  <r>
    <n v="169"/>
    <n v="28"/>
    <x v="2"/>
    <x v="1"/>
    <x v="1"/>
    <s v="Jacket"/>
    <n v="179.57"/>
    <x v="2"/>
    <s v="Card"/>
    <n v="3.2"/>
    <x v="16"/>
    <n v="168.79579999999999"/>
    <n v="3"/>
    <x v="1"/>
  </r>
  <r>
    <n v="170"/>
    <n v="70"/>
    <x v="1"/>
    <x v="1"/>
    <x v="2"/>
    <s v="Football"/>
    <n v="122.99"/>
    <x v="0"/>
    <s v="Card"/>
    <n v="3.4"/>
    <x v="7"/>
    <n v="110.691"/>
    <n v="5"/>
    <x v="0"/>
  </r>
  <r>
    <n v="171"/>
    <n v="53"/>
    <x v="0"/>
    <x v="0"/>
    <x v="7"/>
    <s v="Sandals"/>
    <n v="76.73"/>
    <x v="0"/>
    <s v="Cash on Delivery"/>
    <n v="5"/>
    <x v="18"/>
    <n v="58.314800000000005"/>
    <n v="7"/>
    <x v="0"/>
  </r>
  <r>
    <n v="172"/>
    <n v="36"/>
    <x v="0"/>
    <x v="1"/>
    <x v="2"/>
    <s v="Football"/>
    <n v="227.24"/>
    <x v="3"/>
    <s v="Card"/>
    <n v="3.4"/>
    <x v="4"/>
    <n v="195.4264"/>
    <n v="2"/>
    <x v="1"/>
  </r>
  <r>
    <n v="173"/>
    <n v="53"/>
    <x v="0"/>
    <x v="0"/>
    <x v="8"/>
    <s v="Jeans"/>
    <n v="94.87"/>
    <x v="2"/>
    <s v="Cash on Delivery"/>
    <n v="3.6"/>
    <x v="1"/>
    <n v="82.536900000000003"/>
    <n v="4"/>
    <x v="0"/>
  </r>
  <r>
    <n v="174"/>
    <n v="38"/>
    <x v="0"/>
    <x v="0"/>
    <x v="8"/>
    <s v="Skirt"/>
    <n v="166.83"/>
    <x v="2"/>
    <s v="Card"/>
    <n v="4.0999999999999996"/>
    <x v="6"/>
    <n v="140.13720000000001"/>
    <n v="3"/>
    <x v="1"/>
  </r>
  <r>
    <n v="175"/>
    <n v="38"/>
    <x v="0"/>
    <x v="1"/>
    <x v="2"/>
    <s v="Yoga Mat"/>
    <n v="52.06"/>
    <x v="2"/>
    <s v="Card"/>
    <n v="2.2999999999999998"/>
    <x v="17"/>
    <n v="49.977600000000002"/>
    <n v="2"/>
    <x v="1"/>
  </r>
  <r>
    <n v="176"/>
    <n v="54"/>
    <x v="0"/>
    <x v="1"/>
    <x v="1"/>
    <s v="Shirt"/>
    <n v="38.18"/>
    <x v="2"/>
    <s v="Cash on Delivery"/>
    <n v="3.5"/>
    <x v="8"/>
    <n v="33.598399999999998"/>
    <n v="6"/>
    <x v="0"/>
  </r>
  <r>
    <n v="177"/>
    <n v="67"/>
    <x v="1"/>
    <x v="0"/>
    <x v="0"/>
    <s v="Wallet"/>
    <n v="156.91"/>
    <x v="3"/>
    <s v="Card"/>
    <n v="3.3"/>
    <x v="5"/>
    <n v="144.35720000000001"/>
    <n v="4"/>
    <x v="0"/>
  </r>
  <r>
    <n v="178"/>
    <n v="36"/>
    <x v="0"/>
    <x v="0"/>
    <x v="6"/>
    <s v="Skincare Kit"/>
    <n v="110.28"/>
    <x v="1"/>
    <s v="Card"/>
    <n v="3.8"/>
    <x v="6"/>
    <n v="92.635199999999998"/>
    <n v="3"/>
    <x v="1"/>
  </r>
  <r>
    <n v="179"/>
    <n v="48"/>
    <x v="0"/>
    <x v="0"/>
    <x v="0"/>
    <s v="Wallet"/>
    <n v="114.67"/>
    <x v="2"/>
    <s v="Card"/>
    <n v="3.5"/>
    <x v="5"/>
    <n v="105.49640000000001"/>
    <n v="4"/>
    <x v="0"/>
  </r>
  <r>
    <n v="180"/>
    <n v="20"/>
    <x v="2"/>
    <x v="0"/>
    <x v="8"/>
    <s v="Top"/>
    <n v="73.25"/>
    <x v="2"/>
    <s v="Card"/>
    <n v="2.5"/>
    <x v="2"/>
    <n v="65.192499999999995"/>
    <n v="3"/>
    <x v="1"/>
  </r>
  <r>
    <n v="181"/>
    <n v="48"/>
    <x v="0"/>
    <x v="1"/>
    <x v="2"/>
    <s v="Yoga Mat"/>
    <n v="162.43"/>
    <x v="3"/>
    <s v="Card"/>
    <n v="3.4"/>
    <x v="2"/>
    <n v="144.56270000000001"/>
    <n v="3"/>
    <x v="1"/>
  </r>
  <r>
    <n v="182"/>
    <n v="40"/>
    <x v="0"/>
    <x v="1"/>
    <x v="1"/>
    <s v="Jeans"/>
    <n v="79.89"/>
    <x v="3"/>
    <s v="Card"/>
    <n v="4.4000000000000004"/>
    <x v="0"/>
    <n v="65.509799999999998"/>
    <n v="4"/>
    <x v="0"/>
  </r>
  <r>
    <n v="183"/>
    <n v="60"/>
    <x v="0"/>
    <x v="1"/>
    <x v="7"/>
    <s v="Formal Shoes"/>
    <n v="248.49"/>
    <x v="0"/>
    <s v="Card"/>
    <n v="4.2"/>
    <x v="16"/>
    <n v="233.5806"/>
    <n v="3"/>
    <x v="1"/>
  </r>
  <r>
    <n v="184"/>
    <n v="52"/>
    <x v="0"/>
    <x v="1"/>
    <x v="2"/>
    <s v="Yoga Mat"/>
    <n v="187.31"/>
    <x v="2"/>
    <s v="Card"/>
    <n v="4.7"/>
    <x v="23"/>
    <n v="174.19829999999999"/>
    <n v="1"/>
    <x v="1"/>
  </r>
  <r>
    <n v="185"/>
    <n v="66"/>
    <x v="1"/>
    <x v="1"/>
    <x v="3"/>
    <s v="Curtains"/>
    <n v="60.91"/>
    <x v="2"/>
    <s v="Card"/>
    <n v="4"/>
    <x v="5"/>
    <n v="56.037199999999999"/>
    <n v="4"/>
    <x v="0"/>
  </r>
  <r>
    <n v="186"/>
    <n v="60"/>
    <x v="0"/>
    <x v="0"/>
    <x v="0"/>
    <s v="Handbag"/>
    <n v="21.62"/>
    <x v="1"/>
    <s v="Cash on Delivery"/>
    <n v="3.8"/>
    <x v="12"/>
    <n v="17.512200000000004"/>
    <n v="7"/>
    <x v="0"/>
  </r>
  <r>
    <n v="187"/>
    <n v="36"/>
    <x v="0"/>
    <x v="1"/>
    <x v="7"/>
    <s v="Sandals"/>
    <n v="142.06"/>
    <x v="0"/>
    <s v="Card"/>
    <n v="3.5"/>
    <x v="17"/>
    <n v="136.3776"/>
    <n v="2"/>
    <x v="1"/>
  </r>
  <r>
    <n v="188"/>
    <n v="57"/>
    <x v="0"/>
    <x v="0"/>
    <x v="0"/>
    <s v="Wallet"/>
    <n v="84.62"/>
    <x v="0"/>
    <s v="Card"/>
    <n v="2.8"/>
    <x v="0"/>
    <n v="69.388400000000004"/>
    <n v="4"/>
    <x v="0"/>
  </r>
  <r>
    <n v="189"/>
    <n v="63"/>
    <x v="1"/>
    <x v="1"/>
    <x v="7"/>
    <s v="Sandals"/>
    <n v="162.26"/>
    <x v="0"/>
    <s v="Card"/>
    <n v="3.5"/>
    <x v="8"/>
    <n v="142.78879999999998"/>
    <n v="6"/>
    <x v="0"/>
  </r>
  <r>
    <n v="190"/>
    <n v="38"/>
    <x v="0"/>
    <x v="1"/>
    <x v="1"/>
    <s v="T-Shirt"/>
    <n v="31.14"/>
    <x v="3"/>
    <s v="Card"/>
    <n v="4.4000000000000004"/>
    <x v="12"/>
    <n v="25.223400000000002"/>
    <n v="7"/>
    <x v="0"/>
  </r>
  <r>
    <n v="191"/>
    <n v="23"/>
    <x v="2"/>
    <x v="1"/>
    <x v="4"/>
    <s v="Cooking Oil"/>
    <n v="7.07"/>
    <x v="1"/>
    <s v="Cash on Delivery"/>
    <n v="3.7"/>
    <x v="0"/>
    <n v="5.7974000000000006"/>
    <n v="4"/>
    <x v="0"/>
  </r>
  <r>
    <n v="192"/>
    <n v="56"/>
    <x v="0"/>
    <x v="0"/>
    <x v="3"/>
    <s v="Lamp"/>
    <n v="157.97999999999999"/>
    <x v="2"/>
    <s v="Card"/>
    <n v="4.8"/>
    <x v="7"/>
    <n v="142.18199999999999"/>
    <n v="5"/>
    <x v="0"/>
  </r>
  <r>
    <n v="193"/>
    <n v="51"/>
    <x v="0"/>
    <x v="0"/>
    <x v="6"/>
    <s v="Skincare Kit"/>
    <n v="82.12"/>
    <x v="2"/>
    <s v="Card"/>
    <n v="3.2"/>
    <x v="1"/>
    <n v="71.444400000000002"/>
    <n v="4"/>
    <x v="0"/>
  </r>
  <r>
    <n v="194"/>
    <n v="65"/>
    <x v="1"/>
    <x v="1"/>
    <x v="2"/>
    <s v="Dumbbells"/>
    <n v="150.47999999999999"/>
    <x v="2"/>
    <s v="Card"/>
    <n v="3.5"/>
    <x v="3"/>
    <n v="120.384"/>
    <n v="5"/>
    <x v="0"/>
  </r>
  <r>
    <n v="195"/>
    <n v="36"/>
    <x v="0"/>
    <x v="1"/>
    <x v="2"/>
    <s v="Yoga Mat"/>
    <n v="153.11000000000001"/>
    <x v="3"/>
    <s v="Card"/>
    <n v="4"/>
    <x v="16"/>
    <n v="143.92340000000002"/>
    <n v="3"/>
    <x v="1"/>
  </r>
  <r>
    <n v="196"/>
    <n v="46"/>
    <x v="0"/>
    <x v="1"/>
    <x v="1"/>
    <s v="Shirt"/>
    <n v="107.94"/>
    <x v="1"/>
    <s v="Card"/>
    <n v="3.8"/>
    <x v="16"/>
    <n v="101.46359999999999"/>
    <n v="3"/>
    <x v="1"/>
  </r>
  <r>
    <n v="197"/>
    <n v="31"/>
    <x v="0"/>
    <x v="0"/>
    <x v="2"/>
    <s v="Yoga Mat"/>
    <n v="245.72"/>
    <x v="2"/>
    <s v="Card"/>
    <n v="4.0999999999999996"/>
    <x v="3"/>
    <n v="196.57600000000002"/>
    <n v="5"/>
    <x v="0"/>
  </r>
  <r>
    <n v="198"/>
    <n v="70"/>
    <x v="1"/>
    <x v="0"/>
    <x v="6"/>
    <s v="Makeup Set"/>
    <n v="79.28"/>
    <x v="2"/>
    <s v="Card"/>
    <n v="2"/>
    <x v="8"/>
    <n v="69.766400000000004"/>
    <n v="6"/>
    <x v="0"/>
  </r>
  <r>
    <n v="199"/>
    <n v="68"/>
    <x v="1"/>
    <x v="1"/>
    <x v="7"/>
    <s v="Sandals"/>
    <n v="225.53"/>
    <x v="1"/>
    <s v="Card"/>
    <n v="4.5"/>
    <x v="1"/>
    <n v="196.21109999999999"/>
    <n v="4"/>
    <x v="0"/>
  </r>
  <r>
    <n v="200"/>
    <n v="29"/>
    <x v="2"/>
    <x v="0"/>
    <x v="6"/>
    <s v="Makeup Set"/>
    <n v="63.34"/>
    <x v="3"/>
    <s v="Card"/>
    <n v="4.5"/>
    <x v="14"/>
    <n v="52.572200000000002"/>
    <n v="6"/>
    <x v="0"/>
  </r>
  <r>
    <n v="201"/>
    <n v="20"/>
    <x v="2"/>
    <x v="0"/>
    <x v="6"/>
    <s v="Perfume"/>
    <n v="38.57"/>
    <x v="1"/>
    <s v="Card"/>
    <n v="4.5999999999999996"/>
    <x v="12"/>
    <n v="31.241700000000002"/>
    <n v="7"/>
    <x v="0"/>
  </r>
  <r>
    <n v="202"/>
    <n v="30"/>
    <x v="2"/>
    <x v="1"/>
    <x v="1"/>
    <s v="T-Shirt"/>
    <n v="128.1"/>
    <x v="3"/>
    <s v="Card"/>
    <n v="3"/>
    <x v="8"/>
    <n v="112.72799999999999"/>
    <n v="1"/>
    <x v="1"/>
  </r>
  <r>
    <n v="203"/>
    <n v="57"/>
    <x v="0"/>
    <x v="0"/>
    <x v="6"/>
    <s v="Perfume"/>
    <n v="129.47"/>
    <x v="1"/>
    <s v="Card"/>
    <n v="4.4000000000000004"/>
    <x v="19"/>
    <n v="110.04949999999999"/>
    <n v="5"/>
    <x v="0"/>
  </r>
  <r>
    <n v="204"/>
    <n v="46"/>
    <x v="0"/>
    <x v="0"/>
    <x v="6"/>
    <s v="Perfume"/>
    <n v="49.38"/>
    <x v="1"/>
    <s v="Cash on Delivery"/>
    <n v="3.4"/>
    <x v="12"/>
    <n v="39.997800000000005"/>
    <n v="7"/>
    <x v="0"/>
  </r>
  <r>
    <n v="205"/>
    <n v="55"/>
    <x v="0"/>
    <x v="0"/>
    <x v="7"/>
    <s v="Formal Shoes"/>
    <n v="90.81"/>
    <x v="0"/>
    <s v="Card"/>
    <n v="4.4000000000000004"/>
    <x v="18"/>
    <n v="69.015600000000006"/>
    <n v="7"/>
    <x v="0"/>
  </r>
  <r>
    <n v="206"/>
    <n v="68"/>
    <x v="1"/>
    <x v="1"/>
    <x v="4"/>
    <s v="Cooking Oil"/>
    <n v="63.73"/>
    <x v="2"/>
    <s v="Card"/>
    <n v="4.5"/>
    <x v="18"/>
    <n v="48.434799999999996"/>
    <n v="7"/>
    <x v="0"/>
  </r>
  <r>
    <n v="207"/>
    <n v="62"/>
    <x v="1"/>
    <x v="1"/>
    <x v="1"/>
    <s v="T-Shirt"/>
    <n v="127.21"/>
    <x v="0"/>
    <s v="Card"/>
    <n v="4.9000000000000004"/>
    <x v="4"/>
    <n v="109.4006"/>
    <n v="7"/>
    <x v="0"/>
  </r>
  <r>
    <n v="208"/>
    <n v="29"/>
    <x v="2"/>
    <x v="1"/>
    <x v="4"/>
    <s v="Snacks"/>
    <n v="54.98"/>
    <x v="0"/>
    <s v="Cash on Delivery"/>
    <n v="2.9"/>
    <x v="6"/>
    <n v="46.183199999999992"/>
    <n v="8"/>
    <x v="2"/>
  </r>
  <r>
    <n v="209"/>
    <n v="58"/>
    <x v="0"/>
    <x v="0"/>
    <x v="0"/>
    <s v="Sunglasses"/>
    <n v="37.76"/>
    <x v="0"/>
    <s v="Card"/>
    <n v="3.5"/>
    <x v="4"/>
    <n v="32.473599999999998"/>
    <n v="2"/>
    <x v="1"/>
  </r>
  <r>
    <n v="210"/>
    <n v="50"/>
    <x v="0"/>
    <x v="0"/>
    <x v="6"/>
    <s v="Makeup Set"/>
    <n v="81.400000000000006"/>
    <x v="1"/>
    <s v="Cash on Delivery"/>
    <n v="4.9000000000000004"/>
    <x v="3"/>
    <n v="65.12"/>
    <n v="5"/>
    <x v="0"/>
  </r>
  <r>
    <n v="211"/>
    <n v="22"/>
    <x v="2"/>
    <x v="0"/>
    <x v="7"/>
    <s v="Sneakers"/>
    <n v="183.26"/>
    <x v="2"/>
    <s v="Card"/>
    <n v="2.4"/>
    <x v="16"/>
    <n v="172.26439999999999"/>
    <n v="3"/>
    <x v="1"/>
  </r>
  <r>
    <n v="212"/>
    <n v="29"/>
    <x v="2"/>
    <x v="0"/>
    <x v="8"/>
    <s v="Jeans"/>
    <n v="172.51"/>
    <x v="0"/>
    <s v="Card"/>
    <n v="3.8"/>
    <x v="1"/>
    <n v="150.08369999999999"/>
    <n v="4"/>
    <x v="0"/>
  </r>
  <r>
    <n v="213"/>
    <n v="43"/>
    <x v="0"/>
    <x v="1"/>
    <x v="2"/>
    <s v="Yoga Mat"/>
    <n v="141.78"/>
    <x v="2"/>
    <s v="Card"/>
    <n v="2.9"/>
    <x v="18"/>
    <n v="107.75280000000001"/>
    <n v="7"/>
    <x v="0"/>
  </r>
  <r>
    <n v="214"/>
    <n v="25"/>
    <x v="2"/>
    <x v="1"/>
    <x v="4"/>
    <s v="Rice Pack"/>
    <n v="62.99"/>
    <x v="0"/>
    <s v="Card"/>
    <n v="2.9"/>
    <x v="6"/>
    <n v="52.9116"/>
    <n v="3"/>
    <x v="1"/>
  </r>
  <r>
    <n v="215"/>
    <n v="32"/>
    <x v="0"/>
    <x v="1"/>
    <x v="7"/>
    <s v="Sneakers"/>
    <n v="154.86000000000001"/>
    <x v="1"/>
    <s v="Card"/>
    <n v="4.0999999999999996"/>
    <x v="0"/>
    <n v="126.98520000000002"/>
    <n v="4"/>
    <x v="0"/>
  </r>
  <r>
    <n v="216"/>
    <n v="47"/>
    <x v="0"/>
    <x v="1"/>
    <x v="7"/>
    <s v="Formal Shoes"/>
    <n v="162.26"/>
    <x v="0"/>
    <s v="Card"/>
    <n v="4"/>
    <x v="12"/>
    <n v="131.4306"/>
    <n v="7"/>
    <x v="0"/>
  </r>
  <r>
    <n v="217"/>
    <n v="26"/>
    <x v="2"/>
    <x v="0"/>
    <x v="6"/>
    <s v="Makeup Set"/>
    <n v="60.97"/>
    <x v="1"/>
    <s v="Card"/>
    <n v="4.5999999999999996"/>
    <x v="21"/>
    <n v="48.1663"/>
    <n v="8"/>
    <x v="2"/>
  </r>
  <r>
    <n v="218"/>
    <n v="69"/>
    <x v="1"/>
    <x v="0"/>
    <x v="4"/>
    <s v="Beverages"/>
    <n v="52.32"/>
    <x v="2"/>
    <s v="Cash on Delivery"/>
    <n v="3.6"/>
    <x v="7"/>
    <n v="47.088000000000001"/>
    <n v="5"/>
    <x v="0"/>
  </r>
  <r>
    <n v="219"/>
    <n v="25"/>
    <x v="2"/>
    <x v="0"/>
    <x v="8"/>
    <s v="Top"/>
    <n v="122.97"/>
    <x v="0"/>
    <s v="Card"/>
    <n v="4.3"/>
    <x v="18"/>
    <n v="93.4572"/>
    <n v="7"/>
    <x v="0"/>
  </r>
  <r>
    <n v="220"/>
    <n v="63"/>
    <x v="1"/>
    <x v="0"/>
    <x v="2"/>
    <s v="Dumbbells"/>
    <n v="245.76"/>
    <x v="1"/>
    <s v="Card"/>
    <n v="4"/>
    <x v="1"/>
    <n v="213.81119999999999"/>
    <n v="4"/>
    <x v="0"/>
  </r>
  <r>
    <n v="221"/>
    <n v="45"/>
    <x v="0"/>
    <x v="0"/>
    <x v="2"/>
    <s v="Football"/>
    <n v="229.28"/>
    <x v="0"/>
    <s v="Card"/>
    <n v="4.9000000000000004"/>
    <x v="6"/>
    <n v="192.59520000000001"/>
    <n v="8"/>
    <x v="2"/>
  </r>
  <r>
    <n v="222"/>
    <n v="43"/>
    <x v="0"/>
    <x v="0"/>
    <x v="8"/>
    <s v="Jeans"/>
    <n v="32.06"/>
    <x v="3"/>
    <s v="Card"/>
    <n v="3.5"/>
    <x v="23"/>
    <n v="29.815799999999999"/>
    <n v="1"/>
    <x v="1"/>
  </r>
  <r>
    <n v="223"/>
    <n v="40"/>
    <x v="0"/>
    <x v="0"/>
    <x v="7"/>
    <s v="Formal Shoes"/>
    <n v="148.08000000000001"/>
    <x v="2"/>
    <s v="Card"/>
    <n v="3.7"/>
    <x v="7"/>
    <n v="133.27200000000002"/>
    <n v="5"/>
    <x v="0"/>
  </r>
  <r>
    <n v="224"/>
    <n v="48"/>
    <x v="0"/>
    <x v="1"/>
    <x v="2"/>
    <s v="Football"/>
    <n v="32.340000000000003"/>
    <x v="2"/>
    <s v="Cash on Delivery"/>
    <n v="4.0999999999999996"/>
    <x v="16"/>
    <n v="30.399600000000003"/>
    <n v="3"/>
    <x v="1"/>
  </r>
  <r>
    <n v="225"/>
    <n v="39"/>
    <x v="0"/>
    <x v="1"/>
    <x v="2"/>
    <s v="Football"/>
    <n v="79.09"/>
    <x v="2"/>
    <s v="Card"/>
    <n v="4"/>
    <x v="5"/>
    <n v="72.762800000000013"/>
    <n v="4"/>
    <x v="0"/>
  </r>
  <r>
    <n v="226"/>
    <n v="23"/>
    <x v="2"/>
    <x v="1"/>
    <x v="2"/>
    <s v="Dumbbells"/>
    <n v="121.19"/>
    <x v="0"/>
    <s v="Card"/>
    <n v="3.2"/>
    <x v="14"/>
    <n v="100.5877"/>
    <n v="6"/>
    <x v="0"/>
  </r>
  <r>
    <n v="227"/>
    <n v="42"/>
    <x v="0"/>
    <x v="0"/>
    <x v="8"/>
    <s v="Jeans"/>
    <n v="64.760000000000005"/>
    <x v="3"/>
    <s v="Card"/>
    <n v="3.7"/>
    <x v="2"/>
    <n v="57.636400000000009"/>
    <n v="3"/>
    <x v="1"/>
  </r>
  <r>
    <n v="228"/>
    <n v="43"/>
    <x v="0"/>
    <x v="1"/>
    <x v="5"/>
    <s v="Smart Watch"/>
    <n v="2234.0500000000002"/>
    <x v="3"/>
    <s v="Card"/>
    <n v="4.2"/>
    <x v="8"/>
    <n v="1965.9640000000002"/>
    <n v="6"/>
    <x v="0"/>
  </r>
  <r>
    <n v="229"/>
    <n v="60"/>
    <x v="0"/>
    <x v="1"/>
    <x v="2"/>
    <s v="Yoga Mat"/>
    <n v="106.49"/>
    <x v="3"/>
    <s v="Card"/>
    <n v="3.4"/>
    <x v="6"/>
    <n v="89.451599999999999"/>
    <n v="3"/>
    <x v="1"/>
  </r>
  <r>
    <n v="230"/>
    <n v="55"/>
    <x v="0"/>
    <x v="1"/>
    <x v="5"/>
    <s v="Headphones"/>
    <n v="2024.08"/>
    <x v="3"/>
    <s v="Card"/>
    <n v="3.2"/>
    <x v="0"/>
    <n v="1659.7456"/>
    <n v="4"/>
    <x v="0"/>
  </r>
  <r>
    <n v="231"/>
    <n v="55"/>
    <x v="0"/>
    <x v="1"/>
    <x v="1"/>
    <s v="Shirt"/>
    <n v="122.22"/>
    <x v="3"/>
    <s v="Card"/>
    <n v="4.0999999999999996"/>
    <x v="1"/>
    <n v="106.3314"/>
    <n v="4"/>
    <x v="0"/>
  </r>
  <r>
    <n v="232"/>
    <n v="51"/>
    <x v="0"/>
    <x v="0"/>
    <x v="6"/>
    <s v="Perfume"/>
    <n v="112.88"/>
    <x v="0"/>
    <s v="Card"/>
    <n v="4.9000000000000004"/>
    <x v="10"/>
    <n v="88.046400000000006"/>
    <n v="6"/>
    <x v="0"/>
  </r>
  <r>
    <n v="233"/>
    <n v="58"/>
    <x v="0"/>
    <x v="1"/>
    <x v="7"/>
    <s v="Sandals"/>
    <n v="66.28"/>
    <x v="2"/>
    <s v="Cash on Delivery"/>
    <n v="2.7"/>
    <x v="16"/>
    <n v="62.303199999999997"/>
    <n v="3"/>
    <x v="1"/>
  </r>
  <r>
    <n v="234"/>
    <n v="22"/>
    <x v="2"/>
    <x v="1"/>
    <x v="2"/>
    <s v="Dumbbells"/>
    <n v="122.95"/>
    <x v="0"/>
    <s v="Card"/>
    <n v="3.1"/>
    <x v="10"/>
    <n v="95.90100000000001"/>
    <n v="6"/>
    <x v="0"/>
  </r>
  <r>
    <n v="235"/>
    <n v="54"/>
    <x v="0"/>
    <x v="0"/>
    <x v="6"/>
    <s v="Makeup Set"/>
    <n v="129.63"/>
    <x v="1"/>
    <s v="Card"/>
    <n v="5"/>
    <x v="7"/>
    <n v="116.667"/>
    <n v="5"/>
    <x v="0"/>
  </r>
  <r>
    <n v="236"/>
    <n v="59"/>
    <x v="0"/>
    <x v="1"/>
    <x v="1"/>
    <s v="Jacket"/>
    <n v="191.92"/>
    <x v="0"/>
    <s v="Card"/>
    <n v="3.9"/>
    <x v="21"/>
    <n v="151.61679999999998"/>
    <n v="8"/>
    <x v="2"/>
  </r>
  <r>
    <n v="237"/>
    <n v="22"/>
    <x v="2"/>
    <x v="0"/>
    <x v="0"/>
    <s v="Sunglasses"/>
    <n v="21.95"/>
    <x v="2"/>
    <s v="Cash on Delivery"/>
    <n v="3.6"/>
    <x v="6"/>
    <n v="18.437999999999999"/>
    <n v="3"/>
    <x v="1"/>
  </r>
  <r>
    <n v="238"/>
    <n v="24"/>
    <x v="2"/>
    <x v="1"/>
    <x v="5"/>
    <s v="Mobile Phone"/>
    <n v="1117.83"/>
    <x v="3"/>
    <s v="Card"/>
    <n v="2.9"/>
    <x v="1"/>
    <n v="972.51209999999992"/>
    <n v="4"/>
    <x v="0"/>
  </r>
  <r>
    <n v="239"/>
    <n v="58"/>
    <x v="0"/>
    <x v="0"/>
    <x v="7"/>
    <s v="Formal Shoes"/>
    <n v="194.03"/>
    <x v="1"/>
    <s v="Card"/>
    <n v="3"/>
    <x v="21"/>
    <n v="153.28370000000001"/>
    <n v="8"/>
    <x v="2"/>
  </r>
  <r>
    <n v="240"/>
    <n v="24"/>
    <x v="2"/>
    <x v="0"/>
    <x v="6"/>
    <s v="Makeup Set"/>
    <n v="111.59"/>
    <x v="3"/>
    <s v="Card"/>
    <n v="3.7"/>
    <x v="5"/>
    <n v="102.6628"/>
    <n v="4"/>
    <x v="0"/>
  </r>
  <r>
    <n v="241"/>
    <n v="35"/>
    <x v="0"/>
    <x v="0"/>
    <x v="8"/>
    <s v="Top"/>
    <n v="194.65"/>
    <x v="0"/>
    <s v="Card"/>
    <n v="3.6"/>
    <x v="13"/>
    <n v="177.13150000000002"/>
    <n v="2"/>
    <x v="1"/>
  </r>
  <r>
    <n v="242"/>
    <n v="63"/>
    <x v="1"/>
    <x v="1"/>
    <x v="7"/>
    <s v="Formal Shoes"/>
    <n v="96.15"/>
    <x v="2"/>
    <s v="Card"/>
    <n v="3.2"/>
    <x v="13"/>
    <n v="87.496500000000012"/>
    <n v="2"/>
    <x v="1"/>
  </r>
  <r>
    <n v="243"/>
    <n v="51"/>
    <x v="0"/>
    <x v="0"/>
    <x v="0"/>
    <s v="Sunglasses"/>
    <n v="115.63"/>
    <x v="2"/>
    <s v="Card"/>
    <n v="2.9"/>
    <x v="12"/>
    <n v="93.660300000000007"/>
    <n v="7"/>
    <x v="0"/>
  </r>
  <r>
    <n v="244"/>
    <n v="47"/>
    <x v="0"/>
    <x v="1"/>
    <x v="2"/>
    <s v="Football"/>
    <n v="146.94999999999999"/>
    <x v="1"/>
    <s v="Card"/>
    <n v="5"/>
    <x v="18"/>
    <n v="111.68199999999999"/>
    <n v="7"/>
    <x v="0"/>
  </r>
  <r>
    <n v="245"/>
    <n v="69"/>
    <x v="1"/>
    <x v="1"/>
    <x v="5"/>
    <s v="Headphones"/>
    <n v="2517.9699999999998"/>
    <x v="0"/>
    <s v="Card"/>
    <n v="4.3"/>
    <x v="24"/>
    <n v="1812.9383999999998"/>
    <n v="9"/>
    <x v="2"/>
  </r>
  <r>
    <n v="246"/>
    <n v="66"/>
    <x v="1"/>
    <x v="0"/>
    <x v="6"/>
    <s v="Makeup Set"/>
    <n v="55.2"/>
    <x v="3"/>
    <s v="Card"/>
    <n v="3.6"/>
    <x v="2"/>
    <n v="49.128"/>
    <n v="3"/>
    <x v="1"/>
  </r>
  <r>
    <n v="247"/>
    <n v="35"/>
    <x v="0"/>
    <x v="0"/>
    <x v="0"/>
    <s v="Wallet"/>
    <n v="161.59"/>
    <x v="1"/>
    <s v="Card"/>
    <n v="3.4"/>
    <x v="10"/>
    <n v="126.04020000000001"/>
    <n v="6"/>
    <x v="0"/>
  </r>
  <r>
    <n v="248"/>
    <n v="36"/>
    <x v="0"/>
    <x v="1"/>
    <x v="7"/>
    <s v="Sneakers"/>
    <n v="110.06"/>
    <x v="1"/>
    <s v="Card"/>
    <n v="3.9"/>
    <x v="12"/>
    <n v="89.148600000000002"/>
    <n v="7"/>
    <x v="0"/>
  </r>
  <r>
    <n v="249"/>
    <n v="59"/>
    <x v="0"/>
    <x v="0"/>
    <x v="0"/>
    <s v="Handbag"/>
    <n v="145.44"/>
    <x v="3"/>
    <s v="Card"/>
    <n v="4.5"/>
    <x v="10"/>
    <n v="113.4432"/>
    <n v="6"/>
    <x v="0"/>
  </r>
  <r>
    <n v="250"/>
    <n v="20"/>
    <x v="2"/>
    <x v="1"/>
    <x v="1"/>
    <s v="Jeans"/>
    <n v="99.49"/>
    <x v="0"/>
    <s v="Cash on Delivery"/>
    <n v="3.8"/>
    <x v="0"/>
    <n v="81.581800000000001"/>
    <n v="9"/>
    <x v="2"/>
  </r>
  <r>
    <n v="251"/>
    <n v="46"/>
    <x v="0"/>
    <x v="0"/>
    <x v="6"/>
    <s v="Skincare Kit"/>
    <n v="116.53"/>
    <x v="2"/>
    <s v="Card"/>
    <n v="4.2"/>
    <x v="8"/>
    <n v="102.54640000000001"/>
    <n v="6"/>
    <x v="0"/>
  </r>
  <r>
    <n v="252"/>
    <n v="68"/>
    <x v="1"/>
    <x v="1"/>
    <x v="1"/>
    <s v="Jacket"/>
    <n v="170.91"/>
    <x v="2"/>
    <s v="Card"/>
    <n v="3.8"/>
    <x v="4"/>
    <n v="146.98259999999999"/>
    <n v="7"/>
    <x v="0"/>
  </r>
  <r>
    <n v="253"/>
    <n v="66"/>
    <x v="1"/>
    <x v="1"/>
    <x v="2"/>
    <s v="Yoga Mat"/>
    <n v="111.58"/>
    <x v="0"/>
    <s v="Card"/>
    <n v="3.4"/>
    <x v="21"/>
    <n v="88.148200000000003"/>
    <n v="8"/>
    <x v="2"/>
  </r>
  <r>
    <n v="254"/>
    <n v="70"/>
    <x v="1"/>
    <x v="0"/>
    <x v="3"/>
    <s v="Kitchen Set"/>
    <n v="96.25"/>
    <x v="0"/>
    <s v="Cash on Delivery"/>
    <n v="2.9"/>
    <x v="4"/>
    <n v="82.775000000000006"/>
    <n v="2"/>
    <x v="1"/>
  </r>
  <r>
    <n v="255"/>
    <n v="43"/>
    <x v="0"/>
    <x v="0"/>
    <x v="6"/>
    <s v="Perfume"/>
    <n v="118"/>
    <x v="2"/>
    <s v="Card"/>
    <n v="4.0999999999999996"/>
    <x v="8"/>
    <n v="103.84"/>
    <n v="6"/>
    <x v="0"/>
  </r>
  <r>
    <n v="256"/>
    <n v="67"/>
    <x v="1"/>
    <x v="1"/>
    <x v="5"/>
    <s v="Laptop"/>
    <n v="1597.74"/>
    <x v="3"/>
    <s v="Card"/>
    <n v="5"/>
    <x v="25"/>
    <n v="1118.4179999999999"/>
    <n v="10"/>
    <x v="2"/>
  </r>
  <r>
    <n v="257"/>
    <n v="48"/>
    <x v="0"/>
    <x v="1"/>
    <x v="1"/>
    <s v="T-Shirt"/>
    <n v="179.87"/>
    <x v="3"/>
    <s v="Card"/>
    <n v="3.7"/>
    <x v="14"/>
    <n v="149.2921"/>
    <n v="6"/>
    <x v="0"/>
  </r>
  <r>
    <n v="258"/>
    <n v="38"/>
    <x v="0"/>
    <x v="0"/>
    <x v="0"/>
    <s v="Sunglasses"/>
    <n v="22.14"/>
    <x v="0"/>
    <s v="Cash on Delivery"/>
    <n v="4.7"/>
    <x v="13"/>
    <n v="20.147400000000001"/>
    <n v="2"/>
    <x v="1"/>
  </r>
  <r>
    <n v="259"/>
    <n v="41"/>
    <x v="0"/>
    <x v="0"/>
    <x v="6"/>
    <s v="Perfume"/>
    <n v="28.65"/>
    <x v="3"/>
    <s v="Card"/>
    <n v="2.2999999999999998"/>
    <x v="5"/>
    <n v="26.358000000000001"/>
    <n v="4"/>
    <x v="0"/>
  </r>
  <r>
    <n v="260"/>
    <n v="33"/>
    <x v="0"/>
    <x v="0"/>
    <x v="0"/>
    <s v="Wallet"/>
    <n v="79.92"/>
    <x v="3"/>
    <s v="Cash on Delivery"/>
    <n v="4.2"/>
    <x v="4"/>
    <n v="68.731200000000001"/>
    <n v="2"/>
    <x v="1"/>
  </r>
  <r>
    <n v="261"/>
    <n v="21"/>
    <x v="2"/>
    <x v="0"/>
    <x v="6"/>
    <s v="Perfume"/>
    <n v="124.58"/>
    <x v="3"/>
    <s v="Card"/>
    <n v="4.3"/>
    <x v="12"/>
    <n v="100.9098"/>
    <n v="7"/>
    <x v="0"/>
  </r>
  <r>
    <n v="262"/>
    <n v="26"/>
    <x v="2"/>
    <x v="0"/>
    <x v="3"/>
    <s v="Lamp"/>
    <n v="72.84"/>
    <x v="3"/>
    <s v="Card"/>
    <n v="3.1"/>
    <x v="4"/>
    <n v="62.642400000000002"/>
    <n v="7"/>
    <x v="0"/>
  </r>
  <r>
    <n v="263"/>
    <n v="35"/>
    <x v="0"/>
    <x v="0"/>
    <x v="6"/>
    <s v="Skincare Kit"/>
    <n v="47.94"/>
    <x v="1"/>
    <s v="Card"/>
    <n v="3.6"/>
    <x v="1"/>
    <n v="41.707799999999999"/>
    <n v="4"/>
    <x v="0"/>
  </r>
  <r>
    <n v="264"/>
    <n v="51"/>
    <x v="0"/>
    <x v="1"/>
    <x v="1"/>
    <s v="Shirt"/>
    <n v="74.89"/>
    <x v="1"/>
    <s v="Cash on Delivery"/>
    <n v="3.2"/>
    <x v="10"/>
    <n v="58.414200000000001"/>
    <n v="6"/>
    <x v="0"/>
  </r>
  <r>
    <n v="265"/>
    <n v="58"/>
    <x v="0"/>
    <x v="1"/>
    <x v="2"/>
    <s v="Dumbbells"/>
    <n v="246.24"/>
    <x v="2"/>
    <s v="Card"/>
    <n v="3.5"/>
    <x v="8"/>
    <n v="216.69120000000001"/>
    <n v="6"/>
    <x v="0"/>
  </r>
  <r>
    <n v="266"/>
    <n v="65"/>
    <x v="1"/>
    <x v="0"/>
    <x v="6"/>
    <s v="Makeup Set"/>
    <n v="135.46"/>
    <x v="0"/>
    <s v="Card"/>
    <n v="4.3"/>
    <x v="18"/>
    <n v="102.9496"/>
    <n v="7"/>
    <x v="0"/>
  </r>
  <r>
    <n v="267"/>
    <n v="31"/>
    <x v="0"/>
    <x v="1"/>
    <x v="7"/>
    <s v="Sneakers"/>
    <n v="220.18"/>
    <x v="1"/>
    <s v="Card"/>
    <n v="3.4"/>
    <x v="16"/>
    <n v="206.9692"/>
    <n v="3"/>
    <x v="1"/>
  </r>
  <r>
    <n v="268"/>
    <n v="67"/>
    <x v="1"/>
    <x v="1"/>
    <x v="1"/>
    <s v="Jacket"/>
    <n v="159.94"/>
    <x v="2"/>
    <s v="Card"/>
    <n v="4.5"/>
    <x v="7"/>
    <n v="143.946"/>
    <n v="5"/>
    <x v="0"/>
  </r>
  <r>
    <n v="269"/>
    <n v="29"/>
    <x v="2"/>
    <x v="1"/>
    <x v="5"/>
    <s v="Laptop"/>
    <n v="2391.83"/>
    <x v="2"/>
    <s v="Card"/>
    <n v="3.4"/>
    <x v="4"/>
    <n v="2056.9737999999998"/>
    <n v="7"/>
    <x v="0"/>
  </r>
  <r>
    <n v="270"/>
    <n v="31"/>
    <x v="0"/>
    <x v="0"/>
    <x v="6"/>
    <s v="Makeup Set"/>
    <n v="112.96"/>
    <x v="0"/>
    <s v="Card"/>
    <n v="5"/>
    <x v="1"/>
    <n v="98.275199999999998"/>
    <n v="4"/>
    <x v="0"/>
  </r>
  <r>
    <n v="271"/>
    <n v="42"/>
    <x v="0"/>
    <x v="1"/>
    <x v="4"/>
    <s v="Snacks"/>
    <n v="56.82"/>
    <x v="1"/>
    <s v="Card"/>
    <n v="5"/>
    <x v="14"/>
    <n v="47.160599999999995"/>
    <n v="6"/>
    <x v="0"/>
  </r>
  <r>
    <n v="272"/>
    <n v="33"/>
    <x v="0"/>
    <x v="0"/>
    <x v="4"/>
    <s v="Snacks"/>
    <n v="17.86"/>
    <x v="0"/>
    <s v="Cash on Delivery"/>
    <n v="3.7"/>
    <x v="25"/>
    <n v="12.501999999999999"/>
    <n v="10"/>
    <x v="2"/>
  </r>
  <r>
    <n v="273"/>
    <n v="59"/>
    <x v="0"/>
    <x v="1"/>
    <x v="4"/>
    <s v="Beverages"/>
    <n v="22.31"/>
    <x v="1"/>
    <s v="Card"/>
    <n v="3.9"/>
    <x v="24"/>
    <n v="16.063199999999998"/>
    <n v="9"/>
    <x v="2"/>
  </r>
  <r>
    <n v="274"/>
    <n v="36"/>
    <x v="0"/>
    <x v="1"/>
    <x v="5"/>
    <s v="Smart Watch"/>
    <n v="2851.93"/>
    <x v="0"/>
    <s v="Card"/>
    <n v="3.4"/>
    <x v="5"/>
    <n v="2623.7755999999999"/>
    <n v="4"/>
    <x v="0"/>
  </r>
  <r>
    <n v="275"/>
    <n v="61"/>
    <x v="1"/>
    <x v="0"/>
    <x v="8"/>
    <s v="Skirt"/>
    <n v="164.2"/>
    <x v="0"/>
    <s v="Card"/>
    <n v="3.6"/>
    <x v="2"/>
    <n v="146.13800000000001"/>
    <n v="3"/>
    <x v="1"/>
  </r>
  <r>
    <n v="276"/>
    <n v="22"/>
    <x v="2"/>
    <x v="1"/>
    <x v="2"/>
    <s v="Dumbbells"/>
    <n v="204.62"/>
    <x v="0"/>
    <s v="Card"/>
    <n v="3.3"/>
    <x v="6"/>
    <n v="171.88079999999999"/>
    <n v="3"/>
    <x v="1"/>
  </r>
  <r>
    <n v="277"/>
    <n v="68"/>
    <x v="1"/>
    <x v="0"/>
    <x v="7"/>
    <s v="Sneakers"/>
    <n v="75.72"/>
    <x v="1"/>
    <s v="Cash on Delivery"/>
    <n v="4.3"/>
    <x v="3"/>
    <n v="60.576000000000001"/>
    <n v="5"/>
    <x v="0"/>
  </r>
  <r>
    <n v="278"/>
    <n v="24"/>
    <x v="2"/>
    <x v="0"/>
    <x v="7"/>
    <s v="Formal Shoes"/>
    <n v="105.45"/>
    <x v="3"/>
    <s v="Card"/>
    <n v="2.2999999999999998"/>
    <x v="26"/>
    <n v="100.17749999999999"/>
    <n v="0"/>
    <x v="1"/>
  </r>
  <r>
    <n v="279"/>
    <n v="36"/>
    <x v="0"/>
    <x v="1"/>
    <x v="7"/>
    <s v="Formal Shoes"/>
    <n v="212.7"/>
    <x v="0"/>
    <s v="Card"/>
    <n v="4"/>
    <x v="0"/>
    <n v="174.41400000000002"/>
    <n v="4"/>
    <x v="0"/>
  </r>
  <r>
    <n v="280"/>
    <n v="28"/>
    <x v="2"/>
    <x v="0"/>
    <x v="0"/>
    <s v="Handbag"/>
    <n v="98.3"/>
    <x v="0"/>
    <s v="Card"/>
    <n v="3.3"/>
    <x v="18"/>
    <n v="74.707999999999998"/>
    <n v="7"/>
    <x v="0"/>
  </r>
  <r>
    <n v="281"/>
    <n v="59"/>
    <x v="0"/>
    <x v="1"/>
    <x v="5"/>
    <s v="Laptop"/>
    <n v="1775.37"/>
    <x v="2"/>
    <s v="Card"/>
    <n v="3.2"/>
    <x v="6"/>
    <n v="1491.3107999999997"/>
    <n v="8"/>
    <x v="2"/>
  </r>
  <r>
    <n v="282"/>
    <n v="53"/>
    <x v="0"/>
    <x v="0"/>
    <x v="6"/>
    <s v="Makeup Set"/>
    <n v="146.09"/>
    <x v="3"/>
    <s v="Card"/>
    <n v="3.2"/>
    <x v="7"/>
    <n v="131.48099999999999"/>
    <n v="5"/>
    <x v="0"/>
  </r>
  <r>
    <n v="283"/>
    <n v="50"/>
    <x v="0"/>
    <x v="1"/>
    <x v="1"/>
    <s v="T-Shirt"/>
    <n v="144.37"/>
    <x v="2"/>
    <s v="Card"/>
    <n v="4.5999999999999996"/>
    <x v="5"/>
    <n v="132.82040000000001"/>
    <n v="4"/>
    <x v="0"/>
  </r>
  <r>
    <n v="284"/>
    <n v="39"/>
    <x v="0"/>
    <x v="0"/>
    <x v="8"/>
    <s v="Jeans"/>
    <n v="107.92"/>
    <x v="0"/>
    <s v="Card"/>
    <n v="4.9000000000000004"/>
    <x v="1"/>
    <n v="93.8904"/>
    <n v="4"/>
    <x v="0"/>
  </r>
  <r>
    <n v="285"/>
    <n v="27"/>
    <x v="2"/>
    <x v="1"/>
    <x v="7"/>
    <s v="Sneakers"/>
    <n v="138.29"/>
    <x v="3"/>
    <s v="Card"/>
    <n v="3.6"/>
    <x v="4"/>
    <n v="118.92939999999999"/>
    <n v="7"/>
    <x v="0"/>
  </r>
  <r>
    <n v="286"/>
    <n v="40"/>
    <x v="0"/>
    <x v="0"/>
    <x v="0"/>
    <s v="Handbag"/>
    <n v="101.69"/>
    <x v="2"/>
    <s v="Card"/>
    <n v="5"/>
    <x v="7"/>
    <n v="91.521000000000001"/>
    <n v="5"/>
    <x v="0"/>
  </r>
  <r>
    <n v="287"/>
    <n v="28"/>
    <x v="2"/>
    <x v="0"/>
    <x v="7"/>
    <s v="Sandals"/>
    <n v="198.28"/>
    <x v="0"/>
    <s v="Card"/>
    <n v="3.6"/>
    <x v="3"/>
    <n v="158.62400000000002"/>
    <n v="5"/>
    <x v="0"/>
  </r>
  <r>
    <n v="288"/>
    <n v="61"/>
    <x v="1"/>
    <x v="0"/>
    <x v="2"/>
    <s v="Dumbbells"/>
    <n v="171.59"/>
    <x v="2"/>
    <s v="Card"/>
    <n v="3"/>
    <x v="6"/>
    <n v="144.13560000000001"/>
    <n v="8"/>
    <x v="2"/>
  </r>
  <r>
    <n v="289"/>
    <n v="54"/>
    <x v="0"/>
    <x v="1"/>
    <x v="5"/>
    <s v="Laptop"/>
    <n v="2903.73"/>
    <x v="1"/>
    <s v="Card"/>
    <n v="3.7"/>
    <x v="25"/>
    <n v="2032.6109999999999"/>
    <n v="10"/>
    <x v="2"/>
  </r>
  <r>
    <n v="290"/>
    <n v="51"/>
    <x v="0"/>
    <x v="1"/>
    <x v="7"/>
    <s v="Formal Shoes"/>
    <n v="206.84"/>
    <x v="3"/>
    <s v="Card"/>
    <n v="2.2000000000000002"/>
    <x v="5"/>
    <n v="190.2928"/>
    <n v="4"/>
    <x v="0"/>
  </r>
  <r>
    <n v="291"/>
    <n v="31"/>
    <x v="0"/>
    <x v="0"/>
    <x v="8"/>
    <s v="Jeans"/>
    <n v="63.74"/>
    <x v="0"/>
    <s v="Cash on Delivery"/>
    <n v="3.7"/>
    <x v="5"/>
    <n v="58.640800000000006"/>
    <n v="4"/>
    <x v="0"/>
  </r>
  <r>
    <n v="292"/>
    <n v="61"/>
    <x v="1"/>
    <x v="1"/>
    <x v="2"/>
    <s v="Yoga Mat"/>
    <n v="64.87"/>
    <x v="3"/>
    <s v="Cash on Delivery"/>
    <n v="1.8"/>
    <x v="10"/>
    <n v="50.598600000000005"/>
    <n v="6"/>
    <x v="0"/>
  </r>
  <r>
    <n v="293"/>
    <n v="50"/>
    <x v="0"/>
    <x v="0"/>
    <x v="0"/>
    <s v="Sunglasses"/>
    <n v="67.819999999999993"/>
    <x v="1"/>
    <s v="Card"/>
    <n v="2.5"/>
    <x v="4"/>
    <n v="58.325199999999995"/>
    <n v="7"/>
    <x v="0"/>
  </r>
  <r>
    <n v="294"/>
    <n v="65"/>
    <x v="1"/>
    <x v="0"/>
    <x v="6"/>
    <s v="Skincare Kit"/>
    <n v="95.87"/>
    <x v="0"/>
    <s v="Card"/>
    <n v="4"/>
    <x v="4"/>
    <n v="82.4482"/>
    <n v="2"/>
    <x v="1"/>
  </r>
  <r>
    <n v="295"/>
    <n v="46"/>
    <x v="0"/>
    <x v="0"/>
    <x v="2"/>
    <s v="Yoga Mat"/>
    <n v="142.71"/>
    <x v="1"/>
    <s v="Card"/>
    <n v="3.2"/>
    <x v="7"/>
    <n v="128.43900000000002"/>
    <n v="5"/>
    <x v="0"/>
  </r>
  <r>
    <n v="296"/>
    <n v="48"/>
    <x v="0"/>
    <x v="1"/>
    <x v="3"/>
    <s v="Lamp"/>
    <n v="218.92"/>
    <x v="2"/>
    <s v="Card"/>
    <n v="3.7"/>
    <x v="21"/>
    <n v="172.9468"/>
    <n v="8"/>
    <x v="2"/>
  </r>
  <r>
    <n v="297"/>
    <n v="58"/>
    <x v="0"/>
    <x v="1"/>
    <x v="2"/>
    <s v="Dumbbells"/>
    <n v="57.47"/>
    <x v="2"/>
    <s v="Card"/>
    <n v="2.5"/>
    <x v="15"/>
    <n v="56.320599999999999"/>
    <n v="1"/>
    <x v="1"/>
  </r>
  <r>
    <n v="298"/>
    <n v="20"/>
    <x v="2"/>
    <x v="1"/>
    <x v="1"/>
    <s v="Jeans"/>
    <n v="170"/>
    <x v="1"/>
    <s v="Card"/>
    <n v="3.6"/>
    <x v="8"/>
    <n v="149.6"/>
    <n v="6"/>
    <x v="0"/>
  </r>
  <r>
    <n v="299"/>
    <n v="36"/>
    <x v="0"/>
    <x v="0"/>
    <x v="8"/>
    <s v="Skirt"/>
    <n v="67.61"/>
    <x v="1"/>
    <s v="Cash on Delivery"/>
    <n v="3.8"/>
    <x v="12"/>
    <n v="54.764100000000006"/>
    <n v="7"/>
    <x v="0"/>
  </r>
  <r>
    <n v="300"/>
    <n v="66"/>
    <x v="1"/>
    <x v="1"/>
    <x v="1"/>
    <s v="Jeans"/>
    <n v="141.21"/>
    <x v="3"/>
    <s v="Card"/>
    <n v="3.4"/>
    <x v="10"/>
    <n v="110.14380000000001"/>
    <n v="6"/>
    <x v="0"/>
  </r>
  <r>
    <n v="301"/>
    <n v="66"/>
    <x v="1"/>
    <x v="0"/>
    <x v="0"/>
    <s v="Sunglasses"/>
    <n v="57.04"/>
    <x v="0"/>
    <s v="Cash on Delivery"/>
    <n v="3.5"/>
    <x v="0"/>
    <n v="46.772800000000004"/>
    <n v="4"/>
    <x v="0"/>
  </r>
  <r>
    <n v="302"/>
    <n v="32"/>
    <x v="0"/>
    <x v="0"/>
    <x v="8"/>
    <s v="Dress"/>
    <n v="41.92"/>
    <x v="0"/>
    <s v="Cash on Delivery"/>
    <n v="3.5"/>
    <x v="5"/>
    <n v="38.566400000000002"/>
    <n v="4"/>
    <x v="0"/>
  </r>
  <r>
    <n v="303"/>
    <n v="51"/>
    <x v="0"/>
    <x v="1"/>
    <x v="7"/>
    <s v="Formal Shoes"/>
    <n v="106.72"/>
    <x v="0"/>
    <s v="Card"/>
    <n v="2.8"/>
    <x v="0"/>
    <n v="87.510400000000004"/>
    <n v="4"/>
    <x v="0"/>
  </r>
  <r>
    <n v="304"/>
    <n v="54"/>
    <x v="0"/>
    <x v="0"/>
    <x v="8"/>
    <s v="Top"/>
    <n v="145.16"/>
    <x v="3"/>
    <s v="Card"/>
    <n v="3.1"/>
    <x v="4"/>
    <n v="124.83759999999999"/>
    <n v="7"/>
    <x v="0"/>
  </r>
  <r>
    <n v="305"/>
    <n v="25"/>
    <x v="2"/>
    <x v="0"/>
    <x v="0"/>
    <s v="Wallet"/>
    <n v="102.26"/>
    <x v="0"/>
    <s v="Card"/>
    <n v="4.2"/>
    <x v="6"/>
    <n v="85.898399999999995"/>
    <n v="3"/>
    <x v="1"/>
  </r>
  <r>
    <n v="306"/>
    <n v="23"/>
    <x v="2"/>
    <x v="1"/>
    <x v="5"/>
    <s v="Headphones"/>
    <n v="1364.52"/>
    <x v="1"/>
    <s v="Card"/>
    <n v="4.5999999999999996"/>
    <x v="18"/>
    <n v="1037.0352"/>
    <n v="7"/>
    <x v="0"/>
  </r>
  <r>
    <n v="307"/>
    <n v="52"/>
    <x v="0"/>
    <x v="0"/>
    <x v="4"/>
    <s v="Rice Pack"/>
    <n v="18.59"/>
    <x v="1"/>
    <s v="Cash on Delivery"/>
    <n v="2.5"/>
    <x v="7"/>
    <n v="16.731000000000002"/>
    <n v="5"/>
    <x v="0"/>
  </r>
  <r>
    <n v="308"/>
    <n v="61"/>
    <x v="1"/>
    <x v="1"/>
    <x v="1"/>
    <s v="Jacket"/>
    <n v="166.84"/>
    <x v="3"/>
    <s v="Card"/>
    <n v="5"/>
    <x v="13"/>
    <n v="151.8244"/>
    <n v="2"/>
    <x v="1"/>
  </r>
  <r>
    <n v="309"/>
    <n v="30"/>
    <x v="2"/>
    <x v="1"/>
    <x v="1"/>
    <s v="Shirt"/>
    <n v="81.78"/>
    <x v="3"/>
    <s v="Card"/>
    <n v="2.4"/>
    <x v="2"/>
    <n v="72.784199999999998"/>
    <n v="3"/>
    <x v="1"/>
  </r>
  <r>
    <n v="310"/>
    <n v="45"/>
    <x v="0"/>
    <x v="0"/>
    <x v="2"/>
    <s v="Dumbbells"/>
    <n v="80.77"/>
    <x v="3"/>
    <s v="Card"/>
    <n v="4.5999999999999996"/>
    <x v="2"/>
    <n v="71.885300000000001"/>
    <n v="3"/>
    <x v="1"/>
  </r>
  <r>
    <n v="311"/>
    <n v="46"/>
    <x v="0"/>
    <x v="1"/>
    <x v="7"/>
    <s v="Sandals"/>
    <n v="118.69"/>
    <x v="3"/>
    <s v="Card"/>
    <n v="2.7"/>
    <x v="7"/>
    <n v="106.821"/>
    <n v="5"/>
    <x v="0"/>
  </r>
  <r>
    <n v="312"/>
    <n v="35"/>
    <x v="0"/>
    <x v="0"/>
    <x v="6"/>
    <s v="Skincare Kit"/>
    <n v="77.47"/>
    <x v="3"/>
    <s v="Card"/>
    <n v="4.3"/>
    <x v="5"/>
    <n v="71.272400000000005"/>
    <n v="4"/>
    <x v="0"/>
  </r>
  <r>
    <n v="313"/>
    <n v="48"/>
    <x v="0"/>
    <x v="0"/>
    <x v="0"/>
    <s v="Wallet"/>
    <n v="85.35"/>
    <x v="1"/>
    <s v="Card"/>
    <n v="4.3"/>
    <x v="17"/>
    <n v="81.935999999999993"/>
    <n v="2"/>
    <x v="1"/>
  </r>
  <r>
    <n v="314"/>
    <n v="48"/>
    <x v="0"/>
    <x v="0"/>
    <x v="7"/>
    <s v="Sandals"/>
    <n v="102.43"/>
    <x v="1"/>
    <s v="Card"/>
    <n v="3.6"/>
    <x v="18"/>
    <n v="77.846800000000002"/>
    <n v="7"/>
    <x v="0"/>
  </r>
  <r>
    <n v="315"/>
    <n v="30"/>
    <x v="2"/>
    <x v="1"/>
    <x v="4"/>
    <s v="Beverages"/>
    <n v="11.09"/>
    <x v="0"/>
    <s v="Cash on Delivery"/>
    <n v="2.8"/>
    <x v="22"/>
    <n v="8.5393000000000008"/>
    <n v="9"/>
    <x v="2"/>
  </r>
  <r>
    <n v="316"/>
    <n v="43"/>
    <x v="0"/>
    <x v="1"/>
    <x v="2"/>
    <s v="Yoga Mat"/>
    <n v="30.29"/>
    <x v="3"/>
    <s v="Cash on Delivery"/>
    <n v="2.4"/>
    <x v="6"/>
    <n v="25.4436"/>
    <n v="3"/>
    <x v="1"/>
  </r>
  <r>
    <n v="317"/>
    <n v="69"/>
    <x v="1"/>
    <x v="0"/>
    <x v="4"/>
    <s v="Snacks"/>
    <n v="79.400000000000006"/>
    <x v="2"/>
    <s v="Card"/>
    <n v="3.4"/>
    <x v="19"/>
    <n v="67.490000000000009"/>
    <n v="5"/>
    <x v="0"/>
  </r>
  <r>
    <n v="318"/>
    <n v="22"/>
    <x v="2"/>
    <x v="0"/>
    <x v="2"/>
    <s v="Football"/>
    <n v="237.38"/>
    <x v="1"/>
    <s v="Card"/>
    <n v="3.4"/>
    <x v="23"/>
    <n v="220.76339999999999"/>
    <n v="1"/>
    <x v="1"/>
  </r>
  <r>
    <n v="319"/>
    <n v="39"/>
    <x v="0"/>
    <x v="0"/>
    <x v="4"/>
    <s v="Cooking Oil"/>
    <n v="56.93"/>
    <x v="3"/>
    <s v="Card"/>
    <n v="4.4000000000000004"/>
    <x v="5"/>
    <n v="52.375599999999999"/>
    <n v="4"/>
    <x v="0"/>
  </r>
  <r>
    <n v="320"/>
    <n v="60"/>
    <x v="0"/>
    <x v="0"/>
    <x v="8"/>
    <s v="Dress"/>
    <n v="187.91"/>
    <x v="1"/>
    <s v="Card"/>
    <n v="3.8"/>
    <x v="17"/>
    <n v="180.39359999999999"/>
    <n v="2"/>
    <x v="1"/>
  </r>
  <r>
    <n v="321"/>
    <n v="67"/>
    <x v="1"/>
    <x v="0"/>
    <x v="8"/>
    <s v="Dress"/>
    <n v="144.38"/>
    <x v="1"/>
    <s v="Card"/>
    <n v="3.4"/>
    <x v="18"/>
    <n v="109.72879999999999"/>
    <n v="7"/>
    <x v="0"/>
  </r>
  <r>
    <n v="322"/>
    <n v="56"/>
    <x v="0"/>
    <x v="0"/>
    <x v="3"/>
    <s v="Curtains"/>
    <n v="139.78"/>
    <x v="1"/>
    <s v="Card"/>
    <n v="3.9"/>
    <x v="12"/>
    <n v="113.2218"/>
    <n v="7"/>
    <x v="0"/>
  </r>
  <r>
    <n v="323"/>
    <n v="22"/>
    <x v="2"/>
    <x v="1"/>
    <x v="2"/>
    <s v="Dumbbells"/>
    <n v="232.96"/>
    <x v="3"/>
    <s v="Card"/>
    <n v="4.0999999999999996"/>
    <x v="16"/>
    <n v="218.98239999999998"/>
    <n v="3"/>
    <x v="1"/>
  </r>
  <r>
    <n v="324"/>
    <n v="65"/>
    <x v="1"/>
    <x v="0"/>
    <x v="6"/>
    <s v="Skincare Kit"/>
    <n v="79.89"/>
    <x v="0"/>
    <s v="Card"/>
    <n v="5"/>
    <x v="18"/>
    <n v="60.7164"/>
    <n v="7"/>
    <x v="0"/>
  </r>
  <r>
    <n v="325"/>
    <n v="38"/>
    <x v="0"/>
    <x v="0"/>
    <x v="2"/>
    <s v="Football"/>
    <n v="240.47"/>
    <x v="0"/>
    <s v="Card"/>
    <n v="3.4"/>
    <x v="5"/>
    <n v="221.23240000000001"/>
    <n v="4"/>
    <x v="0"/>
  </r>
  <r>
    <n v="326"/>
    <n v="42"/>
    <x v="0"/>
    <x v="0"/>
    <x v="2"/>
    <s v="Yoga Mat"/>
    <n v="124.92"/>
    <x v="0"/>
    <s v="Card"/>
    <n v="2.2000000000000002"/>
    <x v="21"/>
    <n v="98.686800000000005"/>
    <n v="8"/>
    <x v="2"/>
  </r>
  <r>
    <n v="327"/>
    <n v="48"/>
    <x v="0"/>
    <x v="0"/>
    <x v="2"/>
    <s v="Dumbbells"/>
    <n v="174.99"/>
    <x v="2"/>
    <s v="Card"/>
    <n v="4.4000000000000004"/>
    <x v="0"/>
    <n v="143.49180000000001"/>
    <n v="4"/>
    <x v="0"/>
  </r>
  <r>
    <n v="328"/>
    <n v="32"/>
    <x v="0"/>
    <x v="0"/>
    <x v="7"/>
    <s v="Sandals"/>
    <n v="169.59"/>
    <x v="3"/>
    <s v="Card"/>
    <n v="4.8"/>
    <x v="1"/>
    <n v="147.54330000000002"/>
    <n v="4"/>
    <x v="0"/>
  </r>
  <r>
    <n v="329"/>
    <n v="62"/>
    <x v="1"/>
    <x v="1"/>
    <x v="2"/>
    <s v="Dumbbells"/>
    <n v="212.29"/>
    <x v="1"/>
    <s v="Card"/>
    <n v="5"/>
    <x v="2"/>
    <n v="188.93809999999999"/>
    <n v="3"/>
    <x v="1"/>
  </r>
  <r>
    <n v="330"/>
    <n v="57"/>
    <x v="0"/>
    <x v="1"/>
    <x v="5"/>
    <s v="Headphones"/>
    <n v="2524.81"/>
    <x v="0"/>
    <s v="Card"/>
    <n v="3.8"/>
    <x v="14"/>
    <n v="2095.5922999999998"/>
    <n v="6"/>
    <x v="0"/>
  </r>
  <r>
    <n v="331"/>
    <n v="62"/>
    <x v="1"/>
    <x v="1"/>
    <x v="1"/>
    <s v="Shirt"/>
    <n v="83.68"/>
    <x v="1"/>
    <s v="Cash on Delivery"/>
    <n v="2.9"/>
    <x v="7"/>
    <n v="75.312000000000012"/>
    <n v="5"/>
    <x v="0"/>
  </r>
  <r>
    <n v="332"/>
    <n v="60"/>
    <x v="0"/>
    <x v="1"/>
    <x v="1"/>
    <s v="T-Shirt"/>
    <n v="128.55000000000001"/>
    <x v="1"/>
    <s v="Card"/>
    <n v="4.5999999999999996"/>
    <x v="0"/>
    <n v="105.41100000000002"/>
    <n v="4"/>
    <x v="0"/>
  </r>
  <r>
    <n v="333"/>
    <n v="47"/>
    <x v="0"/>
    <x v="1"/>
    <x v="3"/>
    <s v="Curtains"/>
    <n v="284.08"/>
    <x v="0"/>
    <s v="Card"/>
    <n v="3.3"/>
    <x v="6"/>
    <n v="238.62719999999999"/>
    <n v="3"/>
    <x v="1"/>
  </r>
  <r>
    <n v="334"/>
    <n v="57"/>
    <x v="0"/>
    <x v="0"/>
    <x v="8"/>
    <s v="Skirt"/>
    <n v="140.29"/>
    <x v="0"/>
    <s v="Card"/>
    <n v="5"/>
    <x v="8"/>
    <n v="123.45519999999999"/>
    <n v="6"/>
    <x v="0"/>
  </r>
  <r>
    <n v="335"/>
    <n v="53"/>
    <x v="0"/>
    <x v="0"/>
    <x v="0"/>
    <s v="Wallet"/>
    <n v="29.37"/>
    <x v="0"/>
    <s v="Cash on Delivery"/>
    <n v="3.2"/>
    <x v="18"/>
    <n v="22.321200000000001"/>
    <n v="7"/>
    <x v="0"/>
  </r>
  <r>
    <n v="336"/>
    <n v="48"/>
    <x v="0"/>
    <x v="0"/>
    <x v="0"/>
    <s v="Sunglasses"/>
    <n v="79.45"/>
    <x v="1"/>
    <s v="Card"/>
    <n v="4"/>
    <x v="19"/>
    <n v="67.532499999999999"/>
    <n v="5"/>
    <x v="0"/>
  </r>
  <r>
    <n v="337"/>
    <n v="63"/>
    <x v="1"/>
    <x v="0"/>
    <x v="8"/>
    <s v="Top"/>
    <n v="77.099999999999994"/>
    <x v="2"/>
    <s v="Cash on Delivery"/>
    <n v="2.1"/>
    <x v="14"/>
    <n v="63.992999999999995"/>
    <n v="6"/>
    <x v="0"/>
  </r>
  <r>
    <n v="338"/>
    <n v="49"/>
    <x v="0"/>
    <x v="1"/>
    <x v="1"/>
    <s v="Shirt"/>
    <n v="163.61000000000001"/>
    <x v="2"/>
    <s v="Card"/>
    <n v="2.9"/>
    <x v="16"/>
    <n v="153.79339999999999"/>
    <n v="3"/>
    <x v="1"/>
  </r>
  <r>
    <n v="339"/>
    <n v="62"/>
    <x v="1"/>
    <x v="0"/>
    <x v="8"/>
    <s v="Jeans"/>
    <n v="34.1"/>
    <x v="0"/>
    <s v="Card"/>
    <n v="2.8"/>
    <x v="13"/>
    <n v="31.031000000000002"/>
    <n v="2"/>
    <x v="1"/>
  </r>
  <r>
    <n v="340"/>
    <n v="50"/>
    <x v="0"/>
    <x v="0"/>
    <x v="0"/>
    <s v="Wallet"/>
    <n v="62.32"/>
    <x v="2"/>
    <s v="Card"/>
    <n v="3.5"/>
    <x v="0"/>
    <n v="51.102400000000003"/>
    <n v="4"/>
    <x v="0"/>
  </r>
  <r>
    <n v="341"/>
    <n v="35"/>
    <x v="0"/>
    <x v="1"/>
    <x v="2"/>
    <s v="Dumbbells"/>
    <n v="165.77"/>
    <x v="3"/>
    <s v="Card"/>
    <n v="3.3"/>
    <x v="4"/>
    <n v="142.56220000000002"/>
    <n v="2"/>
    <x v="1"/>
  </r>
  <r>
    <n v="342"/>
    <n v="29"/>
    <x v="2"/>
    <x v="1"/>
    <x v="7"/>
    <s v="Sandals"/>
    <n v="132.79"/>
    <x v="3"/>
    <s v="Card"/>
    <n v="4.4000000000000004"/>
    <x v="4"/>
    <n v="114.1994"/>
    <n v="2"/>
    <x v="1"/>
  </r>
  <r>
    <n v="343"/>
    <n v="25"/>
    <x v="2"/>
    <x v="0"/>
    <x v="6"/>
    <s v="Skincare Kit"/>
    <n v="82.83"/>
    <x v="0"/>
    <s v="Card"/>
    <n v="4.4000000000000004"/>
    <x v="5"/>
    <n v="76.203600000000009"/>
    <n v="4"/>
    <x v="0"/>
  </r>
  <r>
    <n v="344"/>
    <n v="28"/>
    <x v="2"/>
    <x v="0"/>
    <x v="6"/>
    <s v="Skincare Kit"/>
    <n v="139.28"/>
    <x v="0"/>
    <s v="Card"/>
    <n v="5"/>
    <x v="21"/>
    <n v="110.03120000000001"/>
    <n v="8"/>
    <x v="2"/>
  </r>
  <r>
    <n v="345"/>
    <n v="44"/>
    <x v="0"/>
    <x v="1"/>
    <x v="1"/>
    <s v="T-Shirt"/>
    <n v="145.69"/>
    <x v="1"/>
    <s v="Card"/>
    <n v="3.4"/>
    <x v="16"/>
    <n v="136.9486"/>
    <n v="3"/>
    <x v="1"/>
  </r>
  <r>
    <n v="346"/>
    <n v="47"/>
    <x v="0"/>
    <x v="0"/>
    <x v="0"/>
    <s v="Handbag"/>
    <n v="28.87"/>
    <x v="0"/>
    <s v="Cash on Delivery"/>
    <n v="3"/>
    <x v="7"/>
    <n v="25.983000000000001"/>
    <n v="5"/>
    <x v="0"/>
  </r>
  <r>
    <n v="347"/>
    <n v="22"/>
    <x v="2"/>
    <x v="0"/>
    <x v="7"/>
    <s v="Sandals"/>
    <n v="122.56"/>
    <x v="2"/>
    <s v="Card"/>
    <n v="4.0999999999999996"/>
    <x v="4"/>
    <n v="105.4016"/>
    <n v="2"/>
    <x v="1"/>
  </r>
  <r>
    <n v="348"/>
    <n v="69"/>
    <x v="1"/>
    <x v="1"/>
    <x v="7"/>
    <s v="Sneakers"/>
    <n v="98.93"/>
    <x v="3"/>
    <s v="Card"/>
    <n v="3"/>
    <x v="18"/>
    <n v="75.186800000000005"/>
    <n v="7"/>
    <x v="0"/>
  </r>
  <r>
    <n v="349"/>
    <n v="41"/>
    <x v="0"/>
    <x v="1"/>
    <x v="2"/>
    <s v="Yoga Mat"/>
    <n v="207.36"/>
    <x v="1"/>
    <s v="Card"/>
    <n v="3.9"/>
    <x v="1"/>
    <n v="180.4032"/>
    <n v="4"/>
    <x v="0"/>
  </r>
  <r>
    <n v="350"/>
    <n v="54"/>
    <x v="0"/>
    <x v="0"/>
    <x v="6"/>
    <s v="Makeup Set"/>
    <n v="87.55"/>
    <x v="1"/>
    <s v="Card"/>
    <n v="3.6"/>
    <x v="0"/>
    <n v="71.790999999999997"/>
    <n v="4"/>
    <x v="0"/>
  </r>
  <r>
    <n v="351"/>
    <n v="40"/>
    <x v="0"/>
    <x v="0"/>
    <x v="6"/>
    <s v="Skincare Kit"/>
    <n v="47.08"/>
    <x v="2"/>
    <s v="Card"/>
    <n v="3"/>
    <x v="8"/>
    <n v="41.430399999999999"/>
    <n v="6"/>
    <x v="0"/>
  </r>
  <r>
    <n v="352"/>
    <n v="63"/>
    <x v="1"/>
    <x v="0"/>
    <x v="2"/>
    <s v="Dumbbells"/>
    <n v="104.84"/>
    <x v="1"/>
    <s v="Card"/>
    <n v="4.3"/>
    <x v="0"/>
    <n v="85.968800000000016"/>
    <n v="9"/>
    <x v="2"/>
  </r>
  <r>
    <n v="353"/>
    <n v="47"/>
    <x v="0"/>
    <x v="1"/>
    <x v="1"/>
    <s v="Shirt"/>
    <n v="84.24"/>
    <x v="0"/>
    <s v="Cash on Delivery"/>
    <n v="3.1"/>
    <x v="1"/>
    <n v="73.288799999999995"/>
    <n v="4"/>
    <x v="0"/>
  </r>
  <r>
    <n v="354"/>
    <n v="68"/>
    <x v="1"/>
    <x v="0"/>
    <x v="6"/>
    <s v="Perfume"/>
    <n v="136.55000000000001"/>
    <x v="3"/>
    <s v="Card"/>
    <n v="3.6"/>
    <x v="23"/>
    <n v="126.9915"/>
    <n v="1"/>
    <x v="1"/>
  </r>
  <r>
    <n v="355"/>
    <n v="53"/>
    <x v="0"/>
    <x v="1"/>
    <x v="5"/>
    <s v="Headphones"/>
    <n v="2520.9899999999998"/>
    <x v="2"/>
    <s v="Card"/>
    <n v="3.1"/>
    <x v="0"/>
    <n v="2067.2118"/>
    <n v="4"/>
    <x v="0"/>
  </r>
  <r>
    <n v="356"/>
    <n v="25"/>
    <x v="2"/>
    <x v="1"/>
    <x v="2"/>
    <s v="Football"/>
    <n v="43.35"/>
    <x v="3"/>
    <s v="Card"/>
    <n v="2.2000000000000002"/>
    <x v="16"/>
    <n v="40.749000000000002"/>
    <n v="3"/>
    <x v="1"/>
  </r>
  <r>
    <n v="357"/>
    <n v="34"/>
    <x v="0"/>
    <x v="0"/>
    <x v="6"/>
    <s v="Skincare Kit"/>
    <n v="123.83"/>
    <x v="1"/>
    <s v="Card"/>
    <n v="5"/>
    <x v="17"/>
    <n v="118.87679999999999"/>
    <n v="2"/>
    <x v="1"/>
  </r>
  <r>
    <n v="358"/>
    <n v="66"/>
    <x v="1"/>
    <x v="0"/>
    <x v="7"/>
    <s v="Formal Shoes"/>
    <n v="194.54"/>
    <x v="1"/>
    <s v="Card"/>
    <n v="2.6"/>
    <x v="16"/>
    <n v="182.86759999999998"/>
    <n v="3"/>
    <x v="1"/>
  </r>
  <r>
    <n v="359"/>
    <n v="30"/>
    <x v="2"/>
    <x v="1"/>
    <x v="1"/>
    <s v="Shirt"/>
    <n v="65.61"/>
    <x v="3"/>
    <s v="Card"/>
    <n v="3.3"/>
    <x v="6"/>
    <n v="55.112400000000001"/>
    <n v="3"/>
    <x v="1"/>
  </r>
  <r>
    <n v="360"/>
    <n v="59"/>
    <x v="0"/>
    <x v="0"/>
    <x v="0"/>
    <s v="Handbag"/>
    <n v="68.540000000000006"/>
    <x v="1"/>
    <s v="Card"/>
    <n v="2.7"/>
    <x v="21"/>
    <n v="54.146600000000007"/>
    <n v="8"/>
    <x v="2"/>
  </r>
  <r>
    <n v="361"/>
    <n v="22"/>
    <x v="2"/>
    <x v="0"/>
    <x v="2"/>
    <s v="Yoga Mat"/>
    <n v="95.48"/>
    <x v="2"/>
    <s v="Cash on Delivery"/>
    <n v="4.0999999999999996"/>
    <x v="13"/>
    <n v="86.886800000000008"/>
    <n v="2"/>
    <x v="1"/>
  </r>
  <r>
    <n v="362"/>
    <n v="23"/>
    <x v="2"/>
    <x v="1"/>
    <x v="7"/>
    <s v="Sandals"/>
    <n v="217.69"/>
    <x v="1"/>
    <s v="Card"/>
    <n v="3.4"/>
    <x v="0"/>
    <n v="178.50580000000002"/>
    <n v="4"/>
    <x v="0"/>
  </r>
  <r>
    <n v="363"/>
    <n v="59"/>
    <x v="0"/>
    <x v="1"/>
    <x v="2"/>
    <s v="Dumbbells"/>
    <n v="221.98"/>
    <x v="3"/>
    <s v="Card"/>
    <n v="3"/>
    <x v="6"/>
    <n v="186.46319999999997"/>
    <n v="8"/>
    <x v="2"/>
  </r>
  <r>
    <n v="364"/>
    <n v="70"/>
    <x v="1"/>
    <x v="0"/>
    <x v="0"/>
    <s v="Sunglasses"/>
    <n v="157.83000000000001"/>
    <x v="3"/>
    <s v="Card"/>
    <n v="4.5"/>
    <x v="18"/>
    <n v="119.95080000000002"/>
    <n v="7"/>
    <x v="0"/>
  </r>
  <r>
    <n v="365"/>
    <n v="28"/>
    <x v="2"/>
    <x v="1"/>
    <x v="7"/>
    <s v="Formal Shoes"/>
    <n v="92.99"/>
    <x v="2"/>
    <s v="Card"/>
    <n v="3.8"/>
    <x v="6"/>
    <n v="78.111599999999996"/>
    <n v="3"/>
    <x v="1"/>
  </r>
  <r>
    <n v="366"/>
    <n v="30"/>
    <x v="2"/>
    <x v="0"/>
    <x v="8"/>
    <s v="Skirt"/>
    <n v="152.47"/>
    <x v="0"/>
    <s v="Card"/>
    <n v="4"/>
    <x v="18"/>
    <n v="115.8772"/>
    <n v="7"/>
    <x v="0"/>
  </r>
  <r>
    <n v="367"/>
    <n v="50"/>
    <x v="0"/>
    <x v="1"/>
    <x v="2"/>
    <s v="Dumbbells"/>
    <n v="162.69999999999999"/>
    <x v="3"/>
    <s v="Card"/>
    <n v="2.8"/>
    <x v="2"/>
    <n v="144.803"/>
    <n v="3"/>
    <x v="1"/>
  </r>
  <r>
    <n v="368"/>
    <n v="66"/>
    <x v="1"/>
    <x v="1"/>
    <x v="2"/>
    <s v="Football"/>
    <n v="56.33"/>
    <x v="1"/>
    <s v="Cash on Delivery"/>
    <n v="4.0999999999999996"/>
    <x v="15"/>
    <n v="55.203399999999995"/>
    <n v="1"/>
    <x v="1"/>
  </r>
  <r>
    <n v="369"/>
    <n v="34"/>
    <x v="0"/>
    <x v="0"/>
    <x v="6"/>
    <s v="Makeup Set"/>
    <n v="41.77"/>
    <x v="2"/>
    <s v="Cash on Delivery"/>
    <n v="3.5"/>
    <x v="17"/>
    <n v="40.099200000000003"/>
    <n v="2"/>
    <x v="1"/>
  </r>
  <r>
    <n v="370"/>
    <n v="49"/>
    <x v="0"/>
    <x v="1"/>
    <x v="5"/>
    <s v="Laptop"/>
    <n v="2544.06"/>
    <x v="3"/>
    <s v="Card"/>
    <n v="3.6"/>
    <x v="7"/>
    <n v="2289.654"/>
    <n v="5"/>
    <x v="0"/>
  </r>
  <r>
    <n v="371"/>
    <n v="53"/>
    <x v="0"/>
    <x v="0"/>
    <x v="0"/>
    <s v="Handbag"/>
    <n v="89.64"/>
    <x v="1"/>
    <s v="Cash on Delivery"/>
    <n v="4.0999999999999996"/>
    <x v="16"/>
    <n v="84.261600000000001"/>
    <n v="3"/>
    <x v="1"/>
  </r>
  <r>
    <n v="372"/>
    <n v="53"/>
    <x v="0"/>
    <x v="1"/>
    <x v="7"/>
    <s v="Formal Shoes"/>
    <n v="224"/>
    <x v="0"/>
    <s v="Card"/>
    <n v="5"/>
    <x v="3"/>
    <n v="179.20000000000002"/>
    <n v="5"/>
    <x v="0"/>
  </r>
  <r>
    <n v="373"/>
    <n v="52"/>
    <x v="0"/>
    <x v="0"/>
    <x v="0"/>
    <s v="Wallet"/>
    <n v="37.28"/>
    <x v="2"/>
    <s v="Card"/>
    <n v="3.3"/>
    <x v="1"/>
    <n v="32.433599999999998"/>
    <n v="4"/>
    <x v="0"/>
  </r>
  <r>
    <n v="374"/>
    <n v="61"/>
    <x v="1"/>
    <x v="1"/>
    <x v="7"/>
    <s v="Formal Shoes"/>
    <n v="42.08"/>
    <x v="1"/>
    <s v="Cash on Delivery"/>
    <n v="2.5"/>
    <x v="3"/>
    <n v="33.664000000000001"/>
    <n v="10"/>
    <x v="2"/>
  </r>
  <r>
    <n v="375"/>
    <n v="28"/>
    <x v="2"/>
    <x v="1"/>
    <x v="1"/>
    <s v="Jacket"/>
    <n v="50.72"/>
    <x v="3"/>
    <s v="Cash on Delivery"/>
    <n v="2.6"/>
    <x v="17"/>
    <n v="48.691199999999995"/>
    <n v="2"/>
    <x v="1"/>
  </r>
  <r>
    <n v="376"/>
    <n v="54"/>
    <x v="0"/>
    <x v="0"/>
    <x v="8"/>
    <s v="Skirt"/>
    <n v="183.9"/>
    <x v="1"/>
    <s v="Card"/>
    <n v="4"/>
    <x v="0"/>
    <n v="150.79800000000003"/>
    <n v="4"/>
    <x v="0"/>
  </r>
  <r>
    <n v="377"/>
    <n v="36"/>
    <x v="0"/>
    <x v="0"/>
    <x v="6"/>
    <s v="Perfume"/>
    <n v="121.81"/>
    <x v="2"/>
    <s v="Card"/>
    <n v="3.8"/>
    <x v="6"/>
    <n v="102.32039999999999"/>
    <n v="3"/>
    <x v="1"/>
  </r>
  <r>
    <n v="378"/>
    <n v="35"/>
    <x v="0"/>
    <x v="0"/>
    <x v="8"/>
    <s v="Jeans"/>
    <n v="66.09"/>
    <x v="3"/>
    <s v="Card"/>
    <n v="2.9"/>
    <x v="6"/>
    <n v="55.515599999999999"/>
    <n v="3"/>
    <x v="1"/>
  </r>
  <r>
    <n v="379"/>
    <n v="63"/>
    <x v="1"/>
    <x v="1"/>
    <x v="7"/>
    <s v="Formal Shoes"/>
    <n v="119.18"/>
    <x v="1"/>
    <s v="Card"/>
    <n v="4.5"/>
    <x v="5"/>
    <n v="109.64560000000002"/>
    <n v="4"/>
    <x v="0"/>
  </r>
  <r>
    <n v="380"/>
    <n v="51"/>
    <x v="0"/>
    <x v="1"/>
    <x v="1"/>
    <s v="Jacket"/>
    <n v="123"/>
    <x v="2"/>
    <s v="Card"/>
    <n v="3.6"/>
    <x v="2"/>
    <n v="109.47"/>
    <n v="3"/>
    <x v="1"/>
  </r>
  <r>
    <n v="381"/>
    <n v="26"/>
    <x v="2"/>
    <x v="1"/>
    <x v="1"/>
    <s v="Shirt"/>
    <n v="37.33"/>
    <x v="1"/>
    <s v="Card"/>
    <n v="3.6"/>
    <x v="3"/>
    <n v="29.864000000000001"/>
    <n v="5"/>
    <x v="0"/>
  </r>
  <r>
    <n v="382"/>
    <n v="54"/>
    <x v="0"/>
    <x v="1"/>
    <x v="5"/>
    <s v="Mobile Phone"/>
    <n v="1625.71"/>
    <x v="1"/>
    <s v="Card"/>
    <n v="5"/>
    <x v="11"/>
    <n v="1203.0254"/>
    <n v="13"/>
    <x v="2"/>
  </r>
  <r>
    <n v="383"/>
    <n v="70"/>
    <x v="1"/>
    <x v="1"/>
    <x v="7"/>
    <s v="Sneakers"/>
    <n v="150.47999999999999"/>
    <x v="1"/>
    <s v="Card"/>
    <n v="4.5999999999999996"/>
    <x v="8"/>
    <n v="132.42239999999998"/>
    <n v="6"/>
    <x v="0"/>
  </r>
  <r>
    <n v="384"/>
    <n v="45"/>
    <x v="0"/>
    <x v="1"/>
    <x v="5"/>
    <s v="Laptop"/>
    <n v="1400.99"/>
    <x v="2"/>
    <s v="Card"/>
    <n v="2.8"/>
    <x v="16"/>
    <n v="1316.9305999999999"/>
    <n v="3"/>
    <x v="1"/>
  </r>
  <r>
    <n v="385"/>
    <n v="43"/>
    <x v="0"/>
    <x v="1"/>
    <x v="2"/>
    <s v="Football"/>
    <n v="80.25"/>
    <x v="2"/>
    <s v="Card"/>
    <n v="3.9"/>
    <x v="14"/>
    <n v="66.607500000000002"/>
    <n v="6"/>
    <x v="0"/>
  </r>
  <r>
    <n v="386"/>
    <n v="37"/>
    <x v="0"/>
    <x v="0"/>
    <x v="4"/>
    <s v="Rice Pack"/>
    <n v="29.59"/>
    <x v="3"/>
    <s v="Card"/>
    <n v="4.7"/>
    <x v="18"/>
    <n v="22.488399999999999"/>
    <n v="7"/>
    <x v="0"/>
  </r>
  <r>
    <n v="387"/>
    <n v="47"/>
    <x v="0"/>
    <x v="1"/>
    <x v="1"/>
    <s v="T-Shirt"/>
    <n v="112.86"/>
    <x v="2"/>
    <s v="Card"/>
    <n v="4.5999999999999996"/>
    <x v="4"/>
    <n v="97.059600000000003"/>
    <n v="7"/>
    <x v="0"/>
  </r>
  <r>
    <n v="388"/>
    <n v="45"/>
    <x v="0"/>
    <x v="1"/>
    <x v="2"/>
    <s v="Football"/>
    <n v="160.31"/>
    <x v="2"/>
    <s v="Card"/>
    <n v="3"/>
    <x v="16"/>
    <n v="150.69139999999999"/>
    <n v="3"/>
    <x v="1"/>
  </r>
  <r>
    <n v="389"/>
    <n v="44"/>
    <x v="0"/>
    <x v="0"/>
    <x v="3"/>
    <s v="Lamp"/>
    <n v="155.34"/>
    <x v="2"/>
    <s v="Card"/>
    <n v="4.5"/>
    <x v="1"/>
    <n v="135.14580000000001"/>
    <n v="4"/>
    <x v="0"/>
  </r>
  <r>
    <n v="390"/>
    <n v="39"/>
    <x v="0"/>
    <x v="1"/>
    <x v="4"/>
    <s v="Cooking Oil"/>
    <n v="76.790000000000006"/>
    <x v="2"/>
    <s v="Cash on Delivery"/>
    <n v="3.3"/>
    <x v="12"/>
    <n v="62.199900000000007"/>
    <n v="7"/>
    <x v="0"/>
  </r>
  <r>
    <n v="391"/>
    <n v="42"/>
    <x v="0"/>
    <x v="1"/>
    <x v="5"/>
    <s v="Mobile Phone"/>
    <n v="845.92"/>
    <x v="0"/>
    <s v="Card"/>
    <n v="2.9"/>
    <x v="27"/>
    <n v="634.43999999999994"/>
    <n v="10"/>
    <x v="2"/>
  </r>
  <r>
    <n v="392"/>
    <n v="26"/>
    <x v="2"/>
    <x v="0"/>
    <x v="8"/>
    <s v="Jeans"/>
    <n v="177.84"/>
    <x v="2"/>
    <s v="Card"/>
    <n v="4.5"/>
    <x v="1"/>
    <n v="154.7208"/>
    <n v="4"/>
    <x v="0"/>
  </r>
  <r>
    <n v="393"/>
    <n v="42"/>
    <x v="0"/>
    <x v="1"/>
    <x v="7"/>
    <s v="Sandals"/>
    <n v="81.260000000000005"/>
    <x v="3"/>
    <s v="Card"/>
    <n v="4.0999999999999996"/>
    <x v="4"/>
    <n v="69.883600000000001"/>
    <n v="2"/>
    <x v="1"/>
  </r>
  <r>
    <n v="394"/>
    <n v="33"/>
    <x v="0"/>
    <x v="1"/>
    <x v="2"/>
    <s v="Yoga Mat"/>
    <n v="143.71"/>
    <x v="3"/>
    <s v="Card"/>
    <n v="3.9"/>
    <x v="2"/>
    <n v="127.90190000000001"/>
    <n v="3"/>
    <x v="1"/>
  </r>
  <r>
    <n v="395"/>
    <n v="70"/>
    <x v="1"/>
    <x v="1"/>
    <x v="2"/>
    <s v="Yoga Mat"/>
    <n v="62.41"/>
    <x v="3"/>
    <s v="Cash on Delivery"/>
    <n v="3.7"/>
    <x v="24"/>
    <n v="44.935199999999995"/>
    <n v="9"/>
    <x v="2"/>
  </r>
  <r>
    <n v="396"/>
    <n v="55"/>
    <x v="0"/>
    <x v="0"/>
    <x v="7"/>
    <s v="Sneakers"/>
    <n v="120.97"/>
    <x v="3"/>
    <s v="Card"/>
    <n v="2.9"/>
    <x v="3"/>
    <n v="96.77600000000001"/>
    <n v="5"/>
    <x v="0"/>
  </r>
  <r>
    <n v="397"/>
    <n v="28"/>
    <x v="2"/>
    <x v="1"/>
    <x v="1"/>
    <s v="Jeans"/>
    <n v="176.62"/>
    <x v="1"/>
    <s v="Card"/>
    <n v="3.7"/>
    <x v="6"/>
    <n v="148.36080000000001"/>
    <n v="3"/>
    <x v="1"/>
  </r>
  <r>
    <n v="398"/>
    <n v="27"/>
    <x v="2"/>
    <x v="1"/>
    <x v="5"/>
    <s v="Laptop"/>
    <n v="1091.52"/>
    <x v="3"/>
    <s v="Card"/>
    <n v="4.9000000000000004"/>
    <x v="2"/>
    <n v="971.45280000000002"/>
    <n v="3"/>
    <x v="1"/>
  </r>
  <r>
    <n v="399"/>
    <n v="29"/>
    <x v="2"/>
    <x v="0"/>
    <x v="8"/>
    <s v="Jeans"/>
    <n v="196.8"/>
    <x v="3"/>
    <s v="Card"/>
    <n v="3.7"/>
    <x v="11"/>
    <n v="145.63200000000001"/>
    <n v="8"/>
    <x v="2"/>
  </r>
  <r>
    <n v="400"/>
    <n v="70"/>
    <x v="1"/>
    <x v="0"/>
    <x v="8"/>
    <s v="Top"/>
    <n v="89.53"/>
    <x v="1"/>
    <s v="Cash on Delivery"/>
    <n v="3.8"/>
    <x v="6"/>
    <n v="75.205200000000005"/>
    <n v="8"/>
    <x v="2"/>
  </r>
  <r>
    <n v="401"/>
    <n v="38"/>
    <x v="0"/>
    <x v="0"/>
    <x v="0"/>
    <s v="Wallet"/>
    <n v="141.24"/>
    <x v="1"/>
    <s v="Card"/>
    <n v="3.9"/>
    <x v="2"/>
    <n v="125.70360000000001"/>
    <n v="3"/>
    <x v="1"/>
  </r>
  <r>
    <n v="402"/>
    <n v="32"/>
    <x v="0"/>
    <x v="1"/>
    <x v="1"/>
    <s v="T-Shirt"/>
    <n v="125.07"/>
    <x v="2"/>
    <s v="Card"/>
    <n v="4.2"/>
    <x v="13"/>
    <n v="113.8137"/>
    <n v="2"/>
    <x v="1"/>
  </r>
  <r>
    <n v="403"/>
    <n v="56"/>
    <x v="0"/>
    <x v="0"/>
    <x v="0"/>
    <s v="Handbag"/>
    <n v="83.05"/>
    <x v="0"/>
    <s v="Cash on Delivery"/>
    <n v="4.0999999999999996"/>
    <x v="0"/>
    <n v="68.100999999999999"/>
    <n v="4"/>
    <x v="0"/>
  </r>
  <r>
    <n v="404"/>
    <n v="32"/>
    <x v="0"/>
    <x v="1"/>
    <x v="3"/>
    <s v="Kitchen Set"/>
    <n v="84.48"/>
    <x v="2"/>
    <s v="Card"/>
    <n v="4.5"/>
    <x v="12"/>
    <n v="68.42880000000001"/>
    <n v="7"/>
    <x v="0"/>
  </r>
  <r>
    <n v="405"/>
    <n v="42"/>
    <x v="0"/>
    <x v="1"/>
    <x v="5"/>
    <s v="Laptop"/>
    <n v="1607.07"/>
    <x v="0"/>
    <s v="Card"/>
    <n v="4"/>
    <x v="21"/>
    <n v="1269.5853"/>
    <n v="8"/>
    <x v="2"/>
  </r>
  <r>
    <n v="406"/>
    <n v="28"/>
    <x v="2"/>
    <x v="0"/>
    <x v="7"/>
    <s v="Formal Shoes"/>
    <n v="170.45"/>
    <x v="1"/>
    <s v="Card"/>
    <n v="3.8"/>
    <x v="1"/>
    <n v="148.29149999999998"/>
    <n v="4"/>
    <x v="0"/>
  </r>
  <r>
    <n v="407"/>
    <n v="30"/>
    <x v="2"/>
    <x v="0"/>
    <x v="6"/>
    <s v="Skincare Kit"/>
    <n v="47.97"/>
    <x v="1"/>
    <s v="Card"/>
    <n v="3.7"/>
    <x v="0"/>
    <n v="39.3354"/>
    <n v="4"/>
    <x v="0"/>
  </r>
  <r>
    <n v="408"/>
    <n v="31"/>
    <x v="0"/>
    <x v="0"/>
    <x v="8"/>
    <s v="Jeans"/>
    <n v="152"/>
    <x v="1"/>
    <s v="Card"/>
    <n v="3.5"/>
    <x v="18"/>
    <n v="115.52"/>
    <n v="7"/>
    <x v="0"/>
  </r>
  <r>
    <n v="409"/>
    <n v="60"/>
    <x v="0"/>
    <x v="0"/>
    <x v="6"/>
    <s v="Perfume"/>
    <n v="77.790000000000006"/>
    <x v="0"/>
    <s v="Card"/>
    <n v="4.7"/>
    <x v="2"/>
    <n v="69.233100000000007"/>
    <n v="3"/>
    <x v="1"/>
  </r>
  <r>
    <n v="410"/>
    <n v="46"/>
    <x v="0"/>
    <x v="0"/>
    <x v="8"/>
    <s v="Top"/>
    <n v="55.8"/>
    <x v="3"/>
    <s v="Cash on Delivery"/>
    <n v="3.1"/>
    <x v="10"/>
    <n v="43.524000000000001"/>
    <n v="6"/>
    <x v="0"/>
  </r>
  <r>
    <n v="411"/>
    <n v="66"/>
    <x v="1"/>
    <x v="1"/>
    <x v="2"/>
    <s v="Dumbbells"/>
    <n v="140.76"/>
    <x v="2"/>
    <s v="Card"/>
    <n v="3.7"/>
    <x v="11"/>
    <n v="104.16239999999999"/>
    <n v="8"/>
    <x v="2"/>
  </r>
  <r>
    <n v="412"/>
    <n v="69"/>
    <x v="1"/>
    <x v="1"/>
    <x v="2"/>
    <s v="Dumbbells"/>
    <n v="31.84"/>
    <x v="0"/>
    <s v="Cash on Delivery"/>
    <n v="4"/>
    <x v="0"/>
    <n v="26.108800000000002"/>
    <n v="4"/>
    <x v="0"/>
  </r>
  <r>
    <n v="413"/>
    <n v="56"/>
    <x v="0"/>
    <x v="1"/>
    <x v="1"/>
    <s v="Shirt"/>
    <n v="175.84"/>
    <x v="0"/>
    <s v="Card"/>
    <n v="2.7"/>
    <x v="6"/>
    <n v="147.7056"/>
    <n v="3"/>
    <x v="1"/>
  </r>
  <r>
    <n v="414"/>
    <n v="23"/>
    <x v="2"/>
    <x v="1"/>
    <x v="5"/>
    <s v="Headphones"/>
    <n v="2970.31"/>
    <x v="0"/>
    <s v="Card"/>
    <n v="3.6"/>
    <x v="8"/>
    <n v="2613.8728000000001"/>
    <n v="6"/>
    <x v="0"/>
  </r>
  <r>
    <n v="415"/>
    <n v="68"/>
    <x v="1"/>
    <x v="1"/>
    <x v="1"/>
    <s v="Shirt"/>
    <n v="43.47"/>
    <x v="3"/>
    <s v="Cash on Delivery"/>
    <n v="5"/>
    <x v="23"/>
    <n v="40.427099999999996"/>
    <n v="1"/>
    <x v="1"/>
  </r>
  <r>
    <n v="416"/>
    <n v="38"/>
    <x v="0"/>
    <x v="0"/>
    <x v="6"/>
    <s v="Makeup Set"/>
    <n v="99.24"/>
    <x v="0"/>
    <s v="Card"/>
    <n v="3.5"/>
    <x v="22"/>
    <n v="76.4148"/>
    <n v="9"/>
    <x v="2"/>
  </r>
  <r>
    <n v="417"/>
    <n v="39"/>
    <x v="0"/>
    <x v="0"/>
    <x v="7"/>
    <s v="Sneakers"/>
    <n v="69.989999999999995"/>
    <x v="3"/>
    <s v="Card"/>
    <n v="3"/>
    <x v="7"/>
    <n v="62.991"/>
    <n v="5"/>
    <x v="0"/>
  </r>
  <r>
    <n v="418"/>
    <n v="64"/>
    <x v="1"/>
    <x v="0"/>
    <x v="4"/>
    <s v="Cooking Oil"/>
    <n v="27.74"/>
    <x v="3"/>
    <s v="Card"/>
    <n v="2.2999999999999998"/>
    <x v="19"/>
    <n v="23.578999999999997"/>
    <n v="5"/>
    <x v="0"/>
  </r>
  <r>
    <n v="419"/>
    <n v="26"/>
    <x v="2"/>
    <x v="0"/>
    <x v="3"/>
    <s v="Kitchen Set"/>
    <n v="175.14"/>
    <x v="2"/>
    <s v="Card"/>
    <n v="4.5"/>
    <x v="8"/>
    <n v="154.1232"/>
    <n v="1"/>
    <x v="1"/>
  </r>
  <r>
    <n v="420"/>
    <n v="58"/>
    <x v="0"/>
    <x v="0"/>
    <x v="0"/>
    <s v="Sunglasses"/>
    <n v="105.33"/>
    <x v="0"/>
    <s v="Card"/>
    <n v="4.5"/>
    <x v="10"/>
    <n v="82.157399999999996"/>
    <n v="6"/>
    <x v="0"/>
  </r>
  <r>
    <n v="421"/>
    <n v="33"/>
    <x v="0"/>
    <x v="1"/>
    <x v="5"/>
    <s v="Headphones"/>
    <n v="2028.35"/>
    <x v="2"/>
    <s v="Card"/>
    <n v="3.6"/>
    <x v="5"/>
    <n v="1866.0820000000001"/>
    <n v="4"/>
    <x v="0"/>
  </r>
  <r>
    <n v="422"/>
    <n v="54"/>
    <x v="0"/>
    <x v="0"/>
    <x v="6"/>
    <s v="Skincare Kit"/>
    <n v="44.38"/>
    <x v="1"/>
    <s v="Cash on Delivery"/>
    <n v="4.9000000000000004"/>
    <x v="6"/>
    <n v="37.279200000000003"/>
    <n v="3"/>
    <x v="1"/>
  </r>
  <r>
    <n v="423"/>
    <n v="37"/>
    <x v="0"/>
    <x v="0"/>
    <x v="0"/>
    <s v="Wallet"/>
    <n v="124.7"/>
    <x v="1"/>
    <s v="Card"/>
    <n v="4.5999999999999996"/>
    <x v="10"/>
    <n v="97.266000000000005"/>
    <n v="6"/>
    <x v="0"/>
  </r>
  <r>
    <n v="424"/>
    <n v="27"/>
    <x v="2"/>
    <x v="1"/>
    <x v="1"/>
    <s v="Shirt"/>
    <n v="117.37"/>
    <x v="3"/>
    <s v="Card"/>
    <n v="3.7"/>
    <x v="3"/>
    <n v="93.896000000000015"/>
    <n v="5"/>
    <x v="0"/>
  </r>
  <r>
    <n v="425"/>
    <n v="67"/>
    <x v="1"/>
    <x v="0"/>
    <x v="0"/>
    <s v="Sunglasses"/>
    <n v="81.81"/>
    <x v="1"/>
    <s v="Cash on Delivery"/>
    <n v="3.8"/>
    <x v="1"/>
    <n v="71.174700000000001"/>
    <n v="4"/>
    <x v="0"/>
  </r>
  <r>
    <n v="426"/>
    <n v="34"/>
    <x v="0"/>
    <x v="0"/>
    <x v="6"/>
    <s v="Perfume"/>
    <n v="108.57"/>
    <x v="2"/>
    <s v="Card"/>
    <n v="4.9000000000000004"/>
    <x v="1"/>
    <n v="94.4559"/>
    <n v="4"/>
    <x v="0"/>
  </r>
  <r>
    <n v="427"/>
    <n v="70"/>
    <x v="1"/>
    <x v="0"/>
    <x v="0"/>
    <s v="Wallet"/>
    <n v="150.37"/>
    <x v="0"/>
    <s v="Card"/>
    <n v="4.5"/>
    <x v="7"/>
    <n v="135.333"/>
    <n v="5"/>
    <x v="0"/>
  </r>
  <r>
    <n v="428"/>
    <n v="21"/>
    <x v="2"/>
    <x v="0"/>
    <x v="4"/>
    <s v="Beverages"/>
    <n v="21.02"/>
    <x v="0"/>
    <s v="Card"/>
    <n v="2.7"/>
    <x v="4"/>
    <n v="18.077199999999998"/>
    <n v="7"/>
    <x v="0"/>
  </r>
  <r>
    <n v="429"/>
    <n v="67"/>
    <x v="1"/>
    <x v="0"/>
    <x v="7"/>
    <s v="Sneakers"/>
    <n v="203.32"/>
    <x v="3"/>
    <s v="Card"/>
    <n v="3.3"/>
    <x v="7"/>
    <n v="182.988"/>
    <n v="5"/>
    <x v="0"/>
  </r>
  <r>
    <n v="430"/>
    <n v="45"/>
    <x v="0"/>
    <x v="0"/>
    <x v="0"/>
    <s v="Sunglasses"/>
    <n v="67.03"/>
    <x v="0"/>
    <s v="Cash on Delivery"/>
    <n v="3.6"/>
    <x v="21"/>
    <n v="52.953700000000005"/>
    <n v="8"/>
    <x v="2"/>
  </r>
  <r>
    <n v="431"/>
    <n v="64"/>
    <x v="1"/>
    <x v="1"/>
    <x v="5"/>
    <s v="Mobile Phone"/>
    <n v="1948.28"/>
    <x v="3"/>
    <s v="Card"/>
    <n v="4.2"/>
    <x v="3"/>
    <n v="1558.624"/>
    <n v="5"/>
    <x v="0"/>
  </r>
  <r>
    <n v="432"/>
    <n v="51"/>
    <x v="0"/>
    <x v="0"/>
    <x v="8"/>
    <s v="Jeans"/>
    <n v="108.88"/>
    <x v="0"/>
    <s v="Card"/>
    <n v="3.7"/>
    <x v="19"/>
    <n v="92.547999999999988"/>
    <n v="5"/>
    <x v="0"/>
  </r>
  <r>
    <n v="433"/>
    <n v="41"/>
    <x v="0"/>
    <x v="0"/>
    <x v="4"/>
    <s v="Rice Pack"/>
    <n v="42.47"/>
    <x v="3"/>
    <s v="Cash on Delivery"/>
    <n v="2.5"/>
    <x v="7"/>
    <n v="38.222999999999999"/>
    <n v="5"/>
    <x v="0"/>
  </r>
  <r>
    <n v="434"/>
    <n v="61"/>
    <x v="1"/>
    <x v="1"/>
    <x v="1"/>
    <s v="Jacket"/>
    <n v="57.77"/>
    <x v="3"/>
    <s v="Card"/>
    <n v="3.5"/>
    <x v="0"/>
    <n v="47.371400000000008"/>
    <n v="4"/>
    <x v="0"/>
  </r>
  <r>
    <n v="435"/>
    <n v="47"/>
    <x v="0"/>
    <x v="1"/>
    <x v="4"/>
    <s v="Snacks"/>
    <n v="28.68"/>
    <x v="3"/>
    <s v="Cash on Delivery"/>
    <n v="3.8"/>
    <x v="19"/>
    <n v="24.378"/>
    <n v="5"/>
    <x v="0"/>
  </r>
  <r>
    <n v="436"/>
    <n v="38"/>
    <x v="0"/>
    <x v="1"/>
    <x v="1"/>
    <s v="Shirt"/>
    <n v="59"/>
    <x v="3"/>
    <s v="Card"/>
    <n v="4.0999999999999996"/>
    <x v="8"/>
    <n v="51.92"/>
    <n v="6"/>
    <x v="0"/>
  </r>
  <r>
    <n v="437"/>
    <n v="50"/>
    <x v="0"/>
    <x v="0"/>
    <x v="0"/>
    <s v="Sunglasses"/>
    <n v="128.94999999999999"/>
    <x v="0"/>
    <s v="Card"/>
    <n v="4.3"/>
    <x v="12"/>
    <n v="104.4495"/>
    <n v="7"/>
    <x v="0"/>
  </r>
  <r>
    <n v="438"/>
    <n v="29"/>
    <x v="2"/>
    <x v="1"/>
    <x v="1"/>
    <s v="T-Shirt"/>
    <n v="163.33000000000001"/>
    <x v="0"/>
    <s v="Card"/>
    <n v="4.7"/>
    <x v="9"/>
    <n v="119.23090000000001"/>
    <n v="11"/>
    <x v="2"/>
  </r>
  <r>
    <n v="439"/>
    <n v="24"/>
    <x v="2"/>
    <x v="0"/>
    <x v="7"/>
    <s v="Sneakers"/>
    <n v="42.5"/>
    <x v="3"/>
    <s v="Card"/>
    <n v="3.6"/>
    <x v="0"/>
    <n v="34.85"/>
    <n v="9"/>
    <x v="2"/>
  </r>
  <r>
    <n v="440"/>
    <n v="57"/>
    <x v="0"/>
    <x v="1"/>
    <x v="1"/>
    <s v="Jacket"/>
    <n v="34.25"/>
    <x v="3"/>
    <s v="Cash on Delivery"/>
    <n v="4.3"/>
    <x v="3"/>
    <n v="27.400000000000002"/>
    <n v="10"/>
    <x v="2"/>
  </r>
  <r>
    <n v="441"/>
    <n v="42"/>
    <x v="0"/>
    <x v="1"/>
    <x v="2"/>
    <s v="Yoga Mat"/>
    <n v="36.03"/>
    <x v="3"/>
    <s v="Cash on Delivery"/>
    <n v="4.4000000000000004"/>
    <x v="10"/>
    <n v="28.103400000000001"/>
    <n v="6"/>
    <x v="0"/>
  </r>
  <r>
    <n v="442"/>
    <n v="48"/>
    <x v="0"/>
    <x v="1"/>
    <x v="1"/>
    <s v="T-Shirt"/>
    <n v="78.25"/>
    <x v="2"/>
    <s v="Cash on Delivery"/>
    <n v="3.3"/>
    <x v="7"/>
    <n v="70.424999999999997"/>
    <n v="5"/>
    <x v="0"/>
  </r>
  <r>
    <n v="443"/>
    <n v="22"/>
    <x v="2"/>
    <x v="0"/>
    <x v="8"/>
    <s v="Dress"/>
    <n v="162.85"/>
    <x v="2"/>
    <s v="Card"/>
    <n v="3.7"/>
    <x v="7"/>
    <n v="146.565"/>
    <n v="5"/>
    <x v="0"/>
  </r>
  <r>
    <n v="444"/>
    <n v="64"/>
    <x v="1"/>
    <x v="0"/>
    <x v="0"/>
    <s v="Wallet"/>
    <n v="143.93"/>
    <x v="2"/>
    <s v="Card"/>
    <n v="3.3"/>
    <x v="17"/>
    <n v="138.1728"/>
    <n v="2"/>
    <x v="1"/>
  </r>
  <r>
    <n v="445"/>
    <n v="43"/>
    <x v="0"/>
    <x v="1"/>
    <x v="2"/>
    <s v="Dumbbells"/>
    <n v="170.33"/>
    <x v="0"/>
    <s v="Card"/>
    <n v="3.8"/>
    <x v="3"/>
    <n v="136.26400000000001"/>
    <n v="5"/>
    <x v="0"/>
  </r>
  <r>
    <n v="446"/>
    <n v="26"/>
    <x v="2"/>
    <x v="1"/>
    <x v="5"/>
    <s v="Smart Watch"/>
    <n v="2141.41"/>
    <x v="1"/>
    <s v="Card"/>
    <n v="4.8"/>
    <x v="12"/>
    <n v="1734.5420999999999"/>
    <n v="7"/>
    <x v="0"/>
  </r>
  <r>
    <n v="447"/>
    <n v="55"/>
    <x v="0"/>
    <x v="1"/>
    <x v="2"/>
    <s v="Yoga Mat"/>
    <n v="140.47999999999999"/>
    <x v="0"/>
    <s v="Card"/>
    <n v="2.8"/>
    <x v="8"/>
    <n v="123.62239999999998"/>
    <n v="6"/>
    <x v="0"/>
  </r>
  <r>
    <n v="448"/>
    <n v="63"/>
    <x v="1"/>
    <x v="1"/>
    <x v="4"/>
    <s v="Cooking Oil"/>
    <n v="17.91"/>
    <x v="0"/>
    <s v="Cash on Delivery"/>
    <n v="3.3"/>
    <x v="1"/>
    <n v="15.5817"/>
    <n v="4"/>
    <x v="0"/>
  </r>
  <r>
    <n v="449"/>
    <n v="65"/>
    <x v="1"/>
    <x v="0"/>
    <x v="0"/>
    <s v="Wallet"/>
    <n v="129.87"/>
    <x v="3"/>
    <s v="Card"/>
    <n v="2.5"/>
    <x v="7"/>
    <n v="116.88300000000001"/>
    <n v="5"/>
    <x v="0"/>
  </r>
  <r>
    <n v="450"/>
    <n v="24"/>
    <x v="2"/>
    <x v="1"/>
    <x v="3"/>
    <s v="Kitchen Set"/>
    <n v="77.19"/>
    <x v="2"/>
    <s v="Card"/>
    <n v="2.2999999999999998"/>
    <x v="5"/>
    <n v="71.014799999999994"/>
    <n v="4"/>
    <x v="0"/>
  </r>
  <r>
    <n v="451"/>
    <n v="69"/>
    <x v="1"/>
    <x v="0"/>
    <x v="8"/>
    <s v="Jeans"/>
    <n v="164.53"/>
    <x v="1"/>
    <s v="Card"/>
    <n v="3.7"/>
    <x v="12"/>
    <n v="133.26930000000002"/>
    <n v="7"/>
    <x v="0"/>
  </r>
  <r>
    <n v="452"/>
    <n v="67"/>
    <x v="1"/>
    <x v="1"/>
    <x v="5"/>
    <s v="Smart Watch"/>
    <n v="1534.27"/>
    <x v="3"/>
    <s v="Card"/>
    <n v="4"/>
    <x v="5"/>
    <n v="1411.5284000000001"/>
    <n v="4"/>
    <x v="0"/>
  </r>
  <r>
    <n v="453"/>
    <n v="64"/>
    <x v="1"/>
    <x v="1"/>
    <x v="4"/>
    <s v="Cooking Oil"/>
    <n v="44.13"/>
    <x v="3"/>
    <s v="Card"/>
    <n v="3.8"/>
    <x v="1"/>
    <n v="38.393100000000004"/>
    <n v="4"/>
    <x v="0"/>
  </r>
  <r>
    <n v="454"/>
    <n v="32"/>
    <x v="0"/>
    <x v="1"/>
    <x v="7"/>
    <s v="Sandals"/>
    <n v="99.11"/>
    <x v="3"/>
    <s v="Cash on Delivery"/>
    <n v="3.8"/>
    <x v="8"/>
    <n v="87.216800000000006"/>
    <n v="1"/>
    <x v="1"/>
  </r>
  <r>
    <n v="455"/>
    <n v="21"/>
    <x v="2"/>
    <x v="0"/>
    <x v="8"/>
    <s v="Dress"/>
    <n v="105.8"/>
    <x v="3"/>
    <s v="Card"/>
    <n v="2.6"/>
    <x v="19"/>
    <n v="89.929999999999993"/>
    <n v="5"/>
    <x v="0"/>
  </r>
  <r>
    <n v="456"/>
    <n v="45"/>
    <x v="0"/>
    <x v="1"/>
    <x v="5"/>
    <s v="Mobile Phone"/>
    <n v="2490.98"/>
    <x v="0"/>
    <s v="Card"/>
    <n v="4.3"/>
    <x v="14"/>
    <n v="2067.5133999999998"/>
    <n v="6"/>
    <x v="0"/>
  </r>
  <r>
    <n v="457"/>
    <n v="41"/>
    <x v="0"/>
    <x v="1"/>
    <x v="1"/>
    <s v="Jacket"/>
    <n v="155.13"/>
    <x v="0"/>
    <s v="Card"/>
    <n v="3.2"/>
    <x v="18"/>
    <n v="117.89879999999999"/>
    <n v="7"/>
    <x v="0"/>
  </r>
  <r>
    <n v="458"/>
    <n v="69"/>
    <x v="1"/>
    <x v="0"/>
    <x v="7"/>
    <s v="Sneakers"/>
    <n v="70.56"/>
    <x v="2"/>
    <s v="Cash on Delivery"/>
    <n v="5"/>
    <x v="19"/>
    <n v="59.975999999999999"/>
    <n v="5"/>
    <x v="0"/>
  </r>
  <r>
    <n v="459"/>
    <n v="24"/>
    <x v="2"/>
    <x v="1"/>
    <x v="1"/>
    <s v="Jacket"/>
    <n v="177.39"/>
    <x v="2"/>
    <s v="Card"/>
    <n v="1.9"/>
    <x v="3"/>
    <n v="141.91200000000001"/>
    <n v="5"/>
    <x v="0"/>
  </r>
  <r>
    <n v="460"/>
    <n v="57"/>
    <x v="0"/>
    <x v="0"/>
    <x v="8"/>
    <s v="Top"/>
    <n v="106.69"/>
    <x v="1"/>
    <s v="Card"/>
    <n v="4.0999999999999996"/>
    <x v="19"/>
    <n v="90.686499999999995"/>
    <n v="5"/>
    <x v="0"/>
  </r>
  <r>
    <n v="461"/>
    <n v="41"/>
    <x v="0"/>
    <x v="0"/>
    <x v="0"/>
    <s v="Sunglasses"/>
    <n v="121.93"/>
    <x v="1"/>
    <s v="Card"/>
    <n v="3.5"/>
    <x v="3"/>
    <n v="97.544000000000011"/>
    <n v="5"/>
    <x v="0"/>
  </r>
  <r>
    <n v="462"/>
    <n v="44"/>
    <x v="0"/>
    <x v="1"/>
    <x v="1"/>
    <s v="Jeans"/>
    <n v="51.29"/>
    <x v="3"/>
    <s v="Card"/>
    <n v="3.3"/>
    <x v="16"/>
    <n v="48.212599999999995"/>
    <n v="3"/>
    <x v="1"/>
  </r>
  <r>
    <n v="463"/>
    <n v="37"/>
    <x v="0"/>
    <x v="1"/>
    <x v="2"/>
    <s v="Football"/>
    <n v="242.01"/>
    <x v="0"/>
    <s v="Card"/>
    <n v="2.8"/>
    <x v="16"/>
    <n v="227.48939999999999"/>
    <n v="3"/>
    <x v="1"/>
  </r>
  <r>
    <n v="464"/>
    <n v="43"/>
    <x v="0"/>
    <x v="1"/>
    <x v="7"/>
    <s v="Sandals"/>
    <n v="208.11"/>
    <x v="3"/>
    <s v="Card"/>
    <n v="3.1"/>
    <x v="16"/>
    <n v="195.6234"/>
    <n v="3"/>
    <x v="1"/>
  </r>
  <r>
    <n v="465"/>
    <n v="35"/>
    <x v="0"/>
    <x v="0"/>
    <x v="2"/>
    <s v="Yoga Mat"/>
    <n v="85.49"/>
    <x v="1"/>
    <s v="Card"/>
    <n v="2.7"/>
    <x v="8"/>
    <n v="75.231200000000001"/>
    <n v="6"/>
    <x v="0"/>
  </r>
  <r>
    <n v="466"/>
    <n v="42"/>
    <x v="0"/>
    <x v="1"/>
    <x v="5"/>
    <s v="Headphones"/>
    <n v="2867.88"/>
    <x v="1"/>
    <s v="Card"/>
    <n v="4.5999999999999996"/>
    <x v="21"/>
    <n v="2265.6252000000004"/>
    <n v="8"/>
    <x v="2"/>
  </r>
  <r>
    <n v="467"/>
    <n v="42"/>
    <x v="0"/>
    <x v="0"/>
    <x v="4"/>
    <s v="Snacks"/>
    <n v="18.72"/>
    <x v="1"/>
    <s v="Card"/>
    <n v="3.8"/>
    <x v="4"/>
    <n v="16.0992"/>
    <n v="7"/>
    <x v="0"/>
  </r>
  <r>
    <n v="468"/>
    <n v="58"/>
    <x v="0"/>
    <x v="1"/>
    <x v="5"/>
    <s v="Smart Watch"/>
    <n v="1855.04"/>
    <x v="1"/>
    <s v="Card"/>
    <n v="3.6"/>
    <x v="1"/>
    <n v="1613.8848"/>
    <n v="4"/>
    <x v="0"/>
  </r>
  <r>
    <n v="469"/>
    <n v="60"/>
    <x v="0"/>
    <x v="1"/>
    <x v="5"/>
    <s v="Headphones"/>
    <n v="2649.85"/>
    <x v="3"/>
    <s v="Card"/>
    <n v="2.8"/>
    <x v="1"/>
    <n v="2305.3694999999998"/>
    <n v="4"/>
    <x v="0"/>
  </r>
  <r>
    <n v="470"/>
    <n v="22"/>
    <x v="2"/>
    <x v="0"/>
    <x v="0"/>
    <s v="Handbag"/>
    <n v="92.79"/>
    <x v="1"/>
    <s v="Card"/>
    <n v="4.2"/>
    <x v="5"/>
    <n v="85.366800000000012"/>
    <n v="4"/>
    <x v="0"/>
  </r>
  <r>
    <n v="471"/>
    <n v="58"/>
    <x v="0"/>
    <x v="1"/>
    <x v="3"/>
    <s v="Kitchen Set"/>
    <n v="150.83000000000001"/>
    <x v="1"/>
    <s v="Card"/>
    <n v="2.6"/>
    <x v="23"/>
    <n v="140.27190000000002"/>
    <n v="1"/>
    <x v="1"/>
  </r>
  <r>
    <n v="472"/>
    <n v="34"/>
    <x v="0"/>
    <x v="0"/>
    <x v="4"/>
    <s v="Cooking Oil"/>
    <n v="29"/>
    <x v="3"/>
    <s v="Cash on Delivery"/>
    <n v="4.8"/>
    <x v="0"/>
    <n v="23.78"/>
    <n v="4"/>
    <x v="0"/>
  </r>
  <r>
    <n v="473"/>
    <n v="45"/>
    <x v="0"/>
    <x v="0"/>
    <x v="6"/>
    <s v="Makeup Set"/>
    <n v="95.57"/>
    <x v="2"/>
    <s v="Card"/>
    <n v="2.1"/>
    <x v="2"/>
    <n v="85.057299999999998"/>
    <n v="3"/>
    <x v="1"/>
  </r>
  <r>
    <n v="474"/>
    <n v="58"/>
    <x v="0"/>
    <x v="0"/>
    <x v="0"/>
    <s v="Wallet"/>
    <n v="155.49"/>
    <x v="1"/>
    <s v="Card"/>
    <n v="4.3"/>
    <x v="8"/>
    <n v="136.8312"/>
    <n v="6"/>
    <x v="0"/>
  </r>
  <r>
    <n v="475"/>
    <n v="39"/>
    <x v="0"/>
    <x v="1"/>
    <x v="3"/>
    <s v="Lamp"/>
    <n v="58.69"/>
    <x v="3"/>
    <s v="Cash on Delivery"/>
    <n v="3.3"/>
    <x v="14"/>
    <n v="48.712699999999998"/>
    <n v="6"/>
    <x v="0"/>
  </r>
  <r>
    <n v="476"/>
    <n v="55"/>
    <x v="0"/>
    <x v="0"/>
    <x v="6"/>
    <s v="Makeup Set"/>
    <n v="79.510000000000005"/>
    <x v="1"/>
    <s v="Cash on Delivery"/>
    <n v="2.4"/>
    <x v="6"/>
    <n v="66.788399999999996"/>
    <n v="3"/>
    <x v="1"/>
  </r>
  <r>
    <n v="477"/>
    <n v="58"/>
    <x v="0"/>
    <x v="1"/>
    <x v="5"/>
    <s v="Mobile Phone"/>
    <n v="2792.69"/>
    <x v="0"/>
    <s v="Card"/>
    <n v="3.7"/>
    <x v="4"/>
    <n v="2401.7134000000001"/>
    <n v="7"/>
    <x v="0"/>
  </r>
  <r>
    <n v="478"/>
    <n v="55"/>
    <x v="0"/>
    <x v="0"/>
    <x v="4"/>
    <s v="Snacks"/>
    <n v="78.239999999999995"/>
    <x v="3"/>
    <s v="Cash on Delivery"/>
    <n v="3.8"/>
    <x v="12"/>
    <n v="63.374400000000001"/>
    <n v="7"/>
    <x v="0"/>
  </r>
  <r>
    <n v="479"/>
    <n v="49"/>
    <x v="0"/>
    <x v="1"/>
    <x v="2"/>
    <s v="Dumbbells"/>
    <n v="213.36"/>
    <x v="1"/>
    <s v="Card"/>
    <n v="3.2"/>
    <x v="8"/>
    <n v="187.75680000000003"/>
    <n v="6"/>
    <x v="0"/>
  </r>
  <r>
    <n v="480"/>
    <n v="39"/>
    <x v="0"/>
    <x v="1"/>
    <x v="1"/>
    <s v="Jeans"/>
    <n v="49.04"/>
    <x v="1"/>
    <s v="Cash on Delivery"/>
    <n v="3.9"/>
    <x v="12"/>
    <n v="39.7224"/>
    <n v="7"/>
    <x v="0"/>
  </r>
  <r>
    <n v="481"/>
    <n v="54"/>
    <x v="0"/>
    <x v="1"/>
    <x v="7"/>
    <s v="Sandals"/>
    <n v="50.57"/>
    <x v="0"/>
    <s v="Cash on Delivery"/>
    <n v="3.5"/>
    <x v="17"/>
    <n v="48.547199999999997"/>
    <n v="2"/>
    <x v="1"/>
  </r>
  <r>
    <n v="482"/>
    <n v="51"/>
    <x v="0"/>
    <x v="0"/>
    <x v="6"/>
    <s v="Makeup Set"/>
    <n v="78.510000000000005"/>
    <x v="3"/>
    <s v="Card"/>
    <n v="5"/>
    <x v="7"/>
    <n v="70.659000000000006"/>
    <n v="5"/>
    <x v="0"/>
  </r>
  <r>
    <n v="483"/>
    <n v="53"/>
    <x v="0"/>
    <x v="0"/>
    <x v="0"/>
    <s v="Handbag"/>
    <n v="73.069999999999993"/>
    <x v="1"/>
    <s v="Card"/>
    <n v="3.3"/>
    <x v="19"/>
    <n v="62.10949999999999"/>
    <n v="5"/>
    <x v="0"/>
  </r>
  <r>
    <n v="484"/>
    <n v="43"/>
    <x v="0"/>
    <x v="1"/>
    <x v="3"/>
    <s v="Curtains"/>
    <n v="299.95999999999998"/>
    <x v="1"/>
    <s v="Card"/>
    <n v="3.4"/>
    <x v="26"/>
    <n v="284.96199999999999"/>
    <n v="0"/>
    <x v="1"/>
  </r>
  <r>
    <n v="485"/>
    <n v="43"/>
    <x v="0"/>
    <x v="1"/>
    <x v="2"/>
    <s v="Football"/>
    <n v="239.89"/>
    <x v="3"/>
    <s v="Card"/>
    <n v="3.7"/>
    <x v="15"/>
    <n v="235.09219999999999"/>
    <n v="1"/>
    <x v="1"/>
  </r>
  <r>
    <n v="486"/>
    <n v="48"/>
    <x v="0"/>
    <x v="0"/>
    <x v="8"/>
    <s v="Top"/>
    <n v="98.38"/>
    <x v="2"/>
    <s v="Cash on Delivery"/>
    <n v="4.2"/>
    <x v="4"/>
    <n v="84.606799999999993"/>
    <n v="2"/>
    <x v="1"/>
  </r>
  <r>
    <n v="487"/>
    <n v="52"/>
    <x v="0"/>
    <x v="1"/>
    <x v="2"/>
    <s v="Dumbbells"/>
    <n v="152.29"/>
    <x v="1"/>
    <s v="Card"/>
    <n v="3.2"/>
    <x v="4"/>
    <n v="130.96939999999998"/>
    <n v="2"/>
    <x v="1"/>
  </r>
  <r>
    <n v="488"/>
    <n v="69"/>
    <x v="1"/>
    <x v="0"/>
    <x v="8"/>
    <s v="Jeans"/>
    <n v="96.34"/>
    <x v="2"/>
    <s v="Card"/>
    <n v="3.8"/>
    <x v="11"/>
    <n v="71.291600000000003"/>
    <n v="8"/>
    <x v="2"/>
  </r>
  <r>
    <n v="489"/>
    <n v="26"/>
    <x v="2"/>
    <x v="0"/>
    <x v="0"/>
    <s v="Wallet"/>
    <n v="100.05"/>
    <x v="3"/>
    <s v="Card"/>
    <n v="3.7"/>
    <x v="2"/>
    <n v="89.044499999999999"/>
    <n v="3"/>
    <x v="1"/>
  </r>
  <r>
    <n v="490"/>
    <n v="34"/>
    <x v="0"/>
    <x v="0"/>
    <x v="8"/>
    <s v="Skirt"/>
    <n v="96.07"/>
    <x v="1"/>
    <s v="Card"/>
    <n v="3.1"/>
    <x v="8"/>
    <n v="84.541599999999988"/>
    <n v="6"/>
    <x v="0"/>
  </r>
  <r>
    <n v="491"/>
    <n v="30"/>
    <x v="2"/>
    <x v="0"/>
    <x v="8"/>
    <s v="Top"/>
    <n v="46.55"/>
    <x v="3"/>
    <s v="Card"/>
    <n v="4.0999999999999996"/>
    <x v="5"/>
    <n v="42.826000000000001"/>
    <n v="4"/>
    <x v="0"/>
  </r>
  <r>
    <n v="492"/>
    <n v="25"/>
    <x v="2"/>
    <x v="0"/>
    <x v="6"/>
    <s v="Perfume"/>
    <n v="86.16"/>
    <x v="0"/>
    <s v="Cash on Delivery"/>
    <n v="4.5"/>
    <x v="16"/>
    <n v="80.990399999999994"/>
    <n v="3"/>
    <x v="1"/>
  </r>
  <r>
    <n v="493"/>
    <n v="61"/>
    <x v="1"/>
    <x v="0"/>
    <x v="0"/>
    <s v="Sunglasses"/>
    <n v="174.31"/>
    <x v="1"/>
    <s v="Card"/>
    <n v="5"/>
    <x v="18"/>
    <n v="132.47560000000001"/>
    <n v="7"/>
    <x v="0"/>
  </r>
  <r>
    <n v="494"/>
    <n v="27"/>
    <x v="2"/>
    <x v="0"/>
    <x v="7"/>
    <s v="Formal Shoes"/>
    <n v="150.44999999999999"/>
    <x v="1"/>
    <s v="Card"/>
    <n v="3.7"/>
    <x v="4"/>
    <n v="129.387"/>
    <n v="7"/>
    <x v="0"/>
  </r>
  <r>
    <n v="495"/>
    <n v="40"/>
    <x v="0"/>
    <x v="1"/>
    <x v="2"/>
    <s v="Football"/>
    <n v="106"/>
    <x v="2"/>
    <s v="Card"/>
    <n v="3.4"/>
    <x v="0"/>
    <n v="86.92"/>
    <n v="4"/>
    <x v="0"/>
  </r>
  <r>
    <n v="496"/>
    <n v="44"/>
    <x v="0"/>
    <x v="1"/>
    <x v="2"/>
    <s v="Dumbbells"/>
    <n v="119.84"/>
    <x v="0"/>
    <s v="Card"/>
    <n v="3.6"/>
    <x v="13"/>
    <n v="109.0544"/>
    <n v="2"/>
    <x v="1"/>
  </r>
  <r>
    <n v="497"/>
    <n v="49"/>
    <x v="0"/>
    <x v="0"/>
    <x v="6"/>
    <s v="Perfume"/>
    <n v="102.61"/>
    <x v="0"/>
    <s v="Card"/>
    <n v="4.5999999999999996"/>
    <x v="11"/>
    <n v="75.931399999999996"/>
    <n v="8"/>
    <x v="2"/>
  </r>
  <r>
    <n v="498"/>
    <n v="45"/>
    <x v="0"/>
    <x v="0"/>
    <x v="8"/>
    <s v="Dress"/>
    <n v="82.9"/>
    <x v="1"/>
    <s v="Cash on Delivery"/>
    <n v="3.9"/>
    <x v="6"/>
    <n v="69.635999999999996"/>
    <n v="8"/>
    <x v="2"/>
  </r>
  <r>
    <n v="499"/>
    <n v="31"/>
    <x v="0"/>
    <x v="1"/>
    <x v="2"/>
    <s v="Yoga Mat"/>
    <n v="72.099999999999994"/>
    <x v="1"/>
    <s v="Card"/>
    <n v="4.3"/>
    <x v="8"/>
    <n v="63.447999999999993"/>
    <n v="6"/>
    <x v="0"/>
  </r>
  <r>
    <n v="500"/>
    <n v="51"/>
    <x v="0"/>
    <x v="1"/>
    <x v="7"/>
    <s v="Sneakers"/>
    <n v="214.97"/>
    <x v="0"/>
    <s v="Card"/>
    <n v="4.0999999999999996"/>
    <x v="10"/>
    <n v="167.67660000000001"/>
    <n v="6"/>
    <x v="0"/>
  </r>
  <r>
    <n v="501"/>
    <n v="27"/>
    <x v="2"/>
    <x v="1"/>
    <x v="5"/>
    <s v="Laptop"/>
    <n v="1871.95"/>
    <x v="1"/>
    <s v="Card"/>
    <n v="4.3"/>
    <x v="19"/>
    <n v="1591.1575"/>
    <n v="5"/>
    <x v="0"/>
  </r>
  <r>
    <n v="502"/>
    <n v="50"/>
    <x v="0"/>
    <x v="0"/>
    <x v="0"/>
    <s v="Handbag"/>
    <n v="40.1"/>
    <x v="0"/>
    <s v="Cash on Delivery"/>
    <n v="3.9"/>
    <x v="12"/>
    <n v="32.481000000000002"/>
    <n v="7"/>
    <x v="0"/>
  </r>
  <r>
    <n v="503"/>
    <n v="24"/>
    <x v="2"/>
    <x v="0"/>
    <x v="6"/>
    <s v="Makeup Set"/>
    <n v="96.8"/>
    <x v="1"/>
    <s v="Card"/>
    <n v="4.5999999999999996"/>
    <x v="21"/>
    <n v="76.471999999999994"/>
    <n v="8"/>
    <x v="2"/>
  </r>
  <r>
    <n v="504"/>
    <n v="59"/>
    <x v="0"/>
    <x v="1"/>
    <x v="3"/>
    <s v="Curtains"/>
    <n v="43.39"/>
    <x v="0"/>
    <s v="Cash on Delivery"/>
    <n v="5"/>
    <x v="8"/>
    <n v="38.183199999999999"/>
    <n v="1"/>
    <x v="1"/>
  </r>
  <r>
    <n v="505"/>
    <n v="26"/>
    <x v="2"/>
    <x v="0"/>
    <x v="0"/>
    <s v="Sunglasses"/>
    <n v="26.57"/>
    <x v="3"/>
    <s v="Cash on Delivery"/>
    <n v="4.4000000000000004"/>
    <x v="10"/>
    <n v="20.724600000000002"/>
    <n v="6"/>
    <x v="0"/>
  </r>
  <r>
    <n v="506"/>
    <n v="57"/>
    <x v="0"/>
    <x v="0"/>
    <x v="8"/>
    <s v="Skirt"/>
    <n v="187.19"/>
    <x v="3"/>
    <s v="Card"/>
    <n v="4.7"/>
    <x v="6"/>
    <n v="157.2396"/>
    <n v="3"/>
    <x v="1"/>
  </r>
  <r>
    <n v="507"/>
    <n v="37"/>
    <x v="0"/>
    <x v="1"/>
    <x v="7"/>
    <s v="Sandals"/>
    <n v="80.92"/>
    <x v="0"/>
    <s v="Cash on Delivery"/>
    <n v="3"/>
    <x v="4"/>
    <n v="69.591200000000001"/>
    <n v="7"/>
    <x v="0"/>
  </r>
  <r>
    <n v="508"/>
    <n v="44"/>
    <x v="0"/>
    <x v="1"/>
    <x v="5"/>
    <s v="Laptop"/>
    <n v="1002.94"/>
    <x v="3"/>
    <s v="Card"/>
    <n v="2.2999999999999998"/>
    <x v="4"/>
    <n v="862.52840000000003"/>
    <n v="2"/>
    <x v="1"/>
  </r>
  <r>
    <n v="509"/>
    <n v="23"/>
    <x v="2"/>
    <x v="0"/>
    <x v="6"/>
    <s v="Perfume"/>
    <n v="65.349999999999994"/>
    <x v="3"/>
    <s v="Card"/>
    <n v="2.7"/>
    <x v="6"/>
    <n v="54.893999999999991"/>
    <n v="3"/>
    <x v="1"/>
  </r>
  <r>
    <n v="510"/>
    <n v="21"/>
    <x v="2"/>
    <x v="1"/>
    <x v="7"/>
    <s v="Formal Shoes"/>
    <n v="87.39"/>
    <x v="0"/>
    <s v="Card"/>
    <n v="3.7"/>
    <x v="16"/>
    <n v="82.146599999999992"/>
    <n v="3"/>
    <x v="1"/>
  </r>
  <r>
    <n v="511"/>
    <n v="38"/>
    <x v="0"/>
    <x v="1"/>
    <x v="5"/>
    <s v="Laptop"/>
    <n v="1886.55"/>
    <x v="3"/>
    <s v="Card"/>
    <n v="3.8"/>
    <x v="6"/>
    <n v="1584.702"/>
    <n v="3"/>
    <x v="1"/>
  </r>
  <r>
    <n v="512"/>
    <n v="58"/>
    <x v="0"/>
    <x v="0"/>
    <x v="8"/>
    <s v="Top"/>
    <n v="166.84"/>
    <x v="1"/>
    <s v="Card"/>
    <n v="4.5999999999999996"/>
    <x v="0"/>
    <n v="136.80880000000002"/>
    <n v="4"/>
    <x v="0"/>
  </r>
  <r>
    <n v="513"/>
    <n v="37"/>
    <x v="0"/>
    <x v="0"/>
    <x v="6"/>
    <s v="Skincare Kit"/>
    <n v="87.84"/>
    <x v="1"/>
    <s v="Card"/>
    <n v="4.0999999999999996"/>
    <x v="23"/>
    <n v="81.691199999999995"/>
    <n v="1"/>
    <x v="1"/>
  </r>
  <r>
    <n v="514"/>
    <n v="44"/>
    <x v="0"/>
    <x v="0"/>
    <x v="6"/>
    <s v="Makeup Set"/>
    <n v="110.61"/>
    <x v="0"/>
    <s v="Card"/>
    <n v="3.5"/>
    <x v="1"/>
    <n v="96.230699999999999"/>
    <n v="4"/>
    <x v="0"/>
  </r>
  <r>
    <n v="515"/>
    <n v="55"/>
    <x v="0"/>
    <x v="1"/>
    <x v="3"/>
    <s v="Lamp"/>
    <n v="130.03"/>
    <x v="2"/>
    <s v="Card"/>
    <n v="3.1"/>
    <x v="4"/>
    <n v="111.8258"/>
    <n v="7"/>
    <x v="0"/>
  </r>
  <r>
    <n v="516"/>
    <n v="33"/>
    <x v="0"/>
    <x v="0"/>
    <x v="0"/>
    <s v="Sunglasses"/>
    <n v="97.26"/>
    <x v="3"/>
    <s v="Card"/>
    <n v="3.1"/>
    <x v="7"/>
    <n v="87.534000000000006"/>
    <n v="5"/>
    <x v="0"/>
  </r>
  <r>
    <n v="517"/>
    <n v="39"/>
    <x v="0"/>
    <x v="0"/>
    <x v="6"/>
    <s v="Makeup Set"/>
    <n v="35.18"/>
    <x v="0"/>
    <s v="Card"/>
    <n v="4.0999999999999996"/>
    <x v="14"/>
    <n v="29.199399999999997"/>
    <n v="6"/>
    <x v="0"/>
  </r>
  <r>
    <n v="518"/>
    <n v="44"/>
    <x v="0"/>
    <x v="1"/>
    <x v="2"/>
    <s v="Dumbbells"/>
    <n v="93.78"/>
    <x v="3"/>
    <s v="Cash on Delivery"/>
    <n v="5"/>
    <x v="14"/>
    <n v="77.837400000000002"/>
    <n v="6"/>
    <x v="0"/>
  </r>
  <r>
    <n v="519"/>
    <n v="26"/>
    <x v="2"/>
    <x v="1"/>
    <x v="7"/>
    <s v="Sneakers"/>
    <n v="235.26"/>
    <x v="3"/>
    <s v="Card"/>
    <n v="4.9000000000000004"/>
    <x v="1"/>
    <n v="204.67619999999999"/>
    <n v="4"/>
    <x v="0"/>
  </r>
  <r>
    <n v="520"/>
    <n v="62"/>
    <x v="1"/>
    <x v="1"/>
    <x v="2"/>
    <s v="Dumbbells"/>
    <n v="136.94"/>
    <x v="0"/>
    <s v="Card"/>
    <n v="3.6"/>
    <x v="19"/>
    <n v="116.399"/>
    <n v="5"/>
    <x v="0"/>
  </r>
  <r>
    <n v="521"/>
    <n v="60"/>
    <x v="0"/>
    <x v="0"/>
    <x v="7"/>
    <s v="Formal Shoes"/>
    <n v="149.44999999999999"/>
    <x v="2"/>
    <s v="Card"/>
    <n v="3.3"/>
    <x v="16"/>
    <n v="140.48299999999998"/>
    <n v="3"/>
    <x v="1"/>
  </r>
  <r>
    <n v="522"/>
    <n v="42"/>
    <x v="0"/>
    <x v="1"/>
    <x v="7"/>
    <s v="Formal Shoes"/>
    <n v="122.86"/>
    <x v="3"/>
    <s v="Card"/>
    <n v="4.7"/>
    <x v="0"/>
    <n v="100.74520000000001"/>
    <n v="4"/>
    <x v="0"/>
  </r>
  <r>
    <n v="523"/>
    <n v="32"/>
    <x v="0"/>
    <x v="0"/>
    <x v="7"/>
    <s v="Formal Shoes"/>
    <n v="156.61000000000001"/>
    <x v="3"/>
    <s v="Card"/>
    <n v="4.7"/>
    <x v="10"/>
    <n v="122.15580000000001"/>
    <n v="6"/>
    <x v="0"/>
  </r>
  <r>
    <n v="524"/>
    <n v="29"/>
    <x v="2"/>
    <x v="1"/>
    <x v="2"/>
    <s v="Dumbbells"/>
    <n v="88.8"/>
    <x v="0"/>
    <s v="Card"/>
    <n v="3.1"/>
    <x v="10"/>
    <n v="69.263999999999996"/>
    <n v="6"/>
    <x v="0"/>
  </r>
  <r>
    <n v="525"/>
    <n v="46"/>
    <x v="0"/>
    <x v="1"/>
    <x v="1"/>
    <s v="Shirt"/>
    <n v="165.74"/>
    <x v="0"/>
    <s v="Card"/>
    <n v="4.2"/>
    <x v="16"/>
    <n v="155.79560000000001"/>
    <n v="3"/>
    <x v="1"/>
  </r>
  <r>
    <n v="526"/>
    <n v="61"/>
    <x v="1"/>
    <x v="1"/>
    <x v="3"/>
    <s v="Kitchen Set"/>
    <n v="220.45"/>
    <x v="1"/>
    <s v="Card"/>
    <n v="3.2"/>
    <x v="14"/>
    <n v="182.97349999999997"/>
    <n v="6"/>
    <x v="0"/>
  </r>
  <r>
    <n v="527"/>
    <n v="27"/>
    <x v="2"/>
    <x v="1"/>
    <x v="1"/>
    <s v="Jeans"/>
    <n v="110.6"/>
    <x v="0"/>
    <s v="Card"/>
    <n v="3.6"/>
    <x v="7"/>
    <n v="99.539999999999992"/>
    <n v="0"/>
    <x v="1"/>
  </r>
  <r>
    <n v="528"/>
    <n v="56"/>
    <x v="0"/>
    <x v="0"/>
    <x v="6"/>
    <s v="Makeup Set"/>
    <n v="135.51"/>
    <x v="3"/>
    <s v="Card"/>
    <n v="4.4000000000000004"/>
    <x v="11"/>
    <n v="100.27739999999999"/>
    <n v="8"/>
    <x v="2"/>
  </r>
  <r>
    <n v="529"/>
    <n v="54"/>
    <x v="0"/>
    <x v="1"/>
    <x v="1"/>
    <s v="Jeans"/>
    <n v="118.11"/>
    <x v="1"/>
    <s v="Card"/>
    <n v="3.2"/>
    <x v="1"/>
    <n v="102.7557"/>
    <n v="4"/>
    <x v="0"/>
  </r>
  <r>
    <n v="530"/>
    <n v="56"/>
    <x v="0"/>
    <x v="1"/>
    <x v="1"/>
    <s v="Shirt"/>
    <n v="125.17"/>
    <x v="0"/>
    <s v="Card"/>
    <n v="3.6"/>
    <x v="10"/>
    <n v="97.632600000000011"/>
    <n v="6"/>
    <x v="0"/>
  </r>
  <r>
    <n v="531"/>
    <n v="57"/>
    <x v="0"/>
    <x v="0"/>
    <x v="2"/>
    <s v="Yoga Mat"/>
    <n v="157.33000000000001"/>
    <x v="3"/>
    <s v="Card"/>
    <n v="3.9"/>
    <x v="1"/>
    <n v="136.87710000000001"/>
    <n v="4"/>
    <x v="0"/>
  </r>
  <r>
    <n v="532"/>
    <n v="29"/>
    <x v="2"/>
    <x v="0"/>
    <x v="4"/>
    <s v="Rice Pack"/>
    <n v="56.63"/>
    <x v="1"/>
    <s v="Card"/>
    <n v="4.5"/>
    <x v="1"/>
    <n v="49.268100000000004"/>
    <n v="4"/>
    <x v="0"/>
  </r>
  <r>
    <n v="533"/>
    <n v="30"/>
    <x v="2"/>
    <x v="0"/>
    <x v="0"/>
    <s v="Handbag"/>
    <n v="89.32"/>
    <x v="2"/>
    <s v="Cash on Delivery"/>
    <n v="4.5"/>
    <x v="8"/>
    <n v="78.601599999999991"/>
    <n v="6"/>
    <x v="0"/>
  </r>
  <r>
    <n v="534"/>
    <n v="20"/>
    <x v="2"/>
    <x v="0"/>
    <x v="8"/>
    <s v="Dress"/>
    <n v="131.59"/>
    <x v="0"/>
    <s v="Card"/>
    <n v="4.2"/>
    <x v="14"/>
    <n v="109.2197"/>
    <n v="6"/>
    <x v="0"/>
  </r>
  <r>
    <n v="535"/>
    <n v="31"/>
    <x v="0"/>
    <x v="1"/>
    <x v="2"/>
    <s v="Yoga Mat"/>
    <n v="45.03"/>
    <x v="1"/>
    <s v="Cash on Delivery"/>
    <n v="4.9000000000000004"/>
    <x v="8"/>
    <n v="39.626400000000004"/>
    <n v="6"/>
    <x v="0"/>
  </r>
  <r>
    <n v="536"/>
    <n v="49"/>
    <x v="0"/>
    <x v="1"/>
    <x v="7"/>
    <s v="Formal Shoes"/>
    <n v="105.07"/>
    <x v="3"/>
    <s v="Card"/>
    <n v="4.2"/>
    <x v="4"/>
    <n v="90.360199999999992"/>
    <n v="7"/>
    <x v="0"/>
  </r>
  <r>
    <n v="537"/>
    <n v="35"/>
    <x v="0"/>
    <x v="0"/>
    <x v="0"/>
    <s v="Sunglasses"/>
    <n v="31.51"/>
    <x v="3"/>
    <s v="Card"/>
    <n v="3.2"/>
    <x v="19"/>
    <n v="26.7835"/>
    <n v="5"/>
    <x v="0"/>
  </r>
  <r>
    <n v="538"/>
    <n v="60"/>
    <x v="0"/>
    <x v="1"/>
    <x v="2"/>
    <s v="Yoga Mat"/>
    <n v="98.94"/>
    <x v="1"/>
    <s v="Card"/>
    <n v="3.4"/>
    <x v="7"/>
    <n v="89.046000000000006"/>
    <n v="5"/>
    <x v="0"/>
  </r>
  <r>
    <n v="539"/>
    <n v="23"/>
    <x v="2"/>
    <x v="1"/>
    <x v="7"/>
    <s v="Sandals"/>
    <n v="236.7"/>
    <x v="1"/>
    <s v="Card"/>
    <n v="4.5"/>
    <x v="14"/>
    <n v="196.46099999999998"/>
    <n v="6"/>
    <x v="0"/>
  </r>
  <r>
    <n v="540"/>
    <n v="59"/>
    <x v="0"/>
    <x v="0"/>
    <x v="8"/>
    <s v="Top"/>
    <n v="111.87"/>
    <x v="2"/>
    <s v="Card"/>
    <n v="3.9"/>
    <x v="21"/>
    <n v="88.377300000000005"/>
    <n v="8"/>
    <x v="2"/>
  </r>
  <r>
    <n v="541"/>
    <n v="31"/>
    <x v="0"/>
    <x v="1"/>
    <x v="2"/>
    <s v="Football"/>
    <n v="90.67"/>
    <x v="0"/>
    <s v="Cash on Delivery"/>
    <n v="5"/>
    <x v="8"/>
    <n v="79.789600000000007"/>
    <n v="6"/>
    <x v="0"/>
  </r>
  <r>
    <n v="542"/>
    <n v="28"/>
    <x v="2"/>
    <x v="1"/>
    <x v="1"/>
    <s v="Jeans"/>
    <n v="141.19"/>
    <x v="2"/>
    <s v="Card"/>
    <n v="4"/>
    <x v="17"/>
    <n v="135.54239999999999"/>
    <n v="2"/>
    <x v="1"/>
  </r>
  <r>
    <n v="543"/>
    <n v="32"/>
    <x v="0"/>
    <x v="0"/>
    <x v="8"/>
    <s v="Top"/>
    <n v="158.72"/>
    <x v="1"/>
    <s v="Card"/>
    <n v="4.9000000000000004"/>
    <x v="6"/>
    <n v="133.32479999999998"/>
    <n v="3"/>
    <x v="1"/>
  </r>
  <r>
    <n v="544"/>
    <n v="32"/>
    <x v="0"/>
    <x v="0"/>
    <x v="7"/>
    <s v="Formal Shoes"/>
    <n v="91.02"/>
    <x v="2"/>
    <s v="Card"/>
    <n v="4.0999999999999996"/>
    <x v="14"/>
    <n v="75.546599999999998"/>
    <n v="6"/>
    <x v="0"/>
  </r>
  <r>
    <n v="545"/>
    <n v="70"/>
    <x v="1"/>
    <x v="0"/>
    <x v="0"/>
    <s v="Sunglasses"/>
    <n v="159.31"/>
    <x v="0"/>
    <s v="Card"/>
    <n v="4.5"/>
    <x v="14"/>
    <n v="132.22729999999999"/>
    <n v="6"/>
    <x v="0"/>
  </r>
  <r>
    <n v="546"/>
    <n v="30"/>
    <x v="2"/>
    <x v="1"/>
    <x v="5"/>
    <s v="Smart Watch"/>
    <n v="2428.11"/>
    <x v="1"/>
    <s v="Card"/>
    <n v="3.9"/>
    <x v="17"/>
    <n v="2330.9856"/>
    <n v="2"/>
    <x v="1"/>
  </r>
  <r>
    <n v="547"/>
    <n v="28"/>
    <x v="2"/>
    <x v="0"/>
    <x v="6"/>
    <s v="Perfume"/>
    <n v="25.24"/>
    <x v="2"/>
    <s v="Card"/>
    <n v="3.7"/>
    <x v="21"/>
    <n v="19.939599999999999"/>
    <n v="8"/>
    <x v="2"/>
  </r>
  <r>
    <n v="548"/>
    <n v="46"/>
    <x v="0"/>
    <x v="1"/>
    <x v="4"/>
    <s v="Rice Pack"/>
    <n v="62.51"/>
    <x v="2"/>
    <s v="Cash on Delivery"/>
    <n v="4.2"/>
    <x v="2"/>
    <n v="55.633899999999997"/>
    <n v="3"/>
    <x v="1"/>
  </r>
  <r>
    <n v="549"/>
    <n v="22"/>
    <x v="2"/>
    <x v="1"/>
    <x v="7"/>
    <s v="Formal Shoes"/>
    <n v="80.22"/>
    <x v="3"/>
    <s v="Card"/>
    <n v="4.5999999999999996"/>
    <x v="5"/>
    <n v="73.802400000000006"/>
    <n v="4"/>
    <x v="0"/>
  </r>
  <r>
    <n v="550"/>
    <n v="28"/>
    <x v="2"/>
    <x v="1"/>
    <x v="5"/>
    <s v="Headphones"/>
    <n v="600.16999999999996"/>
    <x v="2"/>
    <s v="Card"/>
    <n v="3.8"/>
    <x v="7"/>
    <n v="540.15300000000002"/>
    <n v="5"/>
    <x v="0"/>
  </r>
  <r>
    <n v="551"/>
    <n v="63"/>
    <x v="1"/>
    <x v="1"/>
    <x v="1"/>
    <s v="Jeans"/>
    <n v="106.27"/>
    <x v="3"/>
    <s v="Card"/>
    <n v="3.5"/>
    <x v="4"/>
    <n v="91.392199999999988"/>
    <n v="7"/>
    <x v="0"/>
  </r>
  <r>
    <n v="552"/>
    <n v="27"/>
    <x v="2"/>
    <x v="1"/>
    <x v="7"/>
    <s v="Sandals"/>
    <n v="141.6"/>
    <x v="2"/>
    <s v="Card"/>
    <n v="4.0999999999999996"/>
    <x v="12"/>
    <n v="114.696"/>
    <n v="7"/>
    <x v="0"/>
  </r>
  <r>
    <n v="553"/>
    <n v="43"/>
    <x v="0"/>
    <x v="1"/>
    <x v="7"/>
    <s v="Formal Shoes"/>
    <n v="90.88"/>
    <x v="2"/>
    <s v="Cash on Delivery"/>
    <n v="3.3"/>
    <x v="4"/>
    <n v="78.15679999999999"/>
    <n v="2"/>
    <x v="1"/>
  </r>
  <r>
    <n v="554"/>
    <n v="20"/>
    <x v="2"/>
    <x v="0"/>
    <x v="7"/>
    <s v="Sneakers"/>
    <n v="156.91"/>
    <x v="3"/>
    <s v="Card"/>
    <n v="4.0999999999999996"/>
    <x v="10"/>
    <n v="122.38980000000001"/>
    <n v="6"/>
    <x v="0"/>
  </r>
  <r>
    <n v="555"/>
    <n v="41"/>
    <x v="0"/>
    <x v="1"/>
    <x v="2"/>
    <s v="Football"/>
    <n v="232.73"/>
    <x v="2"/>
    <s v="Card"/>
    <n v="3.7"/>
    <x v="19"/>
    <n v="197.82049999999998"/>
    <n v="5"/>
    <x v="0"/>
  </r>
  <r>
    <n v="556"/>
    <n v="29"/>
    <x v="2"/>
    <x v="0"/>
    <x v="0"/>
    <s v="Wallet"/>
    <n v="53.93"/>
    <x v="3"/>
    <s v="Card"/>
    <n v="2.5"/>
    <x v="0"/>
    <n v="44.2226"/>
    <n v="4"/>
    <x v="0"/>
  </r>
  <r>
    <n v="557"/>
    <n v="61"/>
    <x v="1"/>
    <x v="1"/>
    <x v="7"/>
    <s v="Sneakers"/>
    <n v="65.72"/>
    <x v="3"/>
    <s v="Cash on Delivery"/>
    <n v="2.8"/>
    <x v="5"/>
    <n v="60.462400000000002"/>
    <n v="4"/>
    <x v="0"/>
  </r>
  <r>
    <n v="558"/>
    <n v="69"/>
    <x v="1"/>
    <x v="0"/>
    <x v="8"/>
    <s v="Skirt"/>
    <n v="159.87"/>
    <x v="2"/>
    <s v="Card"/>
    <n v="3.6"/>
    <x v="7"/>
    <n v="143.88300000000001"/>
    <n v="0"/>
    <x v="1"/>
  </r>
  <r>
    <n v="559"/>
    <n v="64"/>
    <x v="1"/>
    <x v="1"/>
    <x v="5"/>
    <s v="Laptop"/>
    <n v="2435.63"/>
    <x v="2"/>
    <s v="Card"/>
    <n v="3.3"/>
    <x v="0"/>
    <n v="1997.2166000000002"/>
    <n v="4"/>
    <x v="0"/>
  </r>
  <r>
    <n v="560"/>
    <n v="40"/>
    <x v="0"/>
    <x v="1"/>
    <x v="7"/>
    <s v="Sneakers"/>
    <n v="90.24"/>
    <x v="1"/>
    <s v="Cash on Delivery"/>
    <n v="4.3"/>
    <x v="14"/>
    <n v="74.899199999999993"/>
    <n v="6"/>
    <x v="0"/>
  </r>
  <r>
    <n v="561"/>
    <n v="37"/>
    <x v="0"/>
    <x v="0"/>
    <x v="0"/>
    <s v="Handbag"/>
    <n v="117.76"/>
    <x v="1"/>
    <s v="Card"/>
    <n v="3.5"/>
    <x v="8"/>
    <n v="103.6288"/>
    <n v="6"/>
    <x v="0"/>
  </r>
  <r>
    <n v="562"/>
    <n v="64"/>
    <x v="1"/>
    <x v="0"/>
    <x v="8"/>
    <s v="Jeans"/>
    <n v="97.62"/>
    <x v="3"/>
    <s v="Card"/>
    <n v="3.8"/>
    <x v="5"/>
    <n v="89.810400000000001"/>
    <n v="4"/>
    <x v="0"/>
  </r>
  <r>
    <n v="563"/>
    <n v="66"/>
    <x v="1"/>
    <x v="0"/>
    <x v="6"/>
    <s v="Makeup Set"/>
    <n v="98.66"/>
    <x v="0"/>
    <s v="Card"/>
    <n v="2.7"/>
    <x v="10"/>
    <n v="76.954800000000006"/>
    <n v="6"/>
    <x v="0"/>
  </r>
  <r>
    <n v="564"/>
    <n v="66"/>
    <x v="1"/>
    <x v="0"/>
    <x v="8"/>
    <s v="Top"/>
    <n v="185.56"/>
    <x v="1"/>
    <s v="Card"/>
    <n v="3.7"/>
    <x v="21"/>
    <n v="146.5924"/>
    <n v="8"/>
    <x v="2"/>
  </r>
  <r>
    <n v="565"/>
    <n v="60"/>
    <x v="0"/>
    <x v="0"/>
    <x v="4"/>
    <s v="Rice Pack"/>
    <n v="12.59"/>
    <x v="1"/>
    <s v="Card"/>
    <n v="3.4"/>
    <x v="8"/>
    <n v="11.0792"/>
    <n v="1"/>
    <x v="1"/>
  </r>
  <r>
    <n v="566"/>
    <n v="41"/>
    <x v="0"/>
    <x v="0"/>
    <x v="6"/>
    <s v="Makeup Set"/>
    <n v="34.299999999999997"/>
    <x v="0"/>
    <s v="Card"/>
    <n v="3.3"/>
    <x v="17"/>
    <n v="32.927999999999997"/>
    <n v="2"/>
    <x v="1"/>
  </r>
  <r>
    <n v="567"/>
    <n v="29"/>
    <x v="2"/>
    <x v="1"/>
    <x v="2"/>
    <s v="Football"/>
    <n v="162.96"/>
    <x v="3"/>
    <s v="Card"/>
    <n v="3.9"/>
    <x v="12"/>
    <n v="131.99760000000001"/>
    <n v="7"/>
    <x v="0"/>
  </r>
  <r>
    <n v="568"/>
    <n v="45"/>
    <x v="0"/>
    <x v="1"/>
    <x v="5"/>
    <s v="Laptop"/>
    <n v="2785.85"/>
    <x v="1"/>
    <s v="Card"/>
    <n v="3.4"/>
    <x v="0"/>
    <n v="2284.3969999999999"/>
    <n v="4"/>
    <x v="0"/>
  </r>
  <r>
    <n v="569"/>
    <n v="67"/>
    <x v="1"/>
    <x v="1"/>
    <x v="7"/>
    <s v="Sandals"/>
    <n v="79.989999999999995"/>
    <x v="1"/>
    <s v="Card"/>
    <n v="3.5"/>
    <x v="8"/>
    <n v="70.391199999999998"/>
    <n v="1"/>
    <x v="1"/>
  </r>
  <r>
    <n v="570"/>
    <n v="24"/>
    <x v="2"/>
    <x v="0"/>
    <x v="8"/>
    <s v="Jeans"/>
    <n v="33.979999999999997"/>
    <x v="1"/>
    <s v="Card"/>
    <n v="2.1"/>
    <x v="19"/>
    <n v="28.882999999999996"/>
    <n v="5"/>
    <x v="0"/>
  </r>
  <r>
    <n v="571"/>
    <n v="32"/>
    <x v="0"/>
    <x v="1"/>
    <x v="5"/>
    <s v="Headphones"/>
    <n v="2562.09"/>
    <x v="2"/>
    <s v="Card"/>
    <n v="3.7"/>
    <x v="4"/>
    <n v="2203.3974000000003"/>
    <n v="7"/>
    <x v="0"/>
  </r>
  <r>
    <n v="572"/>
    <n v="69"/>
    <x v="1"/>
    <x v="0"/>
    <x v="6"/>
    <s v="Makeup Set"/>
    <n v="55.71"/>
    <x v="1"/>
    <s v="Card"/>
    <n v="2.9"/>
    <x v="19"/>
    <n v="47.353499999999997"/>
    <n v="5"/>
    <x v="0"/>
  </r>
  <r>
    <n v="573"/>
    <n v="61"/>
    <x v="1"/>
    <x v="1"/>
    <x v="7"/>
    <s v="Sandals"/>
    <n v="41.13"/>
    <x v="3"/>
    <s v="Cash on Delivery"/>
    <n v="5"/>
    <x v="14"/>
    <n v="34.137900000000002"/>
    <n v="6"/>
    <x v="0"/>
  </r>
  <r>
    <n v="574"/>
    <n v="46"/>
    <x v="0"/>
    <x v="0"/>
    <x v="8"/>
    <s v="Skirt"/>
    <n v="62.15"/>
    <x v="3"/>
    <s v="Cash on Delivery"/>
    <n v="3.8"/>
    <x v="10"/>
    <n v="48.477000000000004"/>
    <n v="6"/>
    <x v="0"/>
  </r>
  <r>
    <n v="575"/>
    <n v="44"/>
    <x v="0"/>
    <x v="1"/>
    <x v="3"/>
    <s v="Curtains"/>
    <n v="124.45"/>
    <x v="3"/>
    <s v="Card"/>
    <n v="5"/>
    <x v="13"/>
    <n v="113.24950000000001"/>
    <n v="2"/>
    <x v="1"/>
  </r>
  <r>
    <n v="576"/>
    <n v="46"/>
    <x v="0"/>
    <x v="1"/>
    <x v="7"/>
    <s v="Sneakers"/>
    <n v="75.37"/>
    <x v="2"/>
    <s v="Card"/>
    <n v="3.7"/>
    <x v="3"/>
    <n v="60.296000000000006"/>
    <n v="10"/>
    <x v="2"/>
  </r>
  <r>
    <n v="577"/>
    <n v="30"/>
    <x v="2"/>
    <x v="1"/>
    <x v="2"/>
    <s v="Yoga Mat"/>
    <n v="141.81"/>
    <x v="2"/>
    <s v="Card"/>
    <n v="4.9000000000000004"/>
    <x v="1"/>
    <n v="123.3747"/>
    <n v="4"/>
    <x v="0"/>
  </r>
  <r>
    <n v="578"/>
    <n v="38"/>
    <x v="0"/>
    <x v="1"/>
    <x v="1"/>
    <s v="Jeans"/>
    <n v="173.03"/>
    <x v="0"/>
    <s v="Card"/>
    <n v="2.6"/>
    <x v="1"/>
    <n v="150.5361"/>
    <n v="4"/>
    <x v="0"/>
  </r>
  <r>
    <n v="579"/>
    <n v="26"/>
    <x v="2"/>
    <x v="0"/>
    <x v="3"/>
    <s v="Curtains"/>
    <n v="174.88"/>
    <x v="0"/>
    <s v="Card"/>
    <n v="4.4000000000000004"/>
    <x v="4"/>
    <n v="150.39679999999998"/>
    <n v="2"/>
    <x v="1"/>
  </r>
  <r>
    <n v="580"/>
    <n v="42"/>
    <x v="0"/>
    <x v="0"/>
    <x v="6"/>
    <s v="Perfume"/>
    <n v="48.19"/>
    <x v="2"/>
    <s v="Card"/>
    <n v="2.7"/>
    <x v="8"/>
    <n v="42.407199999999996"/>
    <n v="6"/>
    <x v="0"/>
  </r>
  <r>
    <n v="581"/>
    <n v="37"/>
    <x v="0"/>
    <x v="1"/>
    <x v="5"/>
    <s v="Laptop"/>
    <n v="714.78"/>
    <x v="2"/>
    <s v="Card"/>
    <n v="4"/>
    <x v="8"/>
    <n v="629.00639999999999"/>
    <n v="6"/>
    <x v="0"/>
  </r>
  <r>
    <n v="582"/>
    <n v="54"/>
    <x v="0"/>
    <x v="0"/>
    <x v="2"/>
    <s v="Dumbbells"/>
    <n v="30.19"/>
    <x v="0"/>
    <s v="Cash on Delivery"/>
    <n v="4.2"/>
    <x v="1"/>
    <n v="26.2653"/>
    <n v="4"/>
    <x v="0"/>
  </r>
  <r>
    <n v="583"/>
    <n v="68"/>
    <x v="1"/>
    <x v="0"/>
    <x v="6"/>
    <s v="Makeup Set"/>
    <n v="120.37"/>
    <x v="2"/>
    <s v="Card"/>
    <n v="2.9"/>
    <x v="18"/>
    <n v="91.481200000000001"/>
    <n v="7"/>
    <x v="0"/>
  </r>
  <r>
    <n v="584"/>
    <n v="38"/>
    <x v="0"/>
    <x v="0"/>
    <x v="8"/>
    <s v="Dress"/>
    <n v="185.35"/>
    <x v="2"/>
    <s v="Card"/>
    <n v="4.9000000000000004"/>
    <x v="8"/>
    <n v="163.108"/>
    <n v="6"/>
    <x v="0"/>
  </r>
  <r>
    <n v="585"/>
    <n v="25"/>
    <x v="2"/>
    <x v="1"/>
    <x v="5"/>
    <s v="Smart Watch"/>
    <n v="1495.63"/>
    <x v="3"/>
    <s v="Card"/>
    <n v="3.8"/>
    <x v="4"/>
    <n v="1286.2418"/>
    <n v="2"/>
    <x v="1"/>
  </r>
  <r>
    <n v="586"/>
    <n v="42"/>
    <x v="0"/>
    <x v="1"/>
    <x v="5"/>
    <s v="Mobile Phone"/>
    <n v="1552.24"/>
    <x v="0"/>
    <s v="Card"/>
    <n v="3.8"/>
    <x v="14"/>
    <n v="1288.3591999999999"/>
    <n v="6"/>
    <x v="0"/>
  </r>
  <r>
    <n v="587"/>
    <n v="26"/>
    <x v="2"/>
    <x v="1"/>
    <x v="2"/>
    <s v="Football"/>
    <n v="175.47"/>
    <x v="0"/>
    <s v="Card"/>
    <n v="3"/>
    <x v="1"/>
    <n v="152.65889999999999"/>
    <n v="4"/>
    <x v="0"/>
  </r>
  <r>
    <n v="588"/>
    <n v="45"/>
    <x v="0"/>
    <x v="1"/>
    <x v="2"/>
    <s v="Football"/>
    <n v="136.12"/>
    <x v="1"/>
    <s v="Card"/>
    <n v="4.5"/>
    <x v="22"/>
    <n v="104.81240000000001"/>
    <n v="9"/>
    <x v="2"/>
  </r>
  <r>
    <n v="589"/>
    <n v="22"/>
    <x v="2"/>
    <x v="0"/>
    <x v="7"/>
    <s v="Sneakers"/>
    <n v="174.5"/>
    <x v="0"/>
    <s v="Card"/>
    <n v="3.7"/>
    <x v="4"/>
    <n v="150.07"/>
    <n v="2"/>
    <x v="1"/>
  </r>
  <r>
    <n v="590"/>
    <n v="40"/>
    <x v="0"/>
    <x v="1"/>
    <x v="3"/>
    <s v="Lamp"/>
    <n v="136.29"/>
    <x v="2"/>
    <s v="Card"/>
    <n v="2.9"/>
    <x v="1"/>
    <n v="118.5723"/>
    <n v="4"/>
    <x v="0"/>
  </r>
  <r>
    <n v="591"/>
    <n v="44"/>
    <x v="0"/>
    <x v="0"/>
    <x v="7"/>
    <s v="Sandals"/>
    <n v="62.11"/>
    <x v="3"/>
    <s v="Card"/>
    <n v="2.9"/>
    <x v="12"/>
    <n v="50.309100000000001"/>
    <n v="7"/>
    <x v="0"/>
  </r>
  <r>
    <n v="592"/>
    <n v="31"/>
    <x v="0"/>
    <x v="1"/>
    <x v="2"/>
    <s v="Football"/>
    <n v="209.64"/>
    <x v="0"/>
    <s v="Card"/>
    <n v="4.5999999999999996"/>
    <x v="2"/>
    <n v="186.5796"/>
    <n v="3"/>
    <x v="1"/>
  </r>
  <r>
    <n v="593"/>
    <n v="23"/>
    <x v="2"/>
    <x v="1"/>
    <x v="7"/>
    <s v="Sandals"/>
    <n v="188.15"/>
    <x v="2"/>
    <s v="Card"/>
    <n v="3.5"/>
    <x v="17"/>
    <n v="180.624"/>
    <n v="2"/>
    <x v="1"/>
  </r>
  <r>
    <n v="594"/>
    <n v="27"/>
    <x v="2"/>
    <x v="0"/>
    <x v="0"/>
    <s v="Handbag"/>
    <n v="31.87"/>
    <x v="2"/>
    <s v="Cash on Delivery"/>
    <n v="5"/>
    <x v="10"/>
    <n v="24.858600000000003"/>
    <n v="6"/>
    <x v="0"/>
  </r>
  <r>
    <n v="595"/>
    <n v="24"/>
    <x v="2"/>
    <x v="1"/>
    <x v="1"/>
    <s v="Jeans"/>
    <n v="128.63999999999999"/>
    <x v="0"/>
    <s v="Card"/>
    <n v="4.4000000000000004"/>
    <x v="10"/>
    <n v="100.33919999999999"/>
    <n v="6"/>
    <x v="0"/>
  </r>
  <r>
    <n v="596"/>
    <n v="57"/>
    <x v="0"/>
    <x v="0"/>
    <x v="7"/>
    <s v="Sneakers"/>
    <n v="107.31"/>
    <x v="2"/>
    <s v="Card"/>
    <n v="3.6"/>
    <x v="6"/>
    <n v="90.1404"/>
    <n v="8"/>
    <x v="2"/>
  </r>
  <r>
    <n v="597"/>
    <n v="37"/>
    <x v="0"/>
    <x v="0"/>
    <x v="2"/>
    <s v="Football"/>
    <n v="160.72"/>
    <x v="1"/>
    <s v="Card"/>
    <n v="3.8"/>
    <x v="5"/>
    <n v="147.86240000000001"/>
    <n v="4"/>
    <x v="0"/>
  </r>
  <r>
    <n v="598"/>
    <n v="44"/>
    <x v="0"/>
    <x v="1"/>
    <x v="1"/>
    <s v="Jacket"/>
    <n v="74.66"/>
    <x v="0"/>
    <s v="Cash on Delivery"/>
    <n v="3"/>
    <x v="1"/>
    <n v="64.9542"/>
    <n v="4"/>
    <x v="0"/>
  </r>
  <r>
    <n v="599"/>
    <n v="69"/>
    <x v="1"/>
    <x v="1"/>
    <x v="7"/>
    <s v="Sneakers"/>
    <n v="210.5"/>
    <x v="2"/>
    <s v="Card"/>
    <n v="3.8"/>
    <x v="1"/>
    <n v="183.13499999999999"/>
    <n v="4"/>
    <x v="0"/>
  </r>
  <r>
    <n v="600"/>
    <n v="24"/>
    <x v="2"/>
    <x v="1"/>
    <x v="1"/>
    <s v="Shirt"/>
    <n v="35.35"/>
    <x v="2"/>
    <s v="Card"/>
    <n v="3.6"/>
    <x v="21"/>
    <n v="27.926500000000001"/>
    <n v="8"/>
    <x v="2"/>
  </r>
  <r>
    <n v="601"/>
    <n v="48"/>
    <x v="0"/>
    <x v="1"/>
    <x v="2"/>
    <s v="Dumbbells"/>
    <n v="63.8"/>
    <x v="2"/>
    <s v="Cash on Delivery"/>
    <n v="4.2"/>
    <x v="19"/>
    <n v="54.23"/>
    <n v="5"/>
    <x v="0"/>
  </r>
  <r>
    <n v="602"/>
    <n v="50"/>
    <x v="0"/>
    <x v="1"/>
    <x v="7"/>
    <s v="Sandals"/>
    <n v="66.64"/>
    <x v="3"/>
    <s v="Card"/>
    <n v="5"/>
    <x v="19"/>
    <n v="56.643999999999998"/>
    <n v="5"/>
    <x v="0"/>
  </r>
  <r>
    <n v="603"/>
    <n v="33"/>
    <x v="0"/>
    <x v="0"/>
    <x v="2"/>
    <s v="Dumbbells"/>
    <n v="26.47"/>
    <x v="1"/>
    <s v="Cash on Delivery"/>
    <n v="2.7"/>
    <x v="17"/>
    <n v="25.411199999999997"/>
    <n v="2"/>
    <x v="1"/>
  </r>
  <r>
    <n v="604"/>
    <n v="67"/>
    <x v="1"/>
    <x v="1"/>
    <x v="7"/>
    <s v="Formal Shoes"/>
    <n v="233.68"/>
    <x v="0"/>
    <s v="Card"/>
    <n v="3.3"/>
    <x v="1"/>
    <n v="203.30160000000001"/>
    <n v="4"/>
    <x v="0"/>
  </r>
  <r>
    <n v="605"/>
    <n v="48"/>
    <x v="0"/>
    <x v="0"/>
    <x v="2"/>
    <s v="Dumbbells"/>
    <n v="184.2"/>
    <x v="1"/>
    <s v="Card"/>
    <n v="4.3"/>
    <x v="12"/>
    <n v="149.202"/>
    <n v="7"/>
    <x v="0"/>
  </r>
  <r>
    <n v="606"/>
    <n v="43"/>
    <x v="0"/>
    <x v="0"/>
    <x v="7"/>
    <s v="Formal Shoes"/>
    <n v="209.23"/>
    <x v="2"/>
    <s v="Card"/>
    <n v="3"/>
    <x v="1"/>
    <n v="182.03009999999998"/>
    <n v="4"/>
    <x v="0"/>
  </r>
  <r>
    <n v="607"/>
    <n v="55"/>
    <x v="0"/>
    <x v="1"/>
    <x v="2"/>
    <s v="Football"/>
    <n v="225.1"/>
    <x v="2"/>
    <s v="Card"/>
    <n v="4.8"/>
    <x v="8"/>
    <n v="198.08799999999999"/>
    <n v="6"/>
    <x v="0"/>
  </r>
  <r>
    <n v="608"/>
    <n v="26"/>
    <x v="2"/>
    <x v="1"/>
    <x v="1"/>
    <s v="Jacket"/>
    <n v="172.87"/>
    <x v="3"/>
    <s v="Card"/>
    <n v="3.3"/>
    <x v="14"/>
    <n v="143.4821"/>
    <n v="6"/>
    <x v="0"/>
  </r>
  <r>
    <n v="609"/>
    <n v="56"/>
    <x v="0"/>
    <x v="1"/>
    <x v="5"/>
    <s v="Laptop"/>
    <n v="2831.6"/>
    <x v="0"/>
    <s v="Card"/>
    <n v="4.7"/>
    <x v="19"/>
    <n v="2406.8599999999997"/>
    <n v="5"/>
    <x v="0"/>
  </r>
  <r>
    <n v="610"/>
    <n v="52"/>
    <x v="0"/>
    <x v="0"/>
    <x v="0"/>
    <s v="Handbag"/>
    <n v="20.11"/>
    <x v="1"/>
    <s v="Card"/>
    <n v="5"/>
    <x v="5"/>
    <n v="18.501200000000001"/>
    <n v="4"/>
    <x v="0"/>
  </r>
  <r>
    <n v="611"/>
    <n v="32"/>
    <x v="0"/>
    <x v="1"/>
    <x v="4"/>
    <s v="Snacks"/>
    <n v="58.96"/>
    <x v="2"/>
    <s v="Cash on Delivery"/>
    <n v="4.8"/>
    <x v="17"/>
    <n v="56.601599999999998"/>
    <n v="2"/>
    <x v="1"/>
  </r>
  <r>
    <n v="612"/>
    <n v="44"/>
    <x v="0"/>
    <x v="0"/>
    <x v="0"/>
    <s v="Wallet"/>
    <n v="170.49"/>
    <x v="0"/>
    <s v="Card"/>
    <n v="2.9"/>
    <x v="0"/>
    <n v="139.80180000000001"/>
    <n v="9"/>
    <x v="2"/>
  </r>
  <r>
    <n v="613"/>
    <n v="44"/>
    <x v="0"/>
    <x v="0"/>
    <x v="8"/>
    <s v="Skirt"/>
    <n v="65.05"/>
    <x v="3"/>
    <s v="Cash on Delivery"/>
    <n v="3.4"/>
    <x v="12"/>
    <n v="52.6905"/>
    <n v="7"/>
    <x v="0"/>
  </r>
  <r>
    <n v="614"/>
    <n v="32"/>
    <x v="0"/>
    <x v="0"/>
    <x v="8"/>
    <s v="Jeans"/>
    <n v="35.659999999999997"/>
    <x v="3"/>
    <s v="Cash on Delivery"/>
    <n v="4.0999999999999996"/>
    <x v="14"/>
    <n v="29.597799999999996"/>
    <n v="6"/>
    <x v="0"/>
  </r>
  <r>
    <n v="615"/>
    <n v="32"/>
    <x v="0"/>
    <x v="0"/>
    <x v="2"/>
    <s v="Dumbbells"/>
    <n v="37.450000000000003"/>
    <x v="2"/>
    <s v="Card"/>
    <n v="3.2"/>
    <x v="15"/>
    <n v="36.701000000000001"/>
    <n v="1"/>
    <x v="1"/>
  </r>
  <r>
    <n v="616"/>
    <n v="26"/>
    <x v="2"/>
    <x v="0"/>
    <x v="0"/>
    <s v="Sunglasses"/>
    <n v="170.43"/>
    <x v="1"/>
    <s v="Card"/>
    <n v="3.1"/>
    <x v="14"/>
    <n v="141.45689999999999"/>
    <n v="6"/>
    <x v="0"/>
  </r>
  <r>
    <n v="617"/>
    <n v="30"/>
    <x v="2"/>
    <x v="0"/>
    <x v="7"/>
    <s v="Sandals"/>
    <n v="61.98"/>
    <x v="1"/>
    <s v="Card"/>
    <n v="3.5"/>
    <x v="7"/>
    <n v="55.781999999999996"/>
    <n v="5"/>
    <x v="0"/>
  </r>
  <r>
    <n v="618"/>
    <n v="54"/>
    <x v="0"/>
    <x v="0"/>
    <x v="8"/>
    <s v="Dress"/>
    <n v="97.85"/>
    <x v="0"/>
    <s v="Cash on Delivery"/>
    <n v="3.6"/>
    <x v="8"/>
    <n v="86.10799999999999"/>
    <n v="6"/>
    <x v="0"/>
  </r>
  <r>
    <n v="619"/>
    <n v="44"/>
    <x v="0"/>
    <x v="1"/>
    <x v="7"/>
    <s v="Sandals"/>
    <n v="180.53"/>
    <x v="0"/>
    <s v="Card"/>
    <n v="3.4"/>
    <x v="11"/>
    <n v="133.59219999999999"/>
    <n v="8"/>
    <x v="2"/>
  </r>
  <r>
    <n v="620"/>
    <n v="70"/>
    <x v="1"/>
    <x v="1"/>
    <x v="5"/>
    <s v="Mobile Phone"/>
    <n v="2658.73"/>
    <x v="3"/>
    <s v="Card"/>
    <n v="4.3"/>
    <x v="10"/>
    <n v="2073.8094000000001"/>
    <n v="6"/>
    <x v="0"/>
  </r>
  <r>
    <n v="621"/>
    <n v="32"/>
    <x v="0"/>
    <x v="1"/>
    <x v="7"/>
    <s v="Sandals"/>
    <n v="158.28"/>
    <x v="0"/>
    <s v="Card"/>
    <n v="4.0999999999999996"/>
    <x v="11"/>
    <n v="117.1272"/>
    <n v="8"/>
    <x v="2"/>
  </r>
  <r>
    <n v="622"/>
    <n v="57"/>
    <x v="0"/>
    <x v="1"/>
    <x v="2"/>
    <s v="Yoga Mat"/>
    <n v="222.98"/>
    <x v="2"/>
    <s v="Card"/>
    <n v="3.5"/>
    <x v="18"/>
    <n v="169.4648"/>
    <n v="7"/>
    <x v="0"/>
  </r>
  <r>
    <n v="623"/>
    <n v="49"/>
    <x v="0"/>
    <x v="1"/>
    <x v="1"/>
    <s v="Shirt"/>
    <n v="197.05"/>
    <x v="2"/>
    <s v="Card"/>
    <n v="4.4000000000000004"/>
    <x v="14"/>
    <n v="163.5515"/>
    <n v="6"/>
    <x v="0"/>
  </r>
  <r>
    <n v="624"/>
    <n v="48"/>
    <x v="0"/>
    <x v="1"/>
    <x v="2"/>
    <s v="Yoga Mat"/>
    <n v="97.69"/>
    <x v="3"/>
    <s v="Cash on Delivery"/>
    <n v="3.4"/>
    <x v="12"/>
    <n v="79.128900000000002"/>
    <n v="7"/>
    <x v="0"/>
  </r>
  <r>
    <n v="625"/>
    <n v="35"/>
    <x v="0"/>
    <x v="1"/>
    <x v="5"/>
    <s v="Mobile Phone"/>
    <n v="761.2"/>
    <x v="3"/>
    <s v="Card"/>
    <n v="5"/>
    <x v="18"/>
    <n v="578.51200000000006"/>
    <n v="7"/>
    <x v="0"/>
  </r>
  <r>
    <n v="626"/>
    <n v="63"/>
    <x v="1"/>
    <x v="0"/>
    <x v="7"/>
    <s v="Formal Shoes"/>
    <n v="208.69"/>
    <x v="2"/>
    <s v="Card"/>
    <n v="3.2"/>
    <x v="1"/>
    <n v="181.56029999999998"/>
    <n v="4"/>
    <x v="0"/>
  </r>
  <r>
    <n v="627"/>
    <n v="60"/>
    <x v="0"/>
    <x v="0"/>
    <x v="8"/>
    <s v="Dress"/>
    <n v="31.81"/>
    <x v="1"/>
    <s v="Card"/>
    <n v="3.5"/>
    <x v="8"/>
    <n v="27.992799999999999"/>
    <n v="6"/>
    <x v="0"/>
  </r>
  <r>
    <n v="628"/>
    <n v="29"/>
    <x v="2"/>
    <x v="1"/>
    <x v="5"/>
    <s v="Laptop"/>
    <n v="1170.69"/>
    <x v="3"/>
    <s v="Card"/>
    <n v="3.5"/>
    <x v="6"/>
    <n v="983.37959999999998"/>
    <n v="3"/>
    <x v="1"/>
  </r>
  <r>
    <n v="629"/>
    <n v="54"/>
    <x v="0"/>
    <x v="1"/>
    <x v="7"/>
    <s v="Formal Shoes"/>
    <n v="66.739999999999995"/>
    <x v="0"/>
    <s v="Cash on Delivery"/>
    <n v="4.3"/>
    <x v="8"/>
    <n v="58.731199999999994"/>
    <n v="6"/>
    <x v="0"/>
  </r>
  <r>
    <n v="630"/>
    <n v="23"/>
    <x v="2"/>
    <x v="0"/>
    <x v="6"/>
    <s v="Skincare Kit"/>
    <n v="39.909999999999997"/>
    <x v="1"/>
    <s v="Cash on Delivery"/>
    <n v="3.3"/>
    <x v="15"/>
    <n v="39.111799999999995"/>
    <n v="1"/>
    <x v="1"/>
  </r>
  <r>
    <n v="631"/>
    <n v="42"/>
    <x v="0"/>
    <x v="0"/>
    <x v="4"/>
    <s v="Cooking Oil"/>
    <n v="10.19"/>
    <x v="0"/>
    <s v="Cash on Delivery"/>
    <n v="4.0999999999999996"/>
    <x v="4"/>
    <n v="8.763399999999999"/>
    <n v="7"/>
    <x v="0"/>
  </r>
  <r>
    <n v="632"/>
    <n v="70"/>
    <x v="1"/>
    <x v="1"/>
    <x v="1"/>
    <s v="Jeans"/>
    <n v="69.05"/>
    <x v="0"/>
    <s v="Card"/>
    <n v="3.9"/>
    <x v="5"/>
    <n v="63.526000000000003"/>
    <n v="4"/>
    <x v="0"/>
  </r>
  <r>
    <n v="633"/>
    <n v="29"/>
    <x v="2"/>
    <x v="1"/>
    <x v="7"/>
    <s v="Sneakers"/>
    <n v="91.99"/>
    <x v="2"/>
    <s v="Card"/>
    <n v="2.9"/>
    <x v="27"/>
    <n v="68.992499999999993"/>
    <n v="10"/>
    <x v="2"/>
  </r>
  <r>
    <n v="634"/>
    <n v="38"/>
    <x v="0"/>
    <x v="0"/>
    <x v="7"/>
    <s v="Formal Shoes"/>
    <n v="247.76"/>
    <x v="2"/>
    <s v="Card"/>
    <n v="3.3"/>
    <x v="2"/>
    <n v="220.50639999999999"/>
    <n v="3"/>
    <x v="1"/>
  </r>
  <r>
    <n v="635"/>
    <n v="45"/>
    <x v="0"/>
    <x v="1"/>
    <x v="7"/>
    <s v="Formal Shoes"/>
    <n v="203.46"/>
    <x v="0"/>
    <s v="Card"/>
    <n v="3.1"/>
    <x v="7"/>
    <n v="183.114"/>
    <n v="5"/>
    <x v="0"/>
  </r>
  <r>
    <n v="636"/>
    <n v="61"/>
    <x v="1"/>
    <x v="1"/>
    <x v="7"/>
    <s v="Formal Shoes"/>
    <n v="118.53"/>
    <x v="3"/>
    <s v="Card"/>
    <n v="4.9000000000000004"/>
    <x v="4"/>
    <n v="101.9358"/>
    <n v="2"/>
    <x v="1"/>
  </r>
  <r>
    <n v="637"/>
    <n v="66"/>
    <x v="1"/>
    <x v="1"/>
    <x v="1"/>
    <s v="Shirt"/>
    <n v="63.45"/>
    <x v="2"/>
    <s v="Card"/>
    <n v="3.6"/>
    <x v="19"/>
    <n v="53.932500000000005"/>
    <n v="5"/>
    <x v="0"/>
  </r>
  <r>
    <n v="638"/>
    <n v="66"/>
    <x v="1"/>
    <x v="0"/>
    <x v="0"/>
    <s v="Sunglasses"/>
    <n v="129.69"/>
    <x v="2"/>
    <s v="Card"/>
    <n v="3.1"/>
    <x v="14"/>
    <n v="107.64269999999999"/>
    <n v="6"/>
    <x v="0"/>
  </r>
  <r>
    <n v="639"/>
    <n v="27"/>
    <x v="2"/>
    <x v="1"/>
    <x v="5"/>
    <s v="Smart Watch"/>
    <n v="736.92"/>
    <x v="0"/>
    <s v="Card"/>
    <n v="3.3"/>
    <x v="8"/>
    <n v="648.4896"/>
    <n v="1"/>
    <x v="1"/>
  </r>
  <r>
    <n v="640"/>
    <n v="52"/>
    <x v="0"/>
    <x v="0"/>
    <x v="6"/>
    <s v="Skincare Kit"/>
    <n v="87.62"/>
    <x v="0"/>
    <s v="Card"/>
    <n v="2.9"/>
    <x v="7"/>
    <n v="78.858000000000004"/>
    <n v="5"/>
    <x v="0"/>
  </r>
  <r>
    <n v="641"/>
    <n v="43"/>
    <x v="0"/>
    <x v="0"/>
    <x v="3"/>
    <s v="Kitchen Set"/>
    <n v="140"/>
    <x v="3"/>
    <s v="Card"/>
    <n v="3.9"/>
    <x v="19"/>
    <n v="119"/>
    <n v="5"/>
    <x v="0"/>
  </r>
  <r>
    <n v="642"/>
    <n v="35"/>
    <x v="0"/>
    <x v="1"/>
    <x v="2"/>
    <s v="Football"/>
    <n v="107.57"/>
    <x v="3"/>
    <s v="Card"/>
    <n v="3.9"/>
    <x v="8"/>
    <n v="94.661599999999993"/>
    <n v="6"/>
    <x v="0"/>
  </r>
  <r>
    <n v="643"/>
    <n v="34"/>
    <x v="0"/>
    <x v="1"/>
    <x v="4"/>
    <s v="Cooking Oil"/>
    <n v="78.16"/>
    <x v="1"/>
    <s v="Cash on Delivery"/>
    <n v="2.2000000000000002"/>
    <x v="17"/>
    <n v="75.033599999999993"/>
    <n v="2"/>
    <x v="1"/>
  </r>
  <r>
    <n v="644"/>
    <n v="51"/>
    <x v="0"/>
    <x v="0"/>
    <x v="8"/>
    <s v="Dress"/>
    <n v="47.3"/>
    <x v="0"/>
    <s v="Cash on Delivery"/>
    <n v="3.9"/>
    <x v="23"/>
    <n v="43.988999999999997"/>
    <n v="1"/>
    <x v="1"/>
  </r>
  <r>
    <n v="645"/>
    <n v="43"/>
    <x v="0"/>
    <x v="0"/>
    <x v="8"/>
    <s v="Skirt"/>
    <n v="143.80000000000001"/>
    <x v="0"/>
    <s v="Card"/>
    <n v="3.6"/>
    <x v="8"/>
    <n v="126.54400000000001"/>
    <n v="6"/>
    <x v="0"/>
  </r>
  <r>
    <n v="646"/>
    <n v="50"/>
    <x v="0"/>
    <x v="1"/>
    <x v="2"/>
    <s v="Dumbbells"/>
    <n v="208.8"/>
    <x v="3"/>
    <s v="Card"/>
    <n v="3.4"/>
    <x v="17"/>
    <n v="200.44800000000001"/>
    <n v="2"/>
    <x v="1"/>
  </r>
  <r>
    <n v="647"/>
    <n v="33"/>
    <x v="0"/>
    <x v="1"/>
    <x v="3"/>
    <s v="Lamp"/>
    <n v="170.58"/>
    <x v="3"/>
    <s v="Card"/>
    <n v="4.2"/>
    <x v="5"/>
    <n v="156.93360000000001"/>
    <n v="4"/>
    <x v="0"/>
  </r>
  <r>
    <n v="648"/>
    <n v="30"/>
    <x v="2"/>
    <x v="1"/>
    <x v="1"/>
    <s v="Jeans"/>
    <n v="42.67"/>
    <x v="0"/>
    <s v="Cash on Delivery"/>
    <n v="4.0999999999999996"/>
    <x v="5"/>
    <n v="39.256400000000006"/>
    <n v="4"/>
    <x v="0"/>
  </r>
  <r>
    <n v="649"/>
    <n v="54"/>
    <x v="0"/>
    <x v="1"/>
    <x v="1"/>
    <s v="Jeans"/>
    <n v="170.85"/>
    <x v="3"/>
    <s v="Card"/>
    <n v="3.4"/>
    <x v="1"/>
    <n v="148.6395"/>
    <n v="4"/>
    <x v="0"/>
  </r>
  <r>
    <n v="650"/>
    <n v="70"/>
    <x v="1"/>
    <x v="1"/>
    <x v="7"/>
    <s v="Formal Shoes"/>
    <n v="174.39"/>
    <x v="3"/>
    <s v="Card"/>
    <n v="3.2"/>
    <x v="3"/>
    <n v="139.512"/>
    <n v="5"/>
    <x v="0"/>
  </r>
  <r>
    <n v="651"/>
    <n v="58"/>
    <x v="0"/>
    <x v="1"/>
    <x v="2"/>
    <s v="Football"/>
    <n v="124.28"/>
    <x v="1"/>
    <s v="Card"/>
    <n v="3.1"/>
    <x v="6"/>
    <n v="104.3952"/>
    <n v="3"/>
    <x v="1"/>
  </r>
  <r>
    <n v="652"/>
    <n v="69"/>
    <x v="1"/>
    <x v="1"/>
    <x v="2"/>
    <s v="Dumbbells"/>
    <n v="100.45"/>
    <x v="2"/>
    <s v="Card"/>
    <n v="3.6"/>
    <x v="1"/>
    <n v="87.391500000000008"/>
    <n v="4"/>
    <x v="0"/>
  </r>
  <r>
    <n v="653"/>
    <n v="52"/>
    <x v="0"/>
    <x v="1"/>
    <x v="3"/>
    <s v="Kitchen Set"/>
    <n v="56.48"/>
    <x v="1"/>
    <s v="Cash on Delivery"/>
    <n v="5"/>
    <x v="28"/>
    <n v="40.100799999999992"/>
    <n v="12"/>
    <x v="2"/>
  </r>
  <r>
    <n v="654"/>
    <n v="60"/>
    <x v="0"/>
    <x v="0"/>
    <x v="0"/>
    <s v="Wallet"/>
    <n v="30.06"/>
    <x v="0"/>
    <s v="Card"/>
    <n v="4.5999999999999996"/>
    <x v="10"/>
    <n v="23.4468"/>
    <n v="6"/>
    <x v="0"/>
  </r>
  <r>
    <n v="655"/>
    <n v="70"/>
    <x v="1"/>
    <x v="0"/>
    <x v="7"/>
    <s v="Sandals"/>
    <n v="54"/>
    <x v="0"/>
    <s v="Card"/>
    <n v="2.8"/>
    <x v="25"/>
    <n v="37.799999999999997"/>
    <n v="10"/>
    <x v="2"/>
  </r>
  <r>
    <n v="656"/>
    <n v="67"/>
    <x v="1"/>
    <x v="1"/>
    <x v="1"/>
    <s v="Jeans"/>
    <n v="174.5"/>
    <x v="3"/>
    <s v="Card"/>
    <n v="4.5"/>
    <x v="19"/>
    <n v="148.32499999999999"/>
    <n v="5"/>
    <x v="0"/>
  </r>
  <r>
    <n v="657"/>
    <n v="20"/>
    <x v="2"/>
    <x v="0"/>
    <x v="0"/>
    <s v="Sunglasses"/>
    <n v="92.35"/>
    <x v="0"/>
    <s v="Card"/>
    <n v="3.3"/>
    <x v="8"/>
    <n v="81.268000000000001"/>
    <n v="1"/>
    <x v="1"/>
  </r>
  <r>
    <n v="658"/>
    <n v="33"/>
    <x v="0"/>
    <x v="0"/>
    <x v="0"/>
    <s v="Wallet"/>
    <n v="40.85"/>
    <x v="3"/>
    <s v="Cash on Delivery"/>
    <n v="4.2"/>
    <x v="0"/>
    <n v="33.497000000000007"/>
    <n v="4"/>
    <x v="0"/>
  </r>
  <r>
    <n v="659"/>
    <n v="27"/>
    <x v="2"/>
    <x v="1"/>
    <x v="2"/>
    <s v="Yoga Mat"/>
    <n v="68.16"/>
    <x v="1"/>
    <s v="Card"/>
    <n v="4.0999999999999996"/>
    <x v="7"/>
    <n v="61.344000000000001"/>
    <n v="5"/>
    <x v="0"/>
  </r>
  <r>
    <n v="660"/>
    <n v="33"/>
    <x v="0"/>
    <x v="0"/>
    <x v="6"/>
    <s v="Makeup Set"/>
    <n v="107.56"/>
    <x v="1"/>
    <s v="Card"/>
    <n v="2.6"/>
    <x v="5"/>
    <n v="98.955200000000005"/>
    <n v="4"/>
    <x v="0"/>
  </r>
  <r>
    <n v="661"/>
    <n v="54"/>
    <x v="0"/>
    <x v="0"/>
    <x v="7"/>
    <s v="Sneakers"/>
    <n v="242.06"/>
    <x v="1"/>
    <s v="Card"/>
    <n v="4.0999999999999996"/>
    <x v="12"/>
    <n v="196.0686"/>
    <n v="7"/>
    <x v="0"/>
  </r>
  <r>
    <n v="662"/>
    <n v="45"/>
    <x v="0"/>
    <x v="0"/>
    <x v="6"/>
    <s v="Perfume"/>
    <n v="144.31"/>
    <x v="0"/>
    <s v="Card"/>
    <n v="3.8"/>
    <x v="29"/>
    <n v="144.31"/>
    <n v="0"/>
    <x v="1"/>
  </r>
  <r>
    <n v="663"/>
    <n v="28"/>
    <x v="2"/>
    <x v="0"/>
    <x v="6"/>
    <s v="Perfume"/>
    <n v="119.55"/>
    <x v="2"/>
    <s v="Card"/>
    <n v="3.6"/>
    <x v="16"/>
    <n v="112.377"/>
    <n v="3"/>
    <x v="1"/>
  </r>
  <r>
    <n v="664"/>
    <n v="46"/>
    <x v="0"/>
    <x v="1"/>
    <x v="2"/>
    <s v="Football"/>
    <n v="56.34"/>
    <x v="2"/>
    <s v="Cash on Delivery"/>
    <n v="2.9"/>
    <x v="2"/>
    <n v="50.142600000000002"/>
    <n v="3"/>
    <x v="1"/>
  </r>
  <r>
    <n v="665"/>
    <n v="25"/>
    <x v="2"/>
    <x v="1"/>
    <x v="3"/>
    <s v="Lamp"/>
    <n v="279.19"/>
    <x v="3"/>
    <s v="Card"/>
    <n v="4.5"/>
    <x v="5"/>
    <n v="256.85480000000001"/>
    <n v="4"/>
    <x v="0"/>
  </r>
  <r>
    <n v="666"/>
    <n v="31"/>
    <x v="0"/>
    <x v="0"/>
    <x v="6"/>
    <s v="Makeup Set"/>
    <n v="34.01"/>
    <x v="3"/>
    <s v="Card"/>
    <n v="3.8"/>
    <x v="10"/>
    <n v="26.527799999999999"/>
    <n v="6"/>
    <x v="0"/>
  </r>
  <r>
    <n v="667"/>
    <n v="60"/>
    <x v="0"/>
    <x v="1"/>
    <x v="7"/>
    <s v="Sneakers"/>
    <n v="99.93"/>
    <x v="2"/>
    <s v="Card"/>
    <n v="3.5"/>
    <x v="24"/>
    <n v="71.949600000000004"/>
    <n v="9"/>
    <x v="2"/>
  </r>
  <r>
    <n v="668"/>
    <n v="64"/>
    <x v="1"/>
    <x v="1"/>
    <x v="5"/>
    <s v="Headphones"/>
    <n v="1514.05"/>
    <x v="2"/>
    <s v="Card"/>
    <n v="3.7"/>
    <x v="3"/>
    <n v="1211.24"/>
    <n v="5"/>
    <x v="0"/>
  </r>
  <r>
    <n v="669"/>
    <n v="62"/>
    <x v="1"/>
    <x v="1"/>
    <x v="1"/>
    <s v="T-Shirt"/>
    <n v="182.98"/>
    <x v="0"/>
    <s v="Card"/>
    <n v="3.1"/>
    <x v="1"/>
    <n v="159.1926"/>
    <n v="4"/>
    <x v="0"/>
  </r>
  <r>
    <n v="670"/>
    <n v="24"/>
    <x v="2"/>
    <x v="1"/>
    <x v="3"/>
    <s v="Curtains"/>
    <n v="237.47"/>
    <x v="2"/>
    <s v="Card"/>
    <n v="3.2"/>
    <x v="24"/>
    <n v="170.97839999999999"/>
    <n v="9"/>
    <x v="2"/>
  </r>
  <r>
    <n v="671"/>
    <n v="64"/>
    <x v="1"/>
    <x v="1"/>
    <x v="5"/>
    <s v="Laptop"/>
    <n v="1417.01"/>
    <x v="1"/>
    <s v="Card"/>
    <n v="4"/>
    <x v="15"/>
    <n v="1388.6697999999999"/>
    <n v="1"/>
    <x v="1"/>
  </r>
  <r>
    <n v="672"/>
    <n v="27"/>
    <x v="2"/>
    <x v="0"/>
    <x v="8"/>
    <s v="Skirt"/>
    <n v="43.52"/>
    <x v="3"/>
    <s v="Cash on Delivery"/>
    <n v="4.0999999999999996"/>
    <x v="1"/>
    <n v="37.862400000000001"/>
    <n v="4"/>
    <x v="0"/>
  </r>
  <r>
    <n v="673"/>
    <n v="33"/>
    <x v="0"/>
    <x v="0"/>
    <x v="8"/>
    <s v="Skirt"/>
    <n v="116.95"/>
    <x v="3"/>
    <s v="Card"/>
    <n v="4.5999999999999996"/>
    <x v="21"/>
    <n v="92.390500000000003"/>
    <n v="8"/>
    <x v="2"/>
  </r>
  <r>
    <n v="674"/>
    <n v="61"/>
    <x v="1"/>
    <x v="0"/>
    <x v="8"/>
    <s v="Jeans"/>
    <n v="196.34"/>
    <x v="2"/>
    <s v="Card"/>
    <n v="3"/>
    <x v="6"/>
    <n v="164.9256"/>
    <n v="8"/>
    <x v="2"/>
  </r>
  <r>
    <n v="675"/>
    <n v="68"/>
    <x v="1"/>
    <x v="0"/>
    <x v="7"/>
    <s v="Sandals"/>
    <n v="163.6"/>
    <x v="1"/>
    <s v="Card"/>
    <n v="4.3"/>
    <x v="10"/>
    <n v="127.608"/>
    <n v="6"/>
    <x v="0"/>
  </r>
  <r>
    <n v="676"/>
    <n v="54"/>
    <x v="0"/>
    <x v="1"/>
    <x v="7"/>
    <s v="Sneakers"/>
    <n v="144.58000000000001"/>
    <x v="1"/>
    <s v="Card"/>
    <n v="3.9"/>
    <x v="18"/>
    <n v="109.88080000000001"/>
    <n v="7"/>
    <x v="0"/>
  </r>
  <r>
    <n v="677"/>
    <n v="22"/>
    <x v="2"/>
    <x v="1"/>
    <x v="2"/>
    <s v="Yoga Mat"/>
    <n v="158.63999999999999"/>
    <x v="1"/>
    <s v="Card"/>
    <n v="3.9"/>
    <x v="21"/>
    <n v="125.32559999999999"/>
    <n v="8"/>
    <x v="2"/>
  </r>
  <r>
    <n v="678"/>
    <n v="52"/>
    <x v="0"/>
    <x v="0"/>
    <x v="4"/>
    <s v="Beverages"/>
    <n v="5.89"/>
    <x v="3"/>
    <s v="Card"/>
    <n v="3.6"/>
    <x v="23"/>
    <n v="5.4776999999999996"/>
    <n v="1"/>
    <x v="1"/>
  </r>
  <r>
    <n v="679"/>
    <n v="63"/>
    <x v="1"/>
    <x v="0"/>
    <x v="0"/>
    <s v="Handbag"/>
    <n v="168.46"/>
    <x v="2"/>
    <s v="Card"/>
    <n v="3.1"/>
    <x v="3"/>
    <n v="134.768"/>
    <n v="5"/>
    <x v="0"/>
  </r>
  <r>
    <n v="680"/>
    <n v="53"/>
    <x v="0"/>
    <x v="0"/>
    <x v="8"/>
    <s v="Jeans"/>
    <n v="102.52"/>
    <x v="1"/>
    <s v="Card"/>
    <n v="4.3"/>
    <x v="6"/>
    <n v="86.116799999999998"/>
    <n v="8"/>
    <x v="2"/>
  </r>
  <r>
    <n v="681"/>
    <n v="31"/>
    <x v="0"/>
    <x v="0"/>
    <x v="6"/>
    <s v="Skincare Kit"/>
    <n v="47.92"/>
    <x v="3"/>
    <s v="Card"/>
    <n v="3.6"/>
    <x v="5"/>
    <n v="44.086400000000005"/>
    <n v="4"/>
    <x v="0"/>
  </r>
  <r>
    <n v="682"/>
    <n v="27"/>
    <x v="2"/>
    <x v="1"/>
    <x v="2"/>
    <s v="Dumbbells"/>
    <n v="119.22"/>
    <x v="2"/>
    <s v="Card"/>
    <n v="4"/>
    <x v="6"/>
    <n v="100.14479999999999"/>
    <n v="3"/>
    <x v="1"/>
  </r>
  <r>
    <n v="683"/>
    <n v="22"/>
    <x v="2"/>
    <x v="1"/>
    <x v="3"/>
    <s v="Lamp"/>
    <n v="83.17"/>
    <x v="3"/>
    <s v="Cash on Delivery"/>
    <n v="4.5999999999999996"/>
    <x v="10"/>
    <n v="64.872600000000006"/>
    <n v="6"/>
    <x v="0"/>
  </r>
  <r>
    <n v="684"/>
    <n v="41"/>
    <x v="0"/>
    <x v="1"/>
    <x v="5"/>
    <s v="Laptop"/>
    <n v="1496.4"/>
    <x v="1"/>
    <s v="Card"/>
    <n v="3.9"/>
    <x v="6"/>
    <n v="1256.9760000000001"/>
    <n v="3"/>
    <x v="1"/>
  </r>
  <r>
    <n v="685"/>
    <n v="35"/>
    <x v="0"/>
    <x v="0"/>
    <x v="3"/>
    <s v="Curtains"/>
    <n v="121.52"/>
    <x v="3"/>
    <s v="Card"/>
    <n v="3.6"/>
    <x v="7"/>
    <n v="109.36799999999999"/>
    <n v="5"/>
    <x v="0"/>
  </r>
  <r>
    <n v="686"/>
    <n v="51"/>
    <x v="0"/>
    <x v="0"/>
    <x v="6"/>
    <s v="Makeup Set"/>
    <n v="101.58"/>
    <x v="1"/>
    <s v="Card"/>
    <n v="3.7"/>
    <x v="4"/>
    <n v="87.358800000000002"/>
    <n v="2"/>
    <x v="1"/>
  </r>
  <r>
    <n v="687"/>
    <n v="20"/>
    <x v="2"/>
    <x v="0"/>
    <x v="0"/>
    <s v="Wallet"/>
    <n v="96.93"/>
    <x v="1"/>
    <s v="Cash on Delivery"/>
    <n v="3.2"/>
    <x v="8"/>
    <n v="85.298400000000001"/>
    <n v="6"/>
    <x v="0"/>
  </r>
  <r>
    <n v="688"/>
    <n v="63"/>
    <x v="1"/>
    <x v="1"/>
    <x v="2"/>
    <s v="Football"/>
    <n v="195.87"/>
    <x v="1"/>
    <s v="Card"/>
    <n v="4"/>
    <x v="0"/>
    <n v="160.61340000000001"/>
    <n v="4"/>
    <x v="0"/>
  </r>
  <r>
    <n v="689"/>
    <n v="57"/>
    <x v="0"/>
    <x v="0"/>
    <x v="7"/>
    <s v="Sneakers"/>
    <n v="152.19"/>
    <x v="1"/>
    <s v="Card"/>
    <n v="5"/>
    <x v="1"/>
    <n v="132.40530000000001"/>
    <n v="4"/>
    <x v="0"/>
  </r>
  <r>
    <n v="690"/>
    <n v="68"/>
    <x v="1"/>
    <x v="1"/>
    <x v="1"/>
    <s v="T-Shirt"/>
    <n v="71.13"/>
    <x v="2"/>
    <s v="Cash on Delivery"/>
    <n v="3.8"/>
    <x v="7"/>
    <n v="64.016999999999996"/>
    <n v="5"/>
    <x v="0"/>
  </r>
  <r>
    <n v="691"/>
    <n v="68"/>
    <x v="1"/>
    <x v="0"/>
    <x v="6"/>
    <s v="Skincare Kit"/>
    <n v="139.63999999999999"/>
    <x v="1"/>
    <s v="Card"/>
    <n v="4.0999999999999996"/>
    <x v="3"/>
    <n v="111.71199999999999"/>
    <n v="5"/>
    <x v="0"/>
  </r>
  <r>
    <n v="692"/>
    <n v="65"/>
    <x v="1"/>
    <x v="1"/>
    <x v="7"/>
    <s v="Sandals"/>
    <n v="134.93"/>
    <x v="3"/>
    <s v="Card"/>
    <n v="4"/>
    <x v="19"/>
    <n v="114.6905"/>
    <n v="5"/>
    <x v="0"/>
  </r>
  <r>
    <n v="693"/>
    <n v="30"/>
    <x v="2"/>
    <x v="1"/>
    <x v="7"/>
    <s v="Sandals"/>
    <n v="75.61"/>
    <x v="0"/>
    <s v="Cash on Delivery"/>
    <n v="3.1"/>
    <x v="14"/>
    <n v="62.756299999999996"/>
    <n v="6"/>
    <x v="0"/>
  </r>
  <r>
    <n v="694"/>
    <n v="23"/>
    <x v="2"/>
    <x v="0"/>
    <x v="0"/>
    <s v="Sunglasses"/>
    <n v="115.77"/>
    <x v="2"/>
    <s v="Card"/>
    <n v="4.5"/>
    <x v="1"/>
    <n v="100.7199"/>
    <n v="4"/>
    <x v="0"/>
  </r>
  <r>
    <n v="695"/>
    <n v="23"/>
    <x v="2"/>
    <x v="0"/>
    <x v="7"/>
    <s v="Sandals"/>
    <n v="223.09"/>
    <x v="1"/>
    <s v="Card"/>
    <n v="4.0999999999999996"/>
    <x v="6"/>
    <n v="187.3956"/>
    <n v="3"/>
    <x v="1"/>
  </r>
  <r>
    <n v="696"/>
    <n v="59"/>
    <x v="0"/>
    <x v="0"/>
    <x v="6"/>
    <s v="Skincare Kit"/>
    <n v="127.79"/>
    <x v="2"/>
    <s v="Card"/>
    <n v="3.8"/>
    <x v="16"/>
    <n v="120.12260000000001"/>
    <n v="3"/>
    <x v="1"/>
  </r>
  <r>
    <n v="697"/>
    <n v="35"/>
    <x v="0"/>
    <x v="1"/>
    <x v="4"/>
    <s v="Cooking Oil"/>
    <n v="49.52"/>
    <x v="1"/>
    <s v="Cash on Delivery"/>
    <n v="3.6"/>
    <x v="1"/>
    <n v="43.0824"/>
    <n v="4"/>
    <x v="0"/>
  </r>
  <r>
    <n v="698"/>
    <n v="59"/>
    <x v="0"/>
    <x v="0"/>
    <x v="7"/>
    <s v="Sneakers"/>
    <n v="105.81"/>
    <x v="2"/>
    <s v="Card"/>
    <n v="3.8"/>
    <x v="22"/>
    <n v="81.473700000000008"/>
    <n v="9"/>
    <x v="2"/>
  </r>
  <r>
    <n v="699"/>
    <n v="42"/>
    <x v="0"/>
    <x v="0"/>
    <x v="8"/>
    <s v="Dress"/>
    <n v="178.77"/>
    <x v="3"/>
    <s v="Card"/>
    <n v="3.4"/>
    <x v="13"/>
    <n v="162.6807"/>
    <n v="2"/>
    <x v="1"/>
  </r>
  <r>
    <n v="700"/>
    <n v="28"/>
    <x v="2"/>
    <x v="1"/>
    <x v="4"/>
    <s v="Rice Pack"/>
    <n v="54.61"/>
    <x v="2"/>
    <s v="Card"/>
    <n v="4.0999999999999996"/>
    <x v="5"/>
    <n v="50.241199999999999"/>
    <n v="4"/>
    <x v="0"/>
  </r>
  <r>
    <n v="701"/>
    <n v="49"/>
    <x v="0"/>
    <x v="1"/>
    <x v="5"/>
    <s v="Smart Watch"/>
    <n v="1321.86"/>
    <x v="1"/>
    <s v="Card"/>
    <n v="4.4000000000000004"/>
    <x v="18"/>
    <n v="1004.6135999999999"/>
    <n v="7"/>
    <x v="0"/>
  </r>
  <r>
    <n v="702"/>
    <n v="36"/>
    <x v="0"/>
    <x v="1"/>
    <x v="7"/>
    <s v="Sneakers"/>
    <n v="157.33000000000001"/>
    <x v="3"/>
    <s v="Card"/>
    <n v="3.7"/>
    <x v="14"/>
    <n v="130.5839"/>
    <n v="6"/>
    <x v="0"/>
  </r>
  <r>
    <n v="703"/>
    <n v="31"/>
    <x v="0"/>
    <x v="1"/>
    <x v="7"/>
    <s v="Formal Shoes"/>
    <n v="157.43"/>
    <x v="2"/>
    <s v="Card"/>
    <n v="3"/>
    <x v="16"/>
    <n v="147.98419999999999"/>
    <n v="3"/>
    <x v="1"/>
  </r>
  <r>
    <n v="704"/>
    <n v="38"/>
    <x v="0"/>
    <x v="1"/>
    <x v="1"/>
    <s v="Jacket"/>
    <n v="160.97999999999999"/>
    <x v="1"/>
    <s v="Card"/>
    <n v="2.9"/>
    <x v="3"/>
    <n v="128.78399999999999"/>
    <n v="5"/>
    <x v="0"/>
  </r>
  <r>
    <n v="705"/>
    <n v="46"/>
    <x v="0"/>
    <x v="1"/>
    <x v="2"/>
    <s v="Yoga Mat"/>
    <n v="107.82"/>
    <x v="2"/>
    <s v="Card"/>
    <n v="3.9"/>
    <x v="23"/>
    <n v="100.27259999999998"/>
    <n v="1"/>
    <x v="1"/>
  </r>
  <r>
    <n v="706"/>
    <n v="39"/>
    <x v="0"/>
    <x v="0"/>
    <x v="7"/>
    <s v="Formal Shoes"/>
    <n v="217.69"/>
    <x v="3"/>
    <s v="Card"/>
    <n v="2.6"/>
    <x v="7"/>
    <n v="195.92099999999999"/>
    <n v="5"/>
    <x v="0"/>
  </r>
  <r>
    <n v="707"/>
    <n v="45"/>
    <x v="0"/>
    <x v="1"/>
    <x v="2"/>
    <s v="Yoga Mat"/>
    <n v="141.27000000000001"/>
    <x v="0"/>
    <s v="Card"/>
    <n v="3.2"/>
    <x v="6"/>
    <n v="118.66680000000001"/>
    <n v="3"/>
    <x v="1"/>
  </r>
  <r>
    <n v="708"/>
    <n v="57"/>
    <x v="0"/>
    <x v="1"/>
    <x v="7"/>
    <s v="Sandals"/>
    <n v="233.72"/>
    <x v="3"/>
    <s v="Card"/>
    <n v="2.8"/>
    <x v="4"/>
    <n v="200.9992"/>
    <n v="7"/>
    <x v="0"/>
  </r>
  <r>
    <n v="709"/>
    <n v="53"/>
    <x v="0"/>
    <x v="1"/>
    <x v="5"/>
    <s v="Headphones"/>
    <n v="1792.88"/>
    <x v="2"/>
    <s v="Card"/>
    <n v="3.6"/>
    <x v="12"/>
    <n v="1452.2328000000002"/>
    <n v="7"/>
    <x v="0"/>
  </r>
  <r>
    <n v="710"/>
    <n v="24"/>
    <x v="2"/>
    <x v="1"/>
    <x v="5"/>
    <s v="Smart Watch"/>
    <n v="1064.7"/>
    <x v="2"/>
    <s v="Card"/>
    <n v="5"/>
    <x v="0"/>
    <n v="873.05400000000009"/>
    <n v="4"/>
    <x v="0"/>
  </r>
  <r>
    <n v="711"/>
    <n v="44"/>
    <x v="0"/>
    <x v="0"/>
    <x v="0"/>
    <s v="Sunglasses"/>
    <n v="103.15"/>
    <x v="0"/>
    <s v="Card"/>
    <n v="3.6"/>
    <x v="1"/>
    <n v="89.740500000000011"/>
    <n v="4"/>
    <x v="0"/>
  </r>
  <r>
    <n v="712"/>
    <n v="69"/>
    <x v="1"/>
    <x v="1"/>
    <x v="7"/>
    <s v="Sandals"/>
    <n v="48.78"/>
    <x v="3"/>
    <s v="Card"/>
    <n v="1.9"/>
    <x v="14"/>
    <n v="40.487400000000001"/>
    <n v="6"/>
    <x v="0"/>
  </r>
  <r>
    <n v="713"/>
    <n v="64"/>
    <x v="1"/>
    <x v="0"/>
    <x v="6"/>
    <s v="Perfume"/>
    <n v="74.05"/>
    <x v="1"/>
    <s v="Card"/>
    <n v="4.9000000000000004"/>
    <x v="21"/>
    <n v="58.499499999999998"/>
    <n v="8"/>
    <x v="2"/>
  </r>
  <r>
    <n v="714"/>
    <n v="59"/>
    <x v="0"/>
    <x v="0"/>
    <x v="8"/>
    <s v="Dress"/>
    <n v="35.33"/>
    <x v="3"/>
    <s v="Cash on Delivery"/>
    <n v="3.7"/>
    <x v="1"/>
    <n v="30.737099999999998"/>
    <n v="4"/>
    <x v="0"/>
  </r>
  <r>
    <n v="715"/>
    <n v="68"/>
    <x v="1"/>
    <x v="0"/>
    <x v="8"/>
    <s v="Jeans"/>
    <n v="114.33"/>
    <x v="3"/>
    <s v="Card"/>
    <n v="2.9"/>
    <x v="7"/>
    <n v="102.89700000000001"/>
    <n v="5"/>
    <x v="0"/>
  </r>
  <r>
    <n v="716"/>
    <n v="48"/>
    <x v="0"/>
    <x v="0"/>
    <x v="0"/>
    <s v="Handbag"/>
    <n v="41.13"/>
    <x v="2"/>
    <s v="Card"/>
    <n v="3.2"/>
    <x v="13"/>
    <n v="37.4283"/>
    <n v="2"/>
    <x v="1"/>
  </r>
  <r>
    <n v="717"/>
    <n v="56"/>
    <x v="0"/>
    <x v="0"/>
    <x v="3"/>
    <s v="Kitchen Set"/>
    <n v="245.44"/>
    <x v="1"/>
    <s v="Card"/>
    <n v="3.2"/>
    <x v="15"/>
    <n v="240.53119999999998"/>
    <n v="1"/>
    <x v="1"/>
  </r>
  <r>
    <n v="718"/>
    <n v="36"/>
    <x v="0"/>
    <x v="0"/>
    <x v="8"/>
    <s v="Jeans"/>
    <n v="153.84"/>
    <x v="2"/>
    <s v="Card"/>
    <n v="3.2"/>
    <x v="29"/>
    <n v="153.84"/>
    <n v="0"/>
    <x v="1"/>
  </r>
  <r>
    <n v="719"/>
    <n v="44"/>
    <x v="0"/>
    <x v="0"/>
    <x v="7"/>
    <s v="Sandals"/>
    <n v="236.11"/>
    <x v="3"/>
    <s v="Card"/>
    <n v="5"/>
    <x v="22"/>
    <n v="181.80470000000003"/>
    <n v="9"/>
    <x v="2"/>
  </r>
  <r>
    <n v="720"/>
    <n v="54"/>
    <x v="0"/>
    <x v="0"/>
    <x v="8"/>
    <s v="Dress"/>
    <n v="165.35"/>
    <x v="0"/>
    <s v="Card"/>
    <n v="3.7"/>
    <x v="7"/>
    <n v="148.815"/>
    <n v="0"/>
    <x v="1"/>
  </r>
  <r>
    <n v="721"/>
    <n v="30"/>
    <x v="2"/>
    <x v="0"/>
    <x v="0"/>
    <s v="Sunglasses"/>
    <n v="59.51"/>
    <x v="2"/>
    <s v="Card"/>
    <n v="3.8"/>
    <x v="18"/>
    <n v="45.227600000000002"/>
    <n v="7"/>
    <x v="0"/>
  </r>
  <r>
    <n v="722"/>
    <n v="61"/>
    <x v="1"/>
    <x v="1"/>
    <x v="2"/>
    <s v="Dumbbells"/>
    <n v="190.26"/>
    <x v="2"/>
    <s v="Card"/>
    <n v="4.4000000000000004"/>
    <x v="4"/>
    <n v="163.62359999999998"/>
    <n v="2"/>
    <x v="1"/>
  </r>
  <r>
    <n v="723"/>
    <n v="63"/>
    <x v="1"/>
    <x v="0"/>
    <x v="3"/>
    <s v="Kitchen Set"/>
    <n v="168.64"/>
    <x v="0"/>
    <s v="Card"/>
    <n v="3.2"/>
    <x v="16"/>
    <n v="158.52159999999998"/>
    <n v="3"/>
    <x v="1"/>
  </r>
  <r>
    <n v="724"/>
    <n v="42"/>
    <x v="0"/>
    <x v="1"/>
    <x v="5"/>
    <s v="Headphones"/>
    <n v="2517.98"/>
    <x v="3"/>
    <s v="Card"/>
    <n v="3.2"/>
    <x v="14"/>
    <n v="2089.9234000000001"/>
    <n v="6"/>
    <x v="0"/>
  </r>
  <r>
    <n v="725"/>
    <n v="35"/>
    <x v="0"/>
    <x v="1"/>
    <x v="2"/>
    <s v="Football"/>
    <n v="240.4"/>
    <x v="2"/>
    <s v="Card"/>
    <n v="3.7"/>
    <x v="7"/>
    <n v="216.36"/>
    <n v="5"/>
    <x v="0"/>
  </r>
  <r>
    <n v="726"/>
    <n v="66"/>
    <x v="1"/>
    <x v="0"/>
    <x v="4"/>
    <s v="Beverages"/>
    <n v="75.72"/>
    <x v="1"/>
    <s v="Card"/>
    <n v="3.9"/>
    <x v="4"/>
    <n v="65.119199999999992"/>
    <n v="7"/>
    <x v="0"/>
  </r>
  <r>
    <n v="727"/>
    <n v="37"/>
    <x v="0"/>
    <x v="1"/>
    <x v="7"/>
    <s v="Formal Shoes"/>
    <n v="229.47"/>
    <x v="1"/>
    <s v="Card"/>
    <n v="4.2"/>
    <x v="4"/>
    <n v="197.3442"/>
    <n v="7"/>
    <x v="0"/>
  </r>
  <r>
    <n v="728"/>
    <n v="31"/>
    <x v="0"/>
    <x v="0"/>
    <x v="2"/>
    <s v="Football"/>
    <n v="103.72"/>
    <x v="2"/>
    <s v="Card"/>
    <n v="3.4"/>
    <x v="3"/>
    <n v="82.975999999999999"/>
    <n v="5"/>
    <x v="0"/>
  </r>
  <r>
    <n v="729"/>
    <n v="46"/>
    <x v="0"/>
    <x v="0"/>
    <x v="8"/>
    <s v="Jeans"/>
    <n v="134.76"/>
    <x v="3"/>
    <s v="Card"/>
    <n v="4.5999999999999996"/>
    <x v="3"/>
    <n v="107.80799999999999"/>
    <n v="5"/>
    <x v="0"/>
  </r>
  <r>
    <n v="730"/>
    <n v="46"/>
    <x v="0"/>
    <x v="1"/>
    <x v="4"/>
    <s v="Rice Pack"/>
    <n v="59.16"/>
    <x v="0"/>
    <s v="Card"/>
    <n v="4.5"/>
    <x v="18"/>
    <n v="44.961599999999997"/>
    <n v="7"/>
    <x v="0"/>
  </r>
  <r>
    <n v="731"/>
    <n v="51"/>
    <x v="0"/>
    <x v="1"/>
    <x v="1"/>
    <s v="T-Shirt"/>
    <n v="99.13"/>
    <x v="3"/>
    <s v="Card"/>
    <n v="4.0999999999999996"/>
    <x v="14"/>
    <n v="82.277899999999988"/>
    <n v="6"/>
    <x v="0"/>
  </r>
  <r>
    <n v="732"/>
    <n v="38"/>
    <x v="0"/>
    <x v="1"/>
    <x v="2"/>
    <s v="Dumbbells"/>
    <n v="205.6"/>
    <x v="1"/>
    <s v="Card"/>
    <n v="4.5"/>
    <x v="10"/>
    <n v="160.36799999999999"/>
    <n v="6"/>
    <x v="0"/>
  </r>
  <r>
    <n v="733"/>
    <n v="31"/>
    <x v="0"/>
    <x v="1"/>
    <x v="7"/>
    <s v="Formal Shoes"/>
    <n v="51.91"/>
    <x v="3"/>
    <s v="Cash on Delivery"/>
    <n v="2.2000000000000002"/>
    <x v="15"/>
    <n v="50.871799999999993"/>
    <n v="1"/>
    <x v="1"/>
  </r>
  <r>
    <n v="734"/>
    <n v="26"/>
    <x v="2"/>
    <x v="0"/>
    <x v="6"/>
    <s v="Makeup Set"/>
    <n v="64.09"/>
    <x v="2"/>
    <s v="Card"/>
    <n v="4.5"/>
    <x v="2"/>
    <n v="57.040100000000002"/>
    <n v="3"/>
    <x v="1"/>
  </r>
  <r>
    <n v="735"/>
    <n v="46"/>
    <x v="0"/>
    <x v="0"/>
    <x v="7"/>
    <s v="Sandals"/>
    <n v="44.74"/>
    <x v="2"/>
    <s v="Cash on Delivery"/>
    <n v="3.6"/>
    <x v="1"/>
    <n v="38.9238"/>
    <n v="4"/>
    <x v="0"/>
  </r>
  <r>
    <n v="736"/>
    <n v="42"/>
    <x v="0"/>
    <x v="0"/>
    <x v="3"/>
    <s v="Lamp"/>
    <n v="44.21"/>
    <x v="3"/>
    <s v="Card"/>
    <n v="3.4"/>
    <x v="19"/>
    <n v="37.578499999999998"/>
    <n v="5"/>
    <x v="0"/>
  </r>
  <r>
    <n v="737"/>
    <n v="24"/>
    <x v="2"/>
    <x v="0"/>
    <x v="0"/>
    <s v="Handbag"/>
    <n v="177.47"/>
    <x v="2"/>
    <s v="Card"/>
    <n v="3.3"/>
    <x v="5"/>
    <n v="163.2724"/>
    <n v="4"/>
    <x v="0"/>
  </r>
  <r>
    <n v="738"/>
    <n v="30"/>
    <x v="2"/>
    <x v="0"/>
    <x v="6"/>
    <s v="Makeup Set"/>
    <n v="114.32"/>
    <x v="1"/>
    <s v="Card"/>
    <n v="4"/>
    <x v="23"/>
    <n v="106.31759999999998"/>
    <n v="1"/>
    <x v="1"/>
  </r>
  <r>
    <n v="739"/>
    <n v="53"/>
    <x v="0"/>
    <x v="1"/>
    <x v="7"/>
    <s v="Formal Shoes"/>
    <n v="139.94"/>
    <x v="0"/>
    <s v="Card"/>
    <n v="3.5"/>
    <x v="1"/>
    <n v="121.7478"/>
    <n v="4"/>
    <x v="0"/>
  </r>
  <r>
    <n v="740"/>
    <n v="29"/>
    <x v="2"/>
    <x v="1"/>
    <x v="7"/>
    <s v="Sneakers"/>
    <n v="247.94"/>
    <x v="2"/>
    <s v="Card"/>
    <n v="3.4"/>
    <x v="5"/>
    <n v="228.10480000000001"/>
    <n v="4"/>
    <x v="0"/>
  </r>
  <r>
    <n v="741"/>
    <n v="49"/>
    <x v="0"/>
    <x v="1"/>
    <x v="5"/>
    <s v="Laptop"/>
    <n v="2588.27"/>
    <x v="3"/>
    <s v="Card"/>
    <n v="4.9000000000000004"/>
    <x v="2"/>
    <n v="2303.5603000000001"/>
    <n v="3"/>
    <x v="1"/>
  </r>
  <r>
    <n v="742"/>
    <n v="70"/>
    <x v="1"/>
    <x v="1"/>
    <x v="5"/>
    <s v="Mobile Phone"/>
    <n v="780.6"/>
    <x v="0"/>
    <s v="Card"/>
    <n v="4.7"/>
    <x v="3"/>
    <n v="624.48"/>
    <n v="5"/>
    <x v="0"/>
  </r>
  <r>
    <n v="743"/>
    <n v="35"/>
    <x v="0"/>
    <x v="1"/>
    <x v="7"/>
    <s v="Sandals"/>
    <n v="113.18"/>
    <x v="1"/>
    <s v="Card"/>
    <n v="3.8"/>
    <x v="8"/>
    <n v="99.598400000000012"/>
    <n v="6"/>
    <x v="0"/>
  </r>
  <r>
    <n v="744"/>
    <n v="57"/>
    <x v="0"/>
    <x v="1"/>
    <x v="3"/>
    <s v="Lamp"/>
    <n v="107.82"/>
    <x v="2"/>
    <s v="Card"/>
    <n v="4.0999999999999996"/>
    <x v="6"/>
    <n v="90.568799999999996"/>
    <n v="3"/>
    <x v="1"/>
  </r>
  <r>
    <n v="745"/>
    <n v="36"/>
    <x v="0"/>
    <x v="1"/>
    <x v="3"/>
    <s v="Lamp"/>
    <n v="224.49"/>
    <x v="0"/>
    <s v="Card"/>
    <n v="4.5"/>
    <x v="8"/>
    <n v="197.55120000000002"/>
    <n v="6"/>
    <x v="0"/>
  </r>
  <r>
    <n v="746"/>
    <n v="52"/>
    <x v="0"/>
    <x v="1"/>
    <x v="1"/>
    <s v="Jacket"/>
    <n v="132.43"/>
    <x v="3"/>
    <s v="Card"/>
    <n v="3.5"/>
    <x v="8"/>
    <n v="116.53840000000001"/>
    <n v="1"/>
    <x v="1"/>
  </r>
  <r>
    <n v="747"/>
    <n v="47"/>
    <x v="0"/>
    <x v="0"/>
    <x v="2"/>
    <s v="Football"/>
    <n v="57.77"/>
    <x v="1"/>
    <s v="Cash on Delivery"/>
    <n v="2.9"/>
    <x v="6"/>
    <n v="48.526800000000001"/>
    <n v="3"/>
    <x v="1"/>
  </r>
  <r>
    <n v="748"/>
    <n v="24"/>
    <x v="2"/>
    <x v="1"/>
    <x v="2"/>
    <s v="Yoga Mat"/>
    <n v="139.11000000000001"/>
    <x v="1"/>
    <s v="Card"/>
    <n v="3.1"/>
    <x v="12"/>
    <n v="112.67910000000002"/>
    <n v="7"/>
    <x v="0"/>
  </r>
  <r>
    <n v="749"/>
    <n v="55"/>
    <x v="0"/>
    <x v="0"/>
    <x v="0"/>
    <s v="Wallet"/>
    <n v="159.49"/>
    <x v="1"/>
    <s v="Card"/>
    <n v="3.4"/>
    <x v="0"/>
    <n v="130.7818"/>
    <n v="4"/>
    <x v="0"/>
  </r>
  <r>
    <n v="750"/>
    <n v="22"/>
    <x v="2"/>
    <x v="1"/>
    <x v="4"/>
    <s v="Cooking Oil"/>
    <n v="36.590000000000003"/>
    <x v="1"/>
    <s v="Cash on Delivery"/>
    <n v="3.2"/>
    <x v="19"/>
    <n v="31.101500000000001"/>
    <n v="5"/>
    <x v="0"/>
  </r>
  <r>
    <n v="751"/>
    <n v="36"/>
    <x v="0"/>
    <x v="0"/>
    <x v="8"/>
    <s v="Top"/>
    <n v="114.62"/>
    <x v="3"/>
    <s v="Card"/>
    <n v="3.4"/>
    <x v="6"/>
    <n v="96.280799999999999"/>
    <n v="3"/>
    <x v="1"/>
  </r>
  <r>
    <n v="752"/>
    <n v="60"/>
    <x v="0"/>
    <x v="1"/>
    <x v="2"/>
    <s v="Dumbbells"/>
    <n v="79.86"/>
    <x v="1"/>
    <s v="Cash on Delivery"/>
    <n v="4.4000000000000004"/>
    <x v="12"/>
    <n v="64.686599999999999"/>
    <n v="7"/>
    <x v="0"/>
  </r>
  <r>
    <n v="753"/>
    <n v="43"/>
    <x v="0"/>
    <x v="1"/>
    <x v="1"/>
    <s v="Jacket"/>
    <n v="110.06"/>
    <x v="3"/>
    <s v="Card"/>
    <n v="3.3"/>
    <x v="3"/>
    <n v="88.048000000000002"/>
    <n v="10"/>
    <x v="2"/>
  </r>
  <r>
    <n v="754"/>
    <n v="57"/>
    <x v="0"/>
    <x v="1"/>
    <x v="2"/>
    <s v="Yoga Mat"/>
    <n v="203.13"/>
    <x v="2"/>
    <s v="Card"/>
    <n v="3.3"/>
    <x v="2"/>
    <n v="180.78569999999999"/>
    <n v="3"/>
    <x v="1"/>
  </r>
  <r>
    <n v="755"/>
    <n v="54"/>
    <x v="0"/>
    <x v="1"/>
    <x v="5"/>
    <s v="Laptop"/>
    <n v="1829.89"/>
    <x v="2"/>
    <s v="Card"/>
    <n v="4.9000000000000004"/>
    <x v="25"/>
    <n v="1280.923"/>
    <n v="10"/>
    <x v="2"/>
  </r>
  <r>
    <n v="756"/>
    <n v="33"/>
    <x v="0"/>
    <x v="0"/>
    <x v="2"/>
    <s v="Football"/>
    <n v="183.9"/>
    <x v="3"/>
    <s v="Card"/>
    <n v="2.6"/>
    <x v="19"/>
    <n v="156.315"/>
    <n v="5"/>
    <x v="0"/>
  </r>
  <r>
    <n v="757"/>
    <n v="63"/>
    <x v="1"/>
    <x v="0"/>
    <x v="7"/>
    <s v="Formal Shoes"/>
    <n v="108.4"/>
    <x v="1"/>
    <s v="Card"/>
    <n v="2.6"/>
    <x v="6"/>
    <n v="91.055999999999997"/>
    <n v="3"/>
    <x v="1"/>
  </r>
  <r>
    <n v="758"/>
    <n v="66"/>
    <x v="1"/>
    <x v="1"/>
    <x v="4"/>
    <s v="Snacks"/>
    <n v="37.9"/>
    <x v="2"/>
    <s v="Card"/>
    <n v="3.5"/>
    <x v="4"/>
    <n v="32.594000000000001"/>
    <n v="7"/>
    <x v="0"/>
  </r>
  <r>
    <n v="759"/>
    <n v="30"/>
    <x v="2"/>
    <x v="1"/>
    <x v="1"/>
    <s v="T-Shirt"/>
    <n v="30.45"/>
    <x v="3"/>
    <s v="Card"/>
    <n v="3.6"/>
    <x v="19"/>
    <n v="25.8825"/>
    <n v="5"/>
    <x v="0"/>
  </r>
  <r>
    <n v="760"/>
    <n v="55"/>
    <x v="0"/>
    <x v="1"/>
    <x v="2"/>
    <s v="Yoga Mat"/>
    <n v="54.84"/>
    <x v="1"/>
    <s v="Cash on Delivery"/>
    <n v="1.1000000000000001"/>
    <x v="5"/>
    <n v="50.452800000000003"/>
    <n v="4"/>
    <x v="0"/>
  </r>
  <r>
    <n v="761"/>
    <n v="35"/>
    <x v="0"/>
    <x v="0"/>
    <x v="0"/>
    <s v="Sunglasses"/>
    <n v="154.72"/>
    <x v="1"/>
    <s v="Card"/>
    <n v="3.2"/>
    <x v="11"/>
    <n v="114.4928"/>
    <n v="8"/>
    <x v="2"/>
  </r>
  <r>
    <n v="762"/>
    <n v="33"/>
    <x v="0"/>
    <x v="1"/>
    <x v="5"/>
    <s v="Headphones"/>
    <n v="2603.54"/>
    <x v="0"/>
    <s v="Card"/>
    <n v="4.4000000000000004"/>
    <x v="8"/>
    <n v="2291.1152000000002"/>
    <n v="6"/>
    <x v="0"/>
  </r>
  <r>
    <n v="763"/>
    <n v="28"/>
    <x v="2"/>
    <x v="1"/>
    <x v="7"/>
    <s v="Sandals"/>
    <n v="192.41"/>
    <x v="2"/>
    <s v="Card"/>
    <n v="3.2"/>
    <x v="5"/>
    <n v="177.0172"/>
    <n v="4"/>
    <x v="0"/>
  </r>
  <r>
    <n v="764"/>
    <n v="38"/>
    <x v="0"/>
    <x v="1"/>
    <x v="2"/>
    <s v="Yoga Mat"/>
    <n v="248.91"/>
    <x v="0"/>
    <s v="Card"/>
    <n v="4.8"/>
    <x v="11"/>
    <n v="184.1934"/>
    <n v="8"/>
    <x v="2"/>
  </r>
  <r>
    <n v="765"/>
    <n v="51"/>
    <x v="0"/>
    <x v="1"/>
    <x v="4"/>
    <s v="Beverages"/>
    <n v="43.81"/>
    <x v="2"/>
    <s v="Cash on Delivery"/>
    <n v="4.0999999999999996"/>
    <x v="23"/>
    <n v="40.743299999999998"/>
    <n v="1"/>
    <x v="1"/>
  </r>
  <r>
    <n v="766"/>
    <n v="24"/>
    <x v="2"/>
    <x v="1"/>
    <x v="4"/>
    <s v="Cooking Oil"/>
    <n v="63.21"/>
    <x v="1"/>
    <s v="Cash on Delivery"/>
    <n v="4"/>
    <x v="7"/>
    <n v="56.889000000000003"/>
    <n v="5"/>
    <x v="0"/>
  </r>
  <r>
    <n v="767"/>
    <n v="62"/>
    <x v="1"/>
    <x v="1"/>
    <x v="3"/>
    <s v="Curtains"/>
    <n v="98"/>
    <x v="1"/>
    <s v="Cash on Delivery"/>
    <n v="5"/>
    <x v="24"/>
    <n v="70.56"/>
    <n v="9"/>
    <x v="2"/>
  </r>
  <r>
    <n v="768"/>
    <n v="63"/>
    <x v="1"/>
    <x v="1"/>
    <x v="2"/>
    <s v="Yoga Mat"/>
    <n v="117.1"/>
    <x v="0"/>
    <s v="Card"/>
    <n v="3.6"/>
    <x v="5"/>
    <n v="107.732"/>
    <n v="4"/>
    <x v="0"/>
  </r>
  <r>
    <n v="769"/>
    <n v="60"/>
    <x v="0"/>
    <x v="0"/>
    <x v="2"/>
    <s v="Dumbbells"/>
    <n v="248.11"/>
    <x v="0"/>
    <s v="Card"/>
    <n v="3.9"/>
    <x v="3"/>
    <n v="198.48800000000003"/>
    <n v="5"/>
    <x v="0"/>
  </r>
  <r>
    <n v="770"/>
    <n v="26"/>
    <x v="2"/>
    <x v="0"/>
    <x v="8"/>
    <s v="Dress"/>
    <n v="43.35"/>
    <x v="1"/>
    <s v="Card"/>
    <n v="4.4000000000000004"/>
    <x v="4"/>
    <n v="37.280999999999999"/>
    <n v="7"/>
    <x v="0"/>
  </r>
  <r>
    <n v="771"/>
    <n v="56"/>
    <x v="0"/>
    <x v="0"/>
    <x v="4"/>
    <s v="Beverages"/>
    <n v="62.63"/>
    <x v="0"/>
    <s v="Card"/>
    <n v="3.7"/>
    <x v="0"/>
    <n v="51.356600000000007"/>
    <n v="4"/>
    <x v="0"/>
  </r>
  <r>
    <n v="772"/>
    <n v="21"/>
    <x v="2"/>
    <x v="0"/>
    <x v="8"/>
    <s v="Top"/>
    <n v="92.13"/>
    <x v="2"/>
    <s v="Cash on Delivery"/>
    <n v="3.5"/>
    <x v="3"/>
    <n v="73.703999999999994"/>
    <n v="5"/>
    <x v="0"/>
  </r>
  <r>
    <n v="773"/>
    <n v="31"/>
    <x v="0"/>
    <x v="0"/>
    <x v="0"/>
    <s v="Wallet"/>
    <n v="136.74"/>
    <x v="2"/>
    <s v="Card"/>
    <n v="2.9"/>
    <x v="5"/>
    <n v="125.80080000000001"/>
    <n v="4"/>
    <x v="0"/>
  </r>
  <r>
    <n v="774"/>
    <n v="51"/>
    <x v="0"/>
    <x v="0"/>
    <x v="6"/>
    <s v="Makeup Set"/>
    <n v="101.97"/>
    <x v="0"/>
    <s v="Card"/>
    <n v="3.4"/>
    <x v="13"/>
    <n v="92.792699999999996"/>
    <n v="2"/>
    <x v="1"/>
  </r>
  <r>
    <n v="775"/>
    <n v="38"/>
    <x v="0"/>
    <x v="0"/>
    <x v="8"/>
    <s v="Top"/>
    <n v="50.83"/>
    <x v="0"/>
    <s v="Card"/>
    <n v="3.9"/>
    <x v="23"/>
    <n v="47.271899999999995"/>
    <n v="1"/>
    <x v="1"/>
  </r>
  <r>
    <n v="776"/>
    <n v="52"/>
    <x v="0"/>
    <x v="1"/>
    <x v="7"/>
    <s v="Sandals"/>
    <n v="161.58000000000001"/>
    <x v="1"/>
    <s v="Card"/>
    <n v="2.6"/>
    <x v="10"/>
    <n v="126.03240000000001"/>
    <n v="11"/>
    <x v="2"/>
  </r>
  <r>
    <n v="777"/>
    <n v="36"/>
    <x v="0"/>
    <x v="0"/>
    <x v="4"/>
    <s v="Beverages"/>
    <n v="11.85"/>
    <x v="1"/>
    <s v="Cash on Delivery"/>
    <n v="3.6"/>
    <x v="12"/>
    <n v="9.5984999999999996"/>
    <n v="7"/>
    <x v="0"/>
  </r>
  <r>
    <n v="778"/>
    <n v="42"/>
    <x v="0"/>
    <x v="1"/>
    <x v="7"/>
    <s v="Sneakers"/>
    <n v="205.2"/>
    <x v="2"/>
    <s v="Card"/>
    <n v="2.9"/>
    <x v="17"/>
    <n v="196.99199999999999"/>
    <n v="2"/>
    <x v="1"/>
  </r>
  <r>
    <n v="779"/>
    <n v="69"/>
    <x v="1"/>
    <x v="1"/>
    <x v="3"/>
    <s v="Lamp"/>
    <n v="120.93"/>
    <x v="3"/>
    <s v="Card"/>
    <n v="4.5"/>
    <x v="24"/>
    <n v="87.069600000000008"/>
    <n v="9"/>
    <x v="2"/>
  </r>
  <r>
    <n v="780"/>
    <n v="67"/>
    <x v="1"/>
    <x v="1"/>
    <x v="1"/>
    <s v="Jacket"/>
    <n v="35.68"/>
    <x v="0"/>
    <s v="Cash on Delivery"/>
    <n v="3.5"/>
    <x v="7"/>
    <n v="32.112000000000002"/>
    <n v="5"/>
    <x v="0"/>
  </r>
  <r>
    <n v="781"/>
    <n v="69"/>
    <x v="1"/>
    <x v="1"/>
    <x v="2"/>
    <s v="Dumbbells"/>
    <n v="109.07"/>
    <x v="2"/>
    <s v="Card"/>
    <n v="3.3"/>
    <x v="7"/>
    <n v="98.162999999999997"/>
    <n v="5"/>
    <x v="0"/>
  </r>
  <r>
    <n v="782"/>
    <n v="30"/>
    <x v="2"/>
    <x v="0"/>
    <x v="7"/>
    <s v="Formal Shoes"/>
    <n v="109.86"/>
    <x v="2"/>
    <s v="Card"/>
    <n v="3.6"/>
    <x v="13"/>
    <n v="99.9726"/>
    <n v="2"/>
    <x v="1"/>
  </r>
  <r>
    <n v="783"/>
    <n v="40"/>
    <x v="0"/>
    <x v="0"/>
    <x v="8"/>
    <s v="Skirt"/>
    <n v="34.85"/>
    <x v="3"/>
    <s v="Cash on Delivery"/>
    <n v="3"/>
    <x v="4"/>
    <n v="29.971"/>
    <n v="2"/>
    <x v="1"/>
  </r>
  <r>
    <n v="784"/>
    <n v="41"/>
    <x v="0"/>
    <x v="0"/>
    <x v="4"/>
    <s v="Snacks"/>
    <n v="70.84"/>
    <x v="0"/>
    <s v="Card"/>
    <n v="4.4000000000000004"/>
    <x v="8"/>
    <n v="62.339200000000005"/>
    <n v="6"/>
    <x v="0"/>
  </r>
  <r>
    <n v="785"/>
    <n v="20"/>
    <x v="2"/>
    <x v="1"/>
    <x v="7"/>
    <s v="Sandals"/>
    <n v="170.06"/>
    <x v="2"/>
    <s v="Card"/>
    <n v="4.4000000000000004"/>
    <x v="8"/>
    <n v="149.65280000000001"/>
    <n v="1"/>
    <x v="1"/>
  </r>
  <r>
    <n v="786"/>
    <n v="39"/>
    <x v="0"/>
    <x v="0"/>
    <x v="3"/>
    <s v="Lamp"/>
    <n v="80.69"/>
    <x v="1"/>
    <s v="Cash on Delivery"/>
    <n v="3.8"/>
    <x v="6"/>
    <n v="67.779600000000002"/>
    <n v="8"/>
    <x v="2"/>
  </r>
  <r>
    <n v="787"/>
    <n v="54"/>
    <x v="0"/>
    <x v="1"/>
    <x v="5"/>
    <s v="Laptop"/>
    <n v="980.43"/>
    <x v="3"/>
    <s v="Card"/>
    <n v="3.6"/>
    <x v="4"/>
    <n v="843.1697999999999"/>
    <n v="2"/>
    <x v="1"/>
  </r>
  <r>
    <n v="788"/>
    <n v="66"/>
    <x v="1"/>
    <x v="1"/>
    <x v="2"/>
    <s v="Football"/>
    <n v="103.3"/>
    <x v="1"/>
    <s v="Card"/>
    <n v="2.6"/>
    <x v="16"/>
    <n v="97.10199999999999"/>
    <n v="3"/>
    <x v="1"/>
  </r>
  <r>
    <n v="789"/>
    <n v="39"/>
    <x v="0"/>
    <x v="1"/>
    <x v="2"/>
    <s v="Football"/>
    <n v="245.18"/>
    <x v="2"/>
    <s v="Card"/>
    <n v="4"/>
    <x v="3"/>
    <n v="196.14400000000001"/>
    <n v="5"/>
    <x v="0"/>
  </r>
  <r>
    <n v="790"/>
    <n v="39"/>
    <x v="0"/>
    <x v="0"/>
    <x v="0"/>
    <s v="Handbag"/>
    <n v="128.03"/>
    <x v="1"/>
    <s v="Card"/>
    <n v="3.7"/>
    <x v="5"/>
    <n v="117.78760000000001"/>
    <n v="4"/>
    <x v="0"/>
  </r>
  <r>
    <n v="791"/>
    <n v="21"/>
    <x v="2"/>
    <x v="1"/>
    <x v="2"/>
    <s v="Yoga Mat"/>
    <n v="231.08"/>
    <x v="1"/>
    <s v="Card"/>
    <n v="4.7"/>
    <x v="0"/>
    <n v="189.48560000000003"/>
    <n v="4"/>
    <x v="0"/>
  </r>
  <r>
    <n v="792"/>
    <n v="60"/>
    <x v="0"/>
    <x v="0"/>
    <x v="8"/>
    <s v="Jeans"/>
    <n v="48.29"/>
    <x v="2"/>
    <s v="Cash on Delivery"/>
    <n v="3.9"/>
    <x v="10"/>
    <n v="37.666200000000003"/>
    <n v="6"/>
    <x v="0"/>
  </r>
  <r>
    <n v="793"/>
    <n v="27"/>
    <x v="2"/>
    <x v="1"/>
    <x v="5"/>
    <s v="Laptop"/>
    <n v="677.89"/>
    <x v="3"/>
    <s v="Card"/>
    <n v="3.3"/>
    <x v="6"/>
    <n v="569.42759999999998"/>
    <n v="8"/>
    <x v="2"/>
  </r>
  <r>
    <n v="794"/>
    <n v="36"/>
    <x v="0"/>
    <x v="1"/>
    <x v="2"/>
    <s v="Football"/>
    <n v="163.62"/>
    <x v="2"/>
    <s v="Card"/>
    <n v="2.9"/>
    <x v="19"/>
    <n v="139.077"/>
    <n v="5"/>
    <x v="0"/>
  </r>
  <r>
    <n v="795"/>
    <n v="21"/>
    <x v="2"/>
    <x v="0"/>
    <x v="4"/>
    <s v="Rice Pack"/>
    <n v="23.18"/>
    <x v="1"/>
    <s v="Card"/>
    <n v="4.4000000000000004"/>
    <x v="2"/>
    <n v="20.630199999999999"/>
    <n v="3"/>
    <x v="1"/>
  </r>
  <r>
    <n v="796"/>
    <n v="63"/>
    <x v="1"/>
    <x v="1"/>
    <x v="2"/>
    <s v="Dumbbells"/>
    <n v="136.33000000000001"/>
    <x v="0"/>
    <s v="Card"/>
    <n v="4.5999999999999996"/>
    <x v="19"/>
    <n v="115.88050000000001"/>
    <n v="5"/>
    <x v="0"/>
  </r>
  <r>
    <n v="797"/>
    <n v="67"/>
    <x v="1"/>
    <x v="1"/>
    <x v="5"/>
    <s v="Laptop"/>
    <n v="2406.63"/>
    <x v="2"/>
    <s v="Card"/>
    <n v="3.2"/>
    <x v="6"/>
    <n v="2021.5691999999999"/>
    <n v="3"/>
    <x v="1"/>
  </r>
  <r>
    <n v="798"/>
    <n v="27"/>
    <x v="2"/>
    <x v="1"/>
    <x v="7"/>
    <s v="Sneakers"/>
    <n v="172.16"/>
    <x v="2"/>
    <s v="Card"/>
    <n v="3.4"/>
    <x v="4"/>
    <n v="148.05760000000001"/>
    <n v="7"/>
    <x v="0"/>
  </r>
  <r>
    <n v="799"/>
    <n v="69"/>
    <x v="1"/>
    <x v="1"/>
    <x v="7"/>
    <s v="Sneakers"/>
    <n v="242.66"/>
    <x v="1"/>
    <s v="Card"/>
    <n v="5"/>
    <x v="15"/>
    <n v="237.80679999999998"/>
    <n v="1"/>
    <x v="1"/>
  </r>
  <r>
    <n v="800"/>
    <n v="64"/>
    <x v="1"/>
    <x v="1"/>
    <x v="2"/>
    <s v="Football"/>
    <n v="99.39"/>
    <x v="0"/>
    <s v="Card"/>
    <n v="3.6"/>
    <x v="6"/>
    <n v="83.4876"/>
    <n v="8"/>
    <x v="2"/>
  </r>
  <r>
    <n v="801"/>
    <n v="62"/>
    <x v="1"/>
    <x v="0"/>
    <x v="6"/>
    <s v="Perfume"/>
    <n v="36.869999999999997"/>
    <x v="2"/>
    <s v="Card"/>
    <n v="4.7"/>
    <x v="22"/>
    <n v="28.389899999999997"/>
    <n v="9"/>
    <x v="2"/>
  </r>
  <r>
    <n v="802"/>
    <n v="55"/>
    <x v="0"/>
    <x v="1"/>
    <x v="5"/>
    <s v="Laptop"/>
    <n v="2855.84"/>
    <x v="0"/>
    <s v="Card"/>
    <n v="3.7"/>
    <x v="2"/>
    <n v="2541.6976"/>
    <n v="3"/>
    <x v="1"/>
  </r>
  <r>
    <n v="803"/>
    <n v="49"/>
    <x v="0"/>
    <x v="0"/>
    <x v="0"/>
    <s v="Handbag"/>
    <n v="135.05000000000001"/>
    <x v="1"/>
    <s v="Card"/>
    <n v="2.9"/>
    <x v="16"/>
    <n v="126.947"/>
    <n v="3"/>
    <x v="1"/>
  </r>
  <r>
    <n v="804"/>
    <n v="34"/>
    <x v="0"/>
    <x v="1"/>
    <x v="2"/>
    <s v="Football"/>
    <n v="49.52"/>
    <x v="1"/>
    <s v="Cash on Delivery"/>
    <n v="2.2999999999999998"/>
    <x v="13"/>
    <n v="45.063200000000002"/>
    <n v="2"/>
    <x v="1"/>
  </r>
  <r>
    <n v="805"/>
    <n v="42"/>
    <x v="0"/>
    <x v="1"/>
    <x v="7"/>
    <s v="Sneakers"/>
    <n v="161.18"/>
    <x v="1"/>
    <s v="Card"/>
    <n v="4.5"/>
    <x v="3"/>
    <n v="128.94400000000002"/>
    <n v="5"/>
    <x v="0"/>
  </r>
  <r>
    <n v="806"/>
    <n v="70"/>
    <x v="1"/>
    <x v="0"/>
    <x v="4"/>
    <s v="Cooking Oil"/>
    <n v="36.299999999999997"/>
    <x v="2"/>
    <s v="Card"/>
    <n v="3.1"/>
    <x v="8"/>
    <n v="31.943999999999999"/>
    <n v="6"/>
    <x v="0"/>
  </r>
  <r>
    <n v="807"/>
    <n v="42"/>
    <x v="0"/>
    <x v="1"/>
    <x v="5"/>
    <s v="Mobile Phone"/>
    <n v="2889.05"/>
    <x v="1"/>
    <s v="Card"/>
    <n v="4.0999999999999996"/>
    <x v="8"/>
    <n v="2542.364"/>
    <n v="1"/>
    <x v="1"/>
  </r>
  <r>
    <n v="808"/>
    <n v="49"/>
    <x v="0"/>
    <x v="0"/>
    <x v="7"/>
    <s v="Formal Shoes"/>
    <n v="185.74"/>
    <x v="1"/>
    <s v="Card"/>
    <n v="2.5"/>
    <x v="1"/>
    <n v="161.59380000000002"/>
    <n v="4"/>
    <x v="0"/>
  </r>
  <r>
    <n v="809"/>
    <n v="57"/>
    <x v="0"/>
    <x v="0"/>
    <x v="8"/>
    <s v="Dress"/>
    <n v="149.82"/>
    <x v="1"/>
    <s v="Card"/>
    <n v="3.3"/>
    <x v="6"/>
    <n v="125.84879999999998"/>
    <n v="8"/>
    <x v="2"/>
  </r>
  <r>
    <n v="810"/>
    <n v="45"/>
    <x v="0"/>
    <x v="0"/>
    <x v="2"/>
    <s v="Yoga Mat"/>
    <n v="159.87"/>
    <x v="2"/>
    <s v="Card"/>
    <n v="3.6"/>
    <x v="2"/>
    <n v="142.2843"/>
    <n v="3"/>
    <x v="1"/>
  </r>
  <r>
    <n v="811"/>
    <n v="47"/>
    <x v="0"/>
    <x v="0"/>
    <x v="7"/>
    <s v="Sneakers"/>
    <n v="116.66"/>
    <x v="1"/>
    <s v="Card"/>
    <n v="4.0999999999999996"/>
    <x v="6"/>
    <n v="97.994399999999999"/>
    <n v="8"/>
    <x v="2"/>
  </r>
  <r>
    <n v="812"/>
    <n v="60"/>
    <x v="0"/>
    <x v="1"/>
    <x v="7"/>
    <s v="Formal Shoes"/>
    <n v="69.97"/>
    <x v="2"/>
    <s v="Card"/>
    <n v="4.5999999999999996"/>
    <x v="18"/>
    <n v="53.177199999999999"/>
    <n v="7"/>
    <x v="0"/>
  </r>
  <r>
    <n v="813"/>
    <n v="43"/>
    <x v="0"/>
    <x v="0"/>
    <x v="7"/>
    <s v="Sneakers"/>
    <n v="243.54"/>
    <x v="2"/>
    <s v="Card"/>
    <n v="4.0999999999999996"/>
    <x v="10"/>
    <n v="189.96119999999999"/>
    <n v="6"/>
    <x v="0"/>
  </r>
  <r>
    <n v="814"/>
    <n v="64"/>
    <x v="1"/>
    <x v="1"/>
    <x v="2"/>
    <s v="Football"/>
    <n v="182"/>
    <x v="3"/>
    <s v="Card"/>
    <n v="4.5"/>
    <x v="2"/>
    <n v="161.97999999999999"/>
    <n v="3"/>
    <x v="1"/>
  </r>
  <r>
    <n v="815"/>
    <n v="55"/>
    <x v="0"/>
    <x v="0"/>
    <x v="6"/>
    <s v="Makeup Set"/>
    <n v="129.26"/>
    <x v="1"/>
    <s v="Card"/>
    <n v="3.2"/>
    <x v="5"/>
    <n v="118.9192"/>
    <n v="4"/>
    <x v="0"/>
  </r>
  <r>
    <n v="816"/>
    <n v="62"/>
    <x v="1"/>
    <x v="0"/>
    <x v="7"/>
    <s v="Formal Shoes"/>
    <n v="199.51"/>
    <x v="1"/>
    <s v="Card"/>
    <n v="5"/>
    <x v="11"/>
    <n v="147.63739999999999"/>
    <n v="13"/>
    <x v="2"/>
  </r>
  <r>
    <n v="817"/>
    <n v="48"/>
    <x v="0"/>
    <x v="0"/>
    <x v="4"/>
    <s v="Snacks"/>
    <n v="42.88"/>
    <x v="3"/>
    <s v="Cash on Delivery"/>
    <n v="3.9"/>
    <x v="10"/>
    <n v="33.446400000000004"/>
    <n v="6"/>
    <x v="0"/>
  </r>
  <r>
    <n v="818"/>
    <n v="65"/>
    <x v="1"/>
    <x v="0"/>
    <x v="8"/>
    <s v="Skirt"/>
    <n v="108.5"/>
    <x v="3"/>
    <s v="Card"/>
    <n v="3.4"/>
    <x v="6"/>
    <n v="91.14"/>
    <n v="8"/>
    <x v="2"/>
  </r>
  <r>
    <n v="819"/>
    <n v="27"/>
    <x v="2"/>
    <x v="0"/>
    <x v="6"/>
    <s v="Makeup Set"/>
    <n v="38.35"/>
    <x v="3"/>
    <s v="Cash on Delivery"/>
    <n v="5"/>
    <x v="1"/>
    <n v="33.3645"/>
    <n v="4"/>
    <x v="0"/>
  </r>
  <r>
    <n v="820"/>
    <n v="68"/>
    <x v="1"/>
    <x v="0"/>
    <x v="4"/>
    <s v="Rice Pack"/>
    <n v="28.85"/>
    <x v="3"/>
    <s v="Card"/>
    <n v="4.4000000000000004"/>
    <x v="14"/>
    <n v="23.945499999999999"/>
    <n v="6"/>
    <x v="0"/>
  </r>
  <r>
    <n v="821"/>
    <n v="64"/>
    <x v="1"/>
    <x v="1"/>
    <x v="5"/>
    <s v="Laptop"/>
    <n v="1305.74"/>
    <x v="3"/>
    <s v="Card"/>
    <n v="4.8"/>
    <x v="8"/>
    <n v="1149.0512000000001"/>
    <n v="6"/>
    <x v="0"/>
  </r>
  <r>
    <n v="822"/>
    <n v="31"/>
    <x v="0"/>
    <x v="1"/>
    <x v="5"/>
    <s v="Mobile Phone"/>
    <n v="2370.9899999999998"/>
    <x v="1"/>
    <s v="Card"/>
    <n v="3.6"/>
    <x v="3"/>
    <n v="1896.7919999999999"/>
    <n v="5"/>
    <x v="0"/>
  </r>
  <r>
    <n v="823"/>
    <n v="56"/>
    <x v="0"/>
    <x v="0"/>
    <x v="2"/>
    <s v="Football"/>
    <n v="197.64"/>
    <x v="3"/>
    <s v="Card"/>
    <n v="5"/>
    <x v="10"/>
    <n v="154.1592"/>
    <n v="6"/>
    <x v="0"/>
  </r>
  <r>
    <n v="824"/>
    <n v="55"/>
    <x v="0"/>
    <x v="0"/>
    <x v="8"/>
    <s v="Top"/>
    <n v="33.4"/>
    <x v="3"/>
    <s v="Cash on Delivery"/>
    <n v="4.9000000000000004"/>
    <x v="4"/>
    <n v="28.723999999999997"/>
    <n v="2"/>
    <x v="1"/>
  </r>
  <r>
    <n v="825"/>
    <n v="57"/>
    <x v="0"/>
    <x v="0"/>
    <x v="4"/>
    <s v="Beverages"/>
    <n v="68.77"/>
    <x v="1"/>
    <s v="Card"/>
    <n v="4.2"/>
    <x v="20"/>
    <n v="46.76359999999999"/>
    <n v="11"/>
    <x v="2"/>
  </r>
  <r>
    <n v="826"/>
    <n v="36"/>
    <x v="0"/>
    <x v="0"/>
    <x v="8"/>
    <s v="Jeans"/>
    <n v="42.75"/>
    <x v="3"/>
    <s v="Card"/>
    <n v="3.8"/>
    <x v="14"/>
    <n v="35.482500000000002"/>
    <n v="6"/>
    <x v="0"/>
  </r>
  <r>
    <n v="827"/>
    <n v="41"/>
    <x v="0"/>
    <x v="0"/>
    <x v="3"/>
    <s v="Curtains"/>
    <n v="157.96"/>
    <x v="3"/>
    <s v="Card"/>
    <n v="4.4000000000000004"/>
    <x v="7"/>
    <n v="142.16400000000002"/>
    <n v="5"/>
    <x v="0"/>
  </r>
  <r>
    <n v="828"/>
    <n v="38"/>
    <x v="0"/>
    <x v="1"/>
    <x v="5"/>
    <s v="Headphones"/>
    <n v="2502.52"/>
    <x v="0"/>
    <s v="Card"/>
    <n v="2.9"/>
    <x v="19"/>
    <n v="2127.1419999999998"/>
    <n v="5"/>
    <x v="0"/>
  </r>
  <r>
    <n v="829"/>
    <n v="43"/>
    <x v="0"/>
    <x v="0"/>
    <x v="2"/>
    <s v="Yoga Mat"/>
    <n v="93.26"/>
    <x v="2"/>
    <s v="Card"/>
    <n v="4.3"/>
    <x v="7"/>
    <n v="83.934000000000012"/>
    <n v="5"/>
    <x v="0"/>
  </r>
  <r>
    <n v="830"/>
    <n v="46"/>
    <x v="0"/>
    <x v="1"/>
    <x v="7"/>
    <s v="Sandals"/>
    <n v="160.09"/>
    <x v="0"/>
    <s v="Card"/>
    <n v="4"/>
    <x v="5"/>
    <n v="147.28280000000001"/>
    <n v="4"/>
    <x v="0"/>
  </r>
  <r>
    <n v="831"/>
    <n v="38"/>
    <x v="0"/>
    <x v="1"/>
    <x v="5"/>
    <s v="Headphones"/>
    <n v="2841.72"/>
    <x v="0"/>
    <s v="Card"/>
    <n v="4"/>
    <x v="22"/>
    <n v="2188.1243999999997"/>
    <n v="9"/>
    <x v="2"/>
  </r>
  <r>
    <n v="832"/>
    <n v="32"/>
    <x v="0"/>
    <x v="1"/>
    <x v="3"/>
    <s v="Curtains"/>
    <n v="220.24"/>
    <x v="3"/>
    <s v="Card"/>
    <n v="5"/>
    <x v="6"/>
    <n v="185.0016"/>
    <n v="3"/>
    <x v="1"/>
  </r>
  <r>
    <n v="833"/>
    <n v="59"/>
    <x v="0"/>
    <x v="1"/>
    <x v="7"/>
    <s v="Sandals"/>
    <n v="239.65"/>
    <x v="2"/>
    <s v="Card"/>
    <n v="2.7"/>
    <x v="13"/>
    <n v="218.08150000000001"/>
    <n v="2"/>
    <x v="1"/>
  </r>
  <r>
    <n v="834"/>
    <n v="37"/>
    <x v="0"/>
    <x v="0"/>
    <x v="8"/>
    <s v="Jeans"/>
    <n v="41.62"/>
    <x v="2"/>
    <s v="Card"/>
    <n v="3.5"/>
    <x v="21"/>
    <n v="32.879799999999996"/>
    <n v="8"/>
    <x v="2"/>
  </r>
  <r>
    <n v="835"/>
    <n v="36"/>
    <x v="0"/>
    <x v="1"/>
    <x v="3"/>
    <s v="Lamp"/>
    <n v="254.85"/>
    <x v="3"/>
    <s v="Card"/>
    <n v="3"/>
    <x v="5"/>
    <n v="234.46200000000002"/>
    <n v="4"/>
    <x v="0"/>
  </r>
  <r>
    <n v="836"/>
    <n v="34"/>
    <x v="0"/>
    <x v="0"/>
    <x v="8"/>
    <s v="Dress"/>
    <n v="46.13"/>
    <x v="3"/>
    <s v="Cash on Delivery"/>
    <n v="3.5"/>
    <x v="21"/>
    <n v="36.442700000000002"/>
    <n v="8"/>
    <x v="2"/>
  </r>
  <r>
    <n v="837"/>
    <n v="62"/>
    <x v="1"/>
    <x v="0"/>
    <x v="0"/>
    <s v="Handbag"/>
    <n v="144.18"/>
    <x v="2"/>
    <s v="Card"/>
    <n v="3.7"/>
    <x v="16"/>
    <n v="135.5292"/>
    <n v="3"/>
    <x v="1"/>
  </r>
  <r>
    <n v="838"/>
    <n v="59"/>
    <x v="0"/>
    <x v="1"/>
    <x v="2"/>
    <s v="Football"/>
    <n v="140.99"/>
    <x v="1"/>
    <s v="Card"/>
    <n v="2.7"/>
    <x v="8"/>
    <n v="124.0712"/>
    <n v="6"/>
    <x v="0"/>
  </r>
  <r>
    <n v="839"/>
    <n v="38"/>
    <x v="0"/>
    <x v="1"/>
    <x v="3"/>
    <s v="Lamp"/>
    <n v="140.12"/>
    <x v="3"/>
    <s v="Card"/>
    <n v="4.9000000000000004"/>
    <x v="4"/>
    <n v="120.50320000000001"/>
    <n v="7"/>
    <x v="0"/>
  </r>
  <r>
    <n v="840"/>
    <n v="31"/>
    <x v="0"/>
    <x v="1"/>
    <x v="1"/>
    <s v="Jacket"/>
    <n v="81.16"/>
    <x v="0"/>
    <s v="Card"/>
    <n v="3.9"/>
    <x v="21"/>
    <n v="64.116399999999999"/>
    <n v="8"/>
    <x v="2"/>
  </r>
  <r>
    <n v="841"/>
    <n v="40"/>
    <x v="0"/>
    <x v="0"/>
    <x v="0"/>
    <s v="Handbag"/>
    <n v="74.23"/>
    <x v="1"/>
    <s v="Card"/>
    <n v="4.4000000000000004"/>
    <x v="2"/>
    <n v="66.064700000000002"/>
    <n v="3"/>
    <x v="1"/>
  </r>
  <r>
    <n v="842"/>
    <n v="51"/>
    <x v="0"/>
    <x v="0"/>
    <x v="0"/>
    <s v="Sunglasses"/>
    <n v="125.26"/>
    <x v="1"/>
    <s v="Card"/>
    <n v="4.7"/>
    <x v="4"/>
    <n v="107.7236"/>
    <n v="2"/>
    <x v="1"/>
  </r>
  <r>
    <n v="843"/>
    <n v="24"/>
    <x v="2"/>
    <x v="1"/>
    <x v="7"/>
    <s v="Sandals"/>
    <n v="214.97"/>
    <x v="2"/>
    <s v="Card"/>
    <n v="4.2"/>
    <x v="12"/>
    <n v="174.12570000000002"/>
    <n v="7"/>
    <x v="0"/>
  </r>
  <r>
    <n v="844"/>
    <n v="23"/>
    <x v="2"/>
    <x v="1"/>
    <x v="5"/>
    <s v="Mobile Phone"/>
    <n v="1810.64"/>
    <x v="0"/>
    <s v="Card"/>
    <n v="4.5"/>
    <x v="2"/>
    <n v="1611.4696000000001"/>
    <n v="3"/>
    <x v="1"/>
  </r>
  <r>
    <n v="845"/>
    <n v="33"/>
    <x v="0"/>
    <x v="1"/>
    <x v="1"/>
    <s v="Jeans"/>
    <n v="140.65"/>
    <x v="3"/>
    <s v="Card"/>
    <n v="4.7"/>
    <x v="3"/>
    <n v="112.52000000000001"/>
    <n v="5"/>
    <x v="0"/>
  </r>
  <r>
    <n v="846"/>
    <n v="33"/>
    <x v="0"/>
    <x v="1"/>
    <x v="5"/>
    <s v="Mobile Phone"/>
    <n v="2064.65"/>
    <x v="0"/>
    <s v="Card"/>
    <n v="4.7"/>
    <x v="14"/>
    <n v="1713.6595"/>
    <n v="6"/>
    <x v="0"/>
  </r>
  <r>
    <n v="847"/>
    <n v="36"/>
    <x v="0"/>
    <x v="0"/>
    <x v="4"/>
    <s v="Cooking Oil"/>
    <n v="11.44"/>
    <x v="0"/>
    <s v="Card"/>
    <n v="3.1"/>
    <x v="1"/>
    <n v="9.9527999999999999"/>
    <n v="4"/>
    <x v="0"/>
  </r>
  <r>
    <n v="848"/>
    <n v="54"/>
    <x v="0"/>
    <x v="0"/>
    <x v="6"/>
    <s v="Perfume"/>
    <n v="76.66"/>
    <x v="1"/>
    <s v="Cash on Delivery"/>
    <n v="4.3"/>
    <x v="8"/>
    <n v="67.460799999999992"/>
    <n v="6"/>
    <x v="0"/>
  </r>
  <r>
    <n v="849"/>
    <n v="64"/>
    <x v="1"/>
    <x v="0"/>
    <x v="0"/>
    <s v="Wallet"/>
    <n v="97.05"/>
    <x v="0"/>
    <s v="Cash on Delivery"/>
    <n v="4.3"/>
    <x v="14"/>
    <n v="80.55149999999999"/>
    <n v="6"/>
    <x v="0"/>
  </r>
  <r>
    <n v="850"/>
    <n v="24"/>
    <x v="2"/>
    <x v="1"/>
    <x v="2"/>
    <s v="Football"/>
    <n v="214.49"/>
    <x v="0"/>
    <s v="Card"/>
    <n v="4.4000000000000004"/>
    <x v="23"/>
    <n v="199.47569999999999"/>
    <n v="1"/>
    <x v="1"/>
  </r>
  <r>
    <n v="851"/>
    <n v="27"/>
    <x v="2"/>
    <x v="1"/>
    <x v="1"/>
    <s v="Jacket"/>
    <n v="43.04"/>
    <x v="3"/>
    <s v="Cash on Delivery"/>
    <n v="2"/>
    <x v="1"/>
    <n v="37.444800000000001"/>
    <n v="4"/>
    <x v="0"/>
  </r>
  <r>
    <n v="852"/>
    <n v="42"/>
    <x v="0"/>
    <x v="0"/>
    <x v="0"/>
    <s v="Sunglasses"/>
    <n v="60.96"/>
    <x v="1"/>
    <s v="Card"/>
    <n v="3.2"/>
    <x v="17"/>
    <n v="58.521599999999999"/>
    <n v="2"/>
    <x v="1"/>
  </r>
  <r>
    <n v="853"/>
    <n v="40"/>
    <x v="0"/>
    <x v="0"/>
    <x v="3"/>
    <s v="Lamp"/>
    <n v="198.03"/>
    <x v="0"/>
    <s v="Card"/>
    <n v="3"/>
    <x v="3"/>
    <n v="158.42400000000001"/>
    <n v="5"/>
    <x v="0"/>
  </r>
  <r>
    <n v="854"/>
    <n v="44"/>
    <x v="0"/>
    <x v="0"/>
    <x v="2"/>
    <s v="Dumbbells"/>
    <n v="218.22"/>
    <x v="1"/>
    <s v="Card"/>
    <n v="3.3"/>
    <x v="12"/>
    <n v="176.75820000000002"/>
    <n v="7"/>
    <x v="0"/>
  </r>
  <r>
    <n v="855"/>
    <n v="51"/>
    <x v="0"/>
    <x v="0"/>
    <x v="3"/>
    <s v="Curtains"/>
    <n v="207.52"/>
    <x v="1"/>
    <s v="Card"/>
    <n v="3.6"/>
    <x v="14"/>
    <n v="172.24160000000001"/>
    <n v="6"/>
    <x v="0"/>
  </r>
  <r>
    <n v="856"/>
    <n v="55"/>
    <x v="0"/>
    <x v="0"/>
    <x v="6"/>
    <s v="Skincare Kit"/>
    <n v="72.03"/>
    <x v="0"/>
    <s v="Card"/>
    <n v="4.2"/>
    <x v="8"/>
    <n v="63.386400000000002"/>
    <n v="6"/>
    <x v="0"/>
  </r>
  <r>
    <n v="857"/>
    <n v="60"/>
    <x v="0"/>
    <x v="1"/>
    <x v="7"/>
    <s v="Sandals"/>
    <n v="186.72"/>
    <x v="1"/>
    <s v="Card"/>
    <n v="4"/>
    <x v="0"/>
    <n v="153.1104"/>
    <n v="4"/>
    <x v="0"/>
  </r>
  <r>
    <n v="858"/>
    <n v="62"/>
    <x v="1"/>
    <x v="1"/>
    <x v="7"/>
    <s v="Formal Shoes"/>
    <n v="114.97"/>
    <x v="0"/>
    <s v="Card"/>
    <n v="2.9"/>
    <x v="10"/>
    <n v="89.676600000000008"/>
    <n v="11"/>
    <x v="2"/>
  </r>
  <r>
    <n v="859"/>
    <n v="22"/>
    <x v="2"/>
    <x v="1"/>
    <x v="4"/>
    <s v="Snacks"/>
    <n v="40.19"/>
    <x v="1"/>
    <s v="Cash on Delivery"/>
    <n v="3.7"/>
    <x v="4"/>
    <n v="34.563399999999994"/>
    <n v="2"/>
    <x v="1"/>
  </r>
  <r>
    <n v="860"/>
    <n v="32"/>
    <x v="0"/>
    <x v="0"/>
    <x v="8"/>
    <s v="Jeans"/>
    <n v="120.08"/>
    <x v="1"/>
    <s v="Card"/>
    <n v="3.5"/>
    <x v="5"/>
    <n v="110.4736"/>
    <n v="4"/>
    <x v="0"/>
  </r>
  <r>
    <n v="861"/>
    <n v="58"/>
    <x v="0"/>
    <x v="1"/>
    <x v="5"/>
    <s v="Laptop"/>
    <n v="2431.86"/>
    <x v="3"/>
    <s v="Card"/>
    <n v="4.5999999999999996"/>
    <x v="19"/>
    <n v="2067.0810000000001"/>
    <n v="5"/>
    <x v="0"/>
  </r>
  <r>
    <n v="862"/>
    <n v="59"/>
    <x v="0"/>
    <x v="1"/>
    <x v="5"/>
    <s v="Headphones"/>
    <n v="1129"/>
    <x v="2"/>
    <s v="Card"/>
    <n v="2.5"/>
    <x v="2"/>
    <n v="1004.8100000000001"/>
    <n v="3"/>
    <x v="1"/>
  </r>
  <r>
    <n v="863"/>
    <n v="40"/>
    <x v="0"/>
    <x v="1"/>
    <x v="7"/>
    <s v="Sneakers"/>
    <n v="96.21"/>
    <x v="2"/>
    <s v="Cash on Delivery"/>
    <n v="2.6"/>
    <x v="2"/>
    <n v="85.626899999999992"/>
    <n v="3"/>
    <x v="1"/>
  </r>
  <r>
    <n v="864"/>
    <n v="46"/>
    <x v="0"/>
    <x v="1"/>
    <x v="5"/>
    <s v="Headphones"/>
    <n v="1454.05"/>
    <x v="3"/>
    <s v="Card"/>
    <n v="3.5"/>
    <x v="22"/>
    <n v="1119.6185"/>
    <n v="9"/>
    <x v="2"/>
  </r>
  <r>
    <n v="865"/>
    <n v="22"/>
    <x v="2"/>
    <x v="1"/>
    <x v="2"/>
    <s v="Yoga Mat"/>
    <n v="210.91"/>
    <x v="1"/>
    <s v="Card"/>
    <n v="3.8"/>
    <x v="18"/>
    <n v="160.29159999999999"/>
    <n v="7"/>
    <x v="0"/>
  </r>
  <r>
    <n v="866"/>
    <n v="52"/>
    <x v="0"/>
    <x v="0"/>
    <x v="8"/>
    <s v="Dress"/>
    <n v="35.17"/>
    <x v="0"/>
    <s v="Card"/>
    <n v="4.0999999999999996"/>
    <x v="11"/>
    <n v="26.0258"/>
    <n v="8"/>
    <x v="2"/>
  </r>
  <r>
    <n v="867"/>
    <n v="70"/>
    <x v="1"/>
    <x v="1"/>
    <x v="5"/>
    <s v="Mobile Phone"/>
    <n v="2108.89"/>
    <x v="2"/>
    <s v="Card"/>
    <n v="4.4000000000000004"/>
    <x v="22"/>
    <n v="1623.8453"/>
    <n v="9"/>
    <x v="2"/>
  </r>
  <r>
    <n v="868"/>
    <n v="51"/>
    <x v="0"/>
    <x v="1"/>
    <x v="2"/>
    <s v="Dumbbells"/>
    <n v="219.04"/>
    <x v="3"/>
    <s v="Card"/>
    <n v="3.2"/>
    <x v="2"/>
    <n v="194.94559999999998"/>
    <n v="3"/>
    <x v="1"/>
  </r>
  <r>
    <n v="869"/>
    <n v="67"/>
    <x v="1"/>
    <x v="0"/>
    <x v="0"/>
    <s v="Sunglasses"/>
    <n v="48.74"/>
    <x v="0"/>
    <s v="Card"/>
    <n v="3.1"/>
    <x v="18"/>
    <n v="37.042400000000001"/>
    <n v="7"/>
    <x v="0"/>
  </r>
  <r>
    <n v="870"/>
    <n v="31"/>
    <x v="0"/>
    <x v="0"/>
    <x v="8"/>
    <s v="Jeans"/>
    <n v="93.29"/>
    <x v="0"/>
    <s v="Card"/>
    <n v="5"/>
    <x v="6"/>
    <n v="78.363600000000005"/>
    <n v="3"/>
    <x v="1"/>
  </r>
  <r>
    <n v="871"/>
    <n v="58"/>
    <x v="0"/>
    <x v="0"/>
    <x v="7"/>
    <s v="Sandals"/>
    <n v="59.04"/>
    <x v="0"/>
    <s v="Card"/>
    <n v="2.9"/>
    <x v="7"/>
    <n v="53.136000000000003"/>
    <n v="5"/>
    <x v="0"/>
  </r>
  <r>
    <n v="872"/>
    <n v="30"/>
    <x v="2"/>
    <x v="1"/>
    <x v="7"/>
    <s v="Formal Shoes"/>
    <n v="87.7"/>
    <x v="0"/>
    <s v="Card"/>
    <n v="4.2"/>
    <x v="12"/>
    <n v="71.037000000000006"/>
    <n v="7"/>
    <x v="0"/>
  </r>
  <r>
    <n v="873"/>
    <n v="39"/>
    <x v="0"/>
    <x v="0"/>
    <x v="6"/>
    <s v="Perfume"/>
    <n v="58.21"/>
    <x v="2"/>
    <s v="Card"/>
    <n v="2.5"/>
    <x v="23"/>
    <n v="54.135299999999994"/>
    <n v="1"/>
    <x v="1"/>
  </r>
  <r>
    <n v="874"/>
    <n v="69"/>
    <x v="1"/>
    <x v="0"/>
    <x v="8"/>
    <s v="Jeans"/>
    <n v="100.29"/>
    <x v="2"/>
    <s v="Card"/>
    <n v="2.6"/>
    <x v="18"/>
    <n v="76.220400000000012"/>
    <n v="7"/>
    <x v="0"/>
  </r>
  <r>
    <n v="875"/>
    <n v="22"/>
    <x v="2"/>
    <x v="1"/>
    <x v="7"/>
    <s v="Sandals"/>
    <n v="154.19999999999999"/>
    <x v="3"/>
    <s v="Card"/>
    <n v="3.4"/>
    <x v="17"/>
    <n v="148.03199999999998"/>
    <n v="2"/>
    <x v="1"/>
  </r>
  <r>
    <n v="876"/>
    <n v="32"/>
    <x v="0"/>
    <x v="1"/>
    <x v="5"/>
    <s v="Laptop"/>
    <n v="1370.18"/>
    <x v="1"/>
    <s v="Card"/>
    <n v="3"/>
    <x v="3"/>
    <n v="1096.144"/>
    <n v="5"/>
    <x v="0"/>
  </r>
  <r>
    <n v="877"/>
    <n v="40"/>
    <x v="0"/>
    <x v="1"/>
    <x v="7"/>
    <s v="Sneakers"/>
    <n v="123.96"/>
    <x v="3"/>
    <s v="Card"/>
    <n v="4.0999999999999996"/>
    <x v="2"/>
    <n v="110.3244"/>
    <n v="3"/>
    <x v="1"/>
  </r>
  <r>
    <n v="878"/>
    <n v="32"/>
    <x v="0"/>
    <x v="0"/>
    <x v="7"/>
    <s v="Formal Shoes"/>
    <n v="151.91"/>
    <x v="3"/>
    <s v="Card"/>
    <n v="4.2"/>
    <x v="10"/>
    <n v="118.4898"/>
    <n v="6"/>
    <x v="0"/>
  </r>
  <r>
    <n v="879"/>
    <n v="69"/>
    <x v="1"/>
    <x v="0"/>
    <x v="3"/>
    <s v="Curtains"/>
    <n v="201.11"/>
    <x v="1"/>
    <s v="Card"/>
    <n v="3.9"/>
    <x v="2"/>
    <n v="178.98790000000002"/>
    <n v="3"/>
    <x v="1"/>
  </r>
  <r>
    <n v="880"/>
    <n v="59"/>
    <x v="0"/>
    <x v="1"/>
    <x v="7"/>
    <s v="Sneakers"/>
    <n v="42.35"/>
    <x v="1"/>
    <s v="Cash on Delivery"/>
    <n v="3.6"/>
    <x v="1"/>
    <n v="36.844500000000004"/>
    <n v="4"/>
    <x v="0"/>
  </r>
  <r>
    <n v="881"/>
    <n v="70"/>
    <x v="1"/>
    <x v="0"/>
    <x v="6"/>
    <s v="Makeup Set"/>
    <n v="142.85"/>
    <x v="2"/>
    <s v="Card"/>
    <n v="3.2"/>
    <x v="3"/>
    <n v="114.28"/>
    <n v="5"/>
    <x v="0"/>
  </r>
  <r>
    <n v="882"/>
    <n v="46"/>
    <x v="0"/>
    <x v="1"/>
    <x v="5"/>
    <s v="Mobile Phone"/>
    <n v="533.08000000000004"/>
    <x v="3"/>
    <s v="Card"/>
    <n v="5"/>
    <x v="6"/>
    <n v="447.78720000000004"/>
    <n v="3"/>
    <x v="1"/>
  </r>
  <r>
    <n v="883"/>
    <n v="36"/>
    <x v="0"/>
    <x v="0"/>
    <x v="3"/>
    <s v="Kitchen Set"/>
    <n v="100.72"/>
    <x v="0"/>
    <s v="Card"/>
    <n v="2.8"/>
    <x v="10"/>
    <n v="78.561599999999999"/>
    <n v="6"/>
    <x v="0"/>
  </r>
  <r>
    <n v="884"/>
    <n v="31"/>
    <x v="0"/>
    <x v="0"/>
    <x v="0"/>
    <s v="Sunglasses"/>
    <n v="172.26"/>
    <x v="3"/>
    <s v="Card"/>
    <n v="2.8"/>
    <x v="3"/>
    <n v="137.80799999999999"/>
    <n v="5"/>
    <x v="0"/>
  </r>
  <r>
    <n v="885"/>
    <n v="46"/>
    <x v="0"/>
    <x v="0"/>
    <x v="2"/>
    <s v="Dumbbells"/>
    <n v="200.96"/>
    <x v="3"/>
    <s v="Card"/>
    <n v="4.2"/>
    <x v="6"/>
    <n v="168.8064"/>
    <n v="3"/>
    <x v="1"/>
  </r>
  <r>
    <n v="886"/>
    <n v="66"/>
    <x v="1"/>
    <x v="0"/>
    <x v="7"/>
    <s v="Sneakers"/>
    <n v="113.39"/>
    <x v="1"/>
    <s v="Card"/>
    <n v="3.4"/>
    <x v="22"/>
    <n v="87.310299999999998"/>
    <n v="9"/>
    <x v="2"/>
  </r>
  <r>
    <n v="887"/>
    <n v="36"/>
    <x v="0"/>
    <x v="0"/>
    <x v="0"/>
    <s v="Wallet"/>
    <n v="65.17"/>
    <x v="3"/>
    <s v="Cash on Delivery"/>
    <n v="4.5999999999999996"/>
    <x v="19"/>
    <n v="55.394500000000001"/>
    <n v="5"/>
    <x v="0"/>
  </r>
  <r>
    <n v="888"/>
    <n v="42"/>
    <x v="0"/>
    <x v="1"/>
    <x v="7"/>
    <s v="Sneakers"/>
    <n v="154.55000000000001"/>
    <x v="2"/>
    <s v="Card"/>
    <n v="5"/>
    <x v="14"/>
    <n v="128.2765"/>
    <n v="6"/>
    <x v="0"/>
  </r>
  <r>
    <n v="889"/>
    <n v="26"/>
    <x v="2"/>
    <x v="1"/>
    <x v="1"/>
    <s v="Jeans"/>
    <n v="100.84"/>
    <x v="1"/>
    <s v="Card"/>
    <n v="3.6"/>
    <x v="4"/>
    <n v="86.722400000000007"/>
    <n v="2"/>
    <x v="1"/>
  </r>
  <r>
    <n v="890"/>
    <n v="31"/>
    <x v="0"/>
    <x v="1"/>
    <x v="5"/>
    <s v="Mobile Phone"/>
    <n v="1142.03"/>
    <x v="2"/>
    <s v="Card"/>
    <n v="4.2"/>
    <x v="7"/>
    <n v="1027.827"/>
    <n v="5"/>
    <x v="0"/>
  </r>
  <r>
    <n v="891"/>
    <n v="39"/>
    <x v="0"/>
    <x v="1"/>
    <x v="1"/>
    <s v="Shirt"/>
    <n v="168.97"/>
    <x v="3"/>
    <s v="Card"/>
    <n v="4.5999999999999996"/>
    <x v="18"/>
    <n v="128.41720000000001"/>
    <n v="7"/>
    <x v="0"/>
  </r>
  <r>
    <n v="892"/>
    <n v="64"/>
    <x v="1"/>
    <x v="1"/>
    <x v="7"/>
    <s v="Sandals"/>
    <n v="220.97"/>
    <x v="0"/>
    <s v="Card"/>
    <n v="5"/>
    <x v="17"/>
    <n v="212.13119999999998"/>
    <n v="2"/>
    <x v="1"/>
  </r>
  <r>
    <n v="893"/>
    <n v="59"/>
    <x v="0"/>
    <x v="0"/>
    <x v="3"/>
    <s v="Curtains"/>
    <n v="181.46"/>
    <x v="0"/>
    <s v="Card"/>
    <n v="3.1"/>
    <x v="0"/>
    <n v="148.7972"/>
    <n v="4"/>
    <x v="0"/>
  </r>
  <r>
    <n v="894"/>
    <n v="30"/>
    <x v="2"/>
    <x v="0"/>
    <x v="7"/>
    <s v="Sneakers"/>
    <n v="212.78"/>
    <x v="1"/>
    <s v="Card"/>
    <n v="4.4000000000000004"/>
    <x v="10"/>
    <n v="165.9684"/>
    <n v="6"/>
    <x v="0"/>
  </r>
  <r>
    <n v="895"/>
    <n v="30"/>
    <x v="2"/>
    <x v="0"/>
    <x v="2"/>
    <s v="Yoga Mat"/>
    <n v="102.27"/>
    <x v="1"/>
    <s v="Card"/>
    <n v="3.1"/>
    <x v="6"/>
    <n v="85.90679999999999"/>
    <n v="8"/>
    <x v="2"/>
  </r>
  <r>
    <n v="896"/>
    <n v="40"/>
    <x v="0"/>
    <x v="1"/>
    <x v="2"/>
    <s v="Dumbbells"/>
    <n v="101.71"/>
    <x v="1"/>
    <s v="Card"/>
    <n v="3.8"/>
    <x v="14"/>
    <n v="84.419299999999993"/>
    <n v="6"/>
    <x v="0"/>
  </r>
  <r>
    <n v="897"/>
    <n v="57"/>
    <x v="0"/>
    <x v="1"/>
    <x v="2"/>
    <s v="Yoga Mat"/>
    <n v="166.23"/>
    <x v="1"/>
    <s v="Card"/>
    <n v="4"/>
    <x v="3"/>
    <n v="132.98400000000001"/>
    <n v="5"/>
    <x v="0"/>
  </r>
  <r>
    <n v="898"/>
    <n v="59"/>
    <x v="0"/>
    <x v="1"/>
    <x v="7"/>
    <s v="Sneakers"/>
    <n v="82.01"/>
    <x v="1"/>
    <s v="Cash on Delivery"/>
    <n v="3.3"/>
    <x v="6"/>
    <n v="68.888400000000004"/>
    <n v="3"/>
    <x v="1"/>
  </r>
  <r>
    <n v="899"/>
    <n v="23"/>
    <x v="2"/>
    <x v="0"/>
    <x v="7"/>
    <s v="Sandals"/>
    <n v="214.88"/>
    <x v="2"/>
    <s v="Card"/>
    <n v="5"/>
    <x v="3"/>
    <n v="171.904"/>
    <n v="5"/>
    <x v="0"/>
  </r>
  <r>
    <n v="900"/>
    <n v="64"/>
    <x v="1"/>
    <x v="0"/>
    <x v="0"/>
    <s v="Handbag"/>
    <n v="110.37"/>
    <x v="1"/>
    <s v="Card"/>
    <n v="4.2"/>
    <x v="14"/>
    <n v="91.607100000000003"/>
    <n v="6"/>
    <x v="0"/>
  </r>
  <r>
    <n v="901"/>
    <n v="23"/>
    <x v="2"/>
    <x v="1"/>
    <x v="7"/>
    <s v="Sneakers"/>
    <n v="144.05000000000001"/>
    <x v="3"/>
    <s v="Card"/>
    <n v="2.6"/>
    <x v="0"/>
    <n v="118.12100000000002"/>
    <n v="4"/>
    <x v="0"/>
  </r>
  <r>
    <n v="902"/>
    <n v="47"/>
    <x v="0"/>
    <x v="0"/>
    <x v="0"/>
    <s v="Sunglasses"/>
    <n v="134.41999999999999"/>
    <x v="2"/>
    <s v="Card"/>
    <n v="4.0999999999999996"/>
    <x v="5"/>
    <n v="123.6664"/>
    <n v="4"/>
    <x v="0"/>
  </r>
  <r>
    <n v="903"/>
    <n v="64"/>
    <x v="1"/>
    <x v="0"/>
    <x v="6"/>
    <s v="Skincare Kit"/>
    <n v="133.46"/>
    <x v="2"/>
    <s v="Card"/>
    <n v="4.5999999999999996"/>
    <x v="7"/>
    <n v="120.114"/>
    <n v="5"/>
    <x v="0"/>
  </r>
  <r>
    <n v="904"/>
    <n v="70"/>
    <x v="1"/>
    <x v="0"/>
    <x v="3"/>
    <s v="Lamp"/>
    <n v="256.37"/>
    <x v="3"/>
    <s v="Card"/>
    <n v="3.6"/>
    <x v="18"/>
    <n v="194.84120000000001"/>
    <n v="7"/>
    <x v="0"/>
  </r>
  <r>
    <n v="905"/>
    <n v="59"/>
    <x v="0"/>
    <x v="1"/>
    <x v="2"/>
    <s v="Dumbbells"/>
    <n v="160.41999999999999"/>
    <x v="1"/>
    <s v="Card"/>
    <n v="4.3"/>
    <x v="10"/>
    <n v="125.1276"/>
    <n v="6"/>
    <x v="0"/>
  </r>
  <r>
    <n v="906"/>
    <n v="31"/>
    <x v="0"/>
    <x v="1"/>
    <x v="5"/>
    <s v="Mobile Phone"/>
    <n v="1501.64"/>
    <x v="0"/>
    <s v="Card"/>
    <n v="3.2"/>
    <x v="8"/>
    <n v="1321.4432000000002"/>
    <n v="6"/>
    <x v="0"/>
  </r>
  <r>
    <n v="907"/>
    <n v="69"/>
    <x v="1"/>
    <x v="1"/>
    <x v="7"/>
    <s v="Formal Shoes"/>
    <n v="145.19999999999999"/>
    <x v="0"/>
    <s v="Card"/>
    <n v="2.8"/>
    <x v="0"/>
    <n v="119.06399999999999"/>
    <n v="4"/>
    <x v="0"/>
  </r>
  <r>
    <n v="908"/>
    <n v="50"/>
    <x v="0"/>
    <x v="1"/>
    <x v="1"/>
    <s v="Shirt"/>
    <n v="66.680000000000007"/>
    <x v="2"/>
    <s v="Card"/>
    <n v="3.1"/>
    <x v="1"/>
    <n v="58.011600000000008"/>
    <n v="4"/>
    <x v="0"/>
  </r>
  <r>
    <n v="909"/>
    <n v="60"/>
    <x v="0"/>
    <x v="1"/>
    <x v="5"/>
    <s v="Smart Watch"/>
    <n v="592.23"/>
    <x v="1"/>
    <s v="Card"/>
    <n v="3.6"/>
    <x v="1"/>
    <n v="515.24009999999998"/>
    <n v="4"/>
    <x v="0"/>
  </r>
  <r>
    <n v="910"/>
    <n v="39"/>
    <x v="0"/>
    <x v="1"/>
    <x v="5"/>
    <s v="Mobile Phone"/>
    <n v="646.99"/>
    <x v="2"/>
    <s v="Card"/>
    <n v="4.0999999999999996"/>
    <x v="18"/>
    <n v="491.7124"/>
    <n v="7"/>
    <x v="0"/>
  </r>
  <r>
    <n v="911"/>
    <n v="50"/>
    <x v="0"/>
    <x v="1"/>
    <x v="7"/>
    <s v="Sandals"/>
    <n v="58.87"/>
    <x v="1"/>
    <s v="Cash on Delivery"/>
    <n v="3.1"/>
    <x v="6"/>
    <n v="49.450799999999994"/>
    <n v="3"/>
    <x v="1"/>
  </r>
  <r>
    <n v="912"/>
    <n v="42"/>
    <x v="0"/>
    <x v="1"/>
    <x v="2"/>
    <s v="Dumbbells"/>
    <n v="51.43"/>
    <x v="2"/>
    <s v="Card"/>
    <n v="2.7"/>
    <x v="1"/>
    <n v="44.744099999999996"/>
    <n v="4"/>
    <x v="0"/>
  </r>
  <r>
    <n v="913"/>
    <n v="56"/>
    <x v="0"/>
    <x v="0"/>
    <x v="3"/>
    <s v="Lamp"/>
    <n v="235.41"/>
    <x v="3"/>
    <s v="Card"/>
    <n v="2.6"/>
    <x v="15"/>
    <n v="230.70179999999999"/>
    <n v="1"/>
    <x v="1"/>
  </r>
  <r>
    <n v="914"/>
    <n v="46"/>
    <x v="0"/>
    <x v="0"/>
    <x v="0"/>
    <s v="Wallet"/>
    <n v="99.47"/>
    <x v="2"/>
    <s v="Cash on Delivery"/>
    <n v="3.7"/>
    <x v="10"/>
    <n v="77.586600000000004"/>
    <n v="11"/>
    <x v="2"/>
  </r>
  <r>
    <n v="915"/>
    <n v="40"/>
    <x v="0"/>
    <x v="0"/>
    <x v="0"/>
    <s v="Sunglasses"/>
    <n v="38.29"/>
    <x v="0"/>
    <s v="Card"/>
    <n v="4.0999999999999996"/>
    <x v="0"/>
    <n v="31.3978"/>
    <n v="9"/>
    <x v="2"/>
  </r>
  <r>
    <n v="916"/>
    <n v="54"/>
    <x v="0"/>
    <x v="1"/>
    <x v="7"/>
    <s v="Sandals"/>
    <n v="240.73"/>
    <x v="1"/>
    <s v="Card"/>
    <n v="4.5"/>
    <x v="0"/>
    <n v="197.39860000000002"/>
    <n v="4"/>
    <x v="0"/>
  </r>
  <r>
    <n v="917"/>
    <n v="24"/>
    <x v="2"/>
    <x v="0"/>
    <x v="8"/>
    <s v="Top"/>
    <n v="145.27000000000001"/>
    <x v="3"/>
    <s v="Card"/>
    <n v="4.7"/>
    <x v="3"/>
    <n v="116.21600000000001"/>
    <n v="10"/>
    <x v="2"/>
  </r>
  <r>
    <n v="918"/>
    <n v="22"/>
    <x v="2"/>
    <x v="1"/>
    <x v="7"/>
    <s v="Sandals"/>
    <n v="140.13"/>
    <x v="1"/>
    <s v="Card"/>
    <n v="4.4000000000000004"/>
    <x v="6"/>
    <n v="117.7092"/>
    <n v="3"/>
    <x v="1"/>
  </r>
  <r>
    <n v="919"/>
    <n v="43"/>
    <x v="0"/>
    <x v="1"/>
    <x v="7"/>
    <s v="Sneakers"/>
    <n v="192.45"/>
    <x v="0"/>
    <s v="Card"/>
    <n v="3.3"/>
    <x v="23"/>
    <n v="178.97849999999997"/>
    <n v="1"/>
    <x v="1"/>
  </r>
  <r>
    <n v="920"/>
    <n v="21"/>
    <x v="2"/>
    <x v="1"/>
    <x v="5"/>
    <s v="Headphones"/>
    <n v="2391.56"/>
    <x v="1"/>
    <s v="Card"/>
    <n v="3.7"/>
    <x v="18"/>
    <n v="1817.5855999999999"/>
    <n v="7"/>
    <x v="0"/>
  </r>
  <r>
    <n v="921"/>
    <n v="58"/>
    <x v="0"/>
    <x v="0"/>
    <x v="3"/>
    <s v="Curtains"/>
    <n v="246.33"/>
    <x v="2"/>
    <s v="Card"/>
    <n v="3.9"/>
    <x v="8"/>
    <n v="216.77040000000002"/>
    <n v="6"/>
    <x v="0"/>
  </r>
  <r>
    <n v="922"/>
    <n v="57"/>
    <x v="0"/>
    <x v="1"/>
    <x v="2"/>
    <s v="Dumbbells"/>
    <n v="39.18"/>
    <x v="3"/>
    <s v="Cash on Delivery"/>
    <n v="3.4"/>
    <x v="22"/>
    <n v="30.168600000000001"/>
    <n v="9"/>
    <x v="2"/>
  </r>
  <r>
    <n v="923"/>
    <n v="25"/>
    <x v="2"/>
    <x v="0"/>
    <x v="6"/>
    <s v="Skincare Kit"/>
    <n v="21.93"/>
    <x v="0"/>
    <s v="Cash on Delivery"/>
    <n v="4.5"/>
    <x v="0"/>
    <n v="17.982600000000001"/>
    <n v="4"/>
    <x v="0"/>
  </r>
  <r>
    <n v="924"/>
    <n v="35"/>
    <x v="0"/>
    <x v="1"/>
    <x v="1"/>
    <s v="T-Shirt"/>
    <n v="35.65"/>
    <x v="0"/>
    <s v="Card"/>
    <n v="4.5"/>
    <x v="1"/>
    <n v="31.015499999999999"/>
    <n v="4"/>
    <x v="0"/>
  </r>
  <r>
    <n v="925"/>
    <n v="23"/>
    <x v="2"/>
    <x v="1"/>
    <x v="1"/>
    <s v="Jacket"/>
    <n v="174.44"/>
    <x v="3"/>
    <s v="Card"/>
    <n v="2.9"/>
    <x v="4"/>
    <n v="150.01839999999999"/>
    <n v="7"/>
    <x v="0"/>
  </r>
  <r>
    <n v="926"/>
    <n v="23"/>
    <x v="2"/>
    <x v="0"/>
    <x v="0"/>
    <s v="Wallet"/>
    <n v="130.69999999999999"/>
    <x v="1"/>
    <s v="Card"/>
    <n v="3.2"/>
    <x v="12"/>
    <n v="105.867"/>
    <n v="7"/>
    <x v="0"/>
  </r>
  <r>
    <n v="927"/>
    <n v="31"/>
    <x v="0"/>
    <x v="1"/>
    <x v="2"/>
    <s v="Football"/>
    <n v="231.91"/>
    <x v="2"/>
    <s v="Card"/>
    <n v="4.4000000000000004"/>
    <x v="21"/>
    <n v="183.2089"/>
    <n v="8"/>
    <x v="2"/>
  </r>
  <r>
    <n v="928"/>
    <n v="33"/>
    <x v="0"/>
    <x v="0"/>
    <x v="0"/>
    <s v="Wallet"/>
    <n v="130.37"/>
    <x v="0"/>
    <s v="Card"/>
    <n v="3.3"/>
    <x v="16"/>
    <n v="122.5478"/>
    <n v="3"/>
    <x v="1"/>
  </r>
  <r>
    <n v="929"/>
    <n v="45"/>
    <x v="0"/>
    <x v="0"/>
    <x v="8"/>
    <s v="Top"/>
    <n v="185.7"/>
    <x v="0"/>
    <s v="Card"/>
    <n v="2.8"/>
    <x v="5"/>
    <n v="170.84399999999999"/>
    <n v="4"/>
    <x v="0"/>
  </r>
  <r>
    <n v="930"/>
    <n v="59"/>
    <x v="0"/>
    <x v="1"/>
    <x v="4"/>
    <s v="Snacks"/>
    <n v="8.6999999999999993"/>
    <x v="0"/>
    <s v="Cash on Delivery"/>
    <n v="3.5"/>
    <x v="20"/>
    <n v="5.9159999999999986"/>
    <n v="11"/>
    <x v="2"/>
  </r>
  <r>
    <n v="931"/>
    <n v="43"/>
    <x v="0"/>
    <x v="1"/>
    <x v="5"/>
    <s v="Laptop"/>
    <n v="2197.9899999999998"/>
    <x v="3"/>
    <s v="Card"/>
    <n v="4.0999999999999996"/>
    <x v="7"/>
    <n v="1978.1909999999998"/>
    <n v="5"/>
    <x v="0"/>
  </r>
  <r>
    <n v="932"/>
    <n v="27"/>
    <x v="2"/>
    <x v="1"/>
    <x v="2"/>
    <s v="Yoga Mat"/>
    <n v="113.14"/>
    <x v="3"/>
    <s v="Card"/>
    <n v="4.4000000000000004"/>
    <x v="7"/>
    <n v="101.82600000000001"/>
    <n v="5"/>
    <x v="0"/>
  </r>
  <r>
    <n v="933"/>
    <n v="53"/>
    <x v="0"/>
    <x v="1"/>
    <x v="7"/>
    <s v="Formal Shoes"/>
    <n v="223.47"/>
    <x v="0"/>
    <s v="Card"/>
    <n v="3.4"/>
    <x v="5"/>
    <n v="205.5924"/>
    <n v="4"/>
    <x v="0"/>
  </r>
  <r>
    <n v="934"/>
    <n v="60"/>
    <x v="0"/>
    <x v="1"/>
    <x v="2"/>
    <s v="Football"/>
    <n v="203.1"/>
    <x v="0"/>
    <s v="Card"/>
    <n v="3.9"/>
    <x v="7"/>
    <n v="182.79"/>
    <n v="5"/>
    <x v="0"/>
  </r>
  <r>
    <n v="935"/>
    <n v="42"/>
    <x v="0"/>
    <x v="1"/>
    <x v="1"/>
    <s v="Jeans"/>
    <n v="85.93"/>
    <x v="2"/>
    <s v="Card"/>
    <n v="2.6"/>
    <x v="10"/>
    <n v="67.025400000000005"/>
    <n v="6"/>
    <x v="0"/>
  </r>
  <r>
    <n v="936"/>
    <n v="43"/>
    <x v="0"/>
    <x v="1"/>
    <x v="5"/>
    <s v="Headphones"/>
    <n v="622.05999999999995"/>
    <x v="0"/>
    <s v="Card"/>
    <n v="3.5"/>
    <x v="3"/>
    <n v="497.64799999999997"/>
    <n v="5"/>
    <x v="0"/>
  </r>
  <r>
    <n v="937"/>
    <n v="62"/>
    <x v="1"/>
    <x v="1"/>
    <x v="3"/>
    <s v="Kitchen Set"/>
    <n v="136.93"/>
    <x v="0"/>
    <s v="Card"/>
    <n v="2"/>
    <x v="8"/>
    <n v="120.4984"/>
    <n v="6"/>
    <x v="0"/>
  </r>
  <r>
    <n v="938"/>
    <n v="52"/>
    <x v="0"/>
    <x v="0"/>
    <x v="3"/>
    <s v="Curtains"/>
    <n v="287.12"/>
    <x v="1"/>
    <s v="Card"/>
    <n v="4.2"/>
    <x v="24"/>
    <n v="206.72639999999998"/>
    <n v="9"/>
    <x v="2"/>
  </r>
  <r>
    <n v="939"/>
    <n v="70"/>
    <x v="1"/>
    <x v="1"/>
    <x v="7"/>
    <s v="Sandals"/>
    <n v="223.82"/>
    <x v="3"/>
    <s v="Card"/>
    <n v="5"/>
    <x v="13"/>
    <n v="203.67619999999999"/>
    <n v="2"/>
    <x v="1"/>
  </r>
  <r>
    <n v="940"/>
    <n v="69"/>
    <x v="1"/>
    <x v="0"/>
    <x v="4"/>
    <s v="Beverages"/>
    <n v="52.06"/>
    <x v="1"/>
    <s v="Card"/>
    <n v="4.7"/>
    <x v="3"/>
    <n v="41.648000000000003"/>
    <n v="5"/>
    <x v="0"/>
  </r>
  <r>
    <n v="941"/>
    <n v="38"/>
    <x v="0"/>
    <x v="1"/>
    <x v="3"/>
    <s v="Lamp"/>
    <n v="230.54"/>
    <x v="1"/>
    <s v="Card"/>
    <n v="4.2"/>
    <x v="6"/>
    <n v="193.65359999999998"/>
    <n v="8"/>
    <x v="2"/>
  </r>
  <r>
    <n v="942"/>
    <n v="64"/>
    <x v="1"/>
    <x v="0"/>
    <x v="0"/>
    <s v="Wallet"/>
    <n v="146.22999999999999"/>
    <x v="3"/>
    <s v="Card"/>
    <n v="4"/>
    <x v="4"/>
    <n v="125.75779999999999"/>
    <n v="7"/>
    <x v="0"/>
  </r>
  <r>
    <n v="943"/>
    <n v="43"/>
    <x v="0"/>
    <x v="0"/>
    <x v="8"/>
    <s v="Jeans"/>
    <n v="84.02"/>
    <x v="1"/>
    <s v="Cash on Delivery"/>
    <n v="4"/>
    <x v="5"/>
    <n v="77.298400000000001"/>
    <n v="4"/>
    <x v="0"/>
  </r>
  <r>
    <n v="944"/>
    <n v="40"/>
    <x v="0"/>
    <x v="1"/>
    <x v="5"/>
    <s v="Laptop"/>
    <n v="570.66"/>
    <x v="2"/>
    <s v="Card"/>
    <n v="3.7"/>
    <x v="23"/>
    <n v="530.71379999999988"/>
    <n v="1"/>
    <x v="1"/>
  </r>
  <r>
    <n v="945"/>
    <n v="59"/>
    <x v="0"/>
    <x v="1"/>
    <x v="7"/>
    <s v="Sandals"/>
    <n v="208.68"/>
    <x v="2"/>
    <s v="Card"/>
    <n v="2.9"/>
    <x v="10"/>
    <n v="162.77040000000002"/>
    <n v="6"/>
    <x v="0"/>
  </r>
  <r>
    <n v="946"/>
    <n v="55"/>
    <x v="0"/>
    <x v="1"/>
    <x v="1"/>
    <s v="Shirt"/>
    <n v="105.92"/>
    <x v="1"/>
    <s v="Card"/>
    <n v="4"/>
    <x v="4"/>
    <n v="91.091200000000001"/>
    <n v="2"/>
    <x v="1"/>
  </r>
  <r>
    <n v="947"/>
    <n v="67"/>
    <x v="1"/>
    <x v="1"/>
    <x v="5"/>
    <s v="Smart Watch"/>
    <n v="594.99"/>
    <x v="2"/>
    <s v="Card"/>
    <n v="4.7"/>
    <x v="19"/>
    <n v="505.74149999999997"/>
    <n v="5"/>
    <x v="0"/>
  </r>
  <r>
    <n v="948"/>
    <n v="48"/>
    <x v="0"/>
    <x v="1"/>
    <x v="2"/>
    <s v="Football"/>
    <n v="122.6"/>
    <x v="1"/>
    <s v="Card"/>
    <n v="3.6"/>
    <x v="4"/>
    <n v="105.43599999999999"/>
    <n v="7"/>
    <x v="0"/>
  </r>
  <r>
    <n v="949"/>
    <n v="62"/>
    <x v="1"/>
    <x v="0"/>
    <x v="6"/>
    <s v="Skincare Kit"/>
    <n v="105.62"/>
    <x v="2"/>
    <s v="Card"/>
    <n v="3.6"/>
    <x v="28"/>
    <n v="74.990200000000002"/>
    <n v="12"/>
    <x v="2"/>
  </r>
  <r>
    <n v="950"/>
    <n v="57"/>
    <x v="0"/>
    <x v="0"/>
    <x v="3"/>
    <s v="Curtains"/>
    <n v="57.08"/>
    <x v="2"/>
    <s v="Cash on Delivery"/>
    <n v="3.9"/>
    <x v="7"/>
    <n v="51.372"/>
    <n v="5"/>
    <x v="0"/>
  </r>
  <r>
    <n v="951"/>
    <n v="44"/>
    <x v="0"/>
    <x v="1"/>
    <x v="3"/>
    <s v="Lamp"/>
    <n v="157.74"/>
    <x v="2"/>
    <s v="Card"/>
    <n v="3.3"/>
    <x v="14"/>
    <n v="130.92420000000001"/>
    <n v="6"/>
    <x v="0"/>
  </r>
  <r>
    <n v="952"/>
    <n v="25"/>
    <x v="2"/>
    <x v="1"/>
    <x v="4"/>
    <s v="Snacks"/>
    <n v="77.760000000000005"/>
    <x v="3"/>
    <s v="Card"/>
    <n v="4.3"/>
    <x v="9"/>
    <n v="56.764800000000001"/>
    <n v="11"/>
    <x v="2"/>
  </r>
  <r>
    <n v="953"/>
    <n v="48"/>
    <x v="0"/>
    <x v="0"/>
    <x v="3"/>
    <s v="Curtains"/>
    <n v="243.65"/>
    <x v="0"/>
    <s v="Card"/>
    <n v="4.8"/>
    <x v="19"/>
    <n v="207.10249999999999"/>
    <n v="5"/>
    <x v="0"/>
  </r>
  <r>
    <n v="954"/>
    <n v="28"/>
    <x v="2"/>
    <x v="1"/>
    <x v="2"/>
    <s v="Dumbbells"/>
    <n v="73.599999999999994"/>
    <x v="1"/>
    <s v="Card"/>
    <n v="3.3"/>
    <x v="4"/>
    <n v="63.295999999999992"/>
    <n v="7"/>
    <x v="0"/>
  </r>
  <r>
    <n v="955"/>
    <n v="51"/>
    <x v="0"/>
    <x v="0"/>
    <x v="7"/>
    <s v="Formal Shoes"/>
    <n v="187.41"/>
    <x v="1"/>
    <s v="Card"/>
    <n v="4.4000000000000004"/>
    <x v="3"/>
    <n v="149.928"/>
    <n v="5"/>
    <x v="0"/>
  </r>
  <r>
    <n v="956"/>
    <n v="46"/>
    <x v="0"/>
    <x v="0"/>
    <x v="7"/>
    <s v="Sneakers"/>
    <n v="191.13"/>
    <x v="1"/>
    <s v="Card"/>
    <n v="3.9"/>
    <x v="8"/>
    <n v="168.1944"/>
    <n v="6"/>
    <x v="0"/>
  </r>
  <r>
    <n v="957"/>
    <n v="24"/>
    <x v="2"/>
    <x v="1"/>
    <x v="5"/>
    <s v="Smart Watch"/>
    <n v="2923.37"/>
    <x v="2"/>
    <s v="Card"/>
    <n v="3.5"/>
    <x v="19"/>
    <n v="2484.8644999999997"/>
    <n v="5"/>
    <x v="0"/>
  </r>
  <r>
    <n v="958"/>
    <n v="66"/>
    <x v="1"/>
    <x v="0"/>
    <x v="4"/>
    <s v="Snacks"/>
    <n v="56.64"/>
    <x v="3"/>
    <s v="Cash on Delivery"/>
    <n v="4"/>
    <x v="0"/>
    <n v="46.444800000000001"/>
    <n v="9"/>
    <x v="2"/>
  </r>
  <r>
    <n v="959"/>
    <n v="47"/>
    <x v="0"/>
    <x v="1"/>
    <x v="4"/>
    <s v="Cooking Oil"/>
    <n v="54.21"/>
    <x v="3"/>
    <s v="Cash on Delivery"/>
    <n v="3.7"/>
    <x v="19"/>
    <n v="46.078499999999998"/>
    <n v="5"/>
    <x v="0"/>
  </r>
  <r>
    <n v="960"/>
    <n v="60"/>
    <x v="0"/>
    <x v="0"/>
    <x v="0"/>
    <s v="Handbag"/>
    <n v="117.39"/>
    <x v="3"/>
    <s v="Card"/>
    <n v="2.9"/>
    <x v="7"/>
    <n v="105.651"/>
    <n v="5"/>
    <x v="0"/>
  </r>
  <r>
    <n v="961"/>
    <n v="40"/>
    <x v="0"/>
    <x v="0"/>
    <x v="7"/>
    <s v="Sneakers"/>
    <n v="197.69"/>
    <x v="2"/>
    <s v="Card"/>
    <n v="1.8"/>
    <x v="3"/>
    <n v="158.15200000000002"/>
    <n v="5"/>
    <x v="0"/>
  </r>
  <r>
    <n v="962"/>
    <n v="47"/>
    <x v="0"/>
    <x v="1"/>
    <x v="2"/>
    <s v="Football"/>
    <n v="178.62"/>
    <x v="2"/>
    <s v="Card"/>
    <n v="3.3"/>
    <x v="6"/>
    <n v="150.04079999999999"/>
    <n v="8"/>
    <x v="2"/>
  </r>
  <r>
    <n v="963"/>
    <n v="54"/>
    <x v="0"/>
    <x v="1"/>
    <x v="1"/>
    <s v="Jeans"/>
    <n v="199.78"/>
    <x v="0"/>
    <s v="Card"/>
    <n v="3"/>
    <x v="15"/>
    <n v="195.78440000000001"/>
    <n v="1"/>
    <x v="1"/>
  </r>
  <r>
    <n v="964"/>
    <n v="31"/>
    <x v="0"/>
    <x v="1"/>
    <x v="2"/>
    <s v="Yoga Mat"/>
    <n v="243.71"/>
    <x v="2"/>
    <s v="Card"/>
    <n v="3.8"/>
    <x v="17"/>
    <n v="233.9616"/>
    <n v="2"/>
    <x v="1"/>
  </r>
  <r>
    <n v="965"/>
    <n v="37"/>
    <x v="0"/>
    <x v="1"/>
    <x v="5"/>
    <s v="Laptop"/>
    <n v="2839.22"/>
    <x v="3"/>
    <s v="Card"/>
    <n v="3.9"/>
    <x v="6"/>
    <n v="2384.9447999999998"/>
    <n v="8"/>
    <x v="2"/>
  </r>
  <r>
    <n v="966"/>
    <n v="55"/>
    <x v="0"/>
    <x v="0"/>
    <x v="7"/>
    <s v="Formal Shoes"/>
    <n v="103.82"/>
    <x v="0"/>
    <s v="Card"/>
    <n v="4.5"/>
    <x v="6"/>
    <n v="87.208799999999997"/>
    <n v="3"/>
    <x v="1"/>
  </r>
  <r>
    <n v="967"/>
    <n v="60"/>
    <x v="0"/>
    <x v="0"/>
    <x v="0"/>
    <s v="Handbag"/>
    <n v="131.19"/>
    <x v="0"/>
    <s v="Card"/>
    <n v="3.8"/>
    <x v="16"/>
    <n v="123.31859999999999"/>
    <n v="3"/>
    <x v="1"/>
  </r>
  <r>
    <n v="968"/>
    <n v="52"/>
    <x v="0"/>
    <x v="1"/>
    <x v="1"/>
    <s v="Jacket"/>
    <n v="194.91"/>
    <x v="3"/>
    <s v="Card"/>
    <n v="4.9000000000000004"/>
    <x v="22"/>
    <n v="150.08070000000001"/>
    <n v="9"/>
    <x v="2"/>
  </r>
  <r>
    <n v="969"/>
    <n v="48"/>
    <x v="0"/>
    <x v="1"/>
    <x v="7"/>
    <s v="Formal Shoes"/>
    <n v="113.38"/>
    <x v="1"/>
    <s v="Card"/>
    <n v="2.6"/>
    <x v="2"/>
    <n v="100.90819999999999"/>
    <n v="3"/>
    <x v="1"/>
  </r>
  <r>
    <n v="970"/>
    <n v="55"/>
    <x v="0"/>
    <x v="0"/>
    <x v="7"/>
    <s v="Formal Shoes"/>
    <n v="122.62"/>
    <x v="1"/>
    <s v="Card"/>
    <n v="2.7"/>
    <x v="1"/>
    <n v="106.6794"/>
    <n v="4"/>
    <x v="0"/>
  </r>
  <r>
    <n v="971"/>
    <n v="39"/>
    <x v="0"/>
    <x v="0"/>
    <x v="6"/>
    <s v="Skincare Kit"/>
    <n v="126.77"/>
    <x v="1"/>
    <s v="Card"/>
    <n v="3.7"/>
    <x v="18"/>
    <n v="96.345199999999991"/>
    <n v="7"/>
    <x v="0"/>
  </r>
  <r>
    <n v="972"/>
    <n v="56"/>
    <x v="0"/>
    <x v="1"/>
    <x v="7"/>
    <s v="Sandals"/>
    <n v="247.66"/>
    <x v="2"/>
    <s v="Card"/>
    <n v="4.5"/>
    <x v="10"/>
    <n v="193.1748"/>
    <n v="6"/>
    <x v="0"/>
  </r>
  <r>
    <n v="973"/>
    <n v="55"/>
    <x v="0"/>
    <x v="1"/>
    <x v="2"/>
    <s v="Dumbbells"/>
    <n v="245.63"/>
    <x v="2"/>
    <s v="Card"/>
    <n v="4"/>
    <x v="19"/>
    <n v="208.78549999999998"/>
    <n v="5"/>
    <x v="0"/>
  </r>
  <r>
    <n v="974"/>
    <n v="59"/>
    <x v="0"/>
    <x v="1"/>
    <x v="2"/>
    <s v="Football"/>
    <n v="42.7"/>
    <x v="2"/>
    <s v="Card"/>
    <n v="2.9"/>
    <x v="5"/>
    <n v="39.284000000000006"/>
    <n v="4"/>
    <x v="0"/>
  </r>
  <r>
    <n v="975"/>
    <n v="32"/>
    <x v="0"/>
    <x v="0"/>
    <x v="2"/>
    <s v="Football"/>
    <n v="143.21"/>
    <x v="2"/>
    <s v="Card"/>
    <n v="3.4"/>
    <x v="10"/>
    <n v="111.70380000000002"/>
    <n v="6"/>
    <x v="0"/>
  </r>
  <r>
    <n v="976"/>
    <n v="20"/>
    <x v="2"/>
    <x v="1"/>
    <x v="1"/>
    <s v="T-Shirt"/>
    <n v="182.98"/>
    <x v="0"/>
    <s v="Card"/>
    <n v="4.5"/>
    <x v="3"/>
    <n v="146.38399999999999"/>
    <n v="5"/>
    <x v="0"/>
  </r>
  <r>
    <n v="977"/>
    <n v="50"/>
    <x v="0"/>
    <x v="1"/>
    <x v="5"/>
    <s v="Laptop"/>
    <n v="1854.1"/>
    <x v="0"/>
    <s v="Card"/>
    <n v="4.2"/>
    <x v="8"/>
    <n v="1631.6079999999999"/>
    <n v="6"/>
    <x v="0"/>
  </r>
  <r>
    <n v="978"/>
    <n v="32"/>
    <x v="0"/>
    <x v="1"/>
    <x v="7"/>
    <s v="Formal Shoes"/>
    <n v="122.08"/>
    <x v="0"/>
    <s v="Card"/>
    <n v="3.4"/>
    <x v="0"/>
    <n v="100.10560000000001"/>
    <n v="4"/>
    <x v="0"/>
  </r>
  <r>
    <n v="979"/>
    <n v="52"/>
    <x v="0"/>
    <x v="0"/>
    <x v="0"/>
    <s v="Wallet"/>
    <n v="81.599999999999994"/>
    <x v="0"/>
    <s v="Card"/>
    <n v="4.3"/>
    <x v="10"/>
    <n v="63.647999999999996"/>
    <n v="6"/>
    <x v="0"/>
  </r>
  <r>
    <n v="980"/>
    <n v="20"/>
    <x v="2"/>
    <x v="0"/>
    <x v="7"/>
    <s v="Sneakers"/>
    <n v="191.41"/>
    <x v="2"/>
    <s v="Card"/>
    <n v="3.6"/>
    <x v="19"/>
    <n v="162.6985"/>
    <n v="5"/>
    <x v="0"/>
  </r>
  <r>
    <n v="981"/>
    <n v="24"/>
    <x v="2"/>
    <x v="1"/>
    <x v="2"/>
    <s v="Yoga Mat"/>
    <n v="31.49"/>
    <x v="2"/>
    <s v="Card"/>
    <n v="3.5"/>
    <x v="6"/>
    <n v="26.451599999999999"/>
    <n v="3"/>
    <x v="1"/>
  </r>
  <r>
    <n v="982"/>
    <n v="28"/>
    <x v="2"/>
    <x v="0"/>
    <x v="7"/>
    <s v="Sneakers"/>
    <n v="50.93"/>
    <x v="0"/>
    <s v="Cash on Delivery"/>
    <n v="4.3"/>
    <x v="2"/>
    <n v="45.3277"/>
    <n v="3"/>
    <x v="1"/>
  </r>
  <r>
    <n v="983"/>
    <n v="52"/>
    <x v="0"/>
    <x v="0"/>
    <x v="0"/>
    <s v="Sunglasses"/>
    <n v="167.87"/>
    <x v="2"/>
    <s v="Card"/>
    <n v="3.5"/>
    <x v="11"/>
    <n v="124.2238"/>
    <n v="8"/>
    <x v="2"/>
  </r>
  <r>
    <n v="984"/>
    <n v="50"/>
    <x v="0"/>
    <x v="1"/>
    <x v="7"/>
    <s v="Formal Shoes"/>
    <n v="119.8"/>
    <x v="0"/>
    <s v="Card"/>
    <n v="4.7"/>
    <x v="10"/>
    <n v="93.444000000000003"/>
    <n v="6"/>
    <x v="0"/>
  </r>
  <r>
    <n v="985"/>
    <n v="34"/>
    <x v="0"/>
    <x v="1"/>
    <x v="1"/>
    <s v="Jacket"/>
    <n v="93.54"/>
    <x v="1"/>
    <s v="Cash on Delivery"/>
    <n v="3.4"/>
    <x v="6"/>
    <n v="78.573599999999999"/>
    <n v="8"/>
    <x v="2"/>
  </r>
  <r>
    <n v="986"/>
    <n v="47"/>
    <x v="0"/>
    <x v="1"/>
    <x v="2"/>
    <s v="Dumbbells"/>
    <n v="194.21"/>
    <x v="0"/>
    <s v="Card"/>
    <n v="3.5"/>
    <x v="6"/>
    <n v="163.13640000000001"/>
    <n v="3"/>
    <x v="1"/>
  </r>
  <r>
    <n v="987"/>
    <n v="46"/>
    <x v="0"/>
    <x v="1"/>
    <x v="2"/>
    <s v="Yoga Mat"/>
    <n v="96.22"/>
    <x v="0"/>
    <s v="Cash on Delivery"/>
    <n v="3.1"/>
    <x v="3"/>
    <n v="76.975999999999999"/>
    <n v="5"/>
    <x v="0"/>
  </r>
  <r>
    <n v="988"/>
    <n v="60"/>
    <x v="0"/>
    <x v="1"/>
    <x v="5"/>
    <s v="Headphones"/>
    <n v="802.1"/>
    <x v="0"/>
    <s v="Card"/>
    <n v="4.0999999999999996"/>
    <x v="6"/>
    <n v="673.76400000000001"/>
    <n v="3"/>
    <x v="1"/>
  </r>
  <r>
    <n v="989"/>
    <n v="42"/>
    <x v="0"/>
    <x v="0"/>
    <x v="8"/>
    <s v="Jeans"/>
    <n v="126.92"/>
    <x v="1"/>
    <s v="Card"/>
    <n v="3.6"/>
    <x v="6"/>
    <n v="106.61279999999999"/>
    <n v="3"/>
    <x v="1"/>
  </r>
  <r>
    <n v="990"/>
    <n v="68"/>
    <x v="1"/>
    <x v="1"/>
    <x v="1"/>
    <s v="T-Shirt"/>
    <n v="46.11"/>
    <x v="2"/>
    <s v="Card"/>
    <n v="5"/>
    <x v="8"/>
    <n v="40.576799999999999"/>
    <n v="1"/>
    <x v="1"/>
  </r>
  <r>
    <n v="991"/>
    <n v="66"/>
    <x v="1"/>
    <x v="1"/>
    <x v="2"/>
    <s v="Football"/>
    <n v="172.75"/>
    <x v="0"/>
    <s v="Card"/>
    <n v="4.2"/>
    <x v="3"/>
    <n v="138.20000000000002"/>
    <n v="5"/>
    <x v="0"/>
  </r>
  <r>
    <n v="992"/>
    <n v="43"/>
    <x v="0"/>
    <x v="1"/>
    <x v="5"/>
    <s v="Headphones"/>
    <n v="1247.6600000000001"/>
    <x v="1"/>
    <s v="Card"/>
    <n v="2.5"/>
    <x v="19"/>
    <n v="1060.511"/>
    <n v="5"/>
    <x v="0"/>
  </r>
  <r>
    <n v="993"/>
    <n v="61"/>
    <x v="1"/>
    <x v="1"/>
    <x v="7"/>
    <s v="Sneakers"/>
    <n v="70.459999999999994"/>
    <x v="3"/>
    <s v="Card"/>
    <n v="4.5999999999999996"/>
    <x v="17"/>
    <n v="67.641599999999997"/>
    <n v="2"/>
    <x v="1"/>
  </r>
  <r>
    <n v="994"/>
    <n v="33"/>
    <x v="0"/>
    <x v="1"/>
    <x v="2"/>
    <s v="Yoga Mat"/>
    <n v="90.86"/>
    <x v="0"/>
    <s v="Card"/>
    <n v="4"/>
    <x v="6"/>
    <n v="76.322400000000002"/>
    <n v="8"/>
    <x v="2"/>
  </r>
  <r>
    <n v="995"/>
    <n v="36"/>
    <x v="0"/>
    <x v="1"/>
    <x v="1"/>
    <s v="T-Shirt"/>
    <n v="56.95"/>
    <x v="2"/>
    <s v="Card"/>
    <n v="3.9"/>
    <x v="8"/>
    <n v="50.116"/>
    <n v="6"/>
    <x v="0"/>
  </r>
  <r>
    <n v="996"/>
    <n v="65"/>
    <x v="1"/>
    <x v="1"/>
    <x v="1"/>
    <s v="Jacket"/>
    <n v="100.4"/>
    <x v="0"/>
    <s v="Card"/>
    <n v="3.8"/>
    <x v="14"/>
    <n v="83.331999999999994"/>
    <n v="6"/>
    <x v="0"/>
  </r>
  <r>
    <n v="997"/>
    <n v="42"/>
    <x v="0"/>
    <x v="0"/>
    <x v="3"/>
    <s v="Lamp"/>
    <n v="142.72999999999999"/>
    <x v="0"/>
    <s v="Card"/>
    <n v="4.0999999999999996"/>
    <x v="19"/>
    <n v="121.32049999999998"/>
    <n v="5"/>
    <x v="0"/>
  </r>
  <r>
    <n v="998"/>
    <n v="34"/>
    <x v="0"/>
    <x v="1"/>
    <x v="5"/>
    <s v="Laptop"/>
    <n v="2857.91"/>
    <x v="3"/>
    <s v="Card"/>
    <n v="3.5"/>
    <x v="5"/>
    <n v="2629.2772"/>
    <n v="4"/>
    <x v="0"/>
  </r>
  <r>
    <n v="999"/>
    <n v="62"/>
    <x v="1"/>
    <x v="1"/>
    <x v="1"/>
    <s v="Jacket"/>
    <n v="79.55"/>
    <x v="3"/>
    <s v="Card"/>
    <n v="3.9"/>
    <x v="8"/>
    <n v="70.004000000000005"/>
    <n v="6"/>
    <x v="0"/>
  </r>
  <r>
    <n v="1000"/>
    <n v="46"/>
    <x v="0"/>
    <x v="0"/>
    <x v="4"/>
    <s v="Rice Pack"/>
    <n v="17.850000000000001"/>
    <x v="2"/>
    <s v="Cash on Delivery"/>
    <n v="5"/>
    <x v="11"/>
    <n v="13.209000000000001"/>
    <n v="8"/>
    <x v="2"/>
  </r>
  <r>
    <n v="1001"/>
    <n v="21"/>
    <x v="2"/>
    <x v="1"/>
    <x v="3"/>
    <s v="Lamp"/>
    <n v="113.93"/>
    <x v="0"/>
    <s v="Card"/>
    <n v="3.7"/>
    <x v="12"/>
    <n v="92.283300000000011"/>
    <n v="7"/>
    <x v="0"/>
  </r>
  <r>
    <n v="1002"/>
    <n v="29"/>
    <x v="2"/>
    <x v="1"/>
    <x v="7"/>
    <s v="Formal Shoes"/>
    <n v="48.18"/>
    <x v="3"/>
    <s v="Card"/>
    <n v="4.9000000000000004"/>
    <x v="30"/>
    <n v="31.798799999999996"/>
    <n v="12"/>
    <x v="2"/>
  </r>
  <r>
    <n v="1003"/>
    <n v="57"/>
    <x v="0"/>
    <x v="0"/>
    <x v="0"/>
    <s v="Handbag"/>
    <n v="54.15"/>
    <x v="0"/>
    <s v="Cash on Delivery"/>
    <n v="2.6"/>
    <x v="11"/>
    <n v="40.070999999999998"/>
    <n v="8"/>
    <x v="2"/>
  </r>
  <r>
    <n v="1004"/>
    <n v="41"/>
    <x v="0"/>
    <x v="0"/>
    <x v="8"/>
    <s v="Jeans"/>
    <n v="58.88"/>
    <x v="3"/>
    <s v="Cash on Delivery"/>
    <n v="4"/>
    <x v="2"/>
    <n v="52.403200000000005"/>
    <n v="3"/>
    <x v="1"/>
  </r>
  <r>
    <n v="1005"/>
    <n v="63"/>
    <x v="1"/>
    <x v="1"/>
    <x v="1"/>
    <s v="T-Shirt"/>
    <n v="127.76"/>
    <x v="3"/>
    <s v="Card"/>
    <n v="3.2"/>
    <x v="17"/>
    <n v="122.64960000000001"/>
    <n v="2"/>
    <x v="1"/>
  </r>
  <r>
    <n v="1006"/>
    <n v="45"/>
    <x v="0"/>
    <x v="1"/>
    <x v="1"/>
    <s v="Jacket"/>
    <n v="88.21"/>
    <x v="0"/>
    <s v="Cash on Delivery"/>
    <n v="2.2000000000000002"/>
    <x v="15"/>
    <n v="86.445799999999991"/>
    <n v="1"/>
    <x v="1"/>
  </r>
  <r>
    <n v="1007"/>
    <n v="65"/>
    <x v="1"/>
    <x v="0"/>
    <x v="8"/>
    <s v="Skirt"/>
    <n v="154.19999999999999"/>
    <x v="3"/>
    <s v="Card"/>
    <n v="3.8"/>
    <x v="6"/>
    <n v="129.52799999999999"/>
    <n v="8"/>
    <x v="2"/>
  </r>
  <r>
    <n v="1008"/>
    <n v="53"/>
    <x v="0"/>
    <x v="1"/>
    <x v="1"/>
    <s v="Jacket"/>
    <n v="186.55"/>
    <x v="0"/>
    <s v="Card"/>
    <n v="3.7"/>
    <x v="6"/>
    <n v="156.702"/>
    <n v="3"/>
    <x v="1"/>
  </r>
  <r>
    <n v="1009"/>
    <n v="63"/>
    <x v="1"/>
    <x v="1"/>
    <x v="7"/>
    <s v="Formal Shoes"/>
    <n v="55.74"/>
    <x v="1"/>
    <s v="Cash on Delivery"/>
    <n v="4.8"/>
    <x v="10"/>
    <n v="43.477200000000003"/>
    <n v="6"/>
    <x v="0"/>
  </r>
  <r>
    <n v="1010"/>
    <n v="41"/>
    <x v="0"/>
    <x v="0"/>
    <x v="6"/>
    <s v="Makeup Set"/>
    <n v="149.31"/>
    <x v="2"/>
    <s v="Card"/>
    <n v="4"/>
    <x v="5"/>
    <n v="137.36520000000002"/>
    <n v="4"/>
    <x v="0"/>
  </r>
  <r>
    <n v="1011"/>
    <n v="65"/>
    <x v="1"/>
    <x v="1"/>
    <x v="1"/>
    <s v="Jacket"/>
    <n v="71.91"/>
    <x v="2"/>
    <s v="Cash on Delivery"/>
    <n v="3.5"/>
    <x v="12"/>
    <n v="58.247100000000003"/>
    <n v="7"/>
    <x v="0"/>
  </r>
  <r>
    <n v="1012"/>
    <n v="20"/>
    <x v="2"/>
    <x v="0"/>
    <x v="6"/>
    <s v="Skincare Kit"/>
    <n v="25.51"/>
    <x v="1"/>
    <s v="Card"/>
    <n v="3.6"/>
    <x v="25"/>
    <n v="17.856999999999999"/>
    <n v="10"/>
    <x v="2"/>
  </r>
  <r>
    <n v="1013"/>
    <n v="57"/>
    <x v="0"/>
    <x v="0"/>
    <x v="6"/>
    <s v="Makeup Set"/>
    <n v="140"/>
    <x v="0"/>
    <s v="Card"/>
    <n v="3.5"/>
    <x v="3"/>
    <n v="112"/>
    <n v="5"/>
    <x v="0"/>
  </r>
  <r>
    <n v="1014"/>
    <n v="45"/>
    <x v="0"/>
    <x v="1"/>
    <x v="4"/>
    <s v="Cooking Oil"/>
    <n v="22.48"/>
    <x v="0"/>
    <s v="Card"/>
    <n v="4.2"/>
    <x v="5"/>
    <n v="20.6816"/>
    <n v="4"/>
    <x v="0"/>
  </r>
  <r>
    <n v="1015"/>
    <n v="69"/>
    <x v="1"/>
    <x v="0"/>
    <x v="0"/>
    <s v="Wallet"/>
    <n v="63.27"/>
    <x v="0"/>
    <s v="Cash on Delivery"/>
    <n v="2.9"/>
    <x v="8"/>
    <n v="55.677600000000005"/>
    <n v="6"/>
    <x v="0"/>
  </r>
  <r>
    <n v="1016"/>
    <n v="32"/>
    <x v="0"/>
    <x v="1"/>
    <x v="4"/>
    <s v="Rice Pack"/>
    <n v="79.819999999999993"/>
    <x v="0"/>
    <s v="Card"/>
    <n v="3.5"/>
    <x v="4"/>
    <n v="68.645199999999988"/>
    <n v="2"/>
    <x v="1"/>
  </r>
  <r>
    <n v="1017"/>
    <n v="69"/>
    <x v="1"/>
    <x v="0"/>
    <x v="6"/>
    <s v="Perfume"/>
    <n v="68.75"/>
    <x v="1"/>
    <s v="Card"/>
    <n v="3.8"/>
    <x v="5"/>
    <n v="63.25"/>
    <n v="4"/>
    <x v="0"/>
  </r>
  <r>
    <n v="1018"/>
    <n v="43"/>
    <x v="0"/>
    <x v="1"/>
    <x v="5"/>
    <s v="Smart Watch"/>
    <n v="1327.27"/>
    <x v="3"/>
    <s v="Card"/>
    <n v="2.7"/>
    <x v="1"/>
    <n v="1154.7248999999999"/>
    <n v="4"/>
    <x v="0"/>
  </r>
  <r>
    <n v="1019"/>
    <n v="28"/>
    <x v="2"/>
    <x v="1"/>
    <x v="2"/>
    <s v="Yoga Mat"/>
    <n v="220.03"/>
    <x v="3"/>
    <s v="Card"/>
    <n v="3.2"/>
    <x v="7"/>
    <n v="198.02700000000002"/>
    <n v="5"/>
    <x v="0"/>
  </r>
  <r>
    <n v="1020"/>
    <n v="53"/>
    <x v="0"/>
    <x v="0"/>
    <x v="2"/>
    <s v="Football"/>
    <n v="233.03"/>
    <x v="1"/>
    <s v="Card"/>
    <n v="3.7"/>
    <x v="0"/>
    <n v="191.08460000000002"/>
    <n v="4"/>
    <x v="0"/>
  </r>
  <r>
    <n v="1021"/>
    <n v="25"/>
    <x v="2"/>
    <x v="0"/>
    <x v="0"/>
    <s v="Handbag"/>
    <n v="106.02"/>
    <x v="3"/>
    <s v="Card"/>
    <n v="4.8"/>
    <x v="1"/>
    <n v="92.237399999999994"/>
    <n v="4"/>
    <x v="0"/>
  </r>
  <r>
    <n v="1022"/>
    <n v="30"/>
    <x v="2"/>
    <x v="1"/>
    <x v="2"/>
    <s v="Football"/>
    <n v="74.36"/>
    <x v="2"/>
    <s v="Card"/>
    <n v="5"/>
    <x v="19"/>
    <n v="63.205999999999996"/>
    <n v="5"/>
    <x v="0"/>
  </r>
  <r>
    <n v="1023"/>
    <n v="59"/>
    <x v="0"/>
    <x v="0"/>
    <x v="6"/>
    <s v="Skincare Kit"/>
    <n v="28.72"/>
    <x v="3"/>
    <s v="Cash on Delivery"/>
    <n v="4.5"/>
    <x v="8"/>
    <n v="25.273599999999998"/>
    <n v="6"/>
    <x v="0"/>
  </r>
  <r>
    <n v="1024"/>
    <n v="53"/>
    <x v="0"/>
    <x v="1"/>
    <x v="5"/>
    <s v="Laptop"/>
    <n v="512"/>
    <x v="2"/>
    <s v="Card"/>
    <n v="4"/>
    <x v="0"/>
    <n v="419.84000000000003"/>
    <n v="9"/>
    <x v="2"/>
  </r>
  <r>
    <n v="1025"/>
    <n v="60"/>
    <x v="0"/>
    <x v="0"/>
    <x v="8"/>
    <s v="Top"/>
    <n v="108.63"/>
    <x v="0"/>
    <s v="Card"/>
    <n v="3.5"/>
    <x v="24"/>
    <n v="78.2136"/>
    <n v="9"/>
    <x v="2"/>
  </r>
  <r>
    <n v="1026"/>
    <n v="25"/>
    <x v="2"/>
    <x v="1"/>
    <x v="1"/>
    <s v="Jeans"/>
    <n v="34.19"/>
    <x v="2"/>
    <s v="Cash on Delivery"/>
    <n v="3.1"/>
    <x v="12"/>
    <n v="27.693899999999999"/>
    <n v="7"/>
    <x v="0"/>
  </r>
  <r>
    <n v="1027"/>
    <n v="21"/>
    <x v="2"/>
    <x v="0"/>
    <x v="0"/>
    <s v="Wallet"/>
    <n v="121.23"/>
    <x v="1"/>
    <s v="Card"/>
    <n v="2.9"/>
    <x v="6"/>
    <n v="101.83320000000001"/>
    <n v="3"/>
    <x v="1"/>
  </r>
  <r>
    <n v="1028"/>
    <n v="31"/>
    <x v="0"/>
    <x v="1"/>
    <x v="3"/>
    <s v="Curtains"/>
    <n v="39.869999999999997"/>
    <x v="0"/>
    <s v="Cash on Delivery"/>
    <n v="3.1"/>
    <x v="4"/>
    <n v="34.288199999999996"/>
    <n v="7"/>
    <x v="0"/>
  </r>
  <r>
    <n v="1029"/>
    <n v="65"/>
    <x v="1"/>
    <x v="0"/>
    <x v="8"/>
    <s v="Jeans"/>
    <n v="194.79"/>
    <x v="2"/>
    <s v="Card"/>
    <n v="4.0999999999999996"/>
    <x v="19"/>
    <n v="165.57149999999999"/>
    <n v="5"/>
    <x v="0"/>
  </r>
  <r>
    <n v="1030"/>
    <n v="45"/>
    <x v="0"/>
    <x v="0"/>
    <x v="8"/>
    <s v="Dress"/>
    <n v="192.67"/>
    <x v="1"/>
    <s v="Card"/>
    <n v="4.3"/>
    <x v="3"/>
    <n v="154.136"/>
    <n v="5"/>
    <x v="0"/>
  </r>
  <r>
    <n v="1031"/>
    <n v="33"/>
    <x v="0"/>
    <x v="0"/>
    <x v="7"/>
    <s v="Sneakers"/>
    <n v="119.68"/>
    <x v="0"/>
    <s v="Card"/>
    <n v="2.5"/>
    <x v="12"/>
    <n v="96.94080000000001"/>
    <n v="7"/>
    <x v="0"/>
  </r>
  <r>
    <n v="1032"/>
    <n v="40"/>
    <x v="0"/>
    <x v="0"/>
    <x v="4"/>
    <s v="Cooking Oil"/>
    <n v="12.42"/>
    <x v="1"/>
    <s v="Card"/>
    <n v="4"/>
    <x v="3"/>
    <n v="9.9359999999999999"/>
    <n v="5"/>
    <x v="0"/>
  </r>
  <r>
    <n v="1033"/>
    <n v="55"/>
    <x v="0"/>
    <x v="0"/>
    <x v="2"/>
    <s v="Dumbbells"/>
    <n v="91.6"/>
    <x v="3"/>
    <s v="Cash on Delivery"/>
    <n v="3.7"/>
    <x v="14"/>
    <n v="76.027999999999992"/>
    <n v="6"/>
    <x v="0"/>
  </r>
  <r>
    <n v="1034"/>
    <n v="28"/>
    <x v="2"/>
    <x v="0"/>
    <x v="4"/>
    <s v="Beverages"/>
    <n v="78.81"/>
    <x v="3"/>
    <s v="Card"/>
    <n v="4.0999999999999996"/>
    <x v="19"/>
    <n v="66.988500000000002"/>
    <n v="5"/>
    <x v="0"/>
  </r>
  <r>
    <n v="1035"/>
    <n v="36"/>
    <x v="0"/>
    <x v="1"/>
    <x v="3"/>
    <s v="Lamp"/>
    <n v="299.29000000000002"/>
    <x v="1"/>
    <s v="Card"/>
    <n v="4.5999999999999996"/>
    <x v="7"/>
    <n v="269.36100000000005"/>
    <n v="5"/>
    <x v="0"/>
  </r>
  <r>
    <n v="1036"/>
    <n v="59"/>
    <x v="0"/>
    <x v="0"/>
    <x v="6"/>
    <s v="Makeup Set"/>
    <n v="52.13"/>
    <x v="2"/>
    <s v="Card"/>
    <n v="4.4000000000000004"/>
    <x v="4"/>
    <n v="44.831800000000001"/>
    <n v="2"/>
    <x v="1"/>
  </r>
  <r>
    <n v="1037"/>
    <n v="42"/>
    <x v="0"/>
    <x v="0"/>
    <x v="0"/>
    <s v="Handbag"/>
    <n v="73.709999999999994"/>
    <x v="0"/>
    <s v="Card"/>
    <n v="2.8"/>
    <x v="5"/>
    <n v="67.813199999999995"/>
    <n v="4"/>
    <x v="0"/>
  </r>
  <r>
    <n v="1038"/>
    <n v="21"/>
    <x v="2"/>
    <x v="0"/>
    <x v="0"/>
    <s v="Wallet"/>
    <n v="108.59"/>
    <x v="2"/>
    <s v="Card"/>
    <n v="4.3"/>
    <x v="11"/>
    <n v="80.3566"/>
    <n v="8"/>
    <x v="2"/>
  </r>
  <r>
    <n v="1039"/>
    <n v="63"/>
    <x v="1"/>
    <x v="1"/>
    <x v="5"/>
    <s v="Headphones"/>
    <n v="2738.93"/>
    <x v="3"/>
    <s v="Card"/>
    <n v="4"/>
    <x v="8"/>
    <n v="2410.2583999999997"/>
    <n v="6"/>
    <x v="0"/>
  </r>
  <r>
    <n v="1040"/>
    <n v="32"/>
    <x v="0"/>
    <x v="0"/>
    <x v="0"/>
    <s v="Sunglasses"/>
    <n v="159.16"/>
    <x v="3"/>
    <s v="Card"/>
    <n v="4.0999999999999996"/>
    <x v="7"/>
    <n v="143.244"/>
    <n v="5"/>
    <x v="0"/>
  </r>
  <r>
    <n v="1041"/>
    <n v="32"/>
    <x v="0"/>
    <x v="0"/>
    <x v="8"/>
    <s v="Top"/>
    <n v="193.19"/>
    <x v="1"/>
    <s v="Card"/>
    <n v="4.9000000000000004"/>
    <x v="11"/>
    <n v="142.9606"/>
    <n v="8"/>
    <x v="2"/>
  </r>
  <r>
    <n v="1042"/>
    <n v="45"/>
    <x v="0"/>
    <x v="1"/>
    <x v="7"/>
    <s v="Sandals"/>
    <n v="143.72"/>
    <x v="3"/>
    <s v="Card"/>
    <n v="2.6"/>
    <x v="3"/>
    <n v="114.976"/>
    <n v="5"/>
    <x v="0"/>
  </r>
  <r>
    <n v="1043"/>
    <n v="24"/>
    <x v="2"/>
    <x v="0"/>
    <x v="8"/>
    <s v="Dress"/>
    <n v="141.82"/>
    <x v="2"/>
    <s v="Card"/>
    <n v="3.8"/>
    <x v="7"/>
    <n v="127.63799999999999"/>
    <n v="5"/>
    <x v="0"/>
  </r>
  <r>
    <n v="1044"/>
    <n v="44"/>
    <x v="0"/>
    <x v="0"/>
    <x v="8"/>
    <s v="Top"/>
    <n v="177.01"/>
    <x v="1"/>
    <s v="Card"/>
    <n v="1.9"/>
    <x v="23"/>
    <n v="164.61929999999998"/>
    <n v="1"/>
    <x v="1"/>
  </r>
  <r>
    <n v="1045"/>
    <n v="33"/>
    <x v="0"/>
    <x v="1"/>
    <x v="2"/>
    <s v="Yoga Mat"/>
    <n v="144.52000000000001"/>
    <x v="0"/>
    <s v="Card"/>
    <n v="4.5999999999999996"/>
    <x v="7"/>
    <n v="130.06800000000001"/>
    <n v="5"/>
    <x v="0"/>
  </r>
  <r>
    <n v="1046"/>
    <n v="40"/>
    <x v="0"/>
    <x v="1"/>
    <x v="1"/>
    <s v="T-Shirt"/>
    <n v="141.59"/>
    <x v="1"/>
    <s v="Card"/>
    <n v="3.3"/>
    <x v="17"/>
    <n v="135.9264"/>
    <n v="2"/>
    <x v="1"/>
  </r>
  <r>
    <n v="1047"/>
    <n v="53"/>
    <x v="0"/>
    <x v="0"/>
    <x v="8"/>
    <s v="Skirt"/>
    <n v="130.75"/>
    <x v="3"/>
    <s v="Card"/>
    <n v="3.9"/>
    <x v="19"/>
    <n v="111.1375"/>
    <n v="5"/>
    <x v="0"/>
  </r>
  <r>
    <n v="1048"/>
    <n v="55"/>
    <x v="0"/>
    <x v="1"/>
    <x v="7"/>
    <s v="Sandals"/>
    <n v="57.48"/>
    <x v="3"/>
    <s v="Card"/>
    <n v="4.0999999999999996"/>
    <x v="19"/>
    <n v="48.857999999999997"/>
    <n v="5"/>
    <x v="0"/>
  </r>
  <r>
    <n v="1049"/>
    <n v="40"/>
    <x v="0"/>
    <x v="0"/>
    <x v="8"/>
    <s v="Dress"/>
    <n v="75.56"/>
    <x v="2"/>
    <s v="Cash on Delivery"/>
    <n v="4.0999999999999996"/>
    <x v="7"/>
    <n v="68.004000000000005"/>
    <n v="5"/>
    <x v="0"/>
  </r>
  <r>
    <n v="1050"/>
    <n v="34"/>
    <x v="0"/>
    <x v="0"/>
    <x v="0"/>
    <s v="Handbag"/>
    <n v="50.23"/>
    <x v="1"/>
    <s v="Cash on Delivery"/>
    <n v="2.2000000000000002"/>
    <x v="16"/>
    <n v="47.216199999999994"/>
    <n v="3"/>
    <x v="1"/>
  </r>
  <r>
    <n v="1051"/>
    <n v="45"/>
    <x v="0"/>
    <x v="0"/>
    <x v="0"/>
    <s v="Handbag"/>
    <n v="56.28"/>
    <x v="3"/>
    <s v="Cash on Delivery"/>
    <n v="4.5"/>
    <x v="0"/>
    <n v="46.149600000000007"/>
    <n v="4"/>
    <x v="0"/>
  </r>
  <r>
    <n v="1052"/>
    <n v="31"/>
    <x v="0"/>
    <x v="1"/>
    <x v="3"/>
    <s v="Curtains"/>
    <n v="211.48"/>
    <x v="1"/>
    <s v="Card"/>
    <n v="2.8"/>
    <x v="13"/>
    <n v="192.4468"/>
    <n v="2"/>
    <x v="1"/>
  </r>
  <r>
    <n v="1053"/>
    <n v="37"/>
    <x v="0"/>
    <x v="0"/>
    <x v="3"/>
    <s v="Lamp"/>
    <n v="75.819999999999993"/>
    <x v="2"/>
    <s v="Card"/>
    <n v="4.3"/>
    <x v="8"/>
    <n v="66.721599999999995"/>
    <n v="1"/>
    <x v="1"/>
  </r>
  <r>
    <n v="1054"/>
    <n v="60"/>
    <x v="0"/>
    <x v="0"/>
    <x v="0"/>
    <s v="Sunglasses"/>
    <n v="58.95"/>
    <x v="2"/>
    <s v="Cash on Delivery"/>
    <n v="3.5"/>
    <x v="16"/>
    <n v="55.412999999999997"/>
    <n v="3"/>
    <x v="1"/>
  </r>
  <r>
    <n v="1055"/>
    <n v="38"/>
    <x v="0"/>
    <x v="1"/>
    <x v="5"/>
    <s v="Headphones"/>
    <n v="1948.69"/>
    <x v="3"/>
    <s v="Card"/>
    <n v="2.9"/>
    <x v="6"/>
    <n v="1636.8996"/>
    <n v="8"/>
    <x v="2"/>
  </r>
  <r>
    <n v="1056"/>
    <n v="60"/>
    <x v="0"/>
    <x v="1"/>
    <x v="2"/>
    <s v="Yoga Mat"/>
    <n v="221.58"/>
    <x v="3"/>
    <s v="Card"/>
    <n v="3.2"/>
    <x v="7"/>
    <n v="199.42200000000003"/>
    <n v="5"/>
    <x v="0"/>
  </r>
  <r>
    <n v="1057"/>
    <n v="40"/>
    <x v="0"/>
    <x v="1"/>
    <x v="2"/>
    <s v="Football"/>
    <n v="194.16"/>
    <x v="2"/>
    <s v="Card"/>
    <n v="3.9"/>
    <x v="21"/>
    <n v="153.38640000000001"/>
    <n v="8"/>
    <x v="2"/>
  </r>
  <r>
    <n v="1058"/>
    <n v="33"/>
    <x v="0"/>
    <x v="0"/>
    <x v="7"/>
    <s v="Sneakers"/>
    <n v="40.299999999999997"/>
    <x v="2"/>
    <s v="Card"/>
    <n v="2.5"/>
    <x v="10"/>
    <n v="31.433999999999997"/>
    <n v="6"/>
    <x v="0"/>
  </r>
  <r>
    <n v="1059"/>
    <n v="64"/>
    <x v="1"/>
    <x v="0"/>
    <x v="8"/>
    <s v="Top"/>
    <n v="178.98"/>
    <x v="0"/>
    <s v="Card"/>
    <n v="3.2"/>
    <x v="3"/>
    <n v="143.184"/>
    <n v="5"/>
    <x v="0"/>
  </r>
  <r>
    <n v="1060"/>
    <n v="64"/>
    <x v="1"/>
    <x v="0"/>
    <x v="8"/>
    <s v="Top"/>
    <n v="190.01"/>
    <x v="1"/>
    <s v="Card"/>
    <n v="4.0999999999999996"/>
    <x v="0"/>
    <n v="155.8082"/>
    <n v="9"/>
    <x v="2"/>
  </r>
  <r>
    <n v="1061"/>
    <n v="66"/>
    <x v="1"/>
    <x v="0"/>
    <x v="8"/>
    <s v="Skirt"/>
    <n v="114.31"/>
    <x v="0"/>
    <s v="Card"/>
    <n v="5"/>
    <x v="5"/>
    <n v="105.16520000000001"/>
    <n v="4"/>
    <x v="0"/>
  </r>
  <r>
    <n v="1062"/>
    <n v="21"/>
    <x v="2"/>
    <x v="1"/>
    <x v="1"/>
    <s v="Shirt"/>
    <n v="114.03"/>
    <x v="0"/>
    <s v="Card"/>
    <n v="2.6"/>
    <x v="8"/>
    <n v="100.3464"/>
    <n v="1"/>
    <x v="1"/>
  </r>
  <r>
    <n v="1063"/>
    <n v="49"/>
    <x v="0"/>
    <x v="1"/>
    <x v="7"/>
    <s v="Formal Shoes"/>
    <n v="106.57"/>
    <x v="0"/>
    <s v="Card"/>
    <n v="3.2"/>
    <x v="5"/>
    <n v="98.044399999999996"/>
    <n v="4"/>
    <x v="0"/>
  </r>
  <r>
    <n v="1064"/>
    <n v="40"/>
    <x v="0"/>
    <x v="0"/>
    <x v="6"/>
    <s v="Makeup Set"/>
    <n v="44.46"/>
    <x v="3"/>
    <s v="Card"/>
    <n v="3.5"/>
    <x v="10"/>
    <n v="34.678800000000003"/>
    <n v="6"/>
    <x v="0"/>
  </r>
  <r>
    <n v="1065"/>
    <n v="49"/>
    <x v="0"/>
    <x v="0"/>
    <x v="8"/>
    <s v="Skirt"/>
    <n v="43.75"/>
    <x v="1"/>
    <s v="Card"/>
    <n v="3.8"/>
    <x v="10"/>
    <n v="34.125"/>
    <n v="6"/>
    <x v="0"/>
  </r>
  <r>
    <n v="1066"/>
    <n v="20"/>
    <x v="2"/>
    <x v="1"/>
    <x v="2"/>
    <s v="Yoga Mat"/>
    <n v="98.82"/>
    <x v="2"/>
    <s v="Card"/>
    <n v="3.5"/>
    <x v="6"/>
    <n v="83.008799999999994"/>
    <n v="3"/>
    <x v="1"/>
  </r>
  <r>
    <n v="1067"/>
    <n v="53"/>
    <x v="0"/>
    <x v="1"/>
    <x v="1"/>
    <s v="Jeans"/>
    <n v="176.35"/>
    <x v="0"/>
    <s v="Card"/>
    <n v="4"/>
    <x v="16"/>
    <n v="165.76899999999998"/>
    <n v="3"/>
    <x v="1"/>
  </r>
  <r>
    <n v="1068"/>
    <n v="20"/>
    <x v="2"/>
    <x v="1"/>
    <x v="5"/>
    <s v="Laptop"/>
    <n v="768.38"/>
    <x v="0"/>
    <s v="Card"/>
    <n v="4.3"/>
    <x v="19"/>
    <n v="653.12299999999993"/>
    <n v="5"/>
    <x v="0"/>
  </r>
  <r>
    <n v="1069"/>
    <n v="58"/>
    <x v="0"/>
    <x v="1"/>
    <x v="5"/>
    <s v="Laptop"/>
    <n v="2823.73"/>
    <x v="1"/>
    <s v="Card"/>
    <n v="4.5"/>
    <x v="3"/>
    <n v="2258.9839999999999"/>
    <n v="5"/>
    <x v="0"/>
  </r>
  <r>
    <n v="1070"/>
    <n v="53"/>
    <x v="0"/>
    <x v="1"/>
    <x v="2"/>
    <s v="Yoga Mat"/>
    <n v="33.24"/>
    <x v="0"/>
    <s v="Cash on Delivery"/>
    <n v="4.0999999999999996"/>
    <x v="10"/>
    <n v="25.927200000000003"/>
    <n v="6"/>
    <x v="0"/>
  </r>
  <r>
    <n v="1071"/>
    <n v="38"/>
    <x v="0"/>
    <x v="0"/>
    <x v="0"/>
    <s v="Wallet"/>
    <n v="150.79"/>
    <x v="0"/>
    <s v="Card"/>
    <n v="2.7"/>
    <x v="7"/>
    <n v="135.71099999999998"/>
    <n v="5"/>
    <x v="0"/>
  </r>
  <r>
    <n v="1072"/>
    <n v="65"/>
    <x v="1"/>
    <x v="1"/>
    <x v="2"/>
    <s v="Yoga Mat"/>
    <n v="208.78"/>
    <x v="0"/>
    <s v="Card"/>
    <n v="4.3"/>
    <x v="3"/>
    <n v="167.024"/>
    <n v="5"/>
    <x v="0"/>
  </r>
  <r>
    <n v="1073"/>
    <n v="22"/>
    <x v="2"/>
    <x v="0"/>
    <x v="0"/>
    <s v="Handbag"/>
    <n v="80.5"/>
    <x v="3"/>
    <s v="Card"/>
    <n v="4"/>
    <x v="6"/>
    <n v="67.62"/>
    <n v="3"/>
    <x v="1"/>
  </r>
  <r>
    <n v="1074"/>
    <n v="60"/>
    <x v="0"/>
    <x v="1"/>
    <x v="2"/>
    <s v="Dumbbells"/>
    <n v="139.63999999999999"/>
    <x v="0"/>
    <s v="Card"/>
    <n v="4"/>
    <x v="11"/>
    <n v="103.33359999999999"/>
    <n v="8"/>
    <x v="2"/>
  </r>
  <r>
    <n v="1075"/>
    <n v="32"/>
    <x v="0"/>
    <x v="0"/>
    <x v="6"/>
    <s v="Skincare Kit"/>
    <n v="105.08"/>
    <x v="1"/>
    <s v="Card"/>
    <n v="3"/>
    <x v="1"/>
    <n v="91.419600000000003"/>
    <n v="4"/>
    <x v="0"/>
  </r>
  <r>
    <n v="1076"/>
    <n v="47"/>
    <x v="0"/>
    <x v="1"/>
    <x v="4"/>
    <s v="Cooking Oil"/>
    <n v="73.92"/>
    <x v="1"/>
    <s v="Cash on Delivery"/>
    <n v="3.5"/>
    <x v="13"/>
    <n v="67.267200000000003"/>
    <n v="2"/>
    <x v="1"/>
  </r>
  <r>
    <n v="1077"/>
    <n v="48"/>
    <x v="0"/>
    <x v="1"/>
    <x v="5"/>
    <s v="Smart Watch"/>
    <n v="2738.51"/>
    <x v="3"/>
    <s v="Card"/>
    <n v="3.5"/>
    <x v="2"/>
    <n v="2437.2739000000001"/>
    <n v="3"/>
    <x v="1"/>
  </r>
  <r>
    <n v="1078"/>
    <n v="69"/>
    <x v="1"/>
    <x v="1"/>
    <x v="5"/>
    <s v="Smart Watch"/>
    <n v="1627.36"/>
    <x v="1"/>
    <s v="Card"/>
    <n v="3.5"/>
    <x v="0"/>
    <n v="1334.4352000000001"/>
    <n v="4"/>
    <x v="0"/>
  </r>
  <r>
    <n v="1079"/>
    <n v="64"/>
    <x v="1"/>
    <x v="1"/>
    <x v="4"/>
    <s v="Snacks"/>
    <n v="44.35"/>
    <x v="1"/>
    <s v="Cash on Delivery"/>
    <n v="3.4"/>
    <x v="19"/>
    <n v="37.697499999999998"/>
    <n v="5"/>
    <x v="0"/>
  </r>
  <r>
    <n v="1080"/>
    <n v="51"/>
    <x v="0"/>
    <x v="1"/>
    <x v="4"/>
    <s v="Beverages"/>
    <n v="67.37"/>
    <x v="2"/>
    <s v="Cash on Delivery"/>
    <n v="3.6"/>
    <x v="10"/>
    <n v="52.548600000000008"/>
    <n v="6"/>
    <x v="0"/>
  </r>
  <r>
    <n v="1081"/>
    <n v="55"/>
    <x v="0"/>
    <x v="0"/>
    <x v="6"/>
    <s v="Perfume"/>
    <n v="51.63"/>
    <x v="0"/>
    <s v="Card"/>
    <n v="4.5999999999999996"/>
    <x v="0"/>
    <n v="42.336600000000004"/>
    <n v="4"/>
    <x v="0"/>
  </r>
  <r>
    <n v="1082"/>
    <n v="62"/>
    <x v="1"/>
    <x v="1"/>
    <x v="2"/>
    <s v="Football"/>
    <n v="202.1"/>
    <x v="3"/>
    <s v="Card"/>
    <n v="2.2000000000000002"/>
    <x v="3"/>
    <n v="161.68"/>
    <n v="5"/>
    <x v="0"/>
  </r>
  <r>
    <n v="1083"/>
    <n v="52"/>
    <x v="0"/>
    <x v="0"/>
    <x v="7"/>
    <s v="Sneakers"/>
    <n v="86.78"/>
    <x v="1"/>
    <s v="Cash on Delivery"/>
    <n v="4"/>
    <x v="3"/>
    <n v="69.424000000000007"/>
    <n v="5"/>
    <x v="0"/>
  </r>
  <r>
    <n v="1084"/>
    <n v="41"/>
    <x v="0"/>
    <x v="1"/>
    <x v="7"/>
    <s v="Formal Shoes"/>
    <n v="82.05"/>
    <x v="3"/>
    <s v="Card"/>
    <n v="4.0999999999999996"/>
    <x v="3"/>
    <n v="65.64"/>
    <n v="5"/>
    <x v="0"/>
  </r>
  <r>
    <n v="1085"/>
    <n v="27"/>
    <x v="2"/>
    <x v="0"/>
    <x v="6"/>
    <s v="Perfume"/>
    <n v="24.02"/>
    <x v="2"/>
    <s v="Cash on Delivery"/>
    <n v="4.3"/>
    <x v="4"/>
    <n v="20.6572"/>
    <n v="2"/>
    <x v="1"/>
  </r>
  <r>
    <n v="1086"/>
    <n v="29"/>
    <x v="2"/>
    <x v="0"/>
    <x v="8"/>
    <s v="Top"/>
    <n v="45.21"/>
    <x v="1"/>
    <s v="Card"/>
    <n v="3.9"/>
    <x v="27"/>
    <n v="33.907499999999999"/>
    <n v="10"/>
    <x v="2"/>
  </r>
  <r>
    <n v="1087"/>
    <n v="66"/>
    <x v="1"/>
    <x v="1"/>
    <x v="7"/>
    <s v="Sandals"/>
    <n v="239.97"/>
    <x v="1"/>
    <s v="Card"/>
    <n v="4.7"/>
    <x v="14"/>
    <n v="199.17509999999999"/>
    <n v="6"/>
    <x v="0"/>
  </r>
  <r>
    <n v="1088"/>
    <n v="67"/>
    <x v="1"/>
    <x v="1"/>
    <x v="2"/>
    <s v="Football"/>
    <n v="117.03"/>
    <x v="1"/>
    <s v="Card"/>
    <n v="3.4"/>
    <x v="17"/>
    <n v="112.3488"/>
    <n v="2"/>
    <x v="1"/>
  </r>
  <r>
    <n v="1089"/>
    <n v="44"/>
    <x v="0"/>
    <x v="0"/>
    <x v="3"/>
    <s v="Kitchen Set"/>
    <n v="121.22"/>
    <x v="2"/>
    <s v="Card"/>
    <n v="4.7"/>
    <x v="16"/>
    <n v="113.9468"/>
    <n v="3"/>
    <x v="1"/>
  </r>
  <r>
    <n v="1090"/>
    <n v="26"/>
    <x v="2"/>
    <x v="1"/>
    <x v="3"/>
    <s v="Kitchen Set"/>
    <n v="155.63"/>
    <x v="0"/>
    <s v="Card"/>
    <n v="3.2"/>
    <x v="3"/>
    <n v="124.504"/>
    <n v="5"/>
    <x v="0"/>
  </r>
  <r>
    <n v="1091"/>
    <n v="64"/>
    <x v="1"/>
    <x v="1"/>
    <x v="7"/>
    <s v="Sneakers"/>
    <n v="133.61000000000001"/>
    <x v="3"/>
    <s v="Card"/>
    <n v="4.5999999999999996"/>
    <x v="7"/>
    <n v="120.24900000000001"/>
    <n v="5"/>
    <x v="0"/>
  </r>
  <r>
    <n v="1092"/>
    <n v="39"/>
    <x v="0"/>
    <x v="1"/>
    <x v="1"/>
    <s v="T-Shirt"/>
    <n v="136.87"/>
    <x v="2"/>
    <s v="Card"/>
    <n v="5"/>
    <x v="14"/>
    <n v="113.60209999999999"/>
    <n v="6"/>
    <x v="0"/>
  </r>
  <r>
    <n v="1093"/>
    <n v="24"/>
    <x v="2"/>
    <x v="0"/>
    <x v="6"/>
    <s v="Makeup Set"/>
    <n v="61.18"/>
    <x v="1"/>
    <s v="Cash on Delivery"/>
    <n v="3.1"/>
    <x v="8"/>
    <n v="53.8384"/>
    <n v="6"/>
    <x v="0"/>
  </r>
  <r>
    <n v="1094"/>
    <n v="22"/>
    <x v="2"/>
    <x v="0"/>
    <x v="6"/>
    <s v="Makeup Set"/>
    <n v="52.42"/>
    <x v="3"/>
    <s v="Cash on Delivery"/>
    <n v="4.4000000000000004"/>
    <x v="7"/>
    <n v="47.178000000000004"/>
    <n v="5"/>
    <x v="0"/>
  </r>
  <r>
    <n v="1095"/>
    <n v="64"/>
    <x v="1"/>
    <x v="0"/>
    <x v="2"/>
    <s v="Football"/>
    <n v="64.47"/>
    <x v="0"/>
    <s v="Card"/>
    <n v="2.8"/>
    <x v="6"/>
    <n v="54.154799999999994"/>
    <n v="3"/>
    <x v="1"/>
  </r>
  <r>
    <n v="1096"/>
    <n v="41"/>
    <x v="0"/>
    <x v="1"/>
    <x v="1"/>
    <s v="Jeans"/>
    <n v="72.23"/>
    <x v="0"/>
    <s v="Cash on Delivery"/>
    <n v="3.6"/>
    <x v="2"/>
    <n v="64.284700000000001"/>
    <n v="3"/>
    <x v="1"/>
  </r>
  <r>
    <n v="1097"/>
    <n v="55"/>
    <x v="0"/>
    <x v="1"/>
    <x v="1"/>
    <s v="Jeans"/>
    <n v="121.35"/>
    <x v="3"/>
    <s v="Card"/>
    <n v="3.4"/>
    <x v="7"/>
    <n v="109.215"/>
    <n v="5"/>
    <x v="0"/>
  </r>
  <r>
    <n v="1098"/>
    <n v="23"/>
    <x v="2"/>
    <x v="0"/>
    <x v="0"/>
    <s v="Sunglasses"/>
    <n v="117.09"/>
    <x v="1"/>
    <s v="Card"/>
    <n v="3.4"/>
    <x v="17"/>
    <n v="112.4064"/>
    <n v="2"/>
    <x v="1"/>
  </r>
  <r>
    <n v="1099"/>
    <n v="70"/>
    <x v="1"/>
    <x v="1"/>
    <x v="1"/>
    <s v="Jacket"/>
    <n v="190.63"/>
    <x v="3"/>
    <s v="Card"/>
    <n v="3.7"/>
    <x v="15"/>
    <n v="186.81739999999999"/>
    <n v="1"/>
    <x v="1"/>
  </r>
  <r>
    <n v="1100"/>
    <n v="57"/>
    <x v="0"/>
    <x v="1"/>
    <x v="1"/>
    <s v="Jacket"/>
    <n v="53.94"/>
    <x v="3"/>
    <s v="Cash on Delivery"/>
    <n v="3.7"/>
    <x v="14"/>
    <n v="44.770199999999996"/>
    <n v="6"/>
    <x v="0"/>
  </r>
  <r>
    <n v="1101"/>
    <n v="26"/>
    <x v="2"/>
    <x v="0"/>
    <x v="0"/>
    <s v="Handbag"/>
    <n v="158.79"/>
    <x v="3"/>
    <s v="Card"/>
    <n v="4.5999999999999996"/>
    <x v="23"/>
    <n v="147.67469999999997"/>
    <n v="1"/>
    <x v="1"/>
  </r>
  <r>
    <n v="1102"/>
    <n v="62"/>
    <x v="1"/>
    <x v="1"/>
    <x v="2"/>
    <s v="Yoga Mat"/>
    <n v="77.56"/>
    <x v="1"/>
    <s v="Cash on Delivery"/>
    <n v="3.8"/>
    <x v="19"/>
    <n v="65.926000000000002"/>
    <n v="5"/>
    <x v="0"/>
  </r>
  <r>
    <n v="1103"/>
    <n v="23"/>
    <x v="2"/>
    <x v="1"/>
    <x v="5"/>
    <s v="Laptop"/>
    <n v="559.52"/>
    <x v="0"/>
    <s v="Card"/>
    <n v="4"/>
    <x v="0"/>
    <n v="458.8064"/>
    <n v="4"/>
    <x v="0"/>
  </r>
  <r>
    <n v="1104"/>
    <n v="44"/>
    <x v="0"/>
    <x v="1"/>
    <x v="5"/>
    <s v="Laptop"/>
    <n v="2966"/>
    <x v="1"/>
    <s v="Card"/>
    <n v="2.9"/>
    <x v="7"/>
    <n v="2669.4"/>
    <n v="5"/>
    <x v="0"/>
  </r>
  <r>
    <n v="1105"/>
    <n v="57"/>
    <x v="0"/>
    <x v="0"/>
    <x v="4"/>
    <s v="Snacks"/>
    <n v="20.37"/>
    <x v="3"/>
    <s v="Card"/>
    <n v="4"/>
    <x v="25"/>
    <n v="14.259"/>
    <n v="10"/>
    <x v="2"/>
  </r>
  <r>
    <n v="1106"/>
    <n v="26"/>
    <x v="2"/>
    <x v="0"/>
    <x v="8"/>
    <s v="Skirt"/>
    <n v="175.46"/>
    <x v="0"/>
    <s v="Card"/>
    <n v="3.4"/>
    <x v="18"/>
    <n v="133.34960000000001"/>
    <n v="7"/>
    <x v="0"/>
  </r>
  <r>
    <n v="1107"/>
    <n v="42"/>
    <x v="0"/>
    <x v="0"/>
    <x v="7"/>
    <s v="Sneakers"/>
    <n v="193.23"/>
    <x v="0"/>
    <s v="Card"/>
    <n v="4.5999999999999996"/>
    <x v="5"/>
    <n v="177.77160000000001"/>
    <n v="4"/>
    <x v="0"/>
  </r>
  <r>
    <n v="1108"/>
    <n v="26"/>
    <x v="2"/>
    <x v="1"/>
    <x v="2"/>
    <s v="Yoga Mat"/>
    <n v="67.09"/>
    <x v="3"/>
    <s v="Card"/>
    <n v="3.5"/>
    <x v="0"/>
    <n v="55.01380000000001"/>
    <n v="9"/>
    <x v="2"/>
  </r>
  <r>
    <n v="1109"/>
    <n v="28"/>
    <x v="2"/>
    <x v="0"/>
    <x v="0"/>
    <s v="Wallet"/>
    <n v="57.75"/>
    <x v="1"/>
    <s v="Cash on Delivery"/>
    <n v="5"/>
    <x v="13"/>
    <n v="52.552500000000002"/>
    <n v="2"/>
    <x v="1"/>
  </r>
  <r>
    <n v="1110"/>
    <n v="46"/>
    <x v="0"/>
    <x v="1"/>
    <x v="1"/>
    <s v="Jeans"/>
    <n v="60.83"/>
    <x v="0"/>
    <s v="Card"/>
    <n v="3.9"/>
    <x v="5"/>
    <n v="55.9636"/>
    <n v="4"/>
    <x v="0"/>
  </r>
  <r>
    <n v="1111"/>
    <n v="28"/>
    <x v="2"/>
    <x v="1"/>
    <x v="1"/>
    <s v="Jeans"/>
    <n v="153.1"/>
    <x v="3"/>
    <s v="Card"/>
    <n v="4.5"/>
    <x v="5"/>
    <n v="140.852"/>
    <n v="4"/>
    <x v="0"/>
  </r>
  <r>
    <n v="1112"/>
    <n v="49"/>
    <x v="0"/>
    <x v="0"/>
    <x v="4"/>
    <s v="Beverages"/>
    <n v="29.32"/>
    <x v="1"/>
    <s v="Card"/>
    <n v="5"/>
    <x v="22"/>
    <n v="22.5764"/>
    <n v="9"/>
    <x v="2"/>
  </r>
  <r>
    <n v="1113"/>
    <n v="67"/>
    <x v="1"/>
    <x v="0"/>
    <x v="0"/>
    <s v="Sunglasses"/>
    <n v="133.57"/>
    <x v="2"/>
    <s v="Card"/>
    <n v="3.9"/>
    <x v="11"/>
    <n v="98.841799999999992"/>
    <n v="8"/>
    <x v="2"/>
  </r>
  <r>
    <n v="1114"/>
    <n v="69"/>
    <x v="1"/>
    <x v="0"/>
    <x v="0"/>
    <s v="Wallet"/>
    <n v="26.45"/>
    <x v="0"/>
    <s v="Card"/>
    <n v="3.2"/>
    <x v="4"/>
    <n v="22.747"/>
    <n v="7"/>
    <x v="0"/>
  </r>
  <r>
    <n v="1115"/>
    <n v="56"/>
    <x v="0"/>
    <x v="0"/>
    <x v="4"/>
    <s v="Snacks"/>
    <n v="66.52"/>
    <x v="2"/>
    <s v="Card"/>
    <n v="3.9"/>
    <x v="1"/>
    <n v="57.872399999999999"/>
    <n v="4"/>
    <x v="0"/>
  </r>
  <r>
    <n v="1116"/>
    <n v="66"/>
    <x v="1"/>
    <x v="0"/>
    <x v="6"/>
    <s v="Perfume"/>
    <n v="125.89"/>
    <x v="0"/>
    <s v="Card"/>
    <n v="4.3"/>
    <x v="6"/>
    <n v="105.74759999999999"/>
    <n v="3"/>
    <x v="1"/>
  </r>
  <r>
    <n v="1117"/>
    <n v="26"/>
    <x v="2"/>
    <x v="0"/>
    <x v="0"/>
    <s v="Handbag"/>
    <n v="177.36"/>
    <x v="0"/>
    <s v="Card"/>
    <n v="4.8"/>
    <x v="3"/>
    <n v="141.88800000000001"/>
    <n v="5"/>
    <x v="0"/>
  </r>
  <r>
    <n v="1118"/>
    <n v="31"/>
    <x v="0"/>
    <x v="1"/>
    <x v="7"/>
    <s v="Sneakers"/>
    <n v="168.74"/>
    <x v="3"/>
    <s v="Card"/>
    <n v="4.0999999999999996"/>
    <x v="6"/>
    <n v="141.74160000000001"/>
    <n v="8"/>
    <x v="2"/>
  </r>
  <r>
    <n v="1119"/>
    <n v="63"/>
    <x v="1"/>
    <x v="0"/>
    <x v="8"/>
    <s v="Jeans"/>
    <n v="61.35"/>
    <x v="3"/>
    <s v="Cash on Delivery"/>
    <n v="3.6"/>
    <x v="3"/>
    <n v="49.080000000000005"/>
    <n v="5"/>
    <x v="0"/>
  </r>
  <r>
    <n v="1120"/>
    <n v="44"/>
    <x v="0"/>
    <x v="0"/>
    <x v="6"/>
    <s v="Perfume"/>
    <n v="128.72999999999999"/>
    <x v="2"/>
    <s v="Card"/>
    <n v="4.9000000000000004"/>
    <x v="8"/>
    <n v="113.2824"/>
    <n v="6"/>
    <x v="0"/>
  </r>
  <r>
    <n v="1121"/>
    <n v="20"/>
    <x v="2"/>
    <x v="0"/>
    <x v="2"/>
    <s v="Dumbbells"/>
    <n v="144.69999999999999"/>
    <x v="3"/>
    <s v="Card"/>
    <n v="4.2"/>
    <x v="6"/>
    <n v="121.54799999999999"/>
    <n v="3"/>
    <x v="1"/>
  </r>
  <r>
    <n v="1122"/>
    <n v="41"/>
    <x v="0"/>
    <x v="0"/>
    <x v="0"/>
    <s v="Wallet"/>
    <n v="107.04"/>
    <x v="0"/>
    <s v="Card"/>
    <n v="3.5"/>
    <x v="5"/>
    <n v="98.476800000000011"/>
    <n v="4"/>
    <x v="0"/>
  </r>
  <r>
    <n v="1123"/>
    <n v="36"/>
    <x v="0"/>
    <x v="0"/>
    <x v="0"/>
    <s v="Sunglasses"/>
    <n v="31.74"/>
    <x v="1"/>
    <s v="Cash on Delivery"/>
    <n v="3.9"/>
    <x v="16"/>
    <n v="29.835599999999996"/>
    <n v="3"/>
    <x v="1"/>
  </r>
  <r>
    <n v="1124"/>
    <n v="38"/>
    <x v="0"/>
    <x v="1"/>
    <x v="5"/>
    <s v="Laptop"/>
    <n v="2415.1999999999998"/>
    <x v="3"/>
    <s v="Card"/>
    <n v="4.3"/>
    <x v="3"/>
    <n v="1932.1599999999999"/>
    <n v="5"/>
    <x v="0"/>
  </r>
  <r>
    <n v="1125"/>
    <n v="44"/>
    <x v="0"/>
    <x v="1"/>
    <x v="1"/>
    <s v="Jacket"/>
    <n v="91.47"/>
    <x v="2"/>
    <s v="Cash on Delivery"/>
    <n v="3.5"/>
    <x v="14"/>
    <n v="75.920099999999991"/>
    <n v="6"/>
    <x v="0"/>
  </r>
  <r>
    <n v="1126"/>
    <n v="40"/>
    <x v="0"/>
    <x v="0"/>
    <x v="7"/>
    <s v="Sandals"/>
    <n v="118.69"/>
    <x v="0"/>
    <s v="Card"/>
    <n v="3.5"/>
    <x v="4"/>
    <n v="102.07339999999999"/>
    <n v="7"/>
    <x v="0"/>
  </r>
  <r>
    <n v="1127"/>
    <n v="33"/>
    <x v="0"/>
    <x v="1"/>
    <x v="7"/>
    <s v="Sneakers"/>
    <n v="163.49"/>
    <x v="2"/>
    <s v="Card"/>
    <n v="2.7"/>
    <x v="10"/>
    <n v="127.52220000000001"/>
    <n v="6"/>
    <x v="0"/>
  </r>
  <r>
    <n v="1128"/>
    <n v="55"/>
    <x v="0"/>
    <x v="0"/>
    <x v="7"/>
    <s v="Sandals"/>
    <n v="104.63"/>
    <x v="1"/>
    <s v="Card"/>
    <n v="3.2"/>
    <x v="3"/>
    <n v="83.704000000000008"/>
    <n v="5"/>
    <x v="0"/>
  </r>
  <r>
    <n v="1129"/>
    <n v="43"/>
    <x v="0"/>
    <x v="1"/>
    <x v="2"/>
    <s v="Yoga Mat"/>
    <n v="195.7"/>
    <x v="0"/>
    <s v="Card"/>
    <n v="2.8"/>
    <x v="7"/>
    <n v="176.13"/>
    <n v="5"/>
    <x v="0"/>
  </r>
  <r>
    <n v="1130"/>
    <n v="67"/>
    <x v="1"/>
    <x v="0"/>
    <x v="0"/>
    <s v="Wallet"/>
    <n v="42.94"/>
    <x v="1"/>
    <s v="Card"/>
    <n v="3.4"/>
    <x v="13"/>
    <n v="39.075400000000002"/>
    <n v="2"/>
    <x v="1"/>
  </r>
  <r>
    <n v="1131"/>
    <n v="33"/>
    <x v="0"/>
    <x v="1"/>
    <x v="5"/>
    <s v="Mobile Phone"/>
    <n v="2697.97"/>
    <x v="3"/>
    <s v="Card"/>
    <n v="3.8"/>
    <x v="16"/>
    <n v="2536.0917999999997"/>
    <n v="3"/>
    <x v="1"/>
  </r>
  <r>
    <n v="1132"/>
    <n v="34"/>
    <x v="0"/>
    <x v="0"/>
    <x v="0"/>
    <s v="Handbag"/>
    <n v="86.46"/>
    <x v="2"/>
    <s v="Cash on Delivery"/>
    <n v="4.5"/>
    <x v="17"/>
    <n v="83.001599999999996"/>
    <n v="2"/>
    <x v="1"/>
  </r>
  <r>
    <n v="1133"/>
    <n v="50"/>
    <x v="0"/>
    <x v="1"/>
    <x v="2"/>
    <s v="Dumbbells"/>
    <n v="166.99"/>
    <x v="2"/>
    <s v="Card"/>
    <n v="4.5"/>
    <x v="22"/>
    <n v="128.5823"/>
    <n v="9"/>
    <x v="2"/>
  </r>
  <r>
    <n v="1134"/>
    <n v="50"/>
    <x v="0"/>
    <x v="1"/>
    <x v="5"/>
    <s v="Mobile Phone"/>
    <n v="1790.31"/>
    <x v="3"/>
    <s v="Card"/>
    <n v="2.7"/>
    <x v="0"/>
    <n v="1468.0542"/>
    <n v="4"/>
    <x v="0"/>
  </r>
  <r>
    <n v="1135"/>
    <n v="43"/>
    <x v="0"/>
    <x v="1"/>
    <x v="2"/>
    <s v="Football"/>
    <n v="86.47"/>
    <x v="2"/>
    <s v="Card"/>
    <n v="3"/>
    <x v="27"/>
    <n v="64.852499999999992"/>
    <n v="10"/>
    <x v="2"/>
  </r>
  <r>
    <n v="1136"/>
    <n v="41"/>
    <x v="0"/>
    <x v="0"/>
    <x v="7"/>
    <s v="Sneakers"/>
    <n v="215.58"/>
    <x v="0"/>
    <s v="Card"/>
    <n v="4.0999999999999996"/>
    <x v="21"/>
    <n v="170.30820000000003"/>
    <n v="8"/>
    <x v="2"/>
  </r>
  <r>
    <n v="1137"/>
    <n v="52"/>
    <x v="0"/>
    <x v="0"/>
    <x v="0"/>
    <s v="Sunglasses"/>
    <n v="51.85"/>
    <x v="3"/>
    <s v="Card"/>
    <n v="3.5"/>
    <x v="3"/>
    <n v="41.480000000000004"/>
    <n v="5"/>
    <x v="0"/>
  </r>
  <r>
    <n v="1138"/>
    <n v="45"/>
    <x v="0"/>
    <x v="1"/>
    <x v="4"/>
    <s v="Snacks"/>
    <n v="13.27"/>
    <x v="3"/>
    <s v="Cash on Delivery"/>
    <n v="5"/>
    <x v="18"/>
    <n v="10.0852"/>
    <n v="7"/>
    <x v="0"/>
  </r>
  <r>
    <n v="1139"/>
    <n v="66"/>
    <x v="1"/>
    <x v="1"/>
    <x v="5"/>
    <s v="Smart Watch"/>
    <n v="1457.42"/>
    <x v="2"/>
    <s v="Card"/>
    <n v="2.7"/>
    <x v="2"/>
    <n v="1297.1038000000001"/>
    <n v="3"/>
    <x v="1"/>
  </r>
  <r>
    <n v="1140"/>
    <n v="20"/>
    <x v="2"/>
    <x v="1"/>
    <x v="5"/>
    <s v="Headphones"/>
    <n v="1172.26"/>
    <x v="0"/>
    <s v="Card"/>
    <n v="2.9"/>
    <x v="4"/>
    <n v="1008.1436"/>
    <n v="2"/>
    <x v="1"/>
  </r>
  <r>
    <n v="1141"/>
    <n v="48"/>
    <x v="0"/>
    <x v="0"/>
    <x v="8"/>
    <s v="Dress"/>
    <n v="188.55"/>
    <x v="0"/>
    <s v="Card"/>
    <n v="4.7"/>
    <x v="1"/>
    <n v="164.0385"/>
    <n v="4"/>
    <x v="0"/>
  </r>
  <r>
    <n v="1142"/>
    <n v="48"/>
    <x v="0"/>
    <x v="0"/>
    <x v="8"/>
    <s v="Skirt"/>
    <n v="188.22"/>
    <x v="2"/>
    <s v="Card"/>
    <n v="2.7"/>
    <x v="19"/>
    <n v="159.98699999999999"/>
    <n v="5"/>
    <x v="0"/>
  </r>
  <r>
    <n v="1143"/>
    <n v="27"/>
    <x v="2"/>
    <x v="0"/>
    <x v="8"/>
    <s v="Top"/>
    <n v="90.74"/>
    <x v="2"/>
    <s v="Cash on Delivery"/>
    <n v="2.8"/>
    <x v="10"/>
    <n v="70.777199999999993"/>
    <n v="6"/>
    <x v="0"/>
  </r>
  <r>
    <n v="1144"/>
    <n v="59"/>
    <x v="0"/>
    <x v="0"/>
    <x v="7"/>
    <s v="Formal Shoes"/>
    <n v="69.569999999999993"/>
    <x v="1"/>
    <s v="Cash on Delivery"/>
    <n v="5"/>
    <x v="3"/>
    <n v="55.655999999999999"/>
    <n v="5"/>
    <x v="0"/>
  </r>
  <r>
    <n v="1145"/>
    <n v="56"/>
    <x v="0"/>
    <x v="1"/>
    <x v="5"/>
    <s v="Mobile Phone"/>
    <n v="2953.85"/>
    <x v="2"/>
    <s v="Card"/>
    <n v="4.2"/>
    <x v="0"/>
    <n v="2422.1570000000002"/>
    <n v="4"/>
    <x v="0"/>
  </r>
  <r>
    <n v="1146"/>
    <n v="23"/>
    <x v="2"/>
    <x v="1"/>
    <x v="7"/>
    <s v="Sneakers"/>
    <n v="224.71"/>
    <x v="2"/>
    <s v="Card"/>
    <n v="4.5999999999999996"/>
    <x v="10"/>
    <n v="175.27380000000002"/>
    <n v="6"/>
    <x v="0"/>
  </r>
  <r>
    <n v="1147"/>
    <n v="32"/>
    <x v="0"/>
    <x v="0"/>
    <x v="0"/>
    <s v="Wallet"/>
    <n v="53.71"/>
    <x v="0"/>
    <s v="Cash on Delivery"/>
    <n v="3.2"/>
    <x v="21"/>
    <n v="42.430900000000001"/>
    <n v="8"/>
    <x v="2"/>
  </r>
  <r>
    <n v="1148"/>
    <n v="43"/>
    <x v="0"/>
    <x v="0"/>
    <x v="2"/>
    <s v="Dumbbells"/>
    <n v="38.869999999999997"/>
    <x v="2"/>
    <s v="Cash on Delivery"/>
    <n v="4"/>
    <x v="6"/>
    <n v="32.650799999999997"/>
    <n v="8"/>
    <x v="2"/>
  </r>
  <r>
    <n v="1149"/>
    <n v="55"/>
    <x v="0"/>
    <x v="0"/>
    <x v="3"/>
    <s v="Curtains"/>
    <n v="200.15"/>
    <x v="3"/>
    <s v="Card"/>
    <n v="4.7"/>
    <x v="11"/>
    <n v="148.11099999999999"/>
    <n v="8"/>
    <x v="2"/>
  </r>
  <r>
    <n v="1150"/>
    <n v="36"/>
    <x v="0"/>
    <x v="0"/>
    <x v="7"/>
    <s v="Sneakers"/>
    <n v="207.62"/>
    <x v="3"/>
    <s v="Card"/>
    <n v="4"/>
    <x v="21"/>
    <n v="164.0198"/>
    <n v="8"/>
    <x v="2"/>
  </r>
  <r>
    <n v="1151"/>
    <n v="24"/>
    <x v="2"/>
    <x v="1"/>
    <x v="7"/>
    <s v="Sneakers"/>
    <n v="221.11"/>
    <x v="3"/>
    <s v="Card"/>
    <n v="3.1"/>
    <x v="2"/>
    <n v="196.78790000000001"/>
    <n v="3"/>
    <x v="1"/>
  </r>
  <r>
    <n v="1152"/>
    <n v="42"/>
    <x v="0"/>
    <x v="0"/>
    <x v="8"/>
    <s v="Dress"/>
    <n v="49.43"/>
    <x v="2"/>
    <s v="Cash on Delivery"/>
    <n v="4.9000000000000004"/>
    <x v="5"/>
    <n v="45.4756"/>
    <n v="4"/>
    <x v="0"/>
  </r>
  <r>
    <n v="1153"/>
    <n v="44"/>
    <x v="0"/>
    <x v="1"/>
    <x v="5"/>
    <s v="Headphones"/>
    <n v="1549.6"/>
    <x v="2"/>
    <s v="Card"/>
    <n v="3.1"/>
    <x v="4"/>
    <n v="1332.6559999999999"/>
    <n v="7"/>
    <x v="0"/>
  </r>
  <r>
    <n v="1154"/>
    <n v="48"/>
    <x v="0"/>
    <x v="0"/>
    <x v="7"/>
    <s v="Sneakers"/>
    <n v="113.07"/>
    <x v="0"/>
    <s v="Card"/>
    <n v="2.5"/>
    <x v="13"/>
    <n v="102.8937"/>
    <n v="2"/>
    <x v="1"/>
  </r>
  <r>
    <n v="1155"/>
    <n v="52"/>
    <x v="0"/>
    <x v="0"/>
    <x v="6"/>
    <s v="Makeup Set"/>
    <n v="53.48"/>
    <x v="3"/>
    <s v="Cash on Delivery"/>
    <n v="5"/>
    <x v="8"/>
    <n v="47.062399999999997"/>
    <n v="6"/>
    <x v="0"/>
  </r>
  <r>
    <n v="1156"/>
    <n v="56"/>
    <x v="0"/>
    <x v="1"/>
    <x v="1"/>
    <s v="T-Shirt"/>
    <n v="75.17"/>
    <x v="1"/>
    <s v="Cash on Delivery"/>
    <n v="3.7"/>
    <x v="5"/>
    <n v="69.156400000000005"/>
    <n v="4"/>
    <x v="0"/>
  </r>
  <r>
    <n v="1157"/>
    <n v="33"/>
    <x v="0"/>
    <x v="0"/>
    <x v="0"/>
    <s v="Wallet"/>
    <n v="166.03"/>
    <x v="1"/>
    <s v="Card"/>
    <n v="3.8"/>
    <x v="6"/>
    <n v="139.46519999999998"/>
    <n v="8"/>
    <x v="2"/>
  </r>
  <r>
    <n v="1158"/>
    <n v="58"/>
    <x v="0"/>
    <x v="1"/>
    <x v="1"/>
    <s v="Shirt"/>
    <n v="103.75"/>
    <x v="0"/>
    <s v="Card"/>
    <n v="3.4"/>
    <x v="14"/>
    <n v="86.112499999999997"/>
    <n v="6"/>
    <x v="0"/>
  </r>
  <r>
    <n v="1159"/>
    <n v="31"/>
    <x v="0"/>
    <x v="0"/>
    <x v="0"/>
    <s v="Handbag"/>
    <n v="45.34"/>
    <x v="3"/>
    <s v="Cash on Delivery"/>
    <n v="3.2"/>
    <x v="3"/>
    <n v="36.272000000000006"/>
    <n v="10"/>
    <x v="2"/>
  </r>
  <r>
    <n v="1160"/>
    <n v="41"/>
    <x v="0"/>
    <x v="1"/>
    <x v="1"/>
    <s v="Jacket"/>
    <n v="122.83"/>
    <x v="2"/>
    <s v="Card"/>
    <n v="3.7"/>
    <x v="10"/>
    <n v="95.807400000000001"/>
    <n v="6"/>
    <x v="0"/>
  </r>
  <r>
    <n v="1161"/>
    <n v="65"/>
    <x v="1"/>
    <x v="1"/>
    <x v="7"/>
    <s v="Formal Shoes"/>
    <n v="77.34"/>
    <x v="3"/>
    <s v="Cash on Delivery"/>
    <n v="4.8"/>
    <x v="16"/>
    <n v="72.699600000000004"/>
    <n v="3"/>
    <x v="1"/>
  </r>
  <r>
    <n v="1162"/>
    <n v="46"/>
    <x v="0"/>
    <x v="1"/>
    <x v="5"/>
    <s v="Laptop"/>
    <n v="2424.09"/>
    <x v="2"/>
    <s v="Card"/>
    <n v="3.6"/>
    <x v="0"/>
    <n v="1987.7538000000002"/>
    <n v="4"/>
    <x v="0"/>
  </r>
  <r>
    <n v="1163"/>
    <n v="30"/>
    <x v="2"/>
    <x v="1"/>
    <x v="4"/>
    <s v="Cooking Oil"/>
    <n v="25.43"/>
    <x v="1"/>
    <s v="Cash on Delivery"/>
    <n v="4.3"/>
    <x v="16"/>
    <n v="23.904199999999999"/>
    <n v="3"/>
    <x v="1"/>
  </r>
  <r>
    <n v="1164"/>
    <n v="62"/>
    <x v="1"/>
    <x v="1"/>
    <x v="5"/>
    <s v="Headphones"/>
    <n v="603.16999999999996"/>
    <x v="1"/>
    <s v="Card"/>
    <n v="2.9"/>
    <x v="6"/>
    <n v="506.66279999999995"/>
    <n v="8"/>
    <x v="2"/>
  </r>
  <r>
    <n v="1165"/>
    <n v="22"/>
    <x v="2"/>
    <x v="0"/>
    <x v="6"/>
    <s v="Perfume"/>
    <n v="80.91"/>
    <x v="0"/>
    <s v="Card"/>
    <n v="5"/>
    <x v="3"/>
    <n v="64.727999999999994"/>
    <n v="5"/>
    <x v="0"/>
  </r>
  <r>
    <n v="1166"/>
    <n v="22"/>
    <x v="2"/>
    <x v="1"/>
    <x v="5"/>
    <s v="Mobile Phone"/>
    <n v="542.16"/>
    <x v="0"/>
    <s v="Card"/>
    <n v="3.5"/>
    <x v="13"/>
    <n v="493.36559999999997"/>
    <n v="2"/>
    <x v="1"/>
  </r>
  <r>
    <n v="1167"/>
    <n v="51"/>
    <x v="0"/>
    <x v="1"/>
    <x v="5"/>
    <s v="Laptop"/>
    <n v="1413.04"/>
    <x v="0"/>
    <s v="Card"/>
    <n v="3.3"/>
    <x v="1"/>
    <n v="1229.3447999999999"/>
    <n v="4"/>
    <x v="0"/>
  </r>
  <r>
    <n v="1168"/>
    <n v="37"/>
    <x v="0"/>
    <x v="0"/>
    <x v="4"/>
    <s v="Snacks"/>
    <n v="47.92"/>
    <x v="3"/>
    <s v="Cash on Delivery"/>
    <n v="3.9"/>
    <x v="3"/>
    <n v="38.336000000000006"/>
    <n v="5"/>
    <x v="0"/>
  </r>
  <r>
    <n v="1169"/>
    <n v="59"/>
    <x v="0"/>
    <x v="0"/>
    <x v="0"/>
    <s v="Wallet"/>
    <n v="93.12"/>
    <x v="3"/>
    <s v="Cash on Delivery"/>
    <n v="4.2"/>
    <x v="10"/>
    <n v="72.633600000000001"/>
    <n v="6"/>
    <x v="0"/>
  </r>
  <r>
    <n v="1170"/>
    <n v="48"/>
    <x v="0"/>
    <x v="0"/>
    <x v="2"/>
    <s v="Football"/>
    <n v="58.09"/>
    <x v="0"/>
    <s v="Card"/>
    <n v="3.4"/>
    <x v="2"/>
    <n v="51.700100000000006"/>
    <n v="3"/>
    <x v="1"/>
  </r>
  <r>
    <n v="1171"/>
    <n v="48"/>
    <x v="0"/>
    <x v="1"/>
    <x v="5"/>
    <s v="Laptop"/>
    <n v="1992.41"/>
    <x v="3"/>
    <s v="Card"/>
    <n v="4.4000000000000004"/>
    <x v="6"/>
    <n v="1673.6243999999999"/>
    <n v="3"/>
    <x v="1"/>
  </r>
  <r>
    <n v="1172"/>
    <n v="58"/>
    <x v="0"/>
    <x v="1"/>
    <x v="2"/>
    <s v="Dumbbells"/>
    <n v="137.08000000000001"/>
    <x v="2"/>
    <s v="Card"/>
    <n v="3.1"/>
    <x v="24"/>
    <n v="98.697600000000008"/>
    <n v="9"/>
    <x v="2"/>
  </r>
  <r>
    <n v="1173"/>
    <n v="33"/>
    <x v="0"/>
    <x v="1"/>
    <x v="4"/>
    <s v="Rice Pack"/>
    <n v="7.64"/>
    <x v="1"/>
    <s v="Card"/>
    <n v="3.6"/>
    <x v="17"/>
    <n v="7.3343999999999996"/>
    <n v="2"/>
    <x v="1"/>
  </r>
  <r>
    <n v="1174"/>
    <n v="20"/>
    <x v="2"/>
    <x v="1"/>
    <x v="5"/>
    <s v="Laptop"/>
    <n v="1333.64"/>
    <x v="3"/>
    <s v="Card"/>
    <n v="2.7"/>
    <x v="7"/>
    <n v="1200.2760000000001"/>
    <n v="5"/>
    <x v="0"/>
  </r>
  <r>
    <n v="1175"/>
    <n v="23"/>
    <x v="2"/>
    <x v="1"/>
    <x v="1"/>
    <s v="Jacket"/>
    <n v="58.77"/>
    <x v="2"/>
    <s v="Cash on Delivery"/>
    <n v="3.1"/>
    <x v="7"/>
    <n v="52.893000000000001"/>
    <n v="5"/>
    <x v="0"/>
  </r>
  <r>
    <n v="1176"/>
    <n v="64"/>
    <x v="1"/>
    <x v="0"/>
    <x v="7"/>
    <s v="Formal Shoes"/>
    <n v="42.22"/>
    <x v="1"/>
    <s v="Card"/>
    <n v="3.9"/>
    <x v="14"/>
    <n v="35.0426"/>
    <n v="6"/>
    <x v="0"/>
  </r>
  <r>
    <n v="1177"/>
    <n v="66"/>
    <x v="1"/>
    <x v="1"/>
    <x v="7"/>
    <s v="Formal Shoes"/>
    <n v="158.22"/>
    <x v="3"/>
    <s v="Card"/>
    <n v="2.8"/>
    <x v="2"/>
    <n v="140.8158"/>
    <n v="3"/>
    <x v="1"/>
  </r>
  <r>
    <n v="1178"/>
    <n v="55"/>
    <x v="0"/>
    <x v="1"/>
    <x v="7"/>
    <s v="Sneakers"/>
    <n v="77.33"/>
    <x v="0"/>
    <s v="Cash on Delivery"/>
    <n v="3.6"/>
    <x v="19"/>
    <n v="65.730499999999992"/>
    <n v="5"/>
    <x v="0"/>
  </r>
  <r>
    <n v="1179"/>
    <n v="29"/>
    <x v="2"/>
    <x v="1"/>
    <x v="3"/>
    <s v="Curtains"/>
    <n v="255.41"/>
    <x v="3"/>
    <s v="Card"/>
    <n v="4.5999999999999996"/>
    <x v="18"/>
    <n v="194.11160000000001"/>
    <n v="7"/>
    <x v="0"/>
  </r>
  <r>
    <n v="1180"/>
    <n v="39"/>
    <x v="0"/>
    <x v="1"/>
    <x v="2"/>
    <s v="Yoga Mat"/>
    <n v="241.39"/>
    <x v="1"/>
    <s v="Card"/>
    <n v="2.1"/>
    <x v="0"/>
    <n v="197.93979999999999"/>
    <n v="9"/>
    <x v="2"/>
  </r>
  <r>
    <n v="1181"/>
    <n v="67"/>
    <x v="1"/>
    <x v="1"/>
    <x v="2"/>
    <s v="Dumbbells"/>
    <n v="141.33000000000001"/>
    <x v="2"/>
    <s v="Card"/>
    <n v="5"/>
    <x v="18"/>
    <n v="107.41080000000001"/>
    <n v="7"/>
    <x v="0"/>
  </r>
  <r>
    <n v="1182"/>
    <n v="29"/>
    <x v="2"/>
    <x v="0"/>
    <x v="7"/>
    <s v="Sneakers"/>
    <n v="78.349999999999994"/>
    <x v="3"/>
    <s v="Cash on Delivery"/>
    <n v="3.8"/>
    <x v="6"/>
    <n v="65.813999999999993"/>
    <n v="3"/>
    <x v="1"/>
  </r>
  <r>
    <n v="1183"/>
    <n v="30"/>
    <x v="2"/>
    <x v="0"/>
    <x v="7"/>
    <s v="Formal Shoes"/>
    <n v="170.77"/>
    <x v="2"/>
    <s v="Card"/>
    <n v="4.9000000000000004"/>
    <x v="2"/>
    <n v="151.98530000000002"/>
    <n v="3"/>
    <x v="1"/>
  </r>
  <r>
    <n v="1184"/>
    <n v="20"/>
    <x v="2"/>
    <x v="1"/>
    <x v="7"/>
    <s v="Sneakers"/>
    <n v="249.56"/>
    <x v="3"/>
    <s v="Card"/>
    <n v="2.4"/>
    <x v="11"/>
    <n v="184.67439999999999"/>
    <n v="8"/>
    <x v="2"/>
  </r>
  <r>
    <n v="1185"/>
    <n v="44"/>
    <x v="0"/>
    <x v="0"/>
    <x v="6"/>
    <s v="Skincare Kit"/>
    <n v="69.64"/>
    <x v="3"/>
    <s v="Cash on Delivery"/>
    <n v="2.7"/>
    <x v="7"/>
    <n v="62.676000000000002"/>
    <n v="5"/>
    <x v="0"/>
  </r>
  <r>
    <n v="1186"/>
    <n v="61"/>
    <x v="1"/>
    <x v="1"/>
    <x v="2"/>
    <s v="Dumbbells"/>
    <n v="31.66"/>
    <x v="2"/>
    <s v="Cash on Delivery"/>
    <n v="4"/>
    <x v="3"/>
    <n v="25.328000000000003"/>
    <n v="5"/>
    <x v="0"/>
  </r>
  <r>
    <n v="1187"/>
    <n v="25"/>
    <x v="2"/>
    <x v="0"/>
    <x v="6"/>
    <s v="Skincare Kit"/>
    <n v="56.01"/>
    <x v="1"/>
    <s v="Cash on Delivery"/>
    <n v="3.1"/>
    <x v="7"/>
    <n v="50.408999999999999"/>
    <n v="5"/>
    <x v="0"/>
  </r>
  <r>
    <n v="1188"/>
    <n v="57"/>
    <x v="0"/>
    <x v="1"/>
    <x v="7"/>
    <s v="Formal Shoes"/>
    <n v="191.16"/>
    <x v="1"/>
    <s v="Card"/>
    <n v="3.8"/>
    <x v="19"/>
    <n v="162.48599999999999"/>
    <n v="5"/>
    <x v="0"/>
  </r>
  <r>
    <n v="1189"/>
    <n v="32"/>
    <x v="0"/>
    <x v="0"/>
    <x v="7"/>
    <s v="Formal Shoes"/>
    <n v="200.69"/>
    <x v="3"/>
    <s v="Card"/>
    <n v="3.9"/>
    <x v="7"/>
    <n v="180.62100000000001"/>
    <n v="5"/>
    <x v="0"/>
  </r>
  <r>
    <n v="1190"/>
    <n v="33"/>
    <x v="0"/>
    <x v="1"/>
    <x v="1"/>
    <s v="Shirt"/>
    <n v="30.68"/>
    <x v="1"/>
    <s v="Card"/>
    <n v="3.7"/>
    <x v="7"/>
    <n v="27.612000000000002"/>
    <n v="5"/>
    <x v="0"/>
  </r>
  <r>
    <n v="1191"/>
    <n v="38"/>
    <x v="0"/>
    <x v="1"/>
    <x v="2"/>
    <s v="Dumbbells"/>
    <n v="225"/>
    <x v="3"/>
    <s v="Card"/>
    <n v="3.7"/>
    <x v="15"/>
    <n v="220.5"/>
    <n v="1"/>
    <x v="1"/>
  </r>
  <r>
    <n v="1192"/>
    <n v="31"/>
    <x v="0"/>
    <x v="0"/>
    <x v="6"/>
    <s v="Skincare Kit"/>
    <n v="39.450000000000003"/>
    <x v="3"/>
    <s v="Cash on Delivery"/>
    <n v="4.2"/>
    <x v="0"/>
    <n v="32.349000000000004"/>
    <n v="9"/>
    <x v="2"/>
  </r>
  <r>
    <n v="1193"/>
    <n v="65"/>
    <x v="1"/>
    <x v="0"/>
    <x v="7"/>
    <s v="Sneakers"/>
    <n v="131.71"/>
    <x v="0"/>
    <s v="Card"/>
    <n v="3.5"/>
    <x v="1"/>
    <n v="114.58770000000001"/>
    <n v="4"/>
    <x v="0"/>
  </r>
  <r>
    <n v="1194"/>
    <n v="43"/>
    <x v="0"/>
    <x v="1"/>
    <x v="7"/>
    <s v="Formal Shoes"/>
    <n v="141.38999999999999"/>
    <x v="0"/>
    <s v="Card"/>
    <n v="4.3"/>
    <x v="14"/>
    <n v="117.35369999999999"/>
    <n v="6"/>
    <x v="0"/>
  </r>
  <r>
    <n v="1195"/>
    <n v="33"/>
    <x v="0"/>
    <x v="1"/>
    <x v="3"/>
    <s v="Kitchen Set"/>
    <n v="48.08"/>
    <x v="3"/>
    <s v="Card"/>
    <n v="3.8"/>
    <x v="25"/>
    <n v="33.655999999999999"/>
    <n v="10"/>
    <x v="2"/>
  </r>
  <r>
    <n v="1196"/>
    <n v="29"/>
    <x v="2"/>
    <x v="0"/>
    <x v="7"/>
    <s v="Formal Shoes"/>
    <n v="143.49"/>
    <x v="1"/>
    <s v="Card"/>
    <n v="2.4"/>
    <x v="0"/>
    <n v="117.66180000000001"/>
    <n v="4"/>
    <x v="0"/>
  </r>
  <r>
    <n v="1197"/>
    <n v="23"/>
    <x v="2"/>
    <x v="0"/>
    <x v="4"/>
    <s v="Beverages"/>
    <n v="32.67"/>
    <x v="1"/>
    <s v="Cash on Delivery"/>
    <n v="4"/>
    <x v="12"/>
    <n v="26.462700000000002"/>
    <n v="7"/>
    <x v="0"/>
  </r>
  <r>
    <n v="1198"/>
    <n v="68"/>
    <x v="1"/>
    <x v="0"/>
    <x v="8"/>
    <s v="Jeans"/>
    <n v="95.87"/>
    <x v="0"/>
    <s v="Cash on Delivery"/>
    <n v="3.3"/>
    <x v="1"/>
    <n v="83.406900000000007"/>
    <n v="4"/>
    <x v="0"/>
  </r>
  <r>
    <n v="1199"/>
    <n v="61"/>
    <x v="1"/>
    <x v="1"/>
    <x v="2"/>
    <s v="Yoga Mat"/>
    <n v="102.24"/>
    <x v="2"/>
    <s v="Card"/>
    <n v="3.6"/>
    <x v="3"/>
    <n v="81.792000000000002"/>
    <n v="5"/>
    <x v="0"/>
  </r>
  <r>
    <n v="1200"/>
    <n v="64"/>
    <x v="1"/>
    <x v="1"/>
    <x v="7"/>
    <s v="Sneakers"/>
    <n v="55.35"/>
    <x v="3"/>
    <s v="Card"/>
    <n v="4"/>
    <x v="11"/>
    <n v="40.959000000000003"/>
    <n v="8"/>
    <x v="2"/>
  </r>
  <r>
    <n v="1201"/>
    <n v="28"/>
    <x v="2"/>
    <x v="0"/>
    <x v="8"/>
    <s v="Jeans"/>
    <n v="39.68"/>
    <x v="3"/>
    <s v="Cash on Delivery"/>
    <n v="3.4"/>
    <x v="6"/>
    <n v="33.331199999999995"/>
    <n v="3"/>
    <x v="1"/>
  </r>
  <r>
    <n v="1202"/>
    <n v="34"/>
    <x v="0"/>
    <x v="1"/>
    <x v="1"/>
    <s v="Jacket"/>
    <n v="188.14"/>
    <x v="0"/>
    <s v="Card"/>
    <n v="4.2"/>
    <x v="5"/>
    <n v="173.08879999999999"/>
    <n v="4"/>
    <x v="0"/>
  </r>
  <r>
    <n v="1203"/>
    <n v="26"/>
    <x v="2"/>
    <x v="0"/>
    <x v="8"/>
    <s v="Top"/>
    <n v="148.54"/>
    <x v="2"/>
    <s v="Card"/>
    <n v="3.6"/>
    <x v="11"/>
    <n v="109.91959999999999"/>
    <n v="8"/>
    <x v="2"/>
  </r>
  <r>
    <n v="1204"/>
    <n v="29"/>
    <x v="2"/>
    <x v="1"/>
    <x v="7"/>
    <s v="Sneakers"/>
    <n v="102"/>
    <x v="1"/>
    <s v="Card"/>
    <n v="3.5"/>
    <x v="7"/>
    <n v="91.8"/>
    <n v="5"/>
    <x v="0"/>
  </r>
  <r>
    <n v="1205"/>
    <n v="47"/>
    <x v="0"/>
    <x v="0"/>
    <x v="2"/>
    <s v="Football"/>
    <n v="239.73"/>
    <x v="3"/>
    <s v="Card"/>
    <n v="4.8"/>
    <x v="18"/>
    <n v="182.19479999999999"/>
    <n v="7"/>
    <x v="0"/>
  </r>
  <r>
    <n v="1206"/>
    <n v="37"/>
    <x v="0"/>
    <x v="0"/>
    <x v="6"/>
    <s v="Skincare Kit"/>
    <n v="102.4"/>
    <x v="1"/>
    <s v="Card"/>
    <n v="4.3"/>
    <x v="3"/>
    <n v="81.920000000000016"/>
    <n v="5"/>
    <x v="0"/>
  </r>
  <r>
    <n v="1207"/>
    <n v="54"/>
    <x v="0"/>
    <x v="0"/>
    <x v="6"/>
    <s v="Skincare Kit"/>
    <n v="34.86"/>
    <x v="2"/>
    <s v="Cash on Delivery"/>
    <n v="3.6"/>
    <x v="1"/>
    <n v="30.328199999999999"/>
    <n v="4"/>
    <x v="0"/>
  </r>
  <r>
    <n v="1208"/>
    <n v="67"/>
    <x v="1"/>
    <x v="0"/>
    <x v="7"/>
    <s v="Formal Shoes"/>
    <n v="184.03"/>
    <x v="3"/>
    <s v="Card"/>
    <n v="4.0999999999999996"/>
    <x v="18"/>
    <n v="139.86279999999999"/>
    <n v="7"/>
    <x v="0"/>
  </r>
  <r>
    <n v="1209"/>
    <n v="24"/>
    <x v="2"/>
    <x v="1"/>
    <x v="7"/>
    <s v="Sneakers"/>
    <n v="129.9"/>
    <x v="2"/>
    <s v="Card"/>
    <n v="3.8"/>
    <x v="6"/>
    <n v="109.116"/>
    <n v="8"/>
    <x v="2"/>
  </r>
  <r>
    <n v="1210"/>
    <n v="33"/>
    <x v="0"/>
    <x v="1"/>
    <x v="3"/>
    <s v="Kitchen Set"/>
    <n v="255.3"/>
    <x v="2"/>
    <s v="Card"/>
    <n v="3.3"/>
    <x v="11"/>
    <n v="188.922"/>
    <n v="8"/>
    <x v="2"/>
  </r>
  <r>
    <n v="1211"/>
    <n v="31"/>
    <x v="0"/>
    <x v="1"/>
    <x v="4"/>
    <s v="Rice Pack"/>
    <n v="63.06"/>
    <x v="0"/>
    <s v="Cash on Delivery"/>
    <n v="2.5"/>
    <x v="19"/>
    <n v="53.600999999999999"/>
    <n v="5"/>
    <x v="0"/>
  </r>
  <r>
    <n v="1212"/>
    <n v="37"/>
    <x v="0"/>
    <x v="1"/>
    <x v="2"/>
    <s v="Dumbbells"/>
    <n v="147.46"/>
    <x v="0"/>
    <s v="Card"/>
    <n v="3.7"/>
    <x v="4"/>
    <n v="126.8156"/>
    <n v="2"/>
    <x v="1"/>
  </r>
  <r>
    <n v="1213"/>
    <n v="28"/>
    <x v="2"/>
    <x v="0"/>
    <x v="6"/>
    <s v="Skincare Kit"/>
    <n v="68.680000000000007"/>
    <x v="0"/>
    <s v="Cash on Delivery"/>
    <n v="3.1"/>
    <x v="0"/>
    <n v="56.317600000000013"/>
    <n v="4"/>
    <x v="0"/>
  </r>
  <r>
    <n v="1214"/>
    <n v="58"/>
    <x v="0"/>
    <x v="0"/>
    <x v="0"/>
    <s v="Handbag"/>
    <n v="118.34"/>
    <x v="3"/>
    <s v="Card"/>
    <n v="4.0999999999999996"/>
    <x v="12"/>
    <n v="95.855400000000003"/>
    <n v="7"/>
    <x v="0"/>
  </r>
  <r>
    <n v="1215"/>
    <n v="60"/>
    <x v="0"/>
    <x v="1"/>
    <x v="1"/>
    <s v="T-Shirt"/>
    <n v="99.54"/>
    <x v="2"/>
    <s v="Cash on Delivery"/>
    <n v="3.7"/>
    <x v="8"/>
    <n v="87.595200000000006"/>
    <n v="1"/>
    <x v="1"/>
  </r>
  <r>
    <n v="1216"/>
    <n v="28"/>
    <x v="2"/>
    <x v="1"/>
    <x v="3"/>
    <s v="Lamp"/>
    <n v="206.37"/>
    <x v="3"/>
    <s v="Card"/>
    <n v="3.1"/>
    <x v="6"/>
    <n v="173.35079999999999"/>
    <n v="8"/>
    <x v="2"/>
  </r>
  <r>
    <n v="1217"/>
    <n v="66"/>
    <x v="1"/>
    <x v="0"/>
    <x v="8"/>
    <s v="Top"/>
    <n v="163.33000000000001"/>
    <x v="1"/>
    <s v="Card"/>
    <n v="3"/>
    <x v="8"/>
    <n v="143.7304"/>
    <n v="6"/>
    <x v="0"/>
  </r>
  <r>
    <n v="1218"/>
    <n v="55"/>
    <x v="0"/>
    <x v="1"/>
    <x v="1"/>
    <s v="Jacket"/>
    <n v="162.46"/>
    <x v="2"/>
    <s v="Card"/>
    <n v="3.2"/>
    <x v="17"/>
    <n v="155.9616"/>
    <n v="2"/>
    <x v="1"/>
  </r>
  <r>
    <n v="1219"/>
    <n v="35"/>
    <x v="0"/>
    <x v="0"/>
    <x v="7"/>
    <s v="Sandals"/>
    <n v="242.17"/>
    <x v="0"/>
    <s v="Card"/>
    <n v="3.8"/>
    <x v="21"/>
    <n v="191.3143"/>
    <n v="8"/>
    <x v="2"/>
  </r>
  <r>
    <n v="1220"/>
    <n v="65"/>
    <x v="1"/>
    <x v="1"/>
    <x v="2"/>
    <s v="Yoga Mat"/>
    <n v="108.5"/>
    <x v="1"/>
    <s v="Card"/>
    <n v="4.4000000000000004"/>
    <x v="4"/>
    <n v="93.31"/>
    <n v="7"/>
    <x v="0"/>
  </r>
  <r>
    <n v="1221"/>
    <n v="35"/>
    <x v="0"/>
    <x v="0"/>
    <x v="0"/>
    <s v="Handbag"/>
    <n v="82.93"/>
    <x v="0"/>
    <s v="Card"/>
    <n v="3.6"/>
    <x v="12"/>
    <n v="67.173300000000012"/>
    <n v="7"/>
    <x v="0"/>
  </r>
  <r>
    <n v="1222"/>
    <n v="21"/>
    <x v="2"/>
    <x v="1"/>
    <x v="5"/>
    <s v="Laptop"/>
    <n v="2122.12"/>
    <x v="0"/>
    <s v="Card"/>
    <n v="4.0999999999999996"/>
    <x v="0"/>
    <n v="1740.1384"/>
    <n v="4"/>
    <x v="0"/>
  </r>
  <r>
    <n v="1223"/>
    <n v="31"/>
    <x v="0"/>
    <x v="1"/>
    <x v="3"/>
    <s v="Kitchen Set"/>
    <n v="187.38"/>
    <x v="1"/>
    <s v="Card"/>
    <n v="4.0999999999999996"/>
    <x v="0"/>
    <n v="153.6516"/>
    <n v="9"/>
    <x v="2"/>
  </r>
  <r>
    <n v="1224"/>
    <n v="42"/>
    <x v="0"/>
    <x v="1"/>
    <x v="2"/>
    <s v="Yoga Mat"/>
    <n v="157.06"/>
    <x v="2"/>
    <s v="Card"/>
    <n v="4.2"/>
    <x v="3"/>
    <n v="125.64800000000001"/>
    <n v="5"/>
    <x v="0"/>
  </r>
  <r>
    <n v="1225"/>
    <n v="22"/>
    <x v="2"/>
    <x v="1"/>
    <x v="5"/>
    <s v="Laptop"/>
    <n v="1708.09"/>
    <x v="1"/>
    <s v="Card"/>
    <n v="3.7"/>
    <x v="16"/>
    <n v="1605.6045999999999"/>
    <n v="3"/>
    <x v="1"/>
  </r>
  <r>
    <n v="1226"/>
    <n v="62"/>
    <x v="1"/>
    <x v="0"/>
    <x v="7"/>
    <s v="Formal Shoes"/>
    <n v="156.84"/>
    <x v="2"/>
    <s v="Card"/>
    <n v="3.4"/>
    <x v="1"/>
    <n v="136.45080000000002"/>
    <n v="4"/>
    <x v="0"/>
  </r>
  <r>
    <n v="1227"/>
    <n v="28"/>
    <x v="2"/>
    <x v="0"/>
    <x v="8"/>
    <s v="Skirt"/>
    <n v="189.2"/>
    <x v="1"/>
    <s v="Card"/>
    <n v="2.9"/>
    <x v="1"/>
    <n v="164.60399999999998"/>
    <n v="4"/>
    <x v="0"/>
  </r>
  <r>
    <n v="1228"/>
    <n v="33"/>
    <x v="0"/>
    <x v="0"/>
    <x v="3"/>
    <s v="Curtains"/>
    <n v="117.64"/>
    <x v="1"/>
    <s v="Card"/>
    <n v="3"/>
    <x v="4"/>
    <n v="101.1704"/>
    <n v="7"/>
    <x v="0"/>
  </r>
  <r>
    <n v="1229"/>
    <n v="36"/>
    <x v="0"/>
    <x v="1"/>
    <x v="7"/>
    <s v="Sandals"/>
    <n v="147.47999999999999"/>
    <x v="0"/>
    <s v="Card"/>
    <n v="4.3"/>
    <x v="19"/>
    <n v="125.35799999999999"/>
    <n v="5"/>
    <x v="0"/>
  </r>
  <r>
    <n v="1230"/>
    <n v="28"/>
    <x v="2"/>
    <x v="1"/>
    <x v="1"/>
    <s v="Jeans"/>
    <n v="75.040000000000006"/>
    <x v="1"/>
    <s v="Cash on Delivery"/>
    <n v="3.8"/>
    <x v="17"/>
    <n v="72.03840000000001"/>
    <n v="2"/>
    <x v="1"/>
  </r>
  <r>
    <n v="1231"/>
    <n v="26"/>
    <x v="2"/>
    <x v="1"/>
    <x v="1"/>
    <s v="T-Shirt"/>
    <n v="108.5"/>
    <x v="0"/>
    <s v="Card"/>
    <n v="3.7"/>
    <x v="4"/>
    <n v="93.31"/>
    <n v="2"/>
    <x v="1"/>
  </r>
  <r>
    <n v="1232"/>
    <n v="55"/>
    <x v="0"/>
    <x v="1"/>
    <x v="5"/>
    <s v="Laptop"/>
    <n v="1226.67"/>
    <x v="3"/>
    <s v="Card"/>
    <n v="3.4"/>
    <x v="7"/>
    <n v="1104.0030000000002"/>
    <n v="5"/>
    <x v="0"/>
  </r>
  <r>
    <n v="1233"/>
    <n v="64"/>
    <x v="1"/>
    <x v="0"/>
    <x v="7"/>
    <s v="Formal Shoes"/>
    <n v="70.09"/>
    <x v="1"/>
    <s v="Cash on Delivery"/>
    <n v="4.3"/>
    <x v="3"/>
    <n v="56.072000000000003"/>
    <n v="5"/>
    <x v="0"/>
  </r>
  <r>
    <n v="1234"/>
    <n v="51"/>
    <x v="0"/>
    <x v="0"/>
    <x v="8"/>
    <s v="Top"/>
    <n v="145.44999999999999"/>
    <x v="3"/>
    <s v="Card"/>
    <n v="2.6"/>
    <x v="7"/>
    <n v="130.905"/>
    <n v="5"/>
    <x v="0"/>
  </r>
  <r>
    <n v="1235"/>
    <n v="37"/>
    <x v="0"/>
    <x v="0"/>
    <x v="8"/>
    <s v="Jeans"/>
    <n v="121.42"/>
    <x v="2"/>
    <s v="Card"/>
    <n v="4.7"/>
    <x v="5"/>
    <n v="111.7064"/>
    <n v="4"/>
    <x v="0"/>
  </r>
  <r>
    <n v="1236"/>
    <n v="21"/>
    <x v="2"/>
    <x v="1"/>
    <x v="1"/>
    <s v="Jeans"/>
    <n v="129.32"/>
    <x v="2"/>
    <s v="Card"/>
    <n v="3.5"/>
    <x v="13"/>
    <n v="117.6812"/>
    <n v="2"/>
    <x v="1"/>
  </r>
  <r>
    <n v="1237"/>
    <n v="27"/>
    <x v="2"/>
    <x v="0"/>
    <x v="8"/>
    <s v="Top"/>
    <n v="134.56"/>
    <x v="3"/>
    <s v="Card"/>
    <n v="3.9"/>
    <x v="4"/>
    <n v="115.7216"/>
    <n v="7"/>
    <x v="0"/>
  </r>
  <r>
    <n v="1238"/>
    <n v="28"/>
    <x v="2"/>
    <x v="1"/>
    <x v="1"/>
    <s v="Jeans"/>
    <n v="190.96"/>
    <x v="1"/>
    <s v="Card"/>
    <n v="5"/>
    <x v="12"/>
    <n v="154.67760000000001"/>
    <n v="7"/>
    <x v="0"/>
  </r>
  <r>
    <n v="1239"/>
    <n v="56"/>
    <x v="0"/>
    <x v="0"/>
    <x v="0"/>
    <s v="Wallet"/>
    <n v="32.97"/>
    <x v="0"/>
    <s v="Cash on Delivery"/>
    <n v="5"/>
    <x v="4"/>
    <n v="28.354199999999999"/>
    <n v="7"/>
    <x v="0"/>
  </r>
  <r>
    <n v="1240"/>
    <n v="25"/>
    <x v="2"/>
    <x v="1"/>
    <x v="1"/>
    <s v="Jeans"/>
    <n v="140.93"/>
    <x v="1"/>
    <s v="Card"/>
    <n v="3.6"/>
    <x v="5"/>
    <n v="129.65560000000002"/>
    <n v="4"/>
    <x v="0"/>
  </r>
  <r>
    <n v="1241"/>
    <n v="35"/>
    <x v="0"/>
    <x v="0"/>
    <x v="8"/>
    <s v="Top"/>
    <n v="96.4"/>
    <x v="0"/>
    <s v="Card"/>
    <n v="4.3"/>
    <x v="13"/>
    <n v="87.724000000000004"/>
    <n v="2"/>
    <x v="1"/>
  </r>
  <r>
    <n v="1242"/>
    <n v="55"/>
    <x v="0"/>
    <x v="0"/>
    <x v="8"/>
    <s v="Dress"/>
    <n v="136.21"/>
    <x v="0"/>
    <s v="Card"/>
    <n v="3"/>
    <x v="8"/>
    <n v="119.8648"/>
    <n v="6"/>
    <x v="0"/>
  </r>
  <r>
    <n v="1243"/>
    <n v="52"/>
    <x v="0"/>
    <x v="0"/>
    <x v="3"/>
    <s v="Curtains"/>
    <n v="44.41"/>
    <x v="1"/>
    <s v="Cash on Delivery"/>
    <n v="3"/>
    <x v="2"/>
    <n v="39.524899999999995"/>
    <n v="3"/>
    <x v="1"/>
  </r>
  <r>
    <n v="1244"/>
    <n v="67"/>
    <x v="1"/>
    <x v="0"/>
    <x v="6"/>
    <s v="Perfume"/>
    <n v="91.85"/>
    <x v="2"/>
    <s v="Card"/>
    <n v="3.2"/>
    <x v="7"/>
    <n v="82.664999999999992"/>
    <n v="5"/>
    <x v="0"/>
  </r>
  <r>
    <n v="1245"/>
    <n v="35"/>
    <x v="0"/>
    <x v="1"/>
    <x v="5"/>
    <s v="Mobile Phone"/>
    <n v="2677.54"/>
    <x v="3"/>
    <s v="Card"/>
    <n v="4.3"/>
    <x v="24"/>
    <n v="1927.8288"/>
    <n v="9"/>
    <x v="2"/>
  </r>
  <r>
    <n v="1246"/>
    <n v="49"/>
    <x v="0"/>
    <x v="0"/>
    <x v="6"/>
    <s v="Skincare Kit"/>
    <n v="106.28"/>
    <x v="0"/>
    <s v="Card"/>
    <n v="4.4000000000000004"/>
    <x v="8"/>
    <n v="93.526399999999995"/>
    <n v="6"/>
    <x v="0"/>
  </r>
  <r>
    <n v="1247"/>
    <n v="64"/>
    <x v="1"/>
    <x v="1"/>
    <x v="5"/>
    <s v="Smart Watch"/>
    <n v="2907.6"/>
    <x v="1"/>
    <s v="Card"/>
    <n v="4.5"/>
    <x v="6"/>
    <n v="2442.384"/>
    <n v="3"/>
    <x v="1"/>
  </r>
  <r>
    <n v="1248"/>
    <n v="20"/>
    <x v="2"/>
    <x v="1"/>
    <x v="7"/>
    <s v="Formal Shoes"/>
    <n v="176.9"/>
    <x v="0"/>
    <s v="Card"/>
    <n v="3.9"/>
    <x v="19"/>
    <n v="150.36500000000001"/>
    <n v="5"/>
    <x v="0"/>
  </r>
  <r>
    <n v="1249"/>
    <n v="52"/>
    <x v="0"/>
    <x v="0"/>
    <x v="8"/>
    <s v="Dress"/>
    <n v="89.05"/>
    <x v="2"/>
    <s v="Cash on Delivery"/>
    <n v="3.7"/>
    <x v="23"/>
    <n v="82.816499999999991"/>
    <n v="1"/>
    <x v="1"/>
  </r>
  <r>
    <n v="1250"/>
    <n v="37"/>
    <x v="0"/>
    <x v="1"/>
    <x v="4"/>
    <s v="Cooking Oil"/>
    <n v="57.93"/>
    <x v="1"/>
    <s v="Card"/>
    <n v="2.7"/>
    <x v="17"/>
    <n v="55.6128"/>
    <n v="2"/>
    <x v="1"/>
  </r>
  <r>
    <n v="1251"/>
    <n v="44"/>
    <x v="0"/>
    <x v="0"/>
    <x v="0"/>
    <s v="Sunglasses"/>
    <n v="22.1"/>
    <x v="1"/>
    <s v="Cash on Delivery"/>
    <n v="4.2"/>
    <x v="8"/>
    <n v="19.448"/>
    <n v="6"/>
    <x v="0"/>
  </r>
  <r>
    <n v="1252"/>
    <n v="66"/>
    <x v="1"/>
    <x v="1"/>
    <x v="2"/>
    <s v="Yoga Mat"/>
    <n v="81.13"/>
    <x v="0"/>
    <s v="Cash on Delivery"/>
    <n v="3.3"/>
    <x v="13"/>
    <n v="73.828299999999999"/>
    <n v="2"/>
    <x v="1"/>
  </r>
  <r>
    <n v="1253"/>
    <n v="28"/>
    <x v="2"/>
    <x v="0"/>
    <x v="0"/>
    <s v="Wallet"/>
    <n v="165.53"/>
    <x v="0"/>
    <s v="Card"/>
    <n v="5"/>
    <x v="19"/>
    <n v="140.70050000000001"/>
    <n v="5"/>
    <x v="0"/>
  </r>
  <r>
    <n v="1254"/>
    <n v="30"/>
    <x v="2"/>
    <x v="1"/>
    <x v="7"/>
    <s v="Sneakers"/>
    <n v="222.83"/>
    <x v="1"/>
    <s v="Card"/>
    <n v="3.8"/>
    <x v="16"/>
    <n v="209.46019999999999"/>
    <n v="3"/>
    <x v="1"/>
  </r>
  <r>
    <n v="1255"/>
    <n v="70"/>
    <x v="1"/>
    <x v="1"/>
    <x v="5"/>
    <s v="Laptop"/>
    <n v="2919.39"/>
    <x v="2"/>
    <s v="Card"/>
    <n v="3.5"/>
    <x v="1"/>
    <n v="2539.8692999999998"/>
    <n v="4"/>
    <x v="0"/>
  </r>
  <r>
    <n v="1256"/>
    <n v="44"/>
    <x v="0"/>
    <x v="0"/>
    <x v="6"/>
    <s v="Skincare Kit"/>
    <n v="143.9"/>
    <x v="1"/>
    <s v="Card"/>
    <n v="4.7"/>
    <x v="11"/>
    <n v="106.486"/>
    <n v="8"/>
    <x v="2"/>
  </r>
  <r>
    <n v="1257"/>
    <n v="45"/>
    <x v="0"/>
    <x v="0"/>
    <x v="6"/>
    <s v="Perfume"/>
    <n v="85.13"/>
    <x v="0"/>
    <s v="Cash on Delivery"/>
    <n v="3.4"/>
    <x v="7"/>
    <n v="76.617000000000004"/>
    <n v="5"/>
    <x v="0"/>
  </r>
  <r>
    <n v="1258"/>
    <n v="41"/>
    <x v="0"/>
    <x v="1"/>
    <x v="4"/>
    <s v="Cooking Oil"/>
    <n v="8.8699999999999992"/>
    <x v="2"/>
    <s v="Card"/>
    <n v="4.4000000000000004"/>
    <x v="6"/>
    <n v="7.4507999999999992"/>
    <n v="3"/>
    <x v="1"/>
  </r>
  <r>
    <n v="1259"/>
    <n v="42"/>
    <x v="0"/>
    <x v="1"/>
    <x v="7"/>
    <s v="Sneakers"/>
    <n v="166.69"/>
    <x v="0"/>
    <s v="Card"/>
    <n v="2.8"/>
    <x v="16"/>
    <n v="156.68859999999998"/>
    <n v="3"/>
    <x v="1"/>
  </r>
  <r>
    <n v="1260"/>
    <n v="51"/>
    <x v="0"/>
    <x v="1"/>
    <x v="7"/>
    <s v="Formal Shoes"/>
    <n v="195.92"/>
    <x v="1"/>
    <s v="Card"/>
    <n v="2.8"/>
    <x v="12"/>
    <n v="158.6952"/>
    <n v="7"/>
    <x v="0"/>
  </r>
  <r>
    <n v="1261"/>
    <n v="59"/>
    <x v="0"/>
    <x v="1"/>
    <x v="1"/>
    <s v="Jeans"/>
    <n v="165.21"/>
    <x v="1"/>
    <s v="Card"/>
    <n v="3.8"/>
    <x v="4"/>
    <n v="142.0806"/>
    <n v="7"/>
    <x v="0"/>
  </r>
  <r>
    <n v="1262"/>
    <n v="58"/>
    <x v="0"/>
    <x v="1"/>
    <x v="5"/>
    <s v="Smart Watch"/>
    <n v="500.44"/>
    <x v="3"/>
    <s v="Card"/>
    <n v="4.4000000000000004"/>
    <x v="6"/>
    <n v="420.36959999999999"/>
    <n v="3"/>
    <x v="1"/>
  </r>
  <r>
    <n v="1263"/>
    <n v="56"/>
    <x v="0"/>
    <x v="1"/>
    <x v="2"/>
    <s v="Yoga Mat"/>
    <n v="95.43"/>
    <x v="1"/>
    <s v="Cash on Delivery"/>
    <n v="4"/>
    <x v="16"/>
    <n v="89.7042"/>
    <n v="3"/>
    <x v="1"/>
  </r>
  <r>
    <n v="1264"/>
    <n v="52"/>
    <x v="0"/>
    <x v="1"/>
    <x v="5"/>
    <s v="Smart Watch"/>
    <n v="2764.97"/>
    <x v="2"/>
    <s v="Card"/>
    <n v="2.7"/>
    <x v="13"/>
    <n v="2516.1226999999999"/>
    <n v="2"/>
    <x v="1"/>
  </r>
  <r>
    <n v="1265"/>
    <n v="41"/>
    <x v="0"/>
    <x v="1"/>
    <x v="4"/>
    <s v="Cooking Oil"/>
    <n v="60.98"/>
    <x v="1"/>
    <s v="Card"/>
    <n v="2.8"/>
    <x v="4"/>
    <n v="52.442799999999998"/>
    <n v="7"/>
    <x v="0"/>
  </r>
  <r>
    <n v="1266"/>
    <n v="37"/>
    <x v="0"/>
    <x v="1"/>
    <x v="5"/>
    <s v="Smart Watch"/>
    <n v="943.53"/>
    <x v="1"/>
    <s v="Card"/>
    <n v="4.7"/>
    <x v="15"/>
    <n v="924.65940000000001"/>
    <n v="1"/>
    <x v="1"/>
  </r>
  <r>
    <n v="1267"/>
    <n v="51"/>
    <x v="0"/>
    <x v="1"/>
    <x v="2"/>
    <s v="Yoga Mat"/>
    <n v="246.18"/>
    <x v="1"/>
    <s v="Card"/>
    <n v="3.6"/>
    <x v="5"/>
    <n v="226.48560000000001"/>
    <n v="4"/>
    <x v="0"/>
  </r>
  <r>
    <n v="1268"/>
    <n v="65"/>
    <x v="1"/>
    <x v="1"/>
    <x v="5"/>
    <s v="Headphones"/>
    <n v="1135.9000000000001"/>
    <x v="2"/>
    <s v="Card"/>
    <n v="3.5"/>
    <x v="1"/>
    <n v="988.23300000000006"/>
    <n v="4"/>
    <x v="0"/>
  </r>
  <r>
    <n v="1269"/>
    <n v="45"/>
    <x v="0"/>
    <x v="1"/>
    <x v="5"/>
    <s v="Headphones"/>
    <n v="1704.22"/>
    <x v="3"/>
    <s v="Card"/>
    <n v="4.0999999999999996"/>
    <x v="19"/>
    <n v="1448.587"/>
    <n v="5"/>
    <x v="0"/>
  </r>
  <r>
    <n v="1270"/>
    <n v="23"/>
    <x v="2"/>
    <x v="1"/>
    <x v="7"/>
    <s v="Formal Shoes"/>
    <n v="92.79"/>
    <x v="0"/>
    <s v="Card"/>
    <n v="4.9000000000000004"/>
    <x v="1"/>
    <n v="80.7273"/>
    <n v="4"/>
    <x v="0"/>
  </r>
  <r>
    <n v="1271"/>
    <n v="55"/>
    <x v="0"/>
    <x v="1"/>
    <x v="1"/>
    <s v="Jeans"/>
    <n v="165.27"/>
    <x v="1"/>
    <s v="Card"/>
    <n v="3.5"/>
    <x v="14"/>
    <n v="137.17410000000001"/>
    <n v="6"/>
    <x v="0"/>
  </r>
  <r>
    <n v="1272"/>
    <n v="45"/>
    <x v="0"/>
    <x v="0"/>
    <x v="6"/>
    <s v="Makeup Set"/>
    <n v="72.319999999999993"/>
    <x v="3"/>
    <s v="Cash on Delivery"/>
    <n v="3.4"/>
    <x v="14"/>
    <n v="60.02559999999999"/>
    <n v="6"/>
    <x v="0"/>
  </r>
  <r>
    <n v="1273"/>
    <n v="55"/>
    <x v="0"/>
    <x v="1"/>
    <x v="5"/>
    <s v="Headphones"/>
    <n v="1843.01"/>
    <x v="1"/>
    <s v="Card"/>
    <n v="2.9"/>
    <x v="3"/>
    <n v="1474.4080000000001"/>
    <n v="10"/>
    <x v="2"/>
  </r>
  <r>
    <n v="1274"/>
    <n v="45"/>
    <x v="0"/>
    <x v="1"/>
    <x v="2"/>
    <s v="Football"/>
    <n v="40.4"/>
    <x v="3"/>
    <s v="Card"/>
    <n v="3.3"/>
    <x v="7"/>
    <n v="36.36"/>
    <n v="5"/>
    <x v="0"/>
  </r>
  <r>
    <n v="1275"/>
    <n v="29"/>
    <x v="2"/>
    <x v="1"/>
    <x v="2"/>
    <s v="Yoga Mat"/>
    <n v="80.31"/>
    <x v="2"/>
    <s v="Cash on Delivery"/>
    <n v="4.3"/>
    <x v="2"/>
    <n v="71.47590000000001"/>
    <n v="3"/>
    <x v="1"/>
  </r>
  <r>
    <n v="1276"/>
    <n v="27"/>
    <x v="2"/>
    <x v="0"/>
    <x v="7"/>
    <s v="Sandals"/>
    <n v="197.36"/>
    <x v="0"/>
    <s v="Card"/>
    <n v="3.5"/>
    <x v="6"/>
    <n v="165.7824"/>
    <n v="3"/>
    <x v="1"/>
  </r>
  <r>
    <n v="1277"/>
    <n v="22"/>
    <x v="2"/>
    <x v="1"/>
    <x v="7"/>
    <s v="Sandals"/>
    <n v="153.96"/>
    <x v="1"/>
    <s v="Card"/>
    <n v="4.7"/>
    <x v="2"/>
    <n v="137.02440000000001"/>
    <n v="3"/>
    <x v="1"/>
  </r>
  <r>
    <n v="1278"/>
    <n v="55"/>
    <x v="0"/>
    <x v="1"/>
    <x v="7"/>
    <s v="Sandals"/>
    <n v="46.48"/>
    <x v="3"/>
    <s v="Cash on Delivery"/>
    <n v="3.1"/>
    <x v="16"/>
    <n v="43.691199999999995"/>
    <n v="3"/>
    <x v="1"/>
  </r>
  <r>
    <n v="1279"/>
    <n v="40"/>
    <x v="0"/>
    <x v="1"/>
    <x v="3"/>
    <s v="Kitchen Set"/>
    <n v="129.11000000000001"/>
    <x v="3"/>
    <s v="Card"/>
    <n v="3.1"/>
    <x v="3"/>
    <n v="103.28800000000001"/>
    <n v="5"/>
    <x v="0"/>
  </r>
  <r>
    <n v="1280"/>
    <n v="63"/>
    <x v="1"/>
    <x v="1"/>
    <x v="2"/>
    <s v="Yoga Mat"/>
    <n v="130.97999999999999"/>
    <x v="3"/>
    <s v="Card"/>
    <n v="3.3"/>
    <x v="7"/>
    <n v="117.88199999999999"/>
    <n v="5"/>
    <x v="0"/>
  </r>
  <r>
    <n v="1281"/>
    <n v="43"/>
    <x v="0"/>
    <x v="1"/>
    <x v="2"/>
    <s v="Dumbbells"/>
    <n v="116.56"/>
    <x v="3"/>
    <s v="Card"/>
    <n v="3.1"/>
    <x v="27"/>
    <n v="87.42"/>
    <n v="10"/>
    <x v="2"/>
  </r>
  <r>
    <n v="1282"/>
    <n v="34"/>
    <x v="0"/>
    <x v="1"/>
    <x v="5"/>
    <s v="Headphones"/>
    <n v="1105.45"/>
    <x v="2"/>
    <s v="Card"/>
    <n v="5"/>
    <x v="18"/>
    <n v="840.14200000000005"/>
    <n v="7"/>
    <x v="0"/>
  </r>
  <r>
    <n v="1283"/>
    <n v="46"/>
    <x v="0"/>
    <x v="1"/>
    <x v="7"/>
    <s v="Sneakers"/>
    <n v="192.39"/>
    <x v="0"/>
    <s v="Card"/>
    <n v="3.9"/>
    <x v="13"/>
    <n v="175.07489999999999"/>
    <n v="2"/>
    <x v="1"/>
  </r>
  <r>
    <n v="1284"/>
    <n v="51"/>
    <x v="0"/>
    <x v="0"/>
    <x v="8"/>
    <s v="Dress"/>
    <n v="184.44"/>
    <x v="1"/>
    <s v="Card"/>
    <n v="3.6"/>
    <x v="19"/>
    <n v="156.774"/>
    <n v="5"/>
    <x v="0"/>
  </r>
  <r>
    <n v="1285"/>
    <n v="25"/>
    <x v="2"/>
    <x v="1"/>
    <x v="3"/>
    <s v="Kitchen Set"/>
    <n v="227.36"/>
    <x v="1"/>
    <s v="Card"/>
    <n v="3.2"/>
    <x v="19"/>
    <n v="193.256"/>
    <n v="5"/>
    <x v="0"/>
  </r>
  <r>
    <n v="1286"/>
    <n v="55"/>
    <x v="0"/>
    <x v="1"/>
    <x v="1"/>
    <s v="Jacket"/>
    <n v="91.95"/>
    <x v="3"/>
    <s v="Card"/>
    <n v="4.0999999999999996"/>
    <x v="3"/>
    <n v="73.56"/>
    <n v="5"/>
    <x v="0"/>
  </r>
  <r>
    <n v="1287"/>
    <n v="40"/>
    <x v="0"/>
    <x v="0"/>
    <x v="2"/>
    <s v="Dumbbells"/>
    <n v="71.11"/>
    <x v="2"/>
    <s v="Cash on Delivery"/>
    <n v="4.5999999999999996"/>
    <x v="0"/>
    <n v="58.310200000000002"/>
    <n v="4"/>
    <x v="0"/>
  </r>
  <r>
    <n v="1288"/>
    <n v="36"/>
    <x v="0"/>
    <x v="1"/>
    <x v="7"/>
    <s v="Formal Shoes"/>
    <n v="114.22"/>
    <x v="0"/>
    <s v="Card"/>
    <n v="3.9"/>
    <x v="10"/>
    <n v="89.0916"/>
    <n v="6"/>
    <x v="0"/>
  </r>
  <r>
    <n v="1289"/>
    <n v="70"/>
    <x v="1"/>
    <x v="0"/>
    <x v="6"/>
    <s v="Skincare Kit"/>
    <n v="104.25"/>
    <x v="2"/>
    <s v="Card"/>
    <n v="3.9"/>
    <x v="7"/>
    <n v="93.825000000000003"/>
    <n v="5"/>
    <x v="0"/>
  </r>
  <r>
    <n v="1290"/>
    <n v="20"/>
    <x v="2"/>
    <x v="0"/>
    <x v="8"/>
    <s v="Skirt"/>
    <n v="151.63"/>
    <x v="2"/>
    <s v="Card"/>
    <n v="2"/>
    <x v="8"/>
    <n v="133.43440000000001"/>
    <n v="6"/>
    <x v="0"/>
  </r>
  <r>
    <n v="1291"/>
    <n v="35"/>
    <x v="0"/>
    <x v="1"/>
    <x v="2"/>
    <s v="Dumbbells"/>
    <n v="113.99"/>
    <x v="3"/>
    <s v="Card"/>
    <n v="3.3"/>
    <x v="5"/>
    <n v="104.8708"/>
    <n v="4"/>
    <x v="0"/>
  </r>
  <r>
    <n v="1292"/>
    <n v="37"/>
    <x v="0"/>
    <x v="0"/>
    <x v="7"/>
    <s v="Sandals"/>
    <n v="149.77000000000001"/>
    <x v="1"/>
    <s v="Card"/>
    <n v="4"/>
    <x v="27"/>
    <n v="112.32750000000001"/>
    <n v="10"/>
    <x v="2"/>
  </r>
  <r>
    <n v="1293"/>
    <n v="35"/>
    <x v="0"/>
    <x v="0"/>
    <x v="2"/>
    <s v="Football"/>
    <n v="149.11000000000001"/>
    <x v="1"/>
    <s v="Card"/>
    <n v="3.1"/>
    <x v="4"/>
    <n v="128.2346"/>
    <n v="7"/>
    <x v="0"/>
  </r>
  <r>
    <n v="1294"/>
    <n v="47"/>
    <x v="0"/>
    <x v="0"/>
    <x v="0"/>
    <s v="Wallet"/>
    <n v="44.02"/>
    <x v="0"/>
    <s v="Cash on Delivery"/>
    <n v="4.4000000000000004"/>
    <x v="16"/>
    <n v="41.378799999999998"/>
    <n v="3"/>
    <x v="1"/>
  </r>
  <r>
    <n v="1295"/>
    <n v="60"/>
    <x v="0"/>
    <x v="1"/>
    <x v="1"/>
    <s v="Jacket"/>
    <n v="42.96"/>
    <x v="1"/>
    <s v="Card"/>
    <n v="5"/>
    <x v="27"/>
    <n v="32.22"/>
    <n v="10"/>
    <x v="2"/>
  </r>
  <r>
    <n v="1296"/>
    <n v="55"/>
    <x v="0"/>
    <x v="0"/>
    <x v="8"/>
    <s v="Dress"/>
    <n v="186.61"/>
    <x v="3"/>
    <s v="Card"/>
    <n v="3.2"/>
    <x v="4"/>
    <n v="160.4846"/>
    <n v="7"/>
    <x v="0"/>
  </r>
  <r>
    <n v="1297"/>
    <n v="36"/>
    <x v="0"/>
    <x v="1"/>
    <x v="4"/>
    <s v="Rice Pack"/>
    <n v="20.05"/>
    <x v="1"/>
    <s v="Cash on Delivery"/>
    <n v="3.9"/>
    <x v="1"/>
    <n v="17.4435"/>
    <n v="4"/>
    <x v="0"/>
  </r>
  <r>
    <n v="1298"/>
    <n v="31"/>
    <x v="0"/>
    <x v="1"/>
    <x v="5"/>
    <s v="Laptop"/>
    <n v="2520.3000000000002"/>
    <x v="3"/>
    <s v="Card"/>
    <n v="2.7"/>
    <x v="4"/>
    <n v="2167.4580000000001"/>
    <n v="7"/>
    <x v="0"/>
  </r>
  <r>
    <n v="1299"/>
    <n v="51"/>
    <x v="0"/>
    <x v="0"/>
    <x v="8"/>
    <s v="Dress"/>
    <n v="119.82"/>
    <x v="2"/>
    <s v="Card"/>
    <n v="4.3"/>
    <x v="21"/>
    <n v="94.657799999999995"/>
    <n v="8"/>
    <x v="2"/>
  </r>
  <r>
    <n v="1300"/>
    <n v="62"/>
    <x v="1"/>
    <x v="1"/>
    <x v="7"/>
    <s v="Formal Shoes"/>
    <n v="144.66999999999999"/>
    <x v="0"/>
    <s v="Card"/>
    <n v="3.7"/>
    <x v="4"/>
    <n v="124.41619999999999"/>
    <n v="7"/>
    <x v="0"/>
  </r>
  <r>
    <n v="1301"/>
    <n v="29"/>
    <x v="2"/>
    <x v="0"/>
    <x v="6"/>
    <s v="Perfume"/>
    <n v="38.64"/>
    <x v="0"/>
    <s v="Cash on Delivery"/>
    <n v="4"/>
    <x v="6"/>
    <n v="32.457599999999999"/>
    <n v="3"/>
    <x v="1"/>
  </r>
  <r>
    <n v="1302"/>
    <n v="28"/>
    <x v="2"/>
    <x v="1"/>
    <x v="2"/>
    <s v="Football"/>
    <n v="64.16"/>
    <x v="2"/>
    <s v="Cash on Delivery"/>
    <n v="3.7"/>
    <x v="24"/>
    <n v="46.195199999999993"/>
    <n v="9"/>
    <x v="2"/>
  </r>
  <r>
    <n v="1303"/>
    <n v="35"/>
    <x v="0"/>
    <x v="1"/>
    <x v="2"/>
    <s v="Yoga Mat"/>
    <n v="238.78"/>
    <x v="3"/>
    <s v="Card"/>
    <n v="3.8"/>
    <x v="13"/>
    <n v="217.28980000000001"/>
    <n v="2"/>
    <x v="1"/>
  </r>
  <r>
    <n v="1304"/>
    <n v="34"/>
    <x v="0"/>
    <x v="0"/>
    <x v="0"/>
    <s v="Sunglasses"/>
    <n v="159.38999999999999"/>
    <x v="1"/>
    <s v="Card"/>
    <n v="3"/>
    <x v="16"/>
    <n v="149.82659999999998"/>
    <n v="3"/>
    <x v="1"/>
  </r>
  <r>
    <n v="1305"/>
    <n v="22"/>
    <x v="2"/>
    <x v="0"/>
    <x v="4"/>
    <s v="Cooking Oil"/>
    <n v="60.87"/>
    <x v="2"/>
    <s v="Card"/>
    <n v="3.6"/>
    <x v="4"/>
    <n v="52.348199999999999"/>
    <n v="7"/>
    <x v="0"/>
  </r>
  <r>
    <n v="1306"/>
    <n v="70"/>
    <x v="1"/>
    <x v="1"/>
    <x v="7"/>
    <s v="Formal Shoes"/>
    <n v="61.28"/>
    <x v="3"/>
    <s v="Card"/>
    <n v="4.5999999999999996"/>
    <x v="4"/>
    <n v="52.700800000000001"/>
    <n v="7"/>
    <x v="0"/>
  </r>
  <r>
    <n v="1307"/>
    <n v="42"/>
    <x v="0"/>
    <x v="1"/>
    <x v="7"/>
    <s v="Sandals"/>
    <n v="219.14"/>
    <x v="2"/>
    <s v="Card"/>
    <n v="4.2"/>
    <x v="0"/>
    <n v="179.69480000000001"/>
    <n v="4"/>
    <x v="0"/>
  </r>
  <r>
    <n v="1308"/>
    <n v="22"/>
    <x v="2"/>
    <x v="0"/>
    <x v="8"/>
    <s v="Skirt"/>
    <n v="125.23"/>
    <x v="2"/>
    <s v="Card"/>
    <n v="4.8"/>
    <x v="1"/>
    <n v="108.95010000000001"/>
    <n v="4"/>
    <x v="0"/>
  </r>
  <r>
    <n v="1309"/>
    <n v="39"/>
    <x v="0"/>
    <x v="0"/>
    <x v="0"/>
    <s v="Wallet"/>
    <n v="77.930000000000007"/>
    <x v="3"/>
    <s v="Card"/>
    <n v="3.5"/>
    <x v="7"/>
    <n v="70.137000000000015"/>
    <n v="5"/>
    <x v="0"/>
  </r>
  <r>
    <n v="1310"/>
    <n v="48"/>
    <x v="0"/>
    <x v="1"/>
    <x v="5"/>
    <s v="Smart Watch"/>
    <n v="579.51"/>
    <x v="1"/>
    <s v="Card"/>
    <n v="2.5"/>
    <x v="2"/>
    <n v="515.76390000000004"/>
    <n v="3"/>
    <x v="1"/>
  </r>
  <r>
    <n v="1311"/>
    <n v="58"/>
    <x v="0"/>
    <x v="1"/>
    <x v="1"/>
    <s v="Jacket"/>
    <n v="142.47"/>
    <x v="1"/>
    <s v="Card"/>
    <n v="3.5"/>
    <x v="3"/>
    <n v="113.976"/>
    <n v="5"/>
    <x v="0"/>
  </r>
  <r>
    <n v="1312"/>
    <n v="21"/>
    <x v="2"/>
    <x v="1"/>
    <x v="2"/>
    <s v="Yoga Mat"/>
    <n v="34.03"/>
    <x v="3"/>
    <s v="Cash on Delivery"/>
    <n v="3.3"/>
    <x v="16"/>
    <n v="31.988199999999999"/>
    <n v="3"/>
    <x v="1"/>
  </r>
  <r>
    <n v="1313"/>
    <n v="56"/>
    <x v="0"/>
    <x v="1"/>
    <x v="1"/>
    <s v="Jeans"/>
    <n v="191.15"/>
    <x v="3"/>
    <s v="Card"/>
    <n v="3.2"/>
    <x v="25"/>
    <n v="133.80500000000001"/>
    <n v="10"/>
    <x v="2"/>
  </r>
  <r>
    <n v="1314"/>
    <n v="57"/>
    <x v="0"/>
    <x v="0"/>
    <x v="4"/>
    <s v="Cooking Oil"/>
    <n v="57.36"/>
    <x v="3"/>
    <s v="Card"/>
    <n v="3.8"/>
    <x v="3"/>
    <n v="45.888000000000005"/>
    <n v="5"/>
    <x v="0"/>
  </r>
  <r>
    <n v="1315"/>
    <n v="40"/>
    <x v="0"/>
    <x v="1"/>
    <x v="2"/>
    <s v="Yoga Mat"/>
    <n v="235.9"/>
    <x v="0"/>
    <s v="Card"/>
    <n v="3.5"/>
    <x v="1"/>
    <n v="205.233"/>
    <n v="4"/>
    <x v="0"/>
  </r>
  <r>
    <n v="1316"/>
    <n v="53"/>
    <x v="0"/>
    <x v="1"/>
    <x v="5"/>
    <s v="Smart Watch"/>
    <n v="1327.45"/>
    <x v="3"/>
    <s v="Card"/>
    <n v="3.9"/>
    <x v="16"/>
    <n v="1247.8029999999999"/>
    <n v="3"/>
    <x v="1"/>
  </r>
  <r>
    <n v="1317"/>
    <n v="69"/>
    <x v="1"/>
    <x v="1"/>
    <x v="3"/>
    <s v="Kitchen Set"/>
    <n v="120.8"/>
    <x v="1"/>
    <s v="Card"/>
    <n v="4.8"/>
    <x v="3"/>
    <n v="96.64"/>
    <n v="5"/>
    <x v="0"/>
  </r>
  <r>
    <n v="1318"/>
    <n v="30"/>
    <x v="2"/>
    <x v="1"/>
    <x v="5"/>
    <s v="Laptop"/>
    <n v="2944.78"/>
    <x v="1"/>
    <s v="Card"/>
    <n v="4"/>
    <x v="22"/>
    <n v="2267.4806000000003"/>
    <n v="9"/>
    <x v="2"/>
  </r>
  <r>
    <n v="1319"/>
    <n v="52"/>
    <x v="0"/>
    <x v="0"/>
    <x v="6"/>
    <s v="Skincare Kit"/>
    <n v="105.98"/>
    <x v="1"/>
    <s v="Card"/>
    <n v="3.9"/>
    <x v="12"/>
    <n v="85.843800000000016"/>
    <n v="7"/>
    <x v="0"/>
  </r>
  <r>
    <n v="1320"/>
    <n v="24"/>
    <x v="2"/>
    <x v="1"/>
    <x v="2"/>
    <s v="Football"/>
    <n v="71.53"/>
    <x v="0"/>
    <s v="Card"/>
    <n v="4"/>
    <x v="2"/>
    <n v="63.661700000000003"/>
    <n v="3"/>
    <x v="1"/>
  </r>
  <r>
    <n v="1321"/>
    <n v="51"/>
    <x v="0"/>
    <x v="0"/>
    <x v="6"/>
    <s v="Skincare Kit"/>
    <n v="30.99"/>
    <x v="3"/>
    <s v="Cash on Delivery"/>
    <n v="3.4"/>
    <x v="5"/>
    <n v="28.5108"/>
    <n v="4"/>
    <x v="0"/>
  </r>
  <r>
    <n v="1322"/>
    <n v="50"/>
    <x v="0"/>
    <x v="0"/>
    <x v="6"/>
    <s v="Makeup Set"/>
    <n v="53.04"/>
    <x v="3"/>
    <s v="Cash on Delivery"/>
    <n v="3.7"/>
    <x v="7"/>
    <n v="47.735999999999997"/>
    <n v="0"/>
    <x v="1"/>
  </r>
  <r>
    <n v="1323"/>
    <n v="52"/>
    <x v="0"/>
    <x v="0"/>
    <x v="6"/>
    <s v="Skincare Kit"/>
    <n v="50.77"/>
    <x v="2"/>
    <s v="Cash on Delivery"/>
    <n v="4.4000000000000004"/>
    <x v="8"/>
    <n v="44.677600000000005"/>
    <n v="6"/>
    <x v="0"/>
  </r>
  <r>
    <n v="1324"/>
    <n v="23"/>
    <x v="2"/>
    <x v="0"/>
    <x v="6"/>
    <s v="Skincare Kit"/>
    <n v="25.79"/>
    <x v="0"/>
    <s v="Card"/>
    <n v="4.5999999999999996"/>
    <x v="6"/>
    <n v="21.663599999999999"/>
    <n v="8"/>
    <x v="2"/>
  </r>
  <r>
    <n v="1325"/>
    <n v="64"/>
    <x v="1"/>
    <x v="1"/>
    <x v="2"/>
    <s v="Dumbbells"/>
    <n v="194.44"/>
    <x v="2"/>
    <s v="Card"/>
    <n v="4.3"/>
    <x v="25"/>
    <n v="136.10799999999998"/>
    <n v="10"/>
    <x v="2"/>
  </r>
  <r>
    <n v="1326"/>
    <n v="25"/>
    <x v="2"/>
    <x v="0"/>
    <x v="7"/>
    <s v="Formal Shoes"/>
    <n v="160.51"/>
    <x v="3"/>
    <s v="Card"/>
    <n v="3.4"/>
    <x v="19"/>
    <n v="136.43349999999998"/>
    <n v="5"/>
    <x v="0"/>
  </r>
  <r>
    <n v="1327"/>
    <n v="67"/>
    <x v="1"/>
    <x v="1"/>
    <x v="2"/>
    <s v="Yoga Mat"/>
    <n v="36.44"/>
    <x v="1"/>
    <s v="Card"/>
    <n v="3"/>
    <x v="1"/>
    <n v="31.702799999999996"/>
    <n v="4"/>
    <x v="0"/>
  </r>
  <r>
    <n v="1328"/>
    <n v="57"/>
    <x v="0"/>
    <x v="0"/>
    <x v="0"/>
    <s v="Sunglasses"/>
    <n v="80.59"/>
    <x v="3"/>
    <s v="Cash on Delivery"/>
    <n v="3.1"/>
    <x v="6"/>
    <n v="67.695599999999999"/>
    <n v="3"/>
    <x v="1"/>
  </r>
  <r>
    <n v="1329"/>
    <n v="36"/>
    <x v="0"/>
    <x v="0"/>
    <x v="8"/>
    <s v="Skirt"/>
    <n v="194.05"/>
    <x v="2"/>
    <s v="Card"/>
    <n v="3.3"/>
    <x v="5"/>
    <n v="178.52600000000001"/>
    <n v="4"/>
    <x v="0"/>
  </r>
  <r>
    <n v="1330"/>
    <n v="62"/>
    <x v="1"/>
    <x v="1"/>
    <x v="1"/>
    <s v="Shirt"/>
    <n v="143.18"/>
    <x v="1"/>
    <s v="Card"/>
    <n v="2.8"/>
    <x v="18"/>
    <n v="108.8168"/>
    <n v="7"/>
    <x v="0"/>
  </r>
  <r>
    <n v="1331"/>
    <n v="47"/>
    <x v="0"/>
    <x v="1"/>
    <x v="5"/>
    <s v="Mobile Phone"/>
    <n v="1170.3699999999999"/>
    <x v="0"/>
    <s v="Card"/>
    <n v="3.4"/>
    <x v="6"/>
    <n v="983.11079999999993"/>
    <n v="3"/>
    <x v="1"/>
  </r>
  <r>
    <n v="1332"/>
    <n v="25"/>
    <x v="2"/>
    <x v="0"/>
    <x v="8"/>
    <s v="Dress"/>
    <n v="164.39"/>
    <x v="2"/>
    <s v="Card"/>
    <n v="3.6"/>
    <x v="0"/>
    <n v="134.7998"/>
    <n v="4"/>
    <x v="0"/>
  </r>
  <r>
    <n v="1333"/>
    <n v="56"/>
    <x v="0"/>
    <x v="1"/>
    <x v="2"/>
    <s v="Yoga Mat"/>
    <n v="52.53"/>
    <x v="3"/>
    <s v="Cash on Delivery"/>
    <n v="3.1"/>
    <x v="4"/>
    <n v="45.175800000000002"/>
    <n v="2"/>
    <x v="1"/>
  </r>
  <r>
    <n v="1334"/>
    <n v="55"/>
    <x v="0"/>
    <x v="0"/>
    <x v="7"/>
    <s v="Sandals"/>
    <n v="46.45"/>
    <x v="2"/>
    <s v="Card"/>
    <n v="4.9000000000000004"/>
    <x v="6"/>
    <n v="39.018000000000001"/>
    <n v="8"/>
    <x v="2"/>
  </r>
  <r>
    <n v="1335"/>
    <n v="34"/>
    <x v="0"/>
    <x v="1"/>
    <x v="7"/>
    <s v="Sneakers"/>
    <n v="85.32"/>
    <x v="3"/>
    <s v="Cash on Delivery"/>
    <n v="4.8"/>
    <x v="19"/>
    <n v="72.521999999999991"/>
    <n v="5"/>
    <x v="0"/>
  </r>
  <r>
    <n v="1336"/>
    <n v="58"/>
    <x v="0"/>
    <x v="1"/>
    <x v="5"/>
    <s v="Mobile Phone"/>
    <n v="1082.29"/>
    <x v="3"/>
    <s v="Card"/>
    <n v="3.2"/>
    <x v="5"/>
    <n v="995.70680000000004"/>
    <n v="4"/>
    <x v="0"/>
  </r>
  <r>
    <n v="1337"/>
    <n v="60"/>
    <x v="0"/>
    <x v="0"/>
    <x v="0"/>
    <s v="Wallet"/>
    <n v="97.14"/>
    <x v="0"/>
    <s v="Cash on Delivery"/>
    <n v="3.3"/>
    <x v="14"/>
    <n v="80.626199999999997"/>
    <n v="6"/>
    <x v="0"/>
  </r>
  <r>
    <n v="1338"/>
    <n v="22"/>
    <x v="2"/>
    <x v="0"/>
    <x v="8"/>
    <s v="Top"/>
    <n v="72.12"/>
    <x v="0"/>
    <s v="Cash on Delivery"/>
    <n v="2.4"/>
    <x v="5"/>
    <n v="66.350400000000008"/>
    <n v="4"/>
    <x v="0"/>
  </r>
  <r>
    <n v="1339"/>
    <n v="31"/>
    <x v="0"/>
    <x v="0"/>
    <x v="8"/>
    <s v="Jeans"/>
    <n v="115.32"/>
    <x v="3"/>
    <s v="Card"/>
    <n v="2.6"/>
    <x v="8"/>
    <n v="101.4816"/>
    <n v="6"/>
    <x v="0"/>
  </r>
  <r>
    <n v="1340"/>
    <n v="51"/>
    <x v="0"/>
    <x v="0"/>
    <x v="6"/>
    <s v="Skincare Kit"/>
    <n v="76.33"/>
    <x v="1"/>
    <s v="Card"/>
    <n v="4"/>
    <x v="13"/>
    <n v="69.460300000000004"/>
    <n v="2"/>
    <x v="1"/>
  </r>
  <r>
    <n v="1341"/>
    <n v="62"/>
    <x v="1"/>
    <x v="1"/>
    <x v="1"/>
    <s v="Jacket"/>
    <n v="181.25"/>
    <x v="3"/>
    <s v="Card"/>
    <n v="2.8"/>
    <x v="21"/>
    <n v="143.1875"/>
    <n v="8"/>
    <x v="2"/>
  </r>
  <r>
    <n v="1342"/>
    <n v="62"/>
    <x v="1"/>
    <x v="1"/>
    <x v="3"/>
    <s v="Kitchen Set"/>
    <n v="178.48"/>
    <x v="1"/>
    <s v="Card"/>
    <n v="2.9"/>
    <x v="3"/>
    <n v="142.78399999999999"/>
    <n v="5"/>
    <x v="0"/>
  </r>
  <r>
    <n v="1343"/>
    <n v="49"/>
    <x v="0"/>
    <x v="1"/>
    <x v="2"/>
    <s v="Yoga Mat"/>
    <n v="28.95"/>
    <x v="3"/>
    <s v="Cash on Delivery"/>
    <n v="3.4"/>
    <x v="18"/>
    <n v="22.001999999999999"/>
    <n v="7"/>
    <x v="0"/>
  </r>
  <r>
    <n v="1344"/>
    <n v="55"/>
    <x v="0"/>
    <x v="0"/>
    <x v="7"/>
    <s v="Sandals"/>
    <n v="96.28"/>
    <x v="1"/>
    <s v="Card"/>
    <n v="4"/>
    <x v="14"/>
    <n v="79.912399999999991"/>
    <n v="6"/>
    <x v="0"/>
  </r>
  <r>
    <n v="1345"/>
    <n v="36"/>
    <x v="0"/>
    <x v="1"/>
    <x v="4"/>
    <s v="Cooking Oil"/>
    <n v="17.13"/>
    <x v="2"/>
    <s v="Cash on Delivery"/>
    <n v="2.9"/>
    <x v="13"/>
    <n v="15.5883"/>
    <n v="2"/>
    <x v="1"/>
  </r>
  <r>
    <n v="1346"/>
    <n v="41"/>
    <x v="0"/>
    <x v="0"/>
    <x v="3"/>
    <s v="Kitchen Set"/>
    <n v="233.88"/>
    <x v="3"/>
    <s v="Card"/>
    <n v="4.4000000000000004"/>
    <x v="4"/>
    <n v="201.13679999999999"/>
    <n v="7"/>
    <x v="0"/>
  </r>
  <r>
    <n v="1347"/>
    <n v="33"/>
    <x v="0"/>
    <x v="0"/>
    <x v="7"/>
    <s v="Sandals"/>
    <n v="125.68"/>
    <x v="2"/>
    <s v="Card"/>
    <n v="4.5"/>
    <x v="18"/>
    <n v="95.516800000000003"/>
    <n v="7"/>
    <x v="0"/>
  </r>
  <r>
    <n v="1348"/>
    <n v="22"/>
    <x v="2"/>
    <x v="1"/>
    <x v="3"/>
    <s v="Lamp"/>
    <n v="132.30000000000001"/>
    <x v="0"/>
    <s v="Card"/>
    <n v="4.4000000000000004"/>
    <x v="5"/>
    <n v="121.71600000000002"/>
    <n v="4"/>
    <x v="0"/>
  </r>
  <r>
    <n v="1349"/>
    <n v="65"/>
    <x v="1"/>
    <x v="0"/>
    <x v="8"/>
    <s v="Jeans"/>
    <n v="80.239999999999995"/>
    <x v="3"/>
    <s v="Card"/>
    <n v="3.3"/>
    <x v="16"/>
    <n v="75.425599999999989"/>
    <n v="3"/>
    <x v="1"/>
  </r>
  <r>
    <n v="1350"/>
    <n v="58"/>
    <x v="0"/>
    <x v="0"/>
    <x v="8"/>
    <s v="Top"/>
    <n v="197.63"/>
    <x v="1"/>
    <s v="Card"/>
    <n v="4.2"/>
    <x v="25"/>
    <n v="138.34099999999998"/>
    <n v="10"/>
    <x v="2"/>
  </r>
  <r>
    <n v="1351"/>
    <n v="58"/>
    <x v="0"/>
    <x v="1"/>
    <x v="2"/>
    <s v="Football"/>
    <n v="144"/>
    <x v="0"/>
    <s v="Card"/>
    <n v="4.4000000000000004"/>
    <x v="18"/>
    <n v="109.44"/>
    <n v="7"/>
    <x v="0"/>
  </r>
  <r>
    <n v="1352"/>
    <n v="67"/>
    <x v="1"/>
    <x v="0"/>
    <x v="0"/>
    <s v="Sunglasses"/>
    <n v="173.81"/>
    <x v="3"/>
    <s v="Card"/>
    <n v="2.7"/>
    <x v="5"/>
    <n v="159.90520000000001"/>
    <n v="4"/>
    <x v="0"/>
  </r>
  <r>
    <n v="1353"/>
    <n v="54"/>
    <x v="0"/>
    <x v="0"/>
    <x v="8"/>
    <s v="Dress"/>
    <n v="130.33000000000001"/>
    <x v="3"/>
    <s v="Card"/>
    <n v="3.9"/>
    <x v="6"/>
    <n v="109.47720000000001"/>
    <n v="8"/>
    <x v="2"/>
  </r>
  <r>
    <n v="1354"/>
    <n v="52"/>
    <x v="0"/>
    <x v="0"/>
    <x v="0"/>
    <s v="Wallet"/>
    <n v="151.16999999999999"/>
    <x v="1"/>
    <s v="Card"/>
    <n v="2.7"/>
    <x v="21"/>
    <n v="119.4243"/>
    <n v="8"/>
    <x v="2"/>
  </r>
  <r>
    <n v="1355"/>
    <n v="43"/>
    <x v="0"/>
    <x v="0"/>
    <x v="6"/>
    <s v="Skincare Kit"/>
    <n v="56.31"/>
    <x v="1"/>
    <s v="Cash on Delivery"/>
    <n v="5"/>
    <x v="16"/>
    <n v="52.931399999999996"/>
    <n v="3"/>
    <x v="1"/>
  </r>
  <r>
    <n v="1356"/>
    <n v="39"/>
    <x v="0"/>
    <x v="0"/>
    <x v="7"/>
    <s v="Formal Shoes"/>
    <n v="79.95"/>
    <x v="3"/>
    <s v="Card"/>
    <n v="3.4"/>
    <x v="25"/>
    <n v="55.964999999999996"/>
    <n v="10"/>
    <x v="2"/>
  </r>
  <r>
    <n v="1357"/>
    <n v="60"/>
    <x v="0"/>
    <x v="1"/>
    <x v="5"/>
    <s v="Smart Watch"/>
    <n v="1905.2"/>
    <x v="2"/>
    <s v="Card"/>
    <n v="3.3"/>
    <x v="21"/>
    <n v="1505.1080000000002"/>
    <n v="8"/>
    <x v="2"/>
  </r>
  <r>
    <n v="1358"/>
    <n v="30"/>
    <x v="2"/>
    <x v="0"/>
    <x v="3"/>
    <s v="Kitchen Set"/>
    <n v="172.51"/>
    <x v="3"/>
    <s v="Card"/>
    <n v="2.4"/>
    <x v="10"/>
    <n v="134.55779999999999"/>
    <n v="6"/>
    <x v="0"/>
  </r>
  <r>
    <n v="1359"/>
    <n v="28"/>
    <x v="2"/>
    <x v="0"/>
    <x v="7"/>
    <s v="Sneakers"/>
    <n v="162.07"/>
    <x v="1"/>
    <s v="Card"/>
    <n v="2.7"/>
    <x v="2"/>
    <n v="144.2423"/>
    <n v="3"/>
    <x v="1"/>
  </r>
  <r>
    <n v="1360"/>
    <n v="60"/>
    <x v="0"/>
    <x v="0"/>
    <x v="8"/>
    <s v="Dress"/>
    <n v="75.11"/>
    <x v="3"/>
    <s v="Card"/>
    <n v="4"/>
    <x v="8"/>
    <n v="66.096800000000002"/>
    <n v="6"/>
    <x v="0"/>
  </r>
  <r>
    <n v="1361"/>
    <n v="52"/>
    <x v="0"/>
    <x v="0"/>
    <x v="4"/>
    <s v="Cooking Oil"/>
    <n v="66.05"/>
    <x v="3"/>
    <s v="Cash on Delivery"/>
    <n v="3.7"/>
    <x v="7"/>
    <n v="59.445"/>
    <n v="5"/>
    <x v="0"/>
  </r>
  <r>
    <n v="1362"/>
    <n v="32"/>
    <x v="0"/>
    <x v="1"/>
    <x v="2"/>
    <s v="Football"/>
    <n v="136.35"/>
    <x v="1"/>
    <s v="Card"/>
    <n v="3.3"/>
    <x v="6"/>
    <n v="114.53399999999999"/>
    <n v="3"/>
    <x v="1"/>
  </r>
  <r>
    <n v="1363"/>
    <n v="39"/>
    <x v="0"/>
    <x v="0"/>
    <x v="6"/>
    <s v="Makeup Set"/>
    <n v="141.19"/>
    <x v="2"/>
    <s v="Card"/>
    <n v="1.5"/>
    <x v="4"/>
    <n v="121.4234"/>
    <n v="7"/>
    <x v="0"/>
  </r>
  <r>
    <n v="1364"/>
    <n v="42"/>
    <x v="0"/>
    <x v="0"/>
    <x v="7"/>
    <s v="Formal Shoes"/>
    <n v="76.55"/>
    <x v="0"/>
    <s v="Cash on Delivery"/>
    <n v="3.6"/>
    <x v="19"/>
    <n v="65.067499999999995"/>
    <n v="5"/>
    <x v="0"/>
  </r>
  <r>
    <n v="1365"/>
    <n v="52"/>
    <x v="0"/>
    <x v="1"/>
    <x v="7"/>
    <s v="Formal Shoes"/>
    <n v="248.92"/>
    <x v="1"/>
    <s v="Card"/>
    <n v="3.4"/>
    <x v="1"/>
    <n v="216.56039999999999"/>
    <n v="4"/>
    <x v="0"/>
  </r>
  <r>
    <n v="1366"/>
    <n v="54"/>
    <x v="0"/>
    <x v="1"/>
    <x v="7"/>
    <s v="Sneakers"/>
    <n v="247.98"/>
    <x v="1"/>
    <s v="Card"/>
    <n v="3.6"/>
    <x v="7"/>
    <n v="223.18199999999999"/>
    <n v="5"/>
    <x v="0"/>
  </r>
  <r>
    <n v="1367"/>
    <n v="64"/>
    <x v="1"/>
    <x v="1"/>
    <x v="5"/>
    <s v="Smart Watch"/>
    <n v="1925.6"/>
    <x v="1"/>
    <s v="Card"/>
    <n v="2.6"/>
    <x v="1"/>
    <n v="1675.2719999999999"/>
    <n v="4"/>
    <x v="0"/>
  </r>
  <r>
    <n v="1368"/>
    <n v="51"/>
    <x v="0"/>
    <x v="1"/>
    <x v="2"/>
    <s v="Dumbbells"/>
    <n v="139.66"/>
    <x v="2"/>
    <s v="Card"/>
    <n v="3.6"/>
    <x v="13"/>
    <n v="127.09059999999999"/>
    <n v="2"/>
    <x v="1"/>
  </r>
  <r>
    <n v="1369"/>
    <n v="65"/>
    <x v="1"/>
    <x v="1"/>
    <x v="1"/>
    <s v="Jeans"/>
    <n v="199.78"/>
    <x v="0"/>
    <s v="Card"/>
    <n v="3.5"/>
    <x v="19"/>
    <n v="169.81299999999999"/>
    <n v="5"/>
    <x v="0"/>
  </r>
  <r>
    <n v="1370"/>
    <n v="22"/>
    <x v="2"/>
    <x v="0"/>
    <x v="6"/>
    <s v="Skincare Kit"/>
    <n v="45.19"/>
    <x v="3"/>
    <s v="Card"/>
    <n v="4.7"/>
    <x v="8"/>
    <n v="39.767199999999995"/>
    <n v="6"/>
    <x v="0"/>
  </r>
  <r>
    <n v="1371"/>
    <n v="30"/>
    <x v="2"/>
    <x v="0"/>
    <x v="7"/>
    <s v="Sneakers"/>
    <n v="206.49"/>
    <x v="3"/>
    <s v="Card"/>
    <n v="3.6"/>
    <x v="3"/>
    <n v="165.19200000000001"/>
    <n v="5"/>
    <x v="0"/>
  </r>
  <r>
    <n v="1372"/>
    <n v="52"/>
    <x v="0"/>
    <x v="1"/>
    <x v="5"/>
    <s v="Mobile Phone"/>
    <n v="1357.56"/>
    <x v="0"/>
    <s v="Card"/>
    <n v="5"/>
    <x v="6"/>
    <n v="1140.3503999999998"/>
    <n v="8"/>
    <x v="2"/>
  </r>
  <r>
    <n v="1373"/>
    <n v="26"/>
    <x v="2"/>
    <x v="0"/>
    <x v="7"/>
    <s v="Sneakers"/>
    <n v="160.69"/>
    <x v="0"/>
    <s v="Card"/>
    <n v="4.3"/>
    <x v="19"/>
    <n v="136.5865"/>
    <n v="5"/>
    <x v="0"/>
  </r>
  <r>
    <n v="1374"/>
    <n v="29"/>
    <x v="2"/>
    <x v="0"/>
    <x v="2"/>
    <s v="Yoga Mat"/>
    <n v="239.09"/>
    <x v="3"/>
    <s v="Card"/>
    <n v="4"/>
    <x v="16"/>
    <n v="224.74459999999999"/>
    <n v="3"/>
    <x v="1"/>
  </r>
  <r>
    <n v="1375"/>
    <n v="61"/>
    <x v="1"/>
    <x v="1"/>
    <x v="5"/>
    <s v="Headphones"/>
    <n v="2519.73"/>
    <x v="3"/>
    <s v="Card"/>
    <n v="3.5"/>
    <x v="3"/>
    <n v="2015.7840000000001"/>
    <n v="5"/>
    <x v="0"/>
  </r>
  <r>
    <n v="1376"/>
    <n v="62"/>
    <x v="1"/>
    <x v="0"/>
    <x v="7"/>
    <s v="Formal Shoes"/>
    <n v="218.99"/>
    <x v="0"/>
    <s v="Card"/>
    <n v="3.6"/>
    <x v="6"/>
    <n v="183.95160000000001"/>
    <n v="3"/>
    <x v="1"/>
  </r>
  <r>
    <n v="1377"/>
    <n v="64"/>
    <x v="1"/>
    <x v="1"/>
    <x v="7"/>
    <s v="Formal Shoes"/>
    <n v="244.01"/>
    <x v="1"/>
    <s v="Card"/>
    <n v="4.0999999999999996"/>
    <x v="19"/>
    <n v="207.40849999999998"/>
    <n v="5"/>
    <x v="0"/>
  </r>
  <r>
    <n v="1378"/>
    <n v="31"/>
    <x v="0"/>
    <x v="0"/>
    <x v="3"/>
    <s v="Lamp"/>
    <n v="140.22999999999999"/>
    <x v="0"/>
    <s v="Card"/>
    <n v="3"/>
    <x v="13"/>
    <n v="127.60929999999999"/>
    <n v="2"/>
    <x v="1"/>
  </r>
  <r>
    <n v="1379"/>
    <n v="49"/>
    <x v="0"/>
    <x v="1"/>
    <x v="5"/>
    <s v="Smart Watch"/>
    <n v="2191.92"/>
    <x v="3"/>
    <s v="Card"/>
    <n v="2.8"/>
    <x v="1"/>
    <n v="1906.9704000000002"/>
    <n v="4"/>
    <x v="0"/>
  </r>
  <r>
    <n v="1380"/>
    <n v="46"/>
    <x v="0"/>
    <x v="0"/>
    <x v="3"/>
    <s v="Curtains"/>
    <n v="145.72999999999999"/>
    <x v="0"/>
    <s v="Card"/>
    <n v="2.7"/>
    <x v="4"/>
    <n v="125.3278"/>
    <n v="2"/>
    <x v="1"/>
  </r>
  <r>
    <n v="1381"/>
    <n v="32"/>
    <x v="0"/>
    <x v="0"/>
    <x v="8"/>
    <s v="Top"/>
    <n v="194.29"/>
    <x v="3"/>
    <s v="Card"/>
    <n v="3.6"/>
    <x v="7"/>
    <n v="174.86099999999999"/>
    <n v="5"/>
    <x v="0"/>
  </r>
  <r>
    <n v="1382"/>
    <n v="29"/>
    <x v="2"/>
    <x v="1"/>
    <x v="3"/>
    <s v="Curtains"/>
    <n v="219.13"/>
    <x v="3"/>
    <s v="Card"/>
    <n v="2.8"/>
    <x v="3"/>
    <n v="175.304"/>
    <n v="5"/>
    <x v="0"/>
  </r>
  <r>
    <n v="1383"/>
    <n v="53"/>
    <x v="0"/>
    <x v="0"/>
    <x v="6"/>
    <s v="Perfume"/>
    <n v="73"/>
    <x v="0"/>
    <s v="Card"/>
    <n v="2.8"/>
    <x v="0"/>
    <n v="59.860000000000007"/>
    <n v="4"/>
    <x v="0"/>
  </r>
  <r>
    <n v="1384"/>
    <n v="56"/>
    <x v="0"/>
    <x v="1"/>
    <x v="2"/>
    <s v="Yoga Mat"/>
    <n v="206.69"/>
    <x v="3"/>
    <s v="Card"/>
    <n v="4.0999999999999996"/>
    <x v="19"/>
    <n v="175.6865"/>
    <n v="5"/>
    <x v="0"/>
  </r>
  <r>
    <n v="1385"/>
    <n v="49"/>
    <x v="0"/>
    <x v="1"/>
    <x v="7"/>
    <s v="Sandals"/>
    <n v="171.39"/>
    <x v="2"/>
    <s v="Card"/>
    <n v="5"/>
    <x v="1"/>
    <n v="149.10929999999999"/>
    <n v="4"/>
    <x v="0"/>
  </r>
  <r>
    <n v="1386"/>
    <n v="49"/>
    <x v="0"/>
    <x v="0"/>
    <x v="3"/>
    <s v="Lamp"/>
    <n v="281.41000000000003"/>
    <x v="0"/>
    <s v="Card"/>
    <n v="4.5999999999999996"/>
    <x v="7"/>
    <n v="253.26900000000003"/>
    <n v="5"/>
    <x v="0"/>
  </r>
  <r>
    <n v="1387"/>
    <n v="42"/>
    <x v="0"/>
    <x v="1"/>
    <x v="4"/>
    <s v="Cooking Oil"/>
    <n v="65.66"/>
    <x v="3"/>
    <s v="Cash on Delivery"/>
    <n v="3.1"/>
    <x v="3"/>
    <n v="52.527999999999999"/>
    <n v="5"/>
    <x v="0"/>
  </r>
  <r>
    <n v="1388"/>
    <n v="66"/>
    <x v="1"/>
    <x v="1"/>
    <x v="1"/>
    <s v="T-Shirt"/>
    <n v="117.92"/>
    <x v="3"/>
    <s v="Card"/>
    <n v="3.1"/>
    <x v="0"/>
    <n v="96.694400000000002"/>
    <n v="9"/>
    <x v="2"/>
  </r>
  <r>
    <n v="1389"/>
    <n v="57"/>
    <x v="0"/>
    <x v="0"/>
    <x v="0"/>
    <s v="Wallet"/>
    <n v="85.12"/>
    <x v="0"/>
    <s v="Cash on Delivery"/>
    <n v="3"/>
    <x v="7"/>
    <n v="76.608000000000004"/>
    <n v="5"/>
    <x v="0"/>
  </r>
  <r>
    <n v="1390"/>
    <n v="21"/>
    <x v="2"/>
    <x v="1"/>
    <x v="5"/>
    <s v="Headphones"/>
    <n v="522.74"/>
    <x v="3"/>
    <s v="Card"/>
    <n v="4.8"/>
    <x v="18"/>
    <n v="397.2824"/>
    <n v="7"/>
    <x v="0"/>
  </r>
  <r>
    <n v="1391"/>
    <n v="70"/>
    <x v="1"/>
    <x v="1"/>
    <x v="2"/>
    <s v="Dumbbells"/>
    <n v="146.30000000000001"/>
    <x v="3"/>
    <s v="Card"/>
    <n v="3.3"/>
    <x v="3"/>
    <n v="117.04000000000002"/>
    <n v="5"/>
    <x v="0"/>
  </r>
  <r>
    <n v="1392"/>
    <n v="57"/>
    <x v="0"/>
    <x v="1"/>
    <x v="7"/>
    <s v="Sneakers"/>
    <n v="188.81"/>
    <x v="1"/>
    <s v="Card"/>
    <n v="4.0999999999999996"/>
    <x v="2"/>
    <n v="168.04089999999999"/>
    <n v="3"/>
    <x v="1"/>
  </r>
  <r>
    <n v="1393"/>
    <n v="24"/>
    <x v="2"/>
    <x v="1"/>
    <x v="5"/>
    <s v="Smart Watch"/>
    <n v="973.64"/>
    <x v="0"/>
    <s v="Card"/>
    <n v="4.3"/>
    <x v="6"/>
    <n v="817.85759999999993"/>
    <n v="3"/>
    <x v="1"/>
  </r>
  <r>
    <n v="1394"/>
    <n v="61"/>
    <x v="1"/>
    <x v="1"/>
    <x v="5"/>
    <s v="Mobile Phone"/>
    <n v="1496.01"/>
    <x v="2"/>
    <s v="Card"/>
    <n v="4"/>
    <x v="1"/>
    <n v="1301.5287000000001"/>
    <n v="4"/>
    <x v="0"/>
  </r>
  <r>
    <n v="1395"/>
    <n v="56"/>
    <x v="0"/>
    <x v="0"/>
    <x v="7"/>
    <s v="Formal Shoes"/>
    <n v="228.28"/>
    <x v="3"/>
    <s v="Card"/>
    <n v="4.0999999999999996"/>
    <x v="16"/>
    <n v="214.58319999999998"/>
    <n v="3"/>
    <x v="1"/>
  </r>
  <r>
    <n v="1396"/>
    <n v="40"/>
    <x v="0"/>
    <x v="0"/>
    <x v="0"/>
    <s v="Sunglasses"/>
    <n v="119.97"/>
    <x v="3"/>
    <s v="Card"/>
    <n v="4"/>
    <x v="1"/>
    <n v="104.37389999999999"/>
    <n v="4"/>
    <x v="0"/>
  </r>
  <r>
    <n v="1397"/>
    <n v="23"/>
    <x v="2"/>
    <x v="0"/>
    <x v="8"/>
    <s v="Jeans"/>
    <n v="123.01"/>
    <x v="1"/>
    <s v="Card"/>
    <n v="3.9"/>
    <x v="14"/>
    <n v="102.09829999999999"/>
    <n v="6"/>
    <x v="0"/>
  </r>
  <r>
    <n v="1398"/>
    <n v="43"/>
    <x v="0"/>
    <x v="0"/>
    <x v="0"/>
    <s v="Handbag"/>
    <n v="162.25"/>
    <x v="1"/>
    <s v="Card"/>
    <n v="4.2"/>
    <x v="16"/>
    <n v="152.51499999999999"/>
    <n v="3"/>
    <x v="1"/>
  </r>
  <r>
    <n v="1399"/>
    <n v="54"/>
    <x v="0"/>
    <x v="0"/>
    <x v="7"/>
    <s v="Sneakers"/>
    <n v="194.79"/>
    <x v="2"/>
    <s v="Card"/>
    <n v="2.2000000000000002"/>
    <x v="6"/>
    <n v="163.62359999999998"/>
    <n v="8"/>
    <x v="2"/>
  </r>
  <r>
    <n v="1400"/>
    <n v="50"/>
    <x v="0"/>
    <x v="1"/>
    <x v="2"/>
    <s v="Dumbbells"/>
    <n v="126.38"/>
    <x v="0"/>
    <s v="Card"/>
    <n v="3.4"/>
    <x v="16"/>
    <n v="118.79719999999999"/>
    <n v="3"/>
    <x v="1"/>
  </r>
  <r>
    <n v="1401"/>
    <n v="67"/>
    <x v="1"/>
    <x v="0"/>
    <x v="7"/>
    <s v="Sandals"/>
    <n v="246.6"/>
    <x v="1"/>
    <s v="Card"/>
    <n v="4.8"/>
    <x v="19"/>
    <n v="209.60999999999999"/>
    <n v="5"/>
    <x v="0"/>
  </r>
  <r>
    <n v="1402"/>
    <n v="59"/>
    <x v="0"/>
    <x v="1"/>
    <x v="1"/>
    <s v="Shirt"/>
    <n v="116.03"/>
    <x v="1"/>
    <s v="Card"/>
    <n v="2.6"/>
    <x v="23"/>
    <n v="107.9079"/>
    <n v="1"/>
    <x v="1"/>
  </r>
  <r>
    <n v="1403"/>
    <n v="21"/>
    <x v="2"/>
    <x v="0"/>
    <x v="0"/>
    <s v="Wallet"/>
    <n v="157.32"/>
    <x v="2"/>
    <s v="Card"/>
    <n v="3.1"/>
    <x v="0"/>
    <n v="129.00239999999999"/>
    <n v="4"/>
    <x v="0"/>
  </r>
  <r>
    <n v="1404"/>
    <n v="26"/>
    <x v="2"/>
    <x v="0"/>
    <x v="6"/>
    <s v="Makeup Set"/>
    <n v="96.17"/>
    <x v="3"/>
    <s v="Cash on Delivery"/>
    <n v="3.5"/>
    <x v="19"/>
    <n v="81.744500000000002"/>
    <n v="5"/>
    <x v="0"/>
  </r>
  <r>
    <n v="1405"/>
    <n v="21"/>
    <x v="2"/>
    <x v="0"/>
    <x v="7"/>
    <s v="Sneakers"/>
    <n v="103.99"/>
    <x v="1"/>
    <s v="Card"/>
    <n v="4.3"/>
    <x v="2"/>
    <n v="92.551099999999991"/>
    <n v="3"/>
    <x v="1"/>
  </r>
  <r>
    <n v="1406"/>
    <n v="57"/>
    <x v="0"/>
    <x v="1"/>
    <x v="5"/>
    <s v="Smart Watch"/>
    <n v="629.5"/>
    <x v="1"/>
    <s v="Card"/>
    <n v="3.7"/>
    <x v="19"/>
    <n v="535.07499999999993"/>
    <n v="5"/>
    <x v="0"/>
  </r>
  <r>
    <n v="1407"/>
    <n v="23"/>
    <x v="2"/>
    <x v="1"/>
    <x v="5"/>
    <s v="Smart Watch"/>
    <n v="1444.5"/>
    <x v="1"/>
    <s v="Card"/>
    <n v="3.2"/>
    <x v="4"/>
    <n v="1242.27"/>
    <n v="2"/>
    <x v="1"/>
  </r>
  <r>
    <n v="1408"/>
    <n v="57"/>
    <x v="0"/>
    <x v="1"/>
    <x v="1"/>
    <s v="Jacket"/>
    <n v="36.46"/>
    <x v="3"/>
    <s v="Card"/>
    <n v="2.6"/>
    <x v="17"/>
    <n v="35.001599999999996"/>
    <n v="2"/>
    <x v="1"/>
  </r>
  <r>
    <n v="1409"/>
    <n v="31"/>
    <x v="0"/>
    <x v="0"/>
    <x v="6"/>
    <s v="Perfume"/>
    <n v="80.36"/>
    <x v="3"/>
    <s v="Cash on Delivery"/>
    <n v="4.5"/>
    <x v="14"/>
    <n v="66.698799999999991"/>
    <n v="6"/>
    <x v="0"/>
  </r>
  <r>
    <n v="1410"/>
    <n v="57"/>
    <x v="0"/>
    <x v="1"/>
    <x v="5"/>
    <s v="Headphones"/>
    <n v="2547.41"/>
    <x v="1"/>
    <s v="Card"/>
    <n v="3.7"/>
    <x v="6"/>
    <n v="2139.8244"/>
    <n v="3"/>
    <x v="1"/>
  </r>
  <r>
    <n v="1411"/>
    <n v="55"/>
    <x v="0"/>
    <x v="0"/>
    <x v="7"/>
    <s v="Sneakers"/>
    <n v="75.06"/>
    <x v="3"/>
    <s v="Card"/>
    <n v="3.9"/>
    <x v="8"/>
    <n v="66.052800000000005"/>
    <n v="1"/>
    <x v="1"/>
  </r>
  <r>
    <n v="1412"/>
    <n v="47"/>
    <x v="0"/>
    <x v="0"/>
    <x v="6"/>
    <s v="Skincare Kit"/>
    <n v="42.38"/>
    <x v="3"/>
    <s v="Cash on Delivery"/>
    <n v="3.4"/>
    <x v="14"/>
    <n v="35.175400000000003"/>
    <n v="6"/>
    <x v="0"/>
  </r>
  <r>
    <n v="1413"/>
    <n v="52"/>
    <x v="0"/>
    <x v="0"/>
    <x v="6"/>
    <s v="Skincare Kit"/>
    <n v="134.53"/>
    <x v="0"/>
    <s v="Card"/>
    <n v="3.8"/>
    <x v="11"/>
    <n v="99.552199999999999"/>
    <n v="8"/>
    <x v="2"/>
  </r>
  <r>
    <n v="1414"/>
    <n v="23"/>
    <x v="2"/>
    <x v="1"/>
    <x v="7"/>
    <s v="Formal Shoes"/>
    <n v="214.52"/>
    <x v="3"/>
    <s v="Card"/>
    <n v="2.6"/>
    <x v="17"/>
    <n v="205.9392"/>
    <n v="2"/>
    <x v="1"/>
  </r>
  <r>
    <n v="1415"/>
    <n v="24"/>
    <x v="2"/>
    <x v="0"/>
    <x v="6"/>
    <s v="Skincare Kit"/>
    <n v="42.87"/>
    <x v="1"/>
    <s v="Card"/>
    <n v="3.6"/>
    <x v="19"/>
    <n v="36.439499999999995"/>
    <n v="5"/>
    <x v="0"/>
  </r>
  <r>
    <n v="1416"/>
    <n v="22"/>
    <x v="2"/>
    <x v="1"/>
    <x v="2"/>
    <s v="Football"/>
    <n v="180.61"/>
    <x v="1"/>
    <s v="Card"/>
    <n v="3"/>
    <x v="19"/>
    <n v="153.51850000000002"/>
    <n v="5"/>
    <x v="0"/>
  </r>
  <r>
    <n v="1417"/>
    <n v="52"/>
    <x v="0"/>
    <x v="1"/>
    <x v="7"/>
    <s v="Sandals"/>
    <n v="161.19999999999999"/>
    <x v="2"/>
    <s v="Card"/>
    <n v="3.1"/>
    <x v="17"/>
    <n v="154.75199999999998"/>
    <n v="2"/>
    <x v="1"/>
  </r>
  <r>
    <n v="1418"/>
    <n v="49"/>
    <x v="0"/>
    <x v="0"/>
    <x v="2"/>
    <s v="Dumbbells"/>
    <n v="166.73"/>
    <x v="1"/>
    <s v="Card"/>
    <n v="2.2999999999999998"/>
    <x v="19"/>
    <n v="141.72049999999999"/>
    <n v="5"/>
    <x v="0"/>
  </r>
  <r>
    <n v="1419"/>
    <n v="29"/>
    <x v="2"/>
    <x v="0"/>
    <x v="7"/>
    <s v="Sandals"/>
    <n v="102.67"/>
    <x v="1"/>
    <s v="Card"/>
    <n v="3"/>
    <x v="16"/>
    <n v="96.509799999999998"/>
    <n v="3"/>
    <x v="1"/>
  </r>
  <r>
    <n v="1420"/>
    <n v="54"/>
    <x v="0"/>
    <x v="1"/>
    <x v="5"/>
    <s v="Laptop"/>
    <n v="999.76"/>
    <x v="2"/>
    <s v="Card"/>
    <n v="4"/>
    <x v="5"/>
    <n v="919.77920000000006"/>
    <n v="4"/>
    <x v="0"/>
  </r>
  <r>
    <n v="1421"/>
    <n v="31"/>
    <x v="0"/>
    <x v="1"/>
    <x v="2"/>
    <s v="Football"/>
    <n v="112.39"/>
    <x v="1"/>
    <s v="Card"/>
    <n v="4.7"/>
    <x v="11"/>
    <n v="83.168599999999998"/>
    <n v="8"/>
    <x v="2"/>
  </r>
  <r>
    <n v="1422"/>
    <n v="54"/>
    <x v="0"/>
    <x v="1"/>
    <x v="1"/>
    <s v="Jacket"/>
    <n v="161.28"/>
    <x v="2"/>
    <s v="Card"/>
    <n v="3.4"/>
    <x v="6"/>
    <n v="135.4752"/>
    <n v="3"/>
    <x v="1"/>
  </r>
  <r>
    <n v="1423"/>
    <n v="32"/>
    <x v="0"/>
    <x v="1"/>
    <x v="4"/>
    <s v="Snacks"/>
    <n v="31.93"/>
    <x v="2"/>
    <s v="Cash on Delivery"/>
    <n v="4.3"/>
    <x v="13"/>
    <n v="29.0563"/>
    <n v="2"/>
    <x v="1"/>
  </r>
  <r>
    <n v="1424"/>
    <n v="26"/>
    <x v="2"/>
    <x v="0"/>
    <x v="8"/>
    <s v="Top"/>
    <n v="53"/>
    <x v="1"/>
    <s v="Cash on Delivery"/>
    <n v="4.4000000000000004"/>
    <x v="8"/>
    <n v="46.64"/>
    <n v="6"/>
    <x v="0"/>
  </r>
  <r>
    <n v="1425"/>
    <n v="22"/>
    <x v="2"/>
    <x v="0"/>
    <x v="8"/>
    <s v="Top"/>
    <n v="64.8"/>
    <x v="0"/>
    <s v="Cash on Delivery"/>
    <n v="2.7"/>
    <x v="12"/>
    <n v="52.488"/>
    <n v="7"/>
    <x v="0"/>
  </r>
  <r>
    <n v="1426"/>
    <n v="61"/>
    <x v="1"/>
    <x v="0"/>
    <x v="3"/>
    <s v="Kitchen Set"/>
    <n v="74.16"/>
    <x v="3"/>
    <s v="Cash on Delivery"/>
    <n v="4.8"/>
    <x v="0"/>
    <n v="60.811199999999999"/>
    <n v="4"/>
    <x v="0"/>
  </r>
  <r>
    <n v="1427"/>
    <n v="67"/>
    <x v="1"/>
    <x v="1"/>
    <x v="2"/>
    <s v="Dumbbells"/>
    <n v="238.74"/>
    <x v="2"/>
    <s v="Card"/>
    <n v="3.4"/>
    <x v="11"/>
    <n v="176.66759999999999"/>
    <n v="8"/>
    <x v="2"/>
  </r>
  <r>
    <n v="1428"/>
    <n v="28"/>
    <x v="2"/>
    <x v="1"/>
    <x v="1"/>
    <s v="Jacket"/>
    <n v="30.21"/>
    <x v="2"/>
    <s v="Card"/>
    <n v="3.7"/>
    <x v="4"/>
    <n v="25.980599999999999"/>
    <n v="2"/>
    <x v="1"/>
  </r>
  <r>
    <n v="1429"/>
    <n v="20"/>
    <x v="2"/>
    <x v="0"/>
    <x v="7"/>
    <s v="Formal Shoes"/>
    <n v="200.62"/>
    <x v="0"/>
    <s v="Card"/>
    <n v="4.5999999999999996"/>
    <x v="8"/>
    <n v="176.54560000000001"/>
    <n v="6"/>
    <x v="0"/>
  </r>
  <r>
    <n v="1430"/>
    <n v="25"/>
    <x v="2"/>
    <x v="1"/>
    <x v="2"/>
    <s v="Dumbbells"/>
    <n v="238.55"/>
    <x v="1"/>
    <s v="Card"/>
    <n v="4"/>
    <x v="8"/>
    <n v="209.92400000000001"/>
    <n v="6"/>
    <x v="0"/>
  </r>
  <r>
    <n v="1431"/>
    <n v="28"/>
    <x v="2"/>
    <x v="0"/>
    <x v="8"/>
    <s v="Dress"/>
    <n v="159.04"/>
    <x v="1"/>
    <s v="Card"/>
    <n v="4.8"/>
    <x v="11"/>
    <n v="117.6896"/>
    <n v="8"/>
    <x v="2"/>
  </r>
  <r>
    <n v="1432"/>
    <n v="21"/>
    <x v="2"/>
    <x v="1"/>
    <x v="4"/>
    <s v="Rice Pack"/>
    <n v="63.05"/>
    <x v="0"/>
    <s v="Cash on Delivery"/>
    <n v="4.3"/>
    <x v="21"/>
    <n v="49.8095"/>
    <n v="8"/>
    <x v="2"/>
  </r>
  <r>
    <n v="1433"/>
    <n v="35"/>
    <x v="0"/>
    <x v="1"/>
    <x v="5"/>
    <s v="Smart Watch"/>
    <n v="2360.5"/>
    <x v="3"/>
    <s v="Card"/>
    <n v="4.4000000000000004"/>
    <x v="8"/>
    <n v="2077.2400000000002"/>
    <n v="6"/>
    <x v="0"/>
  </r>
  <r>
    <n v="1434"/>
    <n v="23"/>
    <x v="2"/>
    <x v="0"/>
    <x v="8"/>
    <s v="Top"/>
    <n v="104.09"/>
    <x v="1"/>
    <s v="Card"/>
    <n v="3.8"/>
    <x v="6"/>
    <n v="87.435599999999994"/>
    <n v="8"/>
    <x v="2"/>
  </r>
  <r>
    <n v="1435"/>
    <n v="52"/>
    <x v="0"/>
    <x v="0"/>
    <x v="2"/>
    <s v="Football"/>
    <n v="245.46"/>
    <x v="1"/>
    <s v="Card"/>
    <n v="5"/>
    <x v="12"/>
    <n v="198.82260000000002"/>
    <n v="7"/>
    <x v="0"/>
  </r>
  <r>
    <n v="1436"/>
    <n v="68"/>
    <x v="1"/>
    <x v="1"/>
    <x v="1"/>
    <s v="Jeans"/>
    <n v="175.43"/>
    <x v="3"/>
    <s v="Card"/>
    <n v="3.7"/>
    <x v="7"/>
    <n v="157.887"/>
    <n v="5"/>
    <x v="0"/>
  </r>
  <r>
    <n v="1437"/>
    <n v="55"/>
    <x v="0"/>
    <x v="0"/>
    <x v="0"/>
    <s v="Sunglasses"/>
    <n v="169.49"/>
    <x v="2"/>
    <s v="Card"/>
    <n v="3.6"/>
    <x v="0"/>
    <n v="138.98180000000002"/>
    <n v="4"/>
    <x v="0"/>
  </r>
  <r>
    <n v="1438"/>
    <n v="59"/>
    <x v="0"/>
    <x v="0"/>
    <x v="6"/>
    <s v="Skincare Kit"/>
    <n v="101.48"/>
    <x v="2"/>
    <s v="Card"/>
    <n v="4.3"/>
    <x v="17"/>
    <n v="97.4208"/>
    <n v="2"/>
    <x v="1"/>
  </r>
  <r>
    <n v="1439"/>
    <n v="22"/>
    <x v="2"/>
    <x v="1"/>
    <x v="5"/>
    <s v="Laptop"/>
    <n v="2140.58"/>
    <x v="2"/>
    <s v="Card"/>
    <n v="3.5"/>
    <x v="0"/>
    <n v="1755.2756000000002"/>
    <n v="4"/>
    <x v="0"/>
  </r>
  <r>
    <n v="1440"/>
    <n v="47"/>
    <x v="0"/>
    <x v="1"/>
    <x v="2"/>
    <s v="Football"/>
    <n v="203.57"/>
    <x v="0"/>
    <s v="Card"/>
    <n v="3.7"/>
    <x v="6"/>
    <n v="170.99879999999999"/>
    <n v="3"/>
    <x v="1"/>
  </r>
  <r>
    <n v="1441"/>
    <n v="40"/>
    <x v="0"/>
    <x v="0"/>
    <x v="8"/>
    <s v="Top"/>
    <n v="139.26"/>
    <x v="1"/>
    <s v="Card"/>
    <n v="3.3"/>
    <x v="18"/>
    <n v="105.83759999999999"/>
    <n v="7"/>
    <x v="0"/>
  </r>
  <r>
    <n v="1442"/>
    <n v="67"/>
    <x v="1"/>
    <x v="0"/>
    <x v="8"/>
    <s v="Top"/>
    <n v="67.400000000000006"/>
    <x v="1"/>
    <s v="Cash on Delivery"/>
    <n v="3.3"/>
    <x v="10"/>
    <n v="52.572000000000003"/>
    <n v="6"/>
    <x v="0"/>
  </r>
  <r>
    <n v="1443"/>
    <n v="34"/>
    <x v="0"/>
    <x v="0"/>
    <x v="6"/>
    <s v="Makeup Set"/>
    <n v="116.44"/>
    <x v="3"/>
    <s v="Card"/>
    <n v="4"/>
    <x v="27"/>
    <n v="87.33"/>
    <n v="10"/>
    <x v="2"/>
  </r>
  <r>
    <n v="1444"/>
    <n v="50"/>
    <x v="0"/>
    <x v="1"/>
    <x v="2"/>
    <s v="Yoga Mat"/>
    <n v="184.94"/>
    <x v="3"/>
    <s v="Card"/>
    <n v="2.5"/>
    <x v="5"/>
    <n v="170.1448"/>
    <n v="4"/>
    <x v="0"/>
  </r>
  <r>
    <n v="1445"/>
    <n v="70"/>
    <x v="1"/>
    <x v="0"/>
    <x v="0"/>
    <s v="Wallet"/>
    <n v="103.96"/>
    <x v="2"/>
    <s v="Card"/>
    <n v="5"/>
    <x v="15"/>
    <n v="101.88079999999999"/>
    <n v="1"/>
    <x v="1"/>
  </r>
  <r>
    <n v="1446"/>
    <n v="49"/>
    <x v="0"/>
    <x v="1"/>
    <x v="1"/>
    <s v="Shirt"/>
    <n v="181.17"/>
    <x v="1"/>
    <s v="Card"/>
    <n v="4.4000000000000004"/>
    <x v="0"/>
    <n v="148.55940000000001"/>
    <n v="4"/>
    <x v="0"/>
  </r>
  <r>
    <n v="1447"/>
    <n v="30"/>
    <x v="2"/>
    <x v="0"/>
    <x v="6"/>
    <s v="Skincare Kit"/>
    <n v="68.95"/>
    <x v="3"/>
    <s v="Card"/>
    <n v="4.4000000000000004"/>
    <x v="10"/>
    <n v="53.781000000000006"/>
    <n v="6"/>
    <x v="0"/>
  </r>
  <r>
    <n v="1448"/>
    <n v="66"/>
    <x v="1"/>
    <x v="1"/>
    <x v="7"/>
    <s v="Sneakers"/>
    <n v="111.46"/>
    <x v="0"/>
    <s v="Card"/>
    <n v="2.2999999999999998"/>
    <x v="7"/>
    <n v="100.31399999999999"/>
    <n v="0"/>
    <x v="1"/>
  </r>
  <r>
    <n v="1449"/>
    <n v="46"/>
    <x v="0"/>
    <x v="0"/>
    <x v="8"/>
    <s v="Top"/>
    <n v="145.36000000000001"/>
    <x v="3"/>
    <s v="Card"/>
    <n v="4.3"/>
    <x v="10"/>
    <n v="113.38080000000001"/>
    <n v="6"/>
    <x v="0"/>
  </r>
  <r>
    <n v="1450"/>
    <n v="40"/>
    <x v="0"/>
    <x v="0"/>
    <x v="6"/>
    <s v="Perfume"/>
    <n v="46.27"/>
    <x v="1"/>
    <s v="Card"/>
    <n v="4.5"/>
    <x v="0"/>
    <n v="37.941400000000009"/>
    <n v="4"/>
    <x v="0"/>
  </r>
  <r>
    <n v="1451"/>
    <n v="38"/>
    <x v="0"/>
    <x v="1"/>
    <x v="1"/>
    <s v="Shirt"/>
    <n v="57.51"/>
    <x v="2"/>
    <s v="Cash on Delivery"/>
    <n v="3.9"/>
    <x v="13"/>
    <n v="52.334099999999999"/>
    <n v="2"/>
    <x v="1"/>
  </r>
  <r>
    <n v="1452"/>
    <n v="55"/>
    <x v="0"/>
    <x v="0"/>
    <x v="8"/>
    <s v="Jeans"/>
    <n v="138.96"/>
    <x v="0"/>
    <s v="Card"/>
    <n v="4.7"/>
    <x v="27"/>
    <n v="104.22"/>
    <n v="10"/>
    <x v="2"/>
  </r>
  <r>
    <n v="1453"/>
    <n v="63"/>
    <x v="1"/>
    <x v="1"/>
    <x v="1"/>
    <s v="T-Shirt"/>
    <n v="47.65"/>
    <x v="2"/>
    <s v="Card"/>
    <n v="4.4000000000000004"/>
    <x v="12"/>
    <n v="38.596499999999999"/>
    <n v="7"/>
    <x v="0"/>
  </r>
  <r>
    <n v="1454"/>
    <n v="44"/>
    <x v="0"/>
    <x v="0"/>
    <x v="0"/>
    <s v="Handbag"/>
    <n v="154.97999999999999"/>
    <x v="1"/>
    <s v="Card"/>
    <n v="3.8"/>
    <x v="11"/>
    <n v="114.68519999999999"/>
    <n v="8"/>
    <x v="2"/>
  </r>
  <r>
    <n v="1455"/>
    <n v="58"/>
    <x v="0"/>
    <x v="1"/>
    <x v="4"/>
    <s v="Snacks"/>
    <n v="60.75"/>
    <x v="0"/>
    <s v="Cash on Delivery"/>
    <n v="4.5"/>
    <x v="27"/>
    <n v="45.5625"/>
    <n v="10"/>
    <x v="2"/>
  </r>
  <r>
    <n v="1456"/>
    <n v="51"/>
    <x v="0"/>
    <x v="0"/>
    <x v="8"/>
    <s v="Skirt"/>
    <n v="102.64"/>
    <x v="1"/>
    <s v="Card"/>
    <n v="3.9"/>
    <x v="7"/>
    <n v="92.376000000000005"/>
    <n v="5"/>
    <x v="0"/>
  </r>
  <r>
    <n v="1457"/>
    <n v="21"/>
    <x v="2"/>
    <x v="0"/>
    <x v="0"/>
    <s v="Wallet"/>
    <n v="98.79"/>
    <x v="0"/>
    <s v="Card"/>
    <n v="3.3"/>
    <x v="17"/>
    <n v="94.838400000000007"/>
    <n v="2"/>
    <x v="1"/>
  </r>
  <r>
    <n v="1458"/>
    <n v="33"/>
    <x v="0"/>
    <x v="1"/>
    <x v="5"/>
    <s v="Laptop"/>
    <n v="2572.06"/>
    <x v="0"/>
    <s v="Card"/>
    <n v="2.7"/>
    <x v="21"/>
    <n v="2031.9274"/>
    <n v="8"/>
    <x v="2"/>
  </r>
  <r>
    <n v="1459"/>
    <n v="26"/>
    <x v="2"/>
    <x v="0"/>
    <x v="7"/>
    <s v="Sandals"/>
    <n v="240.32"/>
    <x v="0"/>
    <s v="Card"/>
    <n v="4.2"/>
    <x v="0"/>
    <n v="197.0624"/>
    <n v="9"/>
    <x v="2"/>
  </r>
  <r>
    <n v="1460"/>
    <n v="30"/>
    <x v="2"/>
    <x v="0"/>
    <x v="2"/>
    <s v="Yoga Mat"/>
    <n v="238.27"/>
    <x v="3"/>
    <s v="Card"/>
    <n v="2.7"/>
    <x v="1"/>
    <n v="207.29490000000001"/>
    <n v="4"/>
    <x v="0"/>
  </r>
  <r>
    <n v="1461"/>
    <n v="23"/>
    <x v="2"/>
    <x v="0"/>
    <x v="2"/>
    <s v="Yoga Mat"/>
    <n v="115.62"/>
    <x v="1"/>
    <s v="Card"/>
    <n v="5"/>
    <x v="1"/>
    <n v="100.5894"/>
    <n v="4"/>
    <x v="0"/>
  </r>
  <r>
    <n v="1462"/>
    <n v="26"/>
    <x v="2"/>
    <x v="0"/>
    <x v="8"/>
    <s v="Top"/>
    <n v="73.14"/>
    <x v="1"/>
    <s v="Card"/>
    <n v="2.9"/>
    <x v="2"/>
    <n v="65.0946"/>
    <n v="3"/>
    <x v="1"/>
  </r>
  <r>
    <n v="1463"/>
    <n v="68"/>
    <x v="1"/>
    <x v="1"/>
    <x v="7"/>
    <s v="Formal Shoes"/>
    <n v="161.34"/>
    <x v="1"/>
    <s v="Card"/>
    <n v="4.0999999999999996"/>
    <x v="7"/>
    <n v="145.20600000000002"/>
    <n v="5"/>
    <x v="0"/>
  </r>
  <r>
    <n v="1464"/>
    <n v="64"/>
    <x v="1"/>
    <x v="1"/>
    <x v="1"/>
    <s v="Shirt"/>
    <n v="199.98"/>
    <x v="2"/>
    <s v="Card"/>
    <n v="3.6"/>
    <x v="11"/>
    <n v="147.98519999999999"/>
    <n v="8"/>
    <x v="2"/>
  </r>
  <r>
    <n v="1465"/>
    <n v="65"/>
    <x v="1"/>
    <x v="0"/>
    <x v="0"/>
    <s v="Sunglasses"/>
    <n v="138.32"/>
    <x v="3"/>
    <s v="Card"/>
    <n v="4.9000000000000004"/>
    <x v="16"/>
    <n v="130.02079999999998"/>
    <n v="3"/>
    <x v="1"/>
  </r>
  <r>
    <n v="1466"/>
    <n v="68"/>
    <x v="1"/>
    <x v="1"/>
    <x v="1"/>
    <s v="Jeans"/>
    <n v="173.95"/>
    <x v="0"/>
    <s v="Card"/>
    <n v="3.8"/>
    <x v="1"/>
    <n v="151.3365"/>
    <n v="4"/>
    <x v="0"/>
  </r>
  <r>
    <n v="1467"/>
    <n v="51"/>
    <x v="0"/>
    <x v="1"/>
    <x v="2"/>
    <s v="Dumbbells"/>
    <n v="155.72999999999999"/>
    <x v="3"/>
    <s v="Card"/>
    <n v="4.5999999999999996"/>
    <x v="12"/>
    <n v="126.1413"/>
    <n v="7"/>
    <x v="0"/>
  </r>
  <r>
    <n v="1468"/>
    <n v="43"/>
    <x v="0"/>
    <x v="1"/>
    <x v="5"/>
    <s v="Smart Watch"/>
    <n v="1286.3599999999999"/>
    <x v="0"/>
    <s v="Card"/>
    <n v="3.3"/>
    <x v="17"/>
    <n v="1234.9055999999998"/>
    <n v="2"/>
    <x v="1"/>
  </r>
  <r>
    <n v="1469"/>
    <n v="39"/>
    <x v="0"/>
    <x v="1"/>
    <x v="7"/>
    <s v="Sandals"/>
    <n v="178.64"/>
    <x v="3"/>
    <s v="Card"/>
    <n v="3.8"/>
    <x v="3"/>
    <n v="142.91200000000001"/>
    <n v="5"/>
    <x v="0"/>
  </r>
  <r>
    <n v="1470"/>
    <n v="56"/>
    <x v="0"/>
    <x v="0"/>
    <x v="6"/>
    <s v="Skincare Kit"/>
    <n v="48.87"/>
    <x v="2"/>
    <s v="Card"/>
    <n v="3.9"/>
    <x v="6"/>
    <n v="41.050799999999995"/>
    <n v="3"/>
    <x v="1"/>
  </r>
  <r>
    <n v="1471"/>
    <n v="53"/>
    <x v="0"/>
    <x v="0"/>
    <x v="0"/>
    <s v="Wallet"/>
    <n v="56.39"/>
    <x v="0"/>
    <s v="Card"/>
    <n v="3.1"/>
    <x v="0"/>
    <n v="46.239800000000002"/>
    <n v="4"/>
    <x v="0"/>
  </r>
  <r>
    <n v="1472"/>
    <n v="46"/>
    <x v="0"/>
    <x v="1"/>
    <x v="4"/>
    <s v="Cooking Oil"/>
    <n v="53.3"/>
    <x v="0"/>
    <s v="Card"/>
    <n v="2.9"/>
    <x v="1"/>
    <n v="46.370999999999995"/>
    <n v="4"/>
    <x v="0"/>
  </r>
  <r>
    <n v="1473"/>
    <n v="67"/>
    <x v="1"/>
    <x v="1"/>
    <x v="1"/>
    <s v="T-Shirt"/>
    <n v="62.98"/>
    <x v="3"/>
    <s v="Cash on Delivery"/>
    <n v="4.2"/>
    <x v="16"/>
    <n v="59.201199999999993"/>
    <n v="3"/>
    <x v="1"/>
  </r>
  <r>
    <n v="1474"/>
    <n v="59"/>
    <x v="0"/>
    <x v="1"/>
    <x v="2"/>
    <s v="Football"/>
    <n v="152.31"/>
    <x v="0"/>
    <s v="Card"/>
    <n v="3.9"/>
    <x v="6"/>
    <n v="127.9404"/>
    <n v="3"/>
    <x v="1"/>
  </r>
  <r>
    <n v="1475"/>
    <n v="51"/>
    <x v="0"/>
    <x v="0"/>
    <x v="6"/>
    <s v="Skincare Kit"/>
    <n v="46.25"/>
    <x v="2"/>
    <s v="Card"/>
    <n v="3.9"/>
    <x v="0"/>
    <n v="37.925000000000004"/>
    <n v="4"/>
    <x v="0"/>
  </r>
  <r>
    <n v="1476"/>
    <n v="22"/>
    <x v="2"/>
    <x v="0"/>
    <x v="7"/>
    <s v="Formal Shoes"/>
    <n v="217.07"/>
    <x v="2"/>
    <s v="Card"/>
    <n v="3.4"/>
    <x v="6"/>
    <n v="182.33879999999999"/>
    <n v="3"/>
    <x v="1"/>
  </r>
  <r>
    <n v="1477"/>
    <n v="53"/>
    <x v="0"/>
    <x v="0"/>
    <x v="0"/>
    <s v="Sunglasses"/>
    <n v="46.68"/>
    <x v="0"/>
    <s v="Cash on Delivery"/>
    <n v="4.4000000000000004"/>
    <x v="8"/>
    <n v="41.078400000000002"/>
    <n v="6"/>
    <x v="0"/>
  </r>
  <r>
    <n v="1478"/>
    <n v="70"/>
    <x v="1"/>
    <x v="0"/>
    <x v="8"/>
    <s v="Top"/>
    <n v="186.33"/>
    <x v="1"/>
    <s v="Card"/>
    <n v="4.5999999999999996"/>
    <x v="7"/>
    <n v="167.697"/>
    <n v="5"/>
    <x v="0"/>
  </r>
  <r>
    <n v="1479"/>
    <n v="44"/>
    <x v="0"/>
    <x v="0"/>
    <x v="6"/>
    <s v="Perfume"/>
    <n v="34.06"/>
    <x v="0"/>
    <s v="Card"/>
    <n v="2.8"/>
    <x v="14"/>
    <n v="28.2698"/>
    <n v="6"/>
    <x v="0"/>
  </r>
  <r>
    <n v="1480"/>
    <n v="47"/>
    <x v="0"/>
    <x v="1"/>
    <x v="7"/>
    <s v="Sandals"/>
    <n v="119.82"/>
    <x v="0"/>
    <s v="Card"/>
    <n v="3.5"/>
    <x v="1"/>
    <n v="104.24339999999999"/>
    <n v="4"/>
    <x v="0"/>
  </r>
  <r>
    <n v="1481"/>
    <n v="38"/>
    <x v="0"/>
    <x v="0"/>
    <x v="3"/>
    <s v="Lamp"/>
    <n v="294.52"/>
    <x v="0"/>
    <s v="Card"/>
    <n v="3.8"/>
    <x v="6"/>
    <n v="247.39679999999998"/>
    <n v="8"/>
    <x v="2"/>
  </r>
  <r>
    <n v="1482"/>
    <n v="46"/>
    <x v="0"/>
    <x v="1"/>
    <x v="4"/>
    <s v="Rice Pack"/>
    <n v="71.239999999999995"/>
    <x v="3"/>
    <s v="Card"/>
    <n v="4.3"/>
    <x v="19"/>
    <n v="60.553999999999995"/>
    <n v="5"/>
    <x v="0"/>
  </r>
  <r>
    <n v="1483"/>
    <n v="30"/>
    <x v="2"/>
    <x v="0"/>
    <x v="8"/>
    <s v="Jeans"/>
    <n v="151.65"/>
    <x v="3"/>
    <s v="Card"/>
    <n v="3.5"/>
    <x v="0"/>
    <n v="124.35300000000001"/>
    <n v="4"/>
    <x v="0"/>
  </r>
  <r>
    <n v="1484"/>
    <n v="36"/>
    <x v="0"/>
    <x v="1"/>
    <x v="2"/>
    <s v="Dumbbells"/>
    <n v="80.95"/>
    <x v="3"/>
    <s v="Card"/>
    <n v="4"/>
    <x v="14"/>
    <n v="67.188500000000005"/>
    <n v="6"/>
    <x v="0"/>
  </r>
  <r>
    <n v="1485"/>
    <n v="67"/>
    <x v="1"/>
    <x v="1"/>
    <x v="2"/>
    <s v="Football"/>
    <n v="185.85"/>
    <x v="3"/>
    <s v="Card"/>
    <n v="5"/>
    <x v="3"/>
    <n v="148.68"/>
    <n v="10"/>
    <x v="2"/>
  </r>
  <r>
    <n v="1486"/>
    <n v="32"/>
    <x v="0"/>
    <x v="1"/>
    <x v="7"/>
    <s v="Formal Shoes"/>
    <n v="77.209999999999994"/>
    <x v="0"/>
    <s v="Card"/>
    <n v="4.0999999999999996"/>
    <x v="6"/>
    <n v="64.856399999999994"/>
    <n v="3"/>
    <x v="1"/>
  </r>
  <r>
    <n v="1487"/>
    <n v="66"/>
    <x v="1"/>
    <x v="0"/>
    <x v="8"/>
    <s v="Skirt"/>
    <n v="192.04"/>
    <x v="2"/>
    <s v="Card"/>
    <n v="3.9"/>
    <x v="19"/>
    <n v="163.23399999999998"/>
    <n v="5"/>
    <x v="0"/>
  </r>
  <r>
    <n v="1488"/>
    <n v="60"/>
    <x v="0"/>
    <x v="0"/>
    <x v="7"/>
    <s v="Sneakers"/>
    <n v="73.34"/>
    <x v="3"/>
    <s v="Cash on Delivery"/>
    <n v="4.8"/>
    <x v="14"/>
    <n v="60.872199999999999"/>
    <n v="6"/>
    <x v="0"/>
  </r>
  <r>
    <n v="1489"/>
    <n v="35"/>
    <x v="0"/>
    <x v="0"/>
    <x v="7"/>
    <s v="Formal Shoes"/>
    <n v="239.36"/>
    <x v="3"/>
    <s v="Card"/>
    <n v="4.3"/>
    <x v="3"/>
    <n v="191.48800000000003"/>
    <n v="5"/>
    <x v="0"/>
  </r>
  <r>
    <n v="1490"/>
    <n v="26"/>
    <x v="2"/>
    <x v="0"/>
    <x v="8"/>
    <s v="Jeans"/>
    <n v="175.79"/>
    <x v="2"/>
    <s v="Card"/>
    <n v="3"/>
    <x v="19"/>
    <n v="149.42149999999998"/>
    <n v="5"/>
    <x v="0"/>
  </r>
  <r>
    <n v="1491"/>
    <n v="57"/>
    <x v="0"/>
    <x v="0"/>
    <x v="6"/>
    <s v="Skincare Kit"/>
    <n v="24.93"/>
    <x v="2"/>
    <s v="Card"/>
    <n v="4.7"/>
    <x v="0"/>
    <n v="20.442600000000002"/>
    <n v="4"/>
    <x v="0"/>
  </r>
  <r>
    <n v="1492"/>
    <n v="47"/>
    <x v="0"/>
    <x v="0"/>
    <x v="4"/>
    <s v="Beverages"/>
    <n v="34.74"/>
    <x v="1"/>
    <s v="Cash on Delivery"/>
    <n v="4.3"/>
    <x v="0"/>
    <n v="28.486800000000002"/>
    <n v="4"/>
    <x v="0"/>
  </r>
  <r>
    <n v="1493"/>
    <n v="46"/>
    <x v="0"/>
    <x v="1"/>
    <x v="4"/>
    <s v="Rice Pack"/>
    <n v="36.61"/>
    <x v="3"/>
    <s v="Card"/>
    <n v="4"/>
    <x v="18"/>
    <n v="27.823599999999999"/>
    <n v="7"/>
    <x v="0"/>
  </r>
  <r>
    <n v="1494"/>
    <n v="29"/>
    <x v="2"/>
    <x v="1"/>
    <x v="5"/>
    <s v="Mobile Phone"/>
    <n v="2302.21"/>
    <x v="2"/>
    <s v="Card"/>
    <n v="3.1"/>
    <x v="3"/>
    <n v="1841.768"/>
    <n v="5"/>
    <x v="0"/>
  </r>
  <r>
    <n v="1495"/>
    <n v="33"/>
    <x v="0"/>
    <x v="0"/>
    <x v="6"/>
    <s v="Skincare Kit"/>
    <n v="48.6"/>
    <x v="3"/>
    <s v="Cash on Delivery"/>
    <n v="4.0999999999999996"/>
    <x v="2"/>
    <n v="43.254000000000005"/>
    <n v="3"/>
    <x v="1"/>
  </r>
  <r>
    <n v="1496"/>
    <n v="26"/>
    <x v="2"/>
    <x v="1"/>
    <x v="5"/>
    <s v="Laptop"/>
    <n v="534.41"/>
    <x v="0"/>
    <s v="Card"/>
    <n v="3.6"/>
    <x v="16"/>
    <n v="502.34539999999993"/>
    <n v="3"/>
    <x v="1"/>
  </r>
  <r>
    <n v="1497"/>
    <n v="67"/>
    <x v="1"/>
    <x v="0"/>
    <x v="0"/>
    <s v="Handbag"/>
    <n v="175.36"/>
    <x v="3"/>
    <s v="Card"/>
    <n v="4.0999999999999996"/>
    <x v="11"/>
    <n v="129.7664"/>
    <n v="8"/>
    <x v="2"/>
  </r>
  <r>
    <n v="1498"/>
    <n v="21"/>
    <x v="2"/>
    <x v="0"/>
    <x v="0"/>
    <s v="Handbag"/>
    <n v="34.6"/>
    <x v="3"/>
    <s v="Cash on Delivery"/>
    <n v="3.1"/>
    <x v="10"/>
    <n v="26.988000000000003"/>
    <n v="6"/>
    <x v="0"/>
  </r>
  <r>
    <n v="1499"/>
    <n v="26"/>
    <x v="2"/>
    <x v="1"/>
    <x v="2"/>
    <s v="Yoga Mat"/>
    <n v="118.37"/>
    <x v="3"/>
    <s v="Card"/>
    <n v="3.1"/>
    <x v="15"/>
    <n v="116.0026"/>
    <n v="1"/>
    <x v="1"/>
  </r>
  <r>
    <n v="1500"/>
    <n v="55"/>
    <x v="0"/>
    <x v="1"/>
    <x v="7"/>
    <s v="Formal Shoes"/>
    <n v="203.25"/>
    <x v="1"/>
    <s v="Card"/>
    <n v="4.3"/>
    <x v="0"/>
    <n v="166.66500000000002"/>
    <n v="4"/>
    <x v="0"/>
  </r>
  <r>
    <n v="1501"/>
    <n v="23"/>
    <x v="2"/>
    <x v="0"/>
    <x v="7"/>
    <s v="Formal Shoes"/>
    <n v="133.44"/>
    <x v="3"/>
    <s v="Card"/>
    <n v="4.7"/>
    <x v="8"/>
    <n v="117.4272"/>
    <n v="6"/>
    <x v="0"/>
  </r>
  <r>
    <n v="1502"/>
    <n v="21"/>
    <x v="2"/>
    <x v="0"/>
    <x v="0"/>
    <s v="Handbag"/>
    <n v="100"/>
    <x v="1"/>
    <s v="Cash on Delivery"/>
    <n v="4.0999999999999996"/>
    <x v="19"/>
    <n v="85"/>
    <n v="5"/>
    <x v="0"/>
  </r>
  <r>
    <n v="1503"/>
    <n v="23"/>
    <x v="2"/>
    <x v="0"/>
    <x v="3"/>
    <s v="Kitchen Set"/>
    <n v="55.34"/>
    <x v="2"/>
    <s v="Card"/>
    <n v="4.2"/>
    <x v="14"/>
    <n v="45.932200000000002"/>
    <n v="6"/>
    <x v="0"/>
  </r>
  <r>
    <n v="1504"/>
    <n v="36"/>
    <x v="0"/>
    <x v="0"/>
    <x v="7"/>
    <s v="Formal Shoes"/>
    <n v="136.43"/>
    <x v="1"/>
    <s v="Card"/>
    <n v="4"/>
    <x v="8"/>
    <n v="120.05840000000001"/>
    <n v="6"/>
    <x v="0"/>
  </r>
  <r>
    <n v="1505"/>
    <n v="35"/>
    <x v="0"/>
    <x v="0"/>
    <x v="8"/>
    <s v="Top"/>
    <n v="67.510000000000005"/>
    <x v="1"/>
    <s v="Card"/>
    <n v="4.0999999999999996"/>
    <x v="7"/>
    <n v="60.759000000000007"/>
    <n v="5"/>
    <x v="0"/>
  </r>
  <r>
    <n v="1506"/>
    <n v="29"/>
    <x v="2"/>
    <x v="1"/>
    <x v="7"/>
    <s v="Sneakers"/>
    <n v="245.39"/>
    <x v="2"/>
    <s v="Card"/>
    <n v="4.5"/>
    <x v="19"/>
    <n v="208.58149999999998"/>
    <n v="5"/>
    <x v="0"/>
  </r>
  <r>
    <n v="1507"/>
    <n v="20"/>
    <x v="2"/>
    <x v="1"/>
    <x v="7"/>
    <s v="Formal Shoes"/>
    <n v="113.11"/>
    <x v="3"/>
    <s v="Card"/>
    <n v="3.4"/>
    <x v="5"/>
    <n v="104.0612"/>
    <n v="4"/>
    <x v="0"/>
  </r>
  <r>
    <n v="1508"/>
    <n v="64"/>
    <x v="1"/>
    <x v="0"/>
    <x v="7"/>
    <s v="Sandals"/>
    <n v="80.180000000000007"/>
    <x v="1"/>
    <s v="Card"/>
    <n v="4.4000000000000004"/>
    <x v="1"/>
    <n v="69.756600000000006"/>
    <n v="4"/>
    <x v="0"/>
  </r>
  <r>
    <n v="1509"/>
    <n v="67"/>
    <x v="1"/>
    <x v="1"/>
    <x v="5"/>
    <s v="Mobile Phone"/>
    <n v="1105.76"/>
    <x v="2"/>
    <s v="Card"/>
    <n v="3.8"/>
    <x v="12"/>
    <n v="895.66560000000004"/>
    <n v="7"/>
    <x v="0"/>
  </r>
  <r>
    <n v="1510"/>
    <n v="26"/>
    <x v="2"/>
    <x v="0"/>
    <x v="7"/>
    <s v="Formal Shoes"/>
    <n v="96.55"/>
    <x v="2"/>
    <s v="Cash on Delivery"/>
    <n v="4.5"/>
    <x v="7"/>
    <n v="86.894999999999996"/>
    <n v="5"/>
    <x v="0"/>
  </r>
  <r>
    <n v="1511"/>
    <n v="54"/>
    <x v="0"/>
    <x v="1"/>
    <x v="2"/>
    <s v="Dumbbells"/>
    <n v="106.35"/>
    <x v="1"/>
    <s v="Card"/>
    <n v="4.8"/>
    <x v="6"/>
    <n v="89.333999999999989"/>
    <n v="8"/>
    <x v="2"/>
  </r>
  <r>
    <n v="1512"/>
    <n v="28"/>
    <x v="2"/>
    <x v="0"/>
    <x v="4"/>
    <s v="Snacks"/>
    <n v="13.26"/>
    <x v="1"/>
    <s v="Cash on Delivery"/>
    <n v="4.4000000000000004"/>
    <x v="4"/>
    <n v="11.403599999999999"/>
    <n v="2"/>
    <x v="1"/>
  </r>
  <r>
    <n v="1513"/>
    <n v="64"/>
    <x v="1"/>
    <x v="0"/>
    <x v="8"/>
    <s v="Top"/>
    <n v="180.55"/>
    <x v="1"/>
    <s v="Card"/>
    <n v="3.9"/>
    <x v="17"/>
    <n v="173.328"/>
    <n v="2"/>
    <x v="1"/>
  </r>
  <r>
    <n v="1514"/>
    <n v="32"/>
    <x v="0"/>
    <x v="0"/>
    <x v="8"/>
    <s v="Skirt"/>
    <n v="156.68"/>
    <x v="0"/>
    <s v="Card"/>
    <n v="4.3"/>
    <x v="16"/>
    <n v="147.2792"/>
    <n v="3"/>
    <x v="1"/>
  </r>
  <r>
    <n v="1515"/>
    <n v="44"/>
    <x v="0"/>
    <x v="1"/>
    <x v="2"/>
    <s v="Yoga Mat"/>
    <n v="187.98"/>
    <x v="2"/>
    <s v="Card"/>
    <n v="3.6"/>
    <x v="12"/>
    <n v="152.2638"/>
    <n v="7"/>
    <x v="0"/>
  </r>
  <r>
    <n v="1516"/>
    <n v="31"/>
    <x v="0"/>
    <x v="0"/>
    <x v="6"/>
    <s v="Perfume"/>
    <n v="117.64"/>
    <x v="2"/>
    <s v="Card"/>
    <n v="3.8"/>
    <x v="21"/>
    <n v="92.935600000000008"/>
    <n v="8"/>
    <x v="2"/>
  </r>
  <r>
    <n v="1517"/>
    <n v="46"/>
    <x v="0"/>
    <x v="1"/>
    <x v="2"/>
    <s v="Dumbbells"/>
    <n v="153.87"/>
    <x v="2"/>
    <s v="Card"/>
    <n v="4.3"/>
    <x v="8"/>
    <n v="135.40559999999999"/>
    <n v="6"/>
    <x v="0"/>
  </r>
  <r>
    <n v="1518"/>
    <n v="23"/>
    <x v="2"/>
    <x v="0"/>
    <x v="2"/>
    <s v="Dumbbells"/>
    <n v="42.64"/>
    <x v="1"/>
    <s v="Card"/>
    <n v="3.4"/>
    <x v="17"/>
    <n v="40.934399999999997"/>
    <n v="2"/>
    <x v="1"/>
  </r>
  <r>
    <n v="1519"/>
    <n v="31"/>
    <x v="0"/>
    <x v="1"/>
    <x v="5"/>
    <s v="Smart Watch"/>
    <n v="2438.54"/>
    <x v="3"/>
    <s v="Card"/>
    <n v="4.5"/>
    <x v="5"/>
    <n v="2243.4567999999999"/>
    <n v="4"/>
    <x v="0"/>
  </r>
  <r>
    <n v="1520"/>
    <n v="47"/>
    <x v="0"/>
    <x v="1"/>
    <x v="7"/>
    <s v="Sandals"/>
    <n v="135.83000000000001"/>
    <x v="2"/>
    <s v="Card"/>
    <n v="4.5999999999999996"/>
    <x v="14"/>
    <n v="112.7389"/>
    <n v="6"/>
    <x v="0"/>
  </r>
  <r>
    <n v="1521"/>
    <n v="43"/>
    <x v="0"/>
    <x v="1"/>
    <x v="7"/>
    <s v="Sandals"/>
    <n v="160.25"/>
    <x v="2"/>
    <s v="Card"/>
    <n v="4.8"/>
    <x v="24"/>
    <n v="115.38"/>
    <n v="9"/>
    <x v="2"/>
  </r>
  <r>
    <n v="1522"/>
    <n v="27"/>
    <x v="2"/>
    <x v="0"/>
    <x v="6"/>
    <s v="Makeup Set"/>
    <n v="68.53"/>
    <x v="1"/>
    <s v="Card"/>
    <n v="3.7"/>
    <x v="14"/>
    <n v="56.879899999999999"/>
    <n v="6"/>
    <x v="0"/>
  </r>
  <r>
    <n v="1523"/>
    <n v="37"/>
    <x v="0"/>
    <x v="0"/>
    <x v="8"/>
    <s v="Skirt"/>
    <n v="64.5"/>
    <x v="0"/>
    <s v="Cash on Delivery"/>
    <n v="4"/>
    <x v="16"/>
    <n v="60.629999999999995"/>
    <n v="3"/>
    <x v="1"/>
  </r>
  <r>
    <n v="1524"/>
    <n v="57"/>
    <x v="0"/>
    <x v="0"/>
    <x v="2"/>
    <s v="Dumbbells"/>
    <n v="213.01"/>
    <x v="2"/>
    <s v="Card"/>
    <n v="4.3"/>
    <x v="13"/>
    <n v="193.8391"/>
    <n v="2"/>
    <x v="1"/>
  </r>
  <r>
    <n v="1525"/>
    <n v="44"/>
    <x v="0"/>
    <x v="1"/>
    <x v="7"/>
    <s v="Sneakers"/>
    <n v="175.76"/>
    <x v="1"/>
    <s v="Card"/>
    <n v="4.7"/>
    <x v="21"/>
    <n v="138.85040000000001"/>
    <n v="8"/>
    <x v="2"/>
  </r>
  <r>
    <n v="1526"/>
    <n v="51"/>
    <x v="0"/>
    <x v="1"/>
    <x v="7"/>
    <s v="Formal Shoes"/>
    <n v="136.07"/>
    <x v="1"/>
    <s v="Card"/>
    <n v="4.3"/>
    <x v="11"/>
    <n v="100.6918"/>
    <n v="8"/>
    <x v="2"/>
  </r>
  <r>
    <n v="1527"/>
    <n v="66"/>
    <x v="1"/>
    <x v="1"/>
    <x v="5"/>
    <s v="Headphones"/>
    <n v="632.67999999999995"/>
    <x v="2"/>
    <s v="Card"/>
    <n v="5"/>
    <x v="18"/>
    <n v="480.83679999999998"/>
    <n v="7"/>
    <x v="0"/>
  </r>
  <r>
    <n v="1528"/>
    <n v="68"/>
    <x v="1"/>
    <x v="1"/>
    <x v="2"/>
    <s v="Football"/>
    <n v="213.91"/>
    <x v="3"/>
    <s v="Card"/>
    <n v="3.3"/>
    <x v="17"/>
    <n v="205.3536"/>
    <n v="2"/>
    <x v="1"/>
  </r>
  <r>
    <n v="1529"/>
    <n v="52"/>
    <x v="0"/>
    <x v="1"/>
    <x v="5"/>
    <s v="Mobile Phone"/>
    <n v="631.19000000000005"/>
    <x v="3"/>
    <s v="Card"/>
    <n v="4.7"/>
    <x v="14"/>
    <n v="523.8877"/>
    <n v="6"/>
    <x v="0"/>
  </r>
  <r>
    <n v="1530"/>
    <n v="30"/>
    <x v="2"/>
    <x v="0"/>
    <x v="7"/>
    <s v="Sandals"/>
    <n v="122.86"/>
    <x v="2"/>
    <s v="Card"/>
    <n v="2.9"/>
    <x v="7"/>
    <n v="110.574"/>
    <n v="5"/>
    <x v="0"/>
  </r>
  <r>
    <n v="1531"/>
    <n v="50"/>
    <x v="0"/>
    <x v="0"/>
    <x v="8"/>
    <s v="Skirt"/>
    <n v="146.57"/>
    <x v="0"/>
    <s v="Card"/>
    <n v="3.3"/>
    <x v="14"/>
    <n v="121.65309999999999"/>
    <n v="6"/>
    <x v="0"/>
  </r>
  <r>
    <n v="1532"/>
    <n v="58"/>
    <x v="0"/>
    <x v="1"/>
    <x v="3"/>
    <s v="Lamp"/>
    <n v="171.7"/>
    <x v="2"/>
    <s v="Card"/>
    <n v="3.7"/>
    <x v="8"/>
    <n v="151.096"/>
    <n v="6"/>
    <x v="0"/>
  </r>
  <r>
    <n v="1533"/>
    <n v="36"/>
    <x v="0"/>
    <x v="1"/>
    <x v="5"/>
    <s v="Smart Watch"/>
    <n v="1385.6"/>
    <x v="1"/>
    <s v="Card"/>
    <n v="3.4"/>
    <x v="5"/>
    <n v="1274.752"/>
    <n v="4"/>
    <x v="0"/>
  </r>
  <r>
    <n v="1534"/>
    <n v="38"/>
    <x v="0"/>
    <x v="1"/>
    <x v="1"/>
    <s v="Jeans"/>
    <n v="91"/>
    <x v="1"/>
    <s v="Cash on Delivery"/>
    <n v="4.2"/>
    <x v="4"/>
    <n v="78.260000000000005"/>
    <n v="7"/>
    <x v="0"/>
  </r>
  <r>
    <n v="1535"/>
    <n v="23"/>
    <x v="2"/>
    <x v="1"/>
    <x v="7"/>
    <s v="Sneakers"/>
    <n v="191.42"/>
    <x v="2"/>
    <s v="Card"/>
    <n v="3.9"/>
    <x v="0"/>
    <n v="156.96440000000001"/>
    <n v="4"/>
    <x v="0"/>
  </r>
  <r>
    <n v="1536"/>
    <n v="56"/>
    <x v="0"/>
    <x v="0"/>
    <x v="0"/>
    <s v="Handbag"/>
    <n v="114.28"/>
    <x v="3"/>
    <s v="Card"/>
    <n v="4"/>
    <x v="3"/>
    <n v="91.424000000000007"/>
    <n v="5"/>
    <x v="0"/>
  </r>
  <r>
    <n v="1537"/>
    <n v="46"/>
    <x v="0"/>
    <x v="1"/>
    <x v="4"/>
    <s v="Snacks"/>
    <n v="48.42"/>
    <x v="3"/>
    <s v="Card"/>
    <n v="3.7"/>
    <x v="12"/>
    <n v="39.220200000000006"/>
    <n v="7"/>
    <x v="0"/>
  </r>
  <r>
    <n v="1538"/>
    <n v="48"/>
    <x v="0"/>
    <x v="1"/>
    <x v="7"/>
    <s v="Sneakers"/>
    <n v="84.31"/>
    <x v="1"/>
    <s v="Cash on Delivery"/>
    <n v="4.5"/>
    <x v="7"/>
    <n v="75.879000000000005"/>
    <n v="0"/>
    <x v="1"/>
  </r>
  <r>
    <n v="1539"/>
    <n v="40"/>
    <x v="0"/>
    <x v="1"/>
    <x v="7"/>
    <s v="Sandals"/>
    <n v="73.92"/>
    <x v="1"/>
    <s v="Card"/>
    <n v="3.4"/>
    <x v="18"/>
    <n v="56.179200000000002"/>
    <n v="7"/>
    <x v="0"/>
  </r>
  <r>
    <n v="1540"/>
    <n v="47"/>
    <x v="0"/>
    <x v="1"/>
    <x v="7"/>
    <s v="Sandals"/>
    <n v="67.400000000000006"/>
    <x v="3"/>
    <s v="Cash on Delivery"/>
    <n v="4.3"/>
    <x v="23"/>
    <n v="62.682000000000002"/>
    <n v="1"/>
    <x v="1"/>
  </r>
  <r>
    <n v="1541"/>
    <n v="67"/>
    <x v="1"/>
    <x v="1"/>
    <x v="3"/>
    <s v="Kitchen Set"/>
    <n v="295.08999999999997"/>
    <x v="0"/>
    <s v="Card"/>
    <n v="3.6"/>
    <x v="17"/>
    <n v="283.28639999999996"/>
    <n v="2"/>
    <x v="1"/>
  </r>
  <r>
    <n v="1542"/>
    <n v="30"/>
    <x v="2"/>
    <x v="0"/>
    <x v="7"/>
    <s v="Sneakers"/>
    <n v="121.3"/>
    <x v="1"/>
    <s v="Card"/>
    <n v="3.1"/>
    <x v="7"/>
    <n v="109.17"/>
    <n v="5"/>
    <x v="0"/>
  </r>
  <r>
    <n v="1543"/>
    <n v="46"/>
    <x v="0"/>
    <x v="1"/>
    <x v="5"/>
    <s v="Headphones"/>
    <n v="2344.0300000000002"/>
    <x v="0"/>
    <s v="Card"/>
    <n v="4.8"/>
    <x v="14"/>
    <n v="1945.5449000000001"/>
    <n v="6"/>
    <x v="0"/>
  </r>
  <r>
    <n v="1544"/>
    <n v="64"/>
    <x v="1"/>
    <x v="0"/>
    <x v="6"/>
    <s v="Makeup Set"/>
    <n v="87.85"/>
    <x v="1"/>
    <s v="Cash on Delivery"/>
    <n v="2.1"/>
    <x v="6"/>
    <n v="73.793999999999997"/>
    <n v="8"/>
    <x v="2"/>
  </r>
  <r>
    <n v="1545"/>
    <n v="50"/>
    <x v="0"/>
    <x v="0"/>
    <x v="6"/>
    <s v="Makeup Set"/>
    <n v="31.22"/>
    <x v="1"/>
    <s v="Card"/>
    <n v="3.8"/>
    <x v="3"/>
    <n v="24.975999999999999"/>
    <n v="10"/>
    <x v="2"/>
  </r>
  <r>
    <n v="1546"/>
    <n v="60"/>
    <x v="0"/>
    <x v="0"/>
    <x v="0"/>
    <s v="Wallet"/>
    <n v="74.33"/>
    <x v="2"/>
    <s v="Card"/>
    <n v="3.8"/>
    <x v="18"/>
    <n v="56.4908"/>
    <n v="7"/>
    <x v="0"/>
  </r>
  <r>
    <n v="1547"/>
    <n v="36"/>
    <x v="0"/>
    <x v="0"/>
    <x v="2"/>
    <s v="Dumbbells"/>
    <n v="142.80000000000001"/>
    <x v="2"/>
    <s v="Card"/>
    <n v="5"/>
    <x v="0"/>
    <n v="117.09600000000002"/>
    <n v="4"/>
    <x v="0"/>
  </r>
  <r>
    <n v="1548"/>
    <n v="25"/>
    <x v="2"/>
    <x v="1"/>
    <x v="2"/>
    <s v="Football"/>
    <n v="76.08"/>
    <x v="3"/>
    <s v="Card"/>
    <n v="3.7"/>
    <x v="6"/>
    <n v="63.907199999999996"/>
    <n v="3"/>
    <x v="1"/>
  </r>
  <r>
    <n v="1549"/>
    <n v="59"/>
    <x v="0"/>
    <x v="1"/>
    <x v="1"/>
    <s v="Shirt"/>
    <n v="71.09"/>
    <x v="1"/>
    <s v="Cash on Delivery"/>
    <n v="3.8"/>
    <x v="7"/>
    <n v="63.981000000000002"/>
    <n v="5"/>
    <x v="0"/>
  </r>
  <r>
    <n v="1550"/>
    <n v="21"/>
    <x v="2"/>
    <x v="1"/>
    <x v="7"/>
    <s v="Sneakers"/>
    <n v="210.67"/>
    <x v="2"/>
    <s v="Card"/>
    <n v="3.4"/>
    <x v="16"/>
    <n v="198.02979999999997"/>
    <n v="3"/>
    <x v="1"/>
  </r>
  <r>
    <n v="1551"/>
    <n v="21"/>
    <x v="2"/>
    <x v="0"/>
    <x v="6"/>
    <s v="Perfume"/>
    <n v="131.55000000000001"/>
    <x v="3"/>
    <s v="Card"/>
    <n v="4.3"/>
    <x v="1"/>
    <n v="114.44850000000001"/>
    <n v="4"/>
    <x v="0"/>
  </r>
  <r>
    <n v="1552"/>
    <n v="28"/>
    <x v="2"/>
    <x v="1"/>
    <x v="2"/>
    <s v="Dumbbells"/>
    <n v="123.55"/>
    <x v="3"/>
    <s v="Card"/>
    <n v="4.0999999999999996"/>
    <x v="21"/>
    <n v="97.604500000000002"/>
    <n v="8"/>
    <x v="2"/>
  </r>
  <r>
    <n v="1553"/>
    <n v="21"/>
    <x v="2"/>
    <x v="0"/>
    <x v="0"/>
    <s v="Handbag"/>
    <n v="130.77000000000001"/>
    <x v="2"/>
    <s v="Card"/>
    <n v="4.8"/>
    <x v="17"/>
    <n v="125.53920000000001"/>
    <n v="2"/>
    <x v="1"/>
  </r>
  <r>
    <n v="1554"/>
    <n v="56"/>
    <x v="0"/>
    <x v="1"/>
    <x v="1"/>
    <s v="Jacket"/>
    <n v="110.31"/>
    <x v="3"/>
    <s v="Card"/>
    <n v="3"/>
    <x v="15"/>
    <n v="108.10380000000001"/>
    <n v="1"/>
    <x v="1"/>
  </r>
  <r>
    <n v="1555"/>
    <n v="29"/>
    <x v="2"/>
    <x v="1"/>
    <x v="2"/>
    <s v="Yoga Mat"/>
    <n v="238.27"/>
    <x v="2"/>
    <s v="Card"/>
    <n v="5"/>
    <x v="4"/>
    <n v="204.91220000000001"/>
    <n v="2"/>
    <x v="1"/>
  </r>
  <r>
    <n v="1556"/>
    <n v="20"/>
    <x v="2"/>
    <x v="1"/>
    <x v="3"/>
    <s v="Kitchen Set"/>
    <n v="201.69"/>
    <x v="0"/>
    <s v="Card"/>
    <n v="2.9"/>
    <x v="22"/>
    <n v="155.3013"/>
    <n v="9"/>
    <x v="2"/>
  </r>
  <r>
    <n v="1557"/>
    <n v="49"/>
    <x v="0"/>
    <x v="0"/>
    <x v="2"/>
    <s v="Dumbbells"/>
    <n v="199.72"/>
    <x v="0"/>
    <s v="Card"/>
    <n v="3.9"/>
    <x v="18"/>
    <n v="151.78720000000001"/>
    <n v="7"/>
    <x v="0"/>
  </r>
  <r>
    <n v="1558"/>
    <n v="48"/>
    <x v="0"/>
    <x v="1"/>
    <x v="3"/>
    <s v="Lamp"/>
    <n v="113.79"/>
    <x v="2"/>
    <s v="Card"/>
    <n v="3.3"/>
    <x v="15"/>
    <n v="111.5142"/>
    <n v="1"/>
    <x v="1"/>
  </r>
  <r>
    <n v="1559"/>
    <n v="42"/>
    <x v="0"/>
    <x v="1"/>
    <x v="2"/>
    <s v="Football"/>
    <n v="216.19"/>
    <x v="2"/>
    <s v="Card"/>
    <n v="4.5"/>
    <x v="1"/>
    <n v="188.08529999999999"/>
    <n v="4"/>
    <x v="0"/>
  </r>
  <r>
    <n v="1560"/>
    <n v="35"/>
    <x v="0"/>
    <x v="0"/>
    <x v="0"/>
    <s v="Wallet"/>
    <n v="157.94999999999999"/>
    <x v="1"/>
    <s v="Card"/>
    <n v="3.8"/>
    <x v="4"/>
    <n v="135.83699999999999"/>
    <n v="2"/>
    <x v="1"/>
  </r>
  <r>
    <n v="1561"/>
    <n v="61"/>
    <x v="1"/>
    <x v="0"/>
    <x v="8"/>
    <s v="Skirt"/>
    <n v="144.71"/>
    <x v="1"/>
    <s v="Card"/>
    <n v="5"/>
    <x v="6"/>
    <n v="121.5564"/>
    <n v="8"/>
    <x v="2"/>
  </r>
  <r>
    <n v="1562"/>
    <n v="27"/>
    <x v="2"/>
    <x v="1"/>
    <x v="2"/>
    <s v="Yoga Mat"/>
    <n v="123.19"/>
    <x v="2"/>
    <s v="Card"/>
    <n v="5"/>
    <x v="8"/>
    <n v="108.4072"/>
    <n v="6"/>
    <x v="0"/>
  </r>
  <r>
    <n v="1563"/>
    <n v="56"/>
    <x v="0"/>
    <x v="1"/>
    <x v="2"/>
    <s v="Dumbbells"/>
    <n v="174.68"/>
    <x v="0"/>
    <s v="Card"/>
    <n v="3.1"/>
    <x v="10"/>
    <n v="136.25040000000001"/>
    <n v="6"/>
    <x v="0"/>
  </r>
  <r>
    <n v="1564"/>
    <n v="54"/>
    <x v="0"/>
    <x v="1"/>
    <x v="7"/>
    <s v="Sandals"/>
    <n v="80.349999999999994"/>
    <x v="0"/>
    <s v="Cash on Delivery"/>
    <n v="3.8"/>
    <x v="4"/>
    <n v="69.100999999999999"/>
    <n v="2"/>
    <x v="1"/>
  </r>
  <r>
    <n v="1565"/>
    <n v="46"/>
    <x v="0"/>
    <x v="0"/>
    <x v="3"/>
    <s v="Curtains"/>
    <n v="196.05"/>
    <x v="0"/>
    <s v="Card"/>
    <n v="4.5999999999999996"/>
    <x v="8"/>
    <n v="172.524"/>
    <n v="1"/>
    <x v="1"/>
  </r>
  <r>
    <n v="1566"/>
    <n v="55"/>
    <x v="0"/>
    <x v="0"/>
    <x v="6"/>
    <s v="Makeup Set"/>
    <n v="127.11"/>
    <x v="1"/>
    <s v="Card"/>
    <n v="4.0999999999999996"/>
    <x v="19"/>
    <n v="108.04349999999999"/>
    <n v="5"/>
    <x v="0"/>
  </r>
  <r>
    <n v="1567"/>
    <n v="30"/>
    <x v="2"/>
    <x v="0"/>
    <x v="6"/>
    <s v="Perfume"/>
    <n v="69.8"/>
    <x v="2"/>
    <s v="Cash on Delivery"/>
    <n v="2.8"/>
    <x v="0"/>
    <n v="57.236000000000004"/>
    <n v="4"/>
    <x v="0"/>
  </r>
  <r>
    <n v="1568"/>
    <n v="27"/>
    <x v="2"/>
    <x v="1"/>
    <x v="2"/>
    <s v="Yoga Mat"/>
    <n v="210.43"/>
    <x v="0"/>
    <s v="Card"/>
    <n v="3.9"/>
    <x v="6"/>
    <n v="176.7612"/>
    <n v="3"/>
    <x v="1"/>
  </r>
  <r>
    <n v="1569"/>
    <n v="56"/>
    <x v="0"/>
    <x v="1"/>
    <x v="2"/>
    <s v="Yoga Mat"/>
    <n v="219.8"/>
    <x v="2"/>
    <s v="Card"/>
    <n v="3.9"/>
    <x v="16"/>
    <n v="206.61199999999999"/>
    <n v="3"/>
    <x v="1"/>
  </r>
  <r>
    <n v="1570"/>
    <n v="42"/>
    <x v="0"/>
    <x v="0"/>
    <x v="7"/>
    <s v="Sandals"/>
    <n v="74.97"/>
    <x v="3"/>
    <s v="Cash on Delivery"/>
    <n v="2.2000000000000002"/>
    <x v="16"/>
    <n v="70.471800000000002"/>
    <n v="3"/>
    <x v="1"/>
  </r>
  <r>
    <n v="1571"/>
    <n v="34"/>
    <x v="0"/>
    <x v="0"/>
    <x v="6"/>
    <s v="Makeup Set"/>
    <n v="103.19"/>
    <x v="3"/>
    <s v="Card"/>
    <n v="4"/>
    <x v="7"/>
    <n v="92.870999999999995"/>
    <n v="5"/>
    <x v="0"/>
  </r>
  <r>
    <n v="1572"/>
    <n v="21"/>
    <x v="2"/>
    <x v="0"/>
    <x v="6"/>
    <s v="Skincare Kit"/>
    <n v="138.69"/>
    <x v="2"/>
    <s v="Card"/>
    <n v="4.5"/>
    <x v="6"/>
    <n v="116.49959999999999"/>
    <n v="3"/>
    <x v="1"/>
  </r>
  <r>
    <n v="1573"/>
    <n v="49"/>
    <x v="0"/>
    <x v="1"/>
    <x v="2"/>
    <s v="Yoga Mat"/>
    <n v="164.76"/>
    <x v="3"/>
    <s v="Card"/>
    <n v="3.5"/>
    <x v="11"/>
    <n v="121.9224"/>
    <n v="8"/>
    <x v="2"/>
  </r>
  <r>
    <n v="1574"/>
    <n v="25"/>
    <x v="2"/>
    <x v="1"/>
    <x v="2"/>
    <s v="Yoga Mat"/>
    <n v="182.09"/>
    <x v="2"/>
    <s v="Card"/>
    <n v="3.9"/>
    <x v="5"/>
    <n v="167.52280000000002"/>
    <n v="4"/>
    <x v="0"/>
  </r>
  <r>
    <n v="1575"/>
    <n v="50"/>
    <x v="0"/>
    <x v="1"/>
    <x v="7"/>
    <s v="Sandals"/>
    <n v="180.26"/>
    <x v="1"/>
    <s v="Card"/>
    <n v="3.9"/>
    <x v="15"/>
    <n v="176.65479999999999"/>
    <n v="1"/>
    <x v="1"/>
  </r>
  <r>
    <n v="1576"/>
    <n v="45"/>
    <x v="0"/>
    <x v="0"/>
    <x v="0"/>
    <s v="Sunglasses"/>
    <n v="159.72999999999999"/>
    <x v="1"/>
    <s v="Card"/>
    <n v="3.7"/>
    <x v="7"/>
    <n v="143.75700000000001"/>
    <n v="5"/>
    <x v="0"/>
  </r>
  <r>
    <n v="1577"/>
    <n v="36"/>
    <x v="0"/>
    <x v="0"/>
    <x v="8"/>
    <s v="Top"/>
    <n v="178.61"/>
    <x v="1"/>
    <s v="Card"/>
    <n v="3.7"/>
    <x v="6"/>
    <n v="150.0324"/>
    <n v="3"/>
    <x v="1"/>
  </r>
  <r>
    <n v="1578"/>
    <n v="55"/>
    <x v="0"/>
    <x v="0"/>
    <x v="8"/>
    <s v="Skirt"/>
    <n v="100.75"/>
    <x v="0"/>
    <s v="Card"/>
    <n v="4.2"/>
    <x v="11"/>
    <n v="74.554999999999993"/>
    <n v="8"/>
    <x v="2"/>
  </r>
  <r>
    <n v="1579"/>
    <n v="67"/>
    <x v="1"/>
    <x v="0"/>
    <x v="2"/>
    <s v="Yoga Mat"/>
    <n v="65.25"/>
    <x v="2"/>
    <s v="Card"/>
    <n v="3.8"/>
    <x v="14"/>
    <n v="54.157499999999999"/>
    <n v="6"/>
    <x v="0"/>
  </r>
  <r>
    <n v="1580"/>
    <n v="31"/>
    <x v="0"/>
    <x v="1"/>
    <x v="1"/>
    <s v="Shirt"/>
    <n v="191.96"/>
    <x v="3"/>
    <s v="Card"/>
    <n v="3.7"/>
    <x v="1"/>
    <n v="167.0052"/>
    <n v="4"/>
    <x v="0"/>
  </r>
  <r>
    <n v="1581"/>
    <n v="42"/>
    <x v="0"/>
    <x v="0"/>
    <x v="8"/>
    <s v="Dress"/>
    <n v="152.61000000000001"/>
    <x v="3"/>
    <s v="Card"/>
    <n v="3.2"/>
    <x v="0"/>
    <n v="125.14020000000002"/>
    <n v="4"/>
    <x v="0"/>
  </r>
  <r>
    <n v="1582"/>
    <n v="37"/>
    <x v="0"/>
    <x v="1"/>
    <x v="2"/>
    <s v="Yoga Mat"/>
    <n v="118.07"/>
    <x v="2"/>
    <s v="Card"/>
    <n v="2.8"/>
    <x v="10"/>
    <n v="92.0946"/>
    <n v="6"/>
    <x v="0"/>
  </r>
  <r>
    <n v="1583"/>
    <n v="39"/>
    <x v="0"/>
    <x v="0"/>
    <x v="6"/>
    <s v="Makeup Set"/>
    <n v="100.38"/>
    <x v="0"/>
    <s v="Card"/>
    <n v="4.3"/>
    <x v="7"/>
    <n v="90.341999999999999"/>
    <n v="5"/>
    <x v="0"/>
  </r>
  <r>
    <n v="1584"/>
    <n v="53"/>
    <x v="0"/>
    <x v="0"/>
    <x v="3"/>
    <s v="Kitchen Set"/>
    <n v="198.76"/>
    <x v="1"/>
    <s v="Card"/>
    <n v="3.8"/>
    <x v="19"/>
    <n v="168.946"/>
    <n v="5"/>
    <x v="0"/>
  </r>
  <r>
    <n v="1585"/>
    <n v="48"/>
    <x v="0"/>
    <x v="1"/>
    <x v="2"/>
    <s v="Football"/>
    <n v="33.840000000000003"/>
    <x v="0"/>
    <s v="Card"/>
    <n v="4.0999999999999996"/>
    <x v="1"/>
    <n v="29.440800000000003"/>
    <n v="4"/>
    <x v="0"/>
  </r>
  <r>
    <n v="1586"/>
    <n v="30"/>
    <x v="2"/>
    <x v="1"/>
    <x v="7"/>
    <s v="Formal Shoes"/>
    <n v="106.05"/>
    <x v="0"/>
    <s v="Card"/>
    <n v="4.4000000000000004"/>
    <x v="1"/>
    <n v="92.263499999999993"/>
    <n v="4"/>
    <x v="0"/>
  </r>
  <r>
    <n v="1587"/>
    <n v="40"/>
    <x v="0"/>
    <x v="0"/>
    <x v="7"/>
    <s v="Formal Shoes"/>
    <n v="54.39"/>
    <x v="0"/>
    <s v="Card"/>
    <n v="3.9"/>
    <x v="5"/>
    <n v="50.038800000000002"/>
    <n v="4"/>
    <x v="0"/>
  </r>
  <r>
    <n v="1588"/>
    <n v="52"/>
    <x v="0"/>
    <x v="0"/>
    <x v="4"/>
    <s v="Beverages"/>
    <n v="11.01"/>
    <x v="2"/>
    <s v="Cash on Delivery"/>
    <n v="4.0999999999999996"/>
    <x v="5"/>
    <n v="10.129200000000001"/>
    <n v="4"/>
    <x v="0"/>
  </r>
  <r>
    <n v="1589"/>
    <n v="67"/>
    <x v="1"/>
    <x v="0"/>
    <x v="7"/>
    <s v="Formal Shoes"/>
    <n v="126.08"/>
    <x v="3"/>
    <s v="Card"/>
    <n v="3.8"/>
    <x v="10"/>
    <n v="98.342399999999998"/>
    <n v="6"/>
    <x v="0"/>
  </r>
  <r>
    <n v="1590"/>
    <n v="43"/>
    <x v="0"/>
    <x v="1"/>
    <x v="1"/>
    <s v="T-Shirt"/>
    <n v="114.33"/>
    <x v="3"/>
    <s v="Card"/>
    <n v="3.9"/>
    <x v="1"/>
    <n v="99.467100000000002"/>
    <n v="4"/>
    <x v="0"/>
  </r>
  <r>
    <n v="1591"/>
    <n v="52"/>
    <x v="0"/>
    <x v="1"/>
    <x v="1"/>
    <s v="Jeans"/>
    <n v="157.41"/>
    <x v="3"/>
    <s v="Card"/>
    <n v="4.7"/>
    <x v="6"/>
    <n v="132.2244"/>
    <n v="3"/>
    <x v="1"/>
  </r>
  <r>
    <n v="1592"/>
    <n v="70"/>
    <x v="1"/>
    <x v="0"/>
    <x v="7"/>
    <s v="Formal Shoes"/>
    <n v="157.88999999999999"/>
    <x v="0"/>
    <s v="Card"/>
    <n v="4"/>
    <x v="6"/>
    <n v="132.62759999999997"/>
    <n v="3"/>
    <x v="1"/>
  </r>
  <r>
    <n v="1593"/>
    <n v="46"/>
    <x v="0"/>
    <x v="0"/>
    <x v="8"/>
    <s v="Top"/>
    <n v="52.6"/>
    <x v="3"/>
    <s v="Card"/>
    <n v="4"/>
    <x v="23"/>
    <n v="48.917999999999999"/>
    <n v="1"/>
    <x v="1"/>
  </r>
  <r>
    <n v="1594"/>
    <n v="63"/>
    <x v="1"/>
    <x v="1"/>
    <x v="2"/>
    <s v="Football"/>
    <n v="37.630000000000003"/>
    <x v="1"/>
    <s v="Cash on Delivery"/>
    <n v="3.6"/>
    <x v="1"/>
    <n v="32.738100000000003"/>
    <n v="4"/>
    <x v="0"/>
  </r>
  <r>
    <n v="1595"/>
    <n v="60"/>
    <x v="0"/>
    <x v="1"/>
    <x v="5"/>
    <s v="Mobile Phone"/>
    <n v="1061.83"/>
    <x v="3"/>
    <s v="Card"/>
    <n v="4.9000000000000004"/>
    <x v="7"/>
    <n v="955.64699999999993"/>
    <n v="5"/>
    <x v="0"/>
  </r>
  <r>
    <n v="1596"/>
    <n v="53"/>
    <x v="0"/>
    <x v="1"/>
    <x v="1"/>
    <s v="Shirt"/>
    <n v="44.56"/>
    <x v="3"/>
    <s v="Card"/>
    <n v="3.9"/>
    <x v="11"/>
    <n v="32.974400000000003"/>
    <n v="8"/>
    <x v="2"/>
  </r>
  <r>
    <n v="1597"/>
    <n v="43"/>
    <x v="0"/>
    <x v="0"/>
    <x v="8"/>
    <s v="Jeans"/>
    <n v="57.06"/>
    <x v="1"/>
    <s v="Card"/>
    <n v="3.9"/>
    <x v="11"/>
    <n v="42.224400000000003"/>
    <n v="8"/>
    <x v="2"/>
  </r>
  <r>
    <n v="1598"/>
    <n v="44"/>
    <x v="0"/>
    <x v="0"/>
    <x v="8"/>
    <s v="Dress"/>
    <n v="34.94"/>
    <x v="0"/>
    <s v="Cash on Delivery"/>
    <n v="1.6"/>
    <x v="10"/>
    <n v="27.2532"/>
    <n v="11"/>
    <x v="2"/>
  </r>
  <r>
    <n v="1599"/>
    <n v="32"/>
    <x v="0"/>
    <x v="1"/>
    <x v="4"/>
    <s v="Rice Pack"/>
    <n v="12.13"/>
    <x v="2"/>
    <s v="Card"/>
    <n v="4.9000000000000004"/>
    <x v="6"/>
    <n v="10.1892"/>
    <n v="3"/>
    <x v="1"/>
  </r>
  <r>
    <n v="1600"/>
    <n v="53"/>
    <x v="0"/>
    <x v="1"/>
    <x v="5"/>
    <s v="Mobile Phone"/>
    <n v="930.34"/>
    <x v="3"/>
    <s v="Card"/>
    <n v="4.5999999999999996"/>
    <x v="7"/>
    <n v="837.30600000000004"/>
    <n v="5"/>
    <x v="0"/>
  </r>
  <r>
    <n v="1601"/>
    <n v="24"/>
    <x v="2"/>
    <x v="1"/>
    <x v="5"/>
    <s v="Mobile Phone"/>
    <n v="2059.52"/>
    <x v="2"/>
    <s v="Card"/>
    <n v="3.4"/>
    <x v="0"/>
    <n v="1688.8064000000002"/>
    <n v="4"/>
    <x v="0"/>
  </r>
  <r>
    <n v="1602"/>
    <n v="36"/>
    <x v="0"/>
    <x v="1"/>
    <x v="7"/>
    <s v="Sneakers"/>
    <n v="160.32"/>
    <x v="0"/>
    <s v="Card"/>
    <n v="3.9"/>
    <x v="6"/>
    <n v="134.66879999999998"/>
    <n v="8"/>
    <x v="2"/>
  </r>
  <r>
    <n v="1603"/>
    <n v="57"/>
    <x v="0"/>
    <x v="0"/>
    <x v="0"/>
    <s v="Handbag"/>
    <n v="28.73"/>
    <x v="2"/>
    <s v="Card"/>
    <n v="3.8"/>
    <x v="7"/>
    <n v="25.856999999999999"/>
    <n v="5"/>
    <x v="0"/>
  </r>
  <r>
    <n v="1604"/>
    <n v="67"/>
    <x v="1"/>
    <x v="1"/>
    <x v="7"/>
    <s v="Formal Shoes"/>
    <n v="229.11"/>
    <x v="3"/>
    <s v="Card"/>
    <n v="4"/>
    <x v="1"/>
    <n v="199.32570000000001"/>
    <n v="4"/>
    <x v="0"/>
  </r>
  <r>
    <n v="1605"/>
    <n v="38"/>
    <x v="0"/>
    <x v="1"/>
    <x v="2"/>
    <s v="Yoga Mat"/>
    <n v="163.57"/>
    <x v="1"/>
    <s v="Card"/>
    <n v="4"/>
    <x v="2"/>
    <n v="145.57730000000001"/>
    <n v="3"/>
    <x v="1"/>
  </r>
  <r>
    <n v="1606"/>
    <n v="48"/>
    <x v="0"/>
    <x v="1"/>
    <x v="2"/>
    <s v="Football"/>
    <n v="149.97999999999999"/>
    <x v="2"/>
    <s v="Card"/>
    <n v="4.0999999999999996"/>
    <x v="13"/>
    <n v="136.48179999999999"/>
    <n v="2"/>
    <x v="1"/>
  </r>
  <r>
    <n v="1607"/>
    <n v="47"/>
    <x v="0"/>
    <x v="1"/>
    <x v="1"/>
    <s v="Jeans"/>
    <n v="32.58"/>
    <x v="2"/>
    <s v="Card"/>
    <n v="4.5"/>
    <x v="4"/>
    <n v="28.018799999999999"/>
    <n v="7"/>
    <x v="0"/>
  </r>
  <r>
    <n v="1608"/>
    <n v="60"/>
    <x v="0"/>
    <x v="1"/>
    <x v="2"/>
    <s v="Yoga Mat"/>
    <n v="61.48"/>
    <x v="1"/>
    <s v="Card"/>
    <n v="3.9"/>
    <x v="10"/>
    <n v="47.9544"/>
    <n v="6"/>
    <x v="0"/>
  </r>
  <r>
    <n v="1609"/>
    <n v="56"/>
    <x v="0"/>
    <x v="0"/>
    <x v="7"/>
    <s v="Sandals"/>
    <n v="140.04"/>
    <x v="2"/>
    <s v="Card"/>
    <n v="3.2"/>
    <x v="2"/>
    <n v="124.6356"/>
    <n v="3"/>
    <x v="1"/>
  </r>
  <r>
    <n v="1610"/>
    <n v="60"/>
    <x v="0"/>
    <x v="0"/>
    <x v="0"/>
    <s v="Sunglasses"/>
    <n v="47.05"/>
    <x v="2"/>
    <s v="Card"/>
    <n v="2.2999999999999998"/>
    <x v="19"/>
    <n v="39.9925"/>
    <n v="5"/>
    <x v="0"/>
  </r>
  <r>
    <n v="1611"/>
    <n v="58"/>
    <x v="0"/>
    <x v="0"/>
    <x v="2"/>
    <s v="Dumbbells"/>
    <n v="187.21"/>
    <x v="2"/>
    <s v="Card"/>
    <n v="3.7"/>
    <x v="12"/>
    <n v="151.64010000000002"/>
    <n v="7"/>
    <x v="0"/>
  </r>
  <r>
    <n v="1612"/>
    <n v="67"/>
    <x v="1"/>
    <x v="0"/>
    <x v="7"/>
    <s v="Sneakers"/>
    <n v="211.09"/>
    <x v="1"/>
    <s v="Card"/>
    <n v="3.8"/>
    <x v="13"/>
    <n v="192.09190000000001"/>
    <n v="2"/>
    <x v="1"/>
  </r>
  <r>
    <n v="1613"/>
    <n v="56"/>
    <x v="0"/>
    <x v="0"/>
    <x v="7"/>
    <s v="Sneakers"/>
    <n v="181.83"/>
    <x v="1"/>
    <s v="Card"/>
    <n v="4"/>
    <x v="15"/>
    <n v="178.1934"/>
    <n v="1"/>
    <x v="1"/>
  </r>
  <r>
    <n v="1614"/>
    <n v="39"/>
    <x v="0"/>
    <x v="0"/>
    <x v="6"/>
    <s v="Perfume"/>
    <n v="96.55"/>
    <x v="2"/>
    <s v="Cash on Delivery"/>
    <n v="3.5"/>
    <x v="21"/>
    <n v="76.274500000000003"/>
    <n v="8"/>
    <x v="2"/>
  </r>
  <r>
    <n v="1615"/>
    <n v="53"/>
    <x v="0"/>
    <x v="0"/>
    <x v="6"/>
    <s v="Skincare Kit"/>
    <n v="105.07"/>
    <x v="1"/>
    <s v="Card"/>
    <n v="3.2"/>
    <x v="18"/>
    <n v="79.853200000000001"/>
    <n v="7"/>
    <x v="0"/>
  </r>
  <r>
    <n v="1616"/>
    <n v="50"/>
    <x v="0"/>
    <x v="0"/>
    <x v="6"/>
    <s v="Skincare Kit"/>
    <n v="140.66"/>
    <x v="2"/>
    <s v="Card"/>
    <n v="4.5"/>
    <x v="10"/>
    <n v="109.7148"/>
    <n v="6"/>
    <x v="0"/>
  </r>
  <r>
    <n v="1617"/>
    <n v="38"/>
    <x v="0"/>
    <x v="0"/>
    <x v="6"/>
    <s v="Perfume"/>
    <n v="48.99"/>
    <x v="3"/>
    <s v="Cash on Delivery"/>
    <n v="4.5999999999999996"/>
    <x v="3"/>
    <n v="39.192000000000007"/>
    <n v="5"/>
    <x v="0"/>
  </r>
  <r>
    <n v="1618"/>
    <n v="20"/>
    <x v="2"/>
    <x v="0"/>
    <x v="7"/>
    <s v="Sneakers"/>
    <n v="43.11"/>
    <x v="0"/>
    <s v="Cash on Delivery"/>
    <n v="2.7"/>
    <x v="2"/>
    <n v="38.367899999999999"/>
    <n v="3"/>
    <x v="1"/>
  </r>
  <r>
    <n v="1619"/>
    <n v="55"/>
    <x v="0"/>
    <x v="1"/>
    <x v="1"/>
    <s v="Jacket"/>
    <n v="168.41"/>
    <x v="2"/>
    <s v="Card"/>
    <n v="3.4"/>
    <x v="5"/>
    <n v="154.93719999999999"/>
    <n v="4"/>
    <x v="0"/>
  </r>
  <r>
    <n v="1620"/>
    <n v="33"/>
    <x v="0"/>
    <x v="1"/>
    <x v="2"/>
    <s v="Dumbbells"/>
    <n v="174.82"/>
    <x v="3"/>
    <s v="Card"/>
    <n v="3.2"/>
    <x v="2"/>
    <n v="155.5898"/>
    <n v="3"/>
    <x v="1"/>
  </r>
  <r>
    <n v="1621"/>
    <n v="68"/>
    <x v="1"/>
    <x v="0"/>
    <x v="6"/>
    <s v="Skincare Kit"/>
    <n v="76.84"/>
    <x v="0"/>
    <s v="Cash on Delivery"/>
    <n v="3.2"/>
    <x v="19"/>
    <n v="65.314000000000007"/>
    <n v="5"/>
    <x v="0"/>
  </r>
  <r>
    <n v="1622"/>
    <n v="41"/>
    <x v="0"/>
    <x v="0"/>
    <x v="6"/>
    <s v="Skincare Kit"/>
    <n v="106.37"/>
    <x v="2"/>
    <s v="Card"/>
    <n v="2.2999999999999998"/>
    <x v="3"/>
    <n v="85.096000000000004"/>
    <n v="5"/>
    <x v="0"/>
  </r>
  <r>
    <n v="1623"/>
    <n v="54"/>
    <x v="0"/>
    <x v="1"/>
    <x v="5"/>
    <s v="Mobile Phone"/>
    <n v="2164.64"/>
    <x v="1"/>
    <s v="Card"/>
    <n v="3.9"/>
    <x v="7"/>
    <n v="1948.1759999999999"/>
    <n v="5"/>
    <x v="0"/>
  </r>
  <r>
    <n v="1624"/>
    <n v="31"/>
    <x v="0"/>
    <x v="0"/>
    <x v="6"/>
    <s v="Skincare Kit"/>
    <n v="61.15"/>
    <x v="3"/>
    <s v="Card"/>
    <n v="3.4"/>
    <x v="14"/>
    <n v="50.754499999999993"/>
    <n v="6"/>
    <x v="0"/>
  </r>
  <r>
    <n v="1625"/>
    <n v="31"/>
    <x v="0"/>
    <x v="1"/>
    <x v="5"/>
    <s v="Headphones"/>
    <n v="1128.3"/>
    <x v="3"/>
    <s v="Card"/>
    <n v="3.2"/>
    <x v="7"/>
    <n v="1015.47"/>
    <n v="5"/>
    <x v="0"/>
  </r>
  <r>
    <n v="1626"/>
    <n v="47"/>
    <x v="0"/>
    <x v="1"/>
    <x v="5"/>
    <s v="Mobile Phone"/>
    <n v="696.28"/>
    <x v="0"/>
    <s v="Card"/>
    <n v="3.7"/>
    <x v="19"/>
    <n v="591.83799999999997"/>
    <n v="5"/>
    <x v="0"/>
  </r>
  <r>
    <n v="1627"/>
    <n v="55"/>
    <x v="0"/>
    <x v="1"/>
    <x v="7"/>
    <s v="Formal Shoes"/>
    <n v="212.95"/>
    <x v="2"/>
    <s v="Card"/>
    <n v="3.4"/>
    <x v="8"/>
    <n v="187.39599999999999"/>
    <n v="6"/>
    <x v="0"/>
  </r>
  <r>
    <n v="1628"/>
    <n v="56"/>
    <x v="0"/>
    <x v="0"/>
    <x v="7"/>
    <s v="Sneakers"/>
    <n v="213.37"/>
    <x v="2"/>
    <s v="Card"/>
    <n v="2.9"/>
    <x v="17"/>
    <n v="204.83519999999999"/>
    <n v="2"/>
    <x v="1"/>
  </r>
  <r>
    <n v="1629"/>
    <n v="57"/>
    <x v="0"/>
    <x v="0"/>
    <x v="4"/>
    <s v="Rice Pack"/>
    <n v="30.58"/>
    <x v="3"/>
    <s v="Card"/>
    <n v="4.4000000000000004"/>
    <x v="4"/>
    <n v="26.298799999999996"/>
    <n v="7"/>
    <x v="0"/>
  </r>
  <r>
    <n v="1630"/>
    <n v="54"/>
    <x v="0"/>
    <x v="0"/>
    <x v="7"/>
    <s v="Formal Shoes"/>
    <n v="146.74"/>
    <x v="3"/>
    <s v="Card"/>
    <n v="3.7"/>
    <x v="24"/>
    <n v="105.6528"/>
    <n v="9"/>
    <x v="2"/>
  </r>
  <r>
    <n v="1631"/>
    <n v="44"/>
    <x v="0"/>
    <x v="0"/>
    <x v="4"/>
    <s v="Snacks"/>
    <n v="14.22"/>
    <x v="1"/>
    <s v="Cash on Delivery"/>
    <n v="2.5"/>
    <x v="4"/>
    <n v="12.229200000000001"/>
    <n v="7"/>
    <x v="0"/>
  </r>
  <r>
    <n v="1632"/>
    <n v="44"/>
    <x v="0"/>
    <x v="1"/>
    <x v="2"/>
    <s v="Football"/>
    <n v="87.41"/>
    <x v="0"/>
    <s v="Cash on Delivery"/>
    <n v="3.4"/>
    <x v="17"/>
    <n v="83.913599999999988"/>
    <n v="2"/>
    <x v="1"/>
  </r>
  <r>
    <n v="1633"/>
    <n v="23"/>
    <x v="2"/>
    <x v="0"/>
    <x v="4"/>
    <s v="Rice Pack"/>
    <n v="78.14"/>
    <x v="2"/>
    <s v="Card"/>
    <n v="3.7"/>
    <x v="4"/>
    <n v="67.200400000000002"/>
    <n v="7"/>
    <x v="0"/>
  </r>
  <r>
    <n v="1634"/>
    <n v="64"/>
    <x v="1"/>
    <x v="0"/>
    <x v="4"/>
    <s v="Cooking Oil"/>
    <n v="40.22"/>
    <x v="1"/>
    <s v="Cash on Delivery"/>
    <n v="4.5"/>
    <x v="2"/>
    <n v="35.7958"/>
    <n v="3"/>
    <x v="1"/>
  </r>
  <r>
    <n v="1635"/>
    <n v="39"/>
    <x v="0"/>
    <x v="1"/>
    <x v="3"/>
    <s v="Curtains"/>
    <n v="199.12"/>
    <x v="3"/>
    <s v="Card"/>
    <n v="3.7"/>
    <x v="12"/>
    <n v="161.28720000000001"/>
    <n v="7"/>
    <x v="0"/>
  </r>
  <r>
    <n v="1636"/>
    <n v="40"/>
    <x v="0"/>
    <x v="0"/>
    <x v="2"/>
    <s v="Dumbbells"/>
    <n v="204.66"/>
    <x v="2"/>
    <s v="Card"/>
    <n v="3"/>
    <x v="6"/>
    <n v="171.9144"/>
    <n v="3"/>
    <x v="1"/>
  </r>
  <r>
    <n v="1637"/>
    <n v="21"/>
    <x v="2"/>
    <x v="0"/>
    <x v="7"/>
    <s v="Sandals"/>
    <n v="121.27"/>
    <x v="3"/>
    <s v="Card"/>
    <n v="5"/>
    <x v="10"/>
    <n v="94.590599999999995"/>
    <n v="6"/>
    <x v="0"/>
  </r>
  <r>
    <n v="1638"/>
    <n v="28"/>
    <x v="2"/>
    <x v="0"/>
    <x v="0"/>
    <s v="Sunglasses"/>
    <n v="63.38"/>
    <x v="3"/>
    <s v="Cash on Delivery"/>
    <n v="4.9000000000000004"/>
    <x v="22"/>
    <n v="48.802600000000005"/>
    <n v="9"/>
    <x v="2"/>
  </r>
  <r>
    <n v="1639"/>
    <n v="34"/>
    <x v="0"/>
    <x v="1"/>
    <x v="5"/>
    <s v="Headphones"/>
    <n v="1458.59"/>
    <x v="1"/>
    <s v="Card"/>
    <n v="3.8"/>
    <x v="19"/>
    <n v="1239.8014999999998"/>
    <n v="5"/>
    <x v="0"/>
  </r>
  <r>
    <n v="1640"/>
    <n v="47"/>
    <x v="0"/>
    <x v="0"/>
    <x v="8"/>
    <s v="Jeans"/>
    <n v="115.9"/>
    <x v="2"/>
    <s v="Card"/>
    <n v="4"/>
    <x v="18"/>
    <n v="88.084000000000003"/>
    <n v="12"/>
    <x v="2"/>
  </r>
  <r>
    <n v="1641"/>
    <n v="30"/>
    <x v="2"/>
    <x v="0"/>
    <x v="0"/>
    <s v="Sunglasses"/>
    <n v="45.95"/>
    <x v="2"/>
    <s v="Cash on Delivery"/>
    <n v="3.8"/>
    <x v="4"/>
    <n v="39.517000000000003"/>
    <n v="2"/>
    <x v="1"/>
  </r>
  <r>
    <n v="1642"/>
    <n v="53"/>
    <x v="0"/>
    <x v="1"/>
    <x v="5"/>
    <s v="Headphones"/>
    <n v="2248.9899999999998"/>
    <x v="1"/>
    <s v="Card"/>
    <n v="3.6"/>
    <x v="4"/>
    <n v="1934.1313999999998"/>
    <n v="2"/>
    <x v="1"/>
  </r>
  <r>
    <n v="1643"/>
    <n v="33"/>
    <x v="0"/>
    <x v="0"/>
    <x v="7"/>
    <s v="Sandals"/>
    <n v="168.21"/>
    <x v="2"/>
    <s v="Card"/>
    <n v="3.1"/>
    <x v="0"/>
    <n v="137.93220000000002"/>
    <n v="9"/>
    <x v="2"/>
  </r>
  <r>
    <n v="1644"/>
    <n v="28"/>
    <x v="2"/>
    <x v="1"/>
    <x v="2"/>
    <s v="Dumbbells"/>
    <n v="38.31"/>
    <x v="1"/>
    <s v="Card"/>
    <n v="3.7"/>
    <x v="14"/>
    <n v="31.7973"/>
    <n v="6"/>
    <x v="0"/>
  </r>
  <r>
    <n v="1645"/>
    <n v="58"/>
    <x v="0"/>
    <x v="1"/>
    <x v="2"/>
    <s v="Dumbbells"/>
    <n v="137.26"/>
    <x v="2"/>
    <s v="Card"/>
    <n v="4.4000000000000004"/>
    <x v="1"/>
    <n v="119.41619999999999"/>
    <n v="4"/>
    <x v="0"/>
  </r>
  <r>
    <n v="1646"/>
    <n v="59"/>
    <x v="0"/>
    <x v="1"/>
    <x v="7"/>
    <s v="Sneakers"/>
    <n v="115.57"/>
    <x v="2"/>
    <s v="Card"/>
    <n v="2.5"/>
    <x v="1"/>
    <n v="100.54589999999999"/>
    <n v="4"/>
    <x v="0"/>
  </r>
  <r>
    <n v="1647"/>
    <n v="54"/>
    <x v="0"/>
    <x v="1"/>
    <x v="7"/>
    <s v="Sneakers"/>
    <n v="189.63"/>
    <x v="3"/>
    <s v="Card"/>
    <n v="4.4000000000000004"/>
    <x v="4"/>
    <n v="163.08179999999999"/>
    <n v="7"/>
    <x v="0"/>
  </r>
  <r>
    <n v="1648"/>
    <n v="67"/>
    <x v="1"/>
    <x v="0"/>
    <x v="6"/>
    <s v="Perfume"/>
    <n v="58.44"/>
    <x v="2"/>
    <s v="Card"/>
    <n v="3.4"/>
    <x v="0"/>
    <n v="47.9208"/>
    <n v="4"/>
    <x v="0"/>
  </r>
  <r>
    <n v="1649"/>
    <n v="32"/>
    <x v="0"/>
    <x v="1"/>
    <x v="5"/>
    <s v="Smart Watch"/>
    <n v="1800.7"/>
    <x v="3"/>
    <s v="Card"/>
    <n v="3.6"/>
    <x v="7"/>
    <n v="1620.63"/>
    <n v="5"/>
    <x v="0"/>
  </r>
  <r>
    <n v="1650"/>
    <n v="23"/>
    <x v="2"/>
    <x v="1"/>
    <x v="4"/>
    <s v="Beverages"/>
    <n v="8.34"/>
    <x v="0"/>
    <s v="Card"/>
    <n v="4.0999999999999996"/>
    <x v="27"/>
    <n v="6.2549999999999999"/>
    <n v="10"/>
    <x v="2"/>
  </r>
  <r>
    <n v="1651"/>
    <n v="56"/>
    <x v="0"/>
    <x v="0"/>
    <x v="0"/>
    <s v="Sunglasses"/>
    <n v="83.07"/>
    <x v="3"/>
    <s v="Card"/>
    <n v="3.8"/>
    <x v="1"/>
    <n v="72.270899999999997"/>
    <n v="4"/>
    <x v="0"/>
  </r>
  <r>
    <n v="1652"/>
    <n v="65"/>
    <x v="1"/>
    <x v="1"/>
    <x v="3"/>
    <s v="Kitchen Set"/>
    <n v="173.82"/>
    <x v="0"/>
    <s v="Card"/>
    <n v="5"/>
    <x v="10"/>
    <n v="135.5796"/>
    <n v="6"/>
    <x v="0"/>
  </r>
  <r>
    <n v="1653"/>
    <n v="47"/>
    <x v="0"/>
    <x v="0"/>
    <x v="8"/>
    <s v="Jeans"/>
    <n v="145.85"/>
    <x v="1"/>
    <s v="Card"/>
    <n v="3"/>
    <x v="5"/>
    <n v="134.18199999999999"/>
    <n v="4"/>
    <x v="0"/>
  </r>
  <r>
    <n v="1654"/>
    <n v="22"/>
    <x v="2"/>
    <x v="0"/>
    <x v="8"/>
    <s v="Jeans"/>
    <n v="79.34"/>
    <x v="2"/>
    <s v="Cash on Delivery"/>
    <n v="3.5"/>
    <x v="18"/>
    <n v="60.298400000000001"/>
    <n v="7"/>
    <x v="0"/>
  </r>
  <r>
    <n v="1655"/>
    <n v="38"/>
    <x v="0"/>
    <x v="0"/>
    <x v="8"/>
    <s v="Dress"/>
    <n v="140"/>
    <x v="2"/>
    <s v="Card"/>
    <n v="3.8"/>
    <x v="2"/>
    <n v="124.60000000000001"/>
    <n v="3"/>
    <x v="1"/>
  </r>
  <r>
    <n v="1656"/>
    <n v="48"/>
    <x v="0"/>
    <x v="1"/>
    <x v="5"/>
    <s v="Mobile Phone"/>
    <n v="532.67999999999995"/>
    <x v="3"/>
    <s v="Card"/>
    <n v="3"/>
    <x v="16"/>
    <n v="500.71919999999994"/>
    <n v="3"/>
    <x v="1"/>
  </r>
  <r>
    <n v="1657"/>
    <n v="26"/>
    <x v="2"/>
    <x v="1"/>
    <x v="2"/>
    <s v="Dumbbells"/>
    <n v="168.47"/>
    <x v="2"/>
    <s v="Card"/>
    <n v="3.7"/>
    <x v="10"/>
    <n v="131.4066"/>
    <n v="11"/>
    <x v="2"/>
  </r>
  <r>
    <n v="1658"/>
    <n v="65"/>
    <x v="1"/>
    <x v="0"/>
    <x v="8"/>
    <s v="Dress"/>
    <n v="93.8"/>
    <x v="2"/>
    <s v="Cash on Delivery"/>
    <n v="4.3"/>
    <x v="6"/>
    <n v="78.792000000000002"/>
    <n v="3"/>
    <x v="1"/>
  </r>
  <r>
    <n v="1659"/>
    <n v="68"/>
    <x v="1"/>
    <x v="1"/>
    <x v="1"/>
    <s v="Shirt"/>
    <n v="162.35"/>
    <x v="3"/>
    <s v="Card"/>
    <n v="4.4000000000000004"/>
    <x v="14"/>
    <n v="134.75049999999999"/>
    <n v="6"/>
    <x v="0"/>
  </r>
  <r>
    <n v="1660"/>
    <n v="58"/>
    <x v="0"/>
    <x v="1"/>
    <x v="1"/>
    <s v="T-Shirt"/>
    <n v="62.32"/>
    <x v="1"/>
    <s v="Card"/>
    <n v="3.9"/>
    <x v="1"/>
    <n v="54.218400000000003"/>
    <n v="4"/>
    <x v="0"/>
  </r>
  <r>
    <n v="1661"/>
    <n v="48"/>
    <x v="0"/>
    <x v="0"/>
    <x v="6"/>
    <s v="Makeup Set"/>
    <n v="134.47999999999999"/>
    <x v="2"/>
    <s v="Card"/>
    <n v="3.9"/>
    <x v="0"/>
    <n v="110.2736"/>
    <n v="4"/>
    <x v="0"/>
  </r>
  <r>
    <n v="1662"/>
    <n v="37"/>
    <x v="0"/>
    <x v="1"/>
    <x v="7"/>
    <s v="Sneakers"/>
    <n v="200.91"/>
    <x v="1"/>
    <s v="Card"/>
    <n v="2.8"/>
    <x v="6"/>
    <n v="168.76439999999999"/>
    <n v="3"/>
    <x v="1"/>
  </r>
  <r>
    <n v="1663"/>
    <n v="31"/>
    <x v="0"/>
    <x v="0"/>
    <x v="6"/>
    <s v="Skincare Kit"/>
    <n v="137.99"/>
    <x v="2"/>
    <s v="Card"/>
    <n v="3.8"/>
    <x v="7"/>
    <n v="124.19100000000002"/>
    <n v="5"/>
    <x v="0"/>
  </r>
  <r>
    <n v="1664"/>
    <n v="62"/>
    <x v="1"/>
    <x v="0"/>
    <x v="7"/>
    <s v="Formal Shoes"/>
    <n v="51.08"/>
    <x v="2"/>
    <s v="Cash on Delivery"/>
    <n v="3.1"/>
    <x v="21"/>
    <n v="40.353200000000001"/>
    <n v="8"/>
    <x v="2"/>
  </r>
  <r>
    <n v="1665"/>
    <n v="56"/>
    <x v="0"/>
    <x v="1"/>
    <x v="2"/>
    <s v="Football"/>
    <n v="211"/>
    <x v="0"/>
    <s v="Card"/>
    <n v="1.3"/>
    <x v="26"/>
    <n v="200.45"/>
    <n v="0"/>
    <x v="1"/>
  </r>
  <r>
    <n v="1666"/>
    <n v="28"/>
    <x v="2"/>
    <x v="0"/>
    <x v="8"/>
    <s v="Dress"/>
    <n v="40.1"/>
    <x v="0"/>
    <s v="Card"/>
    <n v="3.5"/>
    <x v="3"/>
    <n v="32.080000000000005"/>
    <n v="5"/>
    <x v="0"/>
  </r>
  <r>
    <n v="1667"/>
    <n v="27"/>
    <x v="2"/>
    <x v="1"/>
    <x v="4"/>
    <s v="Cooking Oil"/>
    <n v="19.89"/>
    <x v="3"/>
    <s v="Card"/>
    <n v="4.0999999999999996"/>
    <x v="13"/>
    <n v="18.099900000000002"/>
    <n v="2"/>
    <x v="1"/>
  </r>
  <r>
    <n v="1668"/>
    <n v="61"/>
    <x v="1"/>
    <x v="1"/>
    <x v="2"/>
    <s v="Yoga Mat"/>
    <n v="135.32"/>
    <x v="0"/>
    <s v="Card"/>
    <n v="3"/>
    <x v="4"/>
    <n v="116.37519999999999"/>
    <n v="7"/>
    <x v="0"/>
  </r>
  <r>
    <n v="1669"/>
    <n v="23"/>
    <x v="2"/>
    <x v="0"/>
    <x v="0"/>
    <s v="Wallet"/>
    <n v="101.21"/>
    <x v="2"/>
    <s v="Card"/>
    <n v="3.6"/>
    <x v="24"/>
    <n v="72.871199999999988"/>
    <n v="9"/>
    <x v="2"/>
  </r>
  <r>
    <n v="1670"/>
    <n v="60"/>
    <x v="0"/>
    <x v="0"/>
    <x v="2"/>
    <s v="Yoga Mat"/>
    <n v="163.92"/>
    <x v="1"/>
    <s v="Card"/>
    <n v="3.1"/>
    <x v="19"/>
    <n v="139.33199999999999"/>
    <n v="5"/>
    <x v="0"/>
  </r>
  <r>
    <n v="1671"/>
    <n v="54"/>
    <x v="0"/>
    <x v="1"/>
    <x v="7"/>
    <s v="Sneakers"/>
    <n v="138.78"/>
    <x v="3"/>
    <s v="Card"/>
    <n v="3.7"/>
    <x v="19"/>
    <n v="117.96299999999999"/>
    <n v="5"/>
    <x v="0"/>
  </r>
  <r>
    <n v="1672"/>
    <n v="37"/>
    <x v="0"/>
    <x v="1"/>
    <x v="1"/>
    <s v="T-Shirt"/>
    <n v="168.61"/>
    <x v="0"/>
    <s v="Card"/>
    <n v="4.5999999999999996"/>
    <x v="19"/>
    <n v="143.3185"/>
    <n v="5"/>
    <x v="0"/>
  </r>
  <r>
    <n v="1673"/>
    <n v="60"/>
    <x v="0"/>
    <x v="0"/>
    <x v="8"/>
    <s v="Skirt"/>
    <n v="177.44"/>
    <x v="0"/>
    <s v="Card"/>
    <n v="3.8"/>
    <x v="13"/>
    <n v="161.47040000000001"/>
    <n v="2"/>
    <x v="1"/>
  </r>
  <r>
    <n v="1674"/>
    <n v="42"/>
    <x v="0"/>
    <x v="1"/>
    <x v="7"/>
    <s v="Sneakers"/>
    <n v="58.43"/>
    <x v="3"/>
    <s v="Card"/>
    <n v="3.9"/>
    <x v="1"/>
    <n v="50.834099999999999"/>
    <n v="4"/>
    <x v="0"/>
  </r>
  <r>
    <n v="1675"/>
    <n v="27"/>
    <x v="2"/>
    <x v="1"/>
    <x v="3"/>
    <s v="Lamp"/>
    <n v="184.18"/>
    <x v="2"/>
    <s v="Card"/>
    <n v="4.2"/>
    <x v="22"/>
    <n v="141.8186"/>
    <n v="9"/>
    <x v="2"/>
  </r>
  <r>
    <n v="1676"/>
    <n v="54"/>
    <x v="0"/>
    <x v="0"/>
    <x v="7"/>
    <s v="Formal Shoes"/>
    <n v="180.54"/>
    <x v="0"/>
    <s v="Card"/>
    <n v="3.9"/>
    <x v="19"/>
    <n v="153.459"/>
    <n v="5"/>
    <x v="0"/>
  </r>
  <r>
    <n v="1677"/>
    <n v="56"/>
    <x v="0"/>
    <x v="1"/>
    <x v="1"/>
    <s v="Jeans"/>
    <n v="135.91"/>
    <x v="2"/>
    <s v="Card"/>
    <n v="3.6"/>
    <x v="10"/>
    <n v="106.0098"/>
    <n v="6"/>
    <x v="0"/>
  </r>
  <r>
    <n v="1678"/>
    <n v="44"/>
    <x v="0"/>
    <x v="0"/>
    <x v="8"/>
    <s v="Dress"/>
    <n v="183.99"/>
    <x v="0"/>
    <s v="Card"/>
    <n v="3.1"/>
    <x v="6"/>
    <n v="154.55160000000001"/>
    <n v="8"/>
    <x v="2"/>
  </r>
  <r>
    <n v="1679"/>
    <n v="32"/>
    <x v="0"/>
    <x v="0"/>
    <x v="7"/>
    <s v="Sneakers"/>
    <n v="188.12"/>
    <x v="2"/>
    <s v="Card"/>
    <n v="2.7"/>
    <x v="16"/>
    <n v="176.83279999999999"/>
    <n v="3"/>
    <x v="1"/>
  </r>
  <r>
    <n v="1680"/>
    <n v="60"/>
    <x v="0"/>
    <x v="0"/>
    <x v="7"/>
    <s v="Sneakers"/>
    <n v="81.88"/>
    <x v="2"/>
    <s v="Cash on Delivery"/>
    <n v="4.5"/>
    <x v="4"/>
    <n v="70.416799999999995"/>
    <n v="7"/>
    <x v="0"/>
  </r>
  <r>
    <n v="1681"/>
    <n v="55"/>
    <x v="0"/>
    <x v="0"/>
    <x v="7"/>
    <s v="Sneakers"/>
    <n v="134.88"/>
    <x v="2"/>
    <s v="Card"/>
    <n v="4.0999999999999996"/>
    <x v="2"/>
    <n v="120.0432"/>
    <n v="3"/>
    <x v="1"/>
  </r>
  <r>
    <n v="1682"/>
    <n v="60"/>
    <x v="0"/>
    <x v="0"/>
    <x v="7"/>
    <s v="Sneakers"/>
    <n v="76.8"/>
    <x v="2"/>
    <s v="Card"/>
    <n v="3.3"/>
    <x v="14"/>
    <n v="63.743999999999993"/>
    <n v="6"/>
    <x v="0"/>
  </r>
  <r>
    <n v="1683"/>
    <n v="54"/>
    <x v="0"/>
    <x v="0"/>
    <x v="6"/>
    <s v="Perfume"/>
    <n v="54.63"/>
    <x v="2"/>
    <s v="Cash on Delivery"/>
    <n v="4.5"/>
    <x v="7"/>
    <n v="49.167000000000002"/>
    <n v="5"/>
    <x v="0"/>
  </r>
  <r>
    <n v="1684"/>
    <n v="39"/>
    <x v="0"/>
    <x v="1"/>
    <x v="1"/>
    <s v="Jeans"/>
    <n v="47.56"/>
    <x v="1"/>
    <s v="Cash on Delivery"/>
    <n v="2.1"/>
    <x v="16"/>
    <n v="44.706400000000002"/>
    <n v="3"/>
    <x v="1"/>
  </r>
  <r>
    <n v="1685"/>
    <n v="20"/>
    <x v="2"/>
    <x v="1"/>
    <x v="7"/>
    <s v="Sneakers"/>
    <n v="53.28"/>
    <x v="3"/>
    <s v="Card"/>
    <n v="3"/>
    <x v="22"/>
    <n v="41.025600000000004"/>
    <n v="9"/>
    <x v="2"/>
  </r>
  <r>
    <n v="1686"/>
    <n v="31"/>
    <x v="0"/>
    <x v="0"/>
    <x v="4"/>
    <s v="Rice Pack"/>
    <n v="78.790000000000006"/>
    <x v="2"/>
    <s v="Cash on Delivery"/>
    <n v="4.8"/>
    <x v="4"/>
    <n v="67.759399999999999"/>
    <n v="2"/>
    <x v="1"/>
  </r>
  <r>
    <n v="1687"/>
    <n v="45"/>
    <x v="0"/>
    <x v="0"/>
    <x v="6"/>
    <s v="Perfume"/>
    <n v="52.81"/>
    <x v="2"/>
    <s v="Card"/>
    <n v="4.5999999999999996"/>
    <x v="18"/>
    <n v="40.135600000000004"/>
    <n v="7"/>
    <x v="0"/>
  </r>
  <r>
    <n v="1688"/>
    <n v="38"/>
    <x v="0"/>
    <x v="1"/>
    <x v="5"/>
    <s v="Smart Watch"/>
    <n v="2403.13"/>
    <x v="3"/>
    <s v="Card"/>
    <n v="4.9000000000000004"/>
    <x v="5"/>
    <n v="2210.8796000000002"/>
    <n v="4"/>
    <x v="0"/>
  </r>
  <r>
    <n v="1689"/>
    <n v="61"/>
    <x v="1"/>
    <x v="0"/>
    <x v="0"/>
    <s v="Sunglasses"/>
    <n v="117"/>
    <x v="3"/>
    <s v="Card"/>
    <n v="3.4"/>
    <x v="19"/>
    <n v="99.45"/>
    <n v="5"/>
    <x v="0"/>
  </r>
  <r>
    <n v="1690"/>
    <n v="51"/>
    <x v="0"/>
    <x v="1"/>
    <x v="7"/>
    <s v="Sneakers"/>
    <n v="94.71"/>
    <x v="3"/>
    <s v="Card"/>
    <n v="3.6"/>
    <x v="1"/>
    <n v="82.3977"/>
    <n v="4"/>
    <x v="0"/>
  </r>
  <r>
    <n v="1691"/>
    <n v="54"/>
    <x v="0"/>
    <x v="0"/>
    <x v="7"/>
    <s v="Sandals"/>
    <n v="121.85"/>
    <x v="0"/>
    <s v="Card"/>
    <n v="4.0999999999999996"/>
    <x v="18"/>
    <n v="92.605999999999995"/>
    <n v="7"/>
    <x v="0"/>
  </r>
  <r>
    <n v="1692"/>
    <n v="49"/>
    <x v="0"/>
    <x v="1"/>
    <x v="4"/>
    <s v="Beverages"/>
    <n v="72.209999999999994"/>
    <x v="0"/>
    <s v="Cash on Delivery"/>
    <n v="3.8"/>
    <x v="6"/>
    <n v="60.656399999999991"/>
    <n v="3"/>
    <x v="1"/>
  </r>
  <r>
    <n v="1693"/>
    <n v="69"/>
    <x v="1"/>
    <x v="0"/>
    <x v="0"/>
    <s v="Wallet"/>
    <n v="166.88"/>
    <x v="3"/>
    <s v="Card"/>
    <n v="4.0999999999999996"/>
    <x v="5"/>
    <n v="153.52960000000002"/>
    <n v="4"/>
    <x v="0"/>
  </r>
  <r>
    <n v="1694"/>
    <n v="46"/>
    <x v="0"/>
    <x v="0"/>
    <x v="6"/>
    <s v="Skincare Kit"/>
    <n v="75.22"/>
    <x v="0"/>
    <s v="Cash on Delivery"/>
    <n v="4.0999999999999996"/>
    <x v="7"/>
    <n v="67.698000000000008"/>
    <n v="5"/>
    <x v="0"/>
  </r>
  <r>
    <n v="1695"/>
    <n v="48"/>
    <x v="0"/>
    <x v="1"/>
    <x v="7"/>
    <s v="Sneakers"/>
    <n v="77.91"/>
    <x v="1"/>
    <s v="Card"/>
    <n v="3.9"/>
    <x v="14"/>
    <n v="64.665299999999988"/>
    <n v="6"/>
    <x v="0"/>
  </r>
  <r>
    <n v="1696"/>
    <n v="58"/>
    <x v="0"/>
    <x v="1"/>
    <x v="2"/>
    <s v="Yoga Mat"/>
    <n v="65.28"/>
    <x v="2"/>
    <s v="Card"/>
    <n v="4.5999999999999996"/>
    <x v="8"/>
    <n v="57.446400000000004"/>
    <n v="6"/>
    <x v="0"/>
  </r>
  <r>
    <n v="1697"/>
    <n v="47"/>
    <x v="0"/>
    <x v="0"/>
    <x v="7"/>
    <s v="Sandals"/>
    <n v="132.81"/>
    <x v="1"/>
    <s v="Card"/>
    <n v="4.0999999999999996"/>
    <x v="16"/>
    <n v="124.84139999999999"/>
    <n v="3"/>
    <x v="1"/>
  </r>
  <r>
    <n v="1698"/>
    <n v="33"/>
    <x v="0"/>
    <x v="1"/>
    <x v="5"/>
    <s v="Smart Watch"/>
    <n v="2290.9699999999998"/>
    <x v="3"/>
    <s v="Card"/>
    <n v="4.2"/>
    <x v="8"/>
    <n v="2016.0535999999997"/>
    <n v="1"/>
    <x v="1"/>
  </r>
  <r>
    <n v="1699"/>
    <n v="34"/>
    <x v="0"/>
    <x v="0"/>
    <x v="6"/>
    <s v="Skincare Kit"/>
    <n v="31.61"/>
    <x v="0"/>
    <s v="Card"/>
    <n v="5"/>
    <x v="12"/>
    <n v="25.604100000000003"/>
    <n v="7"/>
    <x v="0"/>
  </r>
  <r>
    <n v="1700"/>
    <n v="43"/>
    <x v="0"/>
    <x v="1"/>
    <x v="1"/>
    <s v="Shirt"/>
    <n v="184.32"/>
    <x v="1"/>
    <s v="Card"/>
    <n v="4.5999999999999996"/>
    <x v="10"/>
    <n v="143.7696"/>
    <n v="6"/>
    <x v="0"/>
  </r>
  <r>
    <n v="1701"/>
    <n v="58"/>
    <x v="0"/>
    <x v="1"/>
    <x v="7"/>
    <s v="Formal Shoes"/>
    <n v="135.47"/>
    <x v="1"/>
    <s v="Card"/>
    <n v="4.9000000000000004"/>
    <x v="25"/>
    <n v="94.828999999999994"/>
    <n v="10"/>
    <x v="2"/>
  </r>
  <r>
    <n v="1702"/>
    <n v="58"/>
    <x v="0"/>
    <x v="0"/>
    <x v="7"/>
    <s v="Sneakers"/>
    <n v="101.31"/>
    <x v="0"/>
    <s v="Card"/>
    <n v="3.9"/>
    <x v="11"/>
    <n v="74.969400000000007"/>
    <n v="8"/>
    <x v="2"/>
  </r>
  <r>
    <n v="1703"/>
    <n v="41"/>
    <x v="0"/>
    <x v="0"/>
    <x v="8"/>
    <s v="Dress"/>
    <n v="162.41"/>
    <x v="2"/>
    <s v="Card"/>
    <n v="4"/>
    <x v="17"/>
    <n v="155.9136"/>
    <n v="2"/>
    <x v="1"/>
  </r>
  <r>
    <n v="1704"/>
    <n v="70"/>
    <x v="1"/>
    <x v="0"/>
    <x v="7"/>
    <s v="Sneakers"/>
    <n v="207.96"/>
    <x v="1"/>
    <s v="Card"/>
    <n v="4.0999999999999996"/>
    <x v="1"/>
    <n v="180.92520000000002"/>
    <n v="4"/>
    <x v="0"/>
  </r>
  <r>
    <n v="1705"/>
    <n v="35"/>
    <x v="0"/>
    <x v="0"/>
    <x v="0"/>
    <s v="Sunglasses"/>
    <n v="63.49"/>
    <x v="2"/>
    <s v="Card"/>
    <n v="2.2000000000000002"/>
    <x v="7"/>
    <n v="57.141000000000005"/>
    <n v="5"/>
    <x v="0"/>
  </r>
  <r>
    <n v="1706"/>
    <n v="63"/>
    <x v="1"/>
    <x v="0"/>
    <x v="7"/>
    <s v="Sneakers"/>
    <n v="139.55000000000001"/>
    <x v="1"/>
    <s v="Card"/>
    <n v="4.3"/>
    <x v="8"/>
    <n v="122.80400000000002"/>
    <n v="6"/>
    <x v="0"/>
  </r>
  <r>
    <n v="1707"/>
    <n v="38"/>
    <x v="0"/>
    <x v="1"/>
    <x v="5"/>
    <s v="Laptop"/>
    <n v="2428.09"/>
    <x v="2"/>
    <s v="Card"/>
    <n v="4.4000000000000004"/>
    <x v="10"/>
    <n v="1893.9102000000003"/>
    <n v="6"/>
    <x v="0"/>
  </r>
  <r>
    <n v="1708"/>
    <n v="44"/>
    <x v="0"/>
    <x v="0"/>
    <x v="6"/>
    <s v="Skincare Kit"/>
    <n v="96.31"/>
    <x v="2"/>
    <s v="Card"/>
    <n v="3.3"/>
    <x v="3"/>
    <n v="77.048000000000002"/>
    <n v="5"/>
    <x v="0"/>
  </r>
  <r>
    <n v="1709"/>
    <n v="67"/>
    <x v="1"/>
    <x v="0"/>
    <x v="7"/>
    <s v="Formal Shoes"/>
    <n v="161.62"/>
    <x v="0"/>
    <s v="Card"/>
    <n v="3.6"/>
    <x v="0"/>
    <n v="132.5284"/>
    <n v="4"/>
    <x v="0"/>
  </r>
  <r>
    <n v="1710"/>
    <n v="55"/>
    <x v="0"/>
    <x v="1"/>
    <x v="1"/>
    <s v="T-Shirt"/>
    <n v="71.430000000000007"/>
    <x v="3"/>
    <s v="Cash on Delivery"/>
    <n v="4.7"/>
    <x v="11"/>
    <n v="52.858200000000004"/>
    <n v="8"/>
    <x v="2"/>
  </r>
  <r>
    <n v="1711"/>
    <n v="29"/>
    <x v="2"/>
    <x v="1"/>
    <x v="7"/>
    <s v="Sneakers"/>
    <n v="208.05"/>
    <x v="0"/>
    <s v="Card"/>
    <n v="3.3"/>
    <x v="1"/>
    <n v="181.0035"/>
    <n v="4"/>
    <x v="0"/>
  </r>
  <r>
    <n v="1712"/>
    <n v="43"/>
    <x v="0"/>
    <x v="1"/>
    <x v="1"/>
    <s v="T-Shirt"/>
    <n v="133.51"/>
    <x v="1"/>
    <s v="Card"/>
    <n v="3.6"/>
    <x v="8"/>
    <n v="117.4888"/>
    <n v="6"/>
    <x v="0"/>
  </r>
  <r>
    <n v="1713"/>
    <n v="68"/>
    <x v="1"/>
    <x v="0"/>
    <x v="8"/>
    <s v="Dress"/>
    <n v="64.66"/>
    <x v="2"/>
    <s v="Cash on Delivery"/>
    <n v="3.6"/>
    <x v="17"/>
    <n v="62.073599999999992"/>
    <n v="2"/>
    <x v="1"/>
  </r>
  <r>
    <n v="1714"/>
    <n v="42"/>
    <x v="0"/>
    <x v="0"/>
    <x v="4"/>
    <s v="Cooking Oil"/>
    <n v="33.18"/>
    <x v="0"/>
    <s v="Cash on Delivery"/>
    <n v="4.2"/>
    <x v="6"/>
    <n v="27.871199999999998"/>
    <n v="3"/>
    <x v="1"/>
  </r>
  <r>
    <n v="1715"/>
    <n v="66"/>
    <x v="1"/>
    <x v="1"/>
    <x v="2"/>
    <s v="Yoga Mat"/>
    <n v="53.42"/>
    <x v="2"/>
    <s v="Card"/>
    <n v="5"/>
    <x v="1"/>
    <n v="46.4754"/>
    <n v="4"/>
    <x v="0"/>
  </r>
  <r>
    <n v="1716"/>
    <n v="40"/>
    <x v="0"/>
    <x v="1"/>
    <x v="4"/>
    <s v="Beverages"/>
    <n v="34.409999999999997"/>
    <x v="1"/>
    <s v="Card"/>
    <n v="3.3"/>
    <x v="14"/>
    <n v="28.560299999999994"/>
    <n v="6"/>
    <x v="0"/>
  </r>
  <r>
    <n v="1717"/>
    <n v="46"/>
    <x v="0"/>
    <x v="1"/>
    <x v="5"/>
    <s v="Laptop"/>
    <n v="887.32"/>
    <x v="0"/>
    <s v="Card"/>
    <n v="3.8"/>
    <x v="0"/>
    <n v="727.6024000000001"/>
    <n v="4"/>
    <x v="0"/>
  </r>
  <r>
    <n v="1718"/>
    <n v="40"/>
    <x v="0"/>
    <x v="1"/>
    <x v="2"/>
    <s v="Football"/>
    <n v="225.57"/>
    <x v="2"/>
    <s v="Card"/>
    <n v="5"/>
    <x v="14"/>
    <n v="187.22309999999999"/>
    <n v="6"/>
    <x v="0"/>
  </r>
  <r>
    <n v="1719"/>
    <n v="63"/>
    <x v="1"/>
    <x v="1"/>
    <x v="4"/>
    <s v="Snacks"/>
    <n v="24.77"/>
    <x v="2"/>
    <s v="Cash on Delivery"/>
    <n v="4"/>
    <x v="1"/>
    <n v="21.549900000000001"/>
    <n v="4"/>
    <x v="0"/>
  </r>
  <r>
    <n v="1720"/>
    <n v="43"/>
    <x v="0"/>
    <x v="0"/>
    <x v="6"/>
    <s v="Makeup Set"/>
    <n v="74.94"/>
    <x v="2"/>
    <s v="Card"/>
    <n v="4.5"/>
    <x v="4"/>
    <n v="64.448399999999992"/>
    <n v="7"/>
    <x v="0"/>
  </r>
  <r>
    <n v="1721"/>
    <n v="60"/>
    <x v="0"/>
    <x v="0"/>
    <x v="2"/>
    <s v="Yoga Mat"/>
    <n v="154.94999999999999"/>
    <x v="3"/>
    <s v="Card"/>
    <n v="2.8"/>
    <x v="19"/>
    <n v="131.70749999999998"/>
    <n v="5"/>
    <x v="0"/>
  </r>
  <r>
    <n v="1722"/>
    <n v="66"/>
    <x v="1"/>
    <x v="0"/>
    <x v="8"/>
    <s v="Skirt"/>
    <n v="182.06"/>
    <x v="1"/>
    <s v="Card"/>
    <n v="3.5"/>
    <x v="4"/>
    <n v="156.57159999999999"/>
    <n v="7"/>
    <x v="0"/>
  </r>
  <r>
    <n v="1723"/>
    <n v="28"/>
    <x v="2"/>
    <x v="0"/>
    <x v="6"/>
    <s v="Perfume"/>
    <n v="102.87"/>
    <x v="0"/>
    <s v="Card"/>
    <n v="3.6"/>
    <x v="10"/>
    <n v="80.238600000000005"/>
    <n v="6"/>
    <x v="0"/>
  </r>
  <r>
    <n v="1724"/>
    <n v="68"/>
    <x v="1"/>
    <x v="0"/>
    <x v="7"/>
    <s v="Sandals"/>
    <n v="246.27"/>
    <x v="2"/>
    <s v="Card"/>
    <n v="4.7"/>
    <x v="14"/>
    <n v="204.4041"/>
    <n v="6"/>
    <x v="0"/>
  </r>
  <r>
    <n v="1725"/>
    <n v="48"/>
    <x v="0"/>
    <x v="1"/>
    <x v="1"/>
    <s v="Shirt"/>
    <n v="91.82"/>
    <x v="0"/>
    <s v="Cash on Delivery"/>
    <n v="4.2"/>
    <x v="21"/>
    <n v="72.537800000000004"/>
    <n v="8"/>
    <x v="2"/>
  </r>
  <r>
    <n v="1726"/>
    <n v="21"/>
    <x v="2"/>
    <x v="0"/>
    <x v="6"/>
    <s v="Makeup Set"/>
    <n v="34.909999999999997"/>
    <x v="0"/>
    <s v="Card"/>
    <n v="4.0999999999999996"/>
    <x v="6"/>
    <n v="29.324399999999997"/>
    <n v="3"/>
    <x v="1"/>
  </r>
  <r>
    <n v="1727"/>
    <n v="22"/>
    <x v="2"/>
    <x v="1"/>
    <x v="5"/>
    <s v="Laptop"/>
    <n v="2921.73"/>
    <x v="1"/>
    <s v="Card"/>
    <n v="4.4000000000000004"/>
    <x v="2"/>
    <n v="2600.3397"/>
    <n v="3"/>
    <x v="1"/>
  </r>
  <r>
    <n v="1728"/>
    <n v="20"/>
    <x v="2"/>
    <x v="0"/>
    <x v="0"/>
    <s v="Handbag"/>
    <n v="141.9"/>
    <x v="2"/>
    <s v="Card"/>
    <n v="3.4"/>
    <x v="2"/>
    <n v="126.29100000000001"/>
    <n v="3"/>
    <x v="1"/>
  </r>
  <r>
    <n v="1729"/>
    <n v="64"/>
    <x v="1"/>
    <x v="0"/>
    <x v="0"/>
    <s v="Wallet"/>
    <n v="95.27"/>
    <x v="1"/>
    <s v="Card"/>
    <n v="4.5999999999999996"/>
    <x v="18"/>
    <n v="72.405199999999994"/>
    <n v="7"/>
    <x v="0"/>
  </r>
  <r>
    <n v="1730"/>
    <n v="43"/>
    <x v="0"/>
    <x v="0"/>
    <x v="0"/>
    <s v="Wallet"/>
    <n v="26.57"/>
    <x v="3"/>
    <s v="Cash on Delivery"/>
    <n v="3.8"/>
    <x v="10"/>
    <n v="20.724600000000002"/>
    <n v="6"/>
    <x v="0"/>
  </r>
  <r>
    <n v="1731"/>
    <n v="41"/>
    <x v="0"/>
    <x v="0"/>
    <x v="7"/>
    <s v="Sneakers"/>
    <n v="232.67"/>
    <x v="2"/>
    <s v="Card"/>
    <n v="4.3"/>
    <x v="3"/>
    <n v="186.136"/>
    <n v="5"/>
    <x v="0"/>
  </r>
  <r>
    <n v="1732"/>
    <n v="37"/>
    <x v="0"/>
    <x v="1"/>
    <x v="1"/>
    <s v="Jacket"/>
    <n v="144.66999999999999"/>
    <x v="2"/>
    <s v="Card"/>
    <n v="5"/>
    <x v="7"/>
    <n v="130.203"/>
    <n v="5"/>
    <x v="0"/>
  </r>
  <r>
    <n v="1733"/>
    <n v="37"/>
    <x v="0"/>
    <x v="1"/>
    <x v="2"/>
    <s v="Football"/>
    <n v="38.82"/>
    <x v="3"/>
    <s v="Cash on Delivery"/>
    <n v="3.8"/>
    <x v="10"/>
    <n v="30.279600000000002"/>
    <n v="6"/>
    <x v="0"/>
  </r>
  <r>
    <n v="1734"/>
    <n v="52"/>
    <x v="0"/>
    <x v="1"/>
    <x v="1"/>
    <s v="Jacket"/>
    <n v="165.6"/>
    <x v="1"/>
    <s v="Card"/>
    <n v="4.2"/>
    <x v="5"/>
    <n v="152.352"/>
    <n v="4"/>
    <x v="0"/>
  </r>
  <r>
    <n v="1735"/>
    <n v="29"/>
    <x v="2"/>
    <x v="1"/>
    <x v="2"/>
    <s v="Yoga Mat"/>
    <n v="89.4"/>
    <x v="1"/>
    <s v="Card"/>
    <n v="4.8"/>
    <x v="19"/>
    <n v="75.990000000000009"/>
    <n v="5"/>
    <x v="0"/>
  </r>
  <r>
    <n v="1736"/>
    <n v="61"/>
    <x v="1"/>
    <x v="0"/>
    <x v="8"/>
    <s v="Skirt"/>
    <n v="55.18"/>
    <x v="2"/>
    <s v="Cash on Delivery"/>
    <n v="3.9"/>
    <x v="1"/>
    <n v="48.006599999999999"/>
    <n v="4"/>
    <x v="0"/>
  </r>
  <r>
    <n v="1737"/>
    <n v="27"/>
    <x v="2"/>
    <x v="1"/>
    <x v="5"/>
    <s v="Laptop"/>
    <n v="2194.8200000000002"/>
    <x v="0"/>
    <s v="Card"/>
    <n v="4.2"/>
    <x v="18"/>
    <n v="1668.0632000000001"/>
    <n v="7"/>
    <x v="0"/>
  </r>
  <r>
    <n v="1738"/>
    <n v="69"/>
    <x v="1"/>
    <x v="0"/>
    <x v="8"/>
    <s v="Top"/>
    <n v="149.44"/>
    <x v="0"/>
    <s v="Card"/>
    <n v="4.0999999999999996"/>
    <x v="7"/>
    <n v="134.49600000000001"/>
    <n v="5"/>
    <x v="0"/>
  </r>
  <r>
    <n v="1739"/>
    <n v="53"/>
    <x v="0"/>
    <x v="1"/>
    <x v="1"/>
    <s v="Jacket"/>
    <n v="181.37"/>
    <x v="0"/>
    <s v="Card"/>
    <n v="4"/>
    <x v="3"/>
    <n v="145.096"/>
    <n v="5"/>
    <x v="0"/>
  </r>
  <r>
    <n v="1740"/>
    <n v="42"/>
    <x v="0"/>
    <x v="1"/>
    <x v="2"/>
    <s v="Yoga Mat"/>
    <n v="65.55"/>
    <x v="3"/>
    <s v="Cash on Delivery"/>
    <n v="4"/>
    <x v="5"/>
    <n v="60.305999999999997"/>
    <n v="4"/>
    <x v="0"/>
  </r>
  <r>
    <n v="1741"/>
    <n v="40"/>
    <x v="0"/>
    <x v="0"/>
    <x v="6"/>
    <s v="Perfume"/>
    <n v="60.6"/>
    <x v="2"/>
    <s v="Card"/>
    <n v="4.5"/>
    <x v="19"/>
    <n v="51.51"/>
    <n v="5"/>
    <x v="0"/>
  </r>
  <r>
    <n v="1742"/>
    <n v="45"/>
    <x v="0"/>
    <x v="0"/>
    <x v="8"/>
    <s v="Top"/>
    <n v="87.8"/>
    <x v="0"/>
    <s v="Cash on Delivery"/>
    <n v="4.7"/>
    <x v="21"/>
    <n v="69.361999999999995"/>
    <n v="8"/>
    <x v="2"/>
  </r>
  <r>
    <n v="1743"/>
    <n v="37"/>
    <x v="0"/>
    <x v="1"/>
    <x v="2"/>
    <s v="Yoga Mat"/>
    <n v="223.54"/>
    <x v="0"/>
    <s v="Card"/>
    <n v="3.7"/>
    <x v="19"/>
    <n v="190.00899999999999"/>
    <n v="5"/>
    <x v="0"/>
  </r>
  <r>
    <n v="1744"/>
    <n v="27"/>
    <x v="2"/>
    <x v="0"/>
    <x v="0"/>
    <s v="Sunglasses"/>
    <n v="113.9"/>
    <x v="1"/>
    <s v="Card"/>
    <n v="4.5"/>
    <x v="5"/>
    <n v="104.78800000000001"/>
    <n v="4"/>
    <x v="0"/>
  </r>
  <r>
    <n v="1745"/>
    <n v="51"/>
    <x v="0"/>
    <x v="1"/>
    <x v="4"/>
    <s v="Rice Pack"/>
    <n v="47.16"/>
    <x v="2"/>
    <s v="Card"/>
    <n v="5"/>
    <x v="20"/>
    <n v="32.068799999999996"/>
    <n v="11"/>
    <x v="2"/>
  </r>
  <r>
    <n v="1746"/>
    <n v="60"/>
    <x v="0"/>
    <x v="1"/>
    <x v="5"/>
    <s v="Smart Watch"/>
    <n v="2140.91"/>
    <x v="1"/>
    <s v="Card"/>
    <n v="3.7"/>
    <x v="4"/>
    <n v="1841.1825999999999"/>
    <n v="7"/>
    <x v="0"/>
  </r>
  <r>
    <n v="1747"/>
    <n v="39"/>
    <x v="0"/>
    <x v="0"/>
    <x v="6"/>
    <s v="Makeup Set"/>
    <n v="114.5"/>
    <x v="0"/>
    <s v="Card"/>
    <n v="2.6"/>
    <x v="23"/>
    <n v="106.485"/>
    <n v="1"/>
    <x v="1"/>
  </r>
  <r>
    <n v="1748"/>
    <n v="38"/>
    <x v="0"/>
    <x v="1"/>
    <x v="5"/>
    <s v="Smart Watch"/>
    <n v="1304.49"/>
    <x v="2"/>
    <s v="Card"/>
    <n v="3.5"/>
    <x v="8"/>
    <n v="1147.9512"/>
    <n v="6"/>
    <x v="0"/>
  </r>
  <r>
    <n v="1749"/>
    <n v="58"/>
    <x v="0"/>
    <x v="1"/>
    <x v="1"/>
    <s v="Jacket"/>
    <n v="99.6"/>
    <x v="1"/>
    <s v="Cash on Delivery"/>
    <n v="4.2"/>
    <x v="8"/>
    <n v="87.647999999999996"/>
    <n v="6"/>
    <x v="0"/>
  </r>
  <r>
    <n v="1750"/>
    <n v="24"/>
    <x v="2"/>
    <x v="1"/>
    <x v="5"/>
    <s v="Headphones"/>
    <n v="1953.51"/>
    <x v="0"/>
    <s v="Card"/>
    <n v="4.9000000000000004"/>
    <x v="6"/>
    <n v="1640.9484"/>
    <n v="8"/>
    <x v="2"/>
  </r>
  <r>
    <n v="1751"/>
    <n v="22"/>
    <x v="2"/>
    <x v="1"/>
    <x v="1"/>
    <s v="T-Shirt"/>
    <n v="143.30000000000001"/>
    <x v="2"/>
    <s v="Card"/>
    <n v="3.8"/>
    <x v="1"/>
    <n v="124.67100000000001"/>
    <n v="4"/>
    <x v="0"/>
  </r>
  <r>
    <n v="1752"/>
    <n v="56"/>
    <x v="0"/>
    <x v="0"/>
    <x v="0"/>
    <s v="Sunglasses"/>
    <n v="48.36"/>
    <x v="0"/>
    <s v="Card"/>
    <n v="3.4"/>
    <x v="14"/>
    <n v="40.138799999999996"/>
    <n v="6"/>
    <x v="0"/>
  </r>
  <r>
    <n v="1753"/>
    <n v="68"/>
    <x v="1"/>
    <x v="1"/>
    <x v="5"/>
    <s v="Laptop"/>
    <n v="566.58000000000004"/>
    <x v="3"/>
    <s v="Card"/>
    <n v="3.2"/>
    <x v="2"/>
    <n v="504.25620000000004"/>
    <n v="3"/>
    <x v="1"/>
  </r>
  <r>
    <n v="1754"/>
    <n v="70"/>
    <x v="1"/>
    <x v="0"/>
    <x v="4"/>
    <s v="Cooking Oil"/>
    <n v="39.270000000000003"/>
    <x v="1"/>
    <s v="Card"/>
    <n v="3.1"/>
    <x v="11"/>
    <n v="29.059800000000003"/>
    <n v="8"/>
    <x v="2"/>
  </r>
  <r>
    <n v="1755"/>
    <n v="22"/>
    <x v="2"/>
    <x v="1"/>
    <x v="1"/>
    <s v="Shirt"/>
    <n v="98.74"/>
    <x v="3"/>
    <s v="Card"/>
    <n v="4"/>
    <x v="8"/>
    <n v="86.891199999999998"/>
    <n v="6"/>
    <x v="0"/>
  </r>
  <r>
    <n v="1756"/>
    <n v="69"/>
    <x v="1"/>
    <x v="0"/>
    <x v="6"/>
    <s v="Makeup Set"/>
    <n v="108.96"/>
    <x v="3"/>
    <s v="Card"/>
    <n v="4.4000000000000004"/>
    <x v="18"/>
    <n v="82.809600000000003"/>
    <n v="7"/>
    <x v="0"/>
  </r>
  <r>
    <n v="1757"/>
    <n v="66"/>
    <x v="1"/>
    <x v="1"/>
    <x v="4"/>
    <s v="Beverages"/>
    <n v="55.46"/>
    <x v="1"/>
    <s v="Card"/>
    <n v="3.7"/>
    <x v="7"/>
    <n v="49.914000000000001"/>
    <n v="5"/>
    <x v="0"/>
  </r>
  <r>
    <n v="1758"/>
    <n v="43"/>
    <x v="0"/>
    <x v="0"/>
    <x v="2"/>
    <s v="Football"/>
    <n v="80.150000000000006"/>
    <x v="0"/>
    <s v="Card"/>
    <n v="4.7"/>
    <x v="2"/>
    <n v="71.333500000000001"/>
    <n v="3"/>
    <x v="1"/>
  </r>
  <r>
    <n v="1759"/>
    <n v="63"/>
    <x v="1"/>
    <x v="1"/>
    <x v="2"/>
    <s v="Yoga Mat"/>
    <n v="202.07"/>
    <x v="3"/>
    <s v="Card"/>
    <n v="3.7"/>
    <x v="6"/>
    <n v="169.7388"/>
    <n v="3"/>
    <x v="1"/>
  </r>
  <r>
    <n v="1760"/>
    <n v="23"/>
    <x v="2"/>
    <x v="1"/>
    <x v="1"/>
    <s v="Shirt"/>
    <n v="117.84"/>
    <x v="2"/>
    <s v="Card"/>
    <n v="3.1"/>
    <x v="18"/>
    <n v="89.558400000000006"/>
    <n v="7"/>
    <x v="0"/>
  </r>
  <r>
    <n v="1761"/>
    <n v="44"/>
    <x v="0"/>
    <x v="1"/>
    <x v="1"/>
    <s v="Shirt"/>
    <n v="194.65"/>
    <x v="1"/>
    <s v="Card"/>
    <n v="4.2"/>
    <x v="10"/>
    <n v="151.827"/>
    <n v="6"/>
    <x v="0"/>
  </r>
  <r>
    <n v="1762"/>
    <n v="68"/>
    <x v="1"/>
    <x v="0"/>
    <x v="6"/>
    <s v="Makeup Set"/>
    <n v="107.91"/>
    <x v="1"/>
    <s v="Card"/>
    <n v="4"/>
    <x v="14"/>
    <n v="89.565299999999993"/>
    <n v="6"/>
    <x v="0"/>
  </r>
  <r>
    <n v="1763"/>
    <n v="34"/>
    <x v="0"/>
    <x v="1"/>
    <x v="2"/>
    <s v="Dumbbells"/>
    <n v="184.29"/>
    <x v="0"/>
    <s v="Card"/>
    <n v="5"/>
    <x v="2"/>
    <n v="164.0181"/>
    <n v="3"/>
    <x v="1"/>
  </r>
  <r>
    <n v="1764"/>
    <n v="35"/>
    <x v="0"/>
    <x v="0"/>
    <x v="6"/>
    <s v="Makeup Set"/>
    <n v="121.94"/>
    <x v="1"/>
    <s v="Card"/>
    <n v="3.4"/>
    <x v="10"/>
    <n v="95.113200000000006"/>
    <n v="6"/>
    <x v="0"/>
  </r>
  <r>
    <n v="1765"/>
    <n v="51"/>
    <x v="0"/>
    <x v="1"/>
    <x v="2"/>
    <s v="Football"/>
    <n v="218.04"/>
    <x v="3"/>
    <s v="Card"/>
    <n v="3"/>
    <x v="3"/>
    <n v="174.43200000000002"/>
    <n v="5"/>
    <x v="0"/>
  </r>
  <r>
    <n v="1766"/>
    <n v="62"/>
    <x v="1"/>
    <x v="0"/>
    <x v="0"/>
    <s v="Handbag"/>
    <n v="90.96"/>
    <x v="2"/>
    <s v="Card"/>
    <n v="3.6"/>
    <x v="2"/>
    <n v="80.954399999999993"/>
    <n v="3"/>
    <x v="1"/>
  </r>
  <r>
    <n v="1767"/>
    <n v="44"/>
    <x v="0"/>
    <x v="1"/>
    <x v="5"/>
    <s v="Laptop"/>
    <n v="2617.6799999999998"/>
    <x v="0"/>
    <s v="Card"/>
    <n v="3.7"/>
    <x v="8"/>
    <n v="2303.5583999999999"/>
    <n v="6"/>
    <x v="0"/>
  </r>
  <r>
    <n v="1768"/>
    <n v="29"/>
    <x v="2"/>
    <x v="1"/>
    <x v="2"/>
    <s v="Football"/>
    <n v="165.92"/>
    <x v="1"/>
    <s v="Card"/>
    <n v="3.2"/>
    <x v="12"/>
    <n v="134.39519999999999"/>
    <n v="7"/>
    <x v="0"/>
  </r>
  <r>
    <n v="1769"/>
    <n v="67"/>
    <x v="1"/>
    <x v="0"/>
    <x v="6"/>
    <s v="Skincare Kit"/>
    <n v="120.75"/>
    <x v="0"/>
    <s v="Card"/>
    <n v="3.4"/>
    <x v="1"/>
    <n v="105.05249999999999"/>
    <n v="4"/>
    <x v="0"/>
  </r>
  <r>
    <n v="1770"/>
    <n v="55"/>
    <x v="0"/>
    <x v="0"/>
    <x v="7"/>
    <s v="Formal Shoes"/>
    <n v="213.52"/>
    <x v="2"/>
    <s v="Card"/>
    <n v="3.1"/>
    <x v="4"/>
    <n v="183.62720000000002"/>
    <n v="7"/>
    <x v="0"/>
  </r>
  <r>
    <n v="1771"/>
    <n v="55"/>
    <x v="0"/>
    <x v="1"/>
    <x v="5"/>
    <s v="Mobile Phone"/>
    <n v="2217.08"/>
    <x v="2"/>
    <s v="Card"/>
    <n v="4.2"/>
    <x v="21"/>
    <n v="1751.4932000000001"/>
    <n v="8"/>
    <x v="2"/>
  </r>
  <r>
    <n v="1772"/>
    <n v="45"/>
    <x v="0"/>
    <x v="0"/>
    <x v="7"/>
    <s v="Sandals"/>
    <n v="101.95"/>
    <x v="2"/>
    <s v="Card"/>
    <n v="3.5"/>
    <x v="8"/>
    <n v="89.716000000000008"/>
    <n v="1"/>
    <x v="1"/>
  </r>
  <r>
    <n v="1773"/>
    <n v="58"/>
    <x v="0"/>
    <x v="0"/>
    <x v="7"/>
    <s v="Sandals"/>
    <n v="89.54"/>
    <x v="2"/>
    <s v="Cash on Delivery"/>
    <n v="4.3"/>
    <x v="19"/>
    <n v="76.109000000000009"/>
    <n v="5"/>
    <x v="0"/>
  </r>
  <r>
    <n v="1774"/>
    <n v="25"/>
    <x v="2"/>
    <x v="0"/>
    <x v="6"/>
    <s v="Makeup Set"/>
    <n v="53.08"/>
    <x v="3"/>
    <s v="Card"/>
    <n v="2.9"/>
    <x v="5"/>
    <n v="48.833599999999997"/>
    <n v="4"/>
    <x v="0"/>
  </r>
  <r>
    <n v="1775"/>
    <n v="31"/>
    <x v="0"/>
    <x v="0"/>
    <x v="4"/>
    <s v="Rice Pack"/>
    <n v="54.74"/>
    <x v="0"/>
    <s v="Cash on Delivery"/>
    <n v="3.8"/>
    <x v="18"/>
    <n v="41.602400000000003"/>
    <n v="7"/>
    <x v="0"/>
  </r>
  <r>
    <n v="1776"/>
    <n v="43"/>
    <x v="0"/>
    <x v="0"/>
    <x v="7"/>
    <s v="Sneakers"/>
    <n v="117.15"/>
    <x v="3"/>
    <s v="Card"/>
    <n v="3.1"/>
    <x v="4"/>
    <n v="100.74900000000001"/>
    <n v="7"/>
    <x v="0"/>
  </r>
  <r>
    <n v="1777"/>
    <n v="63"/>
    <x v="1"/>
    <x v="1"/>
    <x v="7"/>
    <s v="Sneakers"/>
    <n v="92.46"/>
    <x v="1"/>
    <s v="Cash on Delivery"/>
    <n v="4.3"/>
    <x v="1"/>
    <n v="80.44019999999999"/>
    <n v="4"/>
    <x v="0"/>
  </r>
  <r>
    <n v="1778"/>
    <n v="40"/>
    <x v="0"/>
    <x v="0"/>
    <x v="4"/>
    <s v="Cooking Oil"/>
    <n v="25.19"/>
    <x v="3"/>
    <s v="Card"/>
    <n v="3.4"/>
    <x v="14"/>
    <n v="20.907699999999998"/>
    <n v="6"/>
    <x v="0"/>
  </r>
  <r>
    <n v="1779"/>
    <n v="25"/>
    <x v="2"/>
    <x v="1"/>
    <x v="2"/>
    <s v="Dumbbells"/>
    <n v="204.19"/>
    <x v="3"/>
    <s v="Card"/>
    <n v="3.9"/>
    <x v="17"/>
    <n v="196.0224"/>
    <n v="2"/>
    <x v="1"/>
  </r>
  <r>
    <n v="1780"/>
    <n v="24"/>
    <x v="2"/>
    <x v="0"/>
    <x v="4"/>
    <s v="Rice Pack"/>
    <n v="68.44"/>
    <x v="0"/>
    <s v="Card"/>
    <n v="3.7"/>
    <x v="19"/>
    <n v="58.173999999999999"/>
    <n v="5"/>
    <x v="0"/>
  </r>
  <r>
    <n v="1781"/>
    <n v="57"/>
    <x v="0"/>
    <x v="0"/>
    <x v="7"/>
    <s v="Formal Shoes"/>
    <n v="65.540000000000006"/>
    <x v="3"/>
    <s v="Cash on Delivery"/>
    <n v="4.2"/>
    <x v="6"/>
    <n v="55.053600000000003"/>
    <n v="8"/>
    <x v="2"/>
  </r>
  <r>
    <n v="1782"/>
    <n v="57"/>
    <x v="0"/>
    <x v="1"/>
    <x v="7"/>
    <s v="Formal Shoes"/>
    <n v="90.98"/>
    <x v="0"/>
    <s v="Card"/>
    <n v="3"/>
    <x v="6"/>
    <n v="76.423199999999994"/>
    <n v="8"/>
    <x v="2"/>
  </r>
  <r>
    <n v="1783"/>
    <n v="23"/>
    <x v="2"/>
    <x v="1"/>
    <x v="5"/>
    <s v="Headphones"/>
    <n v="2369.0100000000002"/>
    <x v="3"/>
    <s v="Card"/>
    <n v="4.0999999999999996"/>
    <x v="29"/>
    <n v="2369.0100000000002"/>
    <n v="0"/>
    <x v="1"/>
  </r>
  <r>
    <n v="1784"/>
    <n v="63"/>
    <x v="1"/>
    <x v="0"/>
    <x v="6"/>
    <s v="Skincare Kit"/>
    <n v="131.24"/>
    <x v="0"/>
    <s v="Card"/>
    <n v="4.0999999999999996"/>
    <x v="2"/>
    <n v="116.8036"/>
    <n v="3"/>
    <x v="1"/>
  </r>
  <r>
    <n v="1785"/>
    <n v="34"/>
    <x v="0"/>
    <x v="1"/>
    <x v="2"/>
    <s v="Dumbbells"/>
    <n v="152.61000000000001"/>
    <x v="3"/>
    <s v="Card"/>
    <n v="3.7"/>
    <x v="5"/>
    <n v="140.40120000000002"/>
    <n v="4"/>
    <x v="0"/>
  </r>
  <r>
    <n v="1786"/>
    <n v="64"/>
    <x v="1"/>
    <x v="0"/>
    <x v="2"/>
    <s v="Dumbbells"/>
    <n v="224.38"/>
    <x v="1"/>
    <s v="Card"/>
    <n v="3.4"/>
    <x v="2"/>
    <n v="199.69819999999999"/>
    <n v="3"/>
    <x v="1"/>
  </r>
  <r>
    <n v="1787"/>
    <n v="52"/>
    <x v="0"/>
    <x v="1"/>
    <x v="1"/>
    <s v="T-Shirt"/>
    <n v="31.54"/>
    <x v="1"/>
    <s v="Cash on Delivery"/>
    <n v="3.7"/>
    <x v="0"/>
    <n v="25.8628"/>
    <n v="4"/>
    <x v="0"/>
  </r>
  <r>
    <n v="1788"/>
    <n v="31"/>
    <x v="0"/>
    <x v="0"/>
    <x v="6"/>
    <s v="Makeup Set"/>
    <n v="122.72"/>
    <x v="3"/>
    <s v="Card"/>
    <n v="3.2"/>
    <x v="13"/>
    <n v="111.6752"/>
    <n v="2"/>
    <x v="1"/>
  </r>
  <r>
    <n v="1789"/>
    <n v="56"/>
    <x v="0"/>
    <x v="0"/>
    <x v="0"/>
    <s v="Sunglasses"/>
    <n v="60.7"/>
    <x v="3"/>
    <s v="Card"/>
    <n v="4.0999999999999996"/>
    <x v="4"/>
    <n v="52.201999999999998"/>
    <n v="7"/>
    <x v="0"/>
  </r>
  <r>
    <n v="1790"/>
    <n v="64"/>
    <x v="1"/>
    <x v="1"/>
    <x v="4"/>
    <s v="Cooking Oil"/>
    <n v="40.94"/>
    <x v="0"/>
    <s v="Card"/>
    <n v="3.5"/>
    <x v="1"/>
    <n v="35.617799999999995"/>
    <n v="4"/>
    <x v="0"/>
  </r>
  <r>
    <n v="1791"/>
    <n v="67"/>
    <x v="1"/>
    <x v="1"/>
    <x v="2"/>
    <s v="Football"/>
    <n v="226.26"/>
    <x v="0"/>
    <s v="Card"/>
    <n v="3"/>
    <x v="6"/>
    <n v="190.05839999999998"/>
    <n v="3"/>
    <x v="1"/>
  </r>
  <r>
    <n v="1792"/>
    <n v="48"/>
    <x v="0"/>
    <x v="1"/>
    <x v="7"/>
    <s v="Formal Shoes"/>
    <n v="94.74"/>
    <x v="2"/>
    <s v="Cash on Delivery"/>
    <n v="3.4"/>
    <x v="11"/>
    <n v="70.107599999999991"/>
    <n v="8"/>
    <x v="2"/>
  </r>
  <r>
    <n v="1793"/>
    <n v="41"/>
    <x v="0"/>
    <x v="0"/>
    <x v="6"/>
    <s v="Makeup Set"/>
    <n v="130.69"/>
    <x v="0"/>
    <s v="Card"/>
    <n v="4.3"/>
    <x v="7"/>
    <n v="117.621"/>
    <n v="5"/>
    <x v="0"/>
  </r>
  <r>
    <n v="1794"/>
    <n v="62"/>
    <x v="1"/>
    <x v="1"/>
    <x v="2"/>
    <s v="Yoga Mat"/>
    <n v="176.42"/>
    <x v="2"/>
    <s v="Card"/>
    <n v="4.0999999999999996"/>
    <x v="17"/>
    <n v="169.36319999999998"/>
    <n v="2"/>
    <x v="1"/>
  </r>
  <r>
    <n v="1795"/>
    <n v="24"/>
    <x v="2"/>
    <x v="1"/>
    <x v="7"/>
    <s v="Formal Shoes"/>
    <n v="103.89"/>
    <x v="2"/>
    <s v="Card"/>
    <n v="4.8"/>
    <x v="19"/>
    <n v="88.3065"/>
    <n v="5"/>
    <x v="0"/>
  </r>
  <r>
    <n v="1796"/>
    <n v="22"/>
    <x v="2"/>
    <x v="1"/>
    <x v="1"/>
    <s v="Shirt"/>
    <n v="48.19"/>
    <x v="1"/>
    <s v="Card"/>
    <n v="3.8"/>
    <x v="14"/>
    <n v="39.997699999999995"/>
    <n v="6"/>
    <x v="0"/>
  </r>
  <r>
    <n v="1797"/>
    <n v="68"/>
    <x v="1"/>
    <x v="1"/>
    <x v="2"/>
    <s v="Yoga Mat"/>
    <n v="57.02"/>
    <x v="1"/>
    <s v="Card"/>
    <n v="3.7"/>
    <x v="29"/>
    <n v="57.02"/>
    <n v="0"/>
    <x v="1"/>
  </r>
  <r>
    <n v="1798"/>
    <n v="70"/>
    <x v="1"/>
    <x v="1"/>
    <x v="2"/>
    <s v="Football"/>
    <n v="54.5"/>
    <x v="2"/>
    <s v="Card"/>
    <n v="3.5"/>
    <x v="16"/>
    <n v="51.23"/>
    <n v="3"/>
    <x v="1"/>
  </r>
  <r>
    <n v="1799"/>
    <n v="22"/>
    <x v="2"/>
    <x v="1"/>
    <x v="1"/>
    <s v="T-Shirt"/>
    <n v="67.459999999999994"/>
    <x v="1"/>
    <s v="Cash on Delivery"/>
    <n v="3.7"/>
    <x v="16"/>
    <n v="63.412399999999991"/>
    <n v="3"/>
    <x v="1"/>
  </r>
  <r>
    <n v="1800"/>
    <n v="52"/>
    <x v="0"/>
    <x v="1"/>
    <x v="7"/>
    <s v="Sneakers"/>
    <n v="241.87"/>
    <x v="1"/>
    <s v="Card"/>
    <n v="3.4"/>
    <x v="10"/>
    <n v="188.65860000000001"/>
    <n v="6"/>
    <x v="0"/>
  </r>
  <r>
    <n v="1801"/>
    <n v="28"/>
    <x v="2"/>
    <x v="0"/>
    <x v="3"/>
    <s v="Kitchen Set"/>
    <n v="117.11"/>
    <x v="1"/>
    <s v="Card"/>
    <n v="3.2"/>
    <x v="1"/>
    <n v="101.8857"/>
    <n v="4"/>
    <x v="0"/>
  </r>
  <r>
    <n v="1802"/>
    <n v="33"/>
    <x v="0"/>
    <x v="1"/>
    <x v="3"/>
    <s v="Curtains"/>
    <n v="154.72"/>
    <x v="0"/>
    <s v="Card"/>
    <n v="3.5"/>
    <x v="0"/>
    <n v="126.8704"/>
    <n v="9"/>
    <x v="2"/>
  </r>
  <r>
    <n v="1803"/>
    <n v="23"/>
    <x v="2"/>
    <x v="1"/>
    <x v="7"/>
    <s v="Sneakers"/>
    <n v="168.45"/>
    <x v="3"/>
    <s v="Card"/>
    <n v="3.8"/>
    <x v="3"/>
    <n v="134.76"/>
    <n v="5"/>
    <x v="0"/>
  </r>
  <r>
    <n v="1804"/>
    <n v="60"/>
    <x v="0"/>
    <x v="1"/>
    <x v="2"/>
    <s v="Dumbbells"/>
    <n v="202.79"/>
    <x v="3"/>
    <s v="Card"/>
    <n v="3"/>
    <x v="8"/>
    <n v="178.45519999999999"/>
    <n v="1"/>
    <x v="1"/>
  </r>
  <r>
    <n v="1805"/>
    <n v="66"/>
    <x v="1"/>
    <x v="0"/>
    <x v="3"/>
    <s v="Curtains"/>
    <n v="194.2"/>
    <x v="1"/>
    <s v="Card"/>
    <n v="4.7"/>
    <x v="22"/>
    <n v="149.53399999999999"/>
    <n v="9"/>
    <x v="2"/>
  </r>
  <r>
    <n v="1806"/>
    <n v="59"/>
    <x v="0"/>
    <x v="0"/>
    <x v="6"/>
    <s v="Perfume"/>
    <n v="90.63"/>
    <x v="0"/>
    <s v="Card"/>
    <n v="4.7"/>
    <x v="8"/>
    <n v="79.75439999999999"/>
    <n v="6"/>
    <x v="0"/>
  </r>
  <r>
    <n v="1807"/>
    <n v="53"/>
    <x v="0"/>
    <x v="0"/>
    <x v="7"/>
    <s v="Formal Shoes"/>
    <n v="243.55"/>
    <x v="2"/>
    <s v="Card"/>
    <n v="5"/>
    <x v="3"/>
    <n v="194.84000000000003"/>
    <n v="5"/>
    <x v="0"/>
  </r>
  <r>
    <n v="1808"/>
    <n v="30"/>
    <x v="2"/>
    <x v="1"/>
    <x v="4"/>
    <s v="Rice Pack"/>
    <n v="38.880000000000003"/>
    <x v="0"/>
    <s v="Cash on Delivery"/>
    <n v="4.0999999999999996"/>
    <x v="1"/>
    <n v="33.825600000000001"/>
    <n v="4"/>
    <x v="0"/>
  </r>
  <r>
    <n v="1809"/>
    <n v="32"/>
    <x v="0"/>
    <x v="0"/>
    <x v="6"/>
    <s v="Skincare Kit"/>
    <n v="105.29"/>
    <x v="1"/>
    <s v="Card"/>
    <n v="4"/>
    <x v="10"/>
    <n v="82.126200000000011"/>
    <n v="6"/>
    <x v="0"/>
  </r>
  <r>
    <n v="1810"/>
    <n v="38"/>
    <x v="0"/>
    <x v="1"/>
    <x v="2"/>
    <s v="Football"/>
    <n v="140.26"/>
    <x v="2"/>
    <s v="Card"/>
    <n v="3.7"/>
    <x v="0"/>
    <n v="115.0132"/>
    <n v="4"/>
    <x v="0"/>
  </r>
  <r>
    <n v="1811"/>
    <n v="45"/>
    <x v="0"/>
    <x v="0"/>
    <x v="8"/>
    <s v="Jeans"/>
    <n v="50.56"/>
    <x v="0"/>
    <s v="Cash on Delivery"/>
    <n v="5"/>
    <x v="6"/>
    <n v="42.470399999999998"/>
    <n v="8"/>
    <x v="2"/>
  </r>
  <r>
    <n v="1812"/>
    <n v="53"/>
    <x v="0"/>
    <x v="0"/>
    <x v="4"/>
    <s v="Cooking Oil"/>
    <n v="40.869999999999997"/>
    <x v="0"/>
    <s v="Card"/>
    <n v="3.9"/>
    <x v="8"/>
    <n v="35.965599999999995"/>
    <n v="1"/>
    <x v="1"/>
  </r>
  <r>
    <n v="1813"/>
    <n v="62"/>
    <x v="1"/>
    <x v="1"/>
    <x v="1"/>
    <s v="Shirt"/>
    <n v="88.13"/>
    <x v="3"/>
    <s v="Card"/>
    <n v="3.1"/>
    <x v="24"/>
    <n v="63.453599999999994"/>
    <n v="9"/>
    <x v="2"/>
  </r>
  <r>
    <n v="1814"/>
    <n v="26"/>
    <x v="2"/>
    <x v="1"/>
    <x v="1"/>
    <s v="Shirt"/>
    <n v="149.41999999999999"/>
    <x v="2"/>
    <s v="Card"/>
    <n v="3.9"/>
    <x v="27"/>
    <n v="112.065"/>
    <n v="10"/>
    <x v="2"/>
  </r>
  <r>
    <n v="1815"/>
    <n v="28"/>
    <x v="2"/>
    <x v="1"/>
    <x v="7"/>
    <s v="Sandals"/>
    <n v="161.21"/>
    <x v="1"/>
    <s v="Card"/>
    <n v="3.2"/>
    <x v="0"/>
    <n v="132.19220000000001"/>
    <n v="4"/>
    <x v="0"/>
  </r>
  <r>
    <n v="1816"/>
    <n v="49"/>
    <x v="0"/>
    <x v="0"/>
    <x v="6"/>
    <s v="Makeup Set"/>
    <n v="37.520000000000003"/>
    <x v="3"/>
    <s v="Cash on Delivery"/>
    <n v="4.5"/>
    <x v="16"/>
    <n v="35.268799999999999"/>
    <n v="3"/>
    <x v="1"/>
  </r>
  <r>
    <n v="1817"/>
    <n v="60"/>
    <x v="0"/>
    <x v="1"/>
    <x v="2"/>
    <s v="Yoga Mat"/>
    <n v="126.98"/>
    <x v="0"/>
    <s v="Card"/>
    <n v="5"/>
    <x v="10"/>
    <n v="99.04440000000001"/>
    <n v="6"/>
    <x v="0"/>
  </r>
  <r>
    <n v="1818"/>
    <n v="36"/>
    <x v="0"/>
    <x v="1"/>
    <x v="7"/>
    <s v="Sandals"/>
    <n v="229.83"/>
    <x v="3"/>
    <s v="Card"/>
    <n v="4.8"/>
    <x v="5"/>
    <n v="211.44360000000003"/>
    <n v="4"/>
    <x v="0"/>
  </r>
  <r>
    <n v="1819"/>
    <n v="57"/>
    <x v="0"/>
    <x v="0"/>
    <x v="0"/>
    <s v="Wallet"/>
    <n v="179.83"/>
    <x v="3"/>
    <s v="Card"/>
    <n v="2.4"/>
    <x v="1"/>
    <n v="156.4521"/>
    <n v="4"/>
    <x v="0"/>
  </r>
  <r>
    <n v="1820"/>
    <n v="21"/>
    <x v="2"/>
    <x v="1"/>
    <x v="7"/>
    <s v="Sneakers"/>
    <n v="231.92"/>
    <x v="2"/>
    <s v="Card"/>
    <n v="4.7"/>
    <x v="11"/>
    <n v="171.6208"/>
    <n v="8"/>
    <x v="2"/>
  </r>
  <r>
    <n v="1821"/>
    <n v="55"/>
    <x v="0"/>
    <x v="0"/>
    <x v="7"/>
    <s v="Formal Shoes"/>
    <n v="108.55"/>
    <x v="3"/>
    <s v="Card"/>
    <n v="4"/>
    <x v="8"/>
    <n v="95.524000000000001"/>
    <n v="1"/>
    <x v="1"/>
  </r>
  <r>
    <n v="1822"/>
    <n v="39"/>
    <x v="0"/>
    <x v="1"/>
    <x v="7"/>
    <s v="Sandals"/>
    <n v="40.97"/>
    <x v="0"/>
    <s v="Card"/>
    <n v="3.9"/>
    <x v="18"/>
    <n v="31.1372"/>
    <n v="12"/>
    <x v="2"/>
  </r>
  <r>
    <n v="1823"/>
    <n v="35"/>
    <x v="0"/>
    <x v="0"/>
    <x v="6"/>
    <s v="Makeup Set"/>
    <n v="72.38"/>
    <x v="0"/>
    <s v="Card"/>
    <n v="4.2"/>
    <x v="0"/>
    <n v="59.351599999999998"/>
    <n v="9"/>
    <x v="2"/>
  </r>
  <r>
    <n v="1824"/>
    <n v="54"/>
    <x v="0"/>
    <x v="1"/>
    <x v="1"/>
    <s v="Jeans"/>
    <n v="77.650000000000006"/>
    <x v="1"/>
    <s v="Card"/>
    <n v="2.7"/>
    <x v="19"/>
    <n v="66.002499999999998"/>
    <n v="5"/>
    <x v="0"/>
  </r>
  <r>
    <n v="1825"/>
    <n v="34"/>
    <x v="0"/>
    <x v="0"/>
    <x v="6"/>
    <s v="Perfume"/>
    <n v="63.86"/>
    <x v="1"/>
    <s v="Cash on Delivery"/>
    <n v="2.5"/>
    <x v="1"/>
    <n v="55.558199999999999"/>
    <n v="4"/>
    <x v="0"/>
  </r>
  <r>
    <n v="1826"/>
    <n v="61"/>
    <x v="1"/>
    <x v="1"/>
    <x v="4"/>
    <s v="Beverages"/>
    <n v="75.86"/>
    <x v="0"/>
    <s v="Card"/>
    <n v="4"/>
    <x v="7"/>
    <n v="68.274000000000001"/>
    <n v="5"/>
    <x v="0"/>
  </r>
  <r>
    <n v="1827"/>
    <n v="42"/>
    <x v="0"/>
    <x v="0"/>
    <x v="0"/>
    <s v="Sunglasses"/>
    <n v="37.67"/>
    <x v="0"/>
    <s v="Card"/>
    <n v="3.2"/>
    <x v="11"/>
    <n v="27.875800000000002"/>
    <n v="8"/>
    <x v="2"/>
  </r>
  <r>
    <n v="1828"/>
    <n v="28"/>
    <x v="2"/>
    <x v="0"/>
    <x v="0"/>
    <s v="Handbag"/>
    <n v="120.28"/>
    <x v="2"/>
    <s v="Card"/>
    <n v="3.5"/>
    <x v="1"/>
    <n v="104.64360000000001"/>
    <n v="4"/>
    <x v="0"/>
  </r>
  <r>
    <n v="1829"/>
    <n v="30"/>
    <x v="2"/>
    <x v="1"/>
    <x v="4"/>
    <s v="Snacks"/>
    <n v="38.97"/>
    <x v="1"/>
    <s v="Card"/>
    <n v="3.6"/>
    <x v="16"/>
    <n v="36.631799999999998"/>
    <n v="3"/>
    <x v="1"/>
  </r>
  <r>
    <n v="1830"/>
    <n v="32"/>
    <x v="0"/>
    <x v="0"/>
    <x v="2"/>
    <s v="Dumbbells"/>
    <n v="140.66"/>
    <x v="2"/>
    <s v="Card"/>
    <n v="3"/>
    <x v="8"/>
    <n v="123.7808"/>
    <n v="6"/>
    <x v="0"/>
  </r>
  <r>
    <n v="1831"/>
    <n v="63"/>
    <x v="1"/>
    <x v="0"/>
    <x v="2"/>
    <s v="Dumbbells"/>
    <n v="229.74"/>
    <x v="0"/>
    <s v="Card"/>
    <n v="4.4000000000000004"/>
    <x v="14"/>
    <n v="190.6842"/>
    <n v="6"/>
    <x v="0"/>
  </r>
  <r>
    <n v="1832"/>
    <n v="27"/>
    <x v="2"/>
    <x v="0"/>
    <x v="3"/>
    <s v="Lamp"/>
    <n v="191.41"/>
    <x v="1"/>
    <s v="Card"/>
    <n v="4.5"/>
    <x v="16"/>
    <n v="179.9254"/>
    <n v="3"/>
    <x v="1"/>
  </r>
  <r>
    <n v="1833"/>
    <n v="37"/>
    <x v="0"/>
    <x v="1"/>
    <x v="2"/>
    <s v="Football"/>
    <n v="165.73"/>
    <x v="0"/>
    <s v="Card"/>
    <n v="3.5"/>
    <x v="16"/>
    <n v="155.78619999999998"/>
    <n v="3"/>
    <x v="1"/>
  </r>
  <r>
    <n v="1834"/>
    <n v="54"/>
    <x v="0"/>
    <x v="1"/>
    <x v="5"/>
    <s v="Mobile Phone"/>
    <n v="2817.12"/>
    <x v="2"/>
    <s v="Card"/>
    <n v="4"/>
    <x v="0"/>
    <n v="2310.0383999999999"/>
    <n v="4"/>
    <x v="0"/>
  </r>
  <r>
    <n v="1835"/>
    <n v="34"/>
    <x v="0"/>
    <x v="1"/>
    <x v="7"/>
    <s v="Formal Shoes"/>
    <n v="243.34"/>
    <x v="2"/>
    <s v="Card"/>
    <n v="3.5"/>
    <x v="2"/>
    <n v="216.57259999999999"/>
    <n v="3"/>
    <x v="1"/>
  </r>
  <r>
    <n v="1836"/>
    <n v="56"/>
    <x v="0"/>
    <x v="1"/>
    <x v="5"/>
    <s v="Smart Watch"/>
    <n v="1574.28"/>
    <x v="1"/>
    <s v="Card"/>
    <n v="3.3"/>
    <x v="1"/>
    <n v="1369.6235999999999"/>
    <n v="4"/>
    <x v="0"/>
  </r>
  <r>
    <n v="1837"/>
    <n v="28"/>
    <x v="2"/>
    <x v="0"/>
    <x v="0"/>
    <s v="Handbag"/>
    <n v="142.54"/>
    <x v="3"/>
    <s v="Card"/>
    <n v="4.7"/>
    <x v="3"/>
    <n v="114.032"/>
    <n v="10"/>
    <x v="2"/>
  </r>
  <r>
    <n v="1838"/>
    <n v="26"/>
    <x v="2"/>
    <x v="1"/>
    <x v="2"/>
    <s v="Football"/>
    <n v="138.28"/>
    <x v="0"/>
    <s v="Card"/>
    <n v="4"/>
    <x v="19"/>
    <n v="117.538"/>
    <n v="5"/>
    <x v="0"/>
  </r>
  <r>
    <n v="1839"/>
    <n v="64"/>
    <x v="1"/>
    <x v="0"/>
    <x v="8"/>
    <s v="Top"/>
    <n v="82.07"/>
    <x v="2"/>
    <s v="Card"/>
    <n v="4.4000000000000004"/>
    <x v="13"/>
    <n v="74.683700000000002"/>
    <n v="2"/>
    <x v="1"/>
  </r>
  <r>
    <n v="1840"/>
    <n v="64"/>
    <x v="1"/>
    <x v="0"/>
    <x v="0"/>
    <s v="Wallet"/>
    <n v="137.63999999999999"/>
    <x v="2"/>
    <s v="Card"/>
    <n v="2.9"/>
    <x v="18"/>
    <n v="104.60639999999999"/>
    <n v="7"/>
    <x v="0"/>
  </r>
  <r>
    <n v="1841"/>
    <n v="64"/>
    <x v="1"/>
    <x v="0"/>
    <x v="0"/>
    <s v="Sunglasses"/>
    <n v="69.56"/>
    <x v="2"/>
    <s v="Cash on Delivery"/>
    <n v="3.2"/>
    <x v="22"/>
    <n v="53.561199999999999"/>
    <n v="9"/>
    <x v="2"/>
  </r>
  <r>
    <n v="1842"/>
    <n v="40"/>
    <x v="0"/>
    <x v="1"/>
    <x v="1"/>
    <s v="Jacket"/>
    <n v="119.18"/>
    <x v="3"/>
    <s v="Card"/>
    <n v="4"/>
    <x v="18"/>
    <n v="90.576800000000006"/>
    <n v="7"/>
    <x v="0"/>
  </r>
  <r>
    <n v="1843"/>
    <n v="28"/>
    <x v="2"/>
    <x v="1"/>
    <x v="2"/>
    <s v="Dumbbells"/>
    <n v="197.53"/>
    <x v="2"/>
    <s v="Card"/>
    <n v="4.0999999999999996"/>
    <x v="10"/>
    <n v="154.07339999999999"/>
    <n v="6"/>
    <x v="0"/>
  </r>
  <r>
    <n v="1844"/>
    <n v="63"/>
    <x v="1"/>
    <x v="0"/>
    <x v="7"/>
    <s v="Sandals"/>
    <n v="183.93"/>
    <x v="0"/>
    <s v="Card"/>
    <n v="4.7"/>
    <x v="10"/>
    <n v="143.46540000000002"/>
    <n v="6"/>
    <x v="0"/>
  </r>
  <r>
    <n v="1845"/>
    <n v="54"/>
    <x v="0"/>
    <x v="1"/>
    <x v="5"/>
    <s v="Mobile Phone"/>
    <n v="1324.31"/>
    <x v="3"/>
    <s v="Card"/>
    <n v="3.5"/>
    <x v="0"/>
    <n v="1085.9342000000001"/>
    <n v="4"/>
    <x v="0"/>
  </r>
  <r>
    <n v="1846"/>
    <n v="57"/>
    <x v="0"/>
    <x v="1"/>
    <x v="7"/>
    <s v="Sandals"/>
    <n v="192.19"/>
    <x v="0"/>
    <s v="Card"/>
    <n v="3.8"/>
    <x v="5"/>
    <n v="176.81480000000002"/>
    <n v="4"/>
    <x v="0"/>
  </r>
  <r>
    <n v="1847"/>
    <n v="34"/>
    <x v="0"/>
    <x v="1"/>
    <x v="2"/>
    <s v="Dumbbells"/>
    <n v="111.77"/>
    <x v="1"/>
    <s v="Card"/>
    <n v="4.5999999999999996"/>
    <x v="8"/>
    <n v="98.357599999999991"/>
    <n v="1"/>
    <x v="1"/>
  </r>
  <r>
    <n v="1848"/>
    <n v="52"/>
    <x v="0"/>
    <x v="1"/>
    <x v="2"/>
    <s v="Football"/>
    <n v="105.58"/>
    <x v="3"/>
    <s v="Card"/>
    <n v="3.2"/>
    <x v="14"/>
    <n v="87.631399999999999"/>
    <n v="6"/>
    <x v="0"/>
  </r>
  <r>
    <n v="1849"/>
    <n v="44"/>
    <x v="0"/>
    <x v="0"/>
    <x v="6"/>
    <s v="Perfume"/>
    <n v="57.25"/>
    <x v="3"/>
    <s v="Cash on Delivery"/>
    <n v="3.3"/>
    <x v="7"/>
    <n v="51.524999999999999"/>
    <n v="5"/>
    <x v="0"/>
  </r>
  <r>
    <n v="1850"/>
    <n v="43"/>
    <x v="0"/>
    <x v="0"/>
    <x v="6"/>
    <s v="Makeup Set"/>
    <n v="146.27000000000001"/>
    <x v="2"/>
    <s v="Card"/>
    <n v="3.1"/>
    <x v="0"/>
    <n v="119.94140000000002"/>
    <n v="4"/>
    <x v="0"/>
  </r>
  <r>
    <n v="1851"/>
    <n v="63"/>
    <x v="1"/>
    <x v="0"/>
    <x v="0"/>
    <s v="Wallet"/>
    <n v="137.27000000000001"/>
    <x v="2"/>
    <s v="Card"/>
    <n v="4.4000000000000004"/>
    <x v="16"/>
    <n v="129.03380000000001"/>
    <n v="3"/>
    <x v="1"/>
  </r>
  <r>
    <n v="1852"/>
    <n v="37"/>
    <x v="0"/>
    <x v="1"/>
    <x v="1"/>
    <s v="Jeans"/>
    <n v="79.69"/>
    <x v="0"/>
    <s v="Cash on Delivery"/>
    <n v="4.3"/>
    <x v="17"/>
    <n v="76.502399999999994"/>
    <n v="2"/>
    <x v="1"/>
  </r>
  <r>
    <n v="1853"/>
    <n v="48"/>
    <x v="0"/>
    <x v="0"/>
    <x v="6"/>
    <s v="Makeup Set"/>
    <n v="29.31"/>
    <x v="2"/>
    <s v="Card"/>
    <n v="4.9000000000000004"/>
    <x v="0"/>
    <n v="24.034200000000002"/>
    <n v="4"/>
    <x v="0"/>
  </r>
  <r>
    <n v="1854"/>
    <n v="47"/>
    <x v="0"/>
    <x v="1"/>
    <x v="1"/>
    <s v="Jacket"/>
    <n v="110.78"/>
    <x v="1"/>
    <s v="Card"/>
    <n v="3.9"/>
    <x v="7"/>
    <n v="99.701999999999998"/>
    <n v="5"/>
    <x v="0"/>
  </r>
  <r>
    <n v="1855"/>
    <n v="60"/>
    <x v="0"/>
    <x v="0"/>
    <x v="0"/>
    <s v="Sunglasses"/>
    <n v="88.27"/>
    <x v="0"/>
    <s v="Card"/>
    <n v="2.9"/>
    <x v="4"/>
    <n v="75.912199999999999"/>
    <n v="7"/>
    <x v="0"/>
  </r>
  <r>
    <n v="1856"/>
    <n v="25"/>
    <x v="2"/>
    <x v="0"/>
    <x v="0"/>
    <s v="Wallet"/>
    <n v="155.11000000000001"/>
    <x v="0"/>
    <s v="Card"/>
    <n v="4.4000000000000004"/>
    <x v="1"/>
    <n v="134.94570000000002"/>
    <n v="4"/>
    <x v="0"/>
  </r>
  <r>
    <n v="1857"/>
    <n v="20"/>
    <x v="2"/>
    <x v="1"/>
    <x v="7"/>
    <s v="Sneakers"/>
    <n v="125.9"/>
    <x v="0"/>
    <s v="Card"/>
    <n v="4.0999999999999996"/>
    <x v="3"/>
    <n v="100.72000000000001"/>
    <n v="5"/>
    <x v="0"/>
  </r>
  <r>
    <n v="1858"/>
    <n v="29"/>
    <x v="2"/>
    <x v="0"/>
    <x v="4"/>
    <s v="Rice Pack"/>
    <n v="78.52"/>
    <x v="0"/>
    <s v="Cash on Delivery"/>
    <n v="3.5"/>
    <x v="0"/>
    <n v="64.386399999999995"/>
    <n v="4"/>
    <x v="0"/>
  </r>
  <r>
    <n v="1859"/>
    <n v="49"/>
    <x v="0"/>
    <x v="0"/>
    <x v="4"/>
    <s v="Snacks"/>
    <n v="21.32"/>
    <x v="0"/>
    <s v="Cash on Delivery"/>
    <n v="4.5999999999999996"/>
    <x v="1"/>
    <n v="18.548400000000001"/>
    <n v="4"/>
    <x v="0"/>
  </r>
  <r>
    <n v="1860"/>
    <n v="70"/>
    <x v="1"/>
    <x v="0"/>
    <x v="7"/>
    <s v="Sneakers"/>
    <n v="180.88"/>
    <x v="2"/>
    <s v="Card"/>
    <n v="3.1"/>
    <x v="4"/>
    <n v="155.55679999999998"/>
    <n v="2"/>
    <x v="1"/>
  </r>
  <r>
    <n v="1861"/>
    <n v="23"/>
    <x v="2"/>
    <x v="0"/>
    <x v="2"/>
    <s v="Yoga Mat"/>
    <n v="240.21"/>
    <x v="2"/>
    <s v="Card"/>
    <n v="2.2999999999999998"/>
    <x v="0"/>
    <n v="196.97220000000002"/>
    <n v="4"/>
    <x v="0"/>
  </r>
  <r>
    <n v="1862"/>
    <n v="34"/>
    <x v="0"/>
    <x v="1"/>
    <x v="1"/>
    <s v="Jeans"/>
    <n v="76.040000000000006"/>
    <x v="3"/>
    <s v="Cash on Delivery"/>
    <n v="4"/>
    <x v="16"/>
    <n v="71.477599999999995"/>
    <n v="3"/>
    <x v="1"/>
  </r>
  <r>
    <n v="1863"/>
    <n v="68"/>
    <x v="1"/>
    <x v="1"/>
    <x v="7"/>
    <s v="Sandals"/>
    <n v="52.98"/>
    <x v="1"/>
    <s v="Card"/>
    <n v="3.8"/>
    <x v="10"/>
    <n v="41.324399999999997"/>
    <n v="6"/>
    <x v="0"/>
  </r>
  <r>
    <n v="1864"/>
    <n v="51"/>
    <x v="0"/>
    <x v="0"/>
    <x v="6"/>
    <s v="Skincare Kit"/>
    <n v="101.93"/>
    <x v="1"/>
    <s v="Card"/>
    <n v="3.7"/>
    <x v="13"/>
    <n v="92.75630000000001"/>
    <n v="2"/>
    <x v="1"/>
  </r>
  <r>
    <n v="1865"/>
    <n v="49"/>
    <x v="0"/>
    <x v="1"/>
    <x v="7"/>
    <s v="Sandals"/>
    <n v="122.96"/>
    <x v="2"/>
    <s v="Card"/>
    <n v="4.2"/>
    <x v="1"/>
    <n v="106.9752"/>
    <n v="4"/>
    <x v="0"/>
  </r>
  <r>
    <n v="1866"/>
    <n v="46"/>
    <x v="0"/>
    <x v="1"/>
    <x v="5"/>
    <s v="Laptop"/>
    <n v="2820.93"/>
    <x v="3"/>
    <s v="Card"/>
    <n v="4.5999999999999996"/>
    <x v="1"/>
    <n v="2454.2091"/>
    <n v="4"/>
    <x v="0"/>
  </r>
  <r>
    <n v="1867"/>
    <n v="46"/>
    <x v="0"/>
    <x v="1"/>
    <x v="1"/>
    <s v="Jacket"/>
    <n v="123.87"/>
    <x v="3"/>
    <s v="Card"/>
    <n v="3.8"/>
    <x v="26"/>
    <n v="117.6765"/>
    <n v="0"/>
    <x v="1"/>
  </r>
  <r>
    <n v="1868"/>
    <n v="49"/>
    <x v="0"/>
    <x v="1"/>
    <x v="1"/>
    <s v="Jacket"/>
    <n v="67.94"/>
    <x v="3"/>
    <s v="Cash on Delivery"/>
    <n v="3.9"/>
    <x v="18"/>
    <n v="51.634399999999999"/>
    <n v="7"/>
    <x v="0"/>
  </r>
  <r>
    <n v="1869"/>
    <n v="56"/>
    <x v="0"/>
    <x v="1"/>
    <x v="1"/>
    <s v="Jacket"/>
    <n v="50.4"/>
    <x v="1"/>
    <s v="Card"/>
    <n v="4.2"/>
    <x v="0"/>
    <n v="41.328000000000003"/>
    <n v="4"/>
    <x v="0"/>
  </r>
  <r>
    <n v="1870"/>
    <n v="65"/>
    <x v="1"/>
    <x v="1"/>
    <x v="1"/>
    <s v="T-Shirt"/>
    <n v="174.89"/>
    <x v="2"/>
    <s v="Card"/>
    <n v="2.4"/>
    <x v="15"/>
    <n v="171.39219999999997"/>
    <n v="1"/>
    <x v="1"/>
  </r>
  <r>
    <n v="1871"/>
    <n v="44"/>
    <x v="0"/>
    <x v="0"/>
    <x v="8"/>
    <s v="Top"/>
    <n v="119.31"/>
    <x v="1"/>
    <s v="Card"/>
    <n v="3.8"/>
    <x v="19"/>
    <n v="101.4135"/>
    <n v="5"/>
    <x v="0"/>
  </r>
  <r>
    <n v="1872"/>
    <n v="43"/>
    <x v="0"/>
    <x v="1"/>
    <x v="2"/>
    <s v="Football"/>
    <n v="188.28"/>
    <x v="1"/>
    <s v="Card"/>
    <n v="3.7"/>
    <x v="10"/>
    <n v="146.85840000000002"/>
    <n v="6"/>
    <x v="0"/>
  </r>
  <r>
    <n v="1873"/>
    <n v="58"/>
    <x v="0"/>
    <x v="1"/>
    <x v="7"/>
    <s v="Sneakers"/>
    <n v="75.03"/>
    <x v="1"/>
    <s v="Card"/>
    <n v="4.3"/>
    <x v="7"/>
    <n v="67.527000000000001"/>
    <n v="5"/>
    <x v="0"/>
  </r>
  <r>
    <n v="1874"/>
    <n v="27"/>
    <x v="2"/>
    <x v="0"/>
    <x v="2"/>
    <s v="Football"/>
    <n v="122.27"/>
    <x v="0"/>
    <s v="Card"/>
    <n v="5"/>
    <x v="19"/>
    <n v="103.92949999999999"/>
    <n v="5"/>
    <x v="0"/>
  </r>
  <r>
    <n v="1875"/>
    <n v="67"/>
    <x v="1"/>
    <x v="0"/>
    <x v="8"/>
    <s v="Jeans"/>
    <n v="48.15"/>
    <x v="3"/>
    <s v="Cash on Delivery"/>
    <n v="3.5"/>
    <x v="8"/>
    <n v="42.372"/>
    <n v="6"/>
    <x v="0"/>
  </r>
  <r>
    <n v="1876"/>
    <n v="57"/>
    <x v="0"/>
    <x v="0"/>
    <x v="4"/>
    <s v="Beverages"/>
    <n v="75.56"/>
    <x v="3"/>
    <s v="Cash on Delivery"/>
    <n v="3.8"/>
    <x v="10"/>
    <n v="58.936800000000005"/>
    <n v="6"/>
    <x v="0"/>
  </r>
  <r>
    <n v="1877"/>
    <n v="37"/>
    <x v="0"/>
    <x v="1"/>
    <x v="3"/>
    <s v="Kitchen Set"/>
    <n v="289.68"/>
    <x v="1"/>
    <s v="Card"/>
    <n v="5"/>
    <x v="18"/>
    <n v="220.1568"/>
    <n v="7"/>
    <x v="0"/>
  </r>
  <r>
    <n v="1878"/>
    <n v="59"/>
    <x v="0"/>
    <x v="1"/>
    <x v="2"/>
    <s v="Dumbbells"/>
    <n v="241.42"/>
    <x v="3"/>
    <s v="Card"/>
    <n v="5"/>
    <x v="12"/>
    <n v="195.55019999999999"/>
    <n v="7"/>
    <x v="0"/>
  </r>
  <r>
    <n v="1879"/>
    <n v="51"/>
    <x v="0"/>
    <x v="0"/>
    <x v="6"/>
    <s v="Perfume"/>
    <n v="138.15"/>
    <x v="2"/>
    <s v="Card"/>
    <n v="3.5"/>
    <x v="19"/>
    <n v="117.42749999999999"/>
    <n v="5"/>
    <x v="0"/>
  </r>
  <r>
    <n v="1880"/>
    <n v="30"/>
    <x v="2"/>
    <x v="0"/>
    <x v="0"/>
    <s v="Sunglasses"/>
    <n v="46.15"/>
    <x v="0"/>
    <s v="Cash on Delivery"/>
    <n v="3.7"/>
    <x v="4"/>
    <n v="39.689"/>
    <n v="2"/>
    <x v="1"/>
  </r>
  <r>
    <n v="1881"/>
    <n v="61"/>
    <x v="1"/>
    <x v="1"/>
    <x v="4"/>
    <s v="Rice Pack"/>
    <n v="62.19"/>
    <x v="3"/>
    <s v="Card"/>
    <n v="2.9"/>
    <x v="8"/>
    <n v="54.727199999999996"/>
    <n v="6"/>
    <x v="0"/>
  </r>
  <r>
    <n v="1882"/>
    <n v="24"/>
    <x v="2"/>
    <x v="1"/>
    <x v="7"/>
    <s v="Formal Shoes"/>
    <n v="223.63"/>
    <x v="1"/>
    <s v="Card"/>
    <n v="5"/>
    <x v="26"/>
    <n v="212.4485"/>
    <n v="0"/>
    <x v="1"/>
  </r>
  <r>
    <n v="1883"/>
    <n v="46"/>
    <x v="0"/>
    <x v="0"/>
    <x v="4"/>
    <s v="Beverages"/>
    <n v="61.01"/>
    <x v="1"/>
    <s v="Cash on Delivery"/>
    <n v="3.2"/>
    <x v="19"/>
    <n v="51.858499999999999"/>
    <n v="5"/>
    <x v="0"/>
  </r>
  <r>
    <n v="1884"/>
    <n v="24"/>
    <x v="2"/>
    <x v="1"/>
    <x v="1"/>
    <s v="Shirt"/>
    <n v="55.92"/>
    <x v="1"/>
    <s v="Card"/>
    <n v="4"/>
    <x v="8"/>
    <n v="49.209600000000002"/>
    <n v="6"/>
    <x v="0"/>
  </r>
  <r>
    <n v="1885"/>
    <n v="23"/>
    <x v="2"/>
    <x v="1"/>
    <x v="5"/>
    <s v="Smart Watch"/>
    <n v="590.1"/>
    <x v="1"/>
    <s v="Card"/>
    <n v="4.3"/>
    <x v="16"/>
    <n v="554.69399999999996"/>
    <n v="3"/>
    <x v="1"/>
  </r>
  <r>
    <n v="1886"/>
    <n v="23"/>
    <x v="2"/>
    <x v="0"/>
    <x v="2"/>
    <s v="Yoga Mat"/>
    <n v="193.08"/>
    <x v="0"/>
    <s v="Card"/>
    <n v="3.3"/>
    <x v="14"/>
    <n v="160.25640000000001"/>
    <n v="6"/>
    <x v="0"/>
  </r>
  <r>
    <n v="1887"/>
    <n v="24"/>
    <x v="2"/>
    <x v="0"/>
    <x v="8"/>
    <s v="Top"/>
    <n v="165.24"/>
    <x v="2"/>
    <s v="Card"/>
    <n v="3.9"/>
    <x v="19"/>
    <n v="140.45400000000001"/>
    <n v="5"/>
    <x v="0"/>
  </r>
  <r>
    <n v="1888"/>
    <n v="38"/>
    <x v="0"/>
    <x v="1"/>
    <x v="1"/>
    <s v="Shirt"/>
    <n v="80.67"/>
    <x v="3"/>
    <s v="Card"/>
    <n v="3.6"/>
    <x v="12"/>
    <n v="65.342700000000008"/>
    <n v="7"/>
    <x v="0"/>
  </r>
  <r>
    <n v="1889"/>
    <n v="26"/>
    <x v="2"/>
    <x v="0"/>
    <x v="6"/>
    <s v="Perfume"/>
    <n v="121.33"/>
    <x v="1"/>
    <s v="Card"/>
    <n v="5"/>
    <x v="6"/>
    <n v="101.91719999999999"/>
    <n v="8"/>
    <x v="2"/>
  </r>
  <r>
    <n v="1890"/>
    <n v="42"/>
    <x v="0"/>
    <x v="1"/>
    <x v="2"/>
    <s v="Yoga Mat"/>
    <n v="41.11"/>
    <x v="1"/>
    <s v="Card"/>
    <n v="3.1"/>
    <x v="24"/>
    <n v="29.5992"/>
    <n v="9"/>
    <x v="2"/>
  </r>
  <r>
    <n v="1891"/>
    <n v="50"/>
    <x v="0"/>
    <x v="1"/>
    <x v="3"/>
    <s v="Lamp"/>
    <n v="45"/>
    <x v="1"/>
    <s v="Cash on Delivery"/>
    <n v="4.0999999999999996"/>
    <x v="13"/>
    <n v="40.950000000000003"/>
    <n v="2"/>
    <x v="1"/>
  </r>
  <r>
    <n v="1892"/>
    <n v="42"/>
    <x v="0"/>
    <x v="0"/>
    <x v="0"/>
    <s v="Handbag"/>
    <n v="50.74"/>
    <x v="0"/>
    <s v="Card"/>
    <n v="4.2"/>
    <x v="17"/>
    <n v="48.7104"/>
    <n v="2"/>
    <x v="1"/>
  </r>
  <r>
    <n v="1893"/>
    <n v="22"/>
    <x v="2"/>
    <x v="0"/>
    <x v="8"/>
    <s v="Top"/>
    <n v="109.38"/>
    <x v="1"/>
    <s v="Card"/>
    <n v="4.3"/>
    <x v="6"/>
    <n v="91.879199999999997"/>
    <n v="3"/>
    <x v="1"/>
  </r>
  <r>
    <n v="1894"/>
    <n v="40"/>
    <x v="0"/>
    <x v="0"/>
    <x v="8"/>
    <s v="Top"/>
    <n v="55"/>
    <x v="2"/>
    <s v="Cash on Delivery"/>
    <n v="4"/>
    <x v="0"/>
    <n v="45.1"/>
    <n v="4"/>
    <x v="0"/>
  </r>
  <r>
    <n v="1895"/>
    <n v="52"/>
    <x v="0"/>
    <x v="1"/>
    <x v="7"/>
    <s v="Sandals"/>
    <n v="181.52"/>
    <x v="2"/>
    <s v="Card"/>
    <n v="4.3"/>
    <x v="18"/>
    <n v="137.95520000000002"/>
    <n v="7"/>
    <x v="0"/>
  </r>
  <r>
    <n v="1896"/>
    <n v="55"/>
    <x v="0"/>
    <x v="0"/>
    <x v="0"/>
    <s v="Handbag"/>
    <n v="89.11"/>
    <x v="2"/>
    <s v="Cash on Delivery"/>
    <n v="2.6"/>
    <x v="8"/>
    <n v="78.416799999999995"/>
    <n v="1"/>
    <x v="1"/>
  </r>
  <r>
    <n v="1897"/>
    <n v="34"/>
    <x v="0"/>
    <x v="0"/>
    <x v="0"/>
    <s v="Sunglasses"/>
    <n v="179.27"/>
    <x v="2"/>
    <s v="Card"/>
    <n v="4.2"/>
    <x v="1"/>
    <n v="155.9649"/>
    <n v="4"/>
    <x v="0"/>
  </r>
  <r>
    <n v="1898"/>
    <n v="28"/>
    <x v="2"/>
    <x v="1"/>
    <x v="1"/>
    <s v="T-Shirt"/>
    <n v="147.68"/>
    <x v="0"/>
    <s v="Card"/>
    <n v="3.5"/>
    <x v="18"/>
    <n v="112.2368"/>
    <n v="7"/>
    <x v="0"/>
  </r>
  <r>
    <n v="1899"/>
    <n v="63"/>
    <x v="1"/>
    <x v="0"/>
    <x v="8"/>
    <s v="Jeans"/>
    <n v="90.28"/>
    <x v="3"/>
    <s v="Card"/>
    <n v="4"/>
    <x v="12"/>
    <n v="73.126800000000003"/>
    <n v="7"/>
    <x v="0"/>
  </r>
  <r>
    <n v="1900"/>
    <n v="43"/>
    <x v="0"/>
    <x v="0"/>
    <x v="3"/>
    <s v="Kitchen Set"/>
    <n v="261.98"/>
    <x v="2"/>
    <s v="Card"/>
    <n v="4.2"/>
    <x v="18"/>
    <n v="199.10480000000001"/>
    <n v="7"/>
    <x v="0"/>
  </r>
  <r>
    <n v="1901"/>
    <n v="35"/>
    <x v="0"/>
    <x v="1"/>
    <x v="5"/>
    <s v="Smart Watch"/>
    <n v="2479.4"/>
    <x v="3"/>
    <s v="Card"/>
    <n v="3.9"/>
    <x v="18"/>
    <n v="1884.3440000000001"/>
    <n v="7"/>
    <x v="0"/>
  </r>
  <r>
    <n v="1902"/>
    <n v="36"/>
    <x v="0"/>
    <x v="1"/>
    <x v="2"/>
    <s v="Dumbbells"/>
    <n v="159.18"/>
    <x v="1"/>
    <s v="Card"/>
    <n v="2.4"/>
    <x v="8"/>
    <n v="140.07840000000002"/>
    <n v="6"/>
    <x v="0"/>
  </r>
  <r>
    <n v="1903"/>
    <n v="48"/>
    <x v="0"/>
    <x v="1"/>
    <x v="2"/>
    <s v="Football"/>
    <n v="144.53"/>
    <x v="2"/>
    <s v="Card"/>
    <n v="3.7"/>
    <x v="8"/>
    <n v="127.18640000000001"/>
    <n v="6"/>
    <x v="0"/>
  </r>
  <r>
    <n v="1904"/>
    <n v="34"/>
    <x v="0"/>
    <x v="1"/>
    <x v="5"/>
    <s v="Headphones"/>
    <n v="1675.77"/>
    <x v="0"/>
    <s v="Card"/>
    <n v="3.6"/>
    <x v="18"/>
    <n v="1273.5852"/>
    <n v="7"/>
    <x v="0"/>
  </r>
  <r>
    <n v="1905"/>
    <n v="47"/>
    <x v="0"/>
    <x v="0"/>
    <x v="7"/>
    <s v="Sandals"/>
    <n v="64.760000000000005"/>
    <x v="3"/>
    <s v="Cash on Delivery"/>
    <n v="4.3"/>
    <x v="17"/>
    <n v="62.169600000000003"/>
    <n v="2"/>
    <x v="1"/>
  </r>
  <r>
    <n v="1906"/>
    <n v="48"/>
    <x v="0"/>
    <x v="0"/>
    <x v="8"/>
    <s v="Top"/>
    <n v="118.33"/>
    <x v="1"/>
    <s v="Card"/>
    <n v="4"/>
    <x v="18"/>
    <n v="89.930800000000005"/>
    <n v="7"/>
    <x v="0"/>
  </r>
  <r>
    <n v="1907"/>
    <n v="50"/>
    <x v="0"/>
    <x v="0"/>
    <x v="0"/>
    <s v="Wallet"/>
    <n v="150.38999999999999"/>
    <x v="3"/>
    <s v="Card"/>
    <n v="4.2"/>
    <x v="2"/>
    <n v="133.84709999999998"/>
    <n v="3"/>
    <x v="1"/>
  </r>
  <r>
    <n v="1908"/>
    <n v="25"/>
    <x v="2"/>
    <x v="1"/>
    <x v="7"/>
    <s v="Sneakers"/>
    <n v="120.73"/>
    <x v="2"/>
    <s v="Card"/>
    <n v="4"/>
    <x v="2"/>
    <n v="107.44970000000001"/>
    <n v="3"/>
    <x v="1"/>
  </r>
  <r>
    <n v="1909"/>
    <n v="67"/>
    <x v="1"/>
    <x v="1"/>
    <x v="4"/>
    <s v="Rice Pack"/>
    <n v="25.65"/>
    <x v="2"/>
    <s v="Cash on Delivery"/>
    <n v="3.5"/>
    <x v="14"/>
    <n v="21.289499999999997"/>
    <n v="6"/>
    <x v="0"/>
  </r>
  <r>
    <n v="1910"/>
    <n v="65"/>
    <x v="1"/>
    <x v="0"/>
    <x v="4"/>
    <s v="Rice Pack"/>
    <n v="25.3"/>
    <x v="0"/>
    <s v="Cash on Delivery"/>
    <n v="3.4"/>
    <x v="21"/>
    <n v="19.987000000000002"/>
    <n v="8"/>
    <x v="2"/>
  </r>
  <r>
    <n v="1911"/>
    <n v="33"/>
    <x v="0"/>
    <x v="0"/>
    <x v="2"/>
    <s v="Football"/>
    <n v="54.43"/>
    <x v="0"/>
    <s v="Cash on Delivery"/>
    <n v="3.6"/>
    <x v="3"/>
    <n v="43.544000000000004"/>
    <n v="10"/>
    <x v="2"/>
  </r>
  <r>
    <n v="1912"/>
    <n v="37"/>
    <x v="0"/>
    <x v="1"/>
    <x v="7"/>
    <s v="Sneakers"/>
    <n v="164.63"/>
    <x v="2"/>
    <s v="Card"/>
    <n v="2.5"/>
    <x v="6"/>
    <n v="138.28919999999999"/>
    <n v="3"/>
    <x v="1"/>
  </r>
  <r>
    <n v="1913"/>
    <n v="24"/>
    <x v="2"/>
    <x v="1"/>
    <x v="1"/>
    <s v="Jeans"/>
    <n v="109.21"/>
    <x v="3"/>
    <s v="Card"/>
    <n v="3.9"/>
    <x v="10"/>
    <n v="85.183800000000005"/>
    <n v="11"/>
    <x v="2"/>
  </r>
  <r>
    <n v="1914"/>
    <n v="40"/>
    <x v="0"/>
    <x v="0"/>
    <x v="8"/>
    <s v="Dress"/>
    <n v="96.67"/>
    <x v="1"/>
    <s v="Cash on Delivery"/>
    <n v="3.5"/>
    <x v="14"/>
    <n v="80.236099999999993"/>
    <n v="6"/>
    <x v="0"/>
  </r>
  <r>
    <n v="1915"/>
    <n v="69"/>
    <x v="1"/>
    <x v="0"/>
    <x v="2"/>
    <s v="Dumbbells"/>
    <n v="243.62"/>
    <x v="0"/>
    <s v="Card"/>
    <n v="4"/>
    <x v="6"/>
    <n v="204.64079999999998"/>
    <n v="3"/>
    <x v="1"/>
  </r>
  <r>
    <n v="1916"/>
    <n v="68"/>
    <x v="1"/>
    <x v="1"/>
    <x v="2"/>
    <s v="Yoga Mat"/>
    <n v="241.87"/>
    <x v="3"/>
    <s v="Card"/>
    <n v="3.7"/>
    <x v="7"/>
    <n v="217.68300000000002"/>
    <n v="5"/>
    <x v="0"/>
  </r>
  <r>
    <n v="1917"/>
    <n v="38"/>
    <x v="0"/>
    <x v="0"/>
    <x v="2"/>
    <s v="Football"/>
    <n v="77.44"/>
    <x v="0"/>
    <s v="Card"/>
    <n v="4.3"/>
    <x v="7"/>
    <n v="69.695999999999998"/>
    <n v="5"/>
    <x v="0"/>
  </r>
  <r>
    <n v="1918"/>
    <n v="49"/>
    <x v="0"/>
    <x v="0"/>
    <x v="6"/>
    <s v="Makeup Set"/>
    <n v="107.16"/>
    <x v="2"/>
    <s v="Card"/>
    <n v="3.1"/>
    <x v="6"/>
    <n v="90.014399999999995"/>
    <n v="8"/>
    <x v="2"/>
  </r>
  <r>
    <n v="1919"/>
    <n v="50"/>
    <x v="0"/>
    <x v="1"/>
    <x v="1"/>
    <s v="Shirt"/>
    <n v="109.18"/>
    <x v="1"/>
    <s v="Card"/>
    <n v="4.3"/>
    <x v="8"/>
    <n v="96.078400000000002"/>
    <n v="6"/>
    <x v="0"/>
  </r>
  <r>
    <n v="1920"/>
    <n v="62"/>
    <x v="1"/>
    <x v="0"/>
    <x v="8"/>
    <s v="Skirt"/>
    <n v="135.93"/>
    <x v="3"/>
    <s v="Card"/>
    <n v="4.0999999999999996"/>
    <x v="19"/>
    <n v="115.54050000000001"/>
    <n v="5"/>
    <x v="0"/>
  </r>
  <r>
    <n v="1921"/>
    <n v="34"/>
    <x v="0"/>
    <x v="0"/>
    <x v="7"/>
    <s v="Sneakers"/>
    <n v="219.3"/>
    <x v="0"/>
    <s v="Card"/>
    <n v="2.8"/>
    <x v="3"/>
    <n v="175.44000000000003"/>
    <n v="5"/>
    <x v="0"/>
  </r>
  <r>
    <n v="1922"/>
    <n v="24"/>
    <x v="2"/>
    <x v="1"/>
    <x v="3"/>
    <s v="Curtains"/>
    <n v="265"/>
    <x v="2"/>
    <s v="Card"/>
    <n v="2.4"/>
    <x v="18"/>
    <n v="201.4"/>
    <n v="7"/>
    <x v="0"/>
  </r>
  <r>
    <n v="1923"/>
    <n v="68"/>
    <x v="1"/>
    <x v="0"/>
    <x v="6"/>
    <s v="Makeup Set"/>
    <n v="65.91"/>
    <x v="0"/>
    <s v="Cash on Delivery"/>
    <n v="5"/>
    <x v="13"/>
    <n v="59.978099999999998"/>
    <n v="2"/>
    <x v="1"/>
  </r>
  <r>
    <n v="1924"/>
    <n v="28"/>
    <x v="2"/>
    <x v="1"/>
    <x v="2"/>
    <s v="Dumbbells"/>
    <n v="167.74"/>
    <x v="0"/>
    <s v="Card"/>
    <n v="4.4000000000000004"/>
    <x v="1"/>
    <n v="145.93380000000002"/>
    <n v="4"/>
    <x v="0"/>
  </r>
  <r>
    <n v="1925"/>
    <n v="25"/>
    <x v="2"/>
    <x v="0"/>
    <x v="8"/>
    <s v="Dress"/>
    <n v="197.6"/>
    <x v="3"/>
    <s v="Card"/>
    <n v="5"/>
    <x v="1"/>
    <n v="171.91200000000001"/>
    <n v="4"/>
    <x v="0"/>
  </r>
  <r>
    <n v="1926"/>
    <n v="66"/>
    <x v="1"/>
    <x v="1"/>
    <x v="2"/>
    <s v="Football"/>
    <n v="69.37"/>
    <x v="0"/>
    <s v="Card"/>
    <n v="3.8"/>
    <x v="16"/>
    <n v="65.207800000000006"/>
    <n v="3"/>
    <x v="1"/>
  </r>
  <r>
    <n v="1927"/>
    <n v="63"/>
    <x v="1"/>
    <x v="0"/>
    <x v="7"/>
    <s v="Sandals"/>
    <n v="176.79"/>
    <x v="2"/>
    <s v="Card"/>
    <n v="2.5"/>
    <x v="6"/>
    <n v="148.50359999999998"/>
    <n v="3"/>
    <x v="1"/>
  </r>
  <r>
    <n v="1928"/>
    <n v="57"/>
    <x v="0"/>
    <x v="0"/>
    <x v="6"/>
    <s v="Makeup Set"/>
    <n v="30.64"/>
    <x v="1"/>
    <s v="Card"/>
    <n v="3.2"/>
    <x v="10"/>
    <n v="23.8992"/>
    <n v="6"/>
    <x v="0"/>
  </r>
  <r>
    <n v="1929"/>
    <n v="62"/>
    <x v="1"/>
    <x v="1"/>
    <x v="2"/>
    <s v="Dumbbells"/>
    <n v="55.13"/>
    <x v="2"/>
    <s v="Card"/>
    <n v="4.2"/>
    <x v="1"/>
    <n v="47.963100000000004"/>
    <n v="4"/>
    <x v="0"/>
  </r>
  <r>
    <n v="1930"/>
    <n v="59"/>
    <x v="0"/>
    <x v="0"/>
    <x v="2"/>
    <s v="Football"/>
    <n v="150.71"/>
    <x v="1"/>
    <s v="Card"/>
    <n v="3.5"/>
    <x v="19"/>
    <n v="128.1035"/>
    <n v="5"/>
    <x v="0"/>
  </r>
  <r>
    <n v="1931"/>
    <n v="59"/>
    <x v="0"/>
    <x v="0"/>
    <x v="8"/>
    <s v="Skirt"/>
    <n v="42.51"/>
    <x v="0"/>
    <s v="Card"/>
    <n v="3.5"/>
    <x v="0"/>
    <n v="34.858200000000004"/>
    <n v="4"/>
    <x v="0"/>
  </r>
  <r>
    <n v="1932"/>
    <n v="64"/>
    <x v="1"/>
    <x v="0"/>
    <x v="6"/>
    <s v="Perfume"/>
    <n v="83.82"/>
    <x v="3"/>
    <s v="Card"/>
    <n v="2.9"/>
    <x v="8"/>
    <n v="73.761600000000001"/>
    <n v="6"/>
    <x v="0"/>
  </r>
  <r>
    <n v="1933"/>
    <n v="56"/>
    <x v="0"/>
    <x v="0"/>
    <x v="6"/>
    <s v="Perfume"/>
    <n v="53.72"/>
    <x v="1"/>
    <s v="Cash on Delivery"/>
    <n v="2.4"/>
    <x v="6"/>
    <n v="45.1248"/>
    <n v="3"/>
    <x v="1"/>
  </r>
  <r>
    <n v="1934"/>
    <n v="42"/>
    <x v="0"/>
    <x v="1"/>
    <x v="7"/>
    <s v="Sneakers"/>
    <n v="158.32"/>
    <x v="0"/>
    <s v="Card"/>
    <n v="4.4000000000000004"/>
    <x v="7"/>
    <n v="142.488"/>
    <n v="5"/>
    <x v="0"/>
  </r>
  <r>
    <n v="1935"/>
    <n v="61"/>
    <x v="1"/>
    <x v="0"/>
    <x v="7"/>
    <s v="Sneakers"/>
    <n v="232.32"/>
    <x v="1"/>
    <s v="Card"/>
    <n v="2.7"/>
    <x v="17"/>
    <n v="223.02719999999999"/>
    <n v="2"/>
    <x v="1"/>
  </r>
  <r>
    <n v="1936"/>
    <n v="36"/>
    <x v="0"/>
    <x v="1"/>
    <x v="2"/>
    <s v="Dumbbells"/>
    <n v="228.65"/>
    <x v="3"/>
    <s v="Card"/>
    <n v="4.0999999999999996"/>
    <x v="1"/>
    <n v="198.9255"/>
    <n v="4"/>
    <x v="0"/>
  </r>
  <r>
    <n v="1937"/>
    <n v="69"/>
    <x v="1"/>
    <x v="1"/>
    <x v="2"/>
    <s v="Football"/>
    <n v="56.11"/>
    <x v="3"/>
    <s v="Cash on Delivery"/>
    <n v="2.7"/>
    <x v="10"/>
    <n v="43.765799999999999"/>
    <n v="6"/>
    <x v="0"/>
  </r>
  <r>
    <n v="1938"/>
    <n v="32"/>
    <x v="0"/>
    <x v="0"/>
    <x v="3"/>
    <s v="Curtains"/>
    <n v="175.14"/>
    <x v="1"/>
    <s v="Card"/>
    <n v="3.6"/>
    <x v="3"/>
    <n v="140.11199999999999"/>
    <n v="10"/>
    <x v="2"/>
  </r>
  <r>
    <n v="1939"/>
    <n v="58"/>
    <x v="0"/>
    <x v="0"/>
    <x v="2"/>
    <s v="Yoga Mat"/>
    <n v="195.03"/>
    <x v="2"/>
    <s v="Card"/>
    <n v="3.1"/>
    <x v="1"/>
    <n v="169.67609999999999"/>
    <n v="4"/>
    <x v="0"/>
  </r>
  <r>
    <n v="1940"/>
    <n v="52"/>
    <x v="0"/>
    <x v="0"/>
    <x v="3"/>
    <s v="Curtains"/>
    <n v="181.83"/>
    <x v="1"/>
    <s v="Card"/>
    <n v="3.8"/>
    <x v="8"/>
    <n v="160.0104"/>
    <n v="6"/>
    <x v="0"/>
  </r>
  <r>
    <n v="1941"/>
    <n v="64"/>
    <x v="1"/>
    <x v="0"/>
    <x v="7"/>
    <s v="Sneakers"/>
    <n v="107.22"/>
    <x v="2"/>
    <s v="Card"/>
    <n v="4.4000000000000004"/>
    <x v="2"/>
    <n v="95.425799999999995"/>
    <n v="3"/>
    <x v="1"/>
  </r>
  <r>
    <n v="1942"/>
    <n v="42"/>
    <x v="0"/>
    <x v="0"/>
    <x v="0"/>
    <s v="Wallet"/>
    <n v="49.81"/>
    <x v="0"/>
    <s v="Card"/>
    <n v="4.3"/>
    <x v="2"/>
    <n v="44.3309"/>
    <n v="3"/>
    <x v="1"/>
  </r>
  <r>
    <n v="1943"/>
    <n v="65"/>
    <x v="1"/>
    <x v="1"/>
    <x v="2"/>
    <s v="Football"/>
    <n v="54.39"/>
    <x v="2"/>
    <s v="Cash on Delivery"/>
    <n v="3.8"/>
    <x v="13"/>
    <n v="49.494900000000001"/>
    <n v="2"/>
    <x v="1"/>
  </r>
  <r>
    <n v="1944"/>
    <n v="48"/>
    <x v="0"/>
    <x v="1"/>
    <x v="7"/>
    <s v="Sneakers"/>
    <n v="63.06"/>
    <x v="0"/>
    <s v="Card"/>
    <n v="4.2"/>
    <x v="10"/>
    <n v="49.186800000000005"/>
    <n v="6"/>
    <x v="0"/>
  </r>
  <r>
    <n v="1945"/>
    <n v="66"/>
    <x v="1"/>
    <x v="1"/>
    <x v="5"/>
    <s v="Laptop"/>
    <n v="1918.19"/>
    <x v="0"/>
    <s v="Card"/>
    <n v="3.3"/>
    <x v="5"/>
    <n v="1764.7348000000002"/>
    <n v="4"/>
    <x v="0"/>
  </r>
  <r>
    <n v="1946"/>
    <n v="50"/>
    <x v="0"/>
    <x v="1"/>
    <x v="1"/>
    <s v="Shirt"/>
    <n v="132.11000000000001"/>
    <x v="1"/>
    <s v="Card"/>
    <n v="3.7"/>
    <x v="0"/>
    <n v="108.33020000000002"/>
    <n v="4"/>
    <x v="0"/>
  </r>
  <r>
    <n v="1947"/>
    <n v="35"/>
    <x v="0"/>
    <x v="0"/>
    <x v="8"/>
    <s v="Top"/>
    <n v="84.23"/>
    <x v="3"/>
    <s v="Cash on Delivery"/>
    <n v="5"/>
    <x v="5"/>
    <n v="77.491600000000005"/>
    <n v="4"/>
    <x v="0"/>
  </r>
  <r>
    <n v="1948"/>
    <n v="42"/>
    <x v="0"/>
    <x v="0"/>
    <x v="6"/>
    <s v="Skincare Kit"/>
    <n v="114.27"/>
    <x v="1"/>
    <s v="Card"/>
    <n v="5"/>
    <x v="8"/>
    <n v="100.55759999999999"/>
    <n v="6"/>
    <x v="0"/>
  </r>
  <r>
    <n v="1949"/>
    <n v="30"/>
    <x v="2"/>
    <x v="0"/>
    <x v="3"/>
    <s v="Kitchen Set"/>
    <n v="39.24"/>
    <x v="1"/>
    <s v="Cash on Delivery"/>
    <n v="3.3"/>
    <x v="10"/>
    <n v="30.607200000000002"/>
    <n v="6"/>
    <x v="0"/>
  </r>
  <r>
    <n v="1950"/>
    <n v="42"/>
    <x v="0"/>
    <x v="0"/>
    <x v="7"/>
    <s v="Sandals"/>
    <n v="121.16"/>
    <x v="1"/>
    <s v="Card"/>
    <n v="2.8"/>
    <x v="6"/>
    <n v="101.7744"/>
    <n v="8"/>
    <x v="2"/>
  </r>
  <r>
    <n v="1951"/>
    <n v="51"/>
    <x v="0"/>
    <x v="0"/>
    <x v="4"/>
    <s v="Snacks"/>
    <n v="45.86"/>
    <x v="0"/>
    <s v="Card"/>
    <n v="3.6"/>
    <x v="5"/>
    <n v="42.191200000000002"/>
    <n v="4"/>
    <x v="0"/>
  </r>
  <r>
    <n v="1952"/>
    <n v="38"/>
    <x v="0"/>
    <x v="1"/>
    <x v="1"/>
    <s v="Jeans"/>
    <n v="38.47"/>
    <x v="1"/>
    <s v="Card"/>
    <n v="3.6"/>
    <x v="14"/>
    <n v="31.930099999999996"/>
    <n v="6"/>
    <x v="0"/>
  </r>
  <r>
    <n v="1953"/>
    <n v="46"/>
    <x v="0"/>
    <x v="1"/>
    <x v="2"/>
    <s v="Yoga Mat"/>
    <n v="98.54"/>
    <x v="2"/>
    <s v="Card"/>
    <n v="4.7"/>
    <x v="5"/>
    <n v="90.656800000000004"/>
    <n v="4"/>
    <x v="0"/>
  </r>
  <r>
    <n v="1954"/>
    <n v="55"/>
    <x v="0"/>
    <x v="1"/>
    <x v="7"/>
    <s v="Formal Shoes"/>
    <n v="194.32"/>
    <x v="1"/>
    <s v="Card"/>
    <n v="3.5"/>
    <x v="5"/>
    <n v="178.77440000000001"/>
    <n v="4"/>
    <x v="0"/>
  </r>
  <r>
    <n v="1955"/>
    <n v="61"/>
    <x v="1"/>
    <x v="0"/>
    <x v="6"/>
    <s v="Skincare Kit"/>
    <n v="71.83"/>
    <x v="2"/>
    <s v="Cash on Delivery"/>
    <n v="4"/>
    <x v="0"/>
    <n v="58.900600000000004"/>
    <n v="4"/>
    <x v="0"/>
  </r>
  <r>
    <n v="1956"/>
    <n v="65"/>
    <x v="1"/>
    <x v="0"/>
    <x v="7"/>
    <s v="Sneakers"/>
    <n v="119.74"/>
    <x v="2"/>
    <s v="Card"/>
    <n v="3.5"/>
    <x v="16"/>
    <n v="112.55559999999998"/>
    <n v="3"/>
    <x v="1"/>
  </r>
  <r>
    <n v="1957"/>
    <n v="66"/>
    <x v="1"/>
    <x v="0"/>
    <x v="7"/>
    <s v="Sneakers"/>
    <n v="242.56"/>
    <x v="3"/>
    <s v="Card"/>
    <n v="5"/>
    <x v="4"/>
    <n v="208.60159999999999"/>
    <n v="7"/>
    <x v="0"/>
  </r>
  <r>
    <n v="1958"/>
    <n v="51"/>
    <x v="0"/>
    <x v="0"/>
    <x v="8"/>
    <s v="Dress"/>
    <n v="78.03"/>
    <x v="0"/>
    <s v="Cash on Delivery"/>
    <n v="4.0999999999999996"/>
    <x v="1"/>
    <n v="67.886099999999999"/>
    <n v="4"/>
    <x v="0"/>
  </r>
  <r>
    <n v="1959"/>
    <n v="52"/>
    <x v="0"/>
    <x v="1"/>
    <x v="2"/>
    <s v="Football"/>
    <n v="82.92"/>
    <x v="3"/>
    <s v="Card"/>
    <n v="4.2"/>
    <x v="18"/>
    <n v="63.019200000000005"/>
    <n v="7"/>
    <x v="0"/>
  </r>
  <r>
    <n v="1960"/>
    <n v="56"/>
    <x v="0"/>
    <x v="0"/>
    <x v="3"/>
    <s v="Curtains"/>
    <n v="220.57"/>
    <x v="1"/>
    <s v="Card"/>
    <n v="3.1"/>
    <x v="0"/>
    <n v="180.8674"/>
    <n v="4"/>
    <x v="0"/>
  </r>
  <r>
    <n v="1961"/>
    <n v="61"/>
    <x v="1"/>
    <x v="1"/>
    <x v="2"/>
    <s v="Football"/>
    <n v="93.71"/>
    <x v="2"/>
    <s v="Cash on Delivery"/>
    <n v="3.6"/>
    <x v="15"/>
    <n v="91.835799999999992"/>
    <n v="1"/>
    <x v="1"/>
  </r>
  <r>
    <n v="1962"/>
    <n v="55"/>
    <x v="0"/>
    <x v="1"/>
    <x v="7"/>
    <s v="Sneakers"/>
    <n v="237.85"/>
    <x v="1"/>
    <s v="Card"/>
    <n v="3.4"/>
    <x v="18"/>
    <n v="180.76599999999999"/>
    <n v="7"/>
    <x v="0"/>
  </r>
  <r>
    <n v="1963"/>
    <n v="43"/>
    <x v="0"/>
    <x v="0"/>
    <x v="3"/>
    <s v="Lamp"/>
    <n v="209.95"/>
    <x v="1"/>
    <s v="Card"/>
    <n v="2.5"/>
    <x v="6"/>
    <n v="176.35799999999998"/>
    <n v="3"/>
    <x v="1"/>
  </r>
  <r>
    <n v="1964"/>
    <n v="67"/>
    <x v="1"/>
    <x v="1"/>
    <x v="7"/>
    <s v="Sandals"/>
    <n v="208.53"/>
    <x v="2"/>
    <s v="Card"/>
    <n v="4.4000000000000004"/>
    <x v="27"/>
    <n v="156.39750000000001"/>
    <n v="10"/>
    <x v="2"/>
  </r>
  <r>
    <n v="1965"/>
    <n v="23"/>
    <x v="2"/>
    <x v="1"/>
    <x v="7"/>
    <s v="Sandals"/>
    <n v="79.069999999999993"/>
    <x v="3"/>
    <s v="Cash on Delivery"/>
    <n v="5"/>
    <x v="2"/>
    <n v="70.372299999999996"/>
    <n v="3"/>
    <x v="1"/>
  </r>
  <r>
    <n v="1966"/>
    <n v="54"/>
    <x v="0"/>
    <x v="0"/>
    <x v="8"/>
    <s v="Skirt"/>
    <n v="86"/>
    <x v="1"/>
    <s v="Cash on Delivery"/>
    <n v="3.2"/>
    <x v="0"/>
    <n v="70.52000000000001"/>
    <n v="9"/>
    <x v="2"/>
  </r>
  <r>
    <n v="1967"/>
    <n v="37"/>
    <x v="0"/>
    <x v="0"/>
    <x v="8"/>
    <s v="Dress"/>
    <n v="118.51"/>
    <x v="3"/>
    <s v="Card"/>
    <n v="4.5999999999999996"/>
    <x v="13"/>
    <n v="107.84410000000001"/>
    <n v="2"/>
    <x v="1"/>
  </r>
  <r>
    <n v="1968"/>
    <n v="44"/>
    <x v="0"/>
    <x v="1"/>
    <x v="5"/>
    <s v="Laptop"/>
    <n v="1102.43"/>
    <x v="1"/>
    <s v="Card"/>
    <n v="3.9"/>
    <x v="25"/>
    <n v="771.70100000000002"/>
    <n v="10"/>
    <x v="2"/>
  </r>
  <r>
    <n v="1969"/>
    <n v="54"/>
    <x v="0"/>
    <x v="0"/>
    <x v="8"/>
    <s v="Jeans"/>
    <n v="130.37"/>
    <x v="1"/>
    <s v="Card"/>
    <n v="2.8"/>
    <x v="14"/>
    <n v="108.2071"/>
    <n v="6"/>
    <x v="0"/>
  </r>
  <r>
    <n v="1970"/>
    <n v="39"/>
    <x v="0"/>
    <x v="1"/>
    <x v="2"/>
    <s v="Dumbbells"/>
    <n v="26.25"/>
    <x v="0"/>
    <s v="Cash on Delivery"/>
    <n v="3"/>
    <x v="10"/>
    <n v="20.475000000000001"/>
    <n v="6"/>
    <x v="0"/>
  </r>
  <r>
    <n v="1971"/>
    <n v="41"/>
    <x v="0"/>
    <x v="1"/>
    <x v="2"/>
    <s v="Football"/>
    <n v="229.64"/>
    <x v="3"/>
    <s v="Card"/>
    <n v="4.2"/>
    <x v="7"/>
    <n v="206.67599999999999"/>
    <n v="5"/>
    <x v="0"/>
  </r>
  <r>
    <n v="1972"/>
    <n v="48"/>
    <x v="0"/>
    <x v="0"/>
    <x v="8"/>
    <s v="Jeans"/>
    <n v="144.76"/>
    <x v="3"/>
    <s v="Card"/>
    <n v="4.2"/>
    <x v="7"/>
    <n v="130.28399999999999"/>
    <n v="5"/>
    <x v="0"/>
  </r>
  <r>
    <n v="1973"/>
    <n v="39"/>
    <x v="0"/>
    <x v="0"/>
    <x v="8"/>
    <s v="Dress"/>
    <n v="188.91"/>
    <x v="2"/>
    <s v="Card"/>
    <n v="3.4"/>
    <x v="3"/>
    <n v="151.12800000000001"/>
    <n v="5"/>
    <x v="0"/>
  </r>
  <r>
    <n v="1974"/>
    <n v="44"/>
    <x v="0"/>
    <x v="1"/>
    <x v="7"/>
    <s v="Sandals"/>
    <n v="108.13"/>
    <x v="2"/>
    <s v="Card"/>
    <n v="3.5"/>
    <x v="17"/>
    <n v="103.80479999999999"/>
    <n v="2"/>
    <x v="1"/>
  </r>
  <r>
    <n v="1975"/>
    <n v="60"/>
    <x v="0"/>
    <x v="0"/>
    <x v="7"/>
    <s v="Sandals"/>
    <n v="49.64"/>
    <x v="1"/>
    <s v="Cash on Delivery"/>
    <n v="3.2"/>
    <x v="8"/>
    <n v="43.683199999999999"/>
    <n v="6"/>
    <x v="0"/>
  </r>
  <r>
    <n v="1976"/>
    <n v="57"/>
    <x v="0"/>
    <x v="0"/>
    <x v="8"/>
    <s v="Dress"/>
    <n v="33.5"/>
    <x v="3"/>
    <s v="Card"/>
    <n v="1.7"/>
    <x v="2"/>
    <n v="29.815000000000001"/>
    <n v="3"/>
    <x v="1"/>
  </r>
  <r>
    <n v="1977"/>
    <n v="48"/>
    <x v="0"/>
    <x v="1"/>
    <x v="1"/>
    <s v="Jacket"/>
    <n v="176.4"/>
    <x v="0"/>
    <s v="Card"/>
    <n v="4.3"/>
    <x v="15"/>
    <n v="172.87200000000001"/>
    <n v="1"/>
    <x v="1"/>
  </r>
  <r>
    <n v="1978"/>
    <n v="38"/>
    <x v="0"/>
    <x v="0"/>
    <x v="7"/>
    <s v="Sandals"/>
    <n v="177.52"/>
    <x v="2"/>
    <s v="Card"/>
    <n v="4.7"/>
    <x v="2"/>
    <n v="157.99280000000002"/>
    <n v="3"/>
    <x v="1"/>
  </r>
  <r>
    <n v="1979"/>
    <n v="66"/>
    <x v="1"/>
    <x v="0"/>
    <x v="8"/>
    <s v="Jeans"/>
    <n v="48.85"/>
    <x v="1"/>
    <s v="Card"/>
    <n v="4.3"/>
    <x v="18"/>
    <n v="37.126000000000005"/>
    <n v="7"/>
    <x v="0"/>
  </r>
  <r>
    <n v="1980"/>
    <n v="70"/>
    <x v="1"/>
    <x v="0"/>
    <x v="8"/>
    <s v="Dress"/>
    <n v="139.16999999999999"/>
    <x v="3"/>
    <s v="Card"/>
    <n v="4.3"/>
    <x v="12"/>
    <n v="112.7277"/>
    <n v="7"/>
    <x v="0"/>
  </r>
  <r>
    <n v="1981"/>
    <n v="24"/>
    <x v="2"/>
    <x v="1"/>
    <x v="1"/>
    <s v="T-Shirt"/>
    <n v="196.55"/>
    <x v="3"/>
    <s v="Card"/>
    <n v="3.2"/>
    <x v="5"/>
    <n v="180.82600000000002"/>
    <n v="4"/>
    <x v="0"/>
  </r>
  <r>
    <n v="1982"/>
    <n v="41"/>
    <x v="0"/>
    <x v="0"/>
    <x v="6"/>
    <s v="Perfume"/>
    <n v="26.86"/>
    <x v="2"/>
    <s v="Card"/>
    <n v="3.5"/>
    <x v="13"/>
    <n v="24.442599999999999"/>
    <n v="2"/>
    <x v="1"/>
  </r>
  <r>
    <n v="1983"/>
    <n v="63"/>
    <x v="1"/>
    <x v="1"/>
    <x v="2"/>
    <s v="Yoga Mat"/>
    <n v="161.59"/>
    <x v="1"/>
    <s v="Card"/>
    <n v="5"/>
    <x v="21"/>
    <n v="127.65610000000001"/>
    <n v="8"/>
    <x v="2"/>
  </r>
  <r>
    <n v="1984"/>
    <n v="40"/>
    <x v="0"/>
    <x v="0"/>
    <x v="8"/>
    <s v="Top"/>
    <n v="171.74"/>
    <x v="0"/>
    <s v="Card"/>
    <n v="2.9"/>
    <x v="0"/>
    <n v="140.82680000000002"/>
    <n v="4"/>
    <x v="0"/>
  </r>
  <r>
    <n v="1985"/>
    <n v="52"/>
    <x v="0"/>
    <x v="1"/>
    <x v="2"/>
    <s v="Dumbbells"/>
    <n v="46.83"/>
    <x v="2"/>
    <s v="Card"/>
    <n v="3.7"/>
    <x v="10"/>
    <n v="36.5274"/>
    <n v="6"/>
    <x v="0"/>
  </r>
  <r>
    <n v="1986"/>
    <n v="38"/>
    <x v="0"/>
    <x v="1"/>
    <x v="2"/>
    <s v="Football"/>
    <n v="61.79"/>
    <x v="0"/>
    <s v="Card"/>
    <n v="2.9"/>
    <x v="24"/>
    <n v="44.488799999999998"/>
    <n v="9"/>
    <x v="2"/>
  </r>
  <r>
    <n v="1987"/>
    <n v="25"/>
    <x v="2"/>
    <x v="1"/>
    <x v="1"/>
    <s v="Jacket"/>
    <n v="111.92"/>
    <x v="0"/>
    <s v="Card"/>
    <n v="4.3"/>
    <x v="21"/>
    <n v="88.416800000000009"/>
    <n v="8"/>
    <x v="2"/>
  </r>
  <r>
    <n v="1988"/>
    <n v="56"/>
    <x v="0"/>
    <x v="1"/>
    <x v="5"/>
    <s v="Laptop"/>
    <n v="1616.64"/>
    <x v="3"/>
    <s v="Card"/>
    <n v="4.2"/>
    <x v="6"/>
    <n v="1357.9775999999999"/>
    <n v="3"/>
    <x v="1"/>
  </r>
  <r>
    <n v="1989"/>
    <n v="48"/>
    <x v="0"/>
    <x v="1"/>
    <x v="2"/>
    <s v="Yoga Mat"/>
    <n v="217.52"/>
    <x v="3"/>
    <s v="Card"/>
    <n v="4.5"/>
    <x v="10"/>
    <n v="169.66560000000001"/>
    <n v="6"/>
    <x v="0"/>
  </r>
  <r>
    <n v="1990"/>
    <n v="64"/>
    <x v="1"/>
    <x v="1"/>
    <x v="2"/>
    <s v="Yoga Mat"/>
    <n v="162.80000000000001"/>
    <x v="1"/>
    <s v="Card"/>
    <n v="4.9000000000000004"/>
    <x v="0"/>
    <n v="133.49600000000001"/>
    <n v="4"/>
    <x v="0"/>
  </r>
  <r>
    <n v="1991"/>
    <n v="22"/>
    <x v="2"/>
    <x v="1"/>
    <x v="1"/>
    <s v="Jacket"/>
    <n v="65.02"/>
    <x v="3"/>
    <s v="Card"/>
    <n v="3.9"/>
    <x v="6"/>
    <n v="54.616799999999998"/>
    <n v="3"/>
    <x v="1"/>
  </r>
  <r>
    <n v="1992"/>
    <n v="36"/>
    <x v="0"/>
    <x v="1"/>
    <x v="7"/>
    <s v="Formal Shoes"/>
    <n v="138.44999999999999"/>
    <x v="3"/>
    <s v="Card"/>
    <n v="3.2"/>
    <x v="3"/>
    <n v="110.75999999999999"/>
    <n v="5"/>
    <x v="0"/>
  </r>
  <r>
    <n v="1993"/>
    <n v="45"/>
    <x v="0"/>
    <x v="0"/>
    <x v="2"/>
    <s v="Football"/>
    <n v="184.55"/>
    <x v="1"/>
    <s v="Card"/>
    <n v="4.2"/>
    <x v="5"/>
    <n v="169.78600000000003"/>
    <n v="4"/>
    <x v="0"/>
  </r>
  <r>
    <n v="1994"/>
    <n v="33"/>
    <x v="0"/>
    <x v="0"/>
    <x v="8"/>
    <s v="Top"/>
    <n v="109.48"/>
    <x v="1"/>
    <s v="Card"/>
    <n v="3.8"/>
    <x v="8"/>
    <n v="96.342399999999998"/>
    <n v="6"/>
    <x v="0"/>
  </r>
  <r>
    <n v="1995"/>
    <n v="59"/>
    <x v="0"/>
    <x v="0"/>
    <x v="8"/>
    <s v="Jeans"/>
    <n v="147.63"/>
    <x v="2"/>
    <s v="Card"/>
    <n v="5"/>
    <x v="14"/>
    <n v="122.53289999999998"/>
    <n v="6"/>
    <x v="0"/>
  </r>
  <r>
    <n v="1996"/>
    <n v="49"/>
    <x v="0"/>
    <x v="1"/>
    <x v="1"/>
    <s v="Shirt"/>
    <n v="176.47"/>
    <x v="3"/>
    <s v="Card"/>
    <n v="3.2"/>
    <x v="0"/>
    <n v="144.7054"/>
    <n v="4"/>
    <x v="0"/>
  </r>
  <r>
    <n v="1997"/>
    <n v="36"/>
    <x v="0"/>
    <x v="1"/>
    <x v="5"/>
    <s v="Mobile Phone"/>
    <n v="1270.98"/>
    <x v="1"/>
    <s v="Card"/>
    <n v="5"/>
    <x v="8"/>
    <n v="1118.4624000000001"/>
    <n v="6"/>
    <x v="0"/>
  </r>
  <r>
    <n v="1998"/>
    <n v="59"/>
    <x v="0"/>
    <x v="1"/>
    <x v="2"/>
    <s v="Football"/>
    <n v="158.36000000000001"/>
    <x v="3"/>
    <s v="Card"/>
    <n v="4.0999999999999996"/>
    <x v="21"/>
    <n v="125.10440000000001"/>
    <n v="8"/>
    <x v="2"/>
  </r>
  <r>
    <n v="1999"/>
    <n v="47"/>
    <x v="0"/>
    <x v="1"/>
    <x v="2"/>
    <s v="Football"/>
    <n v="25.96"/>
    <x v="2"/>
    <s v="Cash on Delivery"/>
    <n v="3.5"/>
    <x v="18"/>
    <n v="19.729600000000001"/>
    <n v="7"/>
    <x v="0"/>
  </r>
  <r>
    <n v="2000"/>
    <n v="45"/>
    <x v="0"/>
    <x v="0"/>
    <x v="7"/>
    <s v="Formal Shoes"/>
    <n v="219.08"/>
    <x v="1"/>
    <s v="Card"/>
    <n v="3.9"/>
    <x v="27"/>
    <n v="164.31"/>
    <n v="10"/>
    <x v="2"/>
  </r>
  <r>
    <n v="2001"/>
    <n v="44"/>
    <x v="0"/>
    <x v="1"/>
    <x v="2"/>
    <s v="Yoga Mat"/>
    <n v="216.53"/>
    <x v="1"/>
    <s v="Card"/>
    <n v="3.4"/>
    <x v="15"/>
    <n v="212.1994"/>
    <n v="1"/>
    <x v="1"/>
  </r>
  <r>
    <n v="2002"/>
    <n v="58"/>
    <x v="0"/>
    <x v="1"/>
    <x v="2"/>
    <s v="Yoga Mat"/>
    <n v="155.38999999999999"/>
    <x v="2"/>
    <s v="Card"/>
    <n v="3.5"/>
    <x v="21"/>
    <n v="122.7581"/>
    <n v="8"/>
    <x v="2"/>
  </r>
  <r>
    <n v="2003"/>
    <n v="65"/>
    <x v="1"/>
    <x v="1"/>
    <x v="7"/>
    <s v="Sandals"/>
    <n v="178.96"/>
    <x v="2"/>
    <s v="Card"/>
    <n v="3.1"/>
    <x v="6"/>
    <n v="150.32640000000001"/>
    <n v="3"/>
    <x v="1"/>
  </r>
  <r>
    <n v="2004"/>
    <n v="50"/>
    <x v="0"/>
    <x v="1"/>
    <x v="1"/>
    <s v="T-Shirt"/>
    <n v="156.35"/>
    <x v="2"/>
    <s v="Card"/>
    <n v="3.1"/>
    <x v="13"/>
    <n v="142.27850000000001"/>
    <n v="2"/>
    <x v="1"/>
  </r>
  <r>
    <n v="2005"/>
    <n v="32"/>
    <x v="0"/>
    <x v="0"/>
    <x v="4"/>
    <s v="Cooking Oil"/>
    <n v="30.91"/>
    <x v="1"/>
    <s v="Card"/>
    <n v="3.4"/>
    <x v="4"/>
    <n v="26.582599999999999"/>
    <n v="2"/>
    <x v="1"/>
  </r>
  <r>
    <n v="2006"/>
    <n v="33"/>
    <x v="0"/>
    <x v="0"/>
    <x v="4"/>
    <s v="Beverages"/>
    <n v="33.28"/>
    <x v="0"/>
    <s v="Card"/>
    <n v="4.2"/>
    <x v="5"/>
    <n v="30.617600000000003"/>
    <n v="4"/>
    <x v="0"/>
  </r>
  <r>
    <n v="2007"/>
    <n v="41"/>
    <x v="0"/>
    <x v="0"/>
    <x v="4"/>
    <s v="Snacks"/>
    <n v="14.36"/>
    <x v="2"/>
    <s v="Cash on Delivery"/>
    <n v="3.6"/>
    <x v="19"/>
    <n v="12.206"/>
    <n v="5"/>
    <x v="0"/>
  </r>
  <r>
    <n v="2008"/>
    <n v="60"/>
    <x v="0"/>
    <x v="1"/>
    <x v="2"/>
    <s v="Football"/>
    <n v="164.7"/>
    <x v="3"/>
    <s v="Card"/>
    <n v="4.8"/>
    <x v="11"/>
    <n v="121.87799999999999"/>
    <n v="8"/>
    <x v="2"/>
  </r>
  <r>
    <n v="2009"/>
    <n v="54"/>
    <x v="0"/>
    <x v="1"/>
    <x v="2"/>
    <s v="Dumbbells"/>
    <n v="156.24"/>
    <x v="3"/>
    <s v="Card"/>
    <n v="4.5999999999999996"/>
    <x v="6"/>
    <n v="131.24160000000001"/>
    <n v="3"/>
    <x v="1"/>
  </r>
  <r>
    <n v="2010"/>
    <n v="34"/>
    <x v="0"/>
    <x v="0"/>
    <x v="8"/>
    <s v="Skirt"/>
    <n v="153.01"/>
    <x v="3"/>
    <s v="Card"/>
    <n v="3.8"/>
    <x v="1"/>
    <n v="133.11869999999999"/>
    <n v="4"/>
    <x v="0"/>
  </r>
  <r>
    <n v="2011"/>
    <n v="46"/>
    <x v="0"/>
    <x v="0"/>
    <x v="7"/>
    <s v="Sandals"/>
    <n v="120.06"/>
    <x v="0"/>
    <s v="Card"/>
    <n v="4.0999999999999996"/>
    <x v="16"/>
    <n v="112.85639999999999"/>
    <n v="3"/>
    <x v="1"/>
  </r>
  <r>
    <n v="2012"/>
    <n v="38"/>
    <x v="0"/>
    <x v="0"/>
    <x v="8"/>
    <s v="Top"/>
    <n v="162.6"/>
    <x v="3"/>
    <s v="Card"/>
    <n v="4.4000000000000004"/>
    <x v="11"/>
    <n v="120.324"/>
    <n v="8"/>
    <x v="2"/>
  </r>
  <r>
    <n v="2013"/>
    <n v="51"/>
    <x v="0"/>
    <x v="0"/>
    <x v="6"/>
    <s v="Perfume"/>
    <n v="89.47"/>
    <x v="1"/>
    <s v="Card"/>
    <n v="3.6"/>
    <x v="7"/>
    <n v="80.522999999999996"/>
    <n v="5"/>
    <x v="0"/>
  </r>
  <r>
    <n v="2014"/>
    <n v="20"/>
    <x v="2"/>
    <x v="0"/>
    <x v="7"/>
    <s v="Sneakers"/>
    <n v="88.2"/>
    <x v="2"/>
    <s v="Cash on Delivery"/>
    <n v="3.4"/>
    <x v="14"/>
    <n v="73.206000000000003"/>
    <n v="6"/>
    <x v="0"/>
  </r>
  <r>
    <n v="2015"/>
    <n v="35"/>
    <x v="0"/>
    <x v="1"/>
    <x v="7"/>
    <s v="Sandals"/>
    <n v="199.05"/>
    <x v="2"/>
    <s v="Card"/>
    <n v="3.4"/>
    <x v="7"/>
    <n v="179.14500000000001"/>
    <n v="5"/>
    <x v="0"/>
  </r>
  <r>
    <n v="2016"/>
    <n v="57"/>
    <x v="0"/>
    <x v="1"/>
    <x v="3"/>
    <s v="Curtains"/>
    <n v="97.73"/>
    <x v="2"/>
    <s v="Cash on Delivery"/>
    <n v="4.0999999999999996"/>
    <x v="8"/>
    <n v="86.002400000000009"/>
    <n v="6"/>
    <x v="0"/>
  </r>
  <r>
    <n v="2017"/>
    <n v="35"/>
    <x v="0"/>
    <x v="1"/>
    <x v="4"/>
    <s v="Cooking Oil"/>
    <n v="21.46"/>
    <x v="3"/>
    <s v="Cash on Delivery"/>
    <n v="3.7"/>
    <x v="5"/>
    <n v="19.743200000000002"/>
    <n v="4"/>
    <x v="0"/>
  </r>
  <r>
    <n v="2018"/>
    <n v="51"/>
    <x v="0"/>
    <x v="0"/>
    <x v="8"/>
    <s v="Top"/>
    <n v="196.16"/>
    <x v="0"/>
    <s v="Card"/>
    <n v="3.4"/>
    <x v="3"/>
    <n v="156.928"/>
    <n v="5"/>
    <x v="0"/>
  </r>
  <r>
    <n v="2019"/>
    <n v="45"/>
    <x v="0"/>
    <x v="0"/>
    <x v="6"/>
    <s v="Skincare Kit"/>
    <n v="89.54"/>
    <x v="1"/>
    <s v="Cash on Delivery"/>
    <n v="4.5999999999999996"/>
    <x v="3"/>
    <n v="71.632000000000005"/>
    <n v="5"/>
    <x v="0"/>
  </r>
  <r>
    <n v="2020"/>
    <n v="48"/>
    <x v="0"/>
    <x v="1"/>
    <x v="7"/>
    <s v="Sneakers"/>
    <n v="65.63"/>
    <x v="0"/>
    <s v="Card"/>
    <n v="3.4"/>
    <x v="3"/>
    <n v="52.503999999999998"/>
    <n v="5"/>
    <x v="0"/>
  </r>
  <r>
    <n v="2021"/>
    <n v="29"/>
    <x v="2"/>
    <x v="1"/>
    <x v="4"/>
    <s v="Cooking Oil"/>
    <n v="50.38"/>
    <x v="0"/>
    <s v="Cash on Delivery"/>
    <n v="4.5"/>
    <x v="8"/>
    <n v="44.334400000000002"/>
    <n v="6"/>
    <x v="0"/>
  </r>
  <r>
    <n v="2022"/>
    <n v="58"/>
    <x v="0"/>
    <x v="1"/>
    <x v="4"/>
    <s v="Snacks"/>
    <n v="10.55"/>
    <x v="0"/>
    <s v="Card"/>
    <n v="4.2"/>
    <x v="6"/>
    <n v="8.8620000000000001"/>
    <n v="3"/>
    <x v="1"/>
  </r>
  <r>
    <n v="2023"/>
    <n v="22"/>
    <x v="2"/>
    <x v="0"/>
    <x v="4"/>
    <s v="Rice Pack"/>
    <n v="9.68"/>
    <x v="3"/>
    <s v="Cash on Delivery"/>
    <n v="4.4000000000000004"/>
    <x v="0"/>
    <n v="7.9376000000000007"/>
    <n v="4"/>
    <x v="0"/>
  </r>
  <r>
    <n v="2024"/>
    <n v="69"/>
    <x v="1"/>
    <x v="0"/>
    <x v="3"/>
    <s v="Kitchen Set"/>
    <n v="58.08"/>
    <x v="0"/>
    <s v="Cash on Delivery"/>
    <n v="3.3"/>
    <x v="3"/>
    <n v="46.463999999999999"/>
    <n v="5"/>
    <x v="0"/>
  </r>
  <r>
    <n v="2025"/>
    <n v="50"/>
    <x v="0"/>
    <x v="1"/>
    <x v="7"/>
    <s v="Sneakers"/>
    <n v="87.66"/>
    <x v="2"/>
    <s v="Card"/>
    <n v="3"/>
    <x v="6"/>
    <n v="73.634399999999999"/>
    <n v="3"/>
    <x v="1"/>
  </r>
  <r>
    <n v="2026"/>
    <n v="58"/>
    <x v="0"/>
    <x v="1"/>
    <x v="5"/>
    <s v="Laptop"/>
    <n v="715.45"/>
    <x v="0"/>
    <s v="Card"/>
    <n v="3.3"/>
    <x v="3"/>
    <n v="572.36"/>
    <n v="5"/>
    <x v="0"/>
  </r>
  <r>
    <n v="2027"/>
    <n v="30"/>
    <x v="2"/>
    <x v="0"/>
    <x v="0"/>
    <s v="Wallet"/>
    <n v="96.49"/>
    <x v="2"/>
    <s v="Cash on Delivery"/>
    <n v="4.7"/>
    <x v="28"/>
    <n v="68.507899999999992"/>
    <n v="12"/>
    <x v="2"/>
  </r>
  <r>
    <n v="2028"/>
    <n v="25"/>
    <x v="2"/>
    <x v="0"/>
    <x v="0"/>
    <s v="Wallet"/>
    <n v="152.71"/>
    <x v="2"/>
    <s v="Card"/>
    <n v="3.8"/>
    <x v="0"/>
    <n v="125.22220000000002"/>
    <n v="4"/>
    <x v="0"/>
  </r>
  <r>
    <n v="2029"/>
    <n v="51"/>
    <x v="0"/>
    <x v="0"/>
    <x v="0"/>
    <s v="Handbag"/>
    <n v="72.38"/>
    <x v="1"/>
    <s v="Cash on Delivery"/>
    <n v="5"/>
    <x v="2"/>
    <n v="64.418199999999999"/>
    <n v="3"/>
    <x v="1"/>
  </r>
  <r>
    <n v="2030"/>
    <n v="46"/>
    <x v="0"/>
    <x v="0"/>
    <x v="0"/>
    <s v="Wallet"/>
    <n v="67.510000000000005"/>
    <x v="2"/>
    <s v="Cash on Delivery"/>
    <n v="3.8"/>
    <x v="1"/>
    <n v="58.733700000000006"/>
    <n v="4"/>
    <x v="0"/>
  </r>
  <r>
    <n v="2031"/>
    <n v="54"/>
    <x v="0"/>
    <x v="0"/>
    <x v="3"/>
    <s v="Lamp"/>
    <n v="174.89"/>
    <x v="3"/>
    <s v="Card"/>
    <n v="4.2"/>
    <x v="2"/>
    <n v="155.65209999999999"/>
    <n v="3"/>
    <x v="1"/>
  </r>
  <r>
    <n v="2032"/>
    <n v="27"/>
    <x v="2"/>
    <x v="1"/>
    <x v="2"/>
    <s v="Yoga Mat"/>
    <n v="96.73"/>
    <x v="2"/>
    <s v="Card"/>
    <n v="2.6"/>
    <x v="13"/>
    <n v="88.024300000000011"/>
    <n v="2"/>
    <x v="1"/>
  </r>
  <r>
    <n v="2033"/>
    <n v="63"/>
    <x v="1"/>
    <x v="1"/>
    <x v="1"/>
    <s v="Shirt"/>
    <n v="68.14"/>
    <x v="3"/>
    <s v="Card"/>
    <n v="5"/>
    <x v="12"/>
    <n v="55.193400000000004"/>
    <n v="7"/>
    <x v="0"/>
  </r>
  <r>
    <n v="2034"/>
    <n v="66"/>
    <x v="1"/>
    <x v="0"/>
    <x v="7"/>
    <s v="Sandals"/>
    <n v="54.49"/>
    <x v="0"/>
    <s v="Card"/>
    <n v="4.8"/>
    <x v="17"/>
    <n v="52.310400000000001"/>
    <n v="2"/>
    <x v="1"/>
  </r>
  <r>
    <n v="2035"/>
    <n v="70"/>
    <x v="1"/>
    <x v="1"/>
    <x v="5"/>
    <s v="Laptop"/>
    <n v="896.45"/>
    <x v="3"/>
    <s v="Card"/>
    <n v="4.4000000000000004"/>
    <x v="19"/>
    <n v="761.98250000000007"/>
    <n v="5"/>
    <x v="0"/>
  </r>
  <r>
    <n v="2036"/>
    <n v="60"/>
    <x v="0"/>
    <x v="0"/>
    <x v="0"/>
    <s v="Wallet"/>
    <n v="129.05000000000001"/>
    <x v="3"/>
    <s v="Card"/>
    <n v="2.5"/>
    <x v="8"/>
    <n v="113.56400000000001"/>
    <n v="6"/>
    <x v="0"/>
  </r>
  <r>
    <n v="2037"/>
    <n v="57"/>
    <x v="0"/>
    <x v="1"/>
    <x v="4"/>
    <s v="Cooking Oil"/>
    <n v="74.010000000000005"/>
    <x v="1"/>
    <s v="Card"/>
    <n v="2.7"/>
    <x v="3"/>
    <n v="59.208000000000006"/>
    <n v="5"/>
    <x v="0"/>
  </r>
  <r>
    <n v="2038"/>
    <n v="47"/>
    <x v="0"/>
    <x v="0"/>
    <x v="4"/>
    <s v="Cooking Oil"/>
    <n v="28.94"/>
    <x v="2"/>
    <s v="Card"/>
    <n v="4.2"/>
    <x v="7"/>
    <n v="26.046000000000003"/>
    <n v="5"/>
    <x v="0"/>
  </r>
  <r>
    <n v="2039"/>
    <n v="60"/>
    <x v="0"/>
    <x v="1"/>
    <x v="1"/>
    <s v="Jeans"/>
    <n v="97.47"/>
    <x v="2"/>
    <s v="Cash on Delivery"/>
    <n v="4.4000000000000004"/>
    <x v="13"/>
    <n v="88.697699999999998"/>
    <n v="2"/>
    <x v="1"/>
  </r>
  <r>
    <n v="2040"/>
    <n v="59"/>
    <x v="0"/>
    <x v="0"/>
    <x v="7"/>
    <s v="Sneakers"/>
    <n v="145.79"/>
    <x v="3"/>
    <s v="Card"/>
    <n v="4"/>
    <x v="14"/>
    <n v="121.00569999999999"/>
    <n v="6"/>
    <x v="0"/>
  </r>
  <r>
    <n v="2041"/>
    <n v="54"/>
    <x v="0"/>
    <x v="0"/>
    <x v="3"/>
    <s v="Lamp"/>
    <n v="39.020000000000003"/>
    <x v="0"/>
    <s v="Card"/>
    <n v="3.5"/>
    <x v="14"/>
    <n v="32.386600000000001"/>
    <n v="6"/>
    <x v="0"/>
  </r>
  <r>
    <n v="2042"/>
    <n v="49"/>
    <x v="0"/>
    <x v="1"/>
    <x v="2"/>
    <s v="Yoga Mat"/>
    <n v="186.01"/>
    <x v="2"/>
    <s v="Card"/>
    <n v="4.3"/>
    <x v="0"/>
    <n v="152.5282"/>
    <n v="4"/>
    <x v="0"/>
  </r>
  <r>
    <n v="2043"/>
    <n v="67"/>
    <x v="1"/>
    <x v="1"/>
    <x v="7"/>
    <s v="Sneakers"/>
    <n v="58.17"/>
    <x v="3"/>
    <s v="Card"/>
    <n v="4.9000000000000004"/>
    <x v="19"/>
    <n v="49.444499999999998"/>
    <n v="5"/>
    <x v="0"/>
  </r>
  <r>
    <n v="2044"/>
    <n v="69"/>
    <x v="1"/>
    <x v="1"/>
    <x v="7"/>
    <s v="Sneakers"/>
    <n v="173.95"/>
    <x v="3"/>
    <s v="Card"/>
    <n v="3.6"/>
    <x v="21"/>
    <n v="137.4205"/>
    <n v="8"/>
    <x v="2"/>
  </r>
  <r>
    <n v="2045"/>
    <n v="48"/>
    <x v="0"/>
    <x v="1"/>
    <x v="7"/>
    <s v="Sandals"/>
    <n v="249.92"/>
    <x v="0"/>
    <s v="Card"/>
    <n v="4.5"/>
    <x v="13"/>
    <n v="227.4272"/>
    <n v="2"/>
    <x v="1"/>
  </r>
  <r>
    <n v="2046"/>
    <n v="21"/>
    <x v="2"/>
    <x v="1"/>
    <x v="7"/>
    <s v="Sneakers"/>
    <n v="96.58"/>
    <x v="0"/>
    <s v="Card"/>
    <n v="2.2000000000000002"/>
    <x v="16"/>
    <n v="90.785199999999989"/>
    <n v="3"/>
    <x v="1"/>
  </r>
  <r>
    <n v="2047"/>
    <n v="33"/>
    <x v="0"/>
    <x v="1"/>
    <x v="2"/>
    <s v="Football"/>
    <n v="80.86"/>
    <x v="2"/>
    <s v="Card"/>
    <n v="4.5"/>
    <x v="5"/>
    <n v="74.391199999999998"/>
    <n v="4"/>
    <x v="0"/>
  </r>
  <r>
    <n v="2048"/>
    <n v="37"/>
    <x v="0"/>
    <x v="1"/>
    <x v="1"/>
    <s v="Shirt"/>
    <n v="50.27"/>
    <x v="3"/>
    <s v="Card"/>
    <n v="3"/>
    <x v="7"/>
    <n v="45.243000000000002"/>
    <n v="5"/>
    <x v="0"/>
  </r>
  <r>
    <n v="2049"/>
    <n v="24"/>
    <x v="2"/>
    <x v="0"/>
    <x v="6"/>
    <s v="Makeup Set"/>
    <n v="34.42"/>
    <x v="0"/>
    <s v="Cash on Delivery"/>
    <n v="4.5"/>
    <x v="14"/>
    <n v="28.5686"/>
    <n v="6"/>
    <x v="0"/>
  </r>
  <r>
    <n v="2050"/>
    <n v="34"/>
    <x v="0"/>
    <x v="0"/>
    <x v="6"/>
    <s v="Makeup Set"/>
    <n v="49.63"/>
    <x v="3"/>
    <s v="Card"/>
    <n v="3.7"/>
    <x v="12"/>
    <n v="40.200300000000006"/>
    <n v="7"/>
    <x v="0"/>
  </r>
  <r>
    <n v="2051"/>
    <n v="25"/>
    <x v="2"/>
    <x v="0"/>
    <x v="3"/>
    <s v="Curtains"/>
    <n v="219.43"/>
    <x v="1"/>
    <s v="Card"/>
    <n v="2.9"/>
    <x v="3"/>
    <n v="175.54400000000001"/>
    <n v="5"/>
    <x v="0"/>
  </r>
  <r>
    <n v="2052"/>
    <n v="69"/>
    <x v="1"/>
    <x v="1"/>
    <x v="7"/>
    <s v="Sneakers"/>
    <n v="145.47999999999999"/>
    <x v="0"/>
    <s v="Card"/>
    <n v="3.7"/>
    <x v="1"/>
    <n v="126.56759999999998"/>
    <n v="4"/>
    <x v="0"/>
  </r>
  <r>
    <n v="2053"/>
    <n v="64"/>
    <x v="1"/>
    <x v="0"/>
    <x v="7"/>
    <s v="Sandals"/>
    <n v="194.52"/>
    <x v="3"/>
    <s v="Card"/>
    <n v="4.0999999999999996"/>
    <x v="5"/>
    <n v="178.95840000000001"/>
    <n v="4"/>
    <x v="0"/>
  </r>
  <r>
    <n v="2054"/>
    <n v="65"/>
    <x v="1"/>
    <x v="1"/>
    <x v="7"/>
    <s v="Sneakers"/>
    <n v="230.37"/>
    <x v="1"/>
    <s v="Card"/>
    <n v="2.6"/>
    <x v="13"/>
    <n v="209.63670000000002"/>
    <n v="2"/>
    <x v="1"/>
  </r>
  <r>
    <n v="2055"/>
    <n v="45"/>
    <x v="0"/>
    <x v="1"/>
    <x v="7"/>
    <s v="Sandals"/>
    <n v="60.13"/>
    <x v="1"/>
    <s v="Card"/>
    <n v="2.8"/>
    <x v="12"/>
    <n v="48.705300000000008"/>
    <n v="7"/>
    <x v="0"/>
  </r>
  <r>
    <n v="2056"/>
    <n v="64"/>
    <x v="1"/>
    <x v="1"/>
    <x v="2"/>
    <s v="Dumbbells"/>
    <n v="34.24"/>
    <x v="2"/>
    <s v="Card"/>
    <n v="4"/>
    <x v="6"/>
    <n v="28.761600000000001"/>
    <n v="8"/>
    <x v="2"/>
  </r>
  <r>
    <n v="2057"/>
    <n v="60"/>
    <x v="0"/>
    <x v="1"/>
    <x v="1"/>
    <s v="Jacket"/>
    <n v="167.44"/>
    <x v="2"/>
    <s v="Card"/>
    <n v="3.9"/>
    <x v="0"/>
    <n v="137.30080000000001"/>
    <n v="4"/>
    <x v="0"/>
  </r>
  <r>
    <n v="2058"/>
    <n v="24"/>
    <x v="2"/>
    <x v="0"/>
    <x v="6"/>
    <s v="Makeup Set"/>
    <n v="115.74"/>
    <x v="1"/>
    <s v="Card"/>
    <n v="3.2"/>
    <x v="4"/>
    <n v="99.5364"/>
    <n v="2"/>
    <x v="1"/>
  </r>
  <r>
    <n v="2059"/>
    <n v="54"/>
    <x v="0"/>
    <x v="0"/>
    <x v="7"/>
    <s v="Sandals"/>
    <n v="62.32"/>
    <x v="3"/>
    <s v="Cash on Delivery"/>
    <n v="3.2"/>
    <x v="0"/>
    <n v="51.102400000000003"/>
    <n v="4"/>
    <x v="0"/>
  </r>
  <r>
    <n v="2060"/>
    <n v="22"/>
    <x v="2"/>
    <x v="0"/>
    <x v="4"/>
    <s v="Cooking Oil"/>
    <n v="63.29"/>
    <x v="1"/>
    <s v="Card"/>
    <n v="4.3"/>
    <x v="1"/>
    <n v="55.0623"/>
    <n v="4"/>
    <x v="0"/>
  </r>
  <r>
    <n v="2061"/>
    <n v="34"/>
    <x v="0"/>
    <x v="0"/>
    <x v="0"/>
    <s v="Wallet"/>
    <n v="32.61"/>
    <x v="3"/>
    <s v="Cash on Delivery"/>
    <n v="3.4"/>
    <x v="10"/>
    <n v="25.4358"/>
    <n v="6"/>
    <x v="0"/>
  </r>
  <r>
    <n v="2062"/>
    <n v="51"/>
    <x v="0"/>
    <x v="0"/>
    <x v="3"/>
    <s v="Lamp"/>
    <n v="108.64"/>
    <x v="1"/>
    <s v="Card"/>
    <n v="2.8"/>
    <x v="8"/>
    <n v="95.603200000000001"/>
    <n v="6"/>
    <x v="0"/>
  </r>
  <r>
    <n v="2063"/>
    <n v="36"/>
    <x v="0"/>
    <x v="1"/>
    <x v="1"/>
    <s v="T-Shirt"/>
    <n v="193.29"/>
    <x v="3"/>
    <s v="Card"/>
    <n v="3.3"/>
    <x v="3"/>
    <n v="154.63200000000001"/>
    <n v="5"/>
    <x v="0"/>
  </r>
  <r>
    <n v="2064"/>
    <n v="45"/>
    <x v="0"/>
    <x v="1"/>
    <x v="1"/>
    <s v="Jacket"/>
    <n v="58.73"/>
    <x v="3"/>
    <s v="Cash on Delivery"/>
    <n v="3.9"/>
    <x v="4"/>
    <n v="50.507799999999996"/>
    <n v="7"/>
    <x v="0"/>
  </r>
  <r>
    <n v="2065"/>
    <n v="55"/>
    <x v="0"/>
    <x v="0"/>
    <x v="7"/>
    <s v="Formal Shoes"/>
    <n v="178.52"/>
    <x v="0"/>
    <s v="Card"/>
    <n v="3.8"/>
    <x v="2"/>
    <n v="158.8828"/>
    <n v="3"/>
    <x v="1"/>
  </r>
  <r>
    <n v="2066"/>
    <n v="29"/>
    <x v="2"/>
    <x v="1"/>
    <x v="5"/>
    <s v="Smart Watch"/>
    <n v="636.49"/>
    <x v="3"/>
    <s v="Card"/>
    <n v="3.7"/>
    <x v="8"/>
    <n v="560.11120000000005"/>
    <n v="6"/>
    <x v="0"/>
  </r>
  <r>
    <n v="2067"/>
    <n v="46"/>
    <x v="0"/>
    <x v="0"/>
    <x v="6"/>
    <s v="Skincare Kit"/>
    <n v="86.93"/>
    <x v="1"/>
    <s v="Cash on Delivery"/>
    <n v="2.6"/>
    <x v="1"/>
    <n v="75.629100000000008"/>
    <n v="4"/>
    <x v="0"/>
  </r>
  <r>
    <n v="2068"/>
    <n v="63"/>
    <x v="1"/>
    <x v="1"/>
    <x v="1"/>
    <s v="Jeans"/>
    <n v="101.13"/>
    <x v="2"/>
    <s v="Card"/>
    <n v="3.7"/>
    <x v="18"/>
    <n v="76.858800000000002"/>
    <n v="7"/>
    <x v="0"/>
  </r>
  <r>
    <n v="2069"/>
    <n v="42"/>
    <x v="0"/>
    <x v="1"/>
    <x v="3"/>
    <s v="Kitchen Set"/>
    <n v="143.76"/>
    <x v="3"/>
    <s v="Card"/>
    <n v="3.8"/>
    <x v="4"/>
    <n v="123.63359999999999"/>
    <n v="7"/>
    <x v="0"/>
  </r>
  <r>
    <n v="2070"/>
    <n v="42"/>
    <x v="0"/>
    <x v="1"/>
    <x v="3"/>
    <s v="Kitchen Set"/>
    <n v="204.7"/>
    <x v="1"/>
    <s v="Card"/>
    <n v="4.2"/>
    <x v="3"/>
    <n v="163.76"/>
    <n v="5"/>
    <x v="0"/>
  </r>
  <r>
    <n v="2071"/>
    <n v="54"/>
    <x v="0"/>
    <x v="0"/>
    <x v="6"/>
    <s v="Skincare Kit"/>
    <n v="78.61"/>
    <x v="1"/>
    <s v="Card"/>
    <n v="4.5999999999999996"/>
    <x v="1"/>
    <n v="68.390699999999995"/>
    <n v="4"/>
    <x v="0"/>
  </r>
  <r>
    <n v="2072"/>
    <n v="43"/>
    <x v="0"/>
    <x v="1"/>
    <x v="5"/>
    <s v="Mobile Phone"/>
    <n v="2249.9499999999998"/>
    <x v="1"/>
    <s v="Card"/>
    <n v="3.8"/>
    <x v="4"/>
    <n v="1934.9569999999999"/>
    <n v="2"/>
    <x v="1"/>
  </r>
  <r>
    <n v="2073"/>
    <n v="47"/>
    <x v="0"/>
    <x v="1"/>
    <x v="3"/>
    <s v="Lamp"/>
    <n v="129.09"/>
    <x v="3"/>
    <s v="Card"/>
    <n v="4"/>
    <x v="12"/>
    <n v="104.56290000000001"/>
    <n v="7"/>
    <x v="0"/>
  </r>
  <r>
    <n v="2074"/>
    <n v="36"/>
    <x v="0"/>
    <x v="1"/>
    <x v="5"/>
    <s v="Headphones"/>
    <n v="2297.54"/>
    <x v="0"/>
    <s v="Card"/>
    <n v="3.2"/>
    <x v="17"/>
    <n v="2205.6383999999998"/>
    <n v="2"/>
    <x v="1"/>
  </r>
  <r>
    <n v="2075"/>
    <n v="23"/>
    <x v="2"/>
    <x v="0"/>
    <x v="3"/>
    <s v="Curtains"/>
    <n v="219.81"/>
    <x v="1"/>
    <s v="Card"/>
    <n v="3.7"/>
    <x v="2"/>
    <n v="195.6309"/>
    <n v="3"/>
    <x v="1"/>
  </r>
  <r>
    <n v="2076"/>
    <n v="40"/>
    <x v="0"/>
    <x v="0"/>
    <x v="2"/>
    <s v="Dumbbells"/>
    <n v="211.71"/>
    <x v="1"/>
    <s v="Card"/>
    <n v="2.5"/>
    <x v="14"/>
    <n v="175.7193"/>
    <n v="6"/>
    <x v="0"/>
  </r>
  <r>
    <n v="2077"/>
    <n v="62"/>
    <x v="1"/>
    <x v="0"/>
    <x v="4"/>
    <s v="Snacks"/>
    <n v="65.47"/>
    <x v="2"/>
    <s v="Card"/>
    <n v="4.8"/>
    <x v="4"/>
    <n v="56.304200000000002"/>
    <n v="2"/>
    <x v="1"/>
  </r>
  <r>
    <n v="2078"/>
    <n v="21"/>
    <x v="2"/>
    <x v="1"/>
    <x v="5"/>
    <s v="Mobile Phone"/>
    <n v="854.78"/>
    <x v="2"/>
    <s v="Card"/>
    <n v="2.2999999999999998"/>
    <x v="1"/>
    <n v="743.65859999999998"/>
    <n v="4"/>
    <x v="0"/>
  </r>
  <r>
    <n v="2079"/>
    <n v="60"/>
    <x v="0"/>
    <x v="0"/>
    <x v="0"/>
    <s v="Handbag"/>
    <n v="177.57"/>
    <x v="1"/>
    <s v="Card"/>
    <n v="5"/>
    <x v="20"/>
    <n v="120.74759999999999"/>
    <n v="11"/>
    <x v="2"/>
  </r>
  <r>
    <n v="2080"/>
    <n v="45"/>
    <x v="0"/>
    <x v="0"/>
    <x v="0"/>
    <s v="Wallet"/>
    <n v="145.21"/>
    <x v="0"/>
    <s v="Card"/>
    <n v="3.1"/>
    <x v="14"/>
    <n v="120.5243"/>
    <n v="6"/>
    <x v="0"/>
  </r>
  <r>
    <n v="2081"/>
    <n v="30"/>
    <x v="2"/>
    <x v="1"/>
    <x v="7"/>
    <s v="Formal Shoes"/>
    <n v="162.9"/>
    <x v="1"/>
    <s v="Card"/>
    <n v="3.7"/>
    <x v="7"/>
    <n v="146.61000000000001"/>
    <n v="5"/>
    <x v="0"/>
  </r>
  <r>
    <n v="2082"/>
    <n v="31"/>
    <x v="0"/>
    <x v="1"/>
    <x v="7"/>
    <s v="Sandals"/>
    <n v="89.34"/>
    <x v="1"/>
    <s v="Cash on Delivery"/>
    <n v="3"/>
    <x v="16"/>
    <n v="83.979600000000005"/>
    <n v="3"/>
    <x v="1"/>
  </r>
  <r>
    <n v="2083"/>
    <n v="37"/>
    <x v="0"/>
    <x v="0"/>
    <x v="6"/>
    <s v="Skincare Kit"/>
    <n v="138.25"/>
    <x v="2"/>
    <s v="Card"/>
    <n v="4.5999999999999996"/>
    <x v="16"/>
    <n v="129.95499999999998"/>
    <n v="3"/>
    <x v="1"/>
  </r>
  <r>
    <n v="2084"/>
    <n v="62"/>
    <x v="1"/>
    <x v="1"/>
    <x v="2"/>
    <s v="Yoga Mat"/>
    <n v="99.57"/>
    <x v="1"/>
    <s v="Card"/>
    <n v="4.8"/>
    <x v="9"/>
    <n v="72.686099999999996"/>
    <n v="11"/>
    <x v="2"/>
  </r>
  <r>
    <n v="2085"/>
    <n v="56"/>
    <x v="0"/>
    <x v="0"/>
    <x v="0"/>
    <s v="Sunglasses"/>
    <n v="63.46"/>
    <x v="3"/>
    <s v="Cash on Delivery"/>
    <n v="3.5"/>
    <x v="1"/>
    <n v="55.2102"/>
    <n v="4"/>
    <x v="0"/>
  </r>
  <r>
    <n v="2086"/>
    <n v="21"/>
    <x v="2"/>
    <x v="1"/>
    <x v="2"/>
    <s v="Football"/>
    <n v="245.31"/>
    <x v="0"/>
    <s v="Card"/>
    <n v="4.7"/>
    <x v="19"/>
    <n v="208.51349999999999"/>
    <n v="5"/>
    <x v="0"/>
  </r>
  <r>
    <n v="2087"/>
    <n v="39"/>
    <x v="0"/>
    <x v="0"/>
    <x v="3"/>
    <s v="Kitchen Set"/>
    <n v="214"/>
    <x v="1"/>
    <s v="Card"/>
    <n v="4"/>
    <x v="18"/>
    <n v="162.64000000000001"/>
    <n v="7"/>
    <x v="0"/>
  </r>
  <r>
    <n v="2088"/>
    <n v="39"/>
    <x v="0"/>
    <x v="0"/>
    <x v="4"/>
    <s v="Rice Pack"/>
    <n v="16.440000000000001"/>
    <x v="0"/>
    <s v="Card"/>
    <n v="4.7"/>
    <x v="4"/>
    <n v="14.138400000000001"/>
    <n v="7"/>
    <x v="0"/>
  </r>
  <r>
    <n v="2089"/>
    <n v="37"/>
    <x v="0"/>
    <x v="0"/>
    <x v="8"/>
    <s v="Top"/>
    <n v="141.18"/>
    <x v="1"/>
    <s v="Card"/>
    <n v="3.9"/>
    <x v="3"/>
    <n v="112.94400000000002"/>
    <n v="5"/>
    <x v="0"/>
  </r>
  <r>
    <n v="2090"/>
    <n v="45"/>
    <x v="0"/>
    <x v="1"/>
    <x v="7"/>
    <s v="Sneakers"/>
    <n v="178.77"/>
    <x v="3"/>
    <s v="Card"/>
    <n v="4.2"/>
    <x v="8"/>
    <n v="157.3176"/>
    <n v="1"/>
    <x v="1"/>
  </r>
  <r>
    <n v="2091"/>
    <n v="30"/>
    <x v="2"/>
    <x v="1"/>
    <x v="7"/>
    <s v="Sandals"/>
    <n v="109.01"/>
    <x v="3"/>
    <s v="Card"/>
    <n v="2.5"/>
    <x v="3"/>
    <n v="87.208000000000013"/>
    <n v="5"/>
    <x v="0"/>
  </r>
  <r>
    <n v="2092"/>
    <n v="28"/>
    <x v="2"/>
    <x v="0"/>
    <x v="0"/>
    <s v="Wallet"/>
    <n v="167.86"/>
    <x v="1"/>
    <s v="Card"/>
    <n v="4.0999999999999996"/>
    <x v="8"/>
    <n v="147.71680000000001"/>
    <n v="6"/>
    <x v="0"/>
  </r>
  <r>
    <n v="2093"/>
    <n v="49"/>
    <x v="0"/>
    <x v="0"/>
    <x v="6"/>
    <s v="Skincare Kit"/>
    <n v="115.21"/>
    <x v="0"/>
    <s v="Card"/>
    <n v="3.4"/>
    <x v="13"/>
    <n v="104.8411"/>
    <n v="2"/>
    <x v="1"/>
  </r>
  <r>
    <n v="2094"/>
    <n v="61"/>
    <x v="1"/>
    <x v="0"/>
    <x v="7"/>
    <s v="Sandals"/>
    <n v="54"/>
    <x v="3"/>
    <s v="Card"/>
    <n v="2"/>
    <x v="1"/>
    <n v="46.98"/>
    <n v="4"/>
    <x v="0"/>
  </r>
  <r>
    <n v="2095"/>
    <n v="46"/>
    <x v="0"/>
    <x v="1"/>
    <x v="5"/>
    <s v="Laptop"/>
    <n v="2492.66"/>
    <x v="3"/>
    <s v="Card"/>
    <n v="3.3"/>
    <x v="8"/>
    <n v="2193.5407999999998"/>
    <n v="6"/>
    <x v="0"/>
  </r>
  <r>
    <n v="2096"/>
    <n v="64"/>
    <x v="1"/>
    <x v="0"/>
    <x v="6"/>
    <s v="Skincare Kit"/>
    <n v="124.33"/>
    <x v="1"/>
    <s v="Card"/>
    <n v="4"/>
    <x v="0"/>
    <n v="101.95060000000001"/>
    <n v="4"/>
    <x v="0"/>
  </r>
  <r>
    <n v="2097"/>
    <n v="69"/>
    <x v="1"/>
    <x v="0"/>
    <x v="2"/>
    <s v="Dumbbells"/>
    <n v="238.61"/>
    <x v="3"/>
    <s v="Card"/>
    <n v="5"/>
    <x v="0"/>
    <n v="195.66020000000003"/>
    <n v="4"/>
    <x v="0"/>
  </r>
  <r>
    <n v="2098"/>
    <n v="64"/>
    <x v="1"/>
    <x v="1"/>
    <x v="7"/>
    <s v="Sandals"/>
    <n v="93.33"/>
    <x v="0"/>
    <s v="Cash on Delivery"/>
    <n v="3.7"/>
    <x v="4"/>
    <n v="80.263800000000003"/>
    <n v="2"/>
    <x v="1"/>
  </r>
  <r>
    <n v="2099"/>
    <n v="54"/>
    <x v="0"/>
    <x v="1"/>
    <x v="4"/>
    <s v="Rice Pack"/>
    <n v="63.11"/>
    <x v="0"/>
    <s v="Cash on Delivery"/>
    <n v="5"/>
    <x v="18"/>
    <n v="47.9636"/>
    <n v="7"/>
    <x v="0"/>
  </r>
  <r>
    <n v="2100"/>
    <n v="35"/>
    <x v="0"/>
    <x v="1"/>
    <x v="1"/>
    <s v="Shirt"/>
    <n v="187.27"/>
    <x v="3"/>
    <s v="Card"/>
    <n v="4.4000000000000004"/>
    <x v="3"/>
    <n v="149.816"/>
    <n v="5"/>
    <x v="0"/>
  </r>
  <r>
    <n v="2101"/>
    <n v="62"/>
    <x v="1"/>
    <x v="0"/>
    <x v="7"/>
    <s v="Sandals"/>
    <n v="106.67"/>
    <x v="1"/>
    <s v="Card"/>
    <n v="3.3"/>
    <x v="6"/>
    <n v="89.602800000000002"/>
    <n v="8"/>
    <x v="2"/>
  </r>
  <r>
    <n v="2102"/>
    <n v="63"/>
    <x v="1"/>
    <x v="1"/>
    <x v="1"/>
    <s v="T-Shirt"/>
    <n v="52.94"/>
    <x v="1"/>
    <s v="Card"/>
    <n v="4.3"/>
    <x v="19"/>
    <n v="44.998999999999995"/>
    <n v="5"/>
    <x v="0"/>
  </r>
  <r>
    <n v="2103"/>
    <n v="56"/>
    <x v="0"/>
    <x v="1"/>
    <x v="1"/>
    <s v="T-Shirt"/>
    <n v="124.47"/>
    <x v="0"/>
    <s v="Card"/>
    <n v="3.6"/>
    <x v="8"/>
    <n v="109.53359999999999"/>
    <n v="6"/>
    <x v="0"/>
  </r>
  <r>
    <n v="2104"/>
    <n v="36"/>
    <x v="0"/>
    <x v="0"/>
    <x v="8"/>
    <s v="Dress"/>
    <n v="165.8"/>
    <x v="1"/>
    <s v="Card"/>
    <n v="3.5"/>
    <x v="10"/>
    <n v="129.32400000000001"/>
    <n v="6"/>
    <x v="0"/>
  </r>
  <r>
    <n v="2105"/>
    <n v="30"/>
    <x v="2"/>
    <x v="0"/>
    <x v="0"/>
    <s v="Handbag"/>
    <n v="103.79"/>
    <x v="0"/>
    <s v="Card"/>
    <n v="3.3"/>
    <x v="4"/>
    <n v="89.259399999999999"/>
    <n v="7"/>
    <x v="0"/>
  </r>
  <r>
    <n v="2106"/>
    <n v="20"/>
    <x v="2"/>
    <x v="1"/>
    <x v="5"/>
    <s v="Laptop"/>
    <n v="647.02"/>
    <x v="1"/>
    <s v="Card"/>
    <n v="3.5"/>
    <x v="7"/>
    <n v="582.31799999999998"/>
    <n v="5"/>
    <x v="0"/>
  </r>
  <r>
    <n v="2107"/>
    <n v="57"/>
    <x v="0"/>
    <x v="1"/>
    <x v="2"/>
    <s v="Dumbbells"/>
    <n v="70.3"/>
    <x v="1"/>
    <s v="Cash on Delivery"/>
    <n v="3.9"/>
    <x v="14"/>
    <n v="58.348999999999997"/>
    <n v="6"/>
    <x v="0"/>
  </r>
  <r>
    <n v="2108"/>
    <n v="38"/>
    <x v="0"/>
    <x v="1"/>
    <x v="5"/>
    <s v="Laptop"/>
    <n v="1795.05"/>
    <x v="2"/>
    <s v="Card"/>
    <n v="3.6"/>
    <x v="0"/>
    <n v="1471.941"/>
    <n v="4"/>
    <x v="0"/>
  </r>
  <r>
    <n v="2109"/>
    <n v="64"/>
    <x v="1"/>
    <x v="0"/>
    <x v="7"/>
    <s v="Formal Shoes"/>
    <n v="247.74"/>
    <x v="1"/>
    <s v="Card"/>
    <n v="3.6"/>
    <x v="12"/>
    <n v="200.66940000000002"/>
    <n v="7"/>
    <x v="0"/>
  </r>
  <r>
    <n v="2110"/>
    <n v="54"/>
    <x v="0"/>
    <x v="0"/>
    <x v="0"/>
    <s v="Wallet"/>
    <n v="161.25"/>
    <x v="3"/>
    <s v="Card"/>
    <n v="3.8"/>
    <x v="19"/>
    <n v="137.0625"/>
    <n v="5"/>
    <x v="0"/>
  </r>
  <r>
    <n v="2111"/>
    <n v="70"/>
    <x v="1"/>
    <x v="0"/>
    <x v="6"/>
    <s v="Skincare Kit"/>
    <n v="75.11"/>
    <x v="3"/>
    <s v="Cash on Delivery"/>
    <n v="4.2"/>
    <x v="6"/>
    <n v="63.092399999999998"/>
    <n v="3"/>
    <x v="1"/>
  </r>
  <r>
    <n v="2112"/>
    <n v="28"/>
    <x v="2"/>
    <x v="1"/>
    <x v="1"/>
    <s v="Shirt"/>
    <n v="47.83"/>
    <x v="2"/>
    <s v="Card"/>
    <n v="2.2000000000000002"/>
    <x v="6"/>
    <n v="40.177199999999999"/>
    <n v="3"/>
    <x v="1"/>
  </r>
  <r>
    <n v="2113"/>
    <n v="65"/>
    <x v="1"/>
    <x v="1"/>
    <x v="3"/>
    <s v="Kitchen Set"/>
    <n v="214.25"/>
    <x v="0"/>
    <s v="Card"/>
    <n v="3.1"/>
    <x v="13"/>
    <n v="194.9675"/>
    <n v="2"/>
    <x v="1"/>
  </r>
  <r>
    <n v="2114"/>
    <n v="42"/>
    <x v="0"/>
    <x v="1"/>
    <x v="7"/>
    <s v="Formal Shoes"/>
    <n v="246.94"/>
    <x v="0"/>
    <s v="Card"/>
    <n v="2.5"/>
    <x v="13"/>
    <n v="224.71540000000002"/>
    <n v="2"/>
    <x v="1"/>
  </r>
  <r>
    <n v="2115"/>
    <n v="65"/>
    <x v="1"/>
    <x v="0"/>
    <x v="8"/>
    <s v="Dress"/>
    <n v="32.9"/>
    <x v="2"/>
    <s v="Card"/>
    <n v="4.5999999999999996"/>
    <x v="6"/>
    <n v="27.635999999999999"/>
    <n v="3"/>
    <x v="1"/>
  </r>
  <r>
    <n v="2116"/>
    <n v="20"/>
    <x v="2"/>
    <x v="1"/>
    <x v="4"/>
    <s v="Snacks"/>
    <n v="53.05"/>
    <x v="1"/>
    <s v="Card"/>
    <n v="4.8"/>
    <x v="24"/>
    <n v="38.195999999999998"/>
    <n v="9"/>
    <x v="2"/>
  </r>
  <r>
    <n v="2117"/>
    <n v="68"/>
    <x v="1"/>
    <x v="1"/>
    <x v="1"/>
    <s v="Jacket"/>
    <n v="68.39"/>
    <x v="0"/>
    <s v="Cash on Delivery"/>
    <n v="4.0999999999999996"/>
    <x v="11"/>
    <n v="50.608600000000003"/>
    <n v="8"/>
    <x v="2"/>
  </r>
  <r>
    <n v="2118"/>
    <n v="49"/>
    <x v="0"/>
    <x v="1"/>
    <x v="1"/>
    <s v="Shirt"/>
    <n v="153.15"/>
    <x v="2"/>
    <s v="Card"/>
    <n v="3.1"/>
    <x v="5"/>
    <n v="140.89800000000002"/>
    <n v="4"/>
    <x v="0"/>
  </r>
  <r>
    <n v="2119"/>
    <n v="63"/>
    <x v="1"/>
    <x v="0"/>
    <x v="0"/>
    <s v="Handbag"/>
    <n v="50.16"/>
    <x v="2"/>
    <s v="Card"/>
    <n v="4.3"/>
    <x v="8"/>
    <n v="44.140799999999999"/>
    <n v="6"/>
    <x v="0"/>
  </r>
  <r>
    <n v="2120"/>
    <n v="30"/>
    <x v="2"/>
    <x v="1"/>
    <x v="7"/>
    <s v="Sandals"/>
    <n v="103.58"/>
    <x v="1"/>
    <s v="Card"/>
    <n v="4.5"/>
    <x v="19"/>
    <n v="88.042999999999992"/>
    <n v="5"/>
    <x v="0"/>
  </r>
  <r>
    <n v="2121"/>
    <n v="65"/>
    <x v="1"/>
    <x v="0"/>
    <x v="8"/>
    <s v="Top"/>
    <n v="159.66999999999999"/>
    <x v="0"/>
    <s v="Card"/>
    <n v="3.8"/>
    <x v="7"/>
    <n v="143.703"/>
    <n v="5"/>
    <x v="0"/>
  </r>
  <r>
    <n v="2122"/>
    <n v="22"/>
    <x v="2"/>
    <x v="0"/>
    <x v="6"/>
    <s v="Skincare Kit"/>
    <n v="100.76"/>
    <x v="0"/>
    <s v="Card"/>
    <n v="5"/>
    <x v="12"/>
    <n v="81.615600000000015"/>
    <n v="7"/>
    <x v="0"/>
  </r>
  <r>
    <n v="2123"/>
    <n v="64"/>
    <x v="1"/>
    <x v="1"/>
    <x v="2"/>
    <s v="Football"/>
    <n v="229.26"/>
    <x v="0"/>
    <s v="Card"/>
    <n v="4"/>
    <x v="10"/>
    <n v="178.8228"/>
    <n v="6"/>
    <x v="0"/>
  </r>
  <r>
    <n v="2124"/>
    <n v="20"/>
    <x v="2"/>
    <x v="1"/>
    <x v="1"/>
    <s v="T-Shirt"/>
    <n v="121.19"/>
    <x v="1"/>
    <s v="Card"/>
    <n v="3.6"/>
    <x v="3"/>
    <n v="96.951999999999998"/>
    <n v="5"/>
    <x v="0"/>
  </r>
  <r>
    <n v="2125"/>
    <n v="36"/>
    <x v="0"/>
    <x v="1"/>
    <x v="1"/>
    <s v="Jeans"/>
    <n v="172.85"/>
    <x v="2"/>
    <s v="Card"/>
    <n v="3.6"/>
    <x v="1"/>
    <n v="150.37950000000001"/>
    <n v="4"/>
    <x v="0"/>
  </r>
  <r>
    <n v="2126"/>
    <n v="37"/>
    <x v="0"/>
    <x v="1"/>
    <x v="5"/>
    <s v="Smart Watch"/>
    <n v="2994.75"/>
    <x v="2"/>
    <s v="Card"/>
    <n v="3.4"/>
    <x v="8"/>
    <n v="2635.38"/>
    <n v="6"/>
    <x v="0"/>
  </r>
  <r>
    <n v="2127"/>
    <n v="24"/>
    <x v="2"/>
    <x v="0"/>
    <x v="7"/>
    <s v="Sandals"/>
    <n v="169.29"/>
    <x v="1"/>
    <s v="Card"/>
    <n v="3.5"/>
    <x v="10"/>
    <n v="132.0462"/>
    <n v="6"/>
    <x v="0"/>
  </r>
  <r>
    <n v="2128"/>
    <n v="45"/>
    <x v="0"/>
    <x v="0"/>
    <x v="0"/>
    <s v="Sunglasses"/>
    <n v="48"/>
    <x v="1"/>
    <s v="Card"/>
    <n v="3.6"/>
    <x v="6"/>
    <n v="40.32"/>
    <n v="8"/>
    <x v="2"/>
  </r>
  <r>
    <n v="2129"/>
    <n v="28"/>
    <x v="2"/>
    <x v="1"/>
    <x v="2"/>
    <s v="Football"/>
    <n v="73.95"/>
    <x v="3"/>
    <s v="Card"/>
    <n v="3.8"/>
    <x v="23"/>
    <n v="68.773499999999999"/>
    <n v="1"/>
    <x v="1"/>
  </r>
  <r>
    <n v="2130"/>
    <n v="38"/>
    <x v="0"/>
    <x v="1"/>
    <x v="4"/>
    <s v="Beverages"/>
    <n v="44.44"/>
    <x v="1"/>
    <s v="Cash on Delivery"/>
    <n v="4.9000000000000004"/>
    <x v="3"/>
    <n v="35.552"/>
    <n v="5"/>
    <x v="0"/>
  </r>
  <r>
    <n v="2131"/>
    <n v="42"/>
    <x v="0"/>
    <x v="0"/>
    <x v="0"/>
    <s v="Wallet"/>
    <n v="162.6"/>
    <x v="1"/>
    <s v="Card"/>
    <n v="4.7"/>
    <x v="8"/>
    <n v="143.08799999999999"/>
    <n v="1"/>
    <x v="1"/>
  </r>
  <r>
    <n v="2132"/>
    <n v="36"/>
    <x v="0"/>
    <x v="1"/>
    <x v="5"/>
    <s v="Headphones"/>
    <n v="1381.61"/>
    <x v="1"/>
    <s v="Card"/>
    <n v="4.8"/>
    <x v="1"/>
    <n v="1202.0006999999998"/>
    <n v="4"/>
    <x v="0"/>
  </r>
  <r>
    <n v="2133"/>
    <n v="37"/>
    <x v="0"/>
    <x v="1"/>
    <x v="5"/>
    <s v="Headphones"/>
    <n v="2720.99"/>
    <x v="1"/>
    <s v="Card"/>
    <n v="3.1"/>
    <x v="3"/>
    <n v="2176.7919999999999"/>
    <n v="5"/>
    <x v="0"/>
  </r>
  <r>
    <n v="2134"/>
    <n v="24"/>
    <x v="2"/>
    <x v="1"/>
    <x v="7"/>
    <s v="Sandals"/>
    <n v="53.39"/>
    <x v="1"/>
    <s v="Cash on Delivery"/>
    <n v="3.3"/>
    <x v="7"/>
    <n v="48.051000000000002"/>
    <n v="5"/>
    <x v="0"/>
  </r>
  <r>
    <n v="2135"/>
    <n v="42"/>
    <x v="0"/>
    <x v="1"/>
    <x v="7"/>
    <s v="Sneakers"/>
    <n v="156.01"/>
    <x v="3"/>
    <s v="Card"/>
    <n v="3.9"/>
    <x v="5"/>
    <n v="143.5292"/>
    <n v="4"/>
    <x v="0"/>
  </r>
  <r>
    <n v="2136"/>
    <n v="23"/>
    <x v="2"/>
    <x v="0"/>
    <x v="6"/>
    <s v="Perfume"/>
    <n v="107.23"/>
    <x v="2"/>
    <s v="Card"/>
    <n v="3.3"/>
    <x v="13"/>
    <n v="97.579300000000003"/>
    <n v="2"/>
    <x v="1"/>
  </r>
  <r>
    <n v="2137"/>
    <n v="31"/>
    <x v="0"/>
    <x v="0"/>
    <x v="6"/>
    <s v="Perfume"/>
    <n v="72.150000000000006"/>
    <x v="0"/>
    <s v="Cash on Delivery"/>
    <n v="4.0999999999999996"/>
    <x v="6"/>
    <n v="60.606000000000002"/>
    <n v="3"/>
    <x v="1"/>
  </r>
  <r>
    <n v="2138"/>
    <n v="28"/>
    <x v="2"/>
    <x v="0"/>
    <x v="7"/>
    <s v="Sneakers"/>
    <n v="235.98"/>
    <x v="2"/>
    <s v="Card"/>
    <n v="2.6"/>
    <x v="11"/>
    <n v="174.62519999999998"/>
    <n v="8"/>
    <x v="2"/>
  </r>
  <r>
    <n v="2139"/>
    <n v="65"/>
    <x v="1"/>
    <x v="0"/>
    <x v="7"/>
    <s v="Sneakers"/>
    <n v="216.73"/>
    <x v="3"/>
    <s v="Card"/>
    <n v="5"/>
    <x v="6"/>
    <n v="182.05319999999998"/>
    <n v="3"/>
    <x v="1"/>
  </r>
  <r>
    <n v="2140"/>
    <n v="57"/>
    <x v="0"/>
    <x v="1"/>
    <x v="1"/>
    <s v="Jacket"/>
    <n v="76.98"/>
    <x v="3"/>
    <s v="Card"/>
    <n v="3.9"/>
    <x v="18"/>
    <n v="58.504800000000003"/>
    <n v="7"/>
    <x v="0"/>
  </r>
  <r>
    <n v="2141"/>
    <n v="66"/>
    <x v="1"/>
    <x v="0"/>
    <x v="8"/>
    <s v="Dress"/>
    <n v="104.42"/>
    <x v="1"/>
    <s v="Card"/>
    <n v="3.6"/>
    <x v="7"/>
    <n v="93.978000000000009"/>
    <n v="5"/>
    <x v="0"/>
  </r>
  <r>
    <n v="2142"/>
    <n v="30"/>
    <x v="2"/>
    <x v="0"/>
    <x v="8"/>
    <s v="Jeans"/>
    <n v="190.44"/>
    <x v="2"/>
    <s v="Card"/>
    <n v="4"/>
    <x v="5"/>
    <n v="175.20480000000001"/>
    <n v="4"/>
    <x v="0"/>
  </r>
  <r>
    <n v="2143"/>
    <n v="52"/>
    <x v="0"/>
    <x v="1"/>
    <x v="7"/>
    <s v="Sandals"/>
    <n v="140.52000000000001"/>
    <x v="1"/>
    <s v="Card"/>
    <n v="3.5"/>
    <x v="19"/>
    <n v="119.44200000000001"/>
    <n v="5"/>
    <x v="0"/>
  </r>
  <r>
    <n v="2144"/>
    <n v="59"/>
    <x v="0"/>
    <x v="1"/>
    <x v="7"/>
    <s v="Sandals"/>
    <n v="109.11"/>
    <x v="2"/>
    <s v="Card"/>
    <n v="4.3"/>
    <x v="5"/>
    <n v="100.38120000000001"/>
    <n v="4"/>
    <x v="0"/>
  </r>
  <r>
    <n v="2145"/>
    <n v="46"/>
    <x v="0"/>
    <x v="1"/>
    <x v="2"/>
    <s v="Football"/>
    <n v="179.23"/>
    <x v="1"/>
    <s v="Card"/>
    <n v="3.8"/>
    <x v="8"/>
    <n v="157.72239999999999"/>
    <n v="6"/>
    <x v="0"/>
  </r>
  <r>
    <n v="2146"/>
    <n v="40"/>
    <x v="0"/>
    <x v="1"/>
    <x v="4"/>
    <s v="Cooking Oil"/>
    <n v="23.38"/>
    <x v="0"/>
    <s v="Cash on Delivery"/>
    <n v="2.9"/>
    <x v="8"/>
    <n v="20.574400000000001"/>
    <n v="6"/>
    <x v="0"/>
  </r>
  <r>
    <n v="2147"/>
    <n v="60"/>
    <x v="0"/>
    <x v="0"/>
    <x v="2"/>
    <s v="Yoga Mat"/>
    <n v="243.83"/>
    <x v="0"/>
    <s v="Card"/>
    <n v="4"/>
    <x v="3"/>
    <n v="195.06400000000002"/>
    <n v="5"/>
    <x v="0"/>
  </r>
  <r>
    <n v="2148"/>
    <n v="57"/>
    <x v="0"/>
    <x v="1"/>
    <x v="2"/>
    <s v="Yoga Mat"/>
    <n v="111.73"/>
    <x v="1"/>
    <s v="Card"/>
    <n v="5"/>
    <x v="11"/>
    <n v="82.680199999999999"/>
    <n v="8"/>
    <x v="2"/>
  </r>
  <r>
    <n v="2149"/>
    <n v="46"/>
    <x v="0"/>
    <x v="1"/>
    <x v="1"/>
    <s v="T-Shirt"/>
    <n v="86.78"/>
    <x v="2"/>
    <s v="Card"/>
    <n v="4.4000000000000004"/>
    <x v="8"/>
    <n v="76.366399999999999"/>
    <n v="6"/>
    <x v="0"/>
  </r>
  <r>
    <n v="2150"/>
    <n v="66"/>
    <x v="1"/>
    <x v="1"/>
    <x v="7"/>
    <s v="Formal Shoes"/>
    <n v="115.51"/>
    <x v="0"/>
    <s v="Card"/>
    <n v="3.8"/>
    <x v="5"/>
    <n v="106.26920000000001"/>
    <n v="4"/>
    <x v="0"/>
  </r>
  <r>
    <n v="2151"/>
    <n v="25"/>
    <x v="2"/>
    <x v="1"/>
    <x v="5"/>
    <s v="Smart Watch"/>
    <n v="2459.81"/>
    <x v="2"/>
    <s v="Card"/>
    <n v="4.0999999999999996"/>
    <x v="16"/>
    <n v="2312.2213999999999"/>
    <n v="3"/>
    <x v="1"/>
  </r>
  <r>
    <n v="2152"/>
    <n v="43"/>
    <x v="0"/>
    <x v="0"/>
    <x v="8"/>
    <s v="Skirt"/>
    <n v="89.23"/>
    <x v="3"/>
    <s v="Card"/>
    <n v="3.2"/>
    <x v="7"/>
    <n v="80.307000000000002"/>
    <n v="5"/>
    <x v="0"/>
  </r>
  <r>
    <n v="2153"/>
    <n v="48"/>
    <x v="0"/>
    <x v="0"/>
    <x v="6"/>
    <s v="Makeup Set"/>
    <n v="108.66"/>
    <x v="1"/>
    <s v="Card"/>
    <n v="3.7"/>
    <x v="8"/>
    <n v="95.620800000000003"/>
    <n v="6"/>
    <x v="0"/>
  </r>
  <r>
    <n v="2154"/>
    <n v="32"/>
    <x v="0"/>
    <x v="0"/>
    <x v="2"/>
    <s v="Dumbbells"/>
    <n v="156.96"/>
    <x v="0"/>
    <s v="Card"/>
    <n v="3.4"/>
    <x v="10"/>
    <n v="122.42880000000001"/>
    <n v="6"/>
    <x v="0"/>
  </r>
  <r>
    <n v="2155"/>
    <n v="51"/>
    <x v="0"/>
    <x v="0"/>
    <x v="8"/>
    <s v="Top"/>
    <n v="162.77000000000001"/>
    <x v="2"/>
    <s v="Card"/>
    <n v="3.3"/>
    <x v="3"/>
    <n v="130.21600000000001"/>
    <n v="5"/>
    <x v="0"/>
  </r>
  <r>
    <n v="2156"/>
    <n v="24"/>
    <x v="2"/>
    <x v="0"/>
    <x v="8"/>
    <s v="Dress"/>
    <n v="134.74"/>
    <x v="3"/>
    <s v="Card"/>
    <n v="4.4000000000000004"/>
    <x v="8"/>
    <n v="118.5712"/>
    <n v="6"/>
    <x v="0"/>
  </r>
  <r>
    <n v="2157"/>
    <n v="25"/>
    <x v="2"/>
    <x v="0"/>
    <x v="8"/>
    <s v="Skirt"/>
    <n v="62.82"/>
    <x v="3"/>
    <s v="Card"/>
    <n v="3.4"/>
    <x v="19"/>
    <n v="53.396999999999998"/>
    <n v="5"/>
    <x v="0"/>
  </r>
  <r>
    <n v="2158"/>
    <n v="21"/>
    <x v="2"/>
    <x v="1"/>
    <x v="1"/>
    <s v="Jacket"/>
    <n v="185.24"/>
    <x v="3"/>
    <s v="Card"/>
    <n v="3.7"/>
    <x v="3"/>
    <n v="148.19200000000001"/>
    <n v="5"/>
    <x v="0"/>
  </r>
  <r>
    <n v="2159"/>
    <n v="21"/>
    <x v="2"/>
    <x v="0"/>
    <x v="6"/>
    <s v="Perfume"/>
    <n v="52.12"/>
    <x v="3"/>
    <s v="Card"/>
    <n v="2.2000000000000002"/>
    <x v="4"/>
    <n v="44.8232"/>
    <n v="7"/>
    <x v="0"/>
  </r>
  <r>
    <n v="2160"/>
    <n v="26"/>
    <x v="2"/>
    <x v="1"/>
    <x v="1"/>
    <s v="Jeans"/>
    <n v="117.39"/>
    <x v="2"/>
    <s v="Card"/>
    <n v="4.0999999999999996"/>
    <x v="14"/>
    <n v="97.433700000000002"/>
    <n v="6"/>
    <x v="0"/>
  </r>
  <r>
    <n v="2161"/>
    <n v="64"/>
    <x v="1"/>
    <x v="1"/>
    <x v="5"/>
    <s v="Headphones"/>
    <n v="1748.62"/>
    <x v="1"/>
    <s v="Card"/>
    <n v="4.5999999999999996"/>
    <x v="1"/>
    <n v="1521.2993999999999"/>
    <n v="4"/>
    <x v="0"/>
  </r>
  <r>
    <n v="2162"/>
    <n v="47"/>
    <x v="0"/>
    <x v="0"/>
    <x v="8"/>
    <s v="Top"/>
    <n v="156.93"/>
    <x v="0"/>
    <s v="Card"/>
    <n v="3.4"/>
    <x v="2"/>
    <n v="139.6677"/>
    <n v="3"/>
    <x v="1"/>
  </r>
  <r>
    <n v="2163"/>
    <n v="58"/>
    <x v="0"/>
    <x v="0"/>
    <x v="4"/>
    <s v="Cooking Oil"/>
    <n v="10.97"/>
    <x v="0"/>
    <s v="Card"/>
    <n v="3.3"/>
    <x v="7"/>
    <n v="9.8730000000000011"/>
    <n v="5"/>
    <x v="0"/>
  </r>
  <r>
    <n v="2164"/>
    <n v="38"/>
    <x v="0"/>
    <x v="1"/>
    <x v="1"/>
    <s v="Jacket"/>
    <n v="196.58"/>
    <x v="3"/>
    <s v="Card"/>
    <n v="4.0999999999999996"/>
    <x v="19"/>
    <n v="167.09300000000002"/>
    <n v="5"/>
    <x v="0"/>
  </r>
  <r>
    <n v="2165"/>
    <n v="33"/>
    <x v="0"/>
    <x v="0"/>
    <x v="6"/>
    <s v="Skincare Kit"/>
    <n v="124.79"/>
    <x v="1"/>
    <s v="Card"/>
    <n v="3.2"/>
    <x v="1"/>
    <n v="108.5673"/>
    <n v="4"/>
    <x v="0"/>
  </r>
  <r>
    <n v="2166"/>
    <n v="58"/>
    <x v="0"/>
    <x v="1"/>
    <x v="1"/>
    <s v="Shirt"/>
    <n v="126.22"/>
    <x v="0"/>
    <s v="Card"/>
    <n v="4.9000000000000004"/>
    <x v="6"/>
    <n v="106.0248"/>
    <n v="3"/>
    <x v="1"/>
  </r>
  <r>
    <n v="2167"/>
    <n v="43"/>
    <x v="0"/>
    <x v="0"/>
    <x v="6"/>
    <s v="Skincare Kit"/>
    <n v="55.3"/>
    <x v="2"/>
    <s v="Cash on Delivery"/>
    <n v="2.7"/>
    <x v="5"/>
    <n v="50.875999999999998"/>
    <n v="4"/>
    <x v="0"/>
  </r>
  <r>
    <n v="2168"/>
    <n v="49"/>
    <x v="0"/>
    <x v="0"/>
    <x v="8"/>
    <s v="Jeans"/>
    <n v="153.03"/>
    <x v="1"/>
    <s v="Card"/>
    <n v="3.9"/>
    <x v="22"/>
    <n v="117.8331"/>
    <n v="9"/>
    <x v="2"/>
  </r>
  <r>
    <n v="2169"/>
    <n v="36"/>
    <x v="0"/>
    <x v="1"/>
    <x v="5"/>
    <s v="Mobile Phone"/>
    <n v="2044.39"/>
    <x v="2"/>
    <s v="Card"/>
    <n v="3.5"/>
    <x v="24"/>
    <n v="1471.9608000000001"/>
    <n v="9"/>
    <x v="2"/>
  </r>
  <r>
    <n v="2170"/>
    <n v="69"/>
    <x v="1"/>
    <x v="0"/>
    <x v="2"/>
    <s v="Football"/>
    <n v="125.7"/>
    <x v="2"/>
    <s v="Card"/>
    <n v="4.4000000000000004"/>
    <x v="19"/>
    <n v="106.845"/>
    <n v="5"/>
    <x v="0"/>
  </r>
  <r>
    <n v="2171"/>
    <n v="50"/>
    <x v="0"/>
    <x v="1"/>
    <x v="2"/>
    <s v="Football"/>
    <n v="57.74"/>
    <x v="3"/>
    <s v="Cash on Delivery"/>
    <n v="3"/>
    <x v="6"/>
    <n v="48.501600000000003"/>
    <n v="8"/>
    <x v="2"/>
  </r>
  <r>
    <n v="2172"/>
    <n v="35"/>
    <x v="0"/>
    <x v="0"/>
    <x v="7"/>
    <s v="Formal Shoes"/>
    <n v="42.14"/>
    <x v="3"/>
    <s v="Card"/>
    <n v="2.9"/>
    <x v="14"/>
    <n v="34.976199999999999"/>
    <n v="6"/>
    <x v="0"/>
  </r>
  <r>
    <n v="2173"/>
    <n v="29"/>
    <x v="2"/>
    <x v="0"/>
    <x v="0"/>
    <s v="Wallet"/>
    <n v="65.650000000000006"/>
    <x v="3"/>
    <s v="Cash on Delivery"/>
    <n v="3.6"/>
    <x v="2"/>
    <n v="58.428500000000007"/>
    <n v="3"/>
    <x v="1"/>
  </r>
  <r>
    <n v="2174"/>
    <n v="23"/>
    <x v="2"/>
    <x v="1"/>
    <x v="5"/>
    <s v="Smart Watch"/>
    <n v="899.3"/>
    <x v="1"/>
    <s v="Card"/>
    <n v="3.8"/>
    <x v="4"/>
    <n v="773.39799999999991"/>
    <n v="2"/>
    <x v="1"/>
  </r>
  <r>
    <n v="2175"/>
    <n v="70"/>
    <x v="1"/>
    <x v="1"/>
    <x v="3"/>
    <s v="Lamp"/>
    <n v="189.01"/>
    <x v="1"/>
    <s v="Card"/>
    <n v="4.8"/>
    <x v="18"/>
    <n v="143.64759999999998"/>
    <n v="7"/>
    <x v="0"/>
  </r>
  <r>
    <n v="2176"/>
    <n v="55"/>
    <x v="0"/>
    <x v="0"/>
    <x v="0"/>
    <s v="Sunglasses"/>
    <n v="155.94999999999999"/>
    <x v="1"/>
    <s v="Card"/>
    <n v="3.1"/>
    <x v="19"/>
    <n v="132.55749999999998"/>
    <n v="5"/>
    <x v="0"/>
  </r>
  <r>
    <n v="2177"/>
    <n v="28"/>
    <x v="2"/>
    <x v="0"/>
    <x v="6"/>
    <s v="Makeup Set"/>
    <n v="90.72"/>
    <x v="2"/>
    <s v="Cash on Delivery"/>
    <n v="1.4"/>
    <x v="5"/>
    <n v="83.462400000000002"/>
    <n v="4"/>
    <x v="0"/>
  </r>
  <r>
    <n v="2178"/>
    <n v="24"/>
    <x v="2"/>
    <x v="0"/>
    <x v="6"/>
    <s v="Makeup Set"/>
    <n v="58.6"/>
    <x v="2"/>
    <s v="Card"/>
    <n v="3.1"/>
    <x v="14"/>
    <n v="48.637999999999998"/>
    <n v="6"/>
    <x v="0"/>
  </r>
  <r>
    <n v="2179"/>
    <n v="69"/>
    <x v="1"/>
    <x v="0"/>
    <x v="8"/>
    <s v="Top"/>
    <n v="58.78"/>
    <x v="3"/>
    <s v="Card"/>
    <n v="3.7"/>
    <x v="0"/>
    <n v="48.199600000000004"/>
    <n v="4"/>
    <x v="0"/>
  </r>
  <r>
    <n v="2180"/>
    <n v="54"/>
    <x v="0"/>
    <x v="0"/>
    <x v="7"/>
    <s v="Sneakers"/>
    <n v="249.37"/>
    <x v="3"/>
    <s v="Card"/>
    <n v="3.8"/>
    <x v="5"/>
    <n v="229.4204"/>
    <n v="4"/>
    <x v="0"/>
  </r>
  <r>
    <n v="2181"/>
    <n v="39"/>
    <x v="0"/>
    <x v="1"/>
    <x v="2"/>
    <s v="Dumbbells"/>
    <n v="66.75"/>
    <x v="3"/>
    <s v="Card"/>
    <n v="3.3"/>
    <x v="5"/>
    <n v="61.410000000000004"/>
    <n v="4"/>
    <x v="0"/>
  </r>
  <r>
    <n v="2182"/>
    <n v="21"/>
    <x v="2"/>
    <x v="1"/>
    <x v="2"/>
    <s v="Dumbbells"/>
    <n v="232.78"/>
    <x v="1"/>
    <s v="Card"/>
    <n v="4.0999999999999996"/>
    <x v="6"/>
    <n v="195.5352"/>
    <n v="3"/>
    <x v="1"/>
  </r>
  <r>
    <n v="2183"/>
    <n v="55"/>
    <x v="0"/>
    <x v="1"/>
    <x v="3"/>
    <s v="Lamp"/>
    <n v="271.73"/>
    <x v="0"/>
    <s v="Card"/>
    <n v="2.8"/>
    <x v="17"/>
    <n v="260.86079999999998"/>
    <n v="2"/>
    <x v="1"/>
  </r>
  <r>
    <n v="2184"/>
    <n v="32"/>
    <x v="0"/>
    <x v="0"/>
    <x v="2"/>
    <s v="Yoga Mat"/>
    <n v="117.69"/>
    <x v="0"/>
    <s v="Card"/>
    <n v="3.4"/>
    <x v="10"/>
    <n v="91.798200000000008"/>
    <n v="6"/>
    <x v="0"/>
  </r>
  <r>
    <n v="2185"/>
    <n v="21"/>
    <x v="2"/>
    <x v="0"/>
    <x v="2"/>
    <s v="Yoga Mat"/>
    <n v="248.21"/>
    <x v="1"/>
    <s v="Card"/>
    <n v="4"/>
    <x v="5"/>
    <n v="228.35320000000002"/>
    <n v="4"/>
    <x v="0"/>
  </r>
  <r>
    <n v="2186"/>
    <n v="20"/>
    <x v="2"/>
    <x v="0"/>
    <x v="2"/>
    <s v="Football"/>
    <n v="83.38"/>
    <x v="2"/>
    <s v="Cash on Delivery"/>
    <n v="3.5"/>
    <x v="17"/>
    <n v="80.044799999999995"/>
    <n v="2"/>
    <x v="1"/>
  </r>
  <r>
    <n v="2187"/>
    <n v="39"/>
    <x v="0"/>
    <x v="0"/>
    <x v="3"/>
    <s v="Curtains"/>
    <n v="113.79"/>
    <x v="0"/>
    <s v="Card"/>
    <n v="5"/>
    <x v="4"/>
    <n v="97.859400000000008"/>
    <n v="2"/>
    <x v="1"/>
  </r>
  <r>
    <n v="2188"/>
    <n v="44"/>
    <x v="0"/>
    <x v="0"/>
    <x v="3"/>
    <s v="Kitchen Set"/>
    <n v="278.16000000000003"/>
    <x v="1"/>
    <s v="Card"/>
    <n v="2.7"/>
    <x v="23"/>
    <n v="258.68880000000001"/>
    <n v="1"/>
    <x v="1"/>
  </r>
  <r>
    <n v="2189"/>
    <n v="45"/>
    <x v="0"/>
    <x v="0"/>
    <x v="7"/>
    <s v="Sneakers"/>
    <n v="136.82"/>
    <x v="0"/>
    <s v="Card"/>
    <n v="3.7"/>
    <x v="1"/>
    <n v="119.0334"/>
    <n v="4"/>
    <x v="0"/>
  </r>
  <r>
    <n v="2190"/>
    <n v="22"/>
    <x v="2"/>
    <x v="0"/>
    <x v="8"/>
    <s v="Top"/>
    <n v="198.84"/>
    <x v="2"/>
    <s v="Card"/>
    <n v="3.5"/>
    <x v="19"/>
    <n v="169.01400000000001"/>
    <n v="5"/>
    <x v="0"/>
  </r>
  <r>
    <n v="2191"/>
    <n v="55"/>
    <x v="0"/>
    <x v="0"/>
    <x v="7"/>
    <s v="Sneakers"/>
    <n v="228.85"/>
    <x v="3"/>
    <s v="Card"/>
    <n v="4.3"/>
    <x v="0"/>
    <n v="187.65700000000001"/>
    <n v="4"/>
    <x v="0"/>
  </r>
  <r>
    <n v="2192"/>
    <n v="59"/>
    <x v="0"/>
    <x v="1"/>
    <x v="2"/>
    <s v="Football"/>
    <n v="46.03"/>
    <x v="3"/>
    <s v="Cash on Delivery"/>
    <n v="3.2"/>
    <x v="8"/>
    <n v="40.506399999999999"/>
    <n v="6"/>
    <x v="0"/>
  </r>
  <r>
    <n v="2193"/>
    <n v="42"/>
    <x v="0"/>
    <x v="0"/>
    <x v="8"/>
    <s v="Dress"/>
    <n v="66.91"/>
    <x v="1"/>
    <s v="Cash on Delivery"/>
    <n v="4.5"/>
    <x v="3"/>
    <n v="53.527999999999999"/>
    <n v="5"/>
    <x v="0"/>
  </r>
  <r>
    <n v="2194"/>
    <n v="63"/>
    <x v="1"/>
    <x v="0"/>
    <x v="8"/>
    <s v="Jeans"/>
    <n v="70.959999999999994"/>
    <x v="2"/>
    <s v="Cash on Delivery"/>
    <n v="2.5"/>
    <x v="16"/>
    <n v="66.702399999999997"/>
    <n v="3"/>
    <x v="1"/>
  </r>
  <r>
    <n v="2195"/>
    <n v="24"/>
    <x v="2"/>
    <x v="0"/>
    <x v="6"/>
    <s v="Skincare Kit"/>
    <n v="33.03"/>
    <x v="1"/>
    <s v="Cash on Delivery"/>
    <n v="4.7"/>
    <x v="8"/>
    <n v="29.066400000000002"/>
    <n v="6"/>
    <x v="0"/>
  </r>
  <r>
    <n v="2196"/>
    <n v="27"/>
    <x v="2"/>
    <x v="0"/>
    <x v="7"/>
    <s v="Formal Shoes"/>
    <n v="167.37"/>
    <x v="2"/>
    <s v="Card"/>
    <n v="3.4"/>
    <x v="12"/>
    <n v="135.56970000000001"/>
    <n v="7"/>
    <x v="0"/>
  </r>
  <r>
    <n v="2197"/>
    <n v="46"/>
    <x v="0"/>
    <x v="1"/>
    <x v="5"/>
    <s v="Mobile Phone"/>
    <n v="1442.61"/>
    <x v="0"/>
    <s v="Card"/>
    <n v="2.9"/>
    <x v="14"/>
    <n v="1197.3662999999999"/>
    <n v="6"/>
    <x v="0"/>
  </r>
  <r>
    <n v="2198"/>
    <n v="67"/>
    <x v="1"/>
    <x v="1"/>
    <x v="2"/>
    <s v="Football"/>
    <n v="246"/>
    <x v="0"/>
    <s v="Card"/>
    <n v="5"/>
    <x v="0"/>
    <n v="201.72000000000003"/>
    <n v="4"/>
    <x v="0"/>
  </r>
  <r>
    <n v="2199"/>
    <n v="46"/>
    <x v="0"/>
    <x v="1"/>
    <x v="2"/>
    <s v="Dumbbells"/>
    <n v="68.17"/>
    <x v="2"/>
    <s v="Cash on Delivery"/>
    <n v="3.4"/>
    <x v="14"/>
    <n v="56.581099999999999"/>
    <n v="6"/>
    <x v="0"/>
  </r>
  <r>
    <n v="2200"/>
    <n v="41"/>
    <x v="0"/>
    <x v="1"/>
    <x v="7"/>
    <s v="Sneakers"/>
    <n v="74.88"/>
    <x v="3"/>
    <s v="Card"/>
    <n v="4.7"/>
    <x v="6"/>
    <n v="62.899199999999993"/>
    <n v="3"/>
    <x v="1"/>
  </r>
  <r>
    <n v="2201"/>
    <n v="36"/>
    <x v="0"/>
    <x v="1"/>
    <x v="2"/>
    <s v="Yoga Mat"/>
    <n v="105.09"/>
    <x v="1"/>
    <s v="Card"/>
    <n v="3.6"/>
    <x v="10"/>
    <n v="81.970200000000006"/>
    <n v="6"/>
    <x v="0"/>
  </r>
  <r>
    <n v="2202"/>
    <n v="23"/>
    <x v="2"/>
    <x v="1"/>
    <x v="2"/>
    <s v="Football"/>
    <n v="109.86"/>
    <x v="0"/>
    <s v="Card"/>
    <n v="5"/>
    <x v="23"/>
    <n v="102.1698"/>
    <n v="1"/>
    <x v="1"/>
  </r>
  <r>
    <n v="2203"/>
    <n v="32"/>
    <x v="0"/>
    <x v="0"/>
    <x v="7"/>
    <s v="Formal Shoes"/>
    <n v="232.22"/>
    <x v="1"/>
    <s v="Card"/>
    <n v="3.5"/>
    <x v="2"/>
    <n v="206.67580000000001"/>
    <n v="3"/>
    <x v="1"/>
  </r>
  <r>
    <n v="2204"/>
    <n v="60"/>
    <x v="0"/>
    <x v="1"/>
    <x v="1"/>
    <s v="T-Shirt"/>
    <n v="170.41"/>
    <x v="3"/>
    <s v="Card"/>
    <n v="2.6"/>
    <x v="14"/>
    <n v="141.44029999999998"/>
    <n v="6"/>
    <x v="0"/>
  </r>
  <r>
    <n v="2205"/>
    <n v="43"/>
    <x v="0"/>
    <x v="1"/>
    <x v="1"/>
    <s v="Jeans"/>
    <n v="122.14"/>
    <x v="1"/>
    <s v="Card"/>
    <n v="4"/>
    <x v="7"/>
    <n v="109.926"/>
    <n v="5"/>
    <x v="0"/>
  </r>
  <r>
    <n v="2206"/>
    <n v="58"/>
    <x v="0"/>
    <x v="0"/>
    <x v="0"/>
    <s v="Handbag"/>
    <n v="98.65"/>
    <x v="1"/>
    <s v="Cash on Delivery"/>
    <n v="3.9"/>
    <x v="5"/>
    <n v="90.75800000000001"/>
    <n v="4"/>
    <x v="0"/>
  </r>
  <r>
    <n v="2207"/>
    <n v="70"/>
    <x v="1"/>
    <x v="1"/>
    <x v="2"/>
    <s v="Football"/>
    <n v="43.95"/>
    <x v="0"/>
    <s v="Cash on Delivery"/>
    <n v="3.4"/>
    <x v="19"/>
    <n v="37.357500000000002"/>
    <n v="5"/>
    <x v="0"/>
  </r>
  <r>
    <n v="2208"/>
    <n v="43"/>
    <x v="0"/>
    <x v="1"/>
    <x v="2"/>
    <s v="Football"/>
    <n v="127.93"/>
    <x v="2"/>
    <s v="Card"/>
    <n v="2.9"/>
    <x v="1"/>
    <n v="111.29910000000001"/>
    <n v="4"/>
    <x v="0"/>
  </r>
  <r>
    <n v="2209"/>
    <n v="55"/>
    <x v="0"/>
    <x v="1"/>
    <x v="4"/>
    <s v="Snacks"/>
    <n v="62.57"/>
    <x v="0"/>
    <s v="Cash on Delivery"/>
    <n v="3.6"/>
    <x v="8"/>
    <n v="55.061599999999999"/>
    <n v="6"/>
    <x v="0"/>
  </r>
  <r>
    <n v="2210"/>
    <n v="24"/>
    <x v="2"/>
    <x v="0"/>
    <x v="8"/>
    <s v="Jeans"/>
    <n v="106.76"/>
    <x v="0"/>
    <s v="Card"/>
    <n v="3.2"/>
    <x v="5"/>
    <n v="98.219200000000015"/>
    <n v="4"/>
    <x v="0"/>
  </r>
  <r>
    <n v="2211"/>
    <n v="41"/>
    <x v="0"/>
    <x v="0"/>
    <x v="3"/>
    <s v="Kitchen Set"/>
    <n v="245.42"/>
    <x v="3"/>
    <s v="Card"/>
    <n v="3.6"/>
    <x v="3"/>
    <n v="196.33600000000001"/>
    <n v="5"/>
    <x v="0"/>
  </r>
  <r>
    <n v="2212"/>
    <n v="33"/>
    <x v="0"/>
    <x v="1"/>
    <x v="2"/>
    <s v="Yoga Mat"/>
    <n v="184.79"/>
    <x v="2"/>
    <s v="Card"/>
    <n v="2.8"/>
    <x v="2"/>
    <n v="164.4631"/>
    <n v="3"/>
    <x v="1"/>
  </r>
  <r>
    <n v="2213"/>
    <n v="64"/>
    <x v="1"/>
    <x v="0"/>
    <x v="0"/>
    <s v="Wallet"/>
    <n v="176.59"/>
    <x v="0"/>
    <s v="Card"/>
    <n v="3.9"/>
    <x v="3"/>
    <n v="141.27200000000002"/>
    <n v="5"/>
    <x v="0"/>
  </r>
  <r>
    <n v="2214"/>
    <n v="26"/>
    <x v="2"/>
    <x v="0"/>
    <x v="8"/>
    <s v="Top"/>
    <n v="58.44"/>
    <x v="2"/>
    <s v="Cash on Delivery"/>
    <n v="2.1"/>
    <x v="12"/>
    <n v="47.336400000000005"/>
    <n v="7"/>
    <x v="0"/>
  </r>
  <r>
    <n v="2215"/>
    <n v="53"/>
    <x v="0"/>
    <x v="0"/>
    <x v="4"/>
    <s v="Beverages"/>
    <n v="9.7200000000000006"/>
    <x v="2"/>
    <s v="Card"/>
    <n v="3.9"/>
    <x v="18"/>
    <n v="7.3872000000000009"/>
    <n v="7"/>
    <x v="0"/>
  </r>
  <r>
    <n v="2216"/>
    <n v="34"/>
    <x v="0"/>
    <x v="0"/>
    <x v="7"/>
    <s v="Sneakers"/>
    <n v="97.08"/>
    <x v="3"/>
    <s v="Card"/>
    <n v="2.7"/>
    <x v="8"/>
    <n v="85.430400000000006"/>
    <n v="1"/>
    <x v="1"/>
  </r>
  <r>
    <n v="2217"/>
    <n v="35"/>
    <x v="0"/>
    <x v="0"/>
    <x v="0"/>
    <s v="Handbag"/>
    <n v="150.88"/>
    <x v="2"/>
    <s v="Card"/>
    <n v="4.3"/>
    <x v="6"/>
    <n v="126.7392"/>
    <n v="8"/>
    <x v="2"/>
  </r>
  <r>
    <n v="2218"/>
    <n v="24"/>
    <x v="2"/>
    <x v="0"/>
    <x v="7"/>
    <s v="Sandals"/>
    <n v="173.83"/>
    <x v="0"/>
    <s v="Card"/>
    <n v="2.7"/>
    <x v="16"/>
    <n v="163.40020000000001"/>
    <n v="3"/>
    <x v="1"/>
  </r>
  <r>
    <n v="2219"/>
    <n v="57"/>
    <x v="0"/>
    <x v="1"/>
    <x v="5"/>
    <s v="Mobile Phone"/>
    <n v="1857.16"/>
    <x v="0"/>
    <s v="Card"/>
    <n v="4"/>
    <x v="1"/>
    <n v="1615.7292"/>
    <n v="4"/>
    <x v="0"/>
  </r>
  <r>
    <n v="2220"/>
    <n v="31"/>
    <x v="0"/>
    <x v="1"/>
    <x v="2"/>
    <s v="Yoga Mat"/>
    <n v="227.4"/>
    <x v="2"/>
    <s v="Card"/>
    <n v="3.5"/>
    <x v="2"/>
    <n v="202.386"/>
    <n v="3"/>
    <x v="1"/>
  </r>
  <r>
    <n v="2221"/>
    <n v="52"/>
    <x v="0"/>
    <x v="0"/>
    <x v="0"/>
    <s v="Handbag"/>
    <n v="119.11"/>
    <x v="3"/>
    <s v="Card"/>
    <n v="4.8"/>
    <x v="27"/>
    <n v="89.332499999999996"/>
    <n v="10"/>
    <x v="2"/>
  </r>
  <r>
    <n v="2222"/>
    <n v="30"/>
    <x v="2"/>
    <x v="1"/>
    <x v="5"/>
    <s v="Headphones"/>
    <n v="1425.84"/>
    <x v="1"/>
    <s v="Card"/>
    <n v="3.6"/>
    <x v="4"/>
    <n v="1226.2223999999999"/>
    <n v="2"/>
    <x v="1"/>
  </r>
  <r>
    <n v="2223"/>
    <n v="32"/>
    <x v="0"/>
    <x v="1"/>
    <x v="7"/>
    <s v="Formal Shoes"/>
    <n v="170.66"/>
    <x v="1"/>
    <s v="Card"/>
    <n v="4.2"/>
    <x v="14"/>
    <n v="141.64779999999999"/>
    <n v="6"/>
    <x v="0"/>
  </r>
  <r>
    <n v="2224"/>
    <n v="21"/>
    <x v="2"/>
    <x v="1"/>
    <x v="2"/>
    <s v="Dumbbells"/>
    <n v="246.8"/>
    <x v="0"/>
    <s v="Card"/>
    <n v="3.2"/>
    <x v="1"/>
    <n v="214.71600000000001"/>
    <n v="4"/>
    <x v="0"/>
  </r>
  <r>
    <n v="2225"/>
    <n v="63"/>
    <x v="1"/>
    <x v="0"/>
    <x v="6"/>
    <s v="Skincare Kit"/>
    <n v="40.06"/>
    <x v="3"/>
    <s v="Cash on Delivery"/>
    <n v="4"/>
    <x v="3"/>
    <n v="32.048000000000002"/>
    <n v="5"/>
    <x v="0"/>
  </r>
  <r>
    <n v="2226"/>
    <n v="38"/>
    <x v="0"/>
    <x v="0"/>
    <x v="7"/>
    <s v="Formal Shoes"/>
    <n v="47"/>
    <x v="3"/>
    <s v="Card"/>
    <n v="3.4"/>
    <x v="0"/>
    <n v="38.540000000000006"/>
    <n v="9"/>
    <x v="2"/>
  </r>
  <r>
    <n v="2227"/>
    <n v="46"/>
    <x v="0"/>
    <x v="0"/>
    <x v="8"/>
    <s v="Top"/>
    <n v="149.94999999999999"/>
    <x v="3"/>
    <s v="Card"/>
    <n v="4.2"/>
    <x v="13"/>
    <n v="136.4545"/>
    <n v="2"/>
    <x v="1"/>
  </r>
  <r>
    <n v="2228"/>
    <n v="68"/>
    <x v="1"/>
    <x v="1"/>
    <x v="5"/>
    <s v="Smart Watch"/>
    <n v="1383.02"/>
    <x v="1"/>
    <s v="Card"/>
    <n v="4.5999999999999996"/>
    <x v="6"/>
    <n v="1161.7367999999999"/>
    <n v="3"/>
    <x v="1"/>
  </r>
  <r>
    <n v="2229"/>
    <n v="30"/>
    <x v="2"/>
    <x v="0"/>
    <x v="8"/>
    <s v="Top"/>
    <n v="170.78"/>
    <x v="2"/>
    <s v="Card"/>
    <n v="5"/>
    <x v="10"/>
    <n v="133.20840000000001"/>
    <n v="6"/>
    <x v="0"/>
  </r>
  <r>
    <n v="2230"/>
    <n v="26"/>
    <x v="2"/>
    <x v="1"/>
    <x v="1"/>
    <s v="T-Shirt"/>
    <n v="119.83"/>
    <x v="0"/>
    <s v="Card"/>
    <n v="3.4"/>
    <x v="5"/>
    <n v="110.2436"/>
    <n v="4"/>
    <x v="0"/>
  </r>
  <r>
    <n v="2231"/>
    <n v="49"/>
    <x v="0"/>
    <x v="1"/>
    <x v="5"/>
    <s v="Mobile Phone"/>
    <n v="2780.13"/>
    <x v="2"/>
    <s v="Card"/>
    <n v="3.6"/>
    <x v="19"/>
    <n v="2363.1105000000002"/>
    <n v="5"/>
    <x v="0"/>
  </r>
  <r>
    <n v="2232"/>
    <n v="68"/>
    <x v="1"/>
    <x v="1"/>
    <x v="7"/>
    <s v="Sandals"/>
    <n v="206.56"/>
    <x v="1"/>
    <s v="Card"/>
    <n v="3.3"/>
    <x v="7"/>
    <n v="185.904"/>
    <n v="5"/>
    <x v="0"/>
  </r>
  <r>
    <n v="2233"/>
    <n v="30"/>
    <x v="2"/>
    <x v="0"/>
    <x v="8"/>
    <s v="Jeans"/>
    <n v="186.33"/>
    <x v="1"/>
    <s v="Card"/>
    <n v="3.5"/>
    <x v="8"/>
    <n v="163.97040000000001"/>
    <n v="6"/>
    <x v="0"/>
  </r>
  <r>
    <n v="2234"/>
    <n v="38"/>
    <x v="0"/>
    <x v="1"/>
    <x v="1"/>
    <s v="Shirt"/>
    <n v="156.71"/>
    <x v="2"/>
    <s v="Card"/>
    <n v="3.4"/>
    <x v="6"/>
    <n v="131.63640000000001"/>
    <n v="8"/>
    <x v="2"/>
  </r>
  <r>
    <n v="2235"/>
    <n v="42"/>
    <x v="0"/>
    <x v="0"/>
    <x v="6"/>
    <s v="Makeup Set"/>
    <n v="78.39"/>
    <x v="3"/>
    <s v="Card"/>
    <n v="3.7"/>
    <x v="10"/>
    <n v="61.144200000000005"/>
    <n v="6"/>
    <x v="0"/>
  </r>
  <r>
    <n v="2236"/>
    <n v="63"/>
    <x v="1"/>
    <x v="1"/>
    <x v="2"/>
    <s v="Dumbbells"/>
    <n v="214.61"/>
    <x v="2"/>
    <s v="Card"/>
    <n v="3.4"/>
    <x v="13"/>
    <n v="195.29510000000002"/>
    <n v="2"/>
    <x v="1"/>
  </r>
  <r>
    <n v="2237"/>
    <n v="34"/>
    <x v="0"/>
    <x v="1"/>
    <x v="4"/>
    <s v="Beverages"/>
    <n v="10.119999999999999"/>
    <x v="1"/>
    <s v="Cash on Delivery"/>
    <n v="4.3"/>
    <x v="7"/>
    <n v="9.1079999999999988"/>
    <n v="5"/>
    <x v="0"/>
  </r>
  <r>
    <n v="2238"/>
    <n v="28"/>
    <x v="2"/>
    <x v="0"/>
    <x v="0"/>
    <s v="Wallet"/>
    <n v="125.16"/>
    <x v="2"/>
    <s v="Card"/>
    <n v="3.8"/>
    <x v="5"/>
    <n v="115.1472"/>
    <n v="4"/>
    <x v="0"/>
  </r>
  <r>
    <n v="2239"/>
    <n v="34"/>
    <x v="0"/>
    <x v="0"/>
    <x v="8"/>
    <s v="Top"/>
    <n v="90.17"/>
    <x v="1"/>
    <s v="Cash on Delivery"/>
    <n v="3.1"/>
    <x v="12"/>
    <n v="73.037700000000001"/>
    <n v="7"/>
    <x v="0"/>
  </r>
  <r>
    <n v="2240"/>
    <n v="60"/>
    <x v="0"/>
    <x v="1"/>
    <x v="5"/>
    <s v="Smart Watch"/>
    <n v="1445.76"/>
    <x v="1"/>
    <s v="Card"/>
    <n v="4.5"/>
    <x v="6"/>
    <n v="1214.4384"/>
    <n v="3"/>
    <x v="1"/>
  </r>
  <r>
    <n v="2241"/>
    <n v="64"/>
    <x v="1"/>
    <x v="1"/>
    <x v="7"/>
    <s v="Formal Shoes"/>
    <n v="45.29"/>
    <x v="3"/>
    <s v="Cash on Delivery"/>
    <n v="4"/>
    <x v="25"/>
    <n v="31.702999999999996"/>
    <n v="10"/>
    <x v="2"/>
  </r>
  <r>
    <n v="2242"/>
    <n v="36"/>
    <x v="0"/>
    <x v="0"/>
    <x v="7"/>
    <s v="Sandals"/>
    <n v="120.65"/>
    <x v="1"/>
    <s v="Card"/>
    <n v="4.9000000000000004"/>
    <x v="16"/>
    <n v="113.411"/>
    <n v="3"/>
    <x v="1"/>
  </r>
  <r>
    <n v="2243"/>
    <n v="69"/>
    <x v="1"/>
    <x v="1"/>
    <x v="2"/>
    <s v="Yoga Mat"/>
    <n v="204.74"/>
    <x v="3"/>
    <s v="Card"/>
    <n v="4.0999999999999996"/>
    <x v="19"/>
    <n v="174.029"/>
    <n v="5"/>
    <x v="0"/>
  </r>
  <r>
    <n v="2244"/>
    <n v="37"/>
    <x v="0"/>
    <x v="0"/>
    <x v="6"/>
    <s v="Makeup Set"/>
    <n v="23.24"/>
    <x v="3"/>
    <s v="Card"/>
    <n v="3.6"/>
    <x v="3"/>
    <n v="18.591999999999999"/>
    <n v="5"/>
    <x v="0"/>
  </r>
  <r>
    <n v="2245"/>
    <n v="52"/>
    <x v="0"/>
    <x v="0"/>
    <x v="6"/>
    <s v="Perfume"/>
    <n v="32.67"/>
    <x v="2"/>
    <s v="Cash on Delivery"/>
    <n v="3.6"/>
    <x v="14"/>
    <n v="27.116099999999999"/>
    <n v="6"/>
    <x v="0"/>
  </r>
  <r>
    <n v="2246"/>
    <n v="31"/>
    <x v="0"/>
    <x v="1"/>
    <x v="5"/>
    <s v="Mobile Phone"/>
    <n v="2789.38"/>
    <x v="1"/>
    <s v="Card"/>
    <n v="4.7"/>
    <x v="8"/>
    <n v="2454.6543999999999"/>
    <n v="6"/>
    <x v="0"/>
  </r>
  <r>
    <n v="2247"/>
    <n v="67"/>
    <x v="1"/>
    <x v="1"/>
    <x v="7"/>
    <s v="Formal Shoes"/>
    <n v="54.61"/>
    <x v="0"/>
    <s v="Card"/>
    <n v="4.0999999999999996"/>
    <x v="5"/>
    <n v="50.241199999999999"/>
    <n v="4"/>
    <x v="0"/>
  </r>
  <r>
    <n v="2248"/>
    <n v="28"/>
    <x v="2"/>
    <x v="1"/>
    <x v="2"/>
    <s v="Yoga Mat"/>
    <n v="157.25"/>
    <x v="1"/>
    <s v="Card"/>
    <n v="4.2"/>
    <x v="0"/>
    <n v="128.94500000000002"/>
    <n v="4"/>
    <x v="0"/>
  </r>
  <r>
    <n v="2249"/>
    <n v="43"/>
    <x v="0"/>
    <x v="1"/>
    <x v="4"/>
    <s v="Snacks"/>
    <n v="20.079999999999998"/>
    <x v="3"/>
    <s v="Card"/>
    <n v="4.2"/>
    <x v="13"/>
    <n v="18.2728"/>
    <n v="2"/>
    <x v="1"/>
  </r>
  <r>
    <n v="2250"/>
    <n v="45"/>
    <x v="0"/>
    <x v="0"/>
    <x v="0"/>
    <s v="Sunglasses"/>
    <n v="50.5"/>
    <x v="0"/>
    <s v="Cash on Delivery"/>
    <n v="2.5"/>
    <x v="3"/>
    <n v="40.400000000000006"/>
    <n v="5"/>
    <x v="0"/>
  </r>
  <r>
    <n v="2251"/>
    <n v="57"/>
    <x v="0"/>
    <x v="0"/>
    <x v="8"/>
    <s v="Jeans"/>
    <n v="106.78"/>
    <x v="1"/>
    <s v="Card"/>
    <n v="5"/>
    <x v="24"/>
    <n v="76.881599999999992"/>
    <n v="9"/>
    <x v="2"/>
  </r>
  <r>
    <n v="2252"/>
    <n v="33"/>
    <x v="0"/>
    <x v="0"/>
    <x v="0"/>
    <s v="Wallet"/>
    <n v="21.35"/>
    <x v="2"/>
    <s v="Cash on Delivery"/>
    <n v="3.9"/>
    <x v="1"/>
    <n v="18.5745"/>
    <n v="4"/>
    <x v="0"/>
  </r>
  <r>
    <n v="2253"/>
    <n v="69"/>
    <x v="1"/>
    <x v="0"/>
    <x v="8"/>
    <s v="Top"/>
    <n v="59.4"/>
    <x v="1"/>
    <s v="Card"/>
    <n v="3.6"/>
    <x v="14"/>
    <n v="49.302"/>
    <n v="6"/>
    <x v="0"/>
  </r>
  <r>
    <n v="2254"/>
    <n v="60"/>
    <x v="0"/>
    <x v="1"/>
    <x v="2"/>
    <s v="Dumbbells"/>
    <n v="196.16"/>
    <x v="0"/>
    <s v="Card"/>
    <n v="1.9"/>
    <x v="17"/>
    <n v="188.31359999999998"/>
    <n v="2"/>
    <x v="1"/>
  </r>
  <r>
    <n v="2255"/>
    <n v="34"/>
    <x v="0"/>
    <x v="0"/>
    <x v="3"/>
    <s v="Kitchen Set"/>
    <n v="228.6"/>
    <x v="3"/>
    <s v="Card"/>
    <n v="3.6"/>
    <x v="10"/>
    <n v="178.30799999999999"/>
    <n v="6"/>
    <x v="0"/>
  </r>
  <r>
    <n v="2256"/>
    <n v="62"/>
    <x v="1"/>
    <x v="0"/>
    <x v="6"/>
    <s v="Makeup Set"/>
    <n v="146.15"/>
    <x v="0"/>
    <s v="Card"/>
    <n v="2.4"/>
    <x v="4"/>
    <n v="125.68900000000001"/>
    <n v="7"/>
    <x v="0"/>
  </r>
  <r>
    <n v="2257"/>
    <n v="44"/>
    <x v="0"/>
    <x v="0"/>
    <x v="6"/>
    <s v="Perfume"/>
    <n v="118.63"/>
    <x v="1"/>
    <s v="Card"/>
    <n v="3.1"/>
    <x v="5"/>
    <n v="109.1396"/>
    <n v="4"/>
    <x v="0"/>
  </r>
  <r>
    <n v="2258"/>
    <n v="21"/>
    <x v="2"/>
    <x v="1"/>
    <x v="5"/>
    <s v="Mobile Phone"/>
    <n v="1725.52"/>
    <x v="1"/>
    <s v="Card"/>
    <n v="4.3"/>
    <x v="7"/>
    <n v="1552.9680000000001"/>
    <n v="5"/>
    <x v="0"/>
  </r>
  <r>
    <n v="2259"/>
    <n v="42"/>
    <x v="0"/>
    <x v="1"/>
    <x v="7"/>
    <s v="Sandals"/>
    <n v="217.85"/>
    <x v="0"/>
    <s v="Card"/>
    <n v="4"/>
    <x v="11"/>
    <n v="161.209"/>
    <n v="8"/>
    <x v="2"/>
  </r>
  <r>
    <n v="2260"/>
    <n v="39"/>
    <x v="0"/>
    <x v="1"/>
    <x v="7"/>
    <s v="Formal Shoes"/>
    <n v="106.65"/>
    <x v="2"/>
    <s v="Card"/>
    <n v="4.4000000000000004"/>
    <x v="6"/>
    <n v="89.585999999999999"/>
    <n v="3"/>
    <x v="1"/>
  </r>
  <r>
    <n v="2261"/>
    <n v="44"/>
    <x v="0"/>
    <x v="0"/>
    <x v="2"/>
    <s v="Dumbbells"/>
    <n v="108.39"/>
    <x v="2"/>
    <s v="Card"/>
    <n v="3.3"/>
    <x v="22"/>
    <n v="83.460300000000004"/>
    <n v="9"/>
    <x v="2"/>
  </r>
  <r>
    <n v="2262"/>
    <n v="20"/>
    <x v="2"/>
    <x v="1"/>
    <x v="1"/>
    <s v="T-Shirt"/>
    <n v="167.57"/>
    <x v="2"/>
    <s v="Card"/>
    <n v="3.5"/>
    <x v="2"/>
    <n v="149.13729999999998"/>
    <n v="3"/>
    <x v="1"/>
  </r>
  <r>
    <n v="2263"/>
    <n v="57"/>
    <x v="0"/>
    <x v="0"/>
    <x v="6"/>
    <s v="Skincare Kit"/>
    <n v="102.35"/>
    <x v="0"/>
    <s v="Card"/>
    <n v="4"/>
    <x v="7"/>
    <n v="92.114999999999995"/>
    <n v="5"/>
    <x v="0"/>
  </r>
  <r>
    <n v="2264"/>
    <n v="44"/>
    <x v="0"/>
    <x v="1"/>
    <x v="1"/>
    <s v="Jacket"/>
    <n v="121.98"/>
    <x v="2"/>
    <s v="Card"/>
    <n v="2.2000000000000002"/>
    <x v="13"/>
    <n v="111.0018"/>
    <n v="2"/>
    <x v="1"/>
  </r>
  <r>
    <n v="2265"/>
    <n v="35"/>
    <x v="0"/>
    <x v="1"/>
    <x v="7"/>
    <s v="Formal Shoes"/>
    <n v="248.74"/>
    <x v="1"/>
    <s v="Card"/>
    <n v="2.5"/>
    <x v="4"/>
    <n v="213.91640000000001"/>
    <n v="2"/>
    <x v="1"/>
  </r>
  <r>
    <n v="2266"/>
    <n v="43"/>
    <x v="0"/>
    <x v="0"/>
    <x v="6"/>
    <s v="Perfume"/>
    <n v="73.459999999999994"/>
    <x v="2"/>
    <s v="Cash on Delivery"/>
    <n v="3.6"/>
    <x v="3"/>
    <n v="58.768000000000001"/>
    <n v="5"/>
    <x v="0"/>
  </r>
  <r>
    <n v="2267"/>
    <n v="29"/>
    <x v="2"/>
    <x v="1"/>
    <x v="5"/>
    <s v="Laptop"/>
    <n v="1145.69"/>
    <x v="2"/>
    <s v="Card"/>
    <n v="3.3"/>
    <x v="0"/>
    <n v="939.46580000000017"/>
    <n v="4"/>
    <x v="0"/>
  </r>
  <r>
    <n v="2268"/>
    <n v="21"/>
    <x v="2"/>
    <x v="0"/>
    <x v="4"/>
    <s v="Cooking Oil"/>
    <n v="52.42"/>
    <x v="3"/>
    <s v="Card"/>
    <n v="3.7"/>
    <x v="16"/>
    <n v="49.274799999999999"/>
    <n v="3"/>
    <x v="1"/>
  </r>
  <r>
    <n v="2269"/>
    <n v="50"/>
    <x v="0"/>
    <x v="1"/>
    <x v="1"/>
    <s v="Shirt"/>
    <n v="173.36"/>
    <x v="2"/>
    <s v="Card"/>
    <n v="3.5"/>
    <x v="17"/>
    <n v="166.4256"/>
    <n v="2"/>
    <x v="1"/>
  </r>
  <r>
    <n v="2270"/>
    <n v="51"/>
    <x v="0"/>
    <x v="1"/>
    <x v="5"/>
    <s v="Smart Watch"/>
    <n v="1611.83"/>
    <x v="1"/>
    <s v="Card"/>
    <n v="2.6"/>
    <x v="18"/>
    <n v="1224.9908"/>
    <n v="7"/>
    <x v="0"/>
  </r>
  <r>
    <n v="2271"/>
    <n v="49"/>
    <x v="0"/>
    <x v="0"/>
    <x v="8"/>
    <s v="Dress"/>
    <n v="189.27"/>
    <x v="3"/>
    <s v="Card"/>
    <n v="4.0999999999999996"/>
    <x v="8"/>
    <n v="166.55760000000001"/>
    <n v="1"/>
    <x v="1"/>
  </r>
  <r>
    <n v="2272"/>
    <n v="38"/>
    <x v="0"/>
    <x v="0"/>
    <x v="4"/>
    <s v="Cooking Oil"/>
    <n v="36.090000000000003"/>
    <x v="1"/>
    <s v="Cash on Delivery"/>
    <n v="3.3"/>
    <x v="23"/>
    <n v="33.563700000000004"/>
    <n v="1"/>
    <x v="1"/>
  </r>
  <r>
    <n v="2273"/>
    <n v="33"/>
    <x v="0"/>
    <x v="0"/>
    <x v="0"/>
    <s v="Wallet"/>
    <n v="107.15"/>
    <x v="1"/>
    <s v="Card"/>
    <n v="4.5"/>
    <x v="14"/>
    <n v="88.9345"/>
    <n v="6"/>
    <x v="0"/>
  </r>
  <r>
    <n v="2274"/>
    <n v="59"/>
    <x v="0"/>
    <x v="0"/>
    <x v="0"/>
    <s v="Sunglasses"/>
    <n v="23.3"/>
    <x v="1"/>
    <s v="Card"/>
    <n v="3.7"/>
    <x v="8"/>
    <n v="20.504000000000001"/>
    <n v="6"/>
    <x v="0"/>
  </r>
  <r>
    <n v="2275"/>
    <n v="51"/>
    <x v="0"/>
    <x v="0"/>
    <x v="4"/>
    <s v="Beverages"/>
    <n v="37.909999999999997"/>
    <x v="0"/>
    <s v="Cash on Delivery"/>
    <n v="4.2"/>
    <x v="3"/>
    <n v="30.327999999999999"/>
    <n v="5"/>
    <x v="0"/>
  </r>
  <r>
    <n v="2276"/>
    <n v="21"/>
    <x v="2"/>
    <x v="0"/>
    <x v="4"/>
    <s v="Beverages"/>
    <n v="14.56"/>
    <x v="0"/>
    <s v="Cash on Delivery"/>
    <n v="4.2"/>
    <x v="2"/>
    <n v="12.958400000000001"/>
    <n v="3"/>
    <x v="1"/>
  </r>
  <r>
    <n v="2277"/>
    <n v="25"/>
    <x v="2"/>
    <x v="0"/>
    <x v="6"/>
    <s v="Makeup Set"/>
    <n v="95.41"/>
    <x v="0"/>
    <s v="Cash on Delivery"/>
    <n v="2.7"/>
    <x v="0"/>
    <n v="78.236199999999997"/>
    <n v="4"/>
    <x v="0"/>
  </r>
  <r>
    <n v="2278"/>
    <n v="35"/>
    <x v="0"/>
    <x v="1"/>
    <x v="5"/>
    <s v="Smart Watch"/>
    <n v="549.72"/>
    <x v="0"/>
    <s v="Card"/>
    <n v="2.4"/>
    <x v="0"/>
    <n v="450.77040000000005"/>
    <n v="4"/>
    <x v="0"/>
  </r>
  <r>
    <n v="2279"/>
    <n v="21"/>
    <x v="2"/>
    <x v="1"/>
    <x v="5"/>
    <s v="Mobile Phone"/>
    <n v="2756.53"/>
    <x v="2"/>
    <s v="Card"/>
    <n v="3.4"/>
    <x v="17"/>
    <n v="2646.2688000000003"/>
    <n v="2"/>
    <x v="1"/>
  </r>
  <r>
    <n v="2280"/>
    <n v="44"/>
    <x v="0"/>
    <x v="0"/>
    <x v="7"/>
    <s v="Sandals"/>
    <n v="189.21"/>
    <x v="3"/>
    <s v="Card"/>
    <n v="5"/>
    <x v="8"/>
    <n v="166.50480000000002"/>
    <n v="6"/>
    <x v="0"/>
  </r>
  <r>
    <n v="2281"/>
    <n v="47"/>
    <x v="0"/>
    <x v="0"/>
    <x v="8"/>
    <s v="Top"/>
    <n v="110.42"/>
    <x v="0"/>
    <s v="Card"/>
    <n v="3.7"/>
    <x v="19"/>
    <n v="93.856999999999999"/>
    <n v="5"/>
    <x v="0"/>
  </r>
  <r>
    <n v="2282"/>
    <n v="24"/>
    <x v="2"/>
    <x v="1"/>
    <x v="5"/>
    <s v="Mobile Phone"/>
    <n v="1152.0999999999999"/>
    <x v="3"/>
    <s v="Card"/>
    <n v="3.8"/>
    <x v="14"/>
    <n v="956.24299999999982"/>
    <n v="6"/>
    <x v="0"/>
  </r>
  <r>
    <n v="2283"/>
    <n v="56"/>
    <x v="0"/>
    <x v="1"/>
    <x v="2"/>
    <s v="Dumbbells"/>
    <n v="114.65"/>
    <x v="1"/>
    <s v="Card"/>
    <n v="4"/>
    <x v="3"/>
    <n v="91.720000000000013"/>
    <n v="5"/>
    <x v="0"/>
  </r>
  <r>
    <n v="2284"/>
    <n v="42"/>
    <x v="0"/>
    <x v="0"/>
    <x v="2"/>
    <s v="Yoga Mat"/>
    <n v="41.07"/>
    <x v="1"/>
    <s v="Cash on Delivery"/>
    <n v="4.0999999999999996"/>
    <x v="8"/>
    <n v="36.141600000000004"/>
    <n v="6"/>
    <x v="0"/>
  </r>
  <r>
    <n v="2285"/>
    <n v="61"/>
    <x v="1"/>
    <x v="1"/>
    <x v="1"/>
    <s v="Shirt"/>
    <n v="74.099999999999994"/>
    <x v="0"/>
    <s v="Card"/>
    <n v="3.9"/>
    <x v="12"/>
    <n v="60.021000000000001"/>
    <n v="7"/>
    <x v="0"/>
  </r>
  <r>
    <n v="2286"/>
    <n v="53"/>
    <x v="0"/>
    <x v="0"/>
    <x v="3"/>
    <s v="Kitchen Set"/>
    <n v="168.46"/>
    <x v="0"/>
    <s v="Card"/>
    <n v="3"/>
    <x v="21"/>
    <n v="133.08340000000001"/>
    <n v="8"/>
    <x v="2"/>
  </r>
  <r>
    <n v="2287"/>
    <n v="39"/>
    <x v="0"/>
    <x v="1"/>
    <x v="5"/>
    <s v="Headphones"/>
    <n v="1717.63"/>
    <x v="0"/>
    <s v="Card"/>
    <n v="4.3"/>
    <x v="0"/>
    <n v="1408.4566000000002"/>
    <n v="4"/>
    <x v="0"/>
  </r>
  <r>
    <n v="2288"/>
    <n v="58"/>
    <x v="0"/>
    <x v="0"/>
    <x v="0"/>
    <s v="Wallet"/>
    <n v="74.28"/>
    <x v="2"/>
    <s v="Cash on Delivery"/>
    <n v="5"/>
    <x v="0"/>
    <n v="60.909600000000005"/>
    <n v="4"/>
    <x v="0"/>
  </r>
  <r>
    <n v="2289"/>
    <n v="70"/>
    <x v="1"/>
    <x v="0"/>
    <x v="4"/>
    <s v="Beverages"/>
    <n v="52.34"/>
    <x v="2"/>
    <s v="Card"/>
    <n v="3.8"/>
    <x v="0"/>
    <n v="42.918800000000005"/>
    <n v="4"/>
    <x v="0"/>
  </r>
  <r>
    <n v="2290"/>
    <n v="62"/>
    <x v="1"/>
    <x v="1"/>
    <x v="1"/>
    <s v="Shirt"/>
    <n v="174.7"/>
    <x v="2"/>
    <s v="Card"/>
    <n v="4.2"/>
    <x v="7"/>
    <n v="157.22999999999999"/>
    <n v="5"/>
    <x v="0"/>
  </r>
  <r>
    <n v="2291"/>
    <n v="45"/>
    <x v="0"/>
    <x v="1"/>
    <x v="2"/>
    <s v="Football"/>
    <n v="169.77"/>
    <x v="0"/>
    <s v="Card"/>
    <n v="4.5999999999999996"/>
    <x v="4"/>
    <n v="146.00220000000002"/>
    <n v="7"/>
    <x v="0"/>
  </r>
  <r>
    <n v="2292"/>
    <n v="60"/>
    <x v="0"/>
    <x v="1"/>
    <x v="7"/>
    <s v="Sandals"/>
    <n v="70.959999999999994"/>
    <x v="1"/>
    <s v="Card"/>
    <n v="3.6"/>
    <x v="3"/>
    <n v="56.768000000000001"/>
    <n v="5"/>
    <x v="0"/>
  </r>
  <r>
    <n v="2293"/>
    <n v="68"/>
    <x v="1"/>
    <x v="1"/>
    <x v="2"/>
    <s v="Football"/>
    <n v="177.66"/>
    <x v="3"/>
    <s v="Card"/>
    <n v="4.7"/>
    <x v="10"/>
    <n v="138.57480000000001"/>
    <n v="6"/>
    <x v="0"/>
  </r>
  <r>
    <n v="2294"/>
    <n v="58"/>
    <x v="0"/>
    <x v="0"/>
    <x v="0"/>
    <s v="Handbag"/>
    <n v="114.19"/>
    <x v="1"/>
    <s v="Card"/>
    <n v="1.8"/>
    <x v="7"/>
    <n v="102.771"/>
    <n v="5"/>
    <x v="0"/>
  </r>
  <r>
    <n v="2295"/>
    <n v="66"/>
    <x v="1"/>
    <x v="1"/>
    <x v="2"/>
    <s v="Yoga Mat"/>
    <n v="242.46"/>
    <x v="1"/>
    <s v="Card"/>
    <n v="3.9"/>
    <x v="8"/>
    <n v="213.3648"/>
    <n v="6"/>
    <x v="0"/>
  </r>
  <r>
    <n v="2296"/>
    <n v="51"/>
    <x v="0"/>
    <x v="0"/>
    <x v="0"/>
    <s v="Wallet"/>
    <n v="140.91999999999999"/>
    <x v="1"/>
    <s v="Card"/>
    <n v="2.7"/>
    <x v="24"/>
    <n v="101.46239999999999"/>
    <n v="9"/>
    <x v="2"/>
  </r>
  <r>
    <n v="2297"/>
    <n v="55"/>
    <x v="0"/>
    <x v="0"/>
    <x v="7"/>
    <s v="Sneakers"/>
    <n v="81.99"/>
    <x v="3"/>
    <s v="Cash on Delivery"/>
    <n v="4.7"/>
    <x v="0"/>
    <n v="67.231800000000007"/>
    <n v="9"/>
    <x v="2"/>
  </r>
  <r>
    <n v="2298"/>
    <n v="50"/>
    <x v="0"/>
    <x v="1"/>
    <x v="7"/>
    <s v="Sandals"/>
    <n v="72.37"/>
    <x v="0"/>
    <s v="Card"/>
    <n v="4.2"/>
    <x v="8"/>
    <n v="63.685600000000001"/>
    <n v="6"/>
    <x v="0"/>
  </r>
  <r>
    <n v="2299"/>
    <n v="36"/>
    <x v="0"/>
    <x v="0"/>
    <x v="7"/>
    <s v="Sandals"/>
    <n v="174.35"/>
    <x v="0"/>
    <s v="Card"/>
    <n v="4.2"/>
    <x v="6"/>
    <n v="146.45399999999998"/>
    <n v="3"/>
    <x v="1"/>
  </r>
  <r>
    <n v="2300"/>
    <n v="31"/>
    <x v="0"/>
    <x v="1"/>
    <x v="1"/>
    <s v="Jeans"/>
    <n v="78.33"/>
    <x v="3"/>
    <s v="Cash on Delivery"/>
    <n v="3.5"/>
    <x v="0"/>
    <n v="64.23060000000001"/>
    <n v="9"/>
    <x v="2"/>
  </r>
  <r>
    <n v="2301"/>
    <n v="44"/>
    <x v="0"/>
    <x v="0"/>
    <x v="6"/>
    <s v="Perfume"/>
    <n v="39.78"/>
    <x v="3"/>
    <s v="Cash on Delivery"/>
    <n v="3.2"/>
    <x v="4"/>
    <n v="34.210799999999999"/>
    <n v="2"/>
    <x v="1"/>
  </r>
  <r>
    <n v="2302"/>
    <n v="48"/>
    <x v="0"/>
    <x v="1"/>
    <x v="1"/>
    <s v="Shirt"/>
    <n v="185.38"/>
    <x v="2"/>
    <s v="Card"/>
    <n v="4"/>
    <x v="21"/>
    <n v="146.4502"/>
    <n v="8"/>
    <x v="2"/>
  </r>
  <r>
    <n v="2303"/>
    <n v="56"/>
    <x v="0"/>
    <x v="1"/>
    <x v="5"/>
    <s v="Laptop"/>
    <n v="1705.8"/>
    <x v="2"/>
    <s v="Card"/>
    <n v="4.4000000000000004"/>
    <x v="8"/>
    <n v="1501.104"/>
    <n v="6"/>
    <x v="0"/>
  </r>
  <r>
    <n v="2304"/>
    <n v="64"/>
    <x v="1"/>
    <x v="0"/>
    <x v="3"/>
    <s v="Curtains"/>
    <n v="169.94"/>
    <x v="2"/>
    <s v="Card"/>
    <n v="4.5"/>
    <x v="2"/>
    <n v="151.2466"/>
    <n v="3"/>
    <x v="1"/>
  </r>
  <r>
    <n v="2305"/>
    <n v="61"/>
    <x v="1"/>
    <x v="0"/>
    <x v="7"/>
    <s v="Formal Shoes"/>
    <n v="50"/>
    <x v="3"/>
    <s v="Cash on Delivery"/>
    <n v="3.8"/>
    <x v="19"/>
    <n v="42.5"/>
    <n v="5"/>
    <x v="0"/>
  </r>
  <r>
    <n v="2306"/>
    <n v="27"/>
    <x v="2"/>
    <x v="0"/>
    <x v="8"/>
    <s v="Jeans"/>
    <n v="60.07"/>
    <x v="0"/>
    <s v="Cash on Delivery"/>
    <n v="4.2"/>
    <x v="1"/>
    <n v="52.260899999999999"/>
    <n v="4"/>
    <x v="0"/>
  </r>
  <r>
    <n v="2307"/>
    <n v="27"/>
    <x v="2"/>
    <x v="0"/>
    <x v="0"/>
    <s v="Sunglasses"/>
    <n v="20.49"/>
    <x v="1"/>
    <s v="Card"/>
    <n v="4.7"/>
    <x v="12"/>
    <n v="16.596900000000002"/>
    <n v="7"/>
    <x v="0"/>
  </r>
  <r>
    <n v="2308"/>
    <n v="50"/>
    <x v="0"/>
    <x v="0"/>
    <x v="0"/>
    <s v="Wallet"/>
    <n v="140.16"/>
    <x v="3"/>
    <s v="Card"/>
    <n v="4.5"/>
    <x v="13"/>
    <n v="127.54560000000001"/>
    <n v="2"/>
    <x v="1"/>
  </r>
  <r>
    <n v="2309"/>
    <n v="21"/>
    <x v="2"/>
    <x v="0"/>
    <x v="6"/>
    <s v="Makeup Set"/>
    <n v="108.17"/>
    <x v="0"/>
    <s v="Card"/>
    <n v="4.5"/>
    <x v="8"/>
    <n v="95.189599999999999"/>
    <n v="6"/>
    <x v="0"/>
  </r>
  <r>
    <n v="2310"/>
    <n v="65"/>
    <x v="1"/>
    <x v="1"/>
    <x v="2"/>
    <s v="Football"/>
    <n v="153.65"/>
    <x v="0"/>
    <s v="Card"/>
    <n v="2.9"/>
    <x v="22"/>
    <n v="118.3105"/>
    <n v="9"/>
    <x v="2"/>
  </r>
  <r>
    <n v="2311"/>
    <n v="68"/>
    <x v="1"/>
    <x v="1"/>
    <x v="7"/>
    <s v="Sneakers"/>
    <n v="224.62"/>
    <x v="3"/>
    <s v="Card"/>
    <n v="3.9"/>
    <x v="17"/>
    <n v="215.6352"/>
    <n v="2"/>
    <x v="1"/>
  </r>
  <r>
    <n v="2312"/>
    <n v="45"/>
    <x v="0"/>
    <x v="1"/>
    <x v="2"/>
    <s v="Football"/>
    <n v="111.02"/>
    <x v="2"/>
    <s v="Card"/>
    <n v="3.4"/>
    <x v="7"/>
    <n v="99.917999999999992"/>
    <n v="5"/>
    <x v="0"/>
  </r>
  <r>
    <n v="2313"/>
    <n v="34"/>
    <x v="0"/>
    <x v="1"/>
    <x v="1"/>
    <s v="T-Shirt"/>
    <n v="149.08000000000001"/>
    <x v="3"/>
    <s v="Card"/>
    <n v="3.8"/>
    <x v="3"/>
    <n v="119.26400000000001"/>
    <n v="5"/>
    <x v="0"/>
  </r>
  <r>
    <n v="2314"/>
    <n v="25"/>
    <x v="2"/>
    <x v="1"/>
    <x v="4"/>
    <s v="Snacks"/>
    <n v="13.2"/>
    <x v="0"/>
    <s v="Card"/>
    <n v="3.9"/>
    <x v="11"/>
    <n v="9.7679999999999989"/>
    <n v="8"/>
    <x v="2"/>
  </r>
  <r>
    <n v="2315"/>
    <n v="37"/>
    <x v="0"/>
    <x v="1"/>
    <x v="3"/>
    <s v="Lamp"/>
    <n v="64.239999999999995"/>
    <x v="3"/>
    <s v="Card"/>
    <n v="3.6"/>
    <x v="17"/>
    <n v="61.670399999999994"/>
    <n v="2"/>
    <x v="1"/>
  </r>
  <r>
    <n v="2316"/>
    <n v="41"/>
    <x v="0"/>
    <x v="1"/>
    <x v="2"/>
    <s v="Yoga Mat"/>
    <n v="124.84"/>
    <x v="0"/>
    <s v="Card"/>
    <n v="3.9"/>
    <x v="10"/>
    <n v="97.375200000000007"/>
    <n v="6"/>
    <x v="0"/>
  </r>
  <r>
    <n v="2317"/>
    <n v="68"/>
    <x v="1"/>
    <x v="1"/>
    <x v="7"/>
    <s v="Sandals"/>
    <n v="102.27"/>
    <x v="3"/>
    <s v="Card"/>
    <n v="3.9"/>
    <x v="8"/>
    <n v="89.997599999999991"/>
    <n v="6"/>
    <x v="0"/>
  </r>
  <r>
    <n v="2318"/>
    <n v="46"/>
    <x v="0"/>
    <x v="0"/>
    <x v="3"/>
    <s v="Curtains"/>
    <n v="186.17"/>
    <x v="1"/>
    <s v="Card"/>
    <n v="3.7"/>
    <x v="10"/>
    <n v="145.21260000000001"/>
    <n v="6"/>
    <x v="0"/>
  </r>
  <r>
    <n v="2319"/>
    <n v="39"/>
    <x v="0"/>
    <x v="0"/>
    <x v="8"/>
    <s v="Top"/>
    <n v="143.51"/>
    <x v="3"/>
    <s v="Card"/>
    <n v="3.7"/>
    <x v="10"/>
    <n v="111.9378"/>
    <n v="6"/>
    <x v="0"/>
  </r>
  <r>
    <n v="2320"/>
    <n v="53"/>
    <x v="0"/>
    <x v="1"/>
    <x v="7"/>
    <s v="Sneakers"/>
    <n v="97.72"/>
    <x v="0"/>
    <s v="Card"/>
    <n v="3.3"/>
    <x v="18"/>
    <n v="74.267200000000003"/>
    <n v="7"/>
    <x v="0"/>
  </r>
  <r>
    <n v="2321"/>
    <n v="47"/>
    <x v="0"/>
    <x v="0"/>
    <x v="2"/>
    <s v="Football"/>
    <n v="212.99"/>
    <x v="0"/>
    <s v="Card"/>
    <n v="4.0999999999999996"/>
    <x v="19"/>
    <n v="181.04150000000001"/>
    <n v="5"/>
    <x v="0"/>
  </r>
  <r>
    <n v="2322"/>
    <n v="70"/>
    <x v="1"/>
    <x v="0"/>
    <x v="0"/>
    <s v="Sunglasses"/>
    <n v="149.53"/>
    <x v="3"/>
    <s v="Card"/>
    <n v="3.8"/>
    <x v="5"/>
    <n v="137.5676"/>
    <n v="4"/>
    <x v="0"/>
  </r>
  <r>
    <n v="2323"/>
    <n v="27"/>
    <x v="2"/>
    <x v="1"/>
    <x v="7"/>
    <s v="Sneakers"/>
    <n v="104.13"/>
    <x v="2"/>
    <s v="Card"/>
    <n v="3"/>
    <x v="12"/>
    <n v="84.345300000000009"/>
    <n v="7"/>
    <x v="0"/>
  </r>
  <r>
    <n v="2324"/>
    <n v="66"/>
    <x v="1"/>
    <x v="1"/>
    <x v="7"/>
    <s v="Sneakers"/>
    <n v="86.86"/>
    <x v="1"/>
    <s v="Cash on Delivery"/>
    <n v="2.6"/>
    <x v="8"/>
    <n v="76.436800000000005"/>
    <n v="6"/>
    <x v="0"/>
  </r>
  <r>
    <n v="2325"/>
    <n v="50"/>
    <x v="0"/>
    <x v="1"/>
    <x v="7"/>
    <s v="Sneakers"/>
    <n v="155.91999999999999"/>
    <x v="2"/>
    <s v="Card"/>
    <n v="2.6"/>
    <x v="16"/>
    <n v="146.56479999999999"/>
    <n v="3"/>
    <x v="1"/>
  </r>
  <r>
    <n v="2326"/>
    <n v="46"/>
    <x v="0"/>
    <x v="0"/>
    <x v="6"/>
    <s v="Skincare Kit"/>
    <n v="42.37"/>
    <x v="3"/>
    <s v="Card"/>
    <n v="3.3"/>
    <x v="2"/>
    <n v="37.709299999999999"/>
    <n v="3"/>
    <x v="1"/>
  </r>
  <r>
    <n v="2327"/>
    <n v="34"/>
    <x v="0"/>
    <x v="1"/>
    <x v="1"/>
    <s v="T-Shirt"/>
    <n v="55.77"/>
    <x v="0"/>
    <s v="Card"/>
    <n v="2.4"/>
    <x v="7"/>
    <n v="50.193000000000005"/>
    <n v="5"/>
    <x v="0"/>
  </r>
  <r>
    <n v="2328"/>
    <n v="35"/>
    <x v="0"/>
    <x v="0"/>
    <x v="7"/>
    <s v="Sandals"/>
    <n v="202.39"/>
    <x v="2"/>
    <s v="Card"/>
    <n v="2.5"/>
    <x v="2"/>
    <n v="180.12709999999998"/>
    <n v="3"/>
    <x v="1"/>
  </r>
  <r>
    <n v="2329"/>
    <n v="30"/>
    <x v="2"/>
    <x v="0"/>
    <x v="6"/>
    <s v="Makeup Set"/>
    <n v="146.26"/>
    <x v="2"/>
    <s v="Card"/>
    <n v="3.9"/>
    <x v="23"/>
    <n v="136.02179999999998"/>
    <n v="1"/>
    <x v="1"/>
  </r>
  <r>
    <n v="2330"/>
    <n v="64"/>
    <x v="1"/>
    <x v="1"/>
    <x v="5"/>
    <s v="Headphones"/>
    <n v="1531.63"/>
    <x v="1"/>
    <s v="Card"/>
    <n v="4.0999999999999996"/>
    <x v="24"/>
    <n v="1102.7736"/>
    <n v="9"/>
    <x v="2"/>
  </r>
  <r>
    <n v="2331"/>
    <n v="42"/>
    <x v="0"/>
    <x v="1"/>
    <x v="7"/>
    <s v="Sandals"/>
    <n v="53.4"/>
    <x v="3"/>
    <s v="Cash on Delivery"/>
    <n v="4.4000000000000004"/>
    <x v="6"/>
    <n v="44.855999999999995"/>
    <n v="3"/>
    <x v="1"/>
  </r>
  <r>
    <n v="2332"/>
    <n v="70"/>
    <x v="1"/>
    <x v="1"/>
    <x v="3"/>
    <s v="Curtains"/>
    <n v="255.78"/>
    <x v="0"/>
    <s v="Card"/>
    <n v="2.9"/>
    <x v="3"/>
    <n v="204.62400000000002"/>
    <n v="5"/>
    <x v="0"/>
  </r>
  <r>
    <n v="2333"/>
    <n v="48"/>
    <x v="0"/>
    <x v="0"/>
    <x v="8"/>
    <s v="Skirt"/>
    <n v="171.19"/>
    <x v="2"/>
    <s v="Card"/>
    <n v="3.8"/>
    <x v="4"/>
    <n v="147.2234"/>
    <n v="7"/>
    <x v="0"/>
  </r>
  <r>
    <n v="2334"/>
    <n v="43"/>
    <x v="0"/>
    <x v="0"/>
    <x v="0"/>
    <s v="Handbag"/>
    <n v="38.450000000000003"/>
    <x v="2"/>
    <s v="Card"/>
    <n v="4.2"/>
    <x v="12"/>
    <n v="31.144500000000004"/>
    <n v="7"/>
    <x v="0"/>
  </r>
  <r>
    <n v="2335"/>
    <n v="68"/>
    <x v="1"/>
    <x v="1"/>
    <x v="7"/>
    <s v="Formal Shoes"/>
    <n v="117.49"/>
    <x v="0"/>
    <s v="Card"/>
    <n v="4.3"/>
    <x v="12"/>
    <n v="95.166899999999998"/>
    <n v="7"/>
    <x v="0"/>
  </r>
  <r>
    <n v="2336"/>
    <n v="64"/>
    <x v="1"/>
    <x v="1"/>
    <x v="4"/>
    <s v="Cooking Oil"/>
    <n v="8.3699999999999992"/>
    <x v="3"/>
    <s v="Cash on Delivery"/>
    <n v="4.4000000000000004"/>
    <x v="10"/>
    <n v="6.5286"/>
    <n v="11"/>
    <x v="2"/>
  </r>
  <r>
    <n v="2337"/>
    <n v="45"/>
    <x v="0"/>
    <x v="1"/>
    <x v="1"/>
    <s v="Shirt"/>
    <n v="157.65"/>
    <x v="2"/>
    <s v="Card"/>
    <n v="2.7"/>
    <x v="19"/>
    <n v="134.0025"/>
    <n v="5"/>
    <x v="0"/>
  </r>
  <r>
    <n v="2338"/>
    <n v="37"/>
    <x v="0"/>
    <x v="0"/>
    <x v="0"/>
    <s v="Sunglasses"/>
    <n v="172.44"/>
    <x v="3"/>
    <s v="Card"/>
    <n v="3.9"/>
    <x v="0"/>
    <n v="141.4008"/>
    <n v="9"/>
    <x v="2"/>
  </r>
  <r>
    <n v="2339"/>
    <n v="55"/>
    <x v="0"/>
    <x v="0"/>
    <x v="0"/>
    <s v="Wallet"/>
    <n v="109.99"/>
    <x v="3"/>
    <s v="Card"/>
    <n v="3.8"/>
    <x v="16"/>
    <n v="103.39059999999999"/>
    <n v="3"/>
    <x v="1"/>
  </r>
  <r>
    <n v="2340"/>
    <n v="26"/>
    <x v="2"/>
    <x v="1"/>
    <x v="7"/>
    <s v="Sandals"/>
    <n v="123.73"/>
    <x v="1"/>
    <s v="Card"/>
    <n v="3.3"/>
    <x v="22"/>
    <n v="95.272100000000009"/>
    <n v="9"/>
    <x v="2"/>
  </r>
  <r>
    <n v="2341"/>
    <n v="66"/>
    <x v="1"/>
    <x v="0"/>
    <x v="6"/>
    <s v="Skincare Kit"/>
    <n v="102.25"/>
    <x v="1"/>
    <s v="Card"/>
    <n v="3.4"/>
    <x v="6"/>
    <n v="85.89"/>
    <n v="3"/>
    <x v="1"/>
  </r>
  <r>
    <n v="2342"/>
    <n v="49"/>
    <x v="0"/>
    <x v="0"/>
    <x v="8"/>
    <s v="Dress"/>
    <n v="46.77"/>
    <x v="3"/>
    <s v="Cash on Delivery"/>
    <n v="4.4000000000000004"/>
    <x v="4"/>
    <n v="40.222200000000001"/>
    <n v="2"/>
    <x v="1"/>
  </r>
  <r>
    <n v="2343"/>
    <n v="52"/>
    <x v="0"/>
    <x v="1"/>
    <x v="7"/>
    <s v="Sandals"/>
    <n v="107.99"/>
    <x v="2"/>
    <s v="Card"/>
    <n v="3.7"/>
    <x v="4"/>
    <n v="92.871399999999994"/>
    <n v="7"/>
    <x v="0"/>
  </r>
  <r>
    <n v="2344"/>
    <n v="57"/>
    <x v="0"/>
    <x v="0"/>
    <x v="2"/>
    <s v="Yoga Mat"/>
    <n v="133.57"/>
    <x v="0"/>
    <s v="Card"/>
    <n v="3.8"/>
    <x v="18"/>
    <n v="101.5132"/>
    <n v="7"/>
    <x v="0"/>
  </r>
  <r>
    <n v="2345"/>
    <n v="66"/>
    <x v="1"/>
    <x v="1"/>
    <x v="1"/>
    <s v="T-Shirt"/>
    <n v="95.73"/>
    <x v="2"/>
    <s v="Cash on Delivery"/>
    <n v="2.7"/>
    <x v="12"/>
    <n v="77.541300000000007"/>
    <n v="7"/>
    <x v="0"/>
  </r>
  <r>
    <n v="2346"/>
    <n v="55"/>
    <x v="0"/>
    <x v="1"/>
    <x v="7"/>
    <s v="Sandals"/>
    <n v="97.58"/>
    <x v="1"/>
    <s v="Card"/>
    <n v="3.5"/>
    <x v="6"/>
    <n v="81.967199999999991"/>
    <n v="3"/>
    <x v="1"/>
  </r>
  <r>
    <n v="2347"/>
    <n v="34"/>
    <x v="0"/>
    <x v="0"/>
    <x v="7"/>
    <s v="Sandals"/>
    <n v="46.66"/>
    <x v="0"/>
    <s v="Card"/>
    <n v="4.0999999999999996"/>
    <x v="19"/>
    <n v="39.660999999999994"/>
    <n v="5"/>
    <x v="0"/>
  </r>
  <r>
    <n v="2348"/>
    <n v="57"/>
    <x v="0"/>
    <x v="0"/>
    <x v="8"/>
    <s v="Skirt"/>
    <n v="120.4"/>
    <x v="1"/>
    <s v="Card"/>
    <n v="3.5"/>
    <x v="0"/>
    <n v="98.728000000000009"/>
    <n v="4"/>
    <x v="0"/>
  </r>
  <r>
    <n v="2349"/>
    <n v="25"/>
    <x v="2"/>
    <x v="0"/>
    <x v="4"/>
    <s v="Beverages"/>
    <n v="32.25"/>
    <x v="2"/>
    <s v="Cash on Delivery"/>
    <n v="3.5"/>
    <x v="19"/>
    <n v="27.412499999999998"/>
    <n v="5"/>
    <x v="0"/>
  </r>
  <r>
    <n v="2350"/>
    <n v="56"/>
    <x v="0"/>
    <x v="0"/>
    <x v="6"/>
    <s v="Makeup Set"/>
    <n v="140.52000000000001"/>
    <x v="0"/>
    <s v="Card"/>
    <n v="3.7"/>
    <x v="16"/>
    <n v="132.08879999999999"/>
    <n v="3"/>
    <x v="1"/>
  </r>
  <r>
    <n v="2351"/>
    <n v="63"/>
    <x v="1"/>
    <x v="1"/>
    <x v="1"/>
    <s v="T-Shirt"/>
    <n v="56.51"/>
    <x v="1"/>
    <s v="Card"/>
    <n v="3.4"/>
    <x v="1"/>
    <n v="49.163699999999999"/>
    <n v="4"/>
    <x v="0"/>
  </r>
  <r>
    <n v="2352"/>
    <n v="41"/>
    <x v="0"/>
    <x v="1"/>
    <x v="5"/>
    <s v="Smart Watch"/>
    <n v="1053.68"/>
    <x v="3"/>
    <s v="Card"/>
    <n v="3.5"/>
    <x v="16"/>
    <n v="990.45920000000001"/>
    <n v="3"/>
    <x v="1"/>
  </r>
  <r>
    <n v="2353"/>
    <n v="57"/>
    <x v="0"/>
    <x v="1"/>
    <x v="1"/>
    <s v="Shirt"/>
    <n v="147.72999999999999"/>
    <x v="2"/>
    <s v="Card"/>
    <n v="3.6"/>
    <x v="19"/>
    <n v="125.57049999999998"/>
    <n v="5"/>
    <x v="0"/>
  </r>
  <r>
    <n v="2354"/>
    <n v="29"/>
    <x v="2"/>
    <x v="0"/>
    <x v="3"/>
    <s v="Curtains"/>
    <n v="58.79"/>
    <x v="0"/>
    <s v="Cash on Delivery"/>
    <n v="2.4"/>
    <x v="0"/>
    <n v="48.207800000000006"/>
    <n v="9"/>
    <x v="2"/>
  </r>
  <r>
    <n v="2355"/>
    <n v="52"/>
    <x v="0"/>
    <x v="0"/>
    <x v="4"/>
    <s v="Rice Pack"/>
    <n v="17.37"/>
    <x v="2"/>
    <s v="Cash on Delivery"/>
    <n v="4.3"/>
    <x v="14"/>
    <n v="14.4171"/>
    <n v="6"/>
    <x v="0"/>
  </r>
  <r>
    <n v="2356"/>
    <n v="59"/>
    <x v="0"/>
    <x v="0"/>
    <x v="0"/>
    <s v="Wallet"/>
    <n v="153.74"/>
    <x v="2"/>
    <s v="Card"/>
    <n v="4"/>
    <x v="19"/>
    <n v="130.679"/>
    <n v="5"/>
    <x v="0"/>
  </r>
  <r>
    <n v="2357"/>
    <n v="70"/>
    <x v="1"/>
    <x v="1"/>
    <x v="4"/>
    <s v="Cooking Oil"/>
    <n v="22.29"/>
    <x v="2"/>
    <s v="Cash on Delivery"/>
    <n v="4.2"/>
    <x v="8"/>
    <n v="19.615199999999998"/>
    <n v="6"/>
    <x v="0"/>
  </r>
  <r>
    <n v="2358"/>
    <n v="50"/>
    <x v="0"/>
    <x v="0"/>
    <x v="6"/>
    <s v="Makeup Set"/>
    <n v="29.51"/>
    <x v="1"/>
    <s v="Cash on Delivery"/>
    <n v="4.2"/>
    <x v="30"/>
    <n v="19.476599999999998"/>
    <n v="12"/>
    <x v="2"/>
  </r>
  <r>
    <n v="2359"/>
    <n v="24"/>
    <x v="2"/>
    <x v="1"/>
    <x v="2"/>
    <s v="Yoga Mat"/>
    <n v="232.38"/>
    <x v="1"/>
    <s v="Card"/>
    <n v="4.7"/>
    <x v="10"/>
    <n v="181.25640000000001"/>
    <n v="6"/>
    <x v="0"/>
  </r>
  <r>
    <n v="2360"/>
    <n v="45"/>
    <x v="0"/>
    <x v="0"/>
    <x v="2"/>
    <s v="Yoga Mat"/>
    <n v="107.39"/>
    <x v="1"/>
    <s v="Card"/>
    <n v="4.0999999999999996"/>
    <x v="8"/>
    <n v="94.503200000000007"/>
    <n v="6"/>
    <x v="0"/>
  </r>
  <r>
    <n v="2361"/>
    <n v="59"/>
    <x v="0"/>
    <x v="0"/>
    <x v="0"/>
    <s v="Handbag"/>
    <n v="97.16"/>
    <x v="2"/>
    <s v="Cash on Delivery"/>
    <n v="2.9"/>
    <x v="14"/>
    <n v="80.642799999999994"/>
    <n v="6"/>
    <x v="0"/>
  </r>
  <r>
    <n v="2362"/>
    <n v="46"/>
    <x v="0"/>
    <x v="1"/>
    <x v="2"/>
    <s v="Dumbbells"/>
    <n v="173.47"/>
    <x v="1"/>
    <s v="Card"/>
    <n v="4"/>
    <x v="18"/>
    <n v="131.8372"/>
    <n v="7"/>
    <x v="0"/>
  </r>
  <r>
    <n v="2363"/>
    <n v="42"/>
    <x v="0"/>
    <x v="0"/>
    <x v="7"/>
    <s v="Formal Shoes"/>
    <n v="119.21"/>
    <x v="3"/>
    <s v="Card"/>
    <n v="2.7"/>
    <x v="16"/>
    <n v="112.05739999999999"/>
    <n v="3"/>
    <x v="1"/>
  </r>
  <r>
    <n v="2364"/>
    <n v="56"/>
    <x v="0"/>
    <x v="1"/>
    <x v="2"/>
    <s v="Yoga Mat"/>
    <n v="39.86"/>
    <x v="2"/>
    <s v="Card"/>
    <n v="2.9"/>
    <x v="17"/>
    <n v="38.265599999999999"/>
    <n v="2"/>
    <x v="1"/>
  </r>
  <r>
    <n v="2365"/>
    <n v="22"/>
    <x v="2"/>
    <x v="1"/>
    <x v="5"/>
    <s v="Smart Watch"/>
    <n v="504.91"/>
    <x v="3"/>
    <s v="Card"/>
    <n v="3.8"/>
    <x v="19"/>
    <n v="429.17349999999999"/>
    <n v="5"/>
    <x v="0"/>
  </r>
  <r>
    <n v="2366"/>
    <n v="45"/>
    <x v="0"/>
    <x v="1"/>
    <x v="7"/>
    <s v="Sneakers"/>
    <n v="96.52"/>
    <x v="1"/>
    <s v="Cash on Delivery"/>
    <n v="3.3"/>
    <x v="2"/>
    <n v="85.902799999999999"/>
    <n v="3"/>
    <x v="1"/>
  </r>
  <r>
    <n v="2367"/>
    <n v="34"/>
    <x v="0"/>
    <x v="1"/>
    <x v="7"/>
    <s v="Formal Shoes"/>
    <n v="109.16"/>
    <x v="1"/>
    <s v="Card"/>
    <n v="3.7"/>
    <x v="1"/>
    <n v="94.969200000000001"/>
    <n v="4"/>
    <x v="0"/>
  </r>
  <r>
    <n v="2368"/>
    <n v="69"/>
    <x v="1"/>
    <x v="0"/>
    <x v="0"/>
    <s v="Wallet"/>
    <n v="145.25"/>
    <x v="2"/>
    <s v="Card"/>
    <n v="4.7"/>
    <x v="2"/>
    <n v="129.27250000000001"/>
    <n v="3"/>
    <x v="1"/>
  </r>
  <r>
    <n v="2369"/>
    <n v="57"/>
    <x v="0"/>
    <x v="0"/>
    <x v="8"/>
    <s v="Top"/>
    <n v="193.36"/>
    <x v="3"/>
    <s v="Card"/>
    <n v="3.8"/>
    <x v="3"/>
    <n v="154.68800000000002"/>
    <n v="5"/>
    <x v="0"/>
  </r>
  <r>
    <n v="2370"/>
    <n v="36"/>
    <x v="0"/>
    <x v="1"/>
    <x v="7"/>
    <s v="Sandals"/>
    <n v="116.93"/>
    <x v="0"/>
    <s v="Card"/>
    <n v="4.8"/>
    <x v="20"/>
    <n v="79.5124"/>
    <n v="11"/>
    <x v="2"/>
  </r>
  <r>
    <n v="2371"/>
    <n v="53"/>
    <x v="0"/>
    <x v="0"/>
    <x v="0"/>
    <s v="Sunglasses"/>
    <n v="152.31"/>
    <x v="2"/>
    <s v="Card"/>
    <n v="4.7"/>
    <x v="0"/>
    <n v="124.89420000000001"/>
    <n v="4"/>
    <x v="0"/>
  </r>
  <r>
    <n v="2372"/>
    <n v="27"/>
    <x v="2"/>
    <x v="1"/>
    <x v="2"/>
    <s v="Yoga Mat"/>
    <n v="52.75"/>
    <x v="1"/>
    <s v="Card"/>
    <n v="3.8"/>
    <x v="12"/>
    <n v="42.727500000000006"/>
    <n v="7"/>
    <x v="0"/>
  </r>
  <r>
    <n v="2373"/>
    <n v="49"/>
    <x v="0"/>
    <x v="0"/>
    <x v="6"/>
    <s v="Skincare Kit"/>
    <n v="141.08000000000001"/>
    <x v="3"/>
    <s v="Card"/>
    <n v="4.5"/>
    <x v="22"/>
    <n v="108.63160000000001"/>
    <n v="9"/>
    <x v="2"/>
  </r>
  <r>
    <n v="2374"/>
    <n v="45"/>
    <x v="0"/>
    <x v="0"/>
    <x v="4"/>
    <s v="Snacks"/>
    <n v="79"/>
    <x v="1"/>
    <s v="Cash on Delivery"/>
    <n v="3.1"/>
    <x v="2"/>
    <n v="70.31"/>
    <n v="3"/>
    <x v="1"/>
  </r>
  <r>
    <n v="2375"/>
    <n v="58"/>
    <x v="0"/>
    <x v="0"/>
    <x v="3"/>
    <s v="Curtains"/>
    <n v="53.86"/>
    <x v="1"/>
    <s v="Card"/>
    <n v="4"/>
    <x v="5"/>
    <n v="49.551200000000001"/>
    <n v="4"/>
    <x v="0"/>
  </r>
  <r>
    <n v="2376"/>
    <n v="57"/>
    <x v="0"/>
    <x v="1"/>
    <x v="2"/>
    <s v="Dumbbells"/>
    <n v="143.78"/>
    <x v="3"/>
    <s v="Card"/>
    <n v="3.1"/>
    <x v="5"/>
    <n v="132.27760000000001"/>
    <n v="4"/>
    <x v="0"/>
  </r>
  <r>
    <n v="2377"/>
    <n v="50"/>
    <x v="0"/>
    <x v="0"/>
    <x v="7"/>
    <s v="Sandals"/>
    <n v="225.05"/>
    <x v="3"/>
    <s v="Card"/>
    <n v="3.8"/>
    <x v="2"/>
    <n v="200.2945"/>
    <n v="3"/>
    <x v="1"/>
  </r>
  <r>
    <n v="2378"/>
    <n v="26"/>
    <x v="2"/>
    <x v="1"/>
    <x v="2"/>
    <s v="Dumbbells"/>
    <n v="180.74"/>
    <x v="1"/>
    <s v="Card"/>
    <n v="4.2"/>
    <x v="20"/>
    <n v="122.9032"/>
    <n v="11"/>
    <x v="2"/>
  </r>
  <r>
    <n v="2379"/>
    <n v="31"/>
    <x v="0"/>
    <x v="1"/>
    <x v="2"/>
    <s v="Football"/>
    <n v="197.61"/>
    <x v="0"/>
    <s v="Card"/>
    <n v="3.5"/>
    <x v="8"/>
    <n v="173.89680000000001"/>
    <n v="6"/>
    <x v="0"/>
  </r>
  <r>
    <n v="2380"/>
    <n v="59"/>
    <x v="0"/>
    <x v="0"/>
    <x v="8"/>
    <s v="Top"/>
    <n v="192.86"/>
    <x v="1"/>
    <s v="Card"/>
    <n v="4.2"/>
    <x v="0"/>
    <n v="158.14520000000002"/>
    <n v="4"/>
    <x v="0"/>
  </r>
  <r>
    <n v="2381"/>
    <n v="36"/>
    <x v="0"/>
    <x v="0"/>
    <x v="8"/>
    <s v="Dress"/>
    <n v="71.03"/>
    <x v="3"/>
    <s v="Card"/>
    <n v="4.8"/>
    <x v="10"/>
    <n v="55.403400000000005"/>
    <n v="6"/>
    <x v="0"/>
  </r>
  <r>
    <n v="2382"/>
    <n v="37"/>
    <x v="0"/>
    <x v="0"/>
    <x v="6"/>
    <s v="Perfume"/>
    <n v="90.69"/>
    <x v="0"/>
    <s v="Card"/>
    <n v="4.3"/>
    <x v="7"/>
    <n v="81.620999999999995"/>
    <n v="0"/>
    <x v="1"/>
  </r>
  <r>
    <n v="2383"/>
    <n v="60"/>
    <x v="0"/>
    <x v="0"/>
    <x v="6"/>
    <s v="Skincare Kit"/>
    <n v="75.290000000000006"/>
    <x v="1"/>
    <s v="Card"/>
    <n v="5"/>
    <x v="3"/>
    <n v="60.232000000000006"/>
    <n v="5"/>
    <x v="0"/>
  </r>
  <r>
    <n v="2384"/>
    <n v="27"/>
    <x v="2"/>
    <x v="1"/>
    <x v="1"/>
    <s v="Jacket"/>
    <n v="62.41"/>
    <x v="1"/>
    <s v="Cash on Delivery"/>
    <n v="2.9"/>
    <x v="1"/>
    <n v="54.296699999999994"/>
    <n v="4"/>
    <x v="0"/>
  </r>
  <r>
    <n v="2385"/>
    <n v="65"/>
    <x v="1"/>
    <x v="1"/>
    <x v="1"/>
    <s v="Jacket"/>
    <n v="169.17"/>
    <x v="0"/>
    <s v="Card"/>
    <n v="3.8"/>
    <x v="7"/>
    <n v="152.25299999999999"/>
    <n v="5"/>
    <x v="0"/>
  </r>
  <r>
    <n v="2386"/>
    <n v="39"/>
    <x v="0"/>
    <x v="1"/>
    <x v="5"/>
    <s v="Mobile Phone"/>
    <n v="2886.67"/>
    <x v="3"/>
    <s v="Card"/>
    <n v="3.6"/>
    <x v="12"/>
    <n v="2338.2027000000003"/>
    <n v="7"/>
    <x v="0"/>
  </r>
  <r>
    <n v="2387"/>
    <n v="60"/>
    <x v="0"/>
    <x v="1"/>
    <x v="7"/>
    <s v="Sneakers"/>
    <n v="144.37"/>
    <x v="2"/>
    <s v="Card"/>
    <n v="4.4000000000000004"/>
    <x v="0"/>
    <n v="118.38340000000001"/>
    <n v="4"/>
    <x v="0"/>
  </r>
  <r>
    <n v="2388"/>
    <n v="56"/>
    <x v="0"/>
    <x v="1"/>
    <x v="4"/>
    <s v="Cooking Oil"/>
    <n v="23.35"/>
    <x v="2"/>
    <s v="Card"/>
    <n v="4.9000000000000004"/>
    <x v="14"/>
    <n v="19.380500000000001"/>
    <n v="6"/>
    <x v="0"/>
  </r>
  <r>
    <n v="2389"/>
    <n v="32"/>
    <x v="0"/>
    <x v="1"/>
    <x v="1"/>
    <s v="Jeans"/>
    <n v="191.09"/>
    <x v="3"/>
    <s v="Card"/>
    <n v="4.2"/>
    <x v="4"/>
    <n v="164.3374"/>
    <n v="7"/>
    <x v="0"/>
  </r>
  <r>
    <n v="2390"/>
    <n v="47"/>
    <x v="0"/>
    <x v="0"/>
    <x v="7"/>
    <s v="Formal Shoes"/>
    <n v="69.52"/>
    <x v="3"/>
    <s v="Cash on Delivery"/>
    <n v="3.2"/>
    <x v="3"/>
    <n v="55.616"/>
    <n v="5"/>
    <x v="0"/>
  </r>
  <r>
    <n v="2391"/>
    <n v="55"/>
    <x v="0"/>
    <x v="1"/>
    <x v="1"/>
    <s v="Jeans"/>
    <n v="119.06"/>
    <x v="0"/>
    <s v="Card"/>
    <n v="3.6"/>
    <x v="5"/>
    <n v="109.5352"/>
    <n v="4"/>
    <x v="0"/>
  </r>
  <r>
    <n v="2392"/>
    <n v="52"/>
    <x v="0"/>
    <x v="0"/>
    <x v="6"/>
    <s v="Makeup Set"/>
    <n v="64.56"/>
    <x v="2"/>
    <s v="Card"/>
    <n v="3.2"/>
    <x v="8"/>
    <n v="56.812800000000003"/>
    <n v="6"/>
    <x v="0"/>
  </r>
  <r>
    <n v="2393"/>
    <n v="59"/>
    <x v="0"/>
    <x v="0"/>
    <x v="7"/>
    <s v="Sneakers"/>
    <n v="90.14"/>
    <x v="1"/>
    <s v="Cash on Delivery"/>
    <n v="3.9"/>
    <x v="2"/>
    <n v="80.224599999999995"/>
    <n v="3"/>
    <x v="1"/>
  </r>
  <r>
    <n v="2394"/>
    <n v="32"/>
    <x v="0"/>
    <x v="1"/>
    <x v="5"/>
    <s v="Headphones"/>
    <n v="1690.64"/>
    <x v="1"/>
    <s v="Card"/>
    <n v="4.5999999999999996"/>
    <x v="0"/>
    <n v="1386.3248000000001"/>
    <n v="4"/>
    <x v="0"/>
  </r>
  <r>
    <n v="2395"/>
    <n v="60"/>
    <x v="0"/>
    <x v="0"/>
    <x v="7"/>
    <s v="Sandals"/>
    <n v="136.97"/>
    <x v="3"/>
    <s v="Card"/>
    <n v="4.5"/>
    <x v="2"/>
    <n v="121.9033"/>
    <n v="3"/>
    <x v="1"/>
  </r>
  <r>
    <n v="2396"/>
    <n v="66"/>
    <x v="1"/>
    <x v="1"/>
    <x v="3"/>
    <s v="Lamp"/>
    <n v="116.48"/>
    <x v="1"/>
    <s v="Card"/>
    <n v="5"/>
    <x v="18"/>
    <n v="88.524799999999999"/>
    <n v="12"/>
    <x v="2"/>
  </r>
  <r>
    <n v="2397"/>
    <n v="22"/>
    <x v="2"/>
    <x v="1"/>
    <x v="5"/>
    <s v="Mobile Phone"/>
    <n v="503.66"/>
    <x v="2"/>
    <s v="Card"/>
    <n v="2.8"/>
    <x v="4"/>
    <n v="433.14760000000001"/>
    <n v="7"/>
    <x v="0"/>
  </r>
  <r>
    <n v="2398"/>
    <n v="21"/>
    <x v="2"/>
    <x v="0"/>
    <x v="7"/>
    <s v="Sneakers"/>
    <n v="176.14"/>
    <x v="0"/>
    <s v="Card"/>
    <n v="3.6"/>
    <x v="11"/>
    <n v="130.34359999999998"/>
    <n v="8"/>
    <x v="2"/>
  </r>
  <r>
    <n v="2399"/>
    <n v="61"/>
    <x v="1"/>
    <x v="0"/>
    <x v="7"/>
    <s v="Formal Shoes"/>
    <n v="202.84"/>
    <x v="1"/>
    <s v="Card"/>
    <n v="3.2"/>
    <x v="7"/>
    <n v="182.55600000000001"/>
    <n v="5"/>
    <x v="0"/>
  </r>
  <r>
    <n v="2400"/>
    <n v="45"/>
    <x v="0"/>
    <x v="1"/>
    <x v="7"/>
    <s v="Sandals"/>
    <n v="95.24"/>
    <x v="2"/>
    <s v="Cash on Delivery"/>
    <n v="4.5999999999999996"/>
    <x v="2"/>
    <n v="84.763599999999997"/>
    <n v="3"/>
    <x v="1"/>
  </r>
  <r>
    <n v="2401"/>
    <n v="59"/>
    <x v="0"/>
    <x v="0"/>
    <x v="8"/>
    <s v="Top"/>
    <n v="188.01"/>
    <x v="2"/>
    <s v="Card"/>
    <n v="2.8"/>
    <x v="8"/>
    <n v="165.44880000000001"/>
    <n v="6"/>
    <x v="0"/>
  </r>
  <r>
    <n v="2402"/>
    <n v="50"/>
    <x v="0"/>
    <x v="1"/>
    <x v="4"/>
    <s v="Beverages"/>
    <n v="11.64"/>
    <x v="3"/>
    <s v="Cash on Delivery"/>
    <n v="2.8"/>
    <x v="15"/>
    <n v="11.4072"/>
    <n v="1"/>
    <x v="1"/>
  </r>
  <r>
    <n v="2403"/>
    <n v="61"/>
    <x v="1"/>
    <x v="1"/>
    <x v="4"/>
    <s v="Beverages"/>
    <n v="49.05"/>
    <x v="3"/>
    <s v="Card"/>
    <n v="2.7"/>
    <x v="10"/>
    <n v="38.259"/>
    <n v="6"/>
    <x v="0"/>
  </r>
  <r>
    <n v="2404"/>
    <n v="36"/>
    <x v="0"/>
    <x v="0"/>
    <x v="2"/>
    <s v="Yoga Mat"/>
    <n v="51.28"/>
    <x v="1"/>
    <s v="Card"/>
    <n v="4.5"/>
    <x v="10"/>
    <n v="39.998400000000004"/>
    <n v="6"/>
    <x v="0"/>
  </r>
  <r>
    <n v="2405"/>
    <n v="45"/>
    <x v="0"/>
    <x v="1"/>
    <x v="7"/>
    <s v="Sneakers"/>
    <n v="53.31"/>
    <x v="3"/>
    <s v="Cash on Delivery"/>
    <n v="3.8"/>
    <x v="3"/>
    <n v="42.648000000000003"/>
    <n v="5"/>
    <x v="0"/>
  </r>
  <r>
    <n v="2406"/>
    <n v="23"/>
    <x v="2"/>
    <x v="1"/>
    <x v="7"/>
    <s v="Sandals"/>
    <n v="70.92"/>
    <x v="3"/>
    <s v="Card"/>
    <n v="2.8"/>
    <x v="18"/>
    <n v="53.8992"/>
    <n v="7"/>
    <x v="0"/>
  </r>
  <r>
    <n v="2407"/>
    <n v="66"/>
    <x v="1"/>
    <x v="0"/>
    <x v="3"/>
    <s v="Lamp"/>
    <n v="245.8"/>
    <x v="2"/>
    <s v="Card"/>
    <n v="3.1"/>
    <x v="4"/>
    <n v="211.38800000000001"/>
    <n v="7"/>
    <x v="0"/>
  </r>
  <r>
    <n v="2408"/>
    <n v="62"/>
    <x v="1"/>
    <x v="1"/>
    <x v="7"/>
    <s v="Sandals"/>
    <n v="111.93"/>
    <x v="3"/>
    <s v="Card"/>
    <n v="2.2999999999999998"/>
    <x v="7"/>
    <n v="100.73700000000001"/>
    <n v="5"/>
    <x v="0"/>
  </r>
  <r>
    <n v="2409"/>
    <n v="33"/>
    <x v="0"/>
    <x v="1"/>
    <x v="1"/>
    <s v="T-Shirt"/>
    <n v="81.37"/>
    <x v="3"/>
    <s v="Cash on Delivery"/>
    <n v="4.2"/>
    <x v="0"/>
    <n v="66.723400000000012"/>
    <n v="4"/>
    <x v="0"/>
  </r>
  <r>
    <n v="2410"/>
    <n v="64"/>
    <x v="1"/>
    <x v="0"/>
    <x v="6"/>
    <s v="Makeup Set"/>
    <n v="49.12"/>
    <x v="0"/>
    <s v="Cash on Delivery"/>
    <n v="3.6"/>
    <x v="12"/>
    <n v="39.787199999999999"/>
    <n v="7"/>
    <x v="0"/>
  </r>
  <r>
    <n v="2411"/>
    <n v="34"/>
    <x v="0"/>
    <x v="0"/>
    <x v="0"/>
    <s v="Handbag"/>
    <n v="23.82"/>
    <x v="2"/>
    <s v="Card"/>
    <n v="4.5999999999999996"/>
    <x v="18"/>
    <n v="18.103200000000001"/>
    <n v="7"/>
    <x v="0"/>
  </r>
  <r>
    <n v="2412"/>
    <n v="41"/>
    <x v="0"/>
    <x v="1"/>
    <x v="3"/>
    <s v="Curtains"/>
    <n v="295.39"/>
    <x v="0"/>
    <s v="Card"/>
    <n v="3.8"/>
    <x v="16"/>
    <n v="277.66659999999996"/>
    <n v="3"/>
    <x v="1"/>
  </r>
  <r>
    <n v="2413"/>
    <n v="62"/>
    <x v="1"/>
    <x v="0"/>
    <x v="8"/>
    <s v="Dress"/>
    <n v="191.31"/>
    <x v="2"/>
    <s v="Card"/>
    <n v="3.6"/>
    <x v="8"/>
    <n v="168.3528"/>
    <n v="6"/>
    <x v="0"/>
  </r>
  <r>
    <n v="2414"/>
    <n v="63"/>
    <x v="1"/>
    <x v="0"/>
    <x v="7"/>
    <s v="Sandals"/>
    <n v="75.31"/>
    <x v="0"/>
    <s v="Cash on Delivery"/>
    <n v="4"/>
    <x v="10"/>
    <n v="58.741800000000005"/>
    <n v="11"/>
    <x v="2"/>
  </r>
  <r>
    <n v="2415"/>
    <n v="65"/>
    <x v="1"/>
    <x v="1"/>
    <x v="1"/>
    <s v="T-Shirt"/>
    <n v="191.04"/>
    <x v="0"/>
    <s v="Card"/>
    <n v="4.2"/>
    <x v="6"/>
    <n v="160.47359999999998"/>
    <n v="3"/>
    <x v="1"/>
  </r>
  <r>
    <n v="2416"/>
    <n v="44"/>
    <x v="0"/>
    <x v="0"/>
    <x v="6"/>
    <s v="Makeup Set"/>
    <n v="68.39"/>
    <x v="3"/>
    <s v="Cash on Delivery"/>
    <n v="3.2"/>
    <x v="19"/>
    <n v="58.131499999999996"/>
    <n v="5"/>
    <x v="0"/>
  </r>
  <r>
    <n v="2417"/>
    <n v="53"/>
    <x v="0"/>
    <x v="1"/>
    <x v="7"/>
    <s v="Sneakers"/>
    <n v="192.28"/>
    <x v="1"/>
    <s v="Card"/>
    <n v="3.7"/>
    <x v="4"/>
    <n v="165.36080000000001"/>
    <n v="7"/>
    <x v="0"/>
  </r>
  <r>
    <n v="2418"/>
    <n v="40"/>
    <x v="0"/>
    <x v="1"/>
    <x v="7"/>
    <s v="Formal Shoes"/>
    <n v="236.78"/>
    <x v="1"/>
    <s v="Card"/>
    <n v="4.0999999999999996"/>
    <x v="10"/>
    <n v="184.6884"/>
    <n v="6"/>
    <x v="0"/>
  </r>
  <r>
    <n v="2419"/>
    <n v="31"/>
    <x v="0"/>
    <x v="0"/>
    <x v="4"/>
    <s v="Beverages"/>
    <n v="52.19"/>
    <x v="2"/>
    <s v="Cash on Delivery"/>
    <n v="5"/>
    <x v="15"/>
    <n v="51.1462"/>
    <n v="1"/>
    <x v="1"/>
  </r>
  <r>
    <n v="2420"/>
    <n v="46"/>
    <x v="0"/>
    <x v="0"/>
    <x v="6"/>
    <s v="Skincare Kit"/>
    <n v="63.26"/>
    <x v="0"/>
    <s v="Cash on Delivery"/>
    <n v="4.2"/>
    <x v="10"/>
    <n v="49.342799999999997"/>
    <n v="6"/>
    <x v="0"/>
  </r>
  <r>
    <n v="2421"/>
    <n v="43"/>
    <x v="0"/>
    <x v="0"/>
    <x v="6"/>
    <s v="Perfume"/>
    <n v="57.97"/>
    <x v="3"/>
    <s v="Cash on Delivery"/>
    <n v="4.8"/>
    <x v="3"/>
    <n v="46.376000000000005"/>
    <n v="5"/>
    <x v="0"/>
  </r>
  <r>
    <n v="2422"/>
    <n v="58"/>
    <x v="0"/>
    <x v="1"/>
    <x v="5"/>
    <s v="Mobile Phone"/>
    <n v="2430.6"/>
    <x v="0"/>
    <s v="Card"/>
    <n v="3.1"/>
    <x v="16"/>
    <n v="2284.7639999999997"/>
    <n v="3"/>
    <x v="1"/>
  </r>
  <r>
    <n v="2423"/>
    <n v="63"/>
    <x v="1"/>
    <x v="1"/>
    <x v="3"/>
    <s v="Kitchen Set"/>
    <n v="50.59"/>
    <x v="1"/>
    <s v="Cash on Delivery"/>
    <n v="3.2"/>
    <x v="16"/>
    <n v="47.554600000000001"/>
    <n v="3"/>
    <x v="1"/>
  </r>
  <r>
    <n v="2424"/>
    <n v="31"/>
    <x v="0"/>
    <x v="1"/>
    <x v="5"/>
    <s v="Mobile Phone"/>
    <n v="2025.94"/>
    <x v="3"/>
    <s v="Card"/>
    <n v="3.8"/>
    <x v="0"/>
    <n v="1661.2708000000002"/>
    <n v="9"/>
    <x v="2"/>
  </r>
  <r>
    <n v="2425"/>
    <n v="29"/>
    <x v="2"/>
    <x v="1"/>
    <x v="2"/>
    <s v="Yoga Mat"/>
    <n v="217.27"/>
    <x v="1"/>
    <s v="Card"/>
    <n v="4.5"/>
    <x v="0"/>
    <n v="178.16140000000001"/>
    <n v="4"/>
    <x v="0"/>
  </r>
  <r>
    <n v="2426"/>
    <n v="61"/>
    <x v="1"/>
    <x v="0"/>
    <x v="6"/>
    <s v="Skincare Kit"/>
    <n v="81.17"/>
    <x v="1"/>
    <s v="Cash on Delivery"/>
    <n v="3.7"/>
    <x v="0"/>
    <n v="66.559400000000011"/>
    <n v="4"/>
    <x v="0"/>
  </r>
  <r>
    <n v="2427"/>
    <n v="22"/>
    <x v="2"/>
    <x v="0"/>
    <x v="2"/>
    <s v="Yoga Mat"/>
    <n v="88.1"/>
    <x v="1"/>
    <s v="Cash on Delivery"/>
    <n v="3.3"/>
    <x v="27"/>
    <n v="66.074999999999989"/>
    <n v="10"/>
    <x v="2"/>
  </r>
  <r>
    <n v="2428"/>
    <n v="45"/>
    <x v="0"/>
    <x v="0"/>
    <x v="8"/>
    <s v="Jeans"/>
    <n v="174.75"/>
    <x v="0"/>
    <s v="Card"/>
    <n v="3.5"/>
    <x v="4"/>
    <n v="150.285"/>
    <n v="2"/>
    <x v="1"/>
  </r>
  <r>
    <n v="2429"/>
    <n v="39"/>
    <x v="0"/>
    <x v="1"/>
    <x v="4"/>
    <s v="Rice Pack"/>
    <n v="56.99"/>
    <x v="0"/>
    <s v="Cash on Delivery"/>
    <n v="3.3"/>
    <x v="27"/>
    <n v="42.7425"/>
    <n v="10"/>
    <x v="2"/>
  </r>
  <r>
    <n v="2430"/>
    <n v="20"/>
    <x v="2"/>
    <x v="0"/>
    <x v="8"/>
    <s v="Top"/>
    <n v="95.46"/>
    <x v="0"/>
    <s v="Cash on Delivery"/>
    <n v="4.5"/>
    <x v="22"/>
    <n v="73.504199999999997"/>
    <n v="9"/>
    <x v="2"/>
  </r>
  <r>
    <n v="2431"/>
    <n v="22"/>
    <x v="2"/>
    <x v="1"/>
    <x v="2"/>
    <s v="Dumbbells"/>
    <n v="108.86"/>
    <x v="1"/>
    <s v="Card"/>
    <n v="3.6"/>
    <x v="19"/>
    <n v="92.530999999999992"/>
    <n v="5"/>
    <x v="0"/>
  </r>
  <r>
    <n v="2432"/>
    <n v="54"/>
    <x v="0"/>
    <x v="0"/>
    <x v="8"/>
    <s v="Skirt"/>
    <n v="166.88"/>
    <x v="1"/>
    <s v="Card"/>
    <n v="3.5"/>
    <x v="0"/>
    <n v="136.8416"/>
    <n v="4"/>
    <x v="0"/>
  </r>
  <r>
    <n v="2433"/>
    <n v="52"/>
    <x v="0"/>
    <x v="1"/>
    <x v="5"/>
    <s v="Mobile Phone"/>
    <n v="523.38"/>
    <x v="3"/>
    <s v="Card"/>
    <n v="3.9"/>
    <x v="0"/>
    <n v="429.17160000000001"/>
    <n v="4"/>
    <x v="0"/>
  </r>
  <r>
    <n v="2434"/>
    <n v="25"/>
    <x v="2"/>
    <x v="1"/>
    <x v="1"/>
    <s v="T-Shirt"/>
    <n v="109.68"/>
    <x v="2"/>
    <s v="Card"/>
    <n v="2.8"/>
    <x v="1"/>
    <n v="95.421600000000012"/>
    <n v="4"/>
    <x v="0"/>
  </r>
  <r>
    <n v="2435"/>
    <n v="67"/>
    <x v="1"/>
    <x v="1"/>
    <x v="3"/>
    <s v="Lamp"/>
    <n v="222.65"/>
    <x v="0"/>
    <s v="Card"/>
    <n v="3"/>
    <x v="13"/>
    <n v="202.61150000000001"/>
    <n v="2"/>
    <x v="1"/>
  </r>
  <r>
    <n v="2436"/>
    <n v="59"/>
    <x v="0"/>
    <x v="1"/>
    <x v="7"/>
    <s v="Sandals"/>
    <n v="141.41"/>
    <x v="1"/>
    <s v="Card"/>
    <n v="3.3"/>
    <x v="8"/>
    <n v="124.4408"/>
    <n v="6"/>
    <x v="0"/>
  </r>
  <r>
    <n v="2437"/>
    <n v="59"/>
    <x v="0"/>
    <x v="1"/>
    <x v="2"/>
    <s v="Yoga Mat"/>
    <n v="165.82"/>
    <x v="2"/>
    <s v="Card"/>
    <n v="3.8"/>
    <x v="14"/>
    <n v="137.63059999999999"/>
    <n v="6"/>
    <x v="0"/>
  </r>
  <r>
    <n v="2438"/>
    <n v="66"/>
    <x v="1"/>
    <x v="0"/>
    <x v="8"/>
    <s v="Skirt"/>
    <n v="52.02"/>
    <x v="0"/>
    <s v="Cash on Delivery"/>
    <n v="3.9"/>
    <x v="3"/>
    <n v="41.616000000000007"/>
    <n v="5"/>
    <x v="0"/>
  </r>
  <r>
    <n v="2439"/>
    <n v="45"/>
    <x v="0"/>
    <x v="0"/>
    <x v="6"/>
    <s v="Perfume"/>
    <n v="130.55000000000001"/>
    <x v="0"/>
    <s v="Card"/>
    <n v="4.8"/>
    <x v="5"/>
    <n v="120.10600000000001"/>
    <n v="4"/>
    <x v="0"/>
  </r>
  <r>
    <n v="2440"/>
    <n v="36"/>
    <x v="0"/>
    <x v="1"/>
    <x v="1"/>
    <s v="Jacket"/>
    <n v="108.9"/>
    <x v="3"/>
    <s v="Card"/>
    <n v="3"/>
    <x v="6"/>
    <n v="91.475999999999999"/>
    <n v="8"/>
    <x v="2"/>
  </r>
  <r>
    <n v="2441"/>
    <n v="48"/>
    <x v="0"/>
    <x v="0"/>
    <x v="6"/>
    <s v="Skincare Kit"/>
    <n v="88.67"/>
    <x v="2"/>
    <s v="Card"/>
    <n v="4.2"/>
    <x v="3"/>
    <n v="70.936000000000007"/>
    <n v="5"/>
    <x v="0"/>
  </r>
  <r>
    <n v="2442"/>
    <n v="26"/>
    <x v="2"/>
    <x v="1"/>
    <x v="2"/>
    <s v="Dumbbells"/>
    <n v="231.99"/>
    <x v="2"/>
    <s v="Card"/>
    <n v="3"/>
    <x v="3"/>
    <n v="185.59200000000001"/>
    <n v="5"/>
    <x v="0"/>
  </r>
  <r>
    <n v="2443"/>
    <n v="34"/>
    <x v="0"/>
    <x v="1"/>
    <x v="5"/>
    <s v="Headphones"/>
    <n v="585.57000000000005"/>
    <x v="3"/>
    <s v="Card"/>
    <n v="4.5999999999999996"/>
    <x v="11"/>
    <n v="433.32180000000005"/>
    <n v="8"/>
    <x v="2"/>
  </r>
  <r>
    <n v="2444"/>
    <n v="63"/>
    <x v="1"/>
    <x v="0"/>
    <x v="6"/>
    <s v="Perfume"/>
    <n v="33.49"/>
    <x v="3"/>
    <s v="Cash on Delivery"/>
    <n v="3.6"/>
    <x v="21"/>
    <n v="26.457100000000004"/>
    <n v="8"/>
    <x v="2"/>
  </r>
  <r>
    <n v="2445"/>
    <n v="68"/>
    <x v="1"/>
    <x v="1"/>
    <x v="7"/>
    <s v="Sandals"/>
    <n v="145.49"/>
    <x v="3"/>
    <s v="Card"/>
    <n v="3.9"/>
    <x v="7"/>
    <n v="130.941"/>
    <n v="5"/>
    <x v="0"/>
  </r>
  <r>
    <n v="2446"/>
    <n v="65"/>
    <x v="1"/>
    <x v="0"/>
    <x v="3"/>
    <s v="Curtains"/>
    <n v="39.99"/>
    <x v="0"/>
    <s v="Cash on Delivery"/>
    <n v="2.8"/>
    <x v="14"/>
    <n v="33.191699999999997"/>
    <n v="6"/>
    <x v="0"/>
  </r>
  <r>
    <n v="2447"/>
    <n v="39"/>
    <x v="0"/>
    <x v="1"/>
    <x v="5"/>
    <s v="Laptop"/>
    <n v="1959.09"/>
    <x v="2"/>
    <s v="Card"/>
    <n v="4.2"/>
    <x v="8"/>
    <n v="1723.9992"/>
    <n v="1"/>
    <x v="1"/>
  </r>
  <r>
    <n v="2448"/>
    <n v="66"/>
    <x v="1"/>
    <x v="0"/>
    <x v="2"/>
    <s v="Football"/>
    <n v="109.15"/>
    <x v="2"/>
    <s v="Card"/>
    <n v="2.8"/>
    <x v="0"/>
    <n v="89.503000000000014"/>
    <n v="4"/>
    <x v="0"/>
  </r>
  <r>
    <n v="2449"/>
    <n v="31"/>
    <x v="0"/>
    <x v="1"/>
    <x v="2"/>
    <s v="Yoga Mat"/>
    <n v="247.77"/>
    <x v="1"/>
    <s v="Card"/>
    <n v="2.8"/>
    <x v="7"/>
    <n v="222.99300000000002"/>
    <n v="5"/>
    <x v="0"/>
  </r>
  <r>
    <n v="2450"/>
    <n v="29"/>
    <x v="2"/>
    <x v="0"/>
    <x v="7"/>
    <s v="Formal Shoes"/>
    <n v="175.99"/>
    <x v="1"/>
    <s v="Card"/>
    <n v="5"/>
    <x v="18"/>
    <n v="133.75239999999999"/>
    <n v="7"/>
    <x v="0"/>
  </r>
  <r>
    <n v="2451"/>
    <n v="33"/>
    <x v="0"/>
    <x v="0"/>
    <x v="6"/>
    <s v="Makeup Set"/>
    <n v="20.03"/>
    <x v="3"/>
    <s v="Card"/>
    <n v="3.6"/>
    <x v="3"/>
    <n v="16.024000000000001"/>
    <n v="5"/>
    <x v="0"/>
  </r>
  <r>
    <n v="2452"/>
    <n v="23"/>
    <x v="2"/>
    <x v="0"/>
    <x v="8"/>
    <s v="Skirt"/>
    <n v="194.96"/>
    <x v="1"/>
    <s v="Card"/>
    <n v="2.9"/>
    <x v="4"/>
    <n v="167.66560000000001"/>
    <n v="7"/>
    <x v="0"/>
  </r>
  <r>
    <n v="2453"/>
    <n v="47"/>
    <x v="0"/>
    <x v="0"/>
    <x v="6"/>
    <s v="Makeup Set"/>
    <n v="132.65"/>
    <x v="2"/>
    <s v="Card"/>
    <n v="3.9"/>
    <x v="12"/>
    <n v="107.44650000000001"/>
    <n v="7"/>
    <x v="0"/>
  </r>
  <r>
    <n v="2454"/>
    <n v="32"/>
    <x v="0"/>
    <x v="0"/>
    <x v="2"/>
    <s v="Yoga Mat"/>
    <n v="119.74"/>
    <x v="1"/>
    <s v="Card"/>
    <n v="3.3"/>
    <x v="10"/>
    <n v="93.397199999999998"/>
    <n v="11"/>
    <x v="2"/>
  </r>
  <r>
    <n v="2455"/>
    <n v="49"/>
    <x v="0"/>
    <x v="0"/>
    <x v="2"/>
    <s v="Football"/>
    <n v="105.64"/>
    <x v="1"/>
    <s v="Card"/>
    <n v="3.3"/>
    <x v="18"/>
    <n v="80.2864"/>
    <n v="7"/>
    <x v="0"/>
  </r>
  <r>
    <n v="2456"/>
    <n v="37"/>
    <x v="0"/>
    <x v="1"/>
    <x v="7"/>
    <s v="Formal Shoes"/>
    <n v="232.32"/>
    <x v="3"/>
    <s v="Card"/>
    <n v="3.8"/>
    <x v="6"/>
    <n v="195.14879999999999"/>
    <n v="3"/>
    <x v="1"/>
  </r>
  <r>
    <n v="2457"/>
    <n v="41"/>
    <x v="0"/>
    <x v="1"/>
    <x v="2"/>
    <s v="Football"/>
    <n v="142.71"/>
    <x v="2"/>
    <s v="Card"/>
    <n v="4.2"/>
    <x v="3"/>
    <n v="114.16800000000001"/>
    <n v="5"/>
    <x v="0"/>
  </r>
  <r>
    <n v="2458"/>
    <n v="37"/>
    <x v="0"/>
    <x v="1"/>
    <x v="2"/>
    <s v="Dumbbells"/>
    <n v="163.30000000000001"/>
    <x v="0"/>
    <s v="Card"/>
    <n v="3.6"/>
    <x v="8"/>
    <n v="143.70400000000001"/>
    <n v="6"/>
    <x v="0"/>
  </r>
  <r>
    <n v="2459"/>
    <n v="55"/>
    <x v="0"/>
    <x v="1"/>
    <x v="5"/>
    <s v="Laptop"/>
    <n v="2997.94"/>
    <x v="0"/>
    <s v="Card"/>
    <n v="4.2"/>
    <x v="4"/>
    <n v="2578.2284"/>
    <n v="2"/>
    <x v="1"/>
  </r>
  <r>
    <n v="2460"/>
    <n v="42"/>
    <x v="0"/>
    <x v="1"/>
    <x v="5"/>
    <s v="Smart Watch"/>
    <n v="1412.92"/>
    <x v="0"/>
    <s v="Card"/>
    <n v="3.9"/>
    <x v="12"/>
    <n v="1144.4652000000001"/>
    <n v="7"/>
    <x v="0"/>
  </r>
  <r>
    <n v="2461"/>
    <n v="60"/>
    <x v="0"/>
    <x v="0"/>
    <x v="7"/>
    <s v="Sandals"/>
    <n v="104.02"/>
    <x v="2"/>
    <s v="Card"/>
    <n v="5"/>
    <x v="5"/>
    <n v="95.698400000000007"/>
    <n v="4"/>
    <x v="0"/>
  </r>
  <r>
    <n v="2462"/>
    <n v="62"/>
    <x v="1"/>
    <x v="0"/>
    <x v="6"/>
    <s v="Makeup Set"/>
    <n v="20.71"/>
    <x v="0"/>
    <s v="Card"/>
    <n v="3.8"/>
    <x v="3"/>
    <n v="16.568000000000001"/>
    <n v="5"/>
    <x v="0"/>
  </r>
  <r>
    <n v="2463"/>
    <n v="56"/>
    <x v="0"/>
    <x v="0"/>
    <x v="8"/>
    <s v="Dress"/>
    <n v="83.87"/>
    <x v="1"/>
    <s v="Card"/>
    <n v="3.9"/>
    <x v="14"/>
    <n v="69.612099999999998"/>
    <n v="6"/>
    <x v="0"/>
  </r>
  <r>
    <n v="2464"/>
    <n v="67"/>
    <x v="1"/>
    <x v="1"/>
    <x v="1"/>
    <s v="T-Shirt"/>
    <n v="43.13"/>
    <x v="2"/>
    <s v="Cash on Delivery"/>
    <n v="3"/>
    <x v="13"/>
    <n v="39.2483"/>
    <n v="2"/>
    <x v="1"/>
  </r>
  <r>
    <n v="2465"/>
    <n v="59"/>
    <x v="0"/>
    <x v="1"/>
    <x v="2"/>
    <s v="Football"/>
    <n v="73.739999999999995"/>
    <x v="3"/>
    <s v="Card"/>
    <n v="3.8"/>
    <x v="19"/>
    <n v="62.678999999999995"/>
    <n v="5"/>
    <x v="0"/>
  </r>
  <r>
    <n v="2466"/>
    <n v="32"/>
    <x v="0"/>
    <x v="1"/>
    <x v="2"/>
    <s v="Football"/>
    <n v="144.04"/>
    <x v="3"/>
    <s v="Card"/>
    <n v="3.8"/>
    <x v="1"/>
    <n v="125.31479999999999"/>
    <n v="4"/>
    <x v="0"/>
  </r>
  <r>
    <n v="2467"/>
    <n v="24"/>
    <x v="2"/>
    <x v="0"/>
    <x v="6"/>
    <s v="Makeup Set"/>
    <n v="82.17"/>
    <x v="2"/>
    <s v="Card"/>
    <n v="3.4"/>
    <x v="19"/>
    <n v="69.844499999999996"/>
    <n v="5"/>
    <x v="0"/>
  </r>
  <r>
    <n v="2468"/>
    <n v="31"/>
    <x v="0"/>
    <x v="0"/>
    <x v="8"/>
    <s v="Skirt"/>
    <n v="128.18"/>
    <x v="0"/>
    <s v="Card"/>
    <n v="4"/>
    <x v="14"/>
    <n v="106.38939999999999"/>
    <n v="6"/>
    <x v="0"/>
  </r>
  <r>
    <n v="2469"/>
    <n v="67"/>
    <x v="1"/>
    <x v="0"/>
    <x v="8"/>
    <s v="Top"/>
    <n v="74.73"/>
    <x v="0"/>
    <s v="Cash on Delivery"/>
    <n v="3.7"/>
    <x v="3"/>
    <n v="59.784000000000006"/>
    <n v="5"/>
    <x v="0"/>
  </r>
  <r>
    <n v="2470"/>
    <n v="41"/>
    <x v="0"/>
    <x v="0"/>
    <x v="3"/>
    <s v="Curtains"/>
    <n v="159.58000000000001"/>
    <x v="1"/>
    <s v="Card"/>
    <n v="4.4000000000000004"/>
    <x v="5"/>
    <n v="146.81360000000001"/>
    <n v="4"/>
    <x v="0"/>
  </r>
  <r>
    <n v="2471"/>
    <n v="58"/>
    <x v="0"/>
    <x v="0"/>
    <x v="8"/>
    <s v="Skirt"/>
    <n v="142.94999999999999"/>
    <x v="2"/>
    <s v="Card"/>
    <n v="4.8"/>
    <x v="19"/>
    <n v="121.50749999999999"/>
    <n v="5"/>
    <x v="0"/>
  </r>
  <r>
    <n v="2472"/>
    <n v="22"/>
    <x v="2"/>
    <x v="0"/>
    <x v="6"/>
    <s v="Perfume"/>
    <n v="56.67"/>
    <x v="3"/>
    <s v="Cash on Delivery"/>
    <n v="4.3"/>
    <x v="19"/>
    <n v="48.169499999999999"/>
    <n v="5"/>
    <x v="0"/>
  </r>
  <r>
    <n v="2473"/>
    <n v="56"/>
    <x v="0"/>
    <x v="0"/>
    <x v="0"/>
    <s v="Wallet"/>
    <n v="60.82"/>
    <x v="1"/>
    <s v="Cash on Delivery"/>
    <n v="3.5"/>
    <x v="5"/>
    <n v="55.9544"/>
    <n v="4"/>
    <x v="0"/>
  </r>
  <r>
    <n v="2474"/>
    <n v="64"/>
    <x v="1"/>
    <x v="0"/>
    <x v="7"/>
    <s v="Sneakers"/>
    <n v="249.17"/>
    <x v="1"/>
    <s v="Card"/>
    <n v="4.8"/>
    <x v="5"/>
    <n v="229.2364"/>
    <n v="4"/>
    <x v="0"/>
  </r>
  <r>
    <n v="2475"/>
    <n v="58"/>
    <x v="0"/>
    <x v="0"/>
    <x v="8"/>
    <s v="Dress"/>
    <n v="105.75"/>
    <x v="0"/>
    <s v="Card"/>
    <n v="4.5"/>
    <x v="12"/>
    <n v="85.657499999999999"/>
    <n v="7"/>
    <x v="0"/>
  </r>
  <r>
    <n v="2476"/>
    <n v="57"/>
    <x v="0"/>
    <x v="1"/>
    <x v="2"/>
    <s v="Dumbbells"/>
    <n v="89.44"/>
    <x v="0"/>
    <s v="Cash on Delivery"/>
    <n v="4.9000000000000004"/>
    <x v="7"/>
    <n v="80.495999999999995"/>
    <n v="5"/>
    <x v="0"/>
  </r>
  <r>
    <n v="2477"/>
    <n v="37"/>
    <x v="0"/>
    <x v="1"/>
    <x v="2"/>
    <s v="Football"/>
    <n v="182.81"/>
    <x v="3"/>
    <s v="Card"/>
    <n v="3.2"/>
    <x v="6"/>
    <n v="153.56039999999999"/>
    <n v="3"/>
    <x v="1"/>
  </r>
  <r>
    <n v="2478"/>
    <n v="30"/>
    <x v="2"/>
    <x v="1"/>
    <x v="2"/>
    <s v="Football"/>
    <n v="49.64"/>
    <x v="1"/>
    <s v="Cash on Delivery"/>
    <n v="4.0999999999999996"/>
    <x v="13"/>
    <n v="45.172400000000003"/>
    <n v="2"/>
    <x v="1"/>
  </r>
  <r>
    <n v="2479"/>
    <n v="56"/>
    <x v="0"/>
    <x v="1"/>
    <x v="2"/>
    <s v="Yoga Mat"/>
    <n v="118.27"/>
    <x v="0"/>
    <s v="Card"/>
    <n v="4"/>
    <x v="12"/>
    <n v="95.798699999999997"/>
    <n v="7"/>
    <x v="0"/>
  </r>
  <r>
    <n v="2480"/>
    <n v="41"/>
    <x v="0"/>
    <x v="0"/>
    <x v="0"/>
    <s v="Wallet"/>
    <n v="155.41"/>
    <x v="2"/>
    <s v="Card"/>
    <n v="5"/>
    <x v="10"/>
    <n v="121.21980000000001"/>
    <n v="6"/>
    <x v="0"/>
  </r>
  <r>
    <n v="2481"/>
    <n v="47"/>
    <x v="0"/>
    <x v="1"/>
    <x v="7"/>
    <s v="Sandals"/>
    <n v="162.15"/>
    <x v="0"/>
    <s v="Card"/>
    <n v="4.9000000000000004"/>
    <x v="10"/>
    <n v="126.477"/>
    <n v="6"/>
    <x v="0"/>
  </r>
  <r>
    <n v="2482"/>
    <n v="62"/>
    <x v="1"/>
    <x v="1"/>
    <x v="1"/>
    <s v="Shirt"/>
    <n v="122.41"/>
    <x v="1"/>
    <s v="Card"/>
    <n v="3"/>
    <x v="14"/>
    <n v="101.60029999999999"/>
    <n v="6"/>
    <x v="0"/>
  </r>
  <r>
    <n v="2483"/>
    <n v="42"/>
    <x v="0"/>
    <x v="1"/>
    <x v="7"/>
    <s v="Sandals"/>
    <n v="166.76"/>
    <x v="1"/>
    <s v="Card"/>
    <n v="3.4"/>
    <x v="0"/>
    <n v="136.7432"/>
    <n v="9"/>
    <x v="2"/>
  </r>
  <r>
    <n v="2484"/>
    <n v="55"/>
    <x v="0"/>
    <x v="1"/>
    <x v="2"/>
    <s v="Football"/>
    <n v="91.77"/>
    <x v="0"/>
    <s v="Cash on Delivery"/>
    <n v="3.8"/>
    <x v="3"/>
    <n v="73.415999999999997"/>
    <n v="5"/>
    <x v="0"/>
  </r>
  <r>
    <n v="2485"/>
    <n v="70"/>
    <x v="1"/>
    <x v="0"/>
    <x v="8"/>
    <s v="Top"/>
    <n v="112.59"/>
    <x v="1"/>
    <s v="Card"/>
    <n v="4.7"/>
    <x v="0"/>
    <n v="92.323800000000006"/>
    <n v="4"/>
    <x v="0"/>
  </r>
  <r>
    <n v="2486"/>
    <n v="30"/>
    <x v="2"/>
    <x v="0"/>
    <x v="8"/>
    <s v="Top"/>
    <n v="77.540000000000006"/>
    <x v="3"/>
    <s v="Cash on Delivery"/>
    <n v="3.8"/>
    <x v="0"/>
    <n v="63.582800000000013"/>
    <n v="4"/>
    <x v="0"/>
  </r>
  <r>
    <n v="2487"/>
    <n v="58"/>
    <x v="0"/>
    <x v="0"/>
    <x v="0"/>
    <s v="Sunglasses"/>
    <n v="125.61"/>
    <x v="0"/>
    <s v="Card"/>
    <n v="3.3"/>
    <x v="8"/>
    <n v="110.5368"/>
    <n v="6"/>
    <x v="0"/>
  </r>
  <r>
    <n v="2488"/>
    <n v="66"/>
    <x v="1"/>
    <x v="0"/>
    <x v="0"/>
    <s v="Handbag"/>
    <n v="175.38"/>
    <x v="0"/>
    <s v="Card"/>
    <n v="4.0999999999999996"/>
    <x v="8"/>
    <n v="154.33439999999999"/>
    <n v="6"/>
    <x v="0"/>
  </r>
  <r>
    <n v="2489"/>
    <n v="45"/>
    <x v="0"/>
    <x v="0"/>
    <x v="7"/>
    <s v="Sandals"/>
    <n v="199.34"/>
    <x v="3"/>
    <s v="Card"/>
    <n v="5"/>
    <x v="6"/>
    <n v="167.44559999999998"/>
    <n v="3"/>
    <x v="1"/>
  </r>
  <r>
    <n v="2490"/>
    <n v="57"/>
    <x v="0"/>
    <x v="1"/>
    <x v="7"/>
    <s v="Sneakers"/>
    <n v="102.02"/>
    <x v="2"/>
    <s v="Card"/>
    <n v="4"/>
    <x v="12"/>
    <n v="82.636200000000002"/>
    <n v="7"/>
    <x v="0"/>
  </r>
  <r>
    <n v="2491"/>
    <n v="27"/>
    <x v="2"/>
    <x v="1"/>
    <x v="5"/>
    <s v="Smart Watch"/>
    <n v="736.82"/>
    <x v="0"/>
    <s v="Card"/>
    <n v="4.4000000000000004"/>
    <x v="7"/>
    <n v="663.13800000000003"/>
    <n v="5"/>
    <x v="0"/>
  </r>
  <r>
    <n v="2492"/>
    <n v="61"/>
    <x v="1"/>
    <x v="1"/>
    <x v="1"/>
    <s v="Shirt"/>
    <n v="67.64"/>
    <x v="3"/>
    <s v="Cash on Delivery"/>
    <n v="3.6"/>
    <x v="0"/>
    <n v="55.464800000000004"/>
    <n v="4"/>
    <x v="0"/>
  </r>
  <r>
    <n v="2493"/>
    <n v="61"/>
    <x v="1"/>
    <x v="1"/>
    <x v="1"/>
    <s v="Shirt"/>
    <n v="97.18"/>
    <x v="3"/>
    <s v="Card"/>
    <n v="3.9"/>
    <x v="12"/>
    <n v="78.715800000000016"/>
    <n v="7"/>
    <x v="0"/>
  </r>
  <r>
    <n v="2494"/>
    <n v="36"/>
    <x v="0"/>
    <x v="0"/>
    <x v="8"/>
    <s v="Top"/>
    <n v="96.2"/>
    <x v="2"/>
    <s v="Cash on Delivery"/>
    <n v="5"/>
    <x v="16"/>
    <n v="90.427999999999997"/>
    <n v="3"/>
    <x v="1"/>
  </r>
  <r>
    <n v="2495"/>
    <n v="30"/>
    <x v="2"/>
    <x v="1"/>
    <x v="7"/>
    <s v="Formal Shoes"/>
    <n v="178.66"/>
    <x v="2"/>
    <s v="Card"/>
    <n v="3.1"/>
    <x v="6"/>
    <n v="150.0744"/>
    <n v="3"/>
    <x v="1"/>
  </r>
  <r>
    <n v="2496"/>
    <n v="58"/>
    <x v="0"/>
    <x v="1"/>
    <x v="1"/>
    <s v="Shirt"/>
    <n v="59.56"/>
    <x v="0"/>
    <s v="Card"/>
    <n v="4.5"/>
    <x v="18"/>
    <n v="45.265599999999999"/>
    <n v="7"/>
    <x v="0"/>
  </r>
  <r>
    <n v="2497"/>
    <n v="44"/>
    <x v="0"/>
    <x v="1"/>
    <x v="2"/>
    <s v="Football"/>
    <n v="211.96"/>
    <x v="1"/>
    <s v="Card"/>
    <n v="2.7"/>
    <x v="18"/>
    <n v="161.08960000000002"/>
    <n v="7"/>
    <x v="0"/>
  </r>
  <r>
    <n v="2498"/>
    <n v="28"/>
    <x v="2"/>
    <x v="1"/>
    <x v="7"/>
    <s v="Formal Shoes"/>
    <n v="54.72"/>
    <x v="2"/>
    <s v="Cash on Delivery"/>
    <n v="3"/>
    <x v="5"/>
    <n v="50.342399999999998"/>
    <n v="4"/>
    <x v="0"/>
  </r>
  <r>
    <n v="2499"/>
    <n v="50"/>
    <x v="0"/>
    <x v="0"/>
    <x v="8"/>
    <s v="Jeans"/>
    <n v="166.8"/>
    <x v="0"/>
    <s v="Card"/>
    <n v="4.8"/>
    <x v="19"/>
    <n v="141.78"/>
    <n v="5"/>
    <x v="0"/>
  </r>
  <r>
    <n v="2500"/>
    <n v="36"/>
    <x v="0"/>
    <x v="0"/>
    <x v="2"/>
    <s v="Football"/>
    <n v="180.09"/>
    <x v="2"/>
    <s v="Card"/>
    <n v="4.9000000000000004"/>
    <x v="12"/>
    <n v="145.87290000000002"/>
    <n v="7"/>
    <x v="0"/>
  </r>
  <r>
    <n v="2501"/>
    <n v="55"/>
    <x v="0"/>
    <x v="0"/>
    <x v="2"/>
    <s v="Football"/>
    <n v="73.290000000000006"/>
    <x v="2"/>
    <s v="Card"/>
    <n v="4.5999999999999996"/>
    <x v="12"/>
    <n v="59.364900000000006"/>
    <n v="7"/>
    <x v="0"/>
  </r>
  <r>
    <n v="2502"/>
    <n v="49"/>
    <x v="0"/>
    <x v="1"/>
    <x v="2"/>
    <s v="Football"/>
    <n v="240.58"/>
    <x v="1"/>
    <s v="Card"/>
    <n v="4.2"/>
    <x v="18"/>
    <n v="182.8408"/>
    <n v="7"/>
    <x v="0"/>
  </r>
  <r>
    <n v="2503"/>
    <n v="58"/>
    <x v="0"/>
    <x v="0"/>
    <x v="3"/>
    <s v="Kitchen Set"/>
    <n v="80.55"/>
    <x v="1"/>
    <s v="Card"/>
    <n v="4.8"/>
    <x v="1"/>
    <n v="70.078499999999991"/>
    <n v="4"/>
    <x v="0"/>
  </r>
  <r>
    <n v="2504"/>
    <n v="57"/>
    <x v="0"/>
    <x v="1"/>
    <x v="5"/>
    <s v="Smart Watch"/>
    <n v="1635.17"/>
    <x v="3"/>
    <s v="Card"/>
    <n v="4.0999999999999996"/>
    <x v="13"/>
    <n v="1488.0047000000002"/>
    <n v="2"/>
    <x v="1"/>
  </r>
  <r>
    <n v="2505"/>
    <n v="25"/>
    <x v="2"/>
    <x v="1"/>
    <x v="7"/>
    <s v="Formal Shoes"/>
    <n v="226.76"/>
    <x v="2"/>
    <s v="Card"/>
    <n v="4.2"/>
    <x v="21"/>
    <n v="179.1404"/>
    <n v="8"/>
    <x v="2"/>
  </r>
  <r>
    <n v="2506"/>
    <n v="42"/>
    <x v="0"/>
    <x v="1"/>
    <x v="2"/>
    <s v="Football"/>
    <n v="132.34"/>
    <x v="1"/>
    <s v="Card"/>
    <n v="4.5"/>
    <x v="3"/>
    <n v="105.87200000000001"/>
    <n v="5"/>
    <x v="0"/>
  </r>
  <r>
    <n v="2507"/>
    <n v="42"/>
    <x v="0"/>
    <x v="0"/>
    <x v="0"/>
    <s v="Wallet"/>
    <n v="151.58000000000001"/>
    <x v="1"/>
    <s v="Card"/>
    <n v="4.0999999999999996"/>
    <x v="15"/>
    <n v="148.54840000000002"/>
    <n v="1"/>
    <x v="1"/>
  </r>
  <r>
    <n v="2508"/>
    <n v="35"/>
    <x v="0"/>
    <x v="1"/>
    <x v="4"/>
    <s v="Cooking Oil"/>
    <n v="6.79"/>
    <x v="0"/>
    <s v="Cash on Delivery"/>
    <n v="3.4"/>
    <x v="6"/>
    <n v="5.7035999999999998"/>
    <n v="8"/>
    <x v="2"/>
  </r>
  <r>
    <n v="2509"/>
    <n v="53"/>
    <x v="0"/>
    <x v="0"/>
    <x v="7"/>
    <s v="Sandals"/>
    <n v="177.6"/>
    <x v="0"/>
    <s v="Card"/>
    <n v="5"/>
    <x v="11"/>
    <n v="131.42400000000001"/>
    <n v="8"/>
    <x v="2"/>
  </r>
  <r>
    <n v="2510"/>
    <n v="49"/>
    <x v="0"/>
    <x v="1"/>
    <x v="5"/>
    <s v="Smart Watch"/>
    <n v="1297.0899999999999"/>
    <x v="1"/>
    <s v="Card"/>
    <n v="4.8"/>
    <x v="3"/>
    <n v="1037.672"/>
    <n v="5"/>
    <x v="0"/>
  </r>
  <r>
    <n v="2511"/>
    <n v="28"/>
    <x v="2"/>
    <x v="0"/>
    <x v="0"/>
    <s v="Sunglasses"/>
    <n v="76.02"/>
    <x v="0"/>
    <s v="Card"/>
    <n v="4"/>
    <x v="10"/>
    <n v="59.2956"/>
    <n v="6"/>
    <x v="0"/>
  </r>
  <r>
    <n v="2512"/>
    <n v="37"/>
    <x v="0"/>
    <x v="0"/>
    <x v="7"/>
    <s v="Formal Shoes"/>
    <n v="158.57"/>
    <x v="1"/>
    <s v="Card"/>
    <n v="3.3"/>
    <x v="16"/>
    <n v="149.05579999999998"/>
    <n v="3"/>
    <x v="1"/>
  </r>
  <r>
    <n v="2513"/>
    <n v="27"/>
    <x v="2"/>
    <x v="0"/>
    <x v="8"/>
    <s v="Skirt"/>
    <n v="88.33"/>
    <x v="2"/>
    <s v="Card"/>
    <n v="3.8"/>
    <x v="7"/>
    <n v="79.497"/>
    <n v="5"/>
    <x v="0"/>
  </r>
  <r>
    <n v="2514"/>
    <n v="54"/>
    <x v="0"/>
    <x v="1"/>
    <x v="1"/>
    <s v="Shirt"/>
    <n v="181.51"/>
    <x v="0"/>
    <s v="Card"/>
    <n v="4.8"/>
    <x v="1"/>
    <n v="157.91369999999998"/>
    <n v="4"/>
    <x v="0"/>
  </r>
  <r>
    <n v="2515"/>
    <n v="27"/>
    <x v="2"/>
    <x v="1"/>
    <x v="1"/>
    <s v="Shirt"/>
    <n v="48.86"/>
    <x v="2"/>
    <s v="Cash on Delivery"/>
    <n v="4.8"/>
    <x v="5"/>
    <n v="44.9512"/>
    <n v="4"/>
    <x v="0"/>
  </r>
  <r>
    <n v="2516"/>
    <n v="55"/>
    <x v="0"/>
    <x v="0"/>
    <x v="0"/>
    <s v="Handbag"/>
    <n v="124.2"/>
    <x v="1"/>
    <s v="Card"/>
    <n v="3.6"/>
    <x v="8"/>
    <n v="109.29600000000001"/>
    <n v="6"/>
    <x v="0"/>
  </r>
  <r>
    <n v="2517"/>
    <n v="37"/>
    <x v="0"/>
    <x v="0"/>
    <x v="6"/>
    <s v="Skincare Kit"/>
    <n v="130.83000000000001"/>
    <x v="1"/>
    <s v="Card"/>
    <n v="5"/>
    <x v="0"/>
    <n v="107.28060000000002"/>
    <n v="4"/>
    <x v="0"/>
  </r>
  <r>
    <n v="2518"/>
    <n v="21"/>
    <x v="2"/>
    <x v="1"/>
    <x v="1"/>
    <s v="Shirt"/>
    <n v="46.83"/>
    <x v="1"/>
    <s v="Card"/>
    <n v="5"/>
    <x v="6"/>
    <n v="39.337199999999996"/>
    <n v="3"/>
    <x v="1"/>
  </r>
  <r>
    <n v="2519"/>
    <n v="47"/>
    <x v="0"/>
    <x v="1"/>
    <x v="7"/>
    <s v="Formal Shoes"/>
    <n v="43.11"/>
    <x v="1"/>
    <s v="Card"/>
    <n v="3.6"/>
    <x v="6"/>
    <n v="36.212399999999995"/>
    <n v="8"/>
    <x v="2"/>
  </r>
  <r>
    <n v="2520"/>
    <n v="55"/>
    <x v="0"/>
    <x v="0"/>
    <x v="6"/>
    <s v="Makeup Set"/>
    <n v="131.37"/>
    <x v="0"/>
    <s v="Card"/>
    <n v="3.4"/>
    <x v="4"/>
    <n v="112.9782"/>
    <n v="2"/>
    <x v="1"/>
  </r>
  <r>
    <n v="2521"/>
    <n v="35"/>
    <x v="0"/>
    <x v="0"/>
    <x v="7"/>
    <s v="Formal Shoes"/>
    <n v="216.78"/>
    <x v="0"/>
    <s v="Card"/>
    <n v="3.7"/>
    <x v="7"/>
    <n v="195.102"/>
    <n v="5"/>
    <x v="0"/>
  </r>
  <r>
    <n v="2522"/>
    <n v="45"/>
    <x v="0"/>
    <x v="0"/>
    <x v="4"/>
    <s v="Snacks"/>
    <n v="21.14"/>
    <x v="2"/>
    <s v="Card"/>
    <n v="3.7"/>
    <x v="10"/>
    <n v="16.4892"/>
    <n v="6"/>
    <x v="0"/>
  </r>
  <r>
    <n v="2523"/>
    <n v="69"/>
    <x v="1"/>
    <x v="0"/>
    <x v="7"/>
    <s v="Formal Shoes"/>
    <n v="237.37"/>
    <x v="0"/>
    <s v="Card"/>
    <n v="3.1"/>
    <x v="6"/>
    <n v="199.39079999999998"/>
    <n v="3"/>
    <x v="1"/>
  </r>
  <r>
    <n v="2524"/>
    <n v="35"/>
    <x v="0"/>
    <x v="0"/>
    <x v="7"/>
    <s v="Sandals"/>
    <n v="112.58"/>
    <x v="2"/>
    <s v="Card"/>
    <n v="4"/>
    <x v="5"/>
    <n v="103.5736"/>
    <n v="4"/>
    <x v="0"/>
  </r>
  <r>
    <n v="2525"/>
    <n v="47"/>
    <x v="0"/>
    <x v="1"/>
    <x v="4"/>
    <s v="Rice Pack"/>
    <n v="38.119999999999997"/>
    <x v="0"/>
    <s v="Cash on Delivery"/>
    <n v="3.7"/>
    <x v="5"/>
    <n v="35.070399999999999"/>
    <n v="4"/>
    <x v="0"/>
  </r>
  <r>
    <n v="2526"/>
    <n v="40"/>
    <x v="0"/>
    <x v="0"/>
    <x v="6"/>
    <s v="Perfume"/>
    <n v="79.73"/>
    <x v="0"/>
    <s v="Card"/>
    <n v="3.5"/>
    <x v="8"/>
    <n v="70.162400000000005"/>
    <n v="1"/>
    <x v="1"/>
  </r>
  <r>
    <n v="2527"/>
    <n v="40"/>
    <x v="0"/>
    <x v="0"/>
    <x v="4"/>
    <s v="Snacks"/>
    <n v="23.39"/>
    <x v="2"/>
    <s v="Cash on Delivery"/>
    <n v="3.7"/>
    <x v="0"/>
    <n v="19.1798"/>
    <n v="4"/>
    <x v="0"/>
  </r>
  <r>
    <n v="2528"/>
    <n v="49"/>
    <x v="0"/>
    <x v="0"/>
    <x v="2"/>
    <s v="Football"/>
    <n v="155.91999999999999"/>
    <x v="3"/>
    <s v="Card"/>
    <n v="4.0999999999999996"/>
    <x v="5"/>
    <n v="143.44639999999998"/>
    <n v="4"/>
    <x v="0"/>
  </r>
  <r>
    <n v="2529"/>
    <n v="25"/>
    <x v="2"/>
    <x v="1"/>
    <x v="5"/>
    <s v="Headphones"/>
    <n v="1144.23"/>
    <x v="3"/>
    <s v="Card"/>
    <n v="3.4"/>
    <x v="15"/>
    <n v="1121.3453999999999"/>
    <n v="1"/>
    <x v="1"/>
  </r>
  <r>
    <n v="2530"/>
    <n v="35"/>
    <x v="0"/>
    <x v="1"/>
    <x v="1"/>
    <s v="T-Shirt"/>
    <n v="180.47"/>
    <x v="2"/>
    <s v="Card"/>
    <n v="4"/>
    <x v="8"/>
    <n v="158.81360000000001"/>
    <n v="6"/>
    <x v="0"/>
  </r>
  <r>
    <n v="2531"/>
    <n v="67"/>
    <x v="1"/>
    <x v="0"/>
    <x v="3"/>
    <s v="Lamp"/>
    <n v="127.66"/>
    <x v="3"/>
    <s v="Card"/>
    <n v="4.3"/>
    <x v="19"/>
    <n v="108.511"/>
    <n v="5"/>
    <x v="0"/>
  </r>
  <r>
    <n v="2532"/>
    <n v="58"/>
    <x v="0"/>
    <x v="0"/>
    <x v="4"/>
    <s v="Cooking Oil"/>
    <n v="24.67"/>
    <x v="1"/>
    <s v="Card"/>
    <n v="5"/>
    <x v="5"/>
    <n v="22.696400000000004"/>
    <n v="4"/>
    <x v="0"/>
  </r>
  <r>
    <n v="2533"/>
    <n v="57"/>
    <x v="0"/>
    <x v="1"/>
    <x v="3"/>
    <s v="Curtains"/>
    <n v="146.46"/>
    <x v="1"/>
    <s v="Card"/>
    <n v="4.4000000000000004"/>
    <x v="16"/>
    <n v="137.67240000000001"/>
    <n v="3"/>
    <x v="1"/>
  </r>
  <r>
    <n v="2534"/>
    <n v="44"/>
    <x v="0"/>
    <x v="0"/>
    <x v="8"/>
    <s v="Skirt"/>
    <n v="88.66"/>
    <x v="1"/>
    <s v="Cash on Delivery"/>
    <n v="3.1"/>
    <x v="19"/>
    <n v="75.36099999999999"/>
    <n v="5"/>
    <x v="0"/>
  </r>
  <r>
    <n v="2535"/>
    <n v="22"/>
    <x v="2"/>
    <x v="1"/>
    <x v="2"/>
    <s v="Dumbbells"/>
    <n v="174.54"/>
    <x v="2"/>
    <s v="Card"/>
    <n v="3.3"/>
    <x v="0"/>
    <n v="143.12280000000001"/>
    <n v="9"/>
    <x v="2"/>
  </r>
  <r>
    <n v="2536"/>
    <n v="26"/>
    <x v="2"/>
    <x v="1"/>
    <x v="5"/>
    <s v="Laptop"/>
    <n v="689.29"/>
    <x v="0"/>
    <s v="Card"/>
    <n v="3.7"/>
    <x v="17"/>
    <n v="661.71839999999997"/>
    <n v="2"/>
    <x v="1"/>
  </r>
  <r>
    <n v="2537"/>
    <n v="48"/>
    <x v="0"/>
    <x v="0"/>
    <x v="8"/>
    <s v="Top"/>
    <n v="102.81"/>
    <x v="3"/>
    <s v="Card"/>
    <n v="2.8"/>
    <x v="1"/>
    <n v="89.444699999999997"/>
    <n v="4"/>
    <x v="0"/>
  </r>
  <r>
    <n v="2538"/>
    <n v="53"/>
    <x v="0"/>
    <x v="0"/>
    <x v="8"/>
    <s v="Skirt"/>
    <n v="98.94"/>
    <x v="0"/>
    <s v="Card"/>
    <n v="4.8"/>
    <x v="19"/>
    <n v="84.09899999999999"/>
    <n v="5"/>
    <x v="0"/>
  </r>
  <r>
    <n v="2539"/>
    <n v="63"/>
    <x v="1"/>
    <x v="1"/>
    <x v="1"/>
    <s v="T-Shirt"/>
    <n v="111.55"/>
    <x v="2"/>
    <s v="Card"/>
    <n v="3.4"/>
    <x v="8"/>
    <n v="98.164000000000001"/>
    <n v="6"/>
    <x v="0"/>
  </r>
  <r>
    <n v="2540"/>
    <n v="56"/>
    <x v="0"/>
    <x v="0"/>
    <x v="7"/>
    <s v="Formal Shoes"/>
    <n v="97.22"/>
    <x v="0"/>
    <s v="Card"/>
    <n v="2.8"/>
    <x v="17"/>
    <n v="93.331199999999995"/>
    <n v="2"/>
    <x v="1"/>
  </r>
  <r>
    <n v="2541"/>
    <n v="61"/>
    <x v="1"/>
    <x v="0"/>
    <x v="2"/>
    <s v="Yoga Mat"/>
    <n v="25.02"/>
    <x v="1"/>
    <s v="Cash on Delivery"/>
    <n v="4.2"/>
    <x v="6"/>
    <n v="21.0168"/>
    <n v="3"/>
    <x v="1"/>
  </r>
  <r>
    <n v="2542"/>
    <n v="36"/>
    <x v="0"/>
    <x v="0"/>
    <x v="7"/>
    <s v="Sneakers"/>
    <n v="96.04"/>
    <x v="0"/>
    <s v="Cash on Delivery"/>
    <n v="2.8"/>
    <x v="3"/>
    <n v="76.832000000000008"/>
    <n v="5"/>
    <x v="0"/>
  </r>
  <r>
    <n v="2543"/>
    <n v="25"/>
    <x v="2"/>
    <x v="1"/>
    <x v="7"/>
    <s v="Sandals"/>
    <n v="77.540000000000006"/>
    <x v="3"/>
    <s v="Card"/>
    <n v="4"/>
    <x v="19"/>
    <n v="65.909000000000006"/>
    <n v="5"/>
    <x v="0"/>
  </r>
  <r>
    <n v="2544"/>
    <n v="23"/>
    <x v="2"/>
    <x v="0"/>
    <x v="7"/>
    <s v="Sandals"/>
    <n v="128.30000000000001"/>
    <x v="0"/>
    <s v="Card"/>
    <n v="2.7"/>
    <x v="7"/>
    <n v="115.47000000000001"/>
    <n v="5"/>
    <x v="0"/>
  </r>
  <r>
    <n v="2545"/>
    <n v="64"/>
    <x v="1"/>
    <x v="0"/>
    <x v="7"/>
    <s v="Sneakers"/>
    <n v="123.62"/>
    <x v="2"/>
    <s v="Card"/>
    <n v="4.2"/>
    <x v="7"/>
    <n v="111.25800000000001"/>
    <n v="5"/>
    <x v="0"/>
  </r>
  <r>
    <n v="2546"/>
    <n v="54"/>
    <x v="0"/>
    <x v="1"/>
    <x v="2"/>
    <s v="Yoga Mat"/>
    <n v="113.57"/>
    <x v="0"/>
    <s v="Card"/>
    <n v="3"/>
    <x v="19"/>
    <n v="96.534499999999994"/>
    <n v="5"/>
    <x v="0"/>
  </r>
  <r>
    <n v="2547"/>
    <n v="22"/>
    <x v="2"/>
    <x v="0"/>
    <x v="0"/>
    <s v="Sunglasses"/>
    <n v="76.34"/>
    <x v="3"/>
    <s v="Cash on Delivery"/>
    <n v="3.9"/>
    <x v="14"/>
    <n v="63.362200000000001"/>
    <n v="6"/>
    <x v="0"/>
  </r>
  <r>
    <n v="2548"/>
    <n v="61"/>
    <x v="1"/>
    <x v="1"/>
    <x v="1"/>
    <s v="T-Shirt"/>
    <n v="128.18"/>
    <x v="1"/>
    <s v="Card"/>
    <n v="3.6"/>
    <x v="6"/>
    <n v="107.6712"/>
    <n v="3"/>
    <x v="1"/>
  </r>
  <r>
    <n v="2549"/>
    <n v="26"/>
    <x v="2"/>
    <x v="1"/>
    <x v="2"/>
    <s v="Football"/>
    <n v="98.3"/>
    <x v="0"/>
    <s v="Card"/>
    <n v="3.9"/>
    <x v="6"/>
    <n v="82.571999999999989"/>
    <n v="3"/>
    <x v="1"/>
  </r>
  <r>
    <n v="2550"/>
    <n v="42"/>
    <x v="0"/>
    <x v="0"/>
    <x v="6"/>
    <s v="Skincare Kit"/>
    <n v="74.72"/>
    <x v="1"/>
    <s v="Card"/>
    <n v="4.3"/>
    <x v="27"/>
    <n v="56.04"/>
    <n v="10"/>
    <x v="2"/>
  </r>
  <r>
    <n v="2551"/>
    <n v="56"/>
    <x v="0"/>
    <x v="0"/>
    <x v="8"/>
    <s v="Top"/>
    <n v="104.87"/>
    <x v="0"/>
    <s v="Card"/>
    <n v="4.4000000000000004"/>
    <x v="10"/>
    <n v="81.798600000000008"/>
    <n v="11"/>
    <x v="2"/>
  </r>
  <r>
    <n v="2552"/>
    <n v="54"/>
    <x v="0"/>
    <x v="0"/>
    <x v="0"/>
    <s v="Wallet"/>
    <n v="54.62"/>
    <x v="3"/>
    <s v="Cash on Delivery"/>
    <n v="3.7"/>
    <x v="5"/>
    <n v="50.250399999999999"/>
    <n v="4"/>
    <x v="0"/>
  </r>
  <r>
    <n v="2553"/>
    <n v="50"/>
    <x v="0"/>
    <x v="0"/>
    <x v="0"/>
    <s v="Wallet"/>
    <n v="161.18"/>
    <x v="3"/>
    <s v="Card"/>
    <n v="3.9"/>
    <x v="10"/>
    <n v="125.72040000000001"/>
    <n v="6"/>
    <x v="0"/>
  </r>
  <r>
    <n v="2554"/>
    <n v="52"/>
    <x v="0"/>
    <x v="0"/>
    <x v="4"/>
    <s v="Cooking Oil"/>
    <n v="36.75"/>
    <x v="0"/>
    <s v="Card"/>
    <n v="4"/>
    <x v="5"/>
    <n v="33.81"/>
    <n v="4"/>
    <x v="0"/>
  </r>
  <r>
    <n v="2555"/>
    <n v="41"/>
    <x v="0"/>
    <x v="0"/>
    <x v="0"/>
    <s v="Sunglasses"/>
    <n v="101.23"/>
    <x v="1"/>
    <s v="Card"/>
    <n v="2.8"/>
    <x v="19"/>
    <n v="86.045500000000004"/>
    <n v="5"/>
    <x v="0"/>
  </r>
  <r>
    <n v="2556"/>
    <n v="63"/>
    <x v="1"/>
    <x v="0"/>
    <x v="4"/>
    <s v="Beverages"/>
    <n v="69.8"/>
    <x v="0"/>
    <s v="Cash on Delivery"/>
    <n v="5"/>
    <x v="7"/>
    <n v="62.82"/>
    <n v="5"/>
    <x v="0"/>
  </r>
  <r>
    <n v="2557"/>
    <n v="57"/>
    <x v="0"/>
    <x v="0"/>
    <x v="4"/>
    <s v="Beverages"/>
    <n v="56.76"/>
    <x v="3"/>
    <s v="Card"/>
    <n v="3.9"/>
    <x v="10"/>
    <n v="44.272799999999997"/>
    <n v="6"/>
    <x v="0"/>
  </r>
  <r>
    <n v="2558"/>
    <n v="44"/>
    <x v="0"/>
    <x v="0"/>
    <x v="2"/>
    <s v="Dumbbells"/>
    <n v="192.76"/>
    <x v="0"/>
    <s v="Card"/>
    <n v="3.5"/>
    <x v="19"/>
    <n v="163.84599999999998"/>
    <n v="5"/>
    <x v="0"/>
  </r>
  <r>
    <n v="2559"/>
    <n v="47"/>
    <x v="0"/>
    <x v="1"/>
    <x v="2"/>
    <s v="Dumbbells"/>
    <n v="133.84"/>
    <x v="3"/>
    <s v="Card"/>
    <n v="5"/>
    <x v="4"/>
    <n v="115.1024"/>
    <n v="7"/>
    <x v="0"/>
  </r>
  <r>
    <n v="2560"/>
    <n v="66"/>
    <x v="1"/>
    <x v="0"/>
    <x v="0"/>
    <s v="Sunglasses"/>
    <n v="48.53"/>
    <x v="3"/>
    <s v="Card"/>
    <n v="2.9"/>
    <x v="2"/>
    <n v="43.191700000000004"/>
    <n v="3"/>
    <x v="1"/>
  </r>
  <r>
    <n v="2561"/>
    <n v="65"/>
    <x v="1"/>
    <x v="0"/>
    <x v="3"/>
    <s v="Kitchen Set"/>
    <n v="157.49"/>
    <x v="1"/>
    <s v="Card"/>
    <n v="3.8"/>
    <x v="14"/>
    <n v="130.7167"/>
    <n v="6"/>
    <x v="0"/>
  </r>
  <r>
    <n v="2562"/>
    <n v="69"/>
    <x v="1"/>
    <x v="1"/>
    <x v="7"/>
    <s v="Formal Shoes"/>
    <n v="157.19999999999999"/>
    <x v="2"/>
    <s v="Card"/>
    <n v="4.4000000000000004"/>
    <x v="2"/>
    <n v="139.90799999999999"/>
    <n v="3"/>
    <x v="1"/>
  </r>
  <r>
    <n v="2563"/>
    <n v="45"/>
    <x v="0"/>
    <x v="0"/>
    <x v="6"/>
    <s v="Skincare Kit"/>
    <n v="59.66"/>
    <x v="0"/>
    <s v="Card"/>
    <n v="3.8"/>
    <x v="2"/>
    <n v="53.0974"/>
    <n v="3"/>
    <x v="1"/>
  </r>
  <r>
    <n v="2564"/>
    <n v="37"/>
    <x v="0"/>
    <x v="0"/>
    <x v="8"/>
    <s v="Jeans"/>
    <n v="181.19"/>
    <x v="3"/>
    <s v="Card"/>
    <n v="4.3"/>
    <x v="10"/>
    <n v="141.32820000000001"/>
    <n v="6"/>
    <x v="0"/>
  </r>
  <r>
    <n v="2565"/>
    <n v="47"/>
    <x v="0"/>
    <x v="0"/>
    <x v="8"/>
    <s v="Dress"/>
    <n v="123.24"/>
    <x v="1"/>
    <s v="Card"/>
    <n v="3.6"/>
    <x v="7"/>
    <n v="110.916"/>
    <n v="5"/>
    <x v="0"/>
  </r>
  <r>
    <n v="2566"/>
    <n v="33"/>
    <x v="0"/>
    <x v="0"/>
    <x v="8"/>
    <s v="Dress"/>
    <n v="53.56"/>
    <x v="1"/>
    <s v="Card"/>
    <n v="3.1"/>
    <x v="7"/>
    <n v="48.204000000000001"/>
    <n v="5"/>
    <x v="0"/>
  </r>
  <r>
    <n v="2567"/>
    <n v="44"/>
    <x v="0"/>
    <x v="0"/>
    <x v="0"/>
    <s v="Handbag"/>
    <n v="153.44999999999999"/>
    <x v="1"/>
    <s v="Card"/>
    <n v="4.0999999999999996"/>
    <x v="1"/>
    <n v="133.50149999999999"/>
    <n v="4"/>
    <x v="0"/>
  </r>
  <r>
    <n v="2568"/>
    <n v="30"/>
    <x v="2"/>
    <x v="0"/>
    <x v="7"/>
    <s v="Sneakers"/>
    <n v="136.93"/>
    <x v="3"/>
    <s v="Card"/>
    <n v="5"/>
    <x v="13"/>
    <n v="124.6063"/>
    <n v="2"/>
    <x v="1"/>
  </r>
  <r>
    <n v="2569"/>
    <n v="70"/>
    <x v="1"/>
    <x v="1"/>
    <x v="1"/>
    <s v="Jeans"/>
    <n v="198.86"/>
    <x v="1"/>
    <s v="Card"/>
    <n v="4.0999999999999996"/>
    <x v="5"/>
    <n v="182.95120000000003"/>
    <n v="4"/>
    <x v="0"/>
  </r>
  <r>
    <n v="2570"/>
    <n v="44"/>
    <x v="0"/>
    <x v="1"/>
    <x v="2"/>
    <s v="Yoga Mat"/>
    <n v="154.32"/>
    <x v="2"/>
    <s v="Card"/>
    <n v="4.5999999999999996"/>
    <x v="7"/>
    <n v="138.88800000000001"/>
    <n v="5"/>
    <x v="0"/>
  </r>
  <r>
    <n v="2571"/>
    <n v="69"/>
    <x v="1"/>
    <x v="1"/>
    <x v="1"/>
    <s v="Jacket"/>
    <n v="176.88"/>
    <x v="1"/>
    <s v="Card"/>
    <n v="4.3"/>
    <x v="13"/>
    <n v="160.96080000000001"/>
    <n v="2"/>
    <x v="1"/>
  </r>
  <r>
    <n v="2572"/>
    <n v="48"/>
    <x v="0"/>
    <x v="0"/>
    <x v="2"/>
    <s v="Yoga Mat"/>
    <n v="91.06"/>
    <x v="3"/>
    <s v="Card"/>
    <n v="4.2"/>
    <x v="2"/>
    <n v="81.043400000000005"/>
    <n v="3"/>
    <x v="1"/>
  </r>
  <r>
    <n v="2573"/>
    <n v="33"/>
    <x v="0"/>
    <x v="0"/>
    <x v="7"/>
    <s v="Sandals"/>
    <n v="76.06"/>
    <x v="0"/>
    <s v="Card"/>
    <n v="4"/>
    <x v="19"/>
    <n v="64.650999999999996"/>
    <n v="5"/>
    <x v="0"/>
  </r>
  <r>
    <n v="2574"/>
    <n v="52"/>
    <x v="0"/>
    <x v="0"/>
    <x v="0"/>
    <s v="Wallet"/>
    <n v="65.97"/>
    <x v="1"/>
    <s v="Card"/>
    <n v="2.9"/>
    <x v="16"/>
    <n v="62.011799999999994"/>
    <n v="3"/>
    <x v="1"/>
  </r>
  <r>
    <n v="2575"/>
    <n v="65"/>
    <x v="1"/>
    <x v="1"/>
    <x v="1"/>
    <s v="Jeans"/>
    <n v="119.34"/>
    <x v="2"/>
    <s v="Card"/>
    <n v="4.0999999999999996"/>
    <x v="5"/>
    <n v="109.79280000000001"/>
    <n v="4"/>
    <x v="0"/>
  </r>
  <r>
    <n v="2576"/>
    <n v="70"/>
    <x v="1"/>
    <x v="0"/>
    <x v="8"/>
    <s v="Jeans"/>
    <n v="140.91"/>
    <x v="1"/>
    <s v="Card"/>
    <n v="3.1"/>
    <x v="7"/>
    <n v="126.819"/>
    <n v="5"/>
    <x v="0"/>
  </r>
  <r>
    <n v="2577"/>
    <n v="29"/>
    <x v="2"/>
    <x v="1"/>
    <x v="4"/>
    <s v="Snacks"/>
    <n v="51.55"/>
    <x v="0"/>
    <s v="Card"/>
    <n v="4.2"/>
    <x v="23"/>
    <n v="47.941499999999991"/>
    <n v="1"/>
    <x v="1"/>
  </r>
  <r>
    <n v="2578"/>
    <n v="47"/>
    <x v="0"/>
    <x v="1"/>
    <x v="7"/>
    <s v="Sandals"/>
    <n v="45.39"/>
    <x v="0"/>
    <s v="Card"/>
    <n v="4.0999999999999996"/>
    <x v="12"/>
    <n v="36.765900000000002"/>
    <n v="7"/>
    <x v="0"/>
  </r>
  <r>
    <n v="2579"/>
    <n v="69"/>
    <x v="1"/>
    <x v="0"/>
    <x v="2"/>
    <s v="Football"/>
    <n v="116.25"/>
    <x v="2"/>
    <s v="Card"/>
    <n v="4.5999999999999996"/>
    <x v="18"/>
    <n v="88.35"/>
    <n v="7"/>
    <x v="0"/>
  </r>
  <r>
    <n v="2580"/>
    <n v="43"/>
    <x v="0"/>
    <x v="0"/>
    <x v="4"/>
    <s v="Rice Pack"/>
    <n v="65.16"/>
    <x v="2"/>
    <s v="Cash on Delivery"/>
    <n v="4.7"/>
    <x v="0"/>
    <n v="53.431200000000004"/>
    <n v="4"/>
    <x v="0"/>
  </r>
  <r>
    <n v="2581"/>
    <n v="33"/>
    <x v="0"/>
    <x v="0"/>
    <x v="8"/>
    <s v="Top"/>
    <n v="123.96"/>
    <x v="1"/>
    <s v="Card"/>
    <n v="3.1"/>
    <x v="19"/>
    <n v="105.36599999999999"/>
    <n v="5"/>
    <x v="0"/>
  </r>
  <r>
    <n v="2582"/>
    <n v="66"/>
    <x v="1"/>
    <x v="1"/>
    <x v="7"/>
    <s v="Sandals"/>
    <n v="58.45"/>
    <x v="2"/>
    <s v="Card"/>
    <n v="3.5"/>
    <x v="3"/>
    <n v="46.760000000000005"/>
    <n v="5"/>
    <x v="0"/>
  </r>
  <r>
    <n v="2583"/>
    <n v="59"/>
    <x v="0"/>
    <x v="0"/>
    <x v="7"/>
    <s v="Formal Shoes"/>
    <n v="183.81"/>
    <x v="1"/>
    <s v="Card"/>
    <n v="4.0999999999999996"/>
    <x v="10"/>
    <n v="143.37180000000001"/>
    <n v="6"/>
    <x v="0"/>
  </r>
  <r>
    <n v="2584"/>
    <n v="30"/>
    <x v="2"/>
    <x v="0"/>
    <x v="6"/>
    <s v="Skincare Kit"/>
    <n v="129.88999999999999"/>
    <x v="3"/>
    <s v="Card"/>
    <n v="4.2"/>
    <x v="14"/>
    <n v="107.80869999999999"/>
    <n v="6"/>
    <x v="0"/>
  </r>
  <r>
    <n v="2585"/>
    <n v="47"/>
    <x v="0"/>
    <x v="1"/>
    <x v="1"/>
    <s v="Jacket"/>
    <n v="97.5"/>
    <x v="1"/>
    <s v="Cash on Delivery"/>
    <n v="4.7"/>
    <x v="8"/>
    <n v="85.8"/>
    <n v="6"/>
    <x v="0"/>
  </r>
  <r>
    <n v="2586"/>
    <n v="68"/>
    <x v="1"/>
    <x v="1"/>
    <x v="2"/>
    <s v="Dumbbells"/>
    <n v="123.53"/>
    <x v="1"/>
    <s v="Card"/>
    <n v="4.4000000000000004"/>
    <x v="4"/>
    <n v="106.2358"/>
    <n v="2"/>
    <x v="1"/>
  </r>
  <r>
    <n v="2587"/>
    <n v="53"/>
    <x v="0"/>
    <x v="1"/>
    <x v="2"/>
    <s v="Yoga Mat"/>
    <n v="152.44999999999999"/>
    <x v="1"/>
    <s v="Card"/>
    <n v="3"/>
    <x v="12"/>
    <n v="123.4845"/>
    <n v="7"/>
    <x v="0"/>
  </r>
  <r>
    <n v="2588"/>
    <n v="30"/>
    <x v="2"/>
    <x v="0"/>
    <x v="8"/>
    <s v="Top"/>
    <n v="148.18"/>
    <x v="2"/>
    <s v="Card"/>
    <n v="4.7"/>
    <x v="18"/>
    <n v="112.61680000000001"/>
    <n v="7"/>
    <x v="0"/>
  </r>
  <r>
    <n v="2589"/>
    <n v="52"/>
    <x v="0"/>
    <x v="0"/>
    <x v="4"/>
    <s v="Beverages"/>
    <n v="69.489999999999995"/>
    <x v="1"/>
    <s v="Cash on Delivery"/>
    <n v="3.9"/>
    <x v="8"/>
    <n v="61.151199999999996"/>
    <n v="6"/>
    <x v="0"/>
  </r>
  <r>
    <n v="2590"/>
    <n v="28"/>
    <x v="2"/>
    <x v="0"/>
    <x v="7"/>
    <s v="Sandals"/>
    <n v="221.51"/>
    <x v="1"/>
    <s v="Card"/>
    <n v="3"/>
    <x v="5"/>
    <n v="203.78919999999999"/>
    <n v="4"/>
    <x v="0"/>
  </r>
  <r>
    <n v="2591"/>
    <n v="40"/>
    <x v="0"/>
    <x v="0"/>
    <x v="2"/>
    <s v="Yoga Mat"/>
    <n v="129.22"/>
    <x v="0"/>
    <s v="Card"/>
    <n v="4.3"/>
    <x v="8"/>
    <n v="113.7136"/>
    <n v="6"/>
    <x v="0"/>
  </r>
  <r>
    <n v="2592"/>
    <n v="46"/>
    <x v="0"/>
    <x v="1"/>
    <x v="2"/>
    <s v="Dumbbells"/>
    <n v="67.89"/>
    <x v="3"/>
    <s v="Card"/>
    <n v="3.3"/>
    <x v="5"/>
    <n v="62.458800000000004"/>
    <n v="4"/>
    <x v="0"/>
  </r>
  <r>
    <n v="2593"/>
    <n v="26"/>
    <x v="2"/>
    <x v="1"/>
    <x v="4"/>
    <s v="Rice Pack"/>
    <n v="31.17"/>
    <x v="0"/>
    <s v="Cash on Delivery"/>
    <n v="3.4"/>
    <x v="2"/>
    <n v="27.741300000000003"/>
    <n v="3"/>
    <x v="1"/>
  </r>
  <r>
    <n v="2594"/>
    <n v="54"/>
    <x v="0"/>
    <x v="0"/>
    <x v="0"/>
    <s v="Sunglasses"/>
    <n v="90.54"/>
    <x v="3"/>
    <s v="Cash on Delivery"/>
    <n v="3.4"/>
    <x v="0"/>
    <n v="74.242800000000017"/>
    <n v="4"/>
    <x v="0"/>
  </r>
  <r>
    <n v="2595"/>
    <n v="34"/>
    <x v="0"/>
    <x v="1"/>
    <x v="1"/>
    <s v="Shirt"/>
    <n v="62.19"/>
    <x v="2"/>
    <s v="Cash on Delivery"/>
    <n v="4.0999999999999996"/>
    <x v="0"/>
    <n v="50.995800000000003"/>
    <n v="4"/>
    <x v="0"/>
  </r>
  <r>
    <n v="2596"/>
    <n v="53"/>
    <x v="0"/>
    <x v="0"/>
    <x v="7"/>
    <s v="Sneakers"/>
    <n v="160.62"/>
    <x v="3"/>
    <s v="Card"/>
    <n v="3.4"/>
    <x v="21"/>
    <n v="126.88980000000001"/>
    <n v="8"/>
    <x v="2"/>
  </r>
  <r>
    <n v="2597"/>
    <n v="53"/>
    <x v="0"/>
    <x v="1"/>
    <x v="5"/>
    <s v="Laptop"/>
    <n v="2661.25"/>
    <x v="1"/>
    <s v="Card"/>
    <n v="4.5"/>
    <x v="18"/>
    <n v="2022.55"/>
    <n v="7"/>
    <x v="0"/>
  </r>
  <r>
    <n v="2598"/>
    <n v="60"/>
    <x v="0"/>
    <x v="0"/>
    <x v="8"/>
    <s v="Top"/>
    <n v="57.4"/>
    <x v="2"/>
    <s v="Cash on Delivery"/>
    <n v="3.3"/>
    <x v="14"/>
    <n v="47.641999999999996"/>
    <n v="6"/>
    <x v="0"/>
  </r>
  <r>
    <n v="2599"/>
    <n v="24"/>
    <x v="2"/>
    <x v="1"/>
    <x v="1"/>
    <s v="Jacket"/>
    <n v="38.57"/>
    <x v="3"/>
    <s v="Card"/>
    <n v="3.5"/>
    <x v="16"/>
    <n v="36.255800000000001"/>
    <n v="3"/>
    <x v="1"/>
  </r>
  <r>
    <n v="2600"/>
    <n v="29"/>
    <x v="2"/>
    <x v="0"/>
    <x v="7"/>
    <s v="Sandals"/>
    <n v="57.06"/>
    <x v="0"/>
    <s v="Card"/>
    <n v="4.0999999999999996"/>
    <x v="8"/>
    <n v="50.212800000000001"/>
    <n v="6"/>
    <x v="0"/>
  </r>
  <r>
    <n v="2601"/>
    <n v="64"/>
    <x v="1"/>
    <x v="1"/>
    <x v="4"/>
    <s v="Rice Pack"/>
    <n v="49.9"/>
    <x v="3"/>
    <s v="Card"/>
    <n v="4.2"/>
    <x v="4"/>
    <n v="42.914000000000001"/>
    <n v="7"/>
    <x v="0"/>
  </r>
  <r>
    <n v="2602"/>
    <n v="48"/>
    <x v="0"/>
    <x v="0"/>
    <x v="0"/>
    <s v="Handbag"/>
    <n v="142.62"/>
    <x v="0"/>
    <s v="Card"/>
    <n v="3.6"/>
    <x v="0"/>
    <n v="116.94840000000001"/>
    <n v="9"/>
    <x v="2"/>
  </r>
  <r>
    <n v="2603"/>
    <n v="55"/>
    <x v="0"/>
    <x v="1"/>
    <x v="1"/>
    <s v="Jeans"/>
    <n v="90.45"/>
    <x v="1"/>
    <s v="Cash on Delivery"/>
    <n v="3.3"/>
    <x v="5"/>
    <n v="83.214000000000013"/>
    <n v="4"/>
    <x v="0"/>
  </r>
  <r>
    <n v="2604"/>
    <n v="59"/>
    <x v="0"/>
    <x v="1"/>
    <x v="2"/>
    <s v="Yoga Mat"/>
    <n v="207.97"/>
    <x v="1"/>
    <s v="Card"/>
    <n v="4.5"/>
    <x v="1"/>
    <n v="180.93389999999999"/>
    <n v="4"/>
    <x v="0"/>
  </r>
  <r>
    <n v="2605"/>
    <n v="29"/>
    <x v="2"/>
    <x v="1"/>
    <x v="2"/>
    <s v="Dumbbells"/>
    <n v="78.87"/>
    <x v="3"/>
    <s v="Cash on Delivery"/>
    <n v="3.9"/>
    <x v="14"/>
    <n v="65.462100000000007"/>
    <n v="6"/>
    <x v="0"/>
  </r>
  <r>
    <n v="2606"/>
    <n v="47"/>
    <x v="0"/>
    <x v="1"/>
    <x v="1"/>
    <s v="T-Shirt"/>
    <n v="160.26"/>
    <x v="3"/>
    <s v="Card"/>
    <n v="3.7"/>
    <x v="3"/>
    <n v="128.208"/>
    <n v="5"/>
    <x v="0"/>
  </r>
  <r>
    <n v="2607"/>
    <n v="27"/>
    <x v="2"/>
    <x v="1"/>
    <x v="2"/>
    <s v="Football"/>
    <n v="227.6"/>
    <x v="2"/>
    <s v="Card"/>
    <n v="4.9000000000000004"/>
    <x v="4"/>
    <n v="195.73599999999999"/>
    <n v="2"/>
    <x v="1"/>
  </r>
  <r>
    <n v="2608"/>
    <n v="37"/>
    <x v="0"/>
    <x v="0"/>
    <x v="7"/>
    <s v="Sandals"/>
    <n v="62.2"/>
    <x v="3"/>
    <s v="Cash on Delivery"/>
    <n v="4"/>
    <x v="0"/>
    <n v="51.004000000000005"/>
    <n v="9"/>
    <x v="2"/>
  </r>
  <r>
    <n v="2609"/>
    <n v="30"/>
    <x v="2"/>
    <x v="1"/>
    <x v="1"/>
    <s v="Shirt"/>
    <n v="111.07"/>
    <x v="1"/>
    <s v="Card"/>
    <n v="3.9"/>
    <x v="22"/>
    <n v="85.523899999999998"/>
    <n v="9"/>
    <x v="2"/>
  </r>
  <r>
    <n v="2610"/>
    <n v="44"/>
    <x v="0"/>
    <x v="1"/>
    <x v="3"/>
    <s v="Lamp"/>
    <n v="136.96"/>
    <x v="3"/>
    <s v="Card"/>
    <n v="2.5"/>
    <x v="12"/>
    <n v="110.93760000000002"/>
    <n v="7"/>
    <x v="0"/>
  </r>
  <r>
    <n v="2611"/>
    <n v="28"/>
    <x v="2"/>
    <x v="0"/>
    <x v="2"/>
    <s v="Dumbbells"/>
    <n v="99.34"/>
    <x v="2"/>
    <s v="Cash on Delivery"/>
    <n v="4.0999999999999996"/>
    <x v="19"/>
    <n v="84.439000000000007"/>
    <n v="5"/>
    <x v="0"/>
  </r>
  <r>
    <n v="2612"/>
    <n v="58"/>
    <x v="0"/>
    <x v="0"/>
    <x v="6"/>
    <s v="Skincare Kit"/>
    <n v="59.64"/>
    <x v="1"/>
    <s v="Cash on Delivery"/>
    <n v="3.1"/>
    <x v="19"/>
    <n v="50.694000000000003"/>
    <n v="5"/>
    <x v="0"/>
  </r>
  <r>
    <n v="2613"/>
    <n v="67"/>
    <x v="1"/>
    <x v="0"/>
    <x v="8"/>
    <s v="Dress"/>
    <n v="44.95"/>
    <x v="2"/>
    <s v="Card"/>
    <n v="2.8"/>
    <x v="8"/>
    <n v="39.556000000000004"/>
    <n v="6"/>
    <x v="0"/>
  </r>
  <r>
    <n v="2614"/>
    <n v="58"/>
    <x v="0"/>
    <x v="1"/>
    <x v="5"/>
    <s v="Mobile Phone"/>
    <n v="926.5"/>
    <x v="3"/>
    <s v="Card"/>
    <n v="4.3"/>
    <x v="16"/>
    <n v="870.91"/>
    <n v="3"/>
    <x v="1"/>
  </r>
  <r>
    <n v="2615"/>
    <n v="45"/>
    <x v="0"/>
    <x v="0"/>
    <x v="4"/>
    <s v="Beverages"/>
    <n v="59.98"/>
    <x v="3"/>
    <s v="Card"/>
    <n v="4"/>
    <x v="16"/>
    <n v="56.381199999999993"/>
    <n v="3"/>
    <x v="1"/>
  </r>
  <r>
    <n v="2616"/>
    <n v="26"/>
    <x v="2"/>
    <x v="1"/>
    <x v="2"/>
    <s v="Yoga Mat"/>
    <n v="188.94"/>
    <x v="2"/>
    <s v="Card"/>
    <n v="4.3"/>
    <x v="0"/>
    <n v="154.9308"/>
    <n v="4"/>
    <x v="0"/>
  </r>
  <r>
    <n v="2617"/>
    <n v="56"/>
    <x v="0"/>
    <x v="0"/>
    <x v="7"/>
    <s v="Sneakers"/>
    <n v="177.97"/>
    <x v="1"/>
    <s v="Card"/>
    <n v="4"/>
    <x v="3"/>
    <n v="142.376"/>
    <n v="10"/>
    <x v="2"/>
  </r>
  <r>
    <n v="2618"/>
    <n v="50"/>
    <x v="0"/>
    <x v="0"/>
    <x v="0"/>
    <s v="Wallet"/>
    <n v="128.68"/>
    <x v="1"/>
    <s v="Card"/>
    <n v="3.7"/>
    <x v="2"/>
    <n v="114.52520000000001"/>
    <n v="3"/>
    <x v="1"/>
  </r>
  <r>
    <n v="2619"/>
    <n v="48"/>
    <x v="0"/>
    <x v="1"/>
    <x v="2"/>
    <s v="Football"/>
    <n v="137.66999999999999"/>
    <x v="1"/>
    <s v="Card"/>
    <n v="3.7"/>
    <x v="17"/>
    <n v="132.16319999999999"/>
    <n v="2"/>
    <x v="1"/>
  </r>
  <r>
    <n v="2620"/>
    <n v="28"/>
    <x v="2"/>
    <x v="1"/>
    <x v="1"/>
    <s v="Jeans"/>
    <n v="138.24"/>
    <x v="0"/>
    <s v="Card"/>
    <n v="3.1"/>
    <x v="2"/>
    <n v="123.03360000000001"/>
    <n v="3"/>
    <x v="1"/>
  </r>
  <r>
    <n v="2621"/>
    <n v="60"/>
    <x v="0"/>
    <x v="1"/>
    <x v="2"/>
    <s v="Yoga Mat"/>
    <n v="26.82"/>
    <x v="2"/>
    <s v="Card"/>
    <n v="4.5"/>
    <x v="2"/>
    <n v="23.869800000000001"/>
    <n v="3"/>
    <x v="1"/>
  </r>
  <r>
    <n v="2622"/>
    <n v="64"/>
    <x v="1"/>
    <x v="0"/>
    <x v="8"/>
    <s v="Skirt"/>
    <n v="83.11"/>
    <x v="1"/>
    <s v="Cash on Delivery"/>
    <n v="2.9"/>
    <x v="2"/>
    <n v="73.9679"/>
    <n v="3"/>
    <x v="1"/>
  </r>
  <r>
    <n v="2623"/>
    <n v="47"/>
    <x v="0"/>
    <x v="1"/>
    <x v="2"/>
    <s v="Yoga Mat"/>
    <n v="126.93"/>
    <x v="3"/>
    <s v="Card"/>
    <n v="3.6"/>
    <x v="3"/>
    <n v="101.54400000000001"/>
    <n v="10"/>
    <x v="2"/>
  </r>
  <r>
    <n v="2624"/>
    <n v="28"/>
    <x v="2"/>
    <x v="1"/>
    <x v="3"/>
    <s v="Kitchen Set"/>
    <n v="241.39"/>
    <x v="1"/>
    <s v="Card"/>
    <n v="3.2"/>
    <x v="14"/>
    <n v="200.35369999999998"/>
    <n v="6"/>
    <x v="0"/>
  </r>
  <r>
    <n v="2625"/>
    <n v="48"/>
    <x v="0"/>
    <x v="0"/>
    <x v="6"/>
    <s v="Skincare Kit"/>
    <n v="128.09"/>
    <x v="2"/>
    <s v="Card"/>
    <n v="4.2"/>
    <x v="4"/>
    <n v="110.1574"/>
    <n v="7"/>
    <x v="0"/>
  </r>
  <r>
    <n v="2626"/>
    <n v="29"/>
    <x v="2"/>
    <x v="1"/>
    <x v="7"/>
    <s v="Formal Shoes"/>
    <n v="184.29"/>
    <x v="1"/>
    <s v="Card"/>
    <n v="2.8"/>
    <x v="18"/>
    <n v="140.06039999999999"/>
    <n v="7"/>
    <x v="0"/>
  </r>
  <r>
    <n v="2627"/>
    <n v="60"/>
    <x v="0"/>
    <x v="0"/>
    <x v="6"/>
    <s v="Skincare Kit"/>
    <n v="144.08000000000001"/>
    <x v="0"/>
    <s v="Card"/>
    <n v="2.5"/>
    <x v="16"/>
    <n v="135.43520000000001"/>
    <n v="3"/>
    <x v="1"/>
  </r>
  <r>
    <n v="2628"/>
    <n v="48"/>
    <x v="0"/>
    <x v="0"/>
    <x v="8"/>
    <s v="Skirt"/>
    <n v="74.56"/>
    <x v="0"/>
    <s v="Cash on Delivery"/>
    <n v="3.3"/>
    <x v="5"/>
    <n v="68.595200000000006"/>
    <n v="4"/>
    <x v="0"/>
  </r>
  <r>
    <n v="2629"/>
    <n v="66"/>
    <x v="1"/>
    <x v="1"/>
    <x v="7"/>
    <s v="Formal Shoes"/>
    <n v="127.67"/>
    <x v="0"/>
    <s v="Card"/>
    <n v="3.4"/>
    <x v="29"/>
    <n v="127.67"/>
    <n v="0"/>
    <x v="1"/>
  </r>
  <r>
    <n v="2630"/>
    <n v="49"/>
    <x v="0"/>
    <x v="0"/>
    <x v="7"/>
    <s v="Formal Shoes"/>
    <n v="73.3"/>
    <x v="3"/>
    <s v="Cash on Delivery"/>
    <n v="3.3"/>
    <x v="5"/>
    <n v="67.436000000000007"/>
    <n v="4"/>
    <x v="0"/>
  </r>
  <r>
    <n v="2631"/>
    <n v="25"/>
    <x v="2"/>
    <x v="1"/>
    <x v="2"/>
    <s v="Football"/>
    <n v="106.6"/>
    <x v="0"/>
    <s v="Card"/>
    <n v="3.8"/>
    <x v="14"/>
    <n v="88.477999999999994"/>
    <n v="6"/>
    <x v="0"/>
  </r>
  <r>
    <n v="2632"/>
    <n v="52"/>
    <x v="0"/>
    <x v="1"/>
    <x v="5"/>
    <s v="Mobile Phone"/>
    <n v="1302.45"/>
    <x v="0"/>
    <s v="Card"/>
    <n v="4.5"/>
    <x v="0"/>
    <n v="1068.009"/>
    <n v="9"/>
    <x v="2"/>
  </r>
  <r>
    <n v="2633"/>
    <n v="65"/>
    <x v="1"/>
    <x v="1"/>
    <x v="3"/>
    <s v="Kitchen Set"/>
    <n v="275.33999999999997"/>
    <x v="0"/>
    <s v="Card"/>
    <n v="3"/>
    <x v="4"/>
    <n v="236.79239999999999"/>
    <n v="7"/>
    <x v="0"/>
  </r>
  <r>
    <n v="2634"/>
    <n v="62"/>
    <x v="1"/>
    <x v="0"/>
    <x v="8"/>
    <s v="Jeans"/>
    <n v="167.27"/>
    <x v="3"/>
    <s v="Card"/>
    <n v="3.3"/>
    <x v="0"/>
    <n v="137.16140000000001"/>
    <n v="4"/>
    <x v="0"/>
  </r>
  <r>
    <n v="2635"/>
    <n v="70"/>
    <x v="1"/>
    <x v="1"/>
    <x v="1"/>
    <s v="Shirt"/>
    <n v="191.8"/>
    <x v="0"/>
    <s v="Card"/>
    <n v="2.4"/>
    <x v="1"/>
    <n v="166.86600000000001"/>
    <n v="4"/>
    <x v="0"/>
  </r>
  <r>
    <n v="2636"/>
    <n v="64"/>
    <x v="1"/>
    <x v="1"/>
    <x v="7"/>
    <s v="Sneakers"/>
    <n v="62.44"/>
    <x v="0"/>
    <s v="Card"/>
    <n v="5"/>
    <x v="6"/>
    <n v="52.449599999999997"/>
    <n v="8"/>
    <x v="2"/>
  </r>
  <r>
    <n v="2637"/>
    <n v="22"/>
    <x v="2"/>
    <x v="0"/>
    <x v="7"/>
    <s v="Sneakers"/>
    <n v="146.36000000000001"/>
    <x v="3"/>
    <s v="Card"/>
    <n v="4.5999999999999996"/>
    <x v="7"/>
    <n v="131.72400000000002"/>
    <n v="5"/>
    <x v="0"/>
  </r>
  <r>
    <n v="2638"/>
    <n v="61"/>
    <x v="1"/>
    <x v="1"/>
    <x v="2"/>
    <s v="Yoga Mat"/>
    <n v="237.45"/>
    <x v="3"/>
    <s v="Card"/>
    <n v="5"/>
    <x v="18"/>
    <n v="180.46199999999999"/>
    <n v="7"/>
    <x v="0"/>
  </r>
  <r>
    <n v="2639"/>
    <n v="63"/>
    <x v="1"/>
    <x v="0"/>
    <x v="6"/>
    <s v="Perfume"/>
    <n v="85.28"/>
    <x v="3"/>
    <s v="Card"/>
    <n v="4.9000000000000004"/>
    <x v="3"/>
    <n v="68.224000000000004"/>
    <n v="10"/>
    <x v="2"/>
  </r>
  <r>
    <n v="2640"/>
    <n v="45"/>
    <x v="0"/>
    <x v="1"/>
    <x v="5"/>
    <s v="Laptop"/>
    <n v="1766.89"/>
    <x v="0"/>
    <s v="Card"/>
    <n v="4.5"/>
    <x v="3"/>
    <n v="1413.5120000000002"/>
    <n v="5"/>
    <x v="0"/>
  </r>
  <r>
    <n v="2641"/>
    <n v="26"/>
    <x v="2"/>
    <x v="0"/>
    <x v="8"/>
    <s v="Skirt"/>
    <n v="56.74"/>
    <x v="3"/>
    <s v="Cash on Delivery"/>
    <n v="3.8"/>
    <x v="12"/>
    <n v="45.959400000000002"/>
    <n v="7"/>
    <x v="0"/>
  </r>
  <r>
    <n v="2642"/>
    <n v="48"/>
    <x v="0"/>
    <x v="0"/>
    <x v="6"/>
    <s v="Makeup Set"/>
    <n v="39.32"/>
    <x v="2"/>
    <s v="Cash on Delivery"/>
    <n v="4.2"/>
    <x v="1"/>
    <n v="34.208399999999997"/>
    <n v="4"/>
    <x v="0"/>
  </r>
  <r>
    <n v="2643"/>
    <n v="64"/>
    <x v="1"/>
    <x v="0"/>
    <x v="0"/>
    <s v="Handbag"/>
    <n v="98.93"/>
    <x v="1"/>
    <s v="Cash on Delivery"/>
    <n v="3.9"/>
    <x v="6"/>
    <n v="83.101200000000006"/>
    <n v="3"/>
    <x v="1"/>
  </r>
  <r>
    <n v="2644"/>
    <n v="61"/>
    <x v="1"/>
    <x v="1"/>
    <x v="4"/>
    <s v="Cooking Oil"/>
    <n v="57.47"/>
    <x v="3"/>
    <s v="Cash on Delivery"/>
    <n v="3.4"/>
    <x v="0"/>
    <n v="47.125400000000006"/>
    <n v="4"/>
    <x v="0"/>
  </r>
  <r>
    <n v="2645"/>
    <n v="36"/>
    <x v="0"/>
    <x v="0"/>
    <x v="4"/>
    <s v="Rice Pack"/>
    <n v="57.01"/>
    <x v="0"/>
    <s v="Card"/>
    <n v="3.9"/>
    <x v="16"/>
    <n v="53.589399999999998"/>
    <n v="3"/>
    <x v="1"/>
  </r>
  <r>
    <n v="2646"/>
    <n v="64"/>
    <x v="1"/>
    <x v="1"/>
    <x v="1"/>
    <s v="T-Shirt"/>
    <n v="150.52000000000001"/>
    <x v="2"/>
    <s v="Card"/>
    <n v="4.3"/>
    <x v="0"/>
    <n v="123.42640000000002"/>
    <n v="4"/>
    <x v="0"/>
  </r>
  <r>
    <n v="2647"/>
    <n v="50"/>
    <x v="0"/>
    <x v="0"/>
    <x v="6"/>
    <s v="Perfume"/>
    <n v="58.55"/>
    <x v="1"/>
    <s v="Card"/>
    <n v="3.4"/>
    <x v="12"/>
    <n v="47.4255"/>
    <n v="7"/>
    <x v="0"/>
  </r>
  <r>
    <n v="2648"/>
    <n v="64"/>
    <x v="1"/>
    <x v="0"/>
    <x v="8"/>
    <s v="Skirt"/>
    <n v="32.29"/>
    <x v="2"/>
    <s v="Cash on Delivery"/>
    <n v="4.2"/>
    <x v="8"/>
    <n v="28.415199999999999"/>
    <n v="6"/>
    <x v="0"/>
  </r>
  <r>
    <n v="2649"/>
    <n v="65"/>
    <x v="1"/>
    <x v="1"/>
    <x v="5"/>
    <s v="Mobile Phone"/>
    <n v="1042.54"/>
    <x v="0"/>
    <s v="Card"/>
    <n v="3.7"/>
    <x v="8"/>
    <n v="917.43520000000001"/>
    <n v="6"/>
    <x v="0"/>
  </r>
  <r>
    <n v="2650"/>
    <n v="69"/>
    <x v="1"/>
    <x v="0"/>
    <x v="4"/>
    <s v="Beverages"/>
    <n v="26.45"/>
    <x v="3"/>
    <s v="Cash on Delivery"/>
    <n v="4.5"/>
    <x v="3"/>
    <n v="21.16"/>
    <n v="5"/>
    <x v="0"/>
  </r>
  <r>
    <n v="2651"/>
    <n v="32"/>
    <x v="0"/>
    <x v="0"/>
    <x v="7"/>
    <s v="Sandals"/>
    <n v="90.64"/>
    <x v="3"/>
    <s v="Cash on Delivery"/>
    <n v="3.7"/>
    <x v="14"/>
    <n v="75.231200000000001"/>
    <n v="6"/>
    <x v="0"/>
  </r>
  <r>
    <n v="2652"/>
    <n v="33"/>
    <x v="0"/>
    <x v="1"/>
    <x v="7"/>
    <s v="Formal Shoes"/>
    <n v="44.23"/>
    <x v="1"/>
    <s v="Cash on Delivery"/>
    <n v="2.4"/>
    <x v="5"/>
    <n v="40.691600000000001"/>
    <n v="4"/>
    <x v="0"/>
  </r>
  <r>
    <n v="2653"/>
    <n v="58"/>
    <x v="0"/>
    <x v="1"/>
    <x v="7"/>
    <s v="Formal Shoes"/>
    <n v="54.47"/>
    <x v="0"/>
    <s v="Card"/>
    <n v="3.1"/>
    <x v="8"/>
    <n v="47.933599999999998"/>
    <n v="6"/>
    <x v="0"/>
  </r>
  <r>
    <n v="2654"/>
    <n v="51"/>
    <x v="0"/>
    <x v="0"/>
    <x v="0"/>
    <s v="Wallet"/>
    <n v="121.74"/>
    <x v="2"/>
    <s v="Card"/>
    <n v="4.5999999999999996"/>
    <x v="17"/>
    <n v="116.87039999999999"/>
    <n v="2"/>
    <x v="1"/>
  </r>
  <r>
    <n v="2655"/>
    <n v="69"/>
    <x v="1"/>
    <x v="0"/>
    <x v="3"/>
    <s v="Kitchen Set"/>
    <n v="51.27"/>
    <x v="3"/>
    <s v="Card"/>
    <n v="3.9"/>
    <x v="6"/>
    <n v="43.066800000000001"/>
    <n v="3"/>
    <x v="1"/>
  </r>
  <r>
    <n v="2656"/>
    <n v="39"/>
    <x v="0"/>
    <x v="1"/>
    <x v="3"/>
    <s v="Lamp"/>
    <n v="188.31"/>
    <x v="0"/>
    <s v="Card"/>
    <n v="2.8"/>
    <x v="5"/>
    <n v="173.24520000000001"/>
    <n v="4"/>
    <x v="0"/>
  </r>
  <r>
    <n v="2657"/>
    <n v="63"/>
    <x v="1"/>
    <x v="0"/>
    <x v="7"/>
    <s v="Sandals"/>
    <n v="230.43"/>
    <x v="2"/>
    <s v="Card"/>
    <n v="3.8"/>
    <x v="5"/>
    <n v="211.99560000000002"/>
    <n v="4"/>
    <x v="0"/>
  </r>
  <r>
    <n v="2658"/>
    <n v="56"/>
    <x v="0"/>
    <x v="1"/>
    <x v="1"/>
    <s v="T-Shirt"/>
    <n v="47.11"/>
    <x v="1"/>
    <s v="Cash on Delivery"/>
    <n v="4.4000000000000004"/>
    <x v="5"/>
    <n v="43.341200000000001"/>
    <n v="4"/>
    <x v="0"/>
  </r>
  <r>
    <n v="2659"/>
    <n v="70"/>
    <x v="1"/>
    <x v="0"/>
    <x v="8"/>
    <s v="Jeans"/>
    <n v="30.45"/>
    <x v="2"/>
    <s v="Card"/>
    <n v="3.8"/>
    <x v="8"/>
    <n v="26.795999999999999"/>
    <n v="6"/>
    <x v="0"/>
  </r>
  <r>
    <n v="2660"/>
    <n v="50"/>
    <x v="0"/>
    <x v="0"/>
    <x v="6"/>
    <s v="Skincare Kit"/>
    <n v="54.62"/>
    <x v="1"/>
    <s v="Cash on Delivery"/>
    <n v="4.0999999999999996"/>
    <x v="6"/>
    <n v="45.880799999999994"/>
    <n v="3"/>
    <x v="1"/>
  </r>
  <r>
    <n v="2661"/>
    <n v="45"/>
    <x v="0"/>
    <x v="1"/>
    <x v="4"/>
    <s v="Cooking Oil"/>
    <n v="5.85"/>
    <x v="2"/>
    <s v="Card"/>
    <n v="4.5"/>
    <x v="1"/>
    <n v="5.0894999999999992"/>
    <n v="4"/>
    <x v="0"/>
  </r>
  <r>
    <n v="2662"/>
    <n v="55"/>
    <x v="0"/>
    <x v="1"/>
    <x v="2"/>
    <s v="Dumbbells"/>
    <n v="175.82"/>
    <x v="3"/>
    <s v="Card"/>
    <n v="4.5999999999999996"/>
    <x v="23"/>
    <n v="163.51259999999999"/>
    <n v="1"/>
    <x v="1"/>
  </r>
  <r>
    <n v="2663"/>
    <n v="26"/>
    <x v="2"/>
    <x v="1"/>
    <x v="2"/>
    <s v="Dumbbells"/>
    <n v="34.479999999999997"/>
    <x v="0"/>
    <s v="Cash on Delivery"/>
    <n v="4"/>
    <x v="14"/>
    <n v="28.618399999999998"/>
    <n v="6"/>
    <x v="0"/>
  </r>
  <r>
    <n v="2664"/>
    <n v="69"/>
    <x v="1"/>
    <x v="1"/>
    <x v="5"/>
    <s v="Mobile Phone"/>
    <n v="2410.79"/>
    <x v="2"/>
    <s v="Card"/>
    <n v="4.3"/>
    <x v="6"/>
    <n v="2025.0636"/>
    <n v="8"/>
    <x v="2"/>
  </r>
  <r>
    <n v="2665"/>
    <n v="64"/>
    <x v="1"/>
    <x v="1"/>
    <x v="2"/>
    <s v="Football"/>
    <n v="232.53"/>
    <x v="0"/>
    <s v="Card"/>
    <n v="4.3"/>
    <x v="12"/>
    <n v="188.3493"/>
    <n v="7"/>
    <x v="0"/>
  </r>
  <r>
    <n v="2666"/>
    <n v="31"/>
    <x v="0"/>
    <x v="1"/>
    <x v="7"/>
    <s v="Sandals"/>
    <n v="112.63"/>
    <x v="0"/>
    <s v="Card"/>
    <n v="2.7"/>
    <x v="5"/>
    <n v="103.61960000000001"/>
    <n v="4"/>
    <x v="0"/>
  </r>
  <r>
    <n v="2667"/>
    <n v="60"/>
    <x v="0"/>
    <x v="0"/>
    <x v="0"/>
    <s v="Handbag"/>
    <n v="138.91"/>
    <x v="0"/>
    <s v="Card"/>
    <n v="4.4000000000000004"/>
    <x v="1"/>
    <n v="120.85169999999999"/>
    <n v="4"/>
    <x v="0"/>
  </r>
  <r>
    <n v="2668"/>
    <n v="26"/>
    <x v="2"/>
    <x v="1"/>
    <x v="7"/>
    <s v="Sandals"/>
    <n v="221.47"/>
    <x v="0"/>
    <s v="Card"/>
    <n v="3.1"/>
    <x v="8"/>
    <n v="194.89359999999999"/>
    <n v="6"/>
    <x v="0"/>
  </r>
  <r>
    <n v="2669"/>
    <n v="21"/>
    <x v="2"/>
    <x v="0"/>
    <x v="8"/>
    <s v="Jeans"/>
    <n v="52.43"/>
    <x v="0"/>
    <s v="Cash on Delivery"/>
    <n v="3.6"/>
    <x v="27"/>
    <n v="39.322499999999998"/>
    <n v="10"/>
    <x v="2"/>
  </r>
  <r>
    <n v="2670"/>
    <n v="37"/>
    <x v="0"/>
    <x v="1"/>
    <x v="2"/>
    <s v="Dumbbells"/>
    <n v="172.83"/>
    <x v="1"/>
    <s v="Card"/>
    <n v="3.1"/>
    <x v="10"/>
    <n v="134.8074"/>
    <n v="6"/>
    <x v="0"/>
  </r>
  <r>
    <n v="2671"/>
    <n v="35"/>
    <x v="0"/>
    <x v="0"/>
    <x v="3"/>
    <s v="Curtains"/>
    <n v="217.67"/>
    <x v="2"/>
    <s v="Card"/>
    <n v="3.5"/>
    <x v="7"/>
    <n v="195.90299999999999"/>
    <n v="5"/>
    <x v="0"/>
  </r>
  <r>
    <n v="2672"/>
    <n v="29"/>
    <x v="2"/>
    <x v="1"/>
    <x v="7"/>
    <s v="Sneakers"/>
    <n v="217.41"/>
    <x v="0"/>
    <s v="Card"/>
    <n v="4.3"/>
    <x v="4"/>
    <n v="186.9726"/>
    <n v="7"/>
    <x v="0"/>
  </r>
  <r>
    <n v="2673"/>
    <n v="41"/>
    <x v="0"/>
    <x v="1"/>
    <x v="7"/>
    <s v="Sneakers"/>
    <n v="171.5"/>
    <x v="2"/>
    <s v="Card"/>
    <n v="3.3"/>
    <x v="12"/>
    <n v="138.91500000000002"/>
    <n v="7"/>
    <x v="0"/>
  </r>
  <r>
    <n v="2674"/>
    <n v="35"/>
    <x v="0"/>
    <x v="1"/>
    <x v="5"/>
    <s v="Laptop"/>
    <n v="2366.84"/>
    <x v="2"/>
    <s v="Card"/>
    <n v="3.6"/>
    <x v="11"/>
    <n v="1751.4616000000001"/>
    <n v="8"/>
    <x v="2"/>
  </r>
  <r>
    <n v="2675"/>
    <n v="70"/>
    <x v="1"/>
    <x v="0"/>
    <x v="0"/>
    <s v="Wallet"/>
    <n v="169.45"/>
    <x v="1"/>
    <s v="Card"/>
    <n v="3.1"/>
    <x v="19"/>
    <n v="144.0325"/>
    <n v="5"/>
    <x v="0"/>
  </r>
  <r>
    <n v="2676"/>
    <n v="50"/>
    <x v="0"/>
    <x v="0"/>
    <x v="0"/>
    <s v="Handbag"/>
    <n v="51.73"/>
    <x v="0"/>
    <s v="Cash on Delivery"/>
    <n v="3.4"/>
    <x v="7"/>
    <n v="46.556999999999995"/>
    <n v="5"/>
    <x v="0"/>
  </r>
  <r>
    <n v="2677"/>
    <n v="43"/>
    <x v="0"/>
    <x v="0"/>
    <x v="7"/>
    <s v="Formal Shoes"/>
    <n v="111.39"/>
    <x v="0"/>
    <s v="Card"/>
    <n v="2.8"/>
    <x v="16"/>
    <n v="104.70659999999999"/>
    <n v="3"/>
    <x v="1"/>
  </r>
  <r>
    <n v="2678"/>
    <n v="40"/>
    <x v="0"/>
    <x v="0"/>
    <x v="7"/>
    <s v="Sneakers"/>
    <n v="184.33"/>
    <x v="3"/>
    <s v="Card"/>
    <n v="4.3"/>
    <x v="11"/>
    <n v="136.4042"/>
    <n v="8"/>
    <x v="2"/>
  </r>
  <r>
    <n v="2679"/>
    <n v="32"/>
    <x v="0"/>
    <x v="0"/>
    <x v="8"/>
    <s v="Dress"/>
    <n v="110.27"/>
    <x v="2"/>
    <s v="Card"/>
    <n v="4.4000000000000004"/>
    <x v="0"/>
    <n v="90.421400000000006"/>
    <n v="4"/>
    <x v="0"/>
  </r>
  <r>
    <n v="2680"/>
    <n v="61"/>
    <x v="1"/>
    <x v="0"/>
    <x v="8"/>
    <s v="Top"/>
    <n v="79.69"/>
    <x v="0"/>
    <s v="Cash on Delivery"/>
    <n v="3.3"/>
    <x v="0"/>
    <n v="65.345799999999997"/>
    <n v="4"/>
    <x v="0"/>
  </r>
  <r>
    <n v="2681"/>
    <n v="54"/>
    <x v="0"/>
    <x v="0"/>
    <x v="6"/>
    <s v="Perfume"/>
    <n v="125.21"/>
    <x v="0"/>
    <s v="Card"/>
    <n v="4.0999999999999996"/>
    <x v="5"/>
    <n v="115.1932"/>
    <n v="4"/>
    <x v="0"/>
  </r>
  <r>
    <n v="2682"/>
    <n v="66"/>
    <x v="1"/>
    <x v="1"/>
    <x v="4"/>
    <s v="Beverages"/>
    <n v="5.08"/>
    <x v="2"/>
    <s v="Cash on Delivery"/>
    <n v="4.9000000000000004"/>
    <x v="14"/>
    <n v="4.2164000000000001"/>
    <n v="6"/>
    <x v="0"/>
  </r>
  <r>
    <n v="2683"/>
    <n v="69"/>
    <x v="1"/>
    <x v="0"/>
    <x v="7"/>
    <s v="Sneakers"/>
    <n v="228.38"/>
    <x v="0"/>
    <s v="Card"/>
    <n v="4"/>
    <x v="4"/>
    <n v="196.4068"/>
    <n v="7"/>
    <x v="0"/>
  </r>
  <r>
    <n v="2684"/>
    <n v="27"/>
    <x v="2"/>
    <x v="1"/>
    <x v="7"/>
    <s v="Sandals"/>
    <n v="146.57"/>
    <x v="2"/>
    <s v="Card"/>
    <n v="3.2"/>
    <x v="19"/>
    <n v="124.58449999999999"/>
    <n v="5"/>
    <x v="0"/>
  </r>
  <r>
    <n v="2685"/>
    <n v="64"/>
    <x v="1"/>
    <x v="0"/>
    <x v="7"/>
    <s v="Sandals"/>
    <n v="90.12"/>
    <x v="2"/>
    <s v="Card"/>
    <n v="5"/>
    <x v="1"/>
    <n v="78.40440000000001"/>
    <n v="4"/>
    <x v="0"/>
  </r>
  <r>
    <n v="2686"/>
    <n v="46"/>
    <x v="0"/>
    <x v="1"/>
    <x v="2"/>
    <s v="Dumbbells"/>
    <n v="180.39"/>
    <x v="2"/>
    <s v="Card"/>
    <n v="5"/>
    <x v="2"/>
    <n v="160.5471"/>
    <n v="3"/>
    <x v="1"/>
  </r>
  <r>
    <n v="2687"/>
    <n v="21"/>
    <x v="2"/>
    <x v="0"/>
    <x v="7"/>
    <s v="Sandals"/>
    <n v="234.56"/>
    <x v="3"/>
    <s v="Card"/>
    <n v="4.0999999999999996"/>
    <x v="19"/>
    <n v="199.376"/>
    <n v="5"/>
    <x v="0"/>
  </r>
  <r>
    <n v="2688"/>
    <n v="31"/>
    <x v="0"/>
    <x v="1"/>
    <x v="1"/>
    <s v="Jeans"/>
    <n v="172.58"/>
    <x v="0"/>
    <s v="Card"/>
    <n v="2.4"/>
    <x v="0"/>
    <n v="141.51560000000003"/>
    <n v="4"/>
    <x v="0"/>
  </r>
  <r>
    <n v="2689"/>
    <n v="69"/>
    <x v="1"/>
    <x v="0"/>
    <x v="7"/>
    <s v="Formal Shoes"/>
    <n v="90.11"/>
    <x v="0"/>
    <s v="Cash on Delivery"/>
    <n v="3.3"/>
    <x v="19"/>
    <n v="76.593499999999992"/>
    <n v="5"/>
    <x v="0"/>
  </r>
  <r>
    <n v="2690"/>
    <n v="55"/>
    <x v="0"/>
    <x v="0"/>
    <x v="8"/>
    <s v="Skirt"/>
    <n v="159.87"/>
    <x v="2"/>
    <s v="Card"/>
    <n v="3.6"/>
    <x v="5"/>
    <n v="147.0804"/>
    <n v="4"/>
    <x v="0"/>
  </r>
  <r>
    <n v="2691"/>
    <n v="50"/>
    <x v="0"/>
    <x v="0"/>
    <x v="7"/>
    <s v="Sandals"/>
    <n v="95.51"/>
    <x v="1"/>
    <s v="Card"/>
    <n v="5"/>
    <x v="3"/>
    <n v="76.408000000000001"/>
    <n v="5"/>
    <x v="0"/>
  </r>
  <r>
    <n v="2692"/>
    <n v="68"/>
    <x v="1"/>
    <x v="1"/>
    <x v="2"/>
    <s v="Dumbbells"/>
    <n v="84.67"/>
    <x v="0"/>
    <s v="Card"/>
    <n v="3"/>
    <x v="1"/>
    <n v="73.662900000000008"/>
    <n v="4"/>
    <x v="0"/>
  </r>
  <r>
    <n v="2693"/>
    <n v="64"/>
    <x v="1"/>
    <x v="1"/>
    <x v="2"/>
    <s v="Dumbbells"/>
    <n v="25.56"/>
    <x v="2"/>
    <s v="Cash on Delivery"/>
    <n v="3.2"/>
    <x v="2"/>
    <n v="22.7484"/>
    <n v="3"/>
    <x v="1"/>
  </r>
  <r>
    <n v="2694"/>
    <n v="63"/>
    <x v="1"/>
    <x v="0"/>
    <x v="6"/>
    <s v="Perfume"/>
    <n v="49.07"/>
    <x v="0"/>
    <s v="Card"/>
    <n v="4.5999999999999996"/>
    <x v="16"/>
    <n v="46.125799999999998"/>
    <n v="3"/>
    <x v="1"/>
  </r>
  <r>
    <n v="2695"/>
    <n v="32"/>
    <x v="0"/>
    <x v="1"/>
    <x v="1"/>
    <s v="Shirt"/>
    <n v="73.680000000000007"/>
    <x v="1"/>
    <s v="Cash on Delivery"/>
    <n v="4.5"/>
    <x v="10"/>
    <n v="57.470400000000005"/>
    <n v="6"/>
    <x v="0"/>
  </r>
  <r>
    <n v="2696"/>
    <n v="36"/>
    <x v="0"/>
    <x v="1"/>
    <x v="2"/>
    <s v="Dumbbells"/>
    <n v="116.83"/>
    <x v="0"/>
    <s v="Card"/>
    <n v="4"/>
    <x v="4"/>
    <n v="100.4738"/>
    <n v="7"/>
    <x v="0"/>
  </r>
  <r>
    <n v="2697"/>
    <n v="49"/>
    <x v="0"/>
    <x v="1"/>
    <x v="5"/>
    <s v="Mobile Phone"/>
    <n v="1896.33"/>
    <x v="0"/>
    <s v="Card"/>
    <n v="3.7"/>
    <x v="4"/>
    <n v="1630.8437999999999"/>
    <n v="7"/>
    <x v="0"/>
  </r>
  <r>
    <n v="2698"/>
    <n v="48"/>
    <x v="0"/>
    <x v="0"/>
    <x v="6"/>
    <s v="Skincare Kit"/>
    <n v="27.41"/>
    <x v="1"/>
    <s v="Card"/>
    <n v="5"/>
    <x v="4"/>
    <n v="23.572600000000001"/>
    <n v="2"/>
    <x v="1"/>
  </r>
  <r>
    <n v="2699"/>
    <n v="57"/>
    <x v="0"/>
    <x v="1"/>
    <x v="1"/>
    <s v="Jeans"/>
    <n v="160.88"/>
    <x v="3"/>
    <s v="Card"/>
    <n v="2.9"/>
    <x v="3"/>
    <n v="128.70400000000001"/>
    <n v="5"/>
    <x v="0"/>
  </r>
  <r>
    <n v="2700"/>
    <n v="47"/>
    <x v="0"/>
    <x v="0"/>
    <x v="6"/>
    <s v="Skincare Kit"/>
    <n v="133.68"/>
    <x v="3"/>
    <s v="Card"/>
    <n v="4.9000000000000004"/>
    <x v="8"/>
    <n v="117.6384"/>
    <n v="1"/>
    <x v="1"/>
  </r>
  <r>
    <n v="2701"/>
    <n v="64"/>
    <x v="1"/>
    <x v="1"/>
    <x v="5"/>
    <s v="Laptop"/>
    <n v="2526.33"/>
    <x v="1"/>
    <s v="Card"/>
    <n v="4.7"/>
    <x v="2"/>
    <n v="2248.4337"/>
    <n v="3"/>
    <x v="1"/>
  </r>
  <r>
    <n v="2702"/>
    <n v="43"/>
    <x v="0"/>
    <x v="0"/>
    <x v="6"/>
    <s v="Perfume"/>
    <n v="52.38"/>
    <x v="1"/>
    <s v="Cash on Delivery"/>
    <n v="4.5"/>
    <x v="1"/>
    <n v="45.570599999999999"/>
    <n v="4"/>
    <x v="0"/>
  </r>
  <r>
    <n v="2703"/>
    <n v="46"/>
    <x v="0"/>
    <x v="1"/>
    <x v="7"/>
    <s v="Sandals"/>
    <n v="172.43"/>
    <x v="0"/>
    <s v="Card"/>
    <n v="3.7"/>
    <x v="24"/>
    <n v="124.14960000000001"/>
    <n v="9"/>
    <x v="2"/>
  </r>
  <r>
    <n v="2704"/>
    <n v="31"/>
    <x v="0"/>
    <x v="0"/>
    <x v="6"/>
    <s v="Perfume"/>
    <n v="22.43"/>
    <x v="1"/>
    <s v="Cash on Delivery"/>
    <n v="5"/>
    <x v="3"/>
    <n v="17.943999999999999"/>
    <n v="5"/>
    <x v="0"/>
  </r>
  <r>
    <n v="2705"/>
    <n v="57"/>
    <x v="0"/>
    <x v="0"/>
    <x v="6"/>
    <s v="Makeup Set"/>
    <n v="134.93"/>
    <x v="1"/>
    <s v="Card"/>
    <n v="4.5"/>
    <x v="6"/>
    <n v="113.3412"/>
    <n v="3"/>
    <x v="1"/>
  </r>
  <r>
    <n v="2706"/>
    <n v="28"/>
    <x v="2"/>
    <x v="0"/>
    <x v="6"/>
    <s v="Perfume"/>
    <n v="29.51"/>
    <x v="3"/>
    <s v="Card"/>
    <n v="4.4000000000000004"/>
    <x v="6"/>
    <n v="24.788399999999999"/>
    <n v="8"/>
    <x v="2"/>
  </r>
  <r>
    <n v="2707"/>
    <n v="21"/>
    <x v="2"/>
    <x v="1"/>
    <x v="1"/>
    <s v="Shirt"/>
    <n v="58.68"/>
    <x v="0"/>
    <s v="Card"/>
    <n v="3.6"/>
    <x v="3"/>
    <n v="46.944000000000003"/>
    <n v="5"/>
    <x v="0"/>
  </r>
  <r>
    <n v="2708"/>
    <n v="31"/>
    <x v="0"/>
    <x v="1"/>
    <x v="5"/>
    <s v="Laptop"/>
    <n v="2023.48"/>
    <x v="0"/>
    <s v="Card"/>
    <n v="2.6"/>
    <x v="13"/>
    <n v="1841.3668"/>
    <n v="2"/>
    <x v="1"/>
  </r>
  <r>
    <n v="2709"/>
    <n v="57"/>
    <x v="0"/>
    <x v="0"/>
    <x v="6"/>
    <s v="Skincare Kit"/>
    <n v="66.39"/>
    <x v="3"/>
    <s v="Cash on Delivery"/>
    <n v="3.1"/>
    <x v="5"/>
    <n v="61.078800000000001"/>
    <n v="4"/>
    <x v="0"/>
  </r>
  <r>
    <n v="2710"/>
    <n v="59"/>
    <x v="0"/>
    <x v="1"/>
    <x v="1"/>
    <s v="Jacket"/>
    <n v="141.61000000000001"/>
    <x v="3"/>
    <s v="Card"/>
    <n v="4.0999999999999996"/>
    <x v="5"/>
    <n v="130.28120000000001"/>
    <n v="4"/>
    <x v="0"/>
  </r>
  <r>
    <n v="2711"/>
    <n v="21"/>
    <x v="2"/>
    <x v="1"/>
    <x v="5"/>
    <s v="Laptop"/>
    <n v="2109.6799999999998"/>
    <x v="2"/>
    <s v="Card"/>
    <n v="3.2"/>
    <x v="8"/>
    <n v="1856.5183999999999"/>
    <n v="6"/>
    <x v="0"/>
  </r>
  <r>
    <n v="2712"/>
    <n v="25"/>
    <x v="2"/>
    <x v="0"/>
    <x v="4"/>
    <s v="Snacks"/>
    <n v="41.72"/>
    <x v="0"/>
    <s v="Cash on Delivery"/>
    <n v="5"/>
    <x v="15"/>
    <n v="40.885599999999997"/>
    <n v="1"/>
    <x v="1"/>
  </r>
  <r>
    <n v="2713"/>
    <n v="41"/>
    <x v="0"/>
    <x v="0"/>
    <x v="6"/>
    <s v="Perfume"/>
    <n v="139.88"/>
    <x v="1"/>
    <s v="Card"/>
    <n v="4.3"/>
    <x v="16"/>
    <n v="131.4872"/>
    <n v="3"/>
    <x v="1"/>
  </r>
  <r>
    <n v="2714"/>
    <n v="46"/>
    <x v="0"/>
    <x v="0"/>
    <x v="0"/>
    <s v="Sunglasses"/>
    <n v="39.06"/>
    <x v="2"/>
    <s v="Cash on Delivery"/>
    <n v="3.2"/>
    <x v="8"/>
    <n v="34.372800000000005"/>
    <n v="6"/>
    <x v="0"/>
  </r>
  <r>
    <n v="2715"/>
    <n v="40"/>
    <x v="0"/>
    <x v="0"/>
    <x v="6"/>
    <s v="Makeup Set"/>
    <n v="104.69"/>
    <x v="2"/>
    <s v="Card"/>
    <n v="2.2000000000000002"/>
    <x v="14"/>
    <n v="86.892699999999991"/>
    <n v="6"/>
    <x v="0"/>
  </r>
  <r>
    <n v="2716"/>
    <n v="47"/>
    <x v="0"/>
    <x v="1"/>
    <x v="1"/>
    <s v="Jacket"/>
    <n v="119.05"/>
    <x v="2"/>
    <s v="Card"/>
    <n v="2.5"/>
    <x v="13"/>
    <n v="108.3355"/>
    <n v="2"/>
    <x v="1"/>
  </r>
  <r>
    <n v="2717"/>
    <n v="53"/>
    <x v="0"/>
    <x v="0"/>
    <x v="0"/>
    <s v="Sunglasses"/>
    <n v="158.47"/>
    <x v="3"/>
    <s v="Card"/>
    <n v="4.4000000000000004"/>
    <x v="10"/>
    <n v="123.6066"/>
    <n v="6"/>
    <x v="0"/>
  </r>
  <r>
    <n v="2718"/>
    <n v="34"/>
    <x v="0"/>
    <x v="1"/>
    <x v="1"/>
    <s v="Jeans"/>
    <n v="111.49"/>
    <x v="1"/>
    <s v="Card"/>
    <n v="4.5"/>
    <x v="0"/>
    <n v="91.421800000000005"/>
    <n v="4"/>
    <x v="0"/>
  </r>
  <r>
    <n v="2719"/>
    <n v="34"/>
    <x v="0"/>
    <x v="0"/>
    <x v="7"/>
    <s v="Sneakers"/>
    <n v="171.91"/>
    <x v="1"/>
    <s v="Card"/>
    <n v="3.3"/>
    <x v="3"/>
    <n v="137.52799999999999"/>
    <n v="5"/>
    <x v="0"/>
  </r>
  <r>
    <n v="2720"/>
    <n v="61"/>
    <x v="1"/>
    <x v="0"/>
    <x v="8"/>
    <s v="Jeans"/>
    <n v="199.45"/>
    <x v="1"/>
    <s v="Card"/>
    <n v="3.2"/>
    <x v="18"/>
    <n v="151.58199999999999"/>
    <n v="7"/>
    <x v="0"/>
  </r>
  <r>
    <n v="2721"/>
    <n v="29"/>
    <x v="2"/>
    <x v="1"/>
    <x v="7"/>
    <s v="Sneakers"/>
    <n v="201.67"/>
    <x v="3"/>
    <s v="Card"/>
    <n v="4.0999999999999996"/>
    <x v="2"/>
    <n v="179.4863"/>
    <n v="3"/>
    <x v="1"/>
  </r>
  <r>
    <n v="2722"/>
    <n v="33"/>
    <x v="0"/>
    <x v="1"/>
    <x v="4"/>
    <s v="Beverages"/>
    <n v="30.08"/>
    <x v="1"/>
    <s v="Card"/>
    <n v="4.2"/>
    <x v="7"/>
    <n v="27.071999999999999"/>
    <n v="5"/>
    <x v="0"/>
  </r>
  <r>
    <n v="2723"/>
    <n v="70"/>
    <x v="1"/>
    <x v="0"/>
    <x v="7"/>
    <s v="Sandals"/>
    <n v="173.77"/>
    <x v="1"/>
    <s v="Card"/>
    <n v="4"/>
    <x v="8"/>
    <n v="152.91760000000002"/>
    <n v="6"/>
    <x v="0"/>
  </r>
  <r>
    <n v="2724"/>
    <n v="51"/>
    <x v="0"/>
    <x v="1"/>
    <x v="2"/>
    <s v="Dumbbells"/>
    <n v="26.65"/>
    <x v="2"/>
    <s v="Card"/>
    <n v="3.5"/>
    <x v="8"/>
    <n v="23.451999999999998"/>
    <n v="6"/>
    <x v="0"/>
  </r>
  <r>
    <n v="2725"/>
    <n v="57"/>
    <x v="0"/>
    <x v="1"/>
    <x v="5"/>
    <s v="Mobile Phone"/>
    <n v="800.36"/>
    <x v="0"/>
    <s v="Card"/>
    <n v="4"/>
    <x v="10"/>
    <n v="624.2808"/>
    <n v="6"/>
    <x v="0"/>
  </r>
  <r>
    <n v="2726"/>
    <n v="45"/>
    <x v="0"/>
    <x v="1"/>
    <x v="1"/>
    <s v="Shirt"/>
    <n v="94.82"/>
    <x v="1"/>
    <s v="Card"/>
    <n v="4.4000000000000004"/>
    <x v="12"/>
    <n v="76.804199999999994"/>
    <n v="7"/>
    <x v="0"/>
  </r>
  <r>
    <n v="2727"/>
    <n v="67"/>
    <x v="1"/>
    <x v="0"/>
    <x v="3"/>
    <s v="Lamp"/>
    <n v="248.77"/>
    <x v="3"/>
    <s v="Card"/>
    <n v="3.9"/>
    <x v="5"/>
    <n v="228.86840000000001"/>
    <n v="4"/>
    <x v="0"/>
  </r>
  <r>
    <n v="2728"/>
    <n v="45"/>
    <x v="0"/>
    <x v="0"/>
    <x v="0"/>
    <s v="Sunglasses"/>
    <n v="30.71"/>
    <x v="2"/>
    <s v="Cash on Delivery"/>
    <n v="3.5"/>
    <x v="8"/>
    <n v="27.024800000000003"/>
    <n v="1"/>
    <x v="1"/>
  </r>
  <r>
    <n v="2729"/>
    <n v="60"/>
    <x v="0"/>
    <x v="1"/>
    <x v="2"/>
    <s v="Dumbbells"/>
    <n v="165.51"/>
    <x v="2"/>
    <s v="Card"/>
    <n v="2.6"/>
    <x v="5"/>
    <n v="152.26920000000001"/>
    <n v="4"/>
    <x v="0"/>
  </r>
  <r>
    <n v="2730"/>
    <n v="70"/>
    <x v="1"/>
    <x v="0"/>
    <x v="8"/>
    <s v="Dress"/>
    <n v="68.489999999999995"/>
    <x v="0"/>
    <s v="Cash on Delivery"/>
    <n v="4.7"/>
    <x v="4"/>
    <n v="58.901399999999995"/>
    <n v="2"/>
    <x v="1"/>
  </r>
  <r>
    <n v="2731"/>
    <n v="21"/>
    <x v="2"/>
    <x v="1"/>
    <x v="5"/>
    <s v="Laptop"/>
    <n v="2061.36"/>
    <x v="1"/>
    <s v="Card"/>
    <n v="4"/>
    <x v="3"/>
    <n v="1649.0880000000002"/>
    <n v="5"/>
    <x v="0"/>
  </r>
  <r>
    <n v="2732"/>
    <n v="42"/>
    <x v="0"/>
    <x v="0"/>
    <x v="7"/>
    <s v="Sandals"/>
    <n v="45.4"/>
    <x v="2"/>
    <s v="Card"/>
    <n v="3.5"/>
    <x v="12"/>
    <n v="36.774000000000001"/>
    <n v="7"/>
    <x v="0"/>
  </r>
  <r>
    <n v="2733"/>
    <n v="26"/>
    <x v="2"/>
    <x v="0"/>
    <x v="8"/>
    <s v="Skirt"/>
    <n v="66.62"/>
    <x v="0"/>
    <s v="Cash on Delivery"/>
    <n v="3.5"/>
    <x v="15"/>
    <n v="65.287599999999998"/>
    <n v="1"/>
    <x v="1"/>
  </r>
  <r>
    <n v="2734"/>
    <n v="69"/>
    <x v="1"/>
    <x v="0"/>
    <x v="7"/>
    <s v="Sandals"/>
    <n v="43.11"/>
    <x v="0"/>
    <s v="Cash on Delivery"/>
    <n v="3.4"/>
    <x v="15"/>
    <n v="42.247799999999998"/>
    <n v="1"/>
    <x v="1"/>
  </r>
  <r>
    <n v="2735"/>
    <n v="49"/>
    <x v="0"/>
    <x v="1"/>
    <x v="5"/>
    <s v="Mobile Phone"/>
    <n v="519.78"/>
    <x v="1"/>
    <s v="Card"/>
    <n v="3.7"/>
    <x v="10"/>
    <n v="405.42840000000001"/>
    <n v="6"/>
    <x v="0"/>
  </r>
  <r>
    <n v="2736"/>
    <n v="28"/>
    <x v="2"/>
    <x v="0"/>
    <x v="8"/>
    <s v="Jeans"/>
    <n v="167.8"/>
    <x v="1"/>
    <s v="Card"/>
    <n v="3.8"/>
    <x v="12"/>
    <n v="135.91800000000001"/>
    <n v="7"/>
    <x v="0"/>
  </r>
  <r>
    <n v="2737"/>
    <n v="59"/>
    <x v="0"/>
    <x v="1"/>
    <x v="3"/>
    <s v="Curtains"/>
    <n v="57.56"/>
    <x v="0"/>
    <s v="Card"/>
    <n v="4.7"/>
    <x v="14"/>
    <n v="47.774799999999999"/>
    <n v="6"/>
    <x v="0"/>
  </r>
  <r>
    <n v="2738"/>
    <n v="41"/>
    <x v="0"/>
    <x v="0"/>
    <x v="3"/>
    <s v="Kitchen Set"/>
    <n v="82.73"/>
    <x v="3"/>
    <s v="Cash on Delivery"/>
    <n v="3.9"/>
    <x v="11"/>
    <n v="61.220200000000006"/>
    <n v="8"/>
    <x v="2"/>
  </r>
  <r>
    <n v="2739"/>
    <n v="30"/>
    <x v="2"/>
    <x v="1"/>
    <x v="5"/>
    <s v="Mobile Phone"/>
    <n v="578.64"/>
    <x v="2"/>
    <s v="Card"/>
    <n v="3.2"/>
    <x v="21"/>
    <n v="457.12560000000002"/>
    <n v="8"/>
    <x v="2"/>
  </r>
  <r>
    <n v="2740"/>
    <n v="69"/>
    <x v="1"/>
    <x v="1"/>
    <x v="4"/>
    <s v="Snacks"/>
    <n v="65.16"/>
    <x v="0"/>
    <s v="Card"/>
    <n v="4.2"/>
    <x v="2"/>
    <n v="57.992399999999996"/>
    <n v="3"/>
    <x v="1"/>
  </r>
  <r>
    <n v="2741"/>
    <n v="62"/>
    <x v="1"/>
    <x v="0"/>
    <x v="8"/>
    <s v="Jeans"/>
    <n v="101.41"/>
    <x v="1"/>
    <s v="Card"/>
    <n v="3.9"/>
    <x v="5"/>
    <n v="93.297200000000004"/>
    <n v="4"/>
    <x v="0"/>
  </r>
  <r>
    <n v="2742"/>
    <n v="33"/>
    <x v="0"/>
    <x v="0"/>
    <x v="6"/>
    <s v="Perfume"/>
    <n v="110.21"/>
    <x v="2"/>
    <s v="Card"/>
    <n v="4.0999999999999996"/>
    <x v="4"/>
    <n v="94.780599999999993"/>
    <n v="2"/>
    <x v="1"/>
  </r>
  <r>
    <n v="2743"/>
    <n v="22"/>
    <x v="2"/>
    <x v="1"/>
    <x v="2"/>
    <s v="Dumbbells"/>
    <n v="63.38"/>
    <x v="0"/>
    <s v="Cash on Delivery"/>
    <n v="3"/>
    <x v="24"/>
    <n v="45.633600000000001"/>
    <n v="9"/>
    <x v="2"/>
  </r>
  <r>
    <n v="2744"/>
    <n v="56"/>
    <x v="0"/>
    <x v="1"/>
    <x v="1"/>
    <s v="Jacket"/>
    <n v="144.24"/>
    <x v="0"/>
    <s v="Card"/>
    <n v="3.8"/>
    <x v="24"/>
    <n v="103.8528"/>
    <n v="9"/>
    <x v="2"/>
  </r>
  <r>
    <n v="2745"/>
    <n v="37"/>
    <x v="0"/>
    <x v="1"/>
    <x v="7"/>
    <s v="Sandals"/>
    <n v="235.76"/>
    <x v="2"/>
    <s v="Card"/>
    <n v="4.5"/>
    <x v="24"/>
    <n v="169.74719999999999"/>
    <n v="9"/>
    <x v="2"/>
  </r>
  <r>
    <n v="2746"/>
    <n v="41"/>
    <x v="0"/>
    <x v="0"/>
    <x v="0"/>
    <s v="Wallet"/>
    <n v="53.22"/>
    <x v="2"/>
    <s v="Cash on Delivery"/>
    <n v="2.7"/>
    <x v="1"/>
    <n v="46.301400000000001"/>
    <n v="4"/>
    <x v="0"/>
  </r>
  <r>
    <n v="2747"/>
    <n v="66"/>
    <x v="1"/>
    <x v="1"/>
    <x v="2"/>
    <s v="Yoga Mat"/>
    <n v="50.31"/>
    <x v="1"/>
    <s v="Cash on Delivery"/>
    <n v="2.6"/>
    <x v="0"/>
    <n v="41.254200000000004"/>
    <n v="4"/>
    <x v="0"/>
  </r>
  <r>
    <n v="2748"/>
    <n v="22"/>
    <x v="2"/>
    <x v="1"/>
    <x v="5"/>
    <s v="Smart Watch"/>
    <n v="1764.17"/>
    <x v="2"/>
    <s v="Card"/>
    <n v="4.0999999999999996"/>
    <x v="6"/>
    <n v="1481.9028000000001"/>
    <n v="8"/>
    <x v="2"/>
  </r>
  <r>
    <n v="2749"/>
    <n v="50"/>
    <x v="0"/>
    <x v="0"/>
    <x v="6"/>
    <s v="Skincare Kit"/>
    <n v="78.25"/>
    <x v="2"/>
    <s v="Cash on Delivery"/>
    <n v="4.8"/>
    <x v="0"/>
    <n v="64.165000000000006"/>
    <n v="4"/>
    <x v="0"/>
  </r>
  <r>
    <n v="2750"/>
    <n v="67"/>
    <x v="1"/>
    <x v="1"/>
    <x v="4"/>
    <s v="Snacks"/>
    <n v="18.2"/>
    <x v="1"/>
    <s v="Card"/>
    <n v="3"/>
    <x v="4"/>
    <n v="15.651999999999999"/>
    <n v="7"/>
    <x v="0"/>
  </r>
  <r>
    <n v="2751"/>
    <n v="35"/>
    <x v="0"/>
    <x v="1"/>
    <x v="3"/>
    <s v="Curtains"/>
    <n v="244.27"/>
    <x v="1"/>
    <s v="Card"/>
    <n v="4.5999999999999996"/>
    <x v="8"/>
    <n v="214.95760000000001"/>
    <n v="1"/>
    <x v="1"/>
  </r>
  <r>
    <n v="2752"/>
    <n v="36"/>
    <x v="0"/>
    <x v="1"/>
    <x v="3"/>
    <s v="Kitchen Set"/>
    <n v="112.07"/>
    <x v="3"/>
    <s v="Card"/>
    <n v="3.8"/>
    <x v="4"/>
    <n v="96.380199999999988"/>
    <n v="7"/>
    <x v="0"/>
  </r>
  <r>
    <n v="2753"/>
    <n v="22"/>
    <x v="2"/>
    <x v="1"/>
    <x v="1"/>
    <s v="Jacket"/>
    <n v="116.68"/>
    <x v="3"/>
    <s v="Card"/>
    <n v="5"/>
    <x v="19"/>
    <n v="99.177999999999997"/>
    <n v="5"/>
    <x v="0"/>
  </r>
  <r>
    <n v="2754"/>
    <n v="30"/>
    <x v="2"/>
    <x v="0"/>
    <x v="4"/>
    <s v="Snacks"/>
    <n v="28.54"/>
    <x v="1"/>
    <s v="Card"/>
    <n v="3.5"/>
    <x v="8"/>
    <n v="25.115199999999998"/>
    <n v="6"/>
    <x v="0"/>
  </r>
  <r>
    <n v="2755"/>
    <n v="54"/>
    <x v="0"/>
    <x v="1"/>
    <x v="5"/>
    <s v="Headphones"/>
    <n v="1263.5899999999999"/>
    <x v="2"/>
    <s v="Card"/>
    <n v="3.3"/>
    <x v="5"/>
    <n v="1162.5028"/>
    <n v="4"/>
    <x v="0"/>
  </r>
  <r>
    <n v="2756"/>
    <n v="35"/>
    <x v="0"/>
    <x v="1"/>
    <x v="2"/>
    <s v="Football"/>
    <n v="137.06"/>
    <x v="2"/>
    <s v="Card"/>
    <n v="3.6"/>
    <x v="6"/>
    <n v="115.13039999999999"/>
    <n v="8"/>
    <x v="2"/>
  </r>
  <r>
    <n v="2757"/>
    <n v="21"/>
    <x v="2"/>
    <x v="1"/>
    <x v="4"/>
    <s v="Cooking Oil"/>
    <n v="49.98"/>
    <x v="1"/>
    <s v="Card"/>
    <n v="3.2"/>
    <x v="1"/>
    <n v="43.482599999999998"/>
    <n v="4"/>
    <x v="0"/>
  </r>
  <r>
    <n v="2758"/>
    <n v="50"/>
    <x v="0"/>
    <x v="0"/>
    <x v="7"/>
    <s v="Sneakers"/>
    <n v="99.11"/>
    <x v="3"/>
    <s v="Cash on Delivery"/>
    <n v="4.3"/>
    <x v="13"/>
    <n v="90.190100000000001"/>
    <n v="2"/>
    <x v="1"/>
  </r>
  <r>
    <n v="2759"/>
    <n v="30"/>
    <x v="2"/>
    <x v="1"/>
    <x v="5"/>
    <s v="Mobile Phone"/>
    <n v="1683.57"/>
    <x v="2"/>
    <s v="Card"/>
    <n v="3.5"/>
    <x v="2"/>
    <n v="1498.3772999999999"/>
    <n v="3"/>
    <x v="1"/>
  </r>
  <r>
    <n v="2760"/>
    <n v="48"/>
    <x v="0"/>
    <x v="0"/>
    <x v="4"/>
    <s v="Rice Pack"/>
    <n v="77.239999999999995"/>
    <x v="3"/>
    <s v="Card"/>
    <n v="4.7"/>
    <x v="24"/>
    <n v="55.612799999999993"/>
    <n v="9"/>
    <x v="2"/>
  </r>
  <r>
    <n v="2761"/>
    <n v="38"/>
    <x v="0"/>
    <x v="0"/>
    <x v="4"/>
    <s v="Cooking Oil"/>
    <n v="15.14"/>
    <x v="1"/>
    <s v="Card"/>
    <n v="3.2"/>
    <x v="0"/>
    <n v="12.414800000000001"/>
    <n v="4"/>
    <x v="0"/>
  </r>
  <r>
    <n v="2762"/>
    <n v="62"/>
    <x v="1"/>
    <x v="1"/>
    <x v="7"/>
    <s v="Sandals"/>
    <n v="43.56"/>
    <x v="2"/>
    <s v="Cash on Delivery"/>
    <n v="2.6"/>
    <x v="18"/>
    <n v="33.105600000000003"/>
    <n v="7"/>
    <x v="0"/>
  </r>
  <r>
    <n v="2763"/>
    <n v="30"/>
    <x v="2"/>
    <x v="0"/>
    <x v="6"/>
    <s v="Perfume"/>
    <n v="51"/>
    <x v="3"/>
    <s v="Cash on Delivery"/>
    <n v="4.5"/>
    <x v="5"/>
    <n v="46.92"/>
    <n v="4"/>
    <x v="0"/>
  </r>
  <r>
    <n v="2764"/>
    <n v="24"/>
    <x v="2"/>
    <x v="0"/>
    <x v="2"/>
    <s v="Dumbbells"/>
    <n v="232.42"/>
    <x v="3"/>
    <s v="Card"/>
    <n v="2.7"/>
    <x v="13"/>
    <n v="211.50219999999999"/>
    <n v="2"/>
    <x v="1"/>
  </r>
  <r>
    <n v="2765"/>
    <n v="56"/>
    <x v="0"/>
    <x v="0"/>
    <x v="6"/>
    <s v="Skincare Kit"/>
    <n v="78.209999999999994"/>
    <x v="1"/>
    <s v="Cash on Delivery"/>
    <n v="5"/>
    <x v="10"/>
    <n v="61.003799999999998"/>
    <n v="6"/>
    <x v="0"/>
  </r>
  <r>
    <n v="2766"/>
    <n v="70"/>
    <x v="1"/>
    <x v="0"/>
    <x v="4"/>
    <s v="Beverages"/>
    <n v="26.36"/>
    <x v="1"/>
    <s v="Cash on Delivery"/>
    <n v="4.4000000000000004"/>
    <x v="7"/>
    <n v="23.724"/>
    <n v="5"/>
    <x v="0"/>
  </r>
  <r>
    <n v="2767"/>
    <n v="22"/>
    <x v="2"/>
    <x v="1"/>
    <x v="1"/>
    <s v="Jacket"/>
    <n v="59.51"/>
    <x v="2"/>
    <s v="Card"/>
    <n v="3.3"/>
    <x v="6"/>
    <n v="49.988399999999999"/>
    <n v="3"/>
    <x v="1"/>
  </r>
  <r>
    <n v="2768"/>
    <n v="36"/>
    <x v="0"/>
    <x v="0"/>
    <x v="8"/>
    <s v="Jeans"/>
    <n v="150.91999999999999"/>
    <x v="3"/>
    <s v="Card"/>
    <n v="4.0999999999999996"/>
    <x v="19"/>
    <n v="128.28199999999998"/>
    <n v="5"/>
    <x v="0"/>
  </r>
  <r>
    <n v="2769"/>
    <n v="47"/>
    <x v="0"/>
    <x v="0"/>
    <x v="8"/>
    <s v="Top"/>
    <n v="148.25"/>
    <x v="1"/>
    <s v="Card"/>
    <n v="4"/>
    <x v="6"/>
    <n v="124.53"/>
    <n v="3"/>
    <x v="1"/>
  </r>
  <r>
    <n v="2770"/>
    <n v="57"/>
    <x v="0"/>
    <x v="1"/>
    <x v="7"/>
    <s v="Formal Shoes"/>
    <n v="196.03"/>
    <x v="2"/>
    <s v="Card"/>
    <n v="4.3"/>
    <x v="16"/>
    <n v="184.26819999999998"/>
    <n v="3"/>
    <x v="1"/>
  </r>
  <r>
    <n v="2771"/>
    <n v="46"/>
    <x v="0"/>
    <x v="1"/>
    <x v="5"/>
    <s v="Laptop"/>
    <n v="853.51"/>
    <x v="1"/>
    <s v="Card"/>
    <n v="2.7"/>
    <x v="2"/>
    <n v="759.62390000000005"/>
    <n v="3"/>
    <x v="1"/>
  </r>
  <r>
    <n v="2772"/>
    <n v="62"/>
    <x v="1"/>
    <x v="1"/>
    <x v="5"/>
    <s v="Headphones"/>
    <n v="1899.51"/>
    <x v="0"/>
    <s v="Card"/>
    <n v="4.2"/>
    <x v="18"/>
    <n v="1443.6276"/>
    <n v="7"/>
    <x v="0"/>
  </r>
  <r>
    <n v="2773"/>
    <n v="20"/>
    <x v="2"/>
    <x v="1"/>
    <x v="1"/>
    <s v="T-Shirt"/>
    <n v="89.5"/>
    <x v="0"/>
    <s v="Card"/>
    <n v="4.3"/>
    <x v="24"/>
    <n v="64.44"/>
    <n v="9"/>
    <x v="2"/>
  </r>
  <r>
    <n v="2774"/>
    <n v="61"/>
    <x v="1"/>
    <x v="1"/>
    <x v="2"/>
    <s v="Dumbbells"/>
    <n v="30.95"/>
    <x v="2"/>
    <s v="Card"/>
    <n v="3.5"/>
    <x v="14"/>
    <n v="25.688499999999998"/>
    <n v="6"/>
    <x v="0"/>
  </r>
  <r>
    <n v="2775"/>
    <n v="48"/>
    <x v="0"/>
    <x v="1"/>
    <x v="3"/>
    <s v="Kitchen Set"/>
    <n v="297.56"/>
    <x v="2"/>
    <s v="Card"/>
    <n v="5"/>
    <x v="0"/>
    <n v="243.99920000000003"/>
    <n v="4"/>
    <x v="0"/>
  </r>
  <r>
    <n v="2776"/>
    <n v="52"/>
    <x v="0"/>
    <x v="1"/>
    <x v="1"/>
    <s v="Jeans"/>
    <n v="169.71"/>
    <x v="2"/>
    <s v="Card"/>
    <n v="4.3"/>
    <x v="12"/>
    <n v="137.46510000000001"/>
    <n v="7"/>
    <x v="0"/>
  </r>
  <r>
    <n v="2777"/>
    <n v="60"/>
    <x v="0"/>
    <x v="0"/>
    <x v="8"/>
    <s v="Skirt"/>
    <n v="97.73"/>
    <x v="2"/>
    <s v="Card"/>
    <n v="4"/>
    <x v="12"/>
    <n v="79.161300000000011"/>
    <n v="7"/>
    <x v="0"/>
  </r>
  <r>
    <n v="2778"/>
    <n v="23"/>
    <x v="2"/>
    <x v="1"/>
    <x v="3"/>
    <s v="Lamp"/>
    <n v="92.52"/>
    <x v="0"/>
    <s v="Card"/>
    <n v="3.3"/>
    <x v="5"/>
    <n v="85.118399999999994"/>
    <n v="4"/>
    <x v="0"/>
  </r>
  <r>
    <n v="2779"/>
    <n v="43"/>
    <x v="0"/>
    <x v="1"/>
    <x v="2"/>
    <s v="Dumbbells"/>
    <n v="217.59"/>
    <x v="3"/>
    <s v="Card"/>
    <n v="4.0999999999999996"/>
    <x v="7"/>
    <n v="195.83100000000002"/>
    <n v="5"/>
    <x v="0"/>
  </r>
  <r>
    <n v="2780"/>
    <n v="27"/>
    <x v="2"/>
    <x v="1"/>
    <x v="7"/>
    <s v="Sandals"/>
    <n v="144.94999999999999"/>
    <x v="3"/>
    <s v="Card"/>
    <n v="4.5999999999999996"/>
    <x v="1"/>
    <n v="126.10649999999998"/>
    <n v="4"/>
    <x v="0"/>
  </r>
  <r>
    <n v="2781"/>
    <n v="37"/>
    <x v="0"/>
    <x v="0"/>
    <x v="8"/>
    <s v="Skirt"/>
    <n v="95.24"/>
    <x v="2"/>
    <s v="Cash on Delivery"/>
    <n v="4.0999999999999996"/>
    <x v="14"/>
    <n v="79.049199999999999"/>
    <n v="6"/>
    <x v="0"/>
  </r>
  <r>
    <n v="2782"/>
    <n v="20"/>
    <x v="2"/>
    <x v="0"/>
    <x v="3"/>
    <s v="Curtains"/>
    <n v="291.95"/>
    <x v="3"/>
    <s v="Card"/>
    <n v="2.8"/>
    <x v="3"/>
    <n v="233.56"/>
    <n v="5"/>
    <x v="0"/>
  </r>
  <r>
    <n v="2783"/>
    <n v="44"/>
    <x v="0"/>
    <x v="1"/>
    <x v="1"/>
    <s v="T-Shirt"/>
    <n v="154.18"/>
    <x v="3"/>
    <s v="Card"/>
    <n v="4.5"/>
    <x v="6"/>
    <n v="129.5112"/>
    <n v="8"/>
    <x v="2"/>
  </r>
  <r>
    <n v="2784"/>
    <n v="20"/>
    <x v="2"/>
    <x v="0"/>
    <x v="6"/>
    <s v="Makeup Set"/>
    <n v="51.67"/>
    <x v="1"/>
    <s v="Cash on Delivery"/>
    <n v="3.5"/>
    <x v="8"/>
    <n v="45.4696"/>
    <n v="6"/>
    <x v="0"/>
  </r>
  <r>
    <n v="2785"/>
    <n v="43"/>
    <x v="0"/>
    <x v="0"/>
    <x v="6"/>
    <s v="Skincare Kit"/>
    <n v="137.75"/>
    <x v="1"/>
    <s v="Card"/>
    <n v="4.0999999999999996"/>
    <x v="3"/>
    <n v="110.2"/>
    <n v="5"/>
    <x v="0"/>
  </r>
  <r>
    <n v="2786"/>
    <n v="46"/>
    <x v="0"/>
    <x v="0"/>
    <x v="7"/>
    <s v="Sneakers"/>
    <n v="106.59"/>
    <x v="2"/>
    <s v="Card"/>
    <n v="4.9000000000000004"/>
    <x v="11"/>
    <n v="78.876599999999996"/>
    <n v="8"/>
    <x v="2"/>
  </r>
  <r>
    <n v="2787"/>
    <n v="30"/>
    <x v="2"/>
    <x v="0"/>
    <x v="0"/>
    <s v="Wallet"/>
    <n v="119.64"/>
    <x v="1"/>
    <s v="Card"/>
    <n v="3.8"/>
    <x v="1"/>
    <n v="104.0868"/>
    <n v="4"/>
    <x v="0"/>
  </r>
  <r>
    <n v="2788"/>
    <n v="22"/>
    <x v="2"/>
    <x v="0"/>
    <x v="6"/>
    <s v="Makeup Set"/>
    <n v="90.97"/>
    <x v="1"/>
    <s v="Card"/>
    <n v="4"/>
    <x v="4"/>
    <n v="78.234200000000001"/>
    <n v="2"/>
    <x v="1"/>
  </r>
  <r>
    <n v="2789"/>
    <n v="57"/>
    <x v="0"/>
    <x v="0"/>
    <x v="3"/>
    <s v="Curtains"/>
    <n v="106.31"/>
    <x v="1"/>
    <s v="Card"/>
    <n v="2.4"/>
    <x v="19"/>
    <n v="90.363500000000002"/>
    <n v="5"/>
    <x v="0"/>
  </r>
  <r>
    <n v="2790"/>
    <n v="50"/>
    <x v="0"/>
    <x v="1"/>
    <x v="7"/>
    <s v="Sandals"/>
    <n v="116.45"/>
    <x v="3"/>
    <s v="Card"/>
    <n v="3.7"/>
    <x v="0"/>
    <n v="95.489000000000004"/>
    <n v="9"/>
    <x v="2"/>
  </r>
  <r>
    <n v="2791"/>
    <n v="61"/>
    <x v="1"/>
    <x v="1"/>
    <x v="7"/>
    <s v="Sandals"/>
    <n v="166.25"/>
    <x v="2"/>
    <s v="Card"/>
    <n v="4.3"/>
    <x v="5"/>
    <n v="152.95000000000002"/>
    <n v="4"/>
    <x v="0"/>
  </r>
  <r>
    <n v="2792"/>
    <n v="38"/>
    <x v="0"/>
    <x v="1"/>
    <x v="7"/>
    <s v="Formal Shoes"/>
    <n v="204.4"/>
    <x v="1"/>
    <s v="Card"/>
    <n v="4.7"/>
    <x v="16"/>
    <n v="192.136"/>
    <n v="3"/>
    <x v="1"/>
  </r>
  <r>
    <n v="2793"/>
    <n v="37"/>
    <x v="0"/>
    <x v="1"/>
    <x v="2"/>
    <s v="Dumbbells"/>
    <n v="239.14"/>
    <x v="2"/>
    <s v="Card"/>
    <n v="2.2000000000000002"/>
    <x v="19"/>
    <n v="203.26899999999998"/>
    <n v="5"/>
    <x v="0"/>
  </r>
  <r>
    <n v="2794"/>
    <n v="37"/>
    <x v="0"/>
    <x v="1"/>
    <x v="7"/>
    <s v="Sandals"/>
    <n v="174.28"/>
    <x v="1"/>
    <s v="Card"/>
    <n v="3.2"/>
    <x v="19"/>
    <n v="148.13800000000001"/>
    <n v="5"/>
    <x v="0"/>
  </r>
  <r>
    <n v="2795"/>
    <n v="30"/>
    <x v="2"/>
    <x v="1"/>
    <x v="7"/>
    <s v="Formal Shoes"/>
    <n v="54.8"/>
    <x v="3"/>
    <s v="Cash on Delivery"/>
    <n v="3.6"/>
    <x v="10"/>
    <n v="42.744"/>
    <n v="6"/>
    <x v="0"/>
  </r>
  <r>
    <n v="2796"/>
    <n v="32"/>
    <x v="0"/>
    <x v="0"/>
    <x v="2"/>
    <s v="Dumbbells"/>
    <n v="65.040000000000006"/>
    <x v="3"/>
    <s v="Cash on Delivery"/>
    <n v="4.9000000000000004"/>
    <x v="19"/>
    <n v="55.284000000000006"/>
    <n v="5"/>
    <x v="0"/>
  </r>
  <r>
    <n v="2797"/>
    <n v="29"/>
    <x v="2"/>
    <x v="1"/>
    <x v="2"/>
    <s v="Yoga Mat"/>
    <n v="121.15"/>
    <x v="1"/>
    <s v="Card"/>
    <n v="3.4"/>
    <x v="17"/>
    <n v="116.304"/>
    <n v="2"/>
    <x v="1"/>
  </r>
  <r>
    <n v="2798"/>
    <n v="37"/>
    <x v="0"/>
    <x v="0"/>
    <x v="6"/>
    <s v="Perfume"/>
    <n v="111.74"/>
    <x v="1"/>
    <s v="Card"/>
    <n v="4.5999999999999996"/>
    <x v="2"/>
    <n v="99.448599999999999"/>
    <n v="3"/>
    <x v="1"/>
  </r>
  <r>
    <n v="2799"/>
    <n v="38"/>
    <x v="0"/>
    <x v="0"/>
    <x v="6"/>
    <s v="Makeup Set"/>
    <n v="142.9"/>
    <x v="0"/>
    <s v="Card"/>
    <n v="3.8"/>
    <x v="23"/>
    <n v="132.89699999999999"/>
    <n v="1"/>
    <x v="1"/>
  </r>
  <r>
    <n v="2800"/>
    <n v="61"/>
    <x v="1"/>
    <x v="1"/>
    <x v="2"/>
    <s v="Dumbbells"/>
    <n v="85.18"/>
    <x v="2"/>
    <s v="Cash on Delivery"/>
    <n v="2.7"/>
    <x v="17"/>
    <n v="81.772800000000004"/>
    <n v="2"/>
    <x v="1"/>
  </r>
  <r>
    <n v="2801"/>
    <n v="25"/>
    <x v="2"/>
    <x v="0"/>
    <x v="0"/>
    <s v="Wallet"/>
    <n v="137.33000000000001"/>
    <x v="3"/>
    <s v="Card"/>
    <n v="4.7"/>
    <x v="3"/>
    <n v="109.86400000000002"/>
    <n v="10"/>
    <x v="2"/>
  </r>
  <r>
    <n v="2802"/>
    <n v="60"/>
    <x v="0"/>
    <x v="1"/>
    <x v="7"/>
    <s v="Sandals"/>
    <n v="82.73"/>
    <x v="1"/>
    <s v="Cash on Delivery"/>
    <n v="3.6"/>
    <x v="5"/>
    <n v="76.11160000000001"/>
    <n v="4"/>
    <x v="0"/>
  </r>
  <r>
    <n v="2803"/>
    <n v="25"/>
    <x v="2"/>
    <x v="1"/>
    <x v="1"/>
    <s v="Jacket"/>
    <n v="186.21"/>
    <x v="0"/>
    <s v="Card"/>
    <n v="3.8"/>
    <x v="13"/>
    <n v="169.45110000000003"/>
    <n v="2"/>
    <x v="1"/>
  </r>
  <r>
    <n v="2804"/>
    <n v="23"/>
    <x v="2"/>
    <x v="0"/>
    <x v="7"/>
    <s v="Formal Shoes"/>
    <n v="211.98"/>
    <x v="0"/>
    <s v="Card"/>
    <n v="3.8"/>
    <x v="19"/>
    <n v="180.18299999999999"/>
    <n v="5"/>
    <x v="0"/>
  </r>
  <r>
    <n v="2805"/>
    <n v="48"/>
    <x v="0"/>
    <x v="0"/>
    <x v="6"/>
    <s v="Perfume"/>
    <n v="36.46"/>
    <x v="2"/>
    <s v="Card"/>
    <n v="4.5999999999999996"/>
    <x v="0"/>
    <n v="29.897200000000002"/>
    <n v="4"/>
    <x v="0"/>
  </r>
  <r>
    <n v="2806"/>
    <n v="41"/>
    <x v="0"/>
    <x v="0"/>
    <x v="6"/>
    <s v="Makeup Set"/>
    <n v="120.18"/>
    <x v="1"/>
    <s v="Card"/>
    <n v="4"/>
    <x v="4"/>
    <n v="103.3548"/>
    <n v="7"/>
    <x v="0"/>
  </r>
  <r>
    <n v="2807"/>
    <n v="44"/>
    <x v="0"/>
    <x v="1"/>
    <x v="1"/>
    <s v="Jeans"/>
    <n v="133.57"/>
    <x v="1"/>
    <s v="Card"/>
    <n v="4.0999999999999996"/>
    <x v="18"/>
    <n v="101.5132"/>
    <n v="7"/>
    <x v="0"/>
  </r>
  <r>
    <n v="2808"/>
    <n v="22"/>
    <x v="2"/>
    <x v="1"/>
    <x v="7"/>
    <s v="Sandals"/>
    <n v="156.66"/>
    <x v="2"/>
    <s v="Card"/>
    <n v="4"/>
    <x v="1"/>
    <n v="136.29419999999999"/>
    <n v="4"/>
    <x v="0"/>
  </r>
  <r>
    <n v="2809"/>
    <n v="28"/>
    <x v="2"/>
    <x v="0"/>
    <x v="0"/>
    <s v="Handbag"/>
    <n v="28.16"/>
    <x v="2"/>
    <s v="Cash on Delivery"/>
    <n v="4.4000000000000004"/>
    <x v="10"/>
    <n v="21.9648"/>
    <n v="6"/>
    <x v="0"/>
  </r>
  <r>
    <n v="2810"/>
    <n v="27"/>
    <x v="2"/>
    <x v="1"/>
    <x v="1"/>
    <s v="Shirt"/>
    <n v="143.88999999999999"/>
    <x v="3"/>
    <s v="Card"/>
    <n v="3.9"/>
    <x v="12"/>
    <n v="116.5509"/>
    <n v="7"/>
    <x v="0"/>
  </r>
  <r>
    <n v="2811"/>
    <n v="55"/>
    <x v="0"/>
    <x v="1"/>
    <x v="7"/>
    <s v="Sandals"/>
    <n v="70.59"/>
    <x v="0"/>
    <s v="Card"/>
    <n v="4.4000000000000004"/>
    <x v="6"/>
    <n v="59.2956"/>
    <n v="3"/>
    <x v="1"/>
  </r>
  <r>
    <n v="2812"/>
    <n v="52"/>
    <x v="0"/>
    <x v="0"/>
    <x v="2"/>
    <s v="Football"/>
    <n v="172.51"/>
    <x v="1"/>
    <s v="Card"/>
    <n v="3.3"/>
    <x v="8"/>
    <n v="151.80879999999999"/>
    <n v="6"/>
    <x v="0"/>
  </r>
  <r>
    <n v="2813"/>
    <n v="49"/>
    <x v="0"/>
    <x v="0"/>
    <x v="6"/>
    <s v="Makeup Set"/>
    <n v="67.349999999999994"/>
    <x v="2"/>
    <s v="Cash on Delivery"/>
    <n v="4.0999999999999996"/>
    <x v="17"/>
    <n v="64.655999999999992"/>
    <n v="2"/>
    <x v="1"/>
  </r>
  <r>
    <n v="2814"/>
    <n v="40"/>
    <x v="0"/>
    <x v="1"/>
    <x v="4"/>
    <s v="Snacks"/>
    <n v="21.13"/>
    <x v="3"/>
    <s v="Cash on Delivery"/>
    <n v="3"/>
    <x v="16"/>
    <n v="19.862199999999998"/>
    <n v="3"/>
    <x v="1"/>
  </r>
  <r>
    <n v="2815"/>
    <n v="39"/>
    <x v="0"/>
    <x v="0"/>
    <x v="6"/>
    <s v="Perfume"/>
    <n v="63.42"/>
    <x v="0"/>
    <s v="Card"/>
    <n v="3.7"/>
    <x v="1"/>
    <n v="55.175400000000003"/>
    <n v="4"/>
    <x v="0"/>
  </r>
  <r>
    <n v="2816"/>
    <n v="32"/>
    <x v="0"/>
    <x v="0"/>
    <x v="8"/>
    <s v="Dress"/>
    <n v="39.659999999999997"/>
    <x v="2"/>
    <s v="Card"/>
    <n v="3.5"/>
    <x v="19"/>
    <n v="33.710999999999999"/>
    <n v="5"/>
    <x v="0"/>
  </r>
  <r>
    <n v="2817"/>
    <n v="63"/>
    <x v="1"/>
    <x v="0"/>
    <x v="8"/>
    <s v="Skirt"/>
    <n v="81.34"/>
    <x v="3"/>
    <s v="Card"/>
    <n v="5"/>
    <x v="18"/>
    <n v="61.818400000000004"/>
    <n v="7"/>
    <x v="0"/>
  </r>
  <r>
    <n v="2818"/>
    <n v="43"/>
    <x v="0"/>
    <x v="1"/>
    <x v="4"/>
    <s v="Cooking Oil"/>
    <n v="41.52"/>
    <x v="1"/>
    <s v="Card"/>
    <n v="4"/>
    <x v="6"/>
    <n v="34.876800000000003"/>
    <n v="3"/>
    <x v="1"/>
  </r>
  <r>
    <n v="2819"/>
    <n v="22"/>
    <x v="2"/>
    <x v="1"/>
    <x v="1"/>
    <s v="Shirt"/>
    <n v="148.99"/>
    <x v="0"/>
    <s v="Card"/>
    <n v="3.8"/>
    <x v="29"/>
    <n v="148.99"/>
    <n v="0"/>
    <x v="1"/>
  </r>
  <r>
    <n v="2820"/>
    <n v="39"/>
    <x v="0"/>
    <x v="1"/>
    <x v="2"/>
    <s v="Yoga Mat"/>
    <n v="72.52"/>
    <x v="0"/>
    <s v="Card"/>
    <n v="4.0999999999999996"/>
    <x v="20"/>
    <n v="49.313599999999994"/>
    <n v="11"/>
    <x v="2"/>
  </r>
  <r>
    <n v="2821"/>
    <n v="50"/>
    <x v="0"/>
    <x v="1"/>
    <x v="2"/>
    <s v="Yoga Mat"/>
    <n v="51.45"/>
    <x v="3"/>
    <s v="Card"/>
    <n v="4.8"/>
    <x v="21"/>
    <n v="40.645500000000006"/>
    <n v="8"/>
    <x v="2"/>
  </r>
  <r>
    <n v="2822"/>
    <n v="62"/>
    <x v="1"/>
    <x v="0"/>
    <x v="3"/>
    <s v="Curtains"/>
    <n v="267.63"/>
    <x v="3"/>
    <s v="Card"/>
    <n v="4"/>
    <x v="19"/>
    <n v="227.4855"/>
    <n v="5"/>
    <x v="0"/>
  </r>
  <r>
    <n v="2823"/>
    <n v="34"/>
    <x v="0"/>
    <x v="1"/>
    <x v="1"/>
    <s v="T-Shirt"/>
    <n v="173.49"/>
    <x v="3"/>
    <s v="Card"/>
    <n v="3.6"/>
    <x v="6"/>
    <n v="145.73160000000001"/>
    <n v="8"/>
    <x v="2"/>
  </r>
  <r>
    <n v="2824"/>
    <n v="58"/>
    <x v="0"/>
    <x v="1"/>
    <x v="4"/>
    <s v="Snacks"/>
    <n v="27.45"/>
    <x v="0"/>
    <s v="Card"/>
    <n v="3.3"/>
    <x v="0"/>
    <n v="22.509"/>
    <n v="4"/>
    <x v="0"/>
  </r>
  <r>
    <n v="2825"/>
    <n v="36"/>
    <x v="0"/>
    <x v="0"/>
    <x v="0"/>
    <s v="Sunglasses"/>
    <n v="112.43"/>
    <x v="3"/>
    <s v="Card"/>
    <n v="4.5"/>
    <x v="4"/>
    <n v="96.689800000000005"/>
    <n v="2"/>
    <x v="1"/>
  </r>
  <r>
    <n v="2826"/>
    <n v="30"/>
    <x v="2"/>
    <x v="1"/>
    <x v="2"/>
    <s v="Football"/>
    <n v="78.09"/>
    <x v="2"/>
    <s v="Card"/>
    <n v="4.7"/>
    <x v="19"/>
    <n v="66.376500000000007"/>
    <n v="5"/>
    <x v="0"/>
  </r>
  <r>
    <n v="2827"/>
    <n v="42"/>
    <x v="0"/>
    <x v="0"/>
    <x v="7"/>
    <s v="Formal Shoes"/>
    <n v="169.66"/>
    <x v="1"/>
    <s v="Card"/>
    <n v="3.8"/>
    <x v="2"/>
    <n v="150.9974"/>
    <n v="3"/>
    <x v="1"/>
  </r>
  <r>
    <n v="2828"/>
    <n v="50"/>
    <x v="0"/>
    <x v="1"/>
    <x v="1"/>
    <s v="Jacket"/>
    <n v="163.03"/>
    <x v="1"/>
    <s v="Card"/>
    <n v="4.5999999999999996"/>
    <x v="4"/>
    <n v="140.20580000000001"/>
    <n v="2"/>
    <x v="1"/>
  </r>
  <r>
    <n v="2829"/>
    <n v="63"/>
    <x v="1"/>
    <x v="0"/>
    <x v="2"/>
    <s v="Football"/>
    <n v="194.67"/>
    <x v="2"/>
    <s v="Card"/>
    <n v="3.8"/>
    <x v="19"/>
    <n v="165.46949999999998"/>
    <n v="5"/>
    <x v="0"/>
  </r>
  <r>
    <n v="2830"/>
    <n v="50"/>
    <x v="0"/>
    <x v="0"/>
    <x v="2"/>
    <s v="Football"/>
    <n v="82.53"/>
    <x v="1"/>
    <s v="Card"/>
    <n v="3.7"/>
    <x v="6"/>
    <n v="69.325199999999995"/>
    <n v="3"/>
    <x v="1"/>
  </r>
  <r>
    <n v="2831"/>
    <n v="49"/>
    <x v="0"/>
    <x v="0"/>
    <x v="8"/>
    <s v="Top"/>
    <n v="146.27000000000001"/>
    <x v="2"/>
    <s v="Card"/>
    <n v="2.9"/>
    <x v="7"/>
    <n v="131.643"/>
    <n v="5"/>
    <x v="0"/>
  </r>
  <r>
    <n v="2832"/>
    <n v="27"/>
    <x v="2"/>
    <x v="0"/>
    <x v="2"/>
    <s v="Dumbbells"/>
    <n v="175.05"/>
    <x v="1"/>
    <s v="Card"/>
    <n v="2.7"/>
    <x v="0"/>
    <n v="143.54100000000003"/>
    <n v="9"/>
    <x v="2"/>
  </r>
  <r>
    <n v="2833"/>
    <n v="21"/>
    <x v="2"/>
    <x v="0"/>
    <x v="8"/>
    <s v="Dress"/>
    <n v="170.15"/>
    <x v="1"/>
    <s v="Card"/>
    <n v="3.3"/>
    <x v="4"/>
    <n v="146.32900000000001"/>
    <n v="7"/>
    <x v="0"/>
  </r>
  <r>
    <n v="2834"/>
    <n v="42"/>
    <x v="0"/>
    <x v="0"/>
    <x v="3"/>
    <s v="Lamp"/>
    <n v="91.56"/>
    <x v="3"/>
    <s v="Cash on Delivery"/>
    <n v="5"/>
    <x v="19"/>
    <n v="77.825999999999993"/>
    <n v="5"/>
    <x v="0"/>
  </r>
  <r>
    <n v="2835"/>
    <n v="54"/>
    <x v="0"/>
    <x v="1"/>
    <x v="2"/>
    <s v="Yoga Mat"/>
    <n v="188.44"/>
    <x v="1"/>
    <s v="Card"/>
    <n v="4.8"/>
    <x v="18"/>
    <n v="143.21440000000001"/>
    <n v="7"/>
    <x v="0"/>
  </r>
  <r>
    <n v="2836"/>
    <n v="47"/>
    <x v="0"/>
    <x v="1"/>
    <x v="5"/>
    <s v="Laptop"/>
    <n v="585.1"/>
    <x v="0"/>
    <s v="Card"/>
    <n v="3.6"/>
    <x v="4"/>
    <n v="503.18600000000004"/>
    <n v="2"/>
    <x v="1"/>
  </r>
  <r>
    <n v="2837"/>
    <n v="62"/>
    <x v="1"/>
    <x v="1"/>
    <x v="4"/>
    <s v="Rice Pack"/>
    <n v="72.41"/>
    <x v="3"/>
    <s v="Cash on Delivery"/>
    <n v="2.8"/>
    <x v="4"/>
    <n v="62.272599999999997"/>
    <n v="7"/>
    <x v="0"/>
  </r>
  <r>
    <n v="2838"/>
    <n v="55"/>
    <x v="0"/>
    <x v="0"/>
    <x v="8"/>
    <s v="Top"/>
    <n v="148.16"/>
    <x v="0"/>
    <s v="Card"/>
    <n v="3.8"/>
    <x v="4"/>
    <n v="127.41759999999999"/>
    <n v="7"/>
    <x v="0"/>
  </r>
  <r>
    <n v="2839"/>
    <n v="65"/>
    <x v="1"/>
    <x v="1"/>
    <x v="1"/>
    <s v="T-Shirt"/>
    <n v="30.58"/>
    <x v="2"/>
    <s v="Cash on Delivery"/>
    <n v="2.5"/>
    <x v="2"/>
    <n v="27.216200000000001"/>
    <n v="3"/>
    <x v="1"/>
  </r>
  <r>
    <n v="2840"/>
    <n v="23"/>
    <x v="2"/>
    <x v="0"/>
    <x v="0"/>
    <s v="Sunglasses"/>
    <n v="48.53"/>
    <x v="2"/>
    <s v="Cash on Delivery"/>
    <n v="3.1"/>
    <x v="7"/>
    <n v="43.677"/>
    <n v="5"/>
    <x v="0"/>
  </r>
  <r>
    <n v="2841"/>
    <n v="49"/>
    <x v="0"/>
    <x v="0"/>
    <x v="8"/>
    <s v="Skirt"/>
    <n v="72.069999999999993"/>
    <x v="1"/>
    <s v="Cash on Delivery"/>
    <n v="2.7"/>
    <x v="16"/>
    <n v="67.745799999999988"/>
    <n v="3"/>
    <x v="1"/>
  </r>
  <r>
    <n v="2842"/>
    <n v="64"/>
    <x v="1"/>
    <x v="0"/>
    <x v="7"/>
    <s v="Formal Shoes"/>
    <n v="173.87"/>
    <x v="2"/>
    <s v="Card"/>
    <n v="3.1"/>
    <x v="19"/>
    <n v="147.7895"/>
    <n v="5"/>
    <x v="0"/>
  </r>
  <r>
    <n v="2843"/>
    <n v="20"/>
    <x v="2"/>
    <x v="0"/>
    <x v="8"/>
    <s v="Top"/>
    <n v="167.76"/>
    <x v="1"/>
    <s v="Card"/>
    <n v="4.2"/>
    <x v="3"/>
    <n v="134.208"/>
    <n v="5"/>
    <x v="0"/>
  </r>
  <r>
    <n v="2844"/>
    <n v="28"/>
    <x v="2"/>
    <x v="1"/>
    <x v="5"/>
    <s v="Smart Watch"/>
    <n v="581.89"/>
    <x v="3"/>
    <s v="Card"/>
    <n v="3"/>
    <x v="7"/>
    <n v="523.70100000000002"/>
    <n v="5"/>
    <x v="0"/>
  </r>
  <r>
    <n v="2845"/>
    <n v="66"/>
    <x v="1"/>
    <x v="0"/>
    <x v="7"/>
    <s v="Sandals"/>
    <n v="100.1"/>
    <x v="0"/>
    <s v="Card"/>
    <n v="3.6"/>
    <x v="2"/>
    <n v="89.088999999999999"/>
    <n v="3"/>
    <x v="1"/>
  </r>
  <r>
    <n v="2846"/>
    <n v="57"/>
    <x v="0"/>
    <x v="0"/>
    <x v="6"/>
    <s v="Makeup Set"/>
    <n v="28.82"/>
    <x v="2"/>
    <s v="Cash on Delivery"/>
    <n v="3.3"/>
    <x v="6"/>
    <n v="24.2088"/>
    <n v="3"/>
    <x v="1"/>
  </r>
  <r>
    <n v="2847"/>
    <n v="48"/>
    <x v="0"/>
    <x v="1"/>
    <x v="1"/>
    <s v="T-Shirt"/>
    <n v="150.38"/>
    <x v="2"/>
    <s v="Card"/>
    <n v="3.7"/>
    <x v="18"/>
    <n v="114.28879999999999"/>
    <n v="7"/>
    <x v="0"/>
  </r>
  <r>
    <n v="2848"/>
    <n v="39"/>
    <x v="0"/>
    <x v="0"/>
    <x v="8"/>
    <s v="Jeans"/>
    <n v="193.29"/>
    <x v="1"/>
    <s v="Card"/>
    <n v="2.9"/>
    <x v="19"/>
    <n v="164.29649999999998"/>
    <n v="5"/>
    <x v="0"/>
  </r>
  <r>
    <n v="2849"/>
    <n v="58"/>
    <x v="0"/>
    <x v="1"/>
    <x v="7"/>
    <s v="Sneakers"/>
    <n v="80.52"/>
    <x v="3"/>
    <s v="Cash on Delivery"/>
    <n v="3.7"/>
    <x v="19"/>
    <n v="68.441999999999993"/>
    <n v="5"/>
    <x v="0"/>
  </r>
  <r>
    <n v="2850"/>
    <n v="64"/>
    <x v="1"/>
    <x v="0"/>
    <x v="4"/>
    <s v="Beverages"/>
    <n v="19.96"/>
    <x v="0"/>
    <s v="Cash on Delivery"/>
    <n v="3"/>
    <x v="16"/>
    <n v="18.7624"/>
    <n v="3"/>
    <x v="1"/>
  </r>
  <r>
    <n v="2851"/>
    <n v="38"/>
    <x v="0"/>
    <x v="0"/>
    <x v="6"/>
    <s v="Skincare Kit"/>
    <n v="81.760000000000005"/>
    <x v="3"/>
    <s v="Cash on Delivery"/>
    <n v="4.0999999999999996"/>
    <x v="5"/>
    <n v="75.219200000000015"/>
    <n v="4"/>
    <x v="0"/>
  </r>
  <r>
    <n v="2852"/>
    <n v="47"/>
    <x v="0"/>
    <x v="1"/>
    <x v="4"/>
    <s v="Rice Pack"/>
    <n v="19.760000000000002"/>
    <x v="3"/>
    <s v="Cash on Delivery"/>
    <n v="3.8"/>
    <x v="13"/>
    <n v="17.981600000000004"/>
    <n v="2"/>
    <x v="1"/>
  </r>
  <r>
    <n v="2853"/>
    <n v="49"/>
    <x v="0"/>
    <x v="0"/>
    <x v="8"/>
    <s v="Dress"/>
    <n v="73.31"/>
    <x v="1"/>
    <s v="Cash on Delivery"/>
    <n v="3.5"/>
    <x v="3"/>
    <n v="58.648000000000003"/>
    <n v="5"/>
    <x v="0"/>
  </r>
  <r>
    <n v="2854"/>
    <n v="30"/>
    <x v="2"/>
    <x v="1"/>
    <x v="2"/>
    <s v="Yoga Mat"/>
    <n v="95.37"/>
    <x v="3"/>
    <s v="Cash on Delivery"/>
    <n v="4.2"/>
    <x v="14"/>
    <n v="79.1571"/>
    <n v="6"/>
    <x v="0"/>
  </r>
  <r>
    <n v="2855"/>
    <n v="24"/>
    <x v="2"/>
    <x v="0"/>
    <x v="0"/>
    <s v="Handbag"/>
    <n v="105.91"/>
    <x v="0"/>
    <s v="Card"/>
    <n v="3.9"/>
    <x v="12"/>
    <n v="85.787100000000009"/>
    <n v="7"/>
    <x v="0"/>
  </r>
  <r>
    <n v="2856"/>
    <n v="68"/>
    <x v="1"/>
    <x v="1"/>
    <x v="1"/>
    <s v="Shirt"/>
    <n v="82.8"/>
    <x v="2"/>
    <s v="Card"/>
    <n v="3.6"/>
    <x v="5"/>
    <n v="76.176000000000002"/>
    <n v="4"/>
    <x v="0"/>
  </r>
  <r>
    <n v="2857"/>
    <n v="68"/>
    <x v="1"/>
    <x v="1"/>
    <x v="3"/>
    <s v="Curtains"/>
    <n v="260.13"/>
    <x v="3"/>
    <s v="Card"/>
    <n v="4"/>
    <x v="18"/>
    <n v="197.69880000000001"/>
    <n v="7"/>
    <x v="0"/>
  </r>
  <r>
    <n v="2858"/>
    <n v="55"/>
    <x v="0"/>
    <x v="0"/>
    <x v="7"/>
    <s v="Sneakers"/>
    <n v="196.79"/>
    <x v="3"/>
    <s v="Card"/>
    <n v="3.7"/>
    <x v="7"/>
    <n v="177.11099999999999"/>
    <n v="5"/>
    <x v="0"/>
  </r>
  <r>
    <n v="2859"/>
    <n v="47"/>
    <x v="0"/>
    <x v="0"/>
    <x v="6"/>
    <s v="Perfume"/>
    <n v="137.02000000000001"/>
    <x v="3"/>
    <s v="Card"/>
    <n v="3.7"/>
    <x v="4"/>
    <n v="117.83720000000001"/>
    <n v="7"/>
    <x v="0"/>
  </r>
  <r>
    <n v="2860"/>
    <n v="31"/>
    <x v="0"/>
    <x v="1"/>
    <x v="4"/>
    <s v="Rice Pack"/>
    <n v="61.33"/>
    <x v="1"/>
    <s v="Card"/>
    <n v="3.6"/>
    <x v="6"/>
    <n v="51.517199999999995"/>
    <n v="3"/>
    <x v="1"/>
  </r>
  <r>
    <n v="2861"/>
    <n v="38"/>
    <x v="0"/>
    <x v="1"/>
    <x v="2"/>
    <s v="Football"/>
    <n v="152.38999999999999"/>
    <x v="2"/>
    <s v="Card"/>
    <n v="5"/>
    <x v="0"/>
    <n v="124.9598"/>
    <n v="9"/>
    <x v="2"/>
  </r>
  <r>
    <n v="2862"/>
    <n v="50"/>
    <x v="0"/>
    <x v="0"/>
    <x v="8"/>
    <s v="Dress"/>
    <n v="35.770000000000003"/>
    <x v="0"/>
    <s v="Cash on Delivery"/>
    <n v="3.8"/>
    <x v="7"/>
    <n v="32.193000000000005"/>
    <n v="5"/>
    <x v="0"/>
  </r>
  <r>
    <n v="2863"/>
    <n v="33"/>
    <x v="0"/>
    <x v="0"/>
    <x v="4"/>
    <s v="Beverages"/>
    <n v="46.73"/>
    <x v="3"/>
    <s v="Card"/>
    <n v="3.5"/>
    <x v="2"/>
    <n v="41.589700000000001"/>
    <n v="3"/>
    <x v="1"/>
  </r>
  <r>
    <n v="2864"/>
    <n v="35"/>
    <x v="0"/>
    <x v="1"/>
    <x v="1"/>
    <s v="Shirt"/>
    <n v="129.83000000000001"/>
    <x v="1"/>
    <s v="Card"/>
    <n v="4"/>
    <x v="21"/>
    <n v="102.56570000000002"/>
    <n v="8"/>
    <x v="2"/>
  </r>
  <r>
    <n v="2865"/>
    <n v="47"/>
    <x v="0"/>
    <x v="1"/>
    <x v="2"/>
    <s v="Yoga Mat"/>
    <n v="223.95"/>
    <x v="2"/>
    <s v="Card"/>
    <n v="4.8"/>
    <x v="18"/>
    <n v="170.202"/>
    <n v="7"/>
    <x v="0"/>
  </r>
  <r>
    <n v="2866"/>
    <n v="28"/>
    <x v="2"/>
    <x v="0"/>
    <x v="6"/>
    <s v="Skincare Kit"/>
    <n v="30.28"/>
    <x v="1"/>
    <s v="Cash on Delivery"/>
    <n v="5"/>
    <x v="14"/>
    <n v="25.132400000000001"/>
    <n v="6"/>
    <x v="0"/>
  </r>
  <r>
    <n v="2867"/>
    <n v="55"/>
    <x v="0"/>
    <x v="1"/>
    <x v="2"/>
    <s v="Dumbbells"/>
    <n v="228.55"/>
    <x v="3"/>
    <s v="Card"/>
    <n v="4.9000000000000004"/>
    <x v="24"/>
    <n v="164.55600000000001"/>
    <n v="9"/>
    <x v="2"/>
  </r>
  <r>
    <n v="2868"/>
    <n v="57"/>
    <x v="0"/>
    <x v="1"/>
    <x v="2"/>
    <s v="Dumbbells"/>
    <n v="195.53"/>
    <x v="2"/>
    <s v="Card"/>
    <n v="3.4"/>
    <x v="7"/>
    <n v="175.977"/>
    <n v="5"/>
    <x v="0"/>
  </r>
  <r>
    <n v="2869"/>
    <n v="59"/>
    <x v="0"/>
    <x v="1"/>
    <x v="7"/>
    <s v="Formal Shoes"/>
    <n v="131.44"/>
    <x v="0"/>
    <s v="Card"/>
    <n v="3.2"/>
    <x v="19"/>
    <n v="111.72399999999999"/>
    <n v="5"/>
    <x v="0"/>
  </r>
  <r>
    <n v="2870"/>
    <n v="27"/>
    <x v="2"/>
    <x v="1"/>
    <x v="2"/>
    <s v="Yoga Mat"/>
    <n v="118.81"/>
    <x v="0"/>
    <s v="Card"/>
    <n v="2.2000000000000002"/>
    <x v="5"/>
    <n v="109.30520000000001"/>
    <n v="4"/>
    <x v="0"/>
  </r>
  <r>
    <n v="2871"/>
    <n v="62"/>
    <x v="1"/>
    <x v="0"/>
    <x v="8"/>
    <s v="Top"/>
    <n v="117.38"/>
    <x v="2"/>
    <s v="Card"/>
    <n v="4.5"/>
    <x v="7"/>
    <n v="105.642"/>
    <n v="5"/>
    <x v="0"/>
  </r>
  <r>
    <n v="2872"/>
    <n v="58"/>
    <x v="0"/>
    <x v="0"/>
    <x v="7"/>
    <s v="Formal Shoes"/>
    <n v="143.71"/>
    <x v="2"/>
    <s v="Card"/>
    <n v="2.8"/>
    <x v="4"/>
    <n v="123.59060000000001"/>
    <n v="2"/>
    <x v="1"/>
  </r>
  <r>
    <n v="2873"/>
    <n v="21"/>
    <x v="2"/>
    <x v="1"/>
    <x v="2"/>
    <s v="Football"/>
    <n v="85.22"/>
    <x v="1"/>
    <s v="Cash on Delivery"/>
    <n v="4.5999999999999996"/>
    <x v="24"/>
    <n v="61.358399999999996"/>
    <n v="9"/>
    <x v="2"/>
  </r>
  <r>
    <n v="2874"/>
    <n v="48"/>
    <x v="0"/>
    <x v="0"/>
    <x v="8"/>
    <s v="Dress"/>
    <n v="135.59"/>
    <x v="1"/>
    <s v="Card"/>
    <n v="4.2"/>
    <x v="21"/>
    <n v="107.1161"/>
    <n v="8"/>
    <x v="2"/>
  </r>
  <r>
    <n v="2875"/>
    <n v="33"/>
    <x v="0"/>
    <x v="0"/>
    <x v="2"/>
    <s v="Dumbbells"/>
    <n v="249.24"/>
    <x v="2"/>
    <s v="Card"/>
    <n v="4.3"/>
    <x v="16"/>
    <n v="234.28559999999999"/>
    <n v="3"/>
    <x v="1"/>
  </r>
  <r>
    <n v="2876"/>
    <n v="41"/>
    <x v="0"/>
    <x v="1"/>
    <x v="1"/>
    <s v="T-Shirt"/>
    <n v="127.61"/>
    <x v="3"/>
    <s v="Card"/>
    <n v="4"/>
    <x v="4"/>
    <n v="109.74459999999999"/>
    <n v="2"/>
    <x v="1"/>
  </r>
  <r>
    <n v="2877"/>
    <n v="68"/>
    <x v="1"/>
    <x v="1"/>
    <x v="5"/>
    <s v="Mobile Phone"/>
    <n v="2121.4"/>
    <x v="1"/>
    <s v="Card"/>
    <n v="3.6"/>
    <x v="17"/>
    <n v="2036.5440000000001"/>
    <n v="2"/>
    <x v="1"/>
  </r>
  <r>
    <n v="2878"/>
    <n v="64"/>
    <x v="1"/>
    <x v="1"/>
    <x v="1"/>
    <s v="Jeans"/>
    <n v="129.65"/>
    <x v="3"/>
    <s v="Card"/>
    <n v="3.5"/>
    <x v="6"/>
    <n v="108.90600000000001"/>
    <n v="3"/>
    <x v="1"/>
  </r>
  <r>
    <n v="2879"/>
    <n v="54"/>
    <x v="0"/>
    <x v="1"/>
    <x v="7"/>
    <s v="Formal Shoes"/>
    <n v="67.94"/>
    <x v="0"/>
    <s v="Cash on Delivery"/>
    <n v="3.7"/>
    <x v="0"/>
    <n v="55.710799999999999"/>
    <n v="9"/>
    <x v="2"/>
  </r>
  <r>
    <n v="2880"/>
    <n v="55"/>
    <x v="0"/>
    <x v="1"/>
    <x v="2"/>
    <s v="Football"/>
    <n v="236.33"/>
    <x v="3"/>
    <s v="Card"/>
    <n v="2.6"/>
    <x v="1"/>
    <n v="205.6071"/>
    <n v="4"/>
    <x v="0"/>
  </r>
  <r>
    <n v="2881"/>
    <n v="49"/>
    <x v="0"/>
    <x v="1"/>
    <x v="5"/>
    <s v="Headphones"/>
    <n v="2447.8000000000002"/>
    <x v="0"/>
    <s v="Card"/>
    <n v="2.8"/>
    <x v="1"/>
    <n v="2129.5860000000002"/>
    <n v="4"/>
    <x v="0"/>
  </r>
  <r>
    <n v="2882"/>
    <n v="26"/>
    <x v="2"/>
    <x v="1"/>
    <x v="5"/>
    <s v="Mobile Phone"/>
    <n v="1922.9"/>
    <x v="0"/>
    <s v="Card"/>
    <n v="2.9"/>
    <x v="5"/>
    <n v="1769.0680000000002"/>
    <n v="4"/>
    <x v="0"/>
  </r>
  <r>
    <n v="2883"/>
    <n v="54"/>
    <x v="0"/>
    <x v="1"/>
    <x v="5"/>
    <s v="Smart Watch"/>
    <n v="1252.53"/>
    <x v="3"/>
    <s v="Card"/>
    <n v="3.9"/>
    <x v="15"/>
    <n v="1227.4793999999999"/>
    <n v="1"/>
    <x v="1"/>
  </r>
  <r>
    <n v="2884"/>
    <n v="40"/>
    <x v="0"/>
    <x v="0"/>
    <x v="8"/>
    <s v="Dress"/>
    <n v="144.26"/>
    <x v="3"/>
    <s v="Card"/>
    <n v="3.9"/>
    <x v="7"/>
    <n v="129.834"/>
    <n v="5"/>
    <x v="0"/>
  </r>
  <r>
    <n v="2885"/>
    <n v="42"/>
    <x v="0"/>
    <x v="1"/>
    <x v="7"/>
    <s v="Sneakers"/>
    <n v="227.07"/>
    <x v="0"/>
    <s v="Card"/>
    <n v="2.8"/>
    <x v="1"/>
    <n v="197.55089999999998"/>
    <n v="4"/>
    <x v="0"/>
  </r>
  <r>
    <n v="2886"/>
    <n v="20"/>
    <x v="2"/>
    <x v="0"/>
    <x v="0"/>
    <s v="Sunglasses"/>
    <n v="104.38"/>
    <x v="3"/>
    <s v="Card"/>
    <n v="5"/>
    <x v="21"/>
    <n v="82.4602"/>
    <n v="8"/>
    <x v="2"/>
  </r>
  <r>
    <n v="2887"/>
    <n v="51"/>
    <x v="0"/>
    <x v="1"/>
    <x v="1"/>
    <s v="Shirt"/>
    <n v="168.21"/>
    <x v="1"/>
    <s v="Card"/>
    <n v="3.3"/>
    <x v="1"/>
    <n v="146.34270000000001"/>
    <n v="4"/>
    <x v="0"/>
  </r>
  <r>
    <n v="2888"/>
    <n v="37"/>
    <x v="0"/>
    <x v="0"/>
    <x v="6"/>
    <s v="Perfume"/>
    <n v="95.35"/>
    <x v="0"/>
    <s v="Card"/>
    <n v="4.4000000000000004"/>
    <x v="8"/>
    <n v="83.908000000000001"/>
    <n v="6"/>
    <x v="0"/>
  </r>
  <r>
    <n v="2889"/>
    <n v="45"/>
    <x v="0"/>
    <x v="0"/>
    <x v="8"/>
    <s v="Top"/>
    <n v="30.38"/>
    <x v="1"/>
    <s v="Cash on Delivery"/>
    <n v="4.2"/>
    <x v="25"/>
    <n v="21.265999999999998"/>
    <n v="10"/>
    <x v="2"/>
  </r>
  <r>
    <n v="2890"/>
    <n v="57"/>
    <x v="0"/>
    <x v="1"/>
    <x v="2"/>
    <s v="Yoga Mat"/>
    <n v="197.01"/>
    <x v="0"/>
    <s v="Card"/>
    <n v="3.8"/>
    <x v="2"/>
    <n v="175.3389"/>
    <n v="3"/>
    <x v="1"/>
  </r>
  <r>
    <n v="2891"/>
    <n v="33"/>
    <x v="0"/>
    <x v="0"/>
    <x v="0"/>
    <s v="Sunglasses"/>
    <n v="136.04"/>
    <x v="1"/>
    <s v="Card"/>
    <n v="3.6"/>
    <x v="8"/>
    <n v="119.7152"/>
    <n v="1"/>
    <x v="1"/>
  </r>
  <r>
    <n v="2892"/>
    <n v="41"/>
    <x v="0"/>
    <x v="0"/>
    <x v="6"/>
    <s v="Skincare Kit"/>
    <n v="110.69"/>
    <x v="3"/>
    <s v="Card"/>
    <n v="3.6"/>
    <x v="1"/>
    <n v="96.300299999999993"/>
    <n v="4"/>
    <x v="0"/>
  </r>
  <r>
    <n v="2893"/>
    <n v="21"/>
    <x v="2"/>
    <x v="0"/>
    <x v="0"/>
    <s v="Sunglasses"/>
    <n v="49.93"/>
    <x v="0"/>
    <s v="Cash on Delivery"/>
    <n v="4.3"/>
    <x v="4"/>
    <n v="42.939799999999998"/>
    <n v="2"/>
    <x v="1"/>
  </r>
  <r>
    <n v="2894"/>
    <n v="49"/>
    <x v="0"/>
    <x v="0"/>
    <x v="0"/>
    <s v="Handbag"/>
    <n v="143.66999999999999"/>
    <x v="2"/>
    <s v="Card"/>
    <n v="3.2"/>
    <x v="16"/>
    <n v="135.04979999999998"/>
    <n v="3"/>
    <x v="1"/>
  </r>
  <r>
    <n v="2895"/>
    <n v="65"/>
    <x v="1"/>
    <x v="1"/>
    <x v="3"/>
    <s v="Curtains"/>
    <n v="107.46"/>
    <x v="3"/>
    <s v="Card"/>
    <n v="3.7"/>
    <x v="7"/>
    <n v="96.713999999999999"/>
    <n v="5"/>
    <x v="0"/>
  </r>
  <r>
    <n v="2896"/>
    <n v="55"/>
    <x v="0"/>
    <x v="1"/>
    <x v="2"/>
    <s v="Yoga Mat"/>
    <n v="206.53"/>
    <x v="0"/>
    <s v="Card"/>
    <n v="4.8"/>
    <x v="6"/>
    <n v="173.48519999999999"/>
    <n v="3"/>
    <x v="1"/>
  </r>
  <r>
    <n v="2897"/>
    <n v="59"/>
    <x v="0"/>
    <x v="1"/>
    <x v="5"/>
    <s v="Smart Watch"/>
    <n v="1202.92"/>
    <x v="2"/>
    <s v="Card"/>
    <n v="3.1"/>
    <x v="0"/>
    <n v="986.39440000000013"/>
    <n v="4"/>
    <x v="0"/>
  </r>
  <r>
    <n v="2898"/>
    <n v="56"/>
    <x v="0"/>
    <x v="0"/>
    <x v="6"/>
    <s v="Perfume"/>
    <n v="137.71"/>
    <x v="2"/>
    <s v="Card"/>
    <n v="3.7"/>
    <x v="23"/>
    <n v="128.0703"/>
    <n v="1"/>
    <x v="1"/>
  </r>
  <r>
    <n v="2899"/>
    <n v="40"/>
    <x v="0"/>
    <x v="0"/>
    <x v="7"/>
    <s v="Formal Shoes"/>
    <n v="208.5"/>
    <x v="3"/>
    <s v="Card"/>
    <n v="4.3"/>
    <x v="25"/>
    <n v="145.94999999999999"/>
    <n v="10"/>
    <x v="2"/>
  </r>
  <r>
    <n v="2900"/>
    <n v="48"/>
    <x v="0"/>
    <x v="1"/>
    <x v="1"/>
    <s v="Jacket"/>
    <n v="188.32"/>
    <x v="0"/>
    <s v="Card"/>
    <n v="4.0999999999999996"/>
    <x v="18"/>
    <n v="143.1232"/>
    <n v="12"/>
    <x v="2"/>
  </r>
  <r>
    <n v="2901"/>
    <n v="30"/>
    <x v="2"/>
    <x v="1"/>
    <x v="3"/>
    <s v="Kitchen Set"/>
    <n v="38.31"/>
    <x v="3"/>
    <s v="Card"/>
    <n v="3.2"/>
    <x v="4"/>
    <n v="32.946600000000004"/>
    <n v="7"/>
    <x v="0"/>
  </r>
  <r>
    <n v="2902"/>
    <n v="41"/>
    <x v="0"/>
    <x v="0"/>
    <x v="4"/>
    <s v="Cooking Oil"/>
    <n v="58.38"/>
    <x v="3"/>
    <s v="Cash on Delivery"/>
    <n v="2.2999999999999998"/>
    <x v="7"/>
    <n v="52.542000000000002"/>
    <n v="5"/>
    <x v="0"/>
  </r>
  <r>
    <n v="2903"/>
    <n v="58"/>
    <x v="0"/>
    <x v="1"/>
    <x v="5"/>
    <s v="Headphones"/>
    <n v="824.07"/>
    <x v="1"/>
    <s v="Card"/>
    <n v="3.8"/>
    <x v="7"/>
    <n v="741.66300000000001"/>
    <n v="5"/>
    <x v="0"/>
  </r>
  <r>
    <n v="2904"/>
    <n v="47"/>
    <x v="0"/>
    <x v="0"/>
    <x v="3"/>
    <s v="Curtains"/>
    <n v="123.62"/>
    <x v="0"/>
    <s v="Card"/>
    <n v="3"/>
    <x v="16"/>
    <n v="116.2028"/>
    <n v="3"/>
    <x v="1"/>
  </r>
  <r>
    <n v="2905"/>
    <n v="61"/>
    <x v="1"/>
    <x v="1"/>
    <x v="5"/>
    <s v="Headphones"/>
    <n v="1368.88"/>
    <x v="2"/>
    <s v="Card"/>
    <n v="2.8"/>
    <x v="17"/>
    <n v="1314.1248000000001"/>
    <n v="2"/>
    <x v="1"/>
  </r>
  <r>
    <n v="2906"/>
    <n v="50"/>
    <x v="0"/>
    <x v="1"/>
    <x v="4"/>
    <s v="Cooking Oil"/>
    <n v="58.24"/>
    <x v="1"/>
    <s v="Card"/>
    <n v="3.1"/>
    <x v="6"/>
    <n v="48.921599999999998"/>
    <n v="3"/>
    <x v="1"/>
  </r>
  <r>
    <n v="2907"/>
    <n v="69"/>
    <x v="1"/>
    <x v="1"/>
    <x v="2"/>
    <s v="Dumbbells"/>
    <n v="168.81"/>
    <x v="1"/>
    <s v="Card"/>
    <n v="3.2"/>
    <x v="31"/>
    <n v="108.03840000000001"/>
    <n v="13"/>
    <x v="2"/>
  </r>
  <r>
    <n v="2908"/>
    <n v="48"/>
    <x v="0"/>
    <x v="0"/>
    <x v="8"/>
    <s v="Jeans"/>
    <n v="146.69"/>
    <x v="2"/>
    <s v="Card"/>
    <n v="3.5"/>
    <x v="3"/>
    <n v="117.352"/>
    <n v="5"/>
    <x v="0"/>
  </r>
  <r>
    <n v="2909"/>
    <n v="40"/>
    <x v="0"/>
    <x v="1"/>
    <x v="3"/>
    <s v="Lamp"/>
    <n v="155.94999999999999"/>
    <x v="2"/>
    <s v="Card"/>
    <n v="3.3"/>
    <x v="6"/>
    <n v="130.99799999999999"/>
    <n v="3"/>
    <x v="1"/>
  </r>
  <r>
    <n v="2910"/>
    <n v="29"/>
    <x v="2"/>
    <x v="0"/>
    <x v="3"/>
    <s v="Lamp"/>
    <n v="243.83"/>
    <x v="1"/>
    <s v="Card"/>
    <n v="4.5"/>
    <x v="8"/>
    <n v="214.57040000000001"/>
    <n v="6"/>
    <x v="0"/>
  </r>
  <r>
    <n v="2911"/>
    <n v="67"/>
    <x v="1"/>
    <x v="1"/>
    <x v="5"/>
    <s v="Headphones"/>
    <n v="1908.28"/>
    <x v="1"/>
    <s v="Card"/>
    <n v="4"/>
    <x v="18"/>
    <n v="1450.2927999999999"/>
    <n v="7"/>
    <x v="0"/>
  </r>
  <r>
    <n v="2912"/>
    <n v="70"/>
    <x v="1"/>
    <x v="1"/>
    <x v="7"/>
    <s v="Sandals"/>
    <n v="73.739999999999995"/>
    <x v="3"/>
    <s v="Card"/>
    <n v="3.4"/>
    <x v="3"/>
    <n v="58.991999999999997"/>
    <n v="5"/>
    <x v="0"/>
  </r>
  <r>
    <n v="2913"/>
    <n v="38"/>
    <x v="0"/>
    <x v="0"/>
    <x v="8"/>
    <s v="Skirt"/>
    <n v="74.12"/>
    <x v="3"/>
    <s v="Cash on Delivery"/>
    <n v="4.3"/>
    <x v="0"/>
    <n v="60.778400000000005"/>
    <n v="4"/>
    <x v="0"/>
  </r>
  <r>
    <n v="2914"/>
    <n v="23"/>
    <x v="2"/>
    <x v="0"/>
    <x v="8"/>
    <s v="Top"/>
    <n v="44.28"/>
    <x v="3"/>
    <s v="Cash on Delivery"/>
    <n v="4.9000000000000004"/>
    <x v="19"/>
    <n v="37.637999999999998"/>
    <n v="5"/>
    <x v="0"/>
  </r>
  <r>
    <n v="2915"/>
    <n v="47"/>
    <x v="0"/>
    <x v="1"/>
    <x v="7"/>
    <s v="Formal Shoes"/>
    <n v="174.96"/>
    <x v="0"/>
    <s v="Card"/>
    <n v="5"/>
    <x v="13"/>
    <n v="159.21360000000001"/>
    <n v="2"/>
    <x v="1"/>
  </r>
  <r>
    <n v="2916"/>
    <n v="42"/>
    <x v="0"/>
    <x v="0"/>
    <x v="0"/>
    <s v="Sunglasses"/>
    <n v="137.86000000000001"/>
    <x v="3"/>
    <s v="Card"/>
    <n v="5"/>
    <x v="8"/>
    <n v="121.31680000000001"/>
    <n v="1"/>
    <x v="1"/>
  </r>
  <r>
    <n v="2917"/>
    <n v="69"/>
    <x v="1"/>
    <x v="1"/>
    <x v="1"/>
    <s v="T-Shirt"/>
    <n v="172.24"/>
    <x v="0"/>
    <s v="Card"/>
    <n v="4.3"/>
    <x v="0"/>
    <n v="141.23680000000002"/>
    <n v="9"/>
    <x v="2"/>
  </r>
  <r>
    <n v="2918"/>
    <n v="59"/>
    <x v="0"/>
    <x v="0"/>
    <x v="0"/>
    <s v="Wallet"/>
    <n v="99.13"/>
    <x v="2"/>
    <s v="Card"/>
    <n v="3.5"/>
    <x v="0"/>
    <n v="81.286600000000007"/>
    <n v="4"/>
    <x v="0"/>
  </r>
  <r>
    <n v="2919"/>
    <n v="67"/>
    <x v="1"/>
    <x v="0"/>
    <x v="8"/>
    <s v="Skirt"/>
    <n v="149.36000000000001"/>
    <x v="0"/>
    <s v="Card"/>
    <n v="3.8"/>
    <x v="3"/>
    <n v="119.48800000000001"/>
    <n v="10"/>
    <x v="2"/>
  </r>
  <r>
    <n v="2920"/>
    <n v="47"/>
    <x v="0"/>
    <x v="0"/>
    <x v="7"/>
    <s v="Formal Shoes"/>
    <n v="58.36"/>
    <x v="0"/>
    <s v="Cash on Delivery"/>
    <n v="3.1"/>
    <x v="6"/>
    <n v="49.022399999999998"/>
    <n v="3"/>
    <x v="1"/>
  </r>
  <r>
    <n v="2921"/>
    <n v="40"/>
    <x v="0"/>
    <x v="1"/>
    <x v="2"/>
    <s v="Yoga Mat"/>
    <n v="108.91"/>
    <x v="1"/>
    <s v="Card"/>
    <n v="3.6"/>
    <x v="8"/>
    <n v="95.840800000000002"/>
    <n v="6"/>
    <x v="0"/>
  </r>
  <r>
    <n v="2922"/>
    <n v="42"/>
    <x v="0"/>
    <x v="1"/>
    <x v="2"/>
    <s v="Dumbbells"/>
    <n v="74.2"/>
    <x v="1"/>
    <s v="Card"/>
    <n v="2.7"/>
    <x v="5"/>
    <n v="68.26400000000001"/>
    <n v="4"/>
    <x v="0"/>
  </r>
  <r>
    <n v="2923"/>
    <n v="63"/>
    <x v="1"/>
    <x v="0"/>
    <x v="4"/>
    <s v="Snacks"/>
    <n v="35.58"/>
    <x v="0"/>
    <s v="Card"/>
    <n v="2.9"/>
    <x v="12"/>
    <n v="28.819800000000001"/>
    <n v="7"/>
    <x v="0"/>
  </r>
  <r>
    <n v="2924"/>
    <n v="45"/>
    <x v="0"/>
    <x v="1"/>
    <x v="2"/>
    <s v="Dumbbells"/>
    <n v="56.1"/>
    <x v="2"/>
    <s v="Card"/>
    <n v="3.4"/>
    <x v="19"/>
    <n v="47.685000000000002"/>
    <n v="5"/>
    <x v="0"/>
  </r>
  <r>
    <n v="2925"/>
    <n v="51"/>
    <x v="0"/>
    <x v="1"/>
    <x v="7"/>
    <s v="Formal Shoes"/>
    <n v="67.650000000000006"/>
    <x v="2"/>
    <s v="Card"/>
    <n v="4.3"/>
    <x v="1"/>
    <n v="58.855500000000006"/>
    <n v="4"/>
    <x v="0"/>
  </r>
  <r>
    <n v="2926"/>
    <n v="66"/>
    <x v="1"/>
    <x v="1"/>
    <x v="5"/>
    <s v="Mobile Phone"/>
    <n v="2242.8000000000002"/>
    <x v="1"/>
    <s v="Card"/>
    <n v="4.4000000000000004"/>
    <x v="8"/>
    <n v="1973.6640000000002"/>
    <n v="1"/>
    <x v="1"/>
  </r>
  <r>
    <n v="2927"/>
    <n v="25"/>
    <x v="2"/>
    <x v="1"/>
    <x v="1"/>
    <s v="Jeans"/>
    <n v="135.66999999999999"/>
    <x v="1"/>
    <s v="Card"/>
    <n v="4.5"/>
    <x v="5"/>
    <n v="124.81639999999999"/>
    <n v="4"/>
    <x v="0"/>
  </r>
  <r>
    <n v="2928"/>
    <n v="55"/>
    <x v="0"/>
    <x v="1"/>
    <x v="2"/>
    <s v="Football"/>
    <n v="96.63"/>
    <x v="2"/>
    <s v="Card"/>
    <n v="3.9"/>
    <x v="16"/>
    <n v="90.832199999999986"/>
    <n v="3"/>
    <x v="1"/>
  </r>
  <r>
    <n v="2929"/>
    <n v="41"/>
    <x v="0"/>
    <x v="0"/>
    <x v="6"/>
    <s v="Perfume"/>
    <n v="34.42"/>
    <x v="1"/>
    <s v="Cash on Delivery"/>
    <n v="4.3"/>
    <x v="11"/>
    <n v="25.470800000000001"/>
    <n v="8"/>
    <x v="2"/>
  </r>
  <r>
    <n v="2930"/>
    <n v="64"/>
    <x v="1"/>
    <x v="0"/>
    <x v="0"/>
    <s v="Wallet"/>
    <n v="108.39"/>
    <x v="2"/>
    <s v="Card"/>
    <n v="3.3"/>
    <x v="7"/>
    <n v="97.551000000000002"/>
    <n v="5"/>
    <x v="0"/>
  </r>
  <r>
    <n v="2931"/>
    <n v="67"/>
    <x v="1"/>
    <x v="1"/>
    <x v="7"/>
    <s v="Sandals"/>
    <n v="96.2"/>
    <x v="1"/>
    <s v="Card"/>
    <n v="3.1"/>
    <x v="26"/>
    <n v="91.39"/>
    <n v="0"/>
    <x v="1"/>
  </r>
  <r>
    <n v="2932"/>
    <n v="23"/>
    <x v="2"/>
    <x v="0"/>
    <x v="6"/>
    <s v="Skincare Kit"/>
    <n v="50.94"/>
    <x v="0"/>
    <s v="Cash on Delivery"/>
    <n v="1.9"/>
    <x v="4"/>
    <n v="43.808399999999999"/>
    <n v="2"/>
    <x v="1"/>
  </r>
  <r>
    <n v="2933"/>
    <n v="49"/>
    <x v="0"/>
    <x v="1"/>
    <x v="7"/>
    <s v="Sneakers"/>
    <n v="122.8"/>
    <x v="1"/>
    <s v="Card"/>
    <n v="2.8"/>
    <x v="21"/>
    <n v="97.012"/>
    <n v="8"/>
    <x v="2"/>
  </r>
  <r>
    <n v="2934"/>
    <n v="53"/>
    <x v="0"/>
    <x v="1"/>
    <x v="1"/>
    <s v="Jacket"/>
    <n v="198.47"/>
    <x v="1"/>
    <s v="Card"/>
    <n v="3.4"/>
    <x v="13"/>
    <n v="180.60769999999999"/>
    <n v="2"/>
    <x v="1"/>
  </r>
  <r>
    <n v="2935"/>
    <n v="58"/>
    <x v="0"/>
    <x v="1"/>
    <x v="5"/>
    <s v="Headphones"/>
    <n v="1495.44"/>
    <x v="0"/>
    <s v="Card"/>
    <n v="3.8"/>
    <x v="16"/>
    <n v="1405.7136"/>
    <n v="3"/>
    <x v="1"/>
  </r>
  <r>
    <n v="2936"/>
    <n v="37"/>
    <x v="0"/>
    <x v="0"/>
    <x v="6"/>
    <s v="Perfume"/>
    <n v="91.16"/>
    <x v="0"/>
    <s v="Cash on Delivery"/>
    <n v="4.5"/>
    <x v="8"/>
    <n v="80.220799999999997"/>
    <n v="6"/>
    <x v="0"/>
  </r>
  <r>
    <n v="2937"/>
    <n v="64"/>
    <x v="1"/>
    <x v="1"/>
    <x v="3"/>
    <s v="Kitchen Set"/>
    <n v="145.24"/>
    <x v="1"/>
    <s v="Card"/>
    <n v="3.4"/>
    <x v="12"/>
    <n v="117.64440000000002"/>
    <n v="7"/>
    <x v="0"/>
  </r>
  <r>
    <n v="2938"/>
    <n v="21"/>
    <x v="2"/>
    <x v="0"/>
    <x v="6"/>
    <s v="Makeup Set"/>
    <n v="31.76"/>
    <x v="0"/>
    <s v="Cash on Delivery"/>
    <n v="4.0999999999999996"/>
    <x v="12"/>
    <n v="25.725600000000004"/>
    <n v="7"/>
    <x v="0"/>
  </r>
  <r>
    <n v="2939"/>
    <n v="50"/>
    <x v="0"/>
    <x v="1"/>
    <x v="5"/>
    <s v="Mobile Phone"/>
    <n v="1363.84"/>
    <x v="0"/>
    <s v="Card"/>
    <n v="4.2"/>
    <x v="3"/>
    <n v="1091.0719999999999"/>
    <n v="10"/>
    <x v="2"/>
  </r>
  <r>
    <n v="2940"/>
    <n v="27"/>
    <x v="2"/>
    <x v="0"/>
    <x v="8"/>
    <s v="Top"/>
    <n v="49.97"/>
    <x v="0"/>
    <s v="Cash on Delivery"/>
    <n v="3.7"/>
    <x v="1"/>
    <n v="43.4739"/>
    <n v="4"/>
    <x v="0"/>
  </r>
  <r>
    <n v="2941"/>
    <n v="22"/>
    <x v="2"/>
    <x v="1"/>
    <x v="5"/>
    <s v="Mobile Phone"/>
    <n v="1428.39"/>
    <x v="3"/>
    <s v="Card"/>
    <n v="3.6"/>
    <x v="18"/>
    <n v="1085.5764000000001"/>
    <n v="7"/>
    <x v="0"/>
  </r>
  <r>
    <n v="2942"/>
    <n v="63"/>
    <x v="1"/>
    <x v="1"/>
    <x v="3"/>
    <s v="Curtains"/>
    <n v="208.41"/>
    <x v="0"/>
    <s v="Card"/>
    <n v="4.2"/>
    <x v="25"/>
    <n v="145.887"/>
    <n v="10"/>
    <x v="2"/>
  </r>
  <r>
    <n v="2943"/>
    <n v="28"/>
    <x v="2"/>
    <x v="0"/>
    <x v="7"/>
    <s v="Sneakers"/>
    <n v="220.01"/>
    <x v="1"/>
    <s v="Card"/>
    <n v="2.7"/>
    <x v="19"/>
    <n v="187.0085"/>
    <n v="5"/>
    <x v="0"/>
  </r>
  <r>
    <n v="2944"/>
    <n v="48"/>
    <x v="0"/>
    <x v="1"/>
    <x v="5"/>
    <s v="Mobile Phone"/>
    <n v="1710.27"/>
    <x v="2"/>
    <s v="Card"/>
    <n v="3.9"/>
    <x v="2"/>
    <n v="1522.1403"/>
    <n v="3"/>
    <x v="1"/>
  </r>
  <r>
    <n v="2945"/>
    <n v="31"/>
    <x v="0"/>
    <x v="1"/>
    <x v="2"/>
    <s v="Yoga Mat"/>
    <n v="234.56"/>
    <x v="2"/>
    <s v="Card"/>
    <n v="4.3"/>
    <x v="0"/>
    <n v="192.33920000000001"/>
    <n v="4"/>
    <x v="0"/>
  </r>
  <r>
    <n v="2946"/>
    <n v="29"/>
    <x v="2"/>
    <x v="0"/>
    <x v="7"/>
    <s v="Formal Shoes"/>
    <n v="146.87"/>
    <x v="0"/>
    <s v="Card"/>
    <n v="3.4"/>
    <x v="16"/>
    <n v="138.05779999999999"/>
    <n v="3"/>
    <x v="1"/>
  </r>
  <r>
    <n v="2947"/>
    <n v="62"/>
    <x v="1"/>
    <x v="0"/>
    <x v="0"/>
    <s v="Handbag"/>
    <n v="20.66"/>
    <x v="1"/>
    <s v="Card"/>
    <n v="4.7"/>
    <x v="7"/>
    <n v="18.594000000000001"/>
    <n v="5"/>
    <x v="0"/>
  </r>
  <r>
    <n v="2948"/>
    <n v="37"/>
    <x v="0"/>
    <x v="0"/>
    <x v="6"/>
    <s v="Perfume"/>
    <n v="97.9"/>
    <x v="0"/>
    <s v="Card"/>
    <n v="4.2"/>
    <x v="4"/>
    <n v="84.194000000000003"/>
    <n v="7"/>
    <x v="0"/>
  </r>
  <r>
    <n v="2949"/>
    <n v="51"/>
    <x v="0"/>
    <x v="1"/>
    <x v="5"/>
    <s v="Mobile Phone"/>
    <n v="1172.28"/>
    <x v="2"/>
    <s v="Card"/>
    <n v="4.0999999999999996"/>
    <x v="16"/>
    <n v="1101.9431999999999"/>
    <n v="3"/>
    <x v="1"/>
  </r>
  <r>
    <n v="2950"/>
    <n v="52"/>
    <x v="0"/>
    <x v="0"/>
    <x v="0"/>
    <s v="Wallet"/>
    <n v="48.23"/>
    <x v="3"/>
    <s v="Card"/>
    <n v="3.4"/>
    <x v="17"/>
    <n v="46.300799999999995"/>
    <n v="2"/>
    <x v="1"/>
  </r>
  <r>
    <n v="2951"/>
    <n v="53"/>
    <x v="0"/>
    <x v="0"/>
    <x v="0"/>
    <s v="Wallet"/>
    <n v="60.58"/>
    <x v="3"/>
    <s v="Card"/>
    <n v="4.5999999999999996"/>
    <x v="2"/>
    <n v="53.916199999999996"/>
    <n v="3"/>
    <x v="1"/>
  </r>
  <r>
    <n v="2952"/>
    <n v="67"/>
    <x v="1"/>
    <x v="0"/>
    <x v="8"/>
    <s v="Dress"/>
    <n v="153.51"/>
    <x v="2"/>
    <s v="Card"/>
    <n v="4"/>
    <x v="5"/>
    <n v="141.22919999999999"/>
    <n v="4"/>
    <x v="0"/>
  </r>
  <r>
    <n v="2953"/>
    <n v="70"/>
    <x v="1"/>
    <x v="0"/>
    <x v="7"/>
    <s v="Sneakers"/>
    <n v="116.7"/>
    <x v="1"/>
    <s v="Card"/>
    <n v="4.5999999999999996"/>
    <x v="0"/>
    <n v="95.694000000000003"/>
    <n v="4"/>
    <x v="0"/>
  </r>
  <r>
    <n v="2954"/>
    <n v="37"/>
    <x v="0"/>
    <x v="1"/>
    <x v="2"/>
    <s v="Yoga Mat"/>
    <n v="41.88"/>
    <x v="3"/>
    <s v="Cash on Delivery"/>
    <n v="3.6"/>
    <x v="19"/>
    <n v="35.597999999999999"/>
    <n v="5"/>
    <x v="0"/>
  </r>
  <r>
    <n v="2955"/>
    <n v="44"/>
    <x v="0"/>
    <x v="0"/>
    <x v="4"/>
    <s v="Rice Pack"/>
    <n v="43.31"/>
    <x v="0"/>
    <s v="Cash on Delivery"/>
    <n v="3.9"/>
    <x v="3"/>
    <n v="34.648000000000003"/>
    <n v="10"/>
    <x v="2"/>
  </r>
  <r>
    <n v="2956"/>
    <n v="57"/>
    <x v="0"/>
    <x v="0"/>
    <x v="8"/>
    <s v="Dress"/>
    <n v="186.86"/>
    <x v="0"/>
    <s v="Card"/>
    <n v="2.9"/>
    <x v="13"/>
    <n v="170.04260000000002"/>
    <n v="2"/>
    <x v="1"/>
  </r>
  <r>
    <n v="2957"/>
    <n v="61"/>
    <x v="1"/>
    <x v="1"/>
    <x v="3"/>
    <s v="Curtains"/>
    <n v="151.26"/>
    <x v="2"/>
    <s v="Card"/>
    <n v="4.4000000000000004"/>
    <x v="2"/>
    <n v="134.62139999999999"/>
    <n v="3"/>
    <x v="1"/>
  </r>
  <r>
    <n v="2958"/>
    <n v="66"/>
    <x v="1"/>
    <x v="0"/>
    <x v="6"/>
    <s v="Perfume"/>
    <n v="130.44999999999999"/>
    <x v="0"/>
    <s v="Card"/>
    <n v="3.5"/>
    <x v="4"/>
    <n v="112.18699999999998"/>
    <n v="7"/>
    <x v="0"/>
  </r>
  <r>
    <n v="2959"/>
    <n v="28"/>
    <x v="2"/>
    <x v="1"/>
    <x v="1"/>
    <s v="Jacket"/>
    <n v="172.56"/>
    <x v="2"/>
    <s v="Card"/>
    <n v="4.2"/>
    <x v="3"/>
    <n v="138.048"/>
    <n v="5"/>
    <x v="0"/>
  </r>
  <r>
    <n v="2960"/>
    <n v="44"/>
    <x v="0"/>
    <x v="0"/>
    <x v="4"/>
    <s v="Rice Pack"/>
    <n v="65.95"/>
    <x v="1"/>
    <s v="Cash on Delivery"/>
    <n v="2.7"/>
    <x v="7"/>
    <n v="59.355000000000004"/>
    <n v="5"/>
    <x v="0"/>
  </r>
  <r>
    <n v="2961"/>
    <n v="61"/>
    <x v="1"/>
    <x v="0"/>
    <x v="8"/>
    <s v="Dress"/>
    <n v="87.4"/>
    <x v="3"/>
    <s v="Cash on Delivery"/>
    <n v="3"/>
    <x v="3"/>
    <n v="69.92"/>
    <n v="5"/>
    <x v="0"/>
  </r>
  <r>
    <n v="2962"/>
    <n v="38"/>
    <x v="0"/>
    <x v="1"/>
    <x v="1"/>
    <s v="Shirt"/>
    <n v="186.66"/>
    <x v="3"/>
    <s v="Card"/>
    <n v="4.5999999999999996"/>
    <x v="6"/>
    <n v="156.7944"/>
    <n v="3"/>
    <x v="1"/>
  </r>
  <r>
    <n v="2963"/>
    <n v="40"/>
    <x v="0"/>
    <x v="0"/>
    <x v="0"/>
    <s v="Handbag"/>
    <n v="41.27"/>
    <x v="2"/>
    <s v="Card"/>
    <n v="3.4"/>
    <x v="17"/>
    <n v="39.619199999999999"/>
    <n v="2"/>
    <x v="1"/>
  </r>
  <r>
    <n v="2964"/>
    <n v="36"/>
    <x v="0"/>
    <x v="0"/>
    <x v="6"/>
    <s v="Perfume"/>
    <n v="131.26"/>
    <x v="2"/>
    <s v="Card"/>
    <n v="2.9"/>
    <x v="6"/>
    <n v="110.25839999999999"/>
    <n v="3"/>
    <x v="1"/>
  </r>
  <r>
    <n v="2965"/>
    <n v="68"/>
    <x v="1"/>
    <x v="0"/>
    <x v="6"/>
    <s v="Makeup Set"/>
    <n v="57.54"/>
    <x v="0"/>
    <s v="Card"/>
    <n v="4"/>
    <x v="10"/>
    <n v="44.8812"/>
    <n v="6"/>
    <x v="0"/>
  </r>
  <r>
    <n v="2966"/>
    <n v="59"/>
    <x v="0"/>
    <x v="1"/>
    <x v="2"/>
    <s v="Dumbbells"/>
    <n v="51.46"/>
    <x v="3"/>
    <s v="Card"/>
    <n v="4.4000000000000004"/>
    <x v="2"/>
    <n v="45.799399999999999"/>
    <n v="3"/>
    <x v="1"/>
  </r>
  <r>
    <n v="2967"/>
    <n v="34"/>
    <x v="0"/>
    <x v="1"/>
    <x v="2"/>
    <s v="Football"/>
    <n v="73.63"/>
    <x v="1"/>
    <s v="Cash on Delivery"/>
    <n v="4.5"/>
    <x v="30"/>
    <n v="48.59579999999999"/>
    <n v="12"/>
    <x v="2"/>
  </r>
  <r>
    <n v="2968"/>
    <n v="40"/>
    <x v="0"/>
    <x v="0"/>
    <x v="7"/>
    <s v="Sandals"/>
    <n v="169.28"/>
    <x v="1"/>
    <s v="Card"/>
    <n v="4.7"/>
    <x v="2"/>
    <n v="150.6592"/>
    <n v="3"/>
    <x v="1"/>
  </r>
  <r>
    <n v="2969"/>
    <n v="67"/>
    <x v="1"/>
    <x v="1"/>
    <x v="1"/>
    <s v="Jeans"/>
    <n v="168.33"/>
    <x v="0"/>
    <s v="Card"/>
    <n v="3.3"/>
    <x v="3"/>
    <n v="134.66400000000002"/>
    <n v="5"/>
    <x v="0"/>
  </r>
  <r>
    <n v="2970"/>
    <n v="63"/>
    <x v="1"/>
    <x v="0"/>
    <x v="0"/>
    <s v="Handbag"/>
    <n v="45.25"/>
    <x v="3"/>
    <s v="Cash on Delivery"/>
    <n v="4.4000000000000004"/>
    <x v="1"/>
    <n v="39.3675"/>
    <n v="4"/>
    <x v="0"/>
  </r>
  <r>
    <n v="2971"/>
    <n v="39"/>
    <x v="0"/>
    <x v="1"/>
    <x v="7"/>
    <s v="Sneakers"/>
    <n v="213.65"/>
    <x v="1"/>
    <s v="Card"/>
    <n v="3.3"/>
    <x v="5"/>
    <n v="196.55800000000002"/>
    <n v="4"/>
    <x v="0"/>
  </r>
  <r>
    <n v="2972"/>
    <n v="55"/>
    <x v="0"/>
    <x v="0"/>
    <x v="0"/>
    <s v="Sunglasses"/>
    <n v="33.590000000000003"/>
    <x v="3"/>
    <s v="Card"/>
    <n v="3.1"/>
    <x v="3"/>
    <n v="26.872000000000003"/>
    <n v="5"/>
    <x v="0"/>
  </r>
  <r>
    <n v="2973"/>
    <n v="27"/>
    <x v="2"/>
    <x v="1"/>
    <x v="1"/>
    <s v="Jacket"/>
    <n v="163.62"/>
    <x v="2"/>
    <s v="Card"/>
    <n v="4.0999999999999996"/>
    <x v="7"/>
    <n v="147.25800000000001"/>
    <n v="5"/>
    <x v="0"/>
  </r>
  <r>
    <n v="2974"/>
    <n v="49"/>
    <x v="0"/>
    <x v="0"/>
    <x v="6"/>
    <s v="Makeup Set"/>
    <n v="56.06"/>
    <x v="2"/>
    <s v="Card"/>
    <n v="2.8"/>
    <x v="0"/>
    <n v="45.969200000000008"/>
    <n v="4"/>
    <x v="0"/>
  </r>
  <r>
    <n v="2975"/>
    <n v="54"/>
    <x v="0"/>
    <x v="0"/>
    <x v="8"/>
    <s v="Top"/>
    <n v="131.24"/>
    <x v="2"/>
    <s v="Card"/>
    <n v="3.5"/>
    <x v="18"/>
    <n v="99.742400000000004"/>
    <n v="7"/>
    <x v="0"/>
  </r>
  <r>
    <n v="2976"/>
    <n v="64"/>
    <x v="1"/>
    <x v="1"/>
    <x v="2"/>
    <s v="Yoga Mat"/>
    <n v="118.46"/>
    <x v="0"/>
    <s v="Card"/>
    <n v="2.9"/>
    <x v="1"/>
    <n v="103.06019999999999"/>
    <n v="4"/>
    <x v="0"/>
  </r>
  <r>
    <n v="2977"/>
    <n v="24"/>
    <x v="2"/>
    <x v="1"/>
    <x v="2"/>
    <s v="Yoga Mat"/>
    <n v="153.78"/>
    <x v="0"/>
    <s v="Card"/>
    <n v="3.5"/>
    <x v="18"/>
    <n v="116.8728"/>
    <n v="7"/>
    <x v="0"/>
  </r>
  <r>
    <n v="2978"/>
    <n v="58"/>
    <x v="0"/>
    <x v="1"/>
    <x v="5"/>
    <s v="Headphones"/>
    <n v="2236.23"/>
    <x v="1"/>
    <s v="Card"/>
    <n v="3.1"/>
    <x v="10"/>
    <n v="1744.2594000000001"/>
    <n v="6"/>
    <x v="0"/>
  </r>
  <r>
    <n v="2979"/>
    <n v="33"/>
    <x v="0"/>
    <x v="0"/>
    <x v="7"/>
    <s v="Sandals"/>
    <n v="64.489999999999995"/>
    <x v="3"/>
    <s v="Cash on Delivery"/>
    <n v="4.2"/>
    <x v="15"/>
    <n v="63.200199999999995"/>
    <n v="1"/>
    <x v="1"/>
  </r>
  <r>
    <n v="2980"/>
    <n v="66"/>
    <x v="1"/>
    <x v="0"/>
    <x v="7"/>
    <s v="Sandals"/>
    <n v="228.23"/>
    <x v="2"/>
    <s v="Card"/>
    <n v="3.3"/>
    <x v="11"/>
    <n v="168.89019999999999"/>
    <n v="8"/>
    <x v="2"/>
  </r>
  <r>
    <n v="2981"/>
    <n v="50"/>
    <x v="0"/>
    <x v="0"/>
    <x v="0"/>
    <s v="Handbag"/>
    <n v="30.91"/>
    <x v="3"/>
    <s v="Card"/>
    <n v="3.9"/>
    <x v="11"/>
    <n v="22.8734"/>
    <n v="8"/>
    <x v="2"/>
  </r>
  <r>
    <n v="2982"/>
    <n v="39"/>
    <x v="0"/>
    <x v="0"/>
    <x v="7"/>
    <s v="Formal Shoes"/>
    <n v="113.51"/>
    <x v="1"/>
    <s v="Card"/>
    <n v="3.4"/>
    <x v="5"/>
    <n v="104.42920000000001"/>
    <n v="4"/>
    <x v="0"/>
  </r>
  <r>
    <n v="2983"/>
    <n v="43"/>
    <x v="0"/>
    <x v="1"/>
    <x v="1"/>
    <s v="Jeans"/>
    <n v="144.69999999999999"/>
    <x v="2"/>
    <s v="Card"/>
    <n v="5"/>
    <x v="6"/>
    <n v="121.54799999999999"/>
    <n v="3"/>
    <x v="1"/>
  </r>
  <r>
    <n v="2984"/>
    <n v="64"/>
    <x v="1"/>
    <x v="1"/>
    <x v="7"/>
    <s v="Sneakers"/>
    <n v="52.88"/>
    <x v="2"/>
    <s v="Card"/>
    <n v="3.1"/>
    <x v="16"/>
    <n v="49.7072"/>
    <n v="3"/>
    <x v="1"/>
  </r>
  <r>
    <n v="2985"/>
    <n v="47"/>
    <x v="0"/>
    <x v="0"/>
    <x v="7"/>
    <s v="Sneakers"/>
    <n v="68.52"/>
    <x v="0"/>
    <s v="Cash on Delivery"/>
    <n v="3.4"/>
    <x v="21"/>
    <n v="54.130800000000001"/>
    <n v="8"/>
    <x v="2"/>
  </r>
  <r>
    <n v="2986"/>
    <n v="26"/>
    <x v="2"/>
    <x v="1"/>
    <x v="4"/>
    <s v="Cooking Oil"/>
    <n v="48.19"/>
    <x v="1"/>
    <s v="Cash on Delivery"/>
    <n v="3.5"/>
    <x v="8"/>
    <n v="42.407199999999996"/>
    <n v="6"/>
    <x v="0"/>
  </r>
  <r>
    <n v="2987"/>
    <n v="60"/>
    <x v="0"/>
    <x v="1"/>
    <x v="1"/>
    <s v="T-Shirt"/>
    <n v="33.909999999999997"/>
    <x v="2"/>
    <s v="Card"/>
    <n v="4.5999999999999996"/>
    <x v="11"/>
    <n v="25.093399999999995"/>
    <n v="8"/>
    <x v="2"/>
  </r>
  <r>
    <n v="2988"/>
    <n v="35"/>
    <x v="0"/>
    <x v="0"/>
    <x v="8"/>
    <s v="Jeans"/>
    <n v="59.43"/>
    <x v="0"/>
    <s v="Cash on Delivery"/>
    <n v="2.9"/>
    <x v="7"/>
    <n v="53.487000000000002"/>
    <n v="5"/>
    <x v="0"/>
  </r>
  <r>
    <n v="2989"/>
    <n v="32"/>
    <x v="0"/>
    <x v="0"/>
    <x v="0"/>
    <s v="Sunglasses"/>
    <n v="65.63"/>
    <x v="2"/>
    <s v="Card"/>
    <n v="3.7"/>
    <x v="19"/>
    <n v="55.785499999999992"/>
    <n v="5"/>
    <x v="0"/>
  </r>
  <r>
    <n v="2990"/>
    <n v="33"/>
    <x v="0"/>
    <x v="0"/>
    <x v="8"/>
    <s v="Dress"/>
    <n v="57.6"/>
    <x v="2"/>
    <s v="Card"/>
    <n v="3.6"/>
    <x v="16"/>
    <n v="54.143999999999998"/>
    <n v="3"/>
    <x v="1"/>
  </r>
  <r>
    <n v="2991"/>
    <n v="36"/>
    <x v="0"/>
    <x v="0"/>
    <x v="0"/>
    <s v="Handbag"/>
    <n v="128.58000000000001"/>
    <x v="0"/>
    <s v="Card"/>
    <n v="3.6"/>
    <x v="5"/>
    <n v="118.29360000000001"/>
    <n v="4"/>
    <x v="0"/>
  </r>
  <r>
    <n v="2992"/>
    <n v="31"/>
    <x v="0"/>
    <x v="1"/>
    <x v="7"/>
    <s v="Sandals"/>
    <n v="162.09"/>
    <x v="0"/>
    <s v="Card"/>
    <n v="4.0999999999999996"/>
    <x v="8"/>
    <n v="142.63920000000002"/>
    <n v="6"/>
    <x v="0"/>
  </r>
  <r>
    <n v="2993"/>
    <n v="38"/>
    <x v="0"/>
    <x v="0"/>
    <x v="0"/>
    <s v="Sunglasses"/>
    <n v="43.25"/>
    <x v="2"/>
    <s v="Card"/>
    <n v="5"/>
    <x v="7"/>
    <n v="38.925000000000004"/>
    <n v="5"/>
    <x v="0"/>
  </r>
  <r>
    <n v="2994"/>
    <n v="42"/>
    <x v="0"/>
    <x v="0"/>
    <x v="8"/>
    <s v="Top"/>
    <n v="181.64"/>
    <x v="0"/>
    <s v="Card"/>
    <n v="2.8"/>
    <x v="11"/>
    <n v="134.4136"/>
    <n v="8"/>
    <x v="2"/>
  </r>
  <r>
    <n v="2995"/>
    <n v="48"/>
    <x v="0"/>
    <x v="1"/>
    <x v="5"/>
    <s v="Headphones"/>
    <n v="1720.89"/>
    <x v="1"/>
    <s v="Card"/>
    <n v="3.5"/>
    <x v="6"/>
    <n v="1445.5476000000001"/>
    <n v="3"/>
    <x v="1"/>
  </r>
  <r>
    <n v="2996"/>
    <n v="53"/>
    <x v="0"/>
    <x v="1"/>
    <x v="2"/>
    <s v="Football"/>
    <n v="239.85"/>
    <x v="2"/>
    <s v="Card"/>
    <n v="4.0999999999999996"/>
    <x v="14"/>
    <n v="199.07549999999998"/>
    <n v="6"/>
    <x v="0"/>
  </r>
  <r>
    <n v="2997"/>
    <n v="26"/>
    <x v="2"/>
    <x v="0"/>
    <x v="6"/>
    <s v="Skincare Kit"/>
    <n v="66.38"/>
    <x v="1"/>
    <s v="Cash on Delivery"/>
    <n v="3.8"/>
    <x v="7"/>
    <n v="59.741999999999997"/>
    <n v="5"/>
    <x v="0"/>
  </r>
  <r>
    <n v="2998"/>
    <n v="22"/>
    <x v="2"/>
    <x v="0"/>
    <x v="6"/>
    <s v="Skincare Kit"/>
    <n v="47.67"/>
    <x v="2"/>
    <s v="Cash on Delivery"/>
    <n v="3"/>
    <x v="19"/>
    <n v="40.519500000000001"/>
    <n v="5"/>
    <x v="0"/>
  </r>
  <r>
    <n v="2999"/>
    <n v="52"/>
    <x v="0"/>
    <x v="1"/>
    <x v="7"/>
    <s v="Formal Shoes"/>
    <n v="156.88"/>
    <x v="0"/>
    <s v="Card"/>
    <n v="3.5"/>
    <x v="19"/>
    <n v="133.34799999999998"/>
    <n v="5"/>
    <x v="0"/>
  </r>
  <r>
    <n v="3000"/>
    <n v="37"/>
    <x v="0"/>
    <x v="0"/>
    <x v="7"/>
    <s v="Sneakers"/>
    <n v="176.28"/>
    <x v="1"/>
    <s v="Card"/>
    <n v="4.7"/>
    <x v="3"/>
    <n v="141.024"/>
    <n v="5"/>
    <x v="0"/>
  </r>
  <r>
    <n v="3001"/>
    <n v="35"/>
    <x v="0"/>
    <x v="0"/>
    <x v="6"/>
    <s v="Skincare Kit"/>
    <n v="46.97"/>
    <x v="0"/>
    <s v="Card"/>
    <n v="4.2"/>
    <x v="8"/>
    <n v="41.333599999999997"/>
    <n v="6"/>
    <x v="0"/>
  </r>
  <r>
    <n v="3002"/>
    <n v="69"/>
    <x v="1"/>
    <x v="1"/>
    <x v="5"/>
    <s v="Laptop"/>
    <n v="1404.38"/>
    <x v="2"/>
    <s v="Card"/>
    <n v="2.5"/>
    <x v="1"/>
    <n v="1221.8106"/>
    <n v="4"/>
    <x v="0"/>
  </r>
  <r>
    <n v="3003"/>
    <n v="59"/>
    <x v="0"/>
    <x v="0"/>
    <x v="7"/>
    <s v="Formal Shoes"/>
    <n v="112.23"/>
    <x v="1"/>
    <s v="Card"/>
    <n v="3.6"/>
    <x v="7"/>
    <n v="101.00700000000001"/>
    <n v="5"/>
    <x v="0"/>
  </r>
  <r>
    <n v="3004"/>
    <n v="44"/>
    <x v="0"/>
    <x v="0"/>
    <x v="0"/>
    <s v="Wallet"/>
    <n v="124.3"/>
    <x v="1"/>
    <s v="Card"/>
    <n v="3.7"/>
    <x v="21"/>
    <n v="98.197000000000003"/>
    <n v="8"/>
    <x v="2"/>
  </r>
  <r>
    <n v="3005"/>
    <n v="37"/>
    <x v="0"/>
    <x v="1"/>
    <x v="2"/>
    <s v="Yoga Mat"/>
    <n v="145.11000000000001"/>
    <x v="1"/>
    <s v="Card"/>
    <n v="2.4"/>
    <x v="3"/>
    <n v="116.08800000000002"/>
    <n v="5"/>
    <x v="0"/>
  </r>
  <r>
    <n v="3006"/>
    <n v="63"/>
    <x v="1"/>
    <x v="1"/>
    <x v="7"/>
    <s v="Sneakers"/>
    <n v="214.22"/>
    <x v="0"/>
    <s v="Card"/>
    <n v="3.3"/>
    <x v="12"/>
    <n v="173.51820000000001"/>
    <n v="7"/>
    <x v="0"/>
  </r>
  <r>
    <n v="3007"/>
    <n v="42"/>
    <x v="0"/>
    <x v="0"/>
    <x v="6"/>
    <s v="Makeup Set"/>
    <n v="24.73"/>
    <x v="1"/>
    <s v="Card"/>
    <n v="3.6"/>
    <x v="19"/>
    <n v="21.020499999999998"/>
    <n v="5"/>
    <x v="0"/>
  </r>
  <r>
    <n v="3008"/>
    <n v="38"/>
    <x v="0"/>
    <x v="1"/>
    <x v="2"/>
    <s v="Yoga Mat"/>
    <n v="158.99"/>
    <x v="2"/>
    <s v="Card"/>
    <n v="3.4"/>
    <x v="1"/>
    <n v="138.32130000000001"/>
    <n v="4"/>
    <x v="0"/>
  </r>
  <r>
    <n v="3009"/>
    <n v="46"/>
    <x v="0"/>
    <x v="0"/>
    <x v="2"/>
    <s v="Yoga Mat"/>
    <n v="234.34"/>
    <x v="1"/>
    <s v="Card"/>
    <n v="3.4"/>
    <x v="16"/>
    <n v="220.27959999999999"/>
    <n v="3"/>
    <x v="1"/>
  </r>
  <r>
    <n v="3010"/>
    <n v="42"/>
    <x v="0"/>
    <x v="0"/>
    <x v="8"/>
    <s v="Jeans"/>
    <n v="31.48"/>
    <x v="2"/>
    <s v="Cash on Delivery"/>
    <n v="3.1"/>
    <x v="7"/>
    <n v="28.332000000000001"/>
    <n v="5"/>
    <x v="0"/>
  </r>
  <r>
    <n v="3011"/>
    <n v="23"/>
    <x v="2"/>
    <x v="0"/>
    <x v="8"/>
    <s v="Jeans"/>
    <n v="134.30000000000001"/>
    <x v="0"/>
    <s v="Card"/>
    <n v="3.9"/>
    <x v="10"/>
    <n v="104.75400000000002"/>
    <n v="6"/>
    <x v="0"/>
  </r>
  <r>
    <n v="3012"/>
    <n v="48"/>
    <x v="0"/>
    <x v="1"/>
    <x v="1"/>
    <s v="Jacket"/>
    <n v="51.38"/>
    <x v="2"/>
    <s v="Card"/>
    <n v="5"/>
    <x v="15"/>
    <n v="50.352400000000003"/>
    <n v="1"/>
    <x v="1"/>
  </r>
  <r>
    <n v="3013"/>
    <n v="51"/>
    <x v="0"/>
    <x v="1"/>
    <x v="5"/>
    <s v="Laptop"/>
    <n v="2375.0300000000002"/>
    <x v="2"/>
    <s v="Card"/>
    <n v="2.5"/>
    <x v="5"/>
    <n v="2185.0276000000003"/>
    <n v="4"/>
    <x v="0"/>
  </r>
  <r>
    <n v="3014"/>
    <n v="53"/>
    <x v="0"/>
    <x v="1"/>
    <x v="2"/>
    <s v="Yoga Mat"/>
    <n v="52.21"/>
    <x v="0"/>
    <s v="Card"/>
    <n v="3.6"/>
    <x v="16"/>
    <n v="49.077399999999997"/>
    <n v="3"/>
    <x v="1"/>
  </r>
  <r>
    <n v="3015"/>
    <n v="38"/>
    <x v="0"/>
    <x v="0"/>
    <x v="7"/>
    <s v="Formal Shoes"/>
    <n v="241.96"/>
    <x v="3"/>
    <s v="Card"/>
    <n v="2.6"/>
    <x v="0"/>
    <n v="198.40720000000002"/>
    <n v="4"/>
    <x v="0"/>
  </r>
  <r>
    <n v="3016"/>
    <n v="23"/>
    <x v="2"/>
    <x v="0"/>
    <x v="0"/>
    <s v="Wallet"/>
    <n v="64.06"/>
    <x v="1"/>
    <s v="Cash on Delivery"/>
    <n v="3.7"/>
    <x v="13"/>
    <n v="58.294600000000003"/>
    <n v="2"/>
    <x v="1"/>
  </r>
  <r>
    <n v="3017"/>
    <n v="25"/>
    <x v="2"/>
    <x v="0"/>
    <x v="8"/>
    <s v="Jeans"/>
    <n v="59.55"/>
    <x v="1"/>
    <s v="Card"/>
    <n v="4.0999999999999996"/>
    <x v="10"/>
    <n v="46.448999999999998"/>
    <n v="6"/>
    <x v="0"/>
  </r>
  <r>
    <n v="3018"/>
    <n v="63"/>
    <x v="1"/>
    <x v="1"/>
    <x v="7"/>
    <s v="Sandals"/>
    <n v="91.21"/>
    <x v="2"/>
    <s v="Card"/>
    <n v="4.0999999999999996"/>
    <x v="20"/>
    <n v="62.022799999999989"/>
    <n v="11"/>
    <x v="2"/>
  </r>
  <r>
    <n v="3019"/>
    <n v="63"/>
    <x v="1"/>
    <x v="1"/>
    <x v="1"/>
    <s v="Jacket"/>
    <n v="112.01"/>
    <x v="0"/>
    <s v="Card"/>
    <n v="4"/>
    <x v="5"/>
    <n v="103.04920000000001"/>
    <n v="4"/>
    <x v="0"/>
  </r>
  <r>
    <n v="3020"/>
    <n v="47"/>
    <x v="0"/>
    <x v="1"/>
    <x v="5"/>
    <s v="Laptop"/>
    <n v="2830.66"/>
    <x v="3"/>
    <s v="Card"/>
    <n v="3.5"/>
    <x v="6"/>
    <n v="2377.7543999999998"/>
    <n v="3"/>
    <x v="1"/>
  </r>
  <r>
    <n v="3021"/>
    <n v="67"/>
    <x v="1"/>
    <x v="1"/>
    <x v="5"/>
    <s v="Mobile Phone"/>
    <n v="804.82"/>
    <x v="2"/>
    <s v="Card"/>
    <n v="3.8"/>
    <x v="13"/>
    <n v="732.38620000000003"/>
    <n v="2"/>
    <x v="1"/>
  </r>
  <r>
    <n v="3022"/>
    <n v="35"/>
    <x v="0"/>
    <x v="1"/>
    <x v="1"/>
    <s v="Jacket"/>
    <n v="62.73"/>
    <x v="3"/>
    <s v="Cash on Delivery"/>
    <n v="3.6"/>
    <x v="19"/>
    <n v="53.320499999999996"/>
    <n v="5"/>
    <x v="0"/>
  </r>
  <r>
    <n v="3023"/>
    <n v="43"/>
    <x v="0"/>
    <x v="0"/>
    <x v="6"/>
    <s v="Makeup Set"/>
    <n v="20.09"/>
    <x v="2"/>
    <s v="Cash on Delivery"/>
    <n v="2.7"/>
    <x v="3"/>
    <n v="16.071999999999999"/>
    <n v="5"/>
    <x v="0"/>
  </r>
  <r>
    <n v="3024"/>
    <n v="60"/>
    <x v="0"/>
    <x v="0"/>
    <x v="7"/>
    <s v="Sandals"/>
    <n v="52.98"/>
    <x v="1"/>
    <s v="Card"/>
    <n v="4.2"/>
    <x v="17"/>
    <n v="50.860799999999998"/>
    <n v="2"/>
    <x v="1"/>
  </r>
  <r>
    <n v="3025"/>
    <n v="56"/>
    <x v="0"/>
    <x v="0"/>
    <x v="8"/>
    <s v="Top"/>
    <n v="80.959999999999994"/>
    <x v="1"/>
    <s v="Card"/>
    <n v="3.4"/>
    <x v="8"/>
    <n v="71.244799999999998"/>
    <n v="6"/>
    <x v="0"/>
  </r>
  <r>
    <n v="3026"/>
    <n v="46"/>
    <x v="0"/>
    <x v="1"/>
    <x v="1"/>
    <s v="Jacket"/>
    <n v="173.68"/>
    <x v="1"/>
    <s v="Card"/>
    <n v="5"/>
    <x v="14"/>
    <n v="144.15440000000001"/>
    <n v="6"/>
    <x v="0"/>
  </r>
  <r>
    <n v="3027"/>
    <n v="63"/>
    <x v="1"/>
    <x v="1"/>
    <x v="1"/>
    <s v="Jacket"/>
    <n v="116.37"/>
    <x v="2"/>
    <s v="Card"/>
    <n v="3.3"/>
    <x v="11"/>
    <n v="86.113799999999998"/>
    <n v="8"/>
    <x v="2"/>
  </r>
  <r>
    <n v="3028"/>
    <n v="44"/>
    <x v="0"/>
    <x v="0"/>
    <x v="8"/>
    <s v="Skirt"/>
    <n v="139.86000000000001"/>
    <x v="3"/>
    <s v="Card"/>
    <n v="3.5"/>
    <x v="2"/>
    <n v="124.47540000000001"/>
    <n v="3"/>
    <x v="1"/>
  </r>
  <r>
    <n v="3029"/>
    <n v="46"/>
    <x v="0"/>
    <x v="0"/>
    <x v="0"/>
    <s v="Wallet"/>
    <n v="169.04"/>
    <x v="2"/>
    <s v="Card"/>
    <n v="3"/>
    <x v="19"/>
    <n v="143.684"/>
    <n v="5"/>
    <x v="0"/>
  </r>
  <r>
    <n v="3030"/>
    <n v="44"/>
    <x v="0"/>
    <x v="1"/>
    <x v="5"/>
    <s v="Smart Watch"/>
    <n v="2810.41"/>
    <x v="2"/>
    <s v="Card"/>
    <n v="4.4000000000000004"/>
    <x v="5"/>
    <n v="2585.5772000000002"/>
    <n v="4"/>
    <x v="0"/>
  </r>
  <r>
    <n v="3031"/>
    <n v="46"/>
    <x v="0"/>
    <x v="0"/>
    <x v="8"/>
    <s v="Skirt"/>
    <n v="152.01"/>
    <x v="3"/>
    <s v="Card"/>
    <n v="2.6"/>
    <x v="2"/>
    <n v="135.28889999999998"/>
    <n v="3"/>
    <x v="1"/>
  </r>
  <r>
    <n v="3032"/>
    <n v="50"/>
    <x v="0"/>
    <x v="1"/>
    <x v="5"/>
    <s v="Headphones"/>
    <n v="908.32"/>
    <x v="0"/>
    <s v="Card"/>
    <n v="2.8"/>
    <x v="5"/>
    <n v="835.65440000000012"/>
    <n v="4"/>
    <x v="0"/>
  </r>
  <r>
    <n v="3033"/>
    <n v="57"/>
    <x v="0"/>
    <x v="0"/>
    <x v="8"/>
    <s v="Skirt"/>
    <n v="194"/>
    <x v="2"/>
    <s v="Card"/>
    <n v="2.9"/>
    <x v="15"/>
    <n v="190.12"/>
    <n v="1"/>
    <x v="1"/>
  </r>
  <r>
    <n v="3034"/>
    <n v="28"/>
    <x v="2"/>
    <x v="1"/>
    <x v="7"/>
    <s v="Formal Shoes"/>
    <n v="239.55"/>
    <x v="1"/>
    <s v="Card"/>
    <n v="4.5999999999999996"/>
    <x v="3"/>
    <n v="191.64000000000001"/>
    <n v="5"/>
    <x v="0"/>
  </r>
  <r>
    <n v="3035"/>
    <n v="38"/>
    <x v="0"/>
    <x v="1"/>
    <x v="5"/>
    <s v="Laptop"/>
    <n v="2591.6999999999998"/>
    <x v="0"/>
    <s v="Card"/>
    <n v="3.3"/>
    <x v="11"/>
    <n v="1917.8579999999999"/>
    <n v="8"/>
    <x v="2"/>
  </r>
  <r>
    <n v="3036"/>
    <n v="57"/>
    <x v="0"/>
    <x v="0"/>
    <x v="8"/>
    <s v="Top"/>
    <n v="165.49"/>
    <x v="3"/>
    <s v="Card"/>
    <n v="4.7"/>
    <x v="1"/>
    <n v="143.97630000000001"/>
    <n v="4"/>
    <x v="0"/>
  </r>
  <r>
    <n v="3037"/>
    <n v="22"/>
    <x v="2"/>
    <x v="1"/>
    <x v="7"/>
    <s v="Sandals"/>
    <n v="41.92"/>
    <x v="2"/>
    <s v="Card"/>
    <n v="3.9"/>
    <x v="2"/>
    <n v="37.308800000000005"/>
    <n v="3"/>
    <x v="1"/>
  </r>
  <r>
    <n v="3038"/>
    <n v="29"/>
    <x v="2"/>
    <x v="1"/>
    <x v="2"/>
    <s v="Dumbbells"/>
    <n v="236.09"/>
    <x v="3"/>
    <s v="Card"/>
    <n v="2.7"/>
    <x v="1"/>
    <n v="205.39830000000001"/>
    <n v="4"/>
    <x v="0"/>
  </r>
  <r>
    <n v="3039"/>
    <n v="26"/>
    <x v="2"/>
    <x v="1"/>
    <x v="5"/>
    <s v="Laptop"/>
    <n v="1687.69"/>
    <x v="3"/>
    <s v="Card"/>
    <n v="2.4"/>
    <x v="8"/>
    <n v="1485.1672000000001"/>
    <n v="6"/>
    <x v="0"/>
  </r>
  <r>
    <n v="3040"/>
    <n v="40"/>
    <x v="0"/>
    <x v="1"/>
    <x v="1"/>
    <s v="T-Shirt"/>
    <n v="144.61000000000001"/>
    <x v="0"/>
    <s v="Card"/>
    <n v="3.6"/>
    <x v="10"/>
    <n v="112.79580000000001"/>
    <n v="6"/>
    <x v="0"/>
  </r>
  <r>
    <n v="3041"/>
    <n v="59"/>
    <x v="0"/>
    <x v="1"/>
    <x v="4"/>
    <s v="Beverages"/>
    <n v="60.41"/>
    <x v="0"/>
    <s v="Cash on Delivery"/>
    <n v="3.7"/>
    <x v="1"/>
    <n v="52.556699999999999"/>
    <n v="4"/>
    <x v="0"/>
  </r>
  <r>
    <n v="3042"/>
    <n v="42"/>
    <x v="0"/>
    <x v="0"/>
    <x v="7"/>
    <s v="Sneakers"/>
    <n v="176.41"/>
    <x v="1"/>
    <s v="Card"/>
    <n v="4.2"/>
    <x v="6"/>
    <n v="148.18439999999998"/>
    <n v="3"/>
    <x v="1"/>
  </r>
  <r>
    <n v="3043"/>
    <n v="66"/>
    <x v="1"/>
    <x v="0"/>
    <x v="6"/>
    <s v="Skincare Kit"/>
    <n v="46.02"/>
    <x v="1"/>
    <s v="Card"/>
    <n v="3.2"/>
    <x v="11"/>
    <n v="34.0548"/>
    <n v="8"/>
    <x v="2"/>
  </r>
  <r>
    <n v="3044"/>
    <n v="50"/>
    <x v="0"/>
    <x v="1"/>
    <x v="5"/>
    <s v="Laptop"/>
    <n v="1517.4"/>
    <x v="3"/>
    <s v="Card"/>
    <n v="3.6"/>
    <x v="0"/>
    <n v="1244.2680000000003"/>
    <n v="9"/>
    <x v="2"/>
  </r>
  <r>
    <n v="3045"/>
    <n v="51"/>
    <x v="0"/>
    <x v="0"/>
    <x v="6"/>
    <s v="Skincare Kit"/>
    <n v="86.79"/>
    <x v="1"/>
    <s v="Cash on Delivery"/>
    <n v="3.5"/>
    <x v="12"/>
    <n v="70.299900000000008"/>
    <n v="7"/>
    <x v="0"/>
  </r>
  <r>
    <n v="3046"/>
    <n v="40"/>
    <x v="0"/>
    <x v="0"/>
    <x v="8"/>
    <s v="Dress"/>
    <n v="41.97"/>
    <x v="3"/>
    <s v="Card"/>
    <n v="3.5"/>
    <x v="7"/>
    <n v="37.773000000000003"/>
    <n v="5"/>
    <x v="0"/>
  </r>
  <r>
    <n v="3047"/>
    <n v="35"/>
    <x v="0"/>
    <x v="0"/>
    <x v="6"/>
    <s v="Skincare Kit"/>
    <n v="149.18"/>
    <x v="1"/>
    <s v="Card"/>
    <n v="4.7"/>
    <x v="24"/>
    <n v="107.4096"/>
    <n v="9"/>
    <x v="2"/>
  </r>
  <r>
    <n v="3048"/>
    <n v="30"/>
    <x v="2"/>
    <x v="0"/>
    <x v="8"/>
    <s v="Top"/>
    <n v="142.34"/>
    <x v="2"/>
    <s v="Card"/>
    <n v="2.9"/>
    <x v="12"/>
    <n v="115.29540000000001"/>
    <n v="7"/>
    <x v="0"/>
  </r>
  <r>
    <n v="3049"/>
    <n v="68"/>
    <x v="1"/>
    <x v="1"/>
    <x v="2"/>
    <s v="Dumbbells"/>
    <n v="149.12"/>
    <x v="0"/>
    <s v="Card"/>
    <n v="4.7"/>
    <x v="25"/>
    <n v="104.384"/>
    <n v="10"/>
    <x v="2"/>
  </r>
  <r>
    <n v="3050"/>
    <n v="34"/>
    <x v="0"/>
    <x v="0"/>
    <x v="7"/>
    <s v="Formal Shoes"/>
    <n v="222.74"/>
    <x v="2"/>
    <s v="Card"/>
    <n v="4"/>
    <x v="0"/>
    <n v="182.64680000000001"/>
    <n v="4"/>
    <x v="0"/>
  </r>
  <r>
    <n v="3051"/>
    <n v="37"/>
    <x v="0"/>
    <x v="0"/>
    <x v="0"/>
    <s v="Wallet"/>
    <n v="23.58"/>
    <x v="2"/>
    <s v="Card"/>
    <n v="3.2"/>
    <x v="0"/>
    <n v="19.335599999999999"/>
    <n v="4"/>
    <x v="0"/>
  </r>
  <r>
    <n v="3052"/>
    <n v="48"/>
    <x v="0"/>
    <x v="1"/>
    <x v="5"/>
    <s v="Laptop"/>
    <n v="1298.54"/>
    <x v="2"/>
    <s v="Card"/>
    <n v="3.5"/>
    <x v="7"/>
    <n v="1168.6859999999999"/>
    <n v="0"/>
    <x v="1"/>
  </r>
  <r>
    <n v="3053"/>
    <n v="57"/>
    <x v="0"/>
    <x v="0"/>
    <x v="0"/>
    <s v="Sunglasses"/>
    <n v="147.6"/>
    <x v="3"/>
    <s v="Card"/>
    <n v="4"/>
    <x v="18"/>
    <n v="112.176"/>
    <n v="7"/>
    <x v="0"/>
  </r>
  <r>
    <n v="3054"/>
    <n v="46"/>
    <x v="0"/>
    <x v="1"/>
    <x v="5"/>
    <s v="Mobile Phone"/>
    <n v="1161.0899999999999"/>
    <x v="0"/>
    <s v="Card"/>
    <n v="4.8"/>
    <x v="7"/>
    <n v="1044.981"/>
    <n v="5"/>
    <x v="0"/>
  </r>
  <r>
    <n v="3055"/>
    <n v="51"/>
    <x v="0"/>
    <x v="0"/>
    <x v="7"/>
    <s v="Sneakers"/>
    <n v="203.75"/>
    <x v="0"/>
    <s v="Card"/>
    <n v="3.4"/>
    <x v="2"/>
    <n v="181.33750000000001"/>
    <n v="3"/>
    <x v="1"/>
  </r>
  <r>
    <n v="3056"/>
    <n v="57"/>
    <x v="0"/>
    <x v="0"/>
    <x v="3"/>
    <s v="Lamp"/>
    <n v="145.76"/>
    <x v="3"/>
    <s v="Card"/>
    <n v="3.2"/>
    <x v="4"/>
    <n v="125.35359999999999"/>
    <n v="7"/>
    <x v="0"/>
  </r>
  <r>
    <n v="3057"/>
    <n v="70"/>
    <x v="1"/>
    <x v="0"/>
    <x v="7"/>
    <s v="Formal Shoes"/>
    <n v="221.59"/>
    <x v="1"/>
    <s v="Card"/>
    <n v="3.8"/>
    <x v="1"/>
    <n v="192.7833"/>
    <n v="4"/>
    <x v="0"/>
  </r>
  <r>
    <n v="3058"/>
    <n v="22"/>
    <x v="2"/>
    <x v="0"/>
    <x v="8"/>
    <s v="Jeans"/>
    <n v="142.09"/>
    <x v="3"/>
    <s v="Card"/>
    <n v="3.7"/>
    <x v="4"/>
    <n v="122.1974"/>
    <n v="2"/>
    <x v="1"/>
  </r>
  <r>
    <n v="3059"/>
    <n v="46"/>
    <x v="0"/>
    <x v="1"/>
    <x v="1"/>
    <s v="Jeans"/>
    <n v="149.84"/>
    <x v="2"/>
    <s v="Card"/>
    <n v="3.9"/>
    <x v="5"/>
    <n v="137.8528"/>
    <n v="4"/>
    <x v="0"/>
  </r>
  <r>
    <n v="3060"/>
    <n v="33"/>
    <x v="0"/>
    <x v="0"/>
    <x v="6"/>
    <s v="Perfume"/>
    <n v="47.94"/>
    <x v="0"/>
    <s v="Cash on Delivery"/>
    <n v="3.8"/>
    <x v="8"/>
    <n v="42.187199999999997"/>
    <n v="6"/>
    <x v="0"/>
  </r>
  <r>
    <n v="3061"/>
    <n v="28"/>
    <x v="2"/>
    <x v="1"/>
    <x v="4"/>
    <s v="Cooking Oil"/>
    <n v="11.62"/>
    <x v="0"/>
    <s v="Card"/>
    <n v="3.7"/>
    <x v="13"/>
    <n v="10.574199999999999"/>
    <n v="2"/>
    <x v="1"/>
  </r>
  <r>
    <n v="3062"/>
    <n v="39"/>
    <x v="0"/>
    <x v="0"/>
    <x v="8"/>
    <s v="Dress"/>
    <n v="119.77"/>
    <x v="2"/>
    <s v="Card"/>
    <n v="4"/>
    <x v="18"/>
    <n v="91.025199999999998"/>
    <n v="7"/>
    <x v="0"/>
  </r>
  <r>
    <n v="3063"/>
    <n v="60"/>
    <x v="0"/>
    <x v="1"/>
    <x v="1"/>
    <s v="T-Shirt"/>
    <n v="188.39"/>
    <x v="3"/>
    <s v="Card"/>
    <n v="3.4"/>
    <x v="22"/>
    <n v="145.06029999999998"/>
    <n v="9"/>
    <x v="2"/>
  </r>
  <r>
    <n v="3064"/>
    <n v="37"/>
    <x v="0"/>
    <x v="1"/>
    <x v="4"/>
    <s v="Cooking Oil"/>
    <n v="70.239999999999995"/>
    <x v="0"/>
    <s v="Cash on Delivery"/>
    <n v="4.3"/>
    <x v="24"/>
    <n v="50.572799999999994"/>
    <n v="9"/>
    <x v="2"/>
  </r>
  <r>
    <n v="3065"/>
    <n v="40"/>
    <x v="0"/>
    <x v="0"/>
    <x v="8"/>
    <s v="Top"/>
    <n v="167.11"/>
    <x v="2"/>
    <s v="Card"/>
    <n v="3.9"/>
    <x v="3"/>
    <n v="133.68800000000002"/>
    <n v="5"/>
    <x v="0"/>
  </r>
  <r>
    <n v="3066"/>
    <n v="56"/>
    <x v="0"/>
    <x v="1"/>
    <x v="1"/>
    <s v="Jeans"/>
    <n v="108.75"/>
    <x v="0"/>
    <s v="Card"/>
    <n v="4.4000000000000004"/>
    <x v="10"/>
    <n v="84.825000000000003"/>
    <n v="6"/>
    <x v="0"/>
  </r>
  <r>
    <n v="3067"/>
    <n v="42"/>
    <x v="0"/>
    <x v="1"/>
    <x v="7"/>
    <s v="Formal Shoes"/>
    <n v="234.89"/>
    <x v="2"/>
    <s v="Card"/>
    <n v="4.0999999999999996"/>
    <x v="17"/>
    <n v="225.49439999999998"/>
    <n v="2"/>
    <x v="1"/>
  </r>
  <r>
    <n v="3068"/>
    <n v="35"/>
    <x v="0"/>
    <x v="0"/>
    <x v="7"/>
    <s v="Sneakers"/>
    <n v="203.24"/>
    <x v="1"/>
    <s v="Card"/>
    <n v="3.8"/>
    <x v="3"/>
    <n v="162.59200000000001"/>
    <n v="5"/>
    <x v="0"/>
  </r>
  <r>
    <n v="3069"/>
    <n v="31"/>
    <x v="0"/>
    <x v="1"/>
    <x v="7"/>
    <s v="Formal Shoes"/>
    <n v="118.39"/>
    <x v="2"/>
    <s v="Card"/>
    <n v="4.4000000000000004"/>
    <x v="19"/>
    <n v="100.6315"/>
    <n v="5"/>
    <x v="0"/>
  </r>
  <r>
    <n v="3070"/>
    <n v="66"/>
    <x v="1"/>
    <x v="0"/>
    <x v="6"/>
    <s v="Perfume"/>
    <n v="105.89"/>
    <x v="1"/>
    <s v="Card"/>
    <n v="3.5"/>
    <x v="11"/>
    <n v="78.358599999999996"/>
    <n v="8"/>
    <x v="2"/>
  </r>
  <r>
    <n v="3071"/>
    <n v="59"/>
    <x v="0"/>
    <x v="1"/>
    <x v="5"/>
    <s v="Mobile Phone"/>
    <n v="2313.37"/>
    <x v="3"/>
    <s v="Card"/>
    <n v="3"/>
    <x v="0"/>
    <n v="1896.9634000000001"/>
    <n v="4"/>
    <x v="0"/>
  </r>
  <r>
    <n v="3072"/>
    <n v="34"/>
    <x v="0"/>
    <x v="0"/>
    <x v="3"/>
    <s v="Curtains"/>
    <n v="158.41999999999999"/>
    <x v="2"/>
    <s v="Card"/>
    <n v="4.7"/>
    <x v="14"/>
    <n v="131.48859999999999"/>
    <n v="6"/>
    <x v="0"/>
  </r>
  <r>
    <n v="3073"/>
    <n v="33"/>
    <x v="0"/>
    <x v="1"/>
    <x v="2"/>
    <s v="Yoga Mat"/>
    <n v="59.3"/>
    <x v="1"/>
    <s v="Card"/>
    <n v="3"/>
    <x v="0"/>
    <n v="48.626000000000005"/>
    <n v="4"/>
    <x v="0"/>
  </r>
  <r>
    <n v="3074"/>
    <n v="40"/>
    <x v="0"/>
    <x v="1"/>
    <x v="1"/>
    <s v="Shirt"/>
    <n v="191.84"/>
    <x v="3"/>
    <s v="Card"/>
    <n v="3.5"/>
    <x v="21"/>
    <n v="151.55360000000002"/>
    <n v="8"/>
    <x v="2"/>
  </r>
  <r>
    <n v="3075"/>
    <n v="38"/>
    <x v="0"/>
    <x v="0"/>
    <x v="3"/>
    <s v="Kitchen Set"/>
    <n v="164.04"/>
    <x v="3"/>
    <s v="Card"/>
    <n v="3.9"/>
    <x v="8"/>
    <n v="144.3552"/>
    <n v="6"/>
    <x v="0"/>
  </r>
  <r>
    <n v="3076"/>
    <n v="65"/>
    <x v="1"/>
    <x v="1"/>
    <x v="7"/>
    <s v="Sneakers"/>
    <n v="84.56"/>
    <x v="3"/>
    <s v="Card"/>
    <n v="3.3"/>
    <x v="19"/>
    <n v="71.876000000000005"/>
    <n v="5"/>
    <x v="0"/>
  </r>
  <r>
    <n v="3077"/>
    <n v="37"/>
    <x v="0"/>
    <x v="0"/>
    <x v="8"/>
    <s v="Skirt"/>
    <n v="54.47"/>
    <x v="0"/>
    <s v="Cash on Delivery"/>
    <n v="3.9"/>
    <x v="19"/>
    <n v="46.299499999999995"/>
    <n v="5"/>
    <x v="0"/>
  </r>
  <r>
    <n v="3078"/>
    <n v="37"/>
    <x v="0"/>
    <x v="0"/>
    <x v="6"/>
    <s v="Makeup Set"/>
    <n v="52.5"/>
    <x v="2"/>
    <s v="Card"/>
    <n v="4.3"/>
    <x v="21"/>
    <n v="41.475000000000001"/>
    <n v="8"/>
    <x v="2"/>
  </r>
  <r>
    <n v="3079"/>
    <n v="46"/>
    <x v="0"/>
    <x v="1"/>
    <x v="5"/>
    <s v="Laptop"/>
    <n v="1239.45"/>
    <x v="1"/>
    <s v="Card"/>
    <n v="4.0999999999999996"/>
    <x v="1"/>
    <n v="1078.3215"/>
    <n v="4"/>
    <x v="0"/>
  </r>
  <r>
    <n v="3080"/>
    <n v="30"/>
    <x v="2"/>
    <x v="0"/>
    <x v="8"/>
    <s v="Skirt"/>
    <n v="99.88"/>
    <x v="2"/>
    <s v="Card"/>
    <n v="3.3"/>
    <x v="4"/>
    <n v="85.896799999999999"/>
    <n v="2"/>
    <x v="1"/>
  </r>
  <r>
    <n v="3081"/>
    <n v="42"/>
    <x v="0"/>
    <x v="0"/>
    <x v="7"/>
    <s v="Sandals"/>
    <n v="73.33"/>
    <x v="3"/>
    <s v="Cash on Delivery"/>
    <n v="4.5999999999999996"/>
    <x v="10"/>
    <n v="57.197400000000002"/>
    <n v="6"/>
    <x v="0"/>
  </r>
  <r>
    <n v="3082"/>
    <n v="25"/>
    <x v="2"/>
    <x v="1"/>
    <x v="5"/>
    <s v="Mobile Phone"/>
    <n v="727.7"/>
    <x v="1"/>
    <s v="Card"/>
    <n v="3.6"/>
    <x v="0"/>
    <n v="596.71400000000006"/>
    <n v="4"/>
    <x v="0"/>
  </r>
  <r>
    <n v="3083"/>
    <n v="48"/>
    <x v="0"/>
    <x v="0"/>
    <x v="0"/>
    <s v="Sunglasses"/>
    <n v="59.04"/>
    <x v="2"/>
    <s v="Card"/>
    <n v="4.0999999999999996"/>
    <x v="0"/>
    <n v="48.412800000000004"/>
    <n v="9"/>
    <x v="2"/>
  </r>
  <r>
    <n v="3084"/>
    <n v="39"/>
    <x v="0"/>
    <x v="0"/>
    <x v="2"/>
    <s v="Yoga Mat"/>
    <n v="178.47"/>
    <x v="3"/>
    <s v="Card"/>
    <n v="3.2"/>
    <x v="7"/>
    <n v="160.62299999999999"/>
    <n v="5"/>
    <x v="0"/>
  </r>
  <r>
    <n v="3085"/>
    <n v="51"/>
    <x v="0"/>
    <x v="0"/>
    <x v="0"/>
    <s v="Sunglasses"/>
    <n v="150.63999999999999"/>
    <x v="1"/>
    <s v="Card"/>
    <n v="3.6"/>
    <x v="14"/>
    <n v="125.03119999999998"/>
    <n v="6"/>
    <x v="0"/>
  </r>
  <r>
    <n v="3086"/>
    <n v="54"/>
    <x v="0"/>
    <x v="1"/>
    <x v="7"/>
    <s v="Formal Shoes"/>
    <n v="93.5"/>
    <x v="2"/>
    <s v="Cash on Delivery"/>
    <n v="3"/>
    <x v="14"/>
    <n v="77.60499999999999"/>
    <n v="6"/>
    <x v="0"/>
  </r>
  <r>
    <n v="3087"/>
    <n v="52"/>
    <x v="0"/>
    <x v="1"/>
    <x v="1"/>
    <s v="T-Shirt"/>
    <n v="37.229999999999997"/>
    <x v="2"/>
    <s v="Card"/>
    <n v="3.9"/>
    <x v="13"/>
    <n v="33.879300000000001"/>
    <n v="2"/>
    <x v="1"/>
  </r>
  <r>
    <n v="3088"/>
    <n v="52"/>
    <x v="0"/>
    <x v="0"/>
    <x v="7"/>
    <s v="Sandals"/>
    <n v="203.27"/>
    <x v="3"/>
    <s v="Card"/>
    <n v="4.5999999999999996"/>
    <x v="17"/>
    <n v="195.13920000000002"/>
    <n v="2"/>
    <x v="1"/>
  </r>
  <r>
    <n v="3089"/>
    <n v="26"/>
    <x v="2"/>
    <x v="1"/>
    <x v="2"/>
    <s v="Football"/>
    <n v="178.08"/>
    <x v="2"/>
    <s v="Card"/>
    <n v="3.9"/>
    <x v="17"/>
    <n v="170.95680000000002"/>
    <n v="2"/>
    <x v="1"/>
  </r>
  <r>
    <n v="3090"/>
    <n v="66"/>
    <x v="1"/>
    <x v="0"/>
    <x v="0"/>
    <s v="Wallet"/>
    <n v="110.97"/>
    <x v="2"/>
    <s v="Card"/>
    <n v="3.7"/>
    <x v="1"/>
    <n v="96.543899999999994"/>
    <n v="4"/>
    <x v="0"/>
  </r>
  <r>
    <n v="3091"/>
    <n v="67"/>
    <x v="1"/>
    <x v="1"/>
    <x v="5"/>
    <s v="Mobile Phone"/>
    <n v="2107.08"/>
    <x v="3"/>
    <s v="Card"/>
    <n v="4.5"/>
    <x v="7"/>
    <n v="1896.3720000000001"/>
    <n v="5"/>
    <x v="0"/>
  </r>
  <r>
    <n v="3092"/>
    <n v="30"/>
    <x v="2"/>
    <x v="0"/>
    <x v="0"/>
    <s v="Handbag"/>
    <n v="143.83000000000001"/>
    <x v="1"/>
    <s v="Card"/>
    <n v="3.8"/>
    <x v="12"/>
    <n v="116.50230000000002"/>
    <n v="7"/>
    <x v="0"/>
  </r>
  <r>
    <n v="3093"/>
    <n v="37"/>
    <x v="0"/>
    <x v="1"/>
    <x v="2"/>
    <s v="Dumbbells"/>
    <n v="140.4"/>
    <x v="1"/>
    <s v="Card"/>
    <n v="3.8"/>
    <x v="19"/>
    <n v="119.34"/>
    <n v="5"/>
    <x v="0"/>
  </r>
  <r>
    <n v="3094"/>
    <n v="64"/>
    <x v="1"/>
    <x v="0"/>
    <x v="6"/>
    <s v="Makeup Set"/>
    <n v="145.84"/>
    <x v="2"/>
    <s v="Card"/>
    <n v="4"/>
    <x v="17"/>
    <n v="140.00639999999999"/>
    <n v="2"/>
    <x v="1"/>
  </r>
  <r>
    <n v="3095"/>
    <n v="43"/>
    <x v="0"/>
    <x v="1"/>
    <x v="3"/>
    <s v="Curtains"/>
    <n v="50.1"/>
    <x v="1"/>
    <s v="Cash on Delivery"/>
    <n v="4.5"/>
    <x v="10"/>
    <n v="39.078000000000003"/>
    <n v="6"/>
    <x v="0"/>
  </r>
  <r>
    <n v="3096"/>
    <n v="56"/>
    <x v="0"/>
    <x v="1"/>
    <x v="5"/>
    <s v="Laptop"/>
    <n v="1390.67"/>
    <x v="1"/>
    <s v="Card"/>
    <n v="4.4000000000000004"/>
    <x v="3"/>
    <n v="1112.5360000000001"/>
    <n v="5"/>
    <x v="0"/>
  </r>
  <r>
    <n v="3097"/>
    <n v="42"/>
    <x v="0"/>
    <x v="0"/>
    <x v="2"/>
    <s v="Dumbbells"/>
    <n v="54.94"/>
    <x v="3"/>
    <s v="Cash on Delivery"/>
    <n v="4"/>
    <x v="5"/>
    <n v="50.544800000000002"/>
    <n v="4"/>
    <x v="0"/>
  </r>
  <r>
    <n v="3098"/>
    <n v="61"/>
    <x v="1"/>
    <x v="1"/>
    <x v="7"/>
    <s v="Sandals"/>
    <n v="214.2"/>
    <x v="1"/>
    <s v="Card"/>
    <n v="4.9000000000000004"/>
    <x v="3"/>
    <n v="171.36"/>
    <n v="5"/>
    <x v="0"/>
  </r>
  <r>
    <n v="3099"/>
    <n v="66"/>
    <x v="1"/>
    <x v="1"/>
    <x v="1"/>
    <s v="Jacket"/>
    <n v="115.35"/>
    <x v="2"/>
    <s v="Card"/>
    <n v="4.4000000000000004"/>
    <x v="5"/>
    <n v="106.122"/>
    <n v="4"/>
    <x v="0"/>
  </r>
  <r>
    <n v="3100"/>
    <n v="43"/>
    <x v="0"/>
    <x v="1"/>
    <x v="2"/>
    <s v="Dumbbells"/>
    <n v="38.090000000000003"/>
    <x v="0"/>
    <s v="Cash on Delivery"/>
    <n v="4.2"/>
    <x v="3"/>
    <n v="30.472000000000005"/>
    <n v="5"/>
    <x v="0"/>
  </r>
  <r>
    <n v="3101"/>
    <n v="22"/>
    <x v="2"/>
    <x v="1"/>
    <x v="5"/>
    <s v="Laptop"/>
    <n v="1683.66"/>
    <x v="0"/>
    <s v="Card"/>
    <n v="4.5"/>
    <x v="3"/>
    <n v="1346.9280000000001"/>
    <n v="5"/>
    <x v="0"/>
  </r>
  <r>
    <n v="3102"/>
    <n v="21"/>
    <x v="2"/>
    <x v="1"/>
    <x v="5"/>
    <s v="Laptop"/>
    <n v="1599.75"/>
    <x v="3"/>
    <s v="Card"/>
    <n v="4.2"/>
    <x v="3"/>
    <n v="1279.8000000000002"/>
    <n v="5"/>
    <x v="0"/>
  </r>
  <r>
    <n v="3103"/>
    <n v="70"/>
    <x v="1"/>
    <x v="0"/>
    <x v="0"/>
    <s v="Wallet"/>
    <n v="55.1"/>
    <x v="0"/>
    <s v="Cash on Delivery"/>
    <n v="3.7"/>
    <x v="0"/>
    <n v="45.182000000000002"/>
    <n v="4"/>
    <x v="0"/>
  </r>
  <r>
    <n v="3104"/>
    <n v="20"/>
    <x v="2"/>
    <x v="0"/>
    <x v="3"/>
    <s v="Curtains"/>
    <n v="246.01"/>
    <x v="1"/>
    <s v="Card"/>
    <n v="4.4000000000000004"/>
    <x v="18"/>
    <n v="186.9676"/>
    <n v="7"/>
    <x v="0"/>
  </r>
  <r>
    <n v="3105"/>
    <n v="24"/>
    <x v="2"/>
    <x v="0"/>
    <x v="2"/>
    <s v="Dumbbells"/>
    <n v="235.97"/>
    <x v="1"/>
    <s v="Card"/>
    <n v="3.8"/>
    <x v="4"/>
    <n v="202.9342"/>
    <n v="2"/>
    <x v="1"/>
  </r>
  <r>
    <n v="3106"/>
    <n v="53"/>
    <x v="0"/>
    <x v="1"/>
    <x v="2"/>
    <s v="Yoga Mat"/>
    <n v="249.3"/>
    <x v="2"/>
    <s v="Card"/>
    <n v="3.9"/>
    <x v="0"/>
    <n v="204.42600000000002"/>
    <n v="4"/>
    <x v="0"/>
  </r>
  <r>
    <n v="3107"/>
    <n v="44"/>
    <x v="0"/>
    <x v="1"/>
    <x v="1"/>
    <s v="Jacket"/>
    <n v="105.92"/>
    <x v="0"/>
    <s v="Card"/>
    <n v="3.9"/>
    <x v="27"/>
    <n v="79.44"/>
    <n v="10"/>
    <x v="2"/>
  </r>
  <r>
    <n v="3108"/>
    <n v="54"/>
    <x v="0"/>
    <x v="0"/>
    <x v="7"/>
    <s v="Formal Shoes"/>
    <n v="104.74"/>
    <x v="3"/>
    <s v="Card"/>
    <n v="3.2"/>
    <x v="6"/>
    <n v="87.981599999999986"/>
    <n v="8"/>
    <x v="2"/>
  </r>
  <r>
    <n v="3109"/>
    <n v="62"/>
    <x v="1"/>
    <x v="0"/>
    <x v="4"/>
    <s v="Beverages"/>
    <n v="41.33"/>
    <x v="3"/>
    <s v="Cash on Delivery"/>
    <n v="2.1"/>
    <x v="7"/>
    <n v="37.197000000000003"/>
    <n v="5"/>
    <x v="0"/>
  </r>
  <r>
    <n v="3110"/>
    <n v="40"/>
    <x v="0"/>
    <x v="0"/>
    <x v="8"/>
    <s v="Top"/>
    <n v="164.97"/>
    <x v="1"/>
    <s v="Card"/>
    <n v="4.3"/>
    <x v="10"/>
    <n v="128.67660000000001"/>
    <n v="6"/>
    <x v="0"/>
  </r>
  <r>
    <n v="3111"/>
    <n v="52"/>
    <x v="0"/>
    <x v="1"/>
    <x v="5"/>
    <s v="Headphones"/>
    <n v="1788.15"/>
    <x v="2"/>
    <s v="Card"/>
    <n v="4.5999999999999996"/>
    <x v="5"/>
    <n v="1645.0980000000002"/>
    <n v="4"/>
    <x v="0"/>
  </r>
  <r>
    <n v="3112"/>
    <n v="52"/>
    <x v="0"/>
    <x v="1"/>
    <x v="7"/>
    <s v="Sneakers"/>
    <n v="157.54"/>
    <x v="1"/>
    <s v="Card"/>
    <n v="3.5"/>
    <x v="2"/>
    <n v="140.2106"/>
    <n v="3"/>
    <x v="1"/>
  </r>
  <r>
    <n v="3113"/>
    <n v="44"/>
    <x v="0"/>
    <x v="0"/>
    <x v="7"/>
    <s v="Sandals"/>
    <n v="222.1"/>
    <x v="1"/>
    <s v="Card"/>
    <n v="2.6"/>
    <x v="7"/>
    <n v="199.89"/>
    <n v="5"/>
    <x v="0"/>
  </r>
  <r>
    <n v="3114"/>
    <n v="56"/>
    <x v="0"/>
    <x v="0"/>
    <x v="7"/>
    <s v="Sneakers"/>
    <n v="149.21"/>
    <x v="2"/>
    <s v="Card"/>
    <n v="4.0999999999999996"/>
    <x v="14"/>
    <n v="123.8443"/>
    <n v="6"/>
    <x v="0"/>
  </r>
  <r>
    <n v="3115"/>
    <n v="52"/>
    <x v="0"/>
    <x v="0"/>
    <x v="8"/>
    <s v="Skirt"/>
    <n v="153.09"/>
    <x v="2"/>
    <s v="Card"/>
    <n v="3.8"/>
    <x v="5"/>
    <n v="140.84280000000001"/>
    <n v="4"/>
    <x v="0"/>
  </r>
  <r>
    <n v="3116"/>
    <n v="55"/>
    <x v="0"/>
    <x v="0"/>
    <x v="4"/>
    <s v="Beverages"/>
    <n v="68.41"/>
    <x v="1"/>
    <s v="Cash on Delivery"/>
    <n v="4.5999999999999996"/>
    <x v="4"/>
    <n v="58.832599999999999"/>
    <n v="2"/>
    <x v="1"/>
  </r>
  <r>
    <n v="3117"/>
    <n v="55"/>
    <x v="0"/>
    <x v="0"/>
    <x v="0"/>
    <s v="Wallet"/>
    <n v="160.25"/>
    <x v="3"/>
    <s v="Card"/>
    <n v="3.5"/>
    <x v="16"/>
    <n v="150.63499999999999"/>
    <n v="3"/>
    <x v="1"/>
  </r>
  <r>
    <n v="3118"/>
    <n v="70"/>
    <x v="1"/>
    <x v="0"/>
    <x v="0"/>
    <s v="Handbag"/>
    <n v="63.39"/>
    <x v="0"/>
    <s v="Cash on Delivery"/>
    <n v="3.3"/>
    <x v="4"/>
    <n v="54.5154"/>
    <n v="2"/>
    <x v="1"/>
  </r>
  <r>
    <n v="3119"/>
    <n v="69"/>
    <x v="1"/>
    <x v="1"/>
    <x v="2"/>
    <s v="Dumbbells"/>
    <n v="95.03"/>
    <x v="2"/>
    <s v="Card"/>
    <n v="2.8"/>
    <x v="6"/>
    <n v="79.825199999999995"/>
    <n v="3"/>
    <x v="1"/>
  </r>
  <r>
    <n v="3120"/>
    <n v="38"/>
    <x v="0"/>
    <x v="0"/>
    <x v="0"/>
    <s v="Sunglasses"/>
    <n v="171.81"/>
    <x v="3"/>
    <s v="Card"/>
    <n v="4.5999999999999996"/>
    <x v="11"/>
    <n v="127.13939999999999"/>
    <n v="8"/>
    <x v="2"/>
  </r>
  <r>
    <n v="3121"/>
    <n v="53"/>
    <x v="0"/>
    <x v="0"/>
    <x v="8"/>
    <s v="Skirt"/>
    <n v="195"/>
    <x v="2"/>
    <s v="Card"/>
    <n v="3.6"/>
    <x v="4"/>
    <n v="167.7"/>
    <n v="7"/>
    <x v="0"/>
  </r>
  <r>
    <n v="3122"/>
    <n v="51"/>
    <x v="0"/>
    <x v="1"/>
    <x v="5"/>
    <s v="Headphones"/>
    <n v="2502.92"/>
    <x v="0"/>
    <s v="Card"/>
    <n v="1.9"/>
    <x v="24"/>
    <n v="1802.1024"/>
    <n v="9"/>
    <x v="2"/>
  </r>
  <r>
    <n v="3123"/>
    <n v="29"/>
    <x v="2"/>
    <x v="0"/>
    <x v="7"/>
    <s v="Formal Shoes"/>
    <n v="133.44"/>
    <x v="2"/>
    <s v="Card"/>
    <n v="5"/>
    <x v="3"/>
    <n v="106.75200000000001"/>
    <n v="5"/>
    <x v="0"/>
  </r>
  <r>
    <n v="3124"/>
    <n v="20"/>
    <x v="2"/>
    <x v="0"/>
    <x v="0"/>
    <s v="Sunglasses"/>
    <n v="142.21"/>
    <x v="3"/>
    <s v="Card"/>
    <n v="3.8"/>
    <x v="1"/>
    <n v="123.7227"/>
    <n v="4"/>
    <x v="0"/>
  </r>
  <r>
    <n v="3125"/>
    <n v="28"/>
    <x v="2"/>
    <x v="1"/>
    <x v="2"/>
    <s v="Football"/>
    <n v="107.86"/>
    <x v="2"/>
    <s v="Card"/>
    <n v="2.8"/>
    <x v="19"/>
    <n v="91.680999999999997"/>
    <n v="5"/>
    <x v="0"/>
  </r>
  <r>
    <n v="3126"/>
    <n v="57"/>
    <x v="0"/>
    <x v="1"/>
    <x v="1"/>
    <s v="T-Shirt"/>
    <n v="142.37"/>
    <x v="3"/>
    <s v="Card"/>
    <n v="4.3"/>
    <x v="2"/>
    <n v="126.7093"/>
    <n v="3"/>
    <x v="1"/>
  </r>
  <r>
    <n v="3127"/>
    <n v="56"/>
    <x v="0"/>
    <x v="1"/>
    <x v="2"/>
    <s v="Yoga Mat"/>
    <n v="198.31"/>
    <x v="3"/>
    <s v="Card"/>
    <n v="4.3"/>
    <x v="27"/>
    <n v="148.73250000000002"/>
    <n v="10"/>
    <x v="2"/>
  </r>
  <r>
    <n v="3128"/>
    <n v="27"/>
    <x v="2"/>
    <x v="0"/>
    <x v="6"/>
    <s v="Perfume"/>
    <n v="34.44"/>
    <x v="2"/>
    <s v="Card"/>
    <n v="3.4"/>
    <x v="17"/>
    <n v="33.062399999999997"/>
    <n v="2"/>
    <x v="1"/>
  </r>
  <r>
    <n v="3129"/>
    <n v="61"/>
    <x v="1"/>
    <x v="0"/>
    <x v="4"/>
    <s v="Snacks"/>
    <n v="22.87"/>
    <x v="3"/>
    <s v="Cash on Delivery"/>
    <n v="3.6"/>
    <x v="1"/>
    <n v="19.896900000000002"/>
    <n v="4"/>
    <x v="0"/>
  </r>
  <r>
    <n v="3130"/>
    <n v="44"/>
    <x v="0"/>
    <x v="1"/>
    <x v="7"/>
    <s v="Formal Shoes"/>
    <n v="143.16999999999999"/>
    <x v="3"/>
    <s v="Card"/>
    <n v="5"/>
    <x v="19"/>
    <n v="121.69449999999999"/>
    <n v="5"/>
    <x v="0"/>
  </r>
  <r>
    <n v="3131"/>
    <n v="67"/>
    <x v="1"/>
    <x v="1"/>
    <x v="5"/>
    <s v="Headphones"/>
    <n v="2411.19"/>
    <x v="2"/>
    <s v="Card"/>
    <n v="3.1"/>
    <x v="13"/>
    <n v="2194.1829000000002"/>
    <n v="2"/>
    <x v="1"/>
  </r>
  <r>
    <n v="3132"/>
    <n v="26"/>
    <x v="2"/>
    <x v="1"/>
    <x v="7"/>
    <s v="Formal Shoes"/>
    <n v="130.13999999999999"/>
    <x v="1"/>
    <s v="Card"/>
    <n v="4"/>
    <x v="28"/>
    <n v="92.399399999999986"/>
    <n v="12"/>
    <x v="2"/>
  </r>
  <r>
    <n v="3133"/>
    <n v="69"/>
    <x v="1"/>
    <x v="0"/>
    <x v="6"/>
    <s v="Perfume"/>
    <n v="52.81"/>
    <x v="3"/>
    <s v="Card"/>
    <n v="4.3"/>
    <x v="12"/>
    <n v="42.776100000000007"/>
    <n v="7"/>
    <x v="0"/>
  </r>
  <r>
    <n v="3134"/>
    <n v="62"/>
    <x v="1"/>
    <x v="1"/>
    <x v="7"/>
    <s v="Sneakers"/>
    <n v="232.72"/>
    <x v="1"/>
    <s v="Card"/>
    <n v="3.7"/>
    <x v="1"/>
    <n v="202.46639999999999"/>
    <n v="4"/>
    <x v="0"/>
  </r>
  <r>
    <n v="3135"/>
    <n v="47"/>
    <x v="0"/>
    <x v="0"/>
    <x v="6"/>
    <s v="Makeup Set"/>
    <n v="38.049999999999997"/>
    <x v="3"/>
    <s v="Cash on Delivery"/>
    <n v="3.4"/>
    <x v="22"/>
    <n v="29.298499999999997"/>
    <n v="9"/>
    <x v="2"/>
  </r>
  <r>
    <n v="3136"/>
    <n v="62"/>
    <x v="1"/>
    <x v="1"/>
    <x v="3"/>
    <s v="Kitchen Set"/>
    <n v="203.78"/>
    <x v="3"/>
    <s v="Card"/>
    <n v="3.4"/>
    <x v="0"/>
    <n v="167.09960000000001"/>
    <n v="4"/>
    <x v="0"/>
  </r>
  <r>
    <n v="3137"/>
    <n v="49"/>
    <x v="0"/>
    <x v="1"/>
    <x v="3"/>
    <s v="Curtains"/>
    <n v="73.31"/>
    <x v="1"/>
    <s v="Cash on Delivery"/>
    <n v="4.5"/>
    <x v="10"/>
    <n v="57.181800000000003"/>
    <n v="6"/>
    <x v="0"/>
  </r>
  <r>
    <n v="3138"/>
    <n v="52"/>
    <x v="0"/>
    <x v="1"/>
    <x v="7"/>
    <s v="Sandals"/>
    <n v="68.930000000000007"/>
    <x v="2"/>
    <s v="Cash on Delivery"/>
    <n v="2.2999999999999998"/>
    <x v="18"/>
    <n v="52.386800000000008"/>
    <n v="7"/>
    <x v="0"/>
  </r>
  <r>
    <n v="3139"/>
    <n v="67"/>
    <x v="1"/>
    <x v="1"/>
    <x v="7"/>
    <s v="Sandals"/>
    <n v="55.02"/>
    <x v="0"/>
    <s v="Cash on Delivery"/>
    <n v="3.4"/>
    <x v="22"/>
    <n v="42.365400000000001"/>
    <n v="9"/>
    <x v="2"/>
  </r>
  <r>
    <n v="3140"/>
    <n v="34"/>
    <x v="0"/>
    <x v="0"/>
    <x v="2"/>
    <s v="Yoga Mat"/>
    <n v="199.1"/>
    <x v="0"/>
    <s v="Card"/>
    <n v="4.3"/>
    <x v="2"/>
    <n v="177.19899999999998"/>
    <n v="3"/>
    <x v="1"/>
  </r>
  <r>
    <n v="3141"/>
    <n v="43"/>
    <x v="0"/>
    <x v="1"/>
    <x v="5"/>
    <s v="Smart Watch"/>
    <n v="1988.61"/>
    <x v="1"/>
    <s v="Card"/>
    <n v="3.8"/>
    <x v="14"/>
    <n v="1650.5462999999997"/>
    <n v="6"/>
    <x v="0"/>
  </r>
  <r>
    <n v="3142"/>
    <n v="60"/>
    <x v="0"/>
    <x v="0"/>
    <x v="8"/>
    <s v="Top"/>
    <n v="118.52"/>
    <x v="2"/>
    <s v="Card"/>
    <n v="3.4"/>
    <x v="6"/>
    <n v="99.556799999999996"/>
    <n v="3"/>
    <x v="1"/>
  </r>
  <r>
    <n v="3143"/>
    <n v="45"/>
    <x v="0"/>
    <x v="0"/>
    <x v="7"/>
    <s v="Sandals"/>
    <n v="80.17"/>
    <x v="3"/>
    <s v="Cash on Delivery"/>
    <n v="3.7"/>
    <x v="10"/>
    <n v="62.532600000000002"/>
    <n v="6"/>
    <x v="0"/>
  </r>
  <r>
    <n v="3144"/>
    <n v="53"/>
    <x v="0"/>
    <x v="1"/>
    <x v="5"/>
    <s v="Laptop"/>
    <n v="2987.4"/>
    <x v="3"/>
    <s v="Card"/>
    <n v="3.4"/>
    <x v="6"/>
    <n v="2509.4160000000002"/>
    <n v="3"/>
    <x v="1"/>
  </r>
  <r>
    <n v="3145"/>
    <n v="58"/>
    <x v="0"/>
    <x v="0"/>
    <x v="0"/>
    <s v="Handbag"/>
    <n v="101.38"/>
    <x v="0"/>
    <s v="Card"/>
    <n v="3.3"/>
    <x v="0"/>
    <n v="83.131600000000006"/>
    <n v="4"/>
    <x v="0"/>
  </r>
  <r>
    <n v="3146"/>
    <n v="62"/>
    <x v="1"/>
    <x v="0"/>
    <x v="7"/>
    <s v="Sandals"/>
    <n v="120.82"/>
    <x v="2"/>
    <s v="Card"/>
    <n v="5"/>
    <x v="10"/>
    <n v="94.239599999999996"/>
    <n v="6"/>
    <x v="0"/>
  </r>
  <r>
    <n v="3147"/>
    <n v="45"/>
    <x v="0"/>
    <x v="1"/>
    <x v="2"/>
    <s v="Yoga Mat"/>
    <n v="152.08000000000001"/>
    <x v="0"/>
    <s v="Card"/>
    <n v="3.6"/>
    <x v="5"/>
    <n v="139.91360000000003"/>
    <n v="4"/>
    <x v="0"/>
  </r>
  <r>
    <n v="3148"/>
    <n v="28"/>
    <x v="2"/>
    <x v="0"/>
    <x v="0"/>
    <s v="Wallet"/>
    <n v="28.4"/>
    <x v="2"/>
    <s v="Card"/>
    <n v="3.5"/>
    <x v="4"/>
    <n v="24.423999999999999"/>
    <n v="2"/>
    <x v="1"/>
  </r>
  <r>
    <n v="3149"/>
    <n v="59"/>
    <x v="0"/>
    <x v="0"/>
    <x v="2"/>
    <s v="Yoga Mat"/>
    <n v="27.33"/>
    <x v="1"/>
    <s v="Card"/>
    <n v="4.5"/>
    <x v="12"/>
    <n v="22.1373"/>
    <n v="7"/>
    <x v="0"/>
  </r>
  <r>
    <n v="3150"/>
    <n v="70"/>
    <x v="1"/>
    <x v="0"/>
    <x v="2"/>
    <s v="Yoga Mat"/>
    <n v="62.01"/>
    <x v="0"/>
    <s v="Card"/>
    <n v="3.2"/>
    <x v="2"/>
    <n v="55.188899999999997"/>
    <n v="3"/>
    <x v="1"/>
  </r>
  <r>
    <n v="3151"/>
    <n v="32"/>
    <x v="0"/>
    <x v="1"/>
    <x v="7"/>
    <s v="Sandals"/>
    <n v="244.65"/>
    <x v="0"/>
    <s v="Card"/>
    <n v="3.2"/>
    <x v="3"/>
    <n v="195.72000000000003"/>
    <n v="5"/>
    <x v="0"/>
  </r>
  <r>
    <n v="3152"/>
    <n v="30"/>
    <x v="2"/>
    <x v="1"/>
    <x v="5"/>
    <s v="Laptop"/>
    <n v="1948.26"/>
    <x v="3"/>
    <s v="Card"/>
    <n v="4.2"/>
    <x v="10"/>
    <n v="1519.6428000000001"/>
    <n v="6"/>
    <x v="0"/>
  </r>
  <r>
    <n v="3153"/>
    <n v="41"/>
    <x v="0"/>
    <x v="1"/>
    <x v="2"/>
    <s v="Dumbbells"/>
    <n v="125.2"/>
    <x v="2"/>
    <s v="Card"/>
    <n v="3.7"/>
    <x v="5"/>
    <n v="115.18400000000001"/>
    <n v="4"/>
    <x v="0"/>
  </r>
  <r>
    <n v="3154"/>
    <n v="28"/>
    <x v="2"/>
    <x v="1"/>
    <x v="2"/>
    <s v="Dumbbells"/>
    <n v="181.02"/>
    <x v="0"/>
    <s v="Card"/>
    <n v="4.3"/>
    <x v="16"/>
    <n v="170.15880000000001"/>
    <n v="3"/>
    <x v="1"/>
  </r>
  <r>
    <n v="3155"/>
    <n v="34"/>
    <x v="0"/>
    <x v="0"/>
    <x v="2"/>
    <s v="Football"/>
    <n v="44.83"/>
    <x v="1"/>
    <s v="Cash on Delivery"/>
    <n v="3.5"/>
    <x v="8"/>
    <n v="39.450400000000002"/>
    <n v="6"/>
    <x v="0"/>
  </r>
  <r>
    <n v="3156"/>
    <n v="60"/>
    <x v="0"/>
    <x v="0"/>
    <x v="6"/>
    <s v="Perfume"/>
    <n v="142.97"/>
    <x v="3"/>
    <s v="Card"/>
    <n v="5"/>
    <x v="30"/>
    <n v="94.360199999999992"/>
    <n v="12"/>
    <x v="2"/>
  </r>
  <r>
    <n v="3157"/>
    <n v="25"/>
    <x v="2"/>
    <x v="0"/>
    <x v="0"/>
    <s v="Handbag"/>
    <n v="147.25"/>
    <x v="3"/>
    <s v="Card"/>
    <n v="3.3"/>
    <x v="16"/>
    <n v="138.41499999999999"/>
    <n v="3"/>
    <x v="1"/>
  </r>
  <r>
    <n v="3158"/>
    <n v="23"/>
    <x v="2"/>
    <x v="1"/>
    <x v="5"/>
    <s v="Smart Watch"/>
    <n v="2464.0300000000002"/>
    <x v="3"/>
    <s v="Card"/>
    <n v="3"/>
    <x v="13"/>
    <n v="2242.2673000000004"/>
    <n v="2"/>
    <x v="1"/>
  </r>
  <r>
    <n v="3159"/>
    <n v="42"/>
    <x v="0"/>
    <x v="0"/>
    <x v="8"/>
    <s v="Top"/>
    <n v="40.69"/>
    <x v="0"/>
    <s v="Card"/>
    <n v="3.5"/>
    <x v="0"/>
    <n v="33.3658"/>
    <n v="4"/>
    <x v="0"/>
  </r>
  <r>
    <n v="3160"/>
    <n v="70"/>
    <x v="1"/>
    <x v="1"/>
    <x v="5"/>
    <s v="Headphones"/>
    <n v="2039.35"/>
    <x v="1"/>
    <s v="Card"/>
    <n v="4.7"/>
    <x v="6"/>
    <n v="1713.0539999999999"/>
    <n v="3"/>
    <x v="1"/>
  </r>
  <r>
    <n v="3161"/>
    <n v="43"/>
    <x v="0"/>
    <x v="0"/>
    <x v="0"/>
    <s v="Handbag"/>
    <n v="140.85"/>
    <x v="3"/>
    <s v="Card"/>
    <n v="3.9"/>
    <x v="5"/>
    <n v="129.58199999999999"/>
    <n v="4"/>
    <x v="0"/>
  </r>
  <r>
    <n v="3162"/>
    <n v="59"/>
    <x v="0"/>
    <x v="1"/>
    <x v="1"/>
    <s v="Jeans"/>
    <n v="126.38"/>
    <x v="2"/>
    <s v="Card"/>
    <n v="4"/>
    <x v="17"/>
    <n v="121.3248"/>
    <n v="2"/>
    <x v="1"/>
  </r>
  <r>
    <n v="3163"/>
    <n v="46"/>
    <x v="0"/>
    <x v="1"/>
    <x v="7"/>
    <s v="Sandals"/>
    <n v="136.72999999999999"/>
    <x v="1"/>
    <s v="Card"/>
    <n v="4.5999999999999996"/>
    <x v="14"/>
    <n v="113.48589999999999"/>
    <n v="6"/>
    <x v="0"/>
  </r>
  <r>
    <n v="3164"/>
    <n v="26"/>
    <x v="2"/>
    <x v="0"/>
    <x v="6"/>
    <s v="Makeup Set"/>
    <n v="32.35"/>
    <x v="1"/>
    <s v="Card"/>
    <n v="4.4000000000000004"/>
    <x v="27"/>
    <n v="24.262500000000003"/>
    <n v="10"/>
    <x v="2"/>
  </r>
  <r>
    <n v="3165"/>
    <n v="51"/>
    <x v="0"/>
    <x v="0"/>
    <x v="8"/>
    <s v="Top"/>
    <n v="104"/>
    <x v="0"/>
    <s v="Card"/>
    <n v="4.2"/>
    <x v="4"/>
    <n v="89.44"/>
    <n v="2"/>
    <x v="1"/>
  </r>
  <r>
    <n v="3166"/>
    <n v="28"/>
    <x v="2"/>
    <x v="0"/>
    <x v="6"/>
    <s v="Makeup Set"/>
    <n v="128.02000000000001"/>
    <x v="2"/>
    <s v="Card"/>
    <n v="3.6"/>
    <x v="19"/>
    <n v="108.81700000000001"/>
    <n v="5"/>
    <x v="0"/>
  </r>
  <r>
    <n v="3167"/>
    <n v="31"/>
    <x v="0"/>
    <x v="0"/>
    <x v="7"/>
    <s v="Formal Shoes"/>
    <n v="59.9"/>
    <x v="3"/>
    <s v="Cash on Delivery"/>
    <n v="3.4"/>
    <x v="10"/>
    <n v="46.722000000000001"/>
    <n v="6"/>
    <x v="0"/>
  </r>
  <r>
    <n v="3168"/>
    <n v="57"/>
    <x v="0"/>
    <x v="1"/>
    <x v="5"/>
    <s v="Smart Watch"/>
    <n v="2940.66"/>
    <x v="0"/>
    <s v="Card"/>
    <n v="3.1"/>
    <x v="7"/>
    <n v="2646.5940000000001"/>
    <n v="5"/>
    <x v="0"/>
  </r>
  <r>
    <n v="3169"/>
    <n v="60"/>
    <x v="0"/>
    <x v="1"/>
    <x v="2"/>
    <s v="Dumbbells"/>
    <n v="99.99"/>
    <x v="0"/>
    <s v="Cash on Delivery"/>
    <n v="2.5"/>
    <x v="0"/>
    <n v="81.991799999999998"/>
    <n v="4"/>
    <x v="0"/>
  </r>
  <r>
    <n v="3170"/>
    <n v="43"/>
    <x v="0"/>
    <x v="0"/>
    <x v="0"/>
    <s v="Wallet"/>
    <n v="35.090000000000003"/>
    <x v="1"/>
    <s v="Card"/>
    <n v="4.5"/>
    <x v="3"/>
    <n v="28.072000000000003"/>
    <n v="5"/>
    <x v="0"/>
  </r>
  <r>
    <n v="3171"/>
    <n v="32"/>
    <x v="0"/>
    <x v="1"/>
    <x v="1"/>
    <s v="Jeans"/>
    <n v="174.21"/>
    <x v="3"/>
    <s v="Card"/>
    <n v="3.2"/>
    <x v="5"/>
    <n v="160.2732"/>
    <n v="4"/>
    <x v="0"/>
  </r>
  <r>
    <n v="3172"/>
    <n v="52"/>
    <x v="0"/>
    <x v="1"/>
    <x v="5"/>
    <s v="Laptop"/>
    <n v="1090.05"/>
    <x v="2"/>
    <s v="Card"/>
    <n v="3.6"/>
    <x v="1"/>
    <n v="948.34349999999995"/>
    <n v="4"/>
    <x v="0"/>
  </r>
  <r>
    <n v="3173"/>
    <n v="69"/>
    <x v="1"/>
    <x v="1"/>
    <x v="2"/>
    <s v="Yoga Mat"/>
    <n v="36.799999999999997"/>
    <x v="3"/>
    <s v="Card"/>
    <n v="3.7"/>
    <x v="25"/>
    <n v="25.759999999999998"/>
    <n v="10"/>
    <x v="2"/>
  </r>
  <r>
    <n v="3174"/>
    <n v="64"/>
    <x v="1"/>
    <x v="1"/>
    <x v="2"/>
    <s v="Dumbbells"/>
    <n v="242.59"/>
    <x v="2"/>
    <s v="Card"/>
    <n v="4.3"/>
    <x v="13"/>
    <n v="220.7569"/>
    <n v="2"/>
    <x v="1"/>
  </r>
  <r>
    <n v="3175"/>
    <n v="68"/>
    <x v="1"/>
    <x v="1"/>
    <x v="5"/>
    <s v="Smart Watch"/>
    <n v="1208.17"/>
    <x v="1"/>
    <s v="Card"/>
    <n v="3.6"/>
    <x v="8"/>
    <n v="1063.1896000000002"/>
    <n v="6"/>
    <x v="0"/>
  </r>
  <r>
    <n v="3176"/>
    <n v="24"/>
    <x v="2"/>
    <x v="0"/>
    <x v="7"/>
    <s v="Sandals"/>
    <n v="144.41999999999999"/>
    <x v="3"/>
    <s v="Card"/>
    <n v="4.4000000000000004"/>
    <x v="17"/>
    <n v="138.64319999999998"/>
    <n v="2"/>
    <x v="1"/>
  </r>
  <r>
    <n v="3177"/>
    <n v="57"/>
    <x v="0"/>
    <x v="1"/>
    <x v="1"/>
    <s v="Shirt"/>
    <n v="74.47"/>
    <x v="0"/>
    <s v="Cash on Delivery"/>
    <n v="3.2"/>
    <x v="6"/>
    <n v="62.5548"/>
    <n v="3"/>
    <x v="1"/>
  </r>
  <r>
    <n v="3178"/>
    <n v="22"/>
    <x v="2"/>
    <x v="0"/>
    <x v="7"/>
    <s v="Formal Shoes"/>
    <n v="248.95"/>
    <x v="1"/>
    <s v="Card"/>
    <n v="2.7"/>
    <x v="7"/>
    <n v="224.05500000000001"/>
    <n v="5"/>
    <x v="0"/>
  </r>
  <r>
    <n v="3179"/>
    <n v="49"/>
    <x v="0"/>
    <x v="1"/>
    <x v="2"/>
    <s v="Yoga Mat"/>
    <n v="84.57"/>
    <x v="2"/>
    <s v="Card"/>
    <n v="3.3"/>
    <x v="0"/>
    <n v="69.347399999999993"/>
    <n v="4"/>
    <x v="0"/>
  </r>
  <r>
    <n v="3180"/>
    <n v="65"/>
    <x v="1"/>
    <x v="0"/>
    <x v="7"/>
    <s v="Formal Shoes"/>
    <n v="182.69"/>
    <x v="2"/>
    <s v="Card"/>
    <n v="4.2"/>
    <x v="5"/>
    <n v="168.07480000000001"/>
    <n v="4"/>
    <x v="0"/>
  </r>
  <r>
    <n v="3181"/>
    <n v="63"/>
    <x v="1"/>
    <x v="0"/>
    <x v="7"/>
    <s v="Sandals"/>
    <n v="95.84"/>
    <x v="2"/>
    <s v="Card"/>
    <n v="2.5"/>
    <x v="2"/>
    <n v="85.297600000000003"/>
    <n v="3"/>
    <x v="1"/>
  </r>
  <r>
    <n v="3182"/>
    <n v="37"/>
    <x v="0"/>
    <x v="1"/>
    <x v="1"/>
    <s v="Shirt"/>
    <n v="174.37"/>
    <x v="3"/>
    <s v="Card"/>
    <n v="4.3"/>
    <x v="5"/>
    <n v="160.4204"/>
    <n v="4"/>
    <x v="0"/>
  </r>
  <r>
    <n v="3183"/>
    <n v="35"/>
    <x v="0"/>
    <x v="1"/>
    <x v="2"/>
    <s v="Football"/>
    <n v="203.49"/>
    <x v="1"/>
    <s v="Card"/>
    <n v="2.8"/>
    <x v="16"/>
    <n v="191.28059999999999"/>
    <n v="3"/>
    <x v="1"/>
  </r>
  <r>
    <n v="3184"/>
    <n v="22"/>
    <x v="2"/>
    <x v="1"/>
    <x v="7"/>
    <s v="Formal Shoes"/>
    <n v="125.93"/>
    <x v="3"/>
    <s v="Card"/>
    <n v="4.8"/>
    <x v="7"/>
    <n v="113.337"/>
    <n v="5"/>
    <x v="0"/>
  </r>
  <r>
    <n v="3185"/>
    <n v="40"/>
    <x v="0"/>
    <x v="0"/>
    <x v="0"/>
    <s v="Handbag"/>
    <n v="59.58"/>
    <x v="3"/>
    <s v="Cash on Delivery"/>
    <n v="3.1"/>
    <x v="7"/>
    <n v="53.622"/>
    <n v="5"/>
    <x v="0"/>
  </r>
  <r>
    <n v="3186"/>
    <n v="40"/>
    <x v="0"/>
    <x v="1"/>
    <x v="2"/>
    <s v="Yoga Mat"/>
    <n v="82.63"/>
    <x v="1"/>
    <s v="Card"/>
    <n v="2.7"/>
    <x v="1"/>
    <n v="71.888099999999994"/>
    <n v="4"/>
    <x v="0"/>
  </r>
  <r>
    <n v="3187"/>
    <n v="68"/>
    <x v="1"/>
    <x v="0"/>
    <x v="3"/>
    <s v="Lamp"/>
    <n v="178.28"/>
    <x v="1"/>
    <s v="Card"/>
    <n v="3.2"/>
    <x v="19"/>
    <n v="151.53800000000001"/>
    <n v="5"/>
    <x v="0"/>
  </r>
  <r>
    <n v="3188"/>
    <n v="46"/>
    <x v="0"/>
    <x v="1"/>
    <x v="2"/>
    <s v="Football"/>
    <n v="205.44"/>
    <x v="2"/>
    <s v="Card"/>
    <n v="3.2"/>
    <x v="6"/>
    <n v="172.56959999999998"/>
    <n v="8"/>
    <x v="2"/>
  </r>
  <r>
    <n v="3189"/>
    <n v="35"/>
    <x v="0"/>
    <x v="1"/>
    <x v="1"/>
    <s v="Shirt"/>
    <n v="165.66"/>
    <x v="1"/>
    <s v="Card"/>
    <n v="2.9"/>
    <x v="8"/>
    <n v="145.7808"/>
    <n v="6"/>
    <x v="0"/>
  </r>
  <r>
    <n v="3190"/>
    <n v="28"/>
    <x v="2"/>
    <x v="1"/>
    <x v="4"/>
    <s v="Snacks"/>
    <n v="30.88"/>
    <x v="3"/>
    <s v="Cash on Delivery"/>
    <n v="4.0999999999999996"/>
    <x v="5"/>
    <n v="28.409600000000001"/>
    <n v="4"/>
    <x v="0"/>
  </r>
  <r>
    <n v="3191"/>
    <n v="66"/>
    <x v="1"/>
    <x v="1"/>
    <x v="1"/>
    <s v="Jacket"/>
    <n v="38.61"/>
    <x v="3"/>
    <s v="Cash on Delivery"/>
    <n v="2.9"/>
    <x v="19"/>
    <n v="32.8185"/>
    <n v="5"/>
    <x v="0"/>
  </r>
  <r>
    <n v="3192"/>
    <n v="41"/>
    <x v="0"/>
    <x v="0"/>
    <x v="0"/>
    <s v="Handbag"/>
    <n v="45.01"/>
    <x v="1"/>
    <s v="Cash on Delivery"/>
    <n v="4.7"/>
    <x v="10"/>
    <n v="35.107799999999997"/>
    <n v="6"/>
    <x v="0"/>
  </r>
  <r>
    <n v="3193"/>
    <n v="57"/>
    <x v="0"/>
    <x v="1"/>
    <x v="2"/>
    <s v="Dumbbells"/>
    <n v="175.22"/>
    <x v="0"/>
    <s v="Card"/>
    <n v="3.6"/>
    <x v="10"/>
    <n v="136.67160000000001"/>
    <n v="6"/>
    <x v="0"/>
  </r>
  <r>
    <n v="3194"/>
    <n v="22"/>
    <x v="2"/>
    <x v="1"/>
    <x v="7"/>
    <s v="Sandals"/>
    <n v="243.43"/>
    <x v="2"/>
    <s v="Card"/>
    <n v="4"/>
    <x v="8"/>
    <n v="214.2184"/>
    <n v="6"/>
    <x v="0"/>
  </r>
  <r>
    <n v="3195"/>
    <n v="62"/>
    <x v="1"/>
    <x v="0"/>
    <x v="8"/>
    <s v="Dress"/>
    <n v="117.16"/>
    <x v="3"/>
    <s v="Card"/>
    <n v="3.9"/>
    <x v="22"/>
    <n v="90.213200000000001"/>
    <n v="9"/>
    <x v="2"/>
  </r>
  <r>
    <n v="3196"/>
    <n v="56"/>
    <x v="0"/>
    <x v="0"/>
    <x v="6"/>
    <s v="Skincare Kit"/>
    <n v="58.22"/>
    <x v="2"/>
    <s v="Cash on Delivery"/>
    <n v="2.8"/>
    <x v="3"/>
    <n v="46.576000000000001"/>
    <n v="5"/>
    <x v="0"/>
  </r>
  <r>
    <n v="3197"/>
    <n v="21"/>
    <x v="2"/>
    <x v="1"/>
    <x v="7"/>
    <s v="Sneakers"/>
    <n v="155.55000000000001"/>
    <x v="0"/>
    <s v="Card"/>
    <n v="5"/>
    <x v="25"/>
    <n v="108.88500000000001"/>
    <n v="10"/>
    <x v="2"/>
  </r>
  <r>
    <n v="3198"/>
    <n v="44"/>
    <x v="0"/>
    <x v="1"/>
    <x v="1"/>
    <s v="T-Shirt"/>
    <n v="121.79"/>
    <x v="2"/>
    <s v="Card"/>
    <n v="4.8"/>
    <x v="6"/>
    <n v="102.3036"/>
    <n v="3"/>
    <x v="1"/>
  </r>
  <r>
    <n v="3199"/>
    <n v="24"/>
    <x v="2"/>
    <x v="1"/>
    <x v="1"/>
    <s v="Jacket"/>
    <n v="77.77"/>
    <x v="3"/>
    <s v="Cash on Delivery"/>
    <n v="3"/>
    <x v="27"/>
    <n v="58.327500000000001"/>
    <n v="10"/>
    <x v="2"/>
  </r>
  <r>
    <n v="3200"/>
    <n v="34"/>
    <x v="0"/>
    <x v="1"/>
    <x v="2"/>
    <s v="Yoga Mat"/>
    <n v="91.22"/>
    <x v="1"/>
    <s v="Cash on Delivery"/>
    <n v="3.2"/>
    <x v="4"/>
    <n v="78.449200000000005"/>
    <n v="2"/>
    <x v="1"/>
  </r>
  <r>
    <n v="3201"/>
    <n v="68"/>
    <x v="1"/>
    <x v="0"/>
    <x v="7"/>
    <s v="Sandals"/>
    <n v="49.34"/>
    <x v="3"/>
    <s v="Cash on Delivery"/>
    <n v="3.8"/>
    <x v="10"/>
    <n v="38.485200000000006"/>
    <n v="6"/>
    <x v="0"/>
  </r>
  <r>
    <n v="3202"/>
    <n v="59"/>
    <x v="0"/>
    <x v="1"/>
    <x v="5"/>
    <s v="Smart Watch"/>
    <n v="1412.35"/>
    <x v="1"/>
    <s v="Card"/>
    <n v="2.8"/>
    <x v="2"/>
    <n v="1256.9914999999999"/>
    <n v="3"/>
    <x v="1"/>
  </r>
  <r>
    <n v="3203"/>
    <n v="70"/>
    <x v="1"/>
    <x v="0"/>
    <x v="2"/>
    <s v="Dumbbells"/>
    <n v="191.53"/>
    <x v="0"/>
    <s v="Card"/>
    <n v="3"/>
    <x v="13"/>
    <n v="174.29230000000001"/>
    <n v="2"/>
    <x v="1"/>
  </r>
  <r>
    <n v="3204"/>
    <n v="70"/>
    <x v="1"/>
    <x v="0"/>
    <x v="6"/>
    <s v="Perfume"/>
    <n v="132.43"/>
    <x v="3"/>
    <s v="Card"/>
    <n v="4.3"/>
    <x v="6"/>
    <n v="111.24120000000001"/>
    <n v="3"/>
    <x v="1"/>
  </r>
  <r>
    <n v="3205"/>
    <n v="48"/>
    <x v="0"/>
    <x v="0"/>
    <x v="6"/>
    <s v="Skincare Kit"/>
    <n v="69.75"/>
    <x v="2"/>
    <s v="Card"/>
    <n v="3.7"/>
    <x v="15"/>
    <n v="68.355000000000004"/>
    <n v="1"/>
    <x v="1"/>
  </r>
  <r>
    <n v="3206"/>
    <n v="35"/>
    <x v="0"/>
    <x v="1"/>
    <x v="7"/>
    <s v="Formal Shoes"/>
    <n v="85.09"/>
    <x v="1"/>
    <s v="Card"/>
    <n v="2.8"/>
    <x v="3"/>
    <n v="68.072000000000003"/>
    <n v="5"/>
    <x v="0"/>
  </r>
  <r>
    <n v="3207"/>
    <n v="61"/>
    <x v="1"/>
    <x v="1"/>
    <x v="1"/>
    <s v="Shirt"/>
    <n v="46.79"/>
    <x v="2"/>
    <s v="Cash on Delivery"/>
    <n v="3.8"/>
    <x v="1"/>
    <n v="40.707299999999996"/>
    <n v="4"/>
    <x v="0"/>
  </r>
  <r>
    <n v="3208"/>
    <n v="55"/>
    <x v="0"/>
    <x v="1"/>
    <x v="2"/>
    <s v="Football"/>
    <n v="164.44"/>
    <x v="0"/>
    <s v="Card"/>
    <n v="3.7"/>
    <x v="8"/>
    <n v="144.7072"/>
    <n v="6"/>
    <x v="0"/>
  </r>
  <r>
    <n v="3209"/>
    <n v="50"/>
    <x v="0"/>
    <x v="1"/>
    <x v="1"/>
    <s v="Jacket"/>
    <n v="73.98"/>
    <x v="1"/>
    <s v="Card"/>
    <n v="5"/>
    <x v="22"/>
    <n v="56.964600000000004"/>
    <n v="9"/>
    <x v="2"/>
  </r>
  <r>
    <n v="3210"/>
    <n v="23"/>
    <x v="2"/>
    <x v="0"/>
    <x v="6"/>
    <s v="Makeup Set"/>
    <n v="145.91"/>
    <x v="3"/>
    <s v="Card"/>
    <n v="3.3"/>
    <x v="0"/>
    <n v="119.64620000000001"/>
    <n v="4"/>
    <x v="0"/>
  </r>
  <r>
    <n v="3211"/>
    <n v="26"/>
    <x v="2"/>
    <x v="1"/>
    <x v="7"/>
    <s v="Sandals"/>
    <n v="189.03"/>
    <x v="3"/>
    <s v="Card"/>
    <n v="4.2"/>
    <x v="7"/>
    <n v="170.12700000000001"/>
    <n v="5"/>
    <x v="0"/>
  </r>
  <r>
    <n v="3212"/>
    <n v="41"/>
    <x v="0"/>
    <x v="0"/>
    <x v="6"/>
    <s v="Makeup Set"/>
    <n v="105.87"/>
    <x v="3"/>
    <s v="Card"/>
    <n v="4.9000000000000004"/>
    <x v="1"/>
    <n v="92.10690000000001"/>
    <n v="4"/>
    <x v="0"/>
  </r>
  <r>
    <n v="3213"/>
    <n v="45"/>
    <x v="0"/>
    <x v="1"/>
    <x v="3"/>
    <s v="Curtains"/>
    <n v="170.97"/>
    <x v="2"/>
    <s v="Card"/>
    <n v="4.4000000000000004"/>
    <x v="8"/>
    <n v="150.45359999999999"/>
    <n v="6"/>
    <x v="0"/>
  </r>
  <r>
    <n v="3214"/>
    <n v="27"/>
    <x v="2"/>
    <x v="0"/>
    <x v="7"/>
    <s v="Sneakers"/>
    <n v="77.2"/>
    <x v="2"/>
    <s v="Cash on Delivery"/>
    <n v="4.2"/>
    <x v="19"/>
    <n v="65.62"/>
    <n v="5"/>
    <x v="0"/>
  </r>
  <r>
    <n v="3215"/>
    <n v="21"/>
    <x v="2"/>
    <x v="0"/>
    <x v="6"/>
    <s v="Skincare Kit"/>
    <n v="147"/>
    <x v="2"/>
    <s v="Card"/>
    <n v="3.4"/>
    <x v="5"/>
    <n v="135.24"/>
    <n v="4"/>
    <x v="0"/>
  </r>
  <r>
    <n v="3216"/>
    <n v="46"/>
    <x v="0"/>
    <x v="0"/>
    <x v="8"/>
    <s v="Skirt"/>
    <n v="30.57"/>
    <x v="2"/>
    <s v="Card"/>
    <n v="4.2"/>
    <x v="16"/>
    <n v="28.735799999999998"/>
    <n v="3"/>
    <x v="1"/>
  </r>
  <r>
    <n v="3217"/>
    <n v="23"/>
    <x v="2"/>
    <x v="1"/>
    <x v="7"/>
    <s v="Sneakers"/>
    <n v="232.37"/>
    <x v="0"/>
    <s v="Card"/>
    <n v="4.2"/>
    <x v="22"/>
    <n v="178.92490000000001"/>
    <n v="9"/>
    <x v="2"/>
  </r>
  <r>
    <n v="3218"/>
    <n v="59"/>
    <x v="0"/>
    <x v="1"/>
    <x v="2"/>
    <s v="Yoga Mat"/>
    <n v="234.52"/>
    <x v="2"/>
    <s v="Card"/>
    <n v="4.0999999999999996"/>
    <x v="10"/>
    <n v="182.9256"/>
    <n v="6"/>
    <x v="0"/>
  </r>
  <r>
    <n v="3219"/>
    <n v="52"/>
    <x v="0"/>
    <x v="0"/>
    <x v="6"/>
    <s v="Perfume"/>
    <n v="130.99"/>
    <x v="2"/>
    <s v="Card"/>
    <n v="5"/>
    <x v="18"/>
    <n v="99.552400000000006"/>
    <n v="7"/>
    <x v="0"/>
  </r>
  <r>
    <n v="3220"/>
    <n v="36"/>
    <x v="0"/>
    <x v="1"/>
    <x v="2"/>
    <s v="Football"/>
    <n v="51.47"/>
    <x v="2"/>
    <s v="Card"/>
    <n v="2.4"/>
    <x v="16"/>
    <n v="48.381799999999998"/>
    <n v="3"/>
    <x v="1"/>
  </r>
  <r>
    <n v="3221"/>
    <n v="40"/>
    <x v="0"/>
    <x v="0"/>
    <x v="0"/>
    <s v="Sunglasses"/>
    <n v="160.63"/>
    <x v="3"/>
    <s v="Card"/>
    <n v="2.8"/>
    <x v="4"/>
    <n v="138.14179999999999"/>
    <n v="7"/>
    <x v="0"/>
  </r>
  <r>
    <n v="3222"/>
    <n v="50"/>
    <x v="0"/>
    <x v="1"/>
    <x v="3"/>
    <s v="Kitchen Set"/>
    <n v="122.41"/>
    <x v="1"/>
    <s v="Card"/>
    <n v="3.9"/>
    <x v="6"/>
    <n v="102.8244"/>
    <n v="8"/>
    <x v="2"/>
  </r>
  <r>
    <n v="3223"/>
    <n v="39"/>
    <x v="0"/>
    <x v="1"/>
    <x v="3"/>
    <s v="Lamp"/>
    <n v="113.22"/>
    <x v="1"/>
    <s v="Card"/>
    <n v="3.1"/>
    <x v="25"/>
    <n v="79.253999999999991"/>
    <n v="10"/>
    <x v="2"/>
  </r>
  <r>
    <n v="3224"/>
    <n v="65"/>
    <x v="1"/>
    <x v="0"/>
    <x v="6"/>
    <s v="Makeup Set"/>
    <n v="84.88"/>
    <x v="2"/>
    <s v="Cash on Delivery"/>
    <n v="2.7"/>
    <x v="0"/>
    <n v="69.601600000000005"/>
    <n v="4"/>
    <x v="0"/>
  </r>
  <r>
    <n v="3225"/>
    <n v="52"/>
    <x v="0"/>
    <x v="0"/>
    <x v="6"/>
    <s v="Skincare Kit"/>
    <n v="22.73"/>
    <x v="1"/>
    <s v="Card"/>
    <n v="3.4"/>
    <x v="16"/>
    <n v="21.366199999999999"/>
    <n v="3"/>
    <x v="1"/>
  </r>
  <r>
    <n v="3226"/>
    <n v="54"/>
    <x v="0"/>
    <x v="0"/>
    <x v="7"/>
    <s v="Sneakers"/>
    <n v="226.11"/>
    <x v="3"/>
    <s v="Card"/>
    <n v="4.5"/>
    <x v="14"/>
    <n v="187.6713"/>
    <n v="6"/>
    <x v="0"/>
  </r>
  <r>
    <n v="3227"/>
    <n v="64"/>
    <x v="1"/>
    <x v="0"/>
    <x v="2"/>
    <s v="Yoga Mat"/>
    <n v="208.59"/>
    <x v="1"/>
    <s v="Card"/>
    <n v="2.8"/>
    <x v="5"/>
    <n v="191.90280000000001"/>
    <n v="4"/>
    <x v="0"/>
  </r>
  <r>
    <n v="3228"/>
    <n v="53"/>
    <x v="0"/>
    <x v="1"/>
    <x v="2"/>
    <s v="Football"/>
    <n v="120.33"/>
    <x v="1"/>
    <s v="Card"/>
    <n v="3.7"/>
    <x v="16"/>
    <n v="113.11019999999999"/>
    <n v="3"/>
    <x v="1"/>
  </r>
  <r>
    <n v="3229"/>
    <n v="29"/>
    <x v="2"/>
    <x v="1"/>
    <x v="4"/>
    <s v="Rice Pack"/>
    <n v="41.86"/>
    <x v="1"/>
    <s v="Cash on Delivery"/>
    <n v="4"/>
    <x v="0"/>
    <n v="34.325200000000002"/>
    <n v="4"/>
    <x v="0"/>
  </r>
  <r>
    <n v="3230"/>
    <n v="50"/>
    <x v="0"/>
    <x v="1"/>
    <x v="2"/>
    <s v="Dumbbells"/>
    <n v="31.06"/>
    <x v="2"/>
    <s v="Card"/>
    <n v="3"/>
    <x v="8"/>
    <n v="27.332799999999999"/>
    <n v="6"/>
    <x v="0"/>
  </r>
  <r>
    <n v="3231"/>
    <n v="51"/>
    <x v="0"/>
    <x v="1"/>
    <x v="7"/>
    <s v="Sandals"/>
    <n v="46.87"/>
    <x v="3"/>
    <s v="Cash on Delivery"/>
    <n v="3.5"/>
    <x v="19"/>
    <n v="39.839499999999994"/>
    <n v="5"/>
    <x v="0"/>
  </r>
  <r>
    <n v="3232"/>
    <n v="70"/>
    <x v="1"/>
    <x v="0"/>
    <x v="0"/>
    <s v="Wallet"/>
    <n v="124.66"/>
    <x v="1"/>
    <s v="Card"/>
    <n v="4.5999999999999996"/>
    <x v="12"/>
    <n v="100.97460000000001"/>
    <n v="7"/>
    <x v="0"/>
  </r>
  <r>
    <n v="3233"/>
    <n v="32"/>
    <x v="0"/>
    <x v="0"/>
    <x v="3"/>
    <s v="Lamp"/>
    <n v="101.07"/>
    <x v="2"/>
    <s v="Card"/>
    <n v="3.6"/>
    <x v="16"/>
    <n v="95.005799999999994"/>
    <n v="3"/>
    <x v="1"/>
  </r>
  <r>
    <n v="3234"/>
    <n v="69"/>
    <x v="1"/>
    <x v="1"/>
    <x v="2"/>
    <s v="Football"/>
    <n v="169.69"/>
    <x v="0"/>
    <s v="Card"/>
    <n v="3.8"/>
    <x v="17"/>
    <n v="162.9024"/>
    <n v="2"/>
    <x v="1"/>
  </r>
  <r>
    <n v="3235"/>
    <n v="38"/>
    <x v="0"/>
    <x v="0"/>
    <x v="0"/>
    <s v="Handbag"/>
    <n v="123.74"/>
    <x v="0"/>
    <s v="Card"/>
    <n v="3.8"/>
    <x v="4"/>
    <n v="106.4164"/>
    <n v="7"/>
    <x v="0"/>
  </r>
  <r>
    <n v="3236"/>
    <n v="45"/>
    <x v="0"/>
    <x v="1"/>
    <x v="7"/>
    <s v="Sneakers"/>
    <n v="118.39"/>
    <x v="2"/>
    <s v="Card"/>
    <n v="5"/>
    <x v="0"/>
    <n v="97.079800000000006"/>
    <n v="4"/>
    <x v="0"/>
  </r>
  <r>
    <n v="3237"/>
    <n v="47"/>
    <x v="0"/>
    <x v="0"/>
    <x v="0"/>
    <s v="Handbag"/>
    <n v="167.42"/>
    <x v="0"/>
    <s v="Card"/>
    <n v="4.0999999999999996"/>
    <x v="1"/>
    <n v="145.65539999999999"/>
    <n v="4"/>
    <x v="0"/>
  </r>
  <r>
    <n v="3238"/>
    <n v="65"/>
    <x v="1"/>
    <x v="1"/>
    <x v="3"/>
    <s v="Curtains"/>
    <n v="113.63"/>
    <x v="0"/>
    <s v="Card"/>
    <n v="3.2"/>
    <x v="5"/>
    <n v="104.53960000000001"/>
    <n v="4"/>
    <x v="0"/>
  </r>
  <r>
    <n v="3239"/>
    <n v="62"/>
    <x v="1"/>
    <x v="0"/>
    <x v="0"/>
    <s v="Handbag"/>
    <n v="61.6"/>
    <x v="0"/>
    <s v="Card"/>
    <n v="3.9"/>
    <x v="7"/>
    <n v="55.440000000000005"/>
    <n v="5"/>
    <x v="0"/>
  </r>
  <r>
    <n v="3240"/>
    <n v="41"/>
    <x v="0"/>
    <x v="0"/>
    <x v="6"/>
    <s v="Makeup Set"/>
    <n v="29.6"/>
    <x v="0"/>
    <s v="Card"/>
    <n v="3.5"/>
    <x v="5"/>
    <n v="27.232000000000003"/>
    <n v="4"/>
    <x v="0"/>
  </r>
  <r>
    <n v="3241"/>
    <n v="60"/>
    <x v="0"/>
    <x v="0"/>
    <x v="6"/>
    <s v="Makeup Set"/>
    <n v="29.4"/>
    <x v="0"/>
    <s v="Cash on Delivery"/>
    <n v="4.2"/>
    <x v="2"/>
    <n v="26.166"/>
    <n v="3"/>
    <x v="1"/>
  </r>
  <r>
    <n v="3242"/>
    <n v="36"/>
    <x v="0"/>
    <x v="0"/>
    <x v="2"/>
    <s v="Yoga Mat"/>
    <n v="172.71"/>
    <x v="3"/>
    <s v="Card"/>
    <n v="4.4000000000000004"/>
    <x v="8"/>
    <n v="151.98480000000001"/>
    <n v="6"/>
    <x v="0"/>
  </r>
  <r>
    <n v="3243"/>
    <n v="47"/>
    <x v="0"/>
    <x v="1"/>
    <x v="7"/>
    <s v="Sandals"/>
    <n v="142.61000000000001"/>
    <x v="2"/>
    <s v="Card"/>
    <n v="3.8"/>
    <x v="3"/>
    <n v="114.08800000000002"/>
    <n v="5"/>
    <x v="0"/>
  </r>
  <r>
    <n v="3244"/>
    <n v="66"/>
    <x v="1"/>
    <x v="0"/>
    <x v="7"/>
    <s v="Sandals"/>
    <n v="214.77"/>
    <x v="1"/>
    <s v="Card"/>
    <n v="2.9"/>
    <x v="2"/>
    <n v="191.14530000000002"/>
    <n v="3"/>
    <x v="1"/>
  </r>
  <r>
    <n v="3245"/>
    <n v="50"/>
    <x v="0"/>
    <x v="1"/>
    <x v="1"/>
    <s v="T-Shirt"/>
    <n v="178.6"/>
    <x v="1"/>
    <s v="Card"/>
    <n v="3.6"/>
    <x v="2"/>
    <n v="158.95400000000001"/>
    <n v="3"/>
    <x v="1"/>
  </r>
  <r>
    <n v="3246"/>
    <n v="55"/>
    <x v="0"/>
    <x v="0"/>
    <x v="3"/>
    <s v="Kitchen Set"/>
    <n v="41.18"/>
    <x v="1"/>
    <s v="Card"/>
    <n v="4.8"/>
    <x v="0"/>
    <n v="33.767600000000002"/>
    <n v="9"/>
    <x v="2"/>
  </r>
  <r>
    <n v="3247"/>
    <n v="54"/>
    <x v="0"/>
    <x v="0"/>
    <x v="6"/>
    <s v="Skincare Kit"/>
    <n v="117.16"/>
    <x v="2"/>
    <s v="Card"/>
    <n v="4.3"/>
    <x v="24"/>
    <n v="84.355199999999996"/>
    <n v="9"/>
    <x v="2"/>
  </r>
  <r>
    <n v="3248"/>
    <n v="21"/>
    <x v="2"/>
    <x v="1"/>
    <x v="2"/>
    <s v="Dumbbells"/>
    <n v="65.959999999999994"/>
    <x v="3"/>
    <s v="Card"/>
    <n v="5"/>
    <x v="10"/>
    <n v="51.448799999999999"/>
    <n v="6"/>
    <x v="0"/>
  </r>
  <r>
    <n v="3249"/>
    <n v="41"/>
    <x v="0"/>
    <x v="0"/>
    <x v="6"/>
    <s v="Perfume"/>
    <n v="48.64"/>
    <x v="3"/>
    <s v="Card"/>
    <n v="2.7"/>
    <x v="5"/>
    <n v="44.748800000000003"/>
    <n v="4"/>
    <x v="0"/>
  </r>
  <r>
    <n v="3250"/>
    <n v="58"/>
    <x v="0"/>
    <x v="1"/>
    <x v="2"/>
    <s v="Dumbbells"/>
    <n v="246.31"/>
    <x v="2"/>
    <s v="Card"/>
    <n v="3.9"/>
    <x v="3"/>
    <n v="197.048"/>
    <n v="5"/>
    <x v="0"/>
  </r>
  <r>
    <n v="3251"/>
    <n v="56"/>
    <x v="0"/>
    <x v="1"/>
    <x v="5"/>
    <s v="Mobile Phone"/>
    <n v="648.62"/>
    <x v="3"/>
    <s v="Card"/>
    <n v="3.3"/>
    <x v="8"/>
    <n v="570.78560000000004"/>
    <n v="6"/>
    <x v="0"/>
  </r>
  <r>
    <n v="3252"/>
    <n v="51"/>
    <x v="0"/>
    <x v="0"/>
    <x v="4"/>
    <s v="Snacks"/>
    <n v="67.67"/>
    <x v="0"/>
    <s v="Cash on Delivery"/>
    <n v="3.9"/>
    <x v="0"/>
    <n v="55.489400000000003"/>
    <n v="4"/>
    <x v="0"/>
  </r>
  <r>
    <n v="3253"/>
    <n v="38"/>
    <x v="0"/>
    <x v="1"/>
    <x v="1"/>
    <s v="T-Shirt"/>
    <n v="154.49"/>
    <x v="0"/>
    <s v="Card"/>
    <n v="3.2"/>
    <x v="2"/>
    <n v="137.49610000000001"/>
    <n v="3"/>
    <x v="1"/>
  </r>
  <r>
    <n v="3254"/>
    <n v="29"/>
    <x v="2"/>
    <x v="1"/>
    <x v="2"/>
    <s v="Yoga Mat"/>
    <n v="51.12"/>
    <x v="1"/>
    <s v="Card"/>
    <n v="4.9000000000000004"/>
    <x v="25"/>
    <n v="35.783999999999999"/>
    <n v="10"/>
    <x v="2"/>
  </r>
  <r>
    <n v="3255"/>
    <n v="70"/>
    <x v="1"/>
    <x v="0"/>
    <x v="0"/>
    <s v="Wallet"/>
    <n v="115.94"/>
    <x v="1"/>
    <s v="Card"/>
    <n v="4.4000000000000004"/>
    <x v="16"/>
    <n v="108.9836"/>
    <n v="3"/>
    <x v="1"/>
  </r>
  <r>
    <n v="3256"/>
    <n v="49"/>
    <x v="0"/>
    <x v="0"/>
    <x v="6"/>
    <s v="Perfume"/>
    <n v="132.49"/>
    <x v="2"/>
    <s v="Card"/>
    <n v="2.2999999999999998"/>
    <x v="19"/>
    <n v="112.6165"/>
    <n v="5"/>
    <x v="0"/>
  </r>
  <r>
    <n v="3257"/>
    <n v="69"/>
    <x v="1"/>
    <x v="1"/>
    <x v="7"/>
    <s v="Sandals"/>
    <n v="194.63"/>
    <x v="2"/>
    <s v="Card"/>
    <n v="4.7"/>
    <x v="13"/>
    <n v="177.11330000000001"/>
    <n v="2"/>
    <x v="1"/>
  </r>
  <r>
    <n v="3258"/>
    <n v="34"/>
    <x v="0"/>
    <x v="1"/>
    <x v="7"/>
    <s v="Formal Shoes"/>
    <n v="113.73"/>
    <x v="0"/>
    <s v="Card"/>
    <n v="3.6"/>
    <x v="21"/>
    <n v="89.846700000000013"/>
    <n v="8"/>
    <x v="2"/>
  </r>
  <r>
    <n v="3259"/>
    <n v="58"/>
    <x v="0"/>
    <x v="0"/>
    <x v="2"/>
    <s v="Yoga Mat"/>
    <n v="84.1"/>
    <x v="1"/>
    <s v="Card"/>
    <n v="3.8"/>
    <x v="6"/>
    <n v="70.643999999999991"/>
    <n v="3"/>
    <x v="1"/>
  </r>
  <r>
    <n v="3260"/>
    <n v="60"/>
    <x v="0"/>
    <x v="1"/>
    <x v="5"/>
    <s v="Smart Watch"/>
    <n v="2936.08"/>
    <x v="3"/>
    <s v="Card"/>
    <n v="5"/>
    <x v="3"/>
    <n v="2348.864"/>
    <n v="5"/>
    <x v="0"/>
  </r>
  <r>
    <n v="3261"/>
    <n v="51"/>
    <x v="0"/>
    <x v="1"/>
    <x v="5"/>
    <s v="Smart Watch"/>
    <n v="1369.63"/>
    <x v="3"/>
    <s v="Card"/>
    <n v="3"/>
    <x v="7"/>
    <n v="1232.6670000000001"/>
    <n v="5"/>
    <x v="0"/>
  </r>
  <r>
    <n v="3262"/>
    <n v="68"/>
    <x v="1"/>
    <x v="0"/>
    <x v="6"/>
    <s v="Makeup Set"/>
    <n v="23.21"/>
    <x v="0"/>
    <s v="Card"/>
    <n v="5"/>
    <x v="2"/>
    <n v="20.6569"/>
    <n v="3"/>
    <x v="1"/>
  </r>
  <r>
    <n v="3263"/>
    <n v="40"/>
    <x v="0"/>
    <x v="1"/>
    <x v="2"/>
    <s v="Yoga Mat"/>
    <n v="231.3"/>
    <x v="2"/>
    <s v="Card"/>
    <n v="4"/>
    <x v="5"/>
    <n v="212.79600000000002"/>
    <n v="4"/>
    <x v="0"/>
  </r>
  <r>
    <n v="3264"/>
    <n v="31"/>
    <x v="0"/>
    <x v="1"/>
    <x v="2"/>
    <s v="Football"/>
    <n v="212.05"/>
    <x v="0"/>
    <s v="Card"/>
    <n v="3.5"/>
    <x v="19"/>
    <n v="180.24250000000001"/>
    <n v="5"/>
    <x v="0"/>
  </r>
  <r>
    <n v="3265"/>
    <n v="20"/>
    <x v="2"/>
    <x v="0"/>
    <x v="8"/>
    <s v="Top"/>
    <n v="78.09"/>
    <x v="2"/>
    <s v="Cash on Delivery"/>
    <n v="4.0999999999999996"/>
    <x v="5"/>
    <n v="71.842800000000011"/>
    <n v="4"/>
    <x v="0"/>
  </r>
  <r>
    <n v="3266"/>
    <n v="35"/>
    <x v="0"/>
    <x v="1"/>
    <x v="2"/>
    <s v="Yoga Mat"/>
    <n v="189.56"/>
    <x v="0"/>
    <s v="Card"/>
    <n v="4.5"/>
    <x v="2"/>
    <n v="168.70840000000001"/>
    <n v="3"/>
    <x v="1"/>
  </r>
  <r>
    <n v="3267"/>
    <n v="39"/>
    <x v="0"/>
    <x v="0"/>
    <x v="7"/>
    <s v="Formal Shoes"/>
    <n v="143.79"/>
    <x v="3"/>
    <s v="Card"/>
    <n v="4.9000000000000004"/>
    <x v="6"/>
    <n v="120.78359999999999"/>
    <n v="3"/>
    <x v="1"/>
  </r>
  <r>
    <n v="3268"/>
    <n v="56"/>
    <x v="0"/>
    <x v="1"/>
    <x v="4"/>
    <s v="Snacks"/>
    <n v="43.68"/>
    <x v="3"/>
    <s v="Cash on Delivery"/>
    <n v="3.9"/>
    <x v="9"/>
    <n v="31.886399999999998"/>
    <n v="11"/>
    <x v="2"/>
  </r>
  <r>
    <n v="3269"/>
    <n v="58"/>
    <x v="0"/>
    <x v="0"/>
    <x v="6"/>
    <s v="Skincare Kit"/>
    <n v="68.569999999999993"/>
    <x v="0"/>
    <s v="Card"/>
    <n v="4.3"/>
    <x v="0"/>
    <n v="56.227399999999996"/>
    <n v="4"/>
    <x v="0"/>
  </r>
  <r>
    <n v="3270"/>
    <n v="68"/>
    <x v="1"/>
    <x v="0"/>
    <x v="7"/>
    <s v="Sandals"/>
    <n v="69.56"/>
    <x v="2"/>
    <s v="Cash on Delivery"/>
    <n v="4.9000000000000004"/>
    <x v="21"/>
    <n v="54.952400000000004"/>
    <n v="8"/>
    <x v="2"/>
  </r>
  <r>
    <n v="3271"/>
    <n v="22"/>
    <x v="2"/>
    <x v="0"/>
    <x v="3"/>
    <s v="Lamp"/>
    <n v="242.3"/>
    <x v="0"/>
    <s v="Card"/>
    <n v="4.5"/>
    <x v="10"/>
    <n v="188.99400000000003"/>
    <n v="6"/>
    <x v="0"/>
  </r>
  <r>
    <n v="3272"/>
    <n v="20"/>
    <x v="2"/>
    <x v="0"/>
    <x v="6"/>
    <s v="Perfume"/>
    <n v="140.19999999999999"/>
    <x v="1"/>
    <s v="Card"/>
    <n v="4.0999999999999996"/>
    <x v="12"/>
    <n v="113.562"/>
    <n v="7"/>
    <x v="0"/>
  </r>
  <r>
    <n v="3273"/>
    <n v="64"/>
    <x v="1"/>
    <x v="1"/>
    <x v="3"/>
    <s v="Curtains"/>
    <n v="79.900000000000006"/>
    <x v="1"/>
    <s v="Card"/>
    <n v="3.3"/>
    <x v="11"/>
    <n v="59.126000000000005"/>
    <n v="8"/>
    <x v="2"/>
  </r>
  <r>
    <n v="3274"/>
    <n v="33"/>
    <x v="0"/>
    <x v="1"/>
    <x v="7"/>
    <s v="Sandals"/>
    <n v="248.65"/>
    <x v="0"/>
    <s v="Card"/>
    <n v="3.8"/>
    <x v="19"/>
    <n v="211.35249999999999"/>
    <n v="5"/>
    <x v="0"/>
  </r>
  <r>
    <n v="3275"/>
    <n v="45"/>
    <x v="0"/>
    <x v="1"/>
    <x v="7"/>
    <s v="Sneakers"/>
    <n v="227.4"/>
    <x v="2"/>
    <s v="Card"/>
    <n v="3.8"/>
    <x v="19"/>
    <n v="193.29"/>
    <n v="5"/>
    <x v="0"/>
  </r>
  <r>
    <n v="3276"/>
    <n v="24"/>
    <x v="2"/>
    <x v="1"/>
    <x v="2"/>
    <s v="Dumbbells"/>
    <n v="153.18"/>
    <x v="1"/>
    <s v="Card"/>
    <n v="3.2"/>
    <x v="19"/>
    <n v="130.203"/>
    <n v="5"/>
    <x v="0"/>
  </r>
  <r>
    <n v="3277"/>
    <n v="24"/>
    <x v="2"/>
    <x v="1"/>
    <x v="1"/>
    <s v="T-Shirt"/>
    <n v="101.1"/>
    <x v="1"/>
    <s v="Card"/>
    <n v="2.9"/>
    <x v="7"/>
    <n v="90.99"/>
    <n v="5"/>
    <x v="0"/>
  </r>
  <r>
    <n v="3278"/>
    <n v="70"/>
    <x v="1"/>
    <x v="1"/>
    <x v="1"/>
    <s v="Jacket"/>
    <n v="128.5"/>
    <x v="3"/>
    <s v="Card"/>
    <n v="4.4000000000000004"/>
    <x v="14"/>
    <n v="106.655"/>
    <n v="6"/>
    <x v="0"/>
  </r>
  <r>
    <n v="3279"/>
    <n v="49"/>
    <x v="0"/>
    <x v="0"/>
    <x v="2"/>
    <s v="Yoga Mat"/>
    <n v="93.21"/>
    <x v="3"/>
    <s v="Cash on Delivery"/>
    <n v="4"/>
    <x v="5"/>
    <n v="85.753199999999993"/>
    <n v="4"/>
    <x v="0"/>
  </r>
  <r>
    <n v="3280"/>
    <n v="69"/>
    <x v="1"/>
    <x v="1"/>
    <x v="1"/>
    <s v="T-Shirt"/>
    <n v="120.7"/>
    <x v="2"/>
    <s v="Card"/>
    <n v="3.9"/>
    <x v="7"/>
    <n v="108.63000000000001"/>
    <n v="5"/>
    <x v="0"/>
  </r>
  <r>
    <n v="3281"/>
    <n v="36"/>
    <x v="0"/>
    <x v="1"/>
    <x v="1"/>
    <s v="Shirt"/>
    <n v="76.16"/>
    <x v="3"/>
    <s v="Cash on Delivery"/>
    <n v="4.3"/>
    <x v="7"/>
    <n v="68.543999999999997"/>
    <n v="5"/>
    <x v="0"/>
  </r>
  <r>
    <n v="3282"/>
    <n v="25"/>
    <x v="2"/>
    <x v="1"/>
    <x v="2"/>
    <s v="Yoga Mat"/>
    <n v="226.66"/>
    <x v="2"/>
    <s v="Card"/>
    <n v="3.8"/>
    <x v="18"/>
    <n v="172.26159999999999"/>
    <n v="7"/>
    <x v="0"/>
  </r>
  <r>
    <n v="3283"/>
    <n v="63"/>
    <x v="1"/>
    <x v="1"/>
    <x v="2"/>
    <s v="Yoga Mat"/>
    <n v="130.19999999999999"/>
    <x v="2"/>
    <s v="Card"/>
    <n v="2.6"/>
    <x v="17"/>
    <n v="124.99199999999999"/>
    <n v="2"/>
    <x v="1"/>
  </r>
  <r>
    <n v="3284"/>
    <n v="57"/>
    <x v="0"/>
    <x v="1"/>
    <x v="7"/>
    <s v="Sandals"/>
    <n v="52.67"/>
    <x v="2"/>
    <s v="Card"/>
    <n v="4.3"/>
    <x v="6"/>
    <n v="44.242800000000003"/>
    <n v="3"/>
    <x v="1"/>
  </r>
  <r>
    <n v="3285"/>
    <n v="21"/>
    <x v="2"/>
    <x v="0"/>
    <x v="8"/>
    <s v="Jeans"/>
    <n v="151.32"/>
    <x v="3"/>
    <s v="Card"/>
    <n v="3"/>
    <x v="18"/>
    <n v="115.00319999999999"/>
    <n v="7"/>
    <x v="0"/>
  </r>
  <r>
    <n v="3286"/>
    <n v="57"/>
    <x v="0"/>
    <x v="1"/>
    <x v="7"/>
    <s v="Sneakers"/>
    <n v="49.11"/>
    <x v="0"/>
    <s v="Cash on Delivery"/>
    <n v="3.3"/>
    <x v="0"/>
    <n v="40.270200000000003"/>
    <n v="4"/>
    <x v="0"/>
  </r>
  <r>
    <n v="3287"/>
    <n v="50"/>
    <x v="0"/>
    <x v="0"/>
    <x v="6"/>
    <s v="Skincare Kit"/>
    <n v="71.64"/>
    <x v="2"/>
    <s v="Cash on Delivery"/>
    <n v="4.5"/>
    <x v="3"/>
    <n v="57.312000000000005"/>
    <n v="5"/>
    <x v="0"/>
  </r>
  <r>
    <n v="3288"/>
    <n v="30"/>
    <x v="2"/>
    <x v="1"/>
    <x v="3"/>
    <s v="Lamp"/>
    <n v="165.95"/>
    <x v="0"/>
    <s v="Card"/>
    <n v="4.5"/>
    <x v="0"/>
    <n v="136.07900000000001"/>
    <n v="4"/>
    <x v="0"/>
  </r>
  <r>
    <n v="3289"/>
    <n v="62"/>
    <x v="1"/>
    <x v="1"/>
    <x v="2"/>
    <s v="Football"/>
    <n v="248.99"/>
    <x v="0"/>
    <s v="Card"/>
    <n v="2.8"/>
    <x v="1"/>
    <n v="216.62130000000002"/>
    <n v="4"/>
    <x v="0"/>
  </r>
  <r>
    <n v="3290"/>
    <n v="35"/>
    <x v="0"/>
    <x v="1"/>
    <x v="5"/>
    <s v="Laptop"/>
    <n v="2952.94"/>
    <x v="1"/>
    <s v="Card"/>
    <n v="3"/>
    <x v="2"/>
    <n v="2628.1166000000003"/>
    <n v="3"/>
    <x v="1"/>
  </r>
  <r>
    <n v="3291"/>
    <n v="20"/>
    <x v="2"/>
    <x v="1"/>
    <x v="2"/>
    <s v="Football"/>
    <n v="226.69"/>
    <x v="3"/>
    <s v="Card"/>
    <n v="4"/>
    <x v="14"/>
    <n v="188.15269999999998"/>
    <n v="6"/>
    <x v="0"/>
  </r>
  <r>
    <n v="3292"/>
    <n v="41"/>
    <x v="0"/>
    <x v="1"/>
    <x v="1"/>
    <s v="T-Shirt"/>
    <n v="136.81"/>
    <x v="0"/>
    <s v="Card"/>
    <n v="4"/>
    <x v="13"/>
    <n v="124.4971"/>
    <n v="2"/>
    <x v="1"/>
  </r>
  <r>
    <n v="3293"/>
    <n v="60"/>
    <x v="0"/>
    <x v="0"/>
    <x v="7"/>
    <s v="Formal Shoes"/>
    <n v="191.66"/>
    <x v="1"/>
    <s v="Card"/>
    <n v="5"/>
    <x v="13"/>
    <n v="174.41060000000002"/>
    <n v="2"/>
    <x v="1"/>
  </r>
  <r>
    <n v="3294"/>
    <n v="34"/>
    <x v="0"/>
    <x v="0"/>
    <x v="8"/>
    <s v="Dress"/>
    <n v="82.77"/>
    <x v="2"/>
    <s v="Cash on Delivery"/>
    <n v="3.5"/>
    <x v="20"/>
    <n v="56.283599999999993"/>
    <n v="11"/>
    <x v="2"/>
  </r>
  <r>
    <n v="3295"/>
    <n v="52"/>
    <x v="0"/>
    <x v="0"/>
    <x v="7"/>
    <s v="Sandals"/>
    <n v="50.19"/>
    <x v="3"/>
    <s v="Card"/>
    <n v="4.2"/>
    <x v="14"/>
    <n v="41.657699999999998"/>
    <n v="6"/>
    <x v="0"/>
  </r>
  <r>
    <n v="3296"/>
    <n v="43"/>
    <x v="0"/>
    <x v="0"/>
    <x v="0"/>
    <s v="Sunglasses"/>
    <n v="170.71"/>
    <x v="2"/>
    <s v="Card"/>
    <n v="3"/>
    <x v="19"/>
    <n v="145.1035"/>
    <n v="5"/>
    <x v="0"/>
  </r>
  <r>
    <n v="3297"/>
    <n v="22"/>
    <x v="2"/>
    <x v="1"/>
    <x v="1"/>
    <s v="Jacket"/>
    <n v="57.55"/>
    <x v="3"/>
    <s v="Cash on Delivery"/>
    <n v="3.4"/>
    <x v="7"/>
    <n v="51.795000000000002"/>
    <n v="5"/>
    <x v="0"/>
  </r>
  <r>
    <n v="3298"/>
    <n v="25"/>
    <x v="2"/>
    <x v="1"/>
    <x v="5"/>
    <s v="Smart Watch"/>
    <n v="1659.69"/>
    <x v="0"/>
    <s v="Card"/>
    <n v="4.0999999999999996"/>
    <x v="2"/>
    <n v="1477.1241"/>
    <n v="3"/>
    <x v="1"/>
  </r>
  <r>
    <n v="3299"/>
    <n v="50"/>
    <x v="0"/>
    <x v="1"/>
    <x v="2"/>
    <s v="Football"/>
    <n v="99.86"/>
    <x v="1"/>
    <s v="Card"/>
    <n v="3.2"/>
    <x v="10"/>
    <n v="77.890799999999999"/>
    <n v="6"/>
    <x v="0"/>
  </r>
  <r>
    <n v="3300"/>
    <n v="61"/>
    <x v="1"/>
    <x v="0"/>
    <x v="7"/>
    <s v="Formal Shoes"/>
    <n v="101.31"/>
    <x v="3"/>
    <s v="Card"/>
    <n v="3.6"/>
    <x v="6"/>
    <n v="85.100399999999993"/>
    <n v="3"/>
    <x v="1"/>
  </r>
  <r>
    <n v="3301"/>
    <n v="37"/>
    <x v="0"/>
    <x v="1"/>
    <x v="5"/>
    <s v="Laptop"/>
    <n v="1894.44"/>
    <x v="2"/>
    <s v="Card"/>
    <n v="4.3"/>
    <x v="8"/>
    <n v="1667.1072000000001"/>
    <n v="6"/>
    <x v="0"/>
  </r>
  <r>
    <n v="3302"/>
    <n v="44"/>
    <x v="0"/>
    <x v="0"/>
    <x v="7"/>
    <s v="Sneakers"/>
    <n v="110.78"/>
    <x v="1"/>
    <s v="Card"/>
    <n v="3.3"/>
    <x v="3"/>
    <n v="88.624000000000009"/>
    <n v="5"/>
    <x v="0"/>
  </r>
  <r>
    <n v="3303"/>
    <n v="45"/>
    <x v="0"/>
    <x v="0"/>
    <x v="6"/>
    <s v="Makeup Set"/>
    <n v="40.99"/>
    <x v="1"/>
    <s v="Card"/>
    <n v="3.8"/>
    <x v="4"/>
    <n v="35.251400000000004"/>
    <n v="2"/>
    <x v="1"/>
  </r>
  <r>
    <n v="3304"/>
    <n v="66"/>
    <x v="1"/>
    <x v="0"/>
    <x v="8"/>
    <s v="Dress"/>
    <n v="45.9"/>
    <x v="3"/>
    <s v="Cash on Delivery"/>
    <n v="3.5"/>
    <x v="6"/>
    <n v="38.555999999999997"/>
    <n v="8"/>
    <x v="2"/>
  </r>
  <r>
    <n v="3305"/>
    <n v="61"/>
    <x v="1"/>
    <x v="0"/>
    <x v="0"/>
    <s v="Wallet"/>
    <n v="48.25"/>
    <x v="2"/>
    <s v="Card"/>
    <n v="3.6"/>
    <x v="7"/>
    <n v="43.425000000000004"/>
    <n v="5"/>
    <x v="0"/>
  </r>
  <r>
    <n v="3306"/>
    <n v="49"/>
    <x v="0"/>
    <x v="1"/>
    <x v="5"/>
    <s v="Mobile Phone"/>
    <n v="2743.44"/>
    <x v="3"/>
    <s v="Card"/>
    <n v="4.7"/>
    <x v="3"/>
    <n v="2194.752"/>
    <n v="5"/>
    <x v="0"/>
  </r>
  <r>
    <n v="3307"/>
    <n v="21"/>
    <x v="2"/>
    <x v="0"/>
    <x v="8"/>
    <s v="Top"/>
    <n v="103.61"/>
    <x v="0"/>
    <s v="Card"/>
    <n v="3.8"/>
    <x v="7"/>
    <n v="93.248999999999995"/>
    <n v="5"/>
    <x v="0"/>
  </r>
  <r>
    <n v="3308"/>
    <n v="28"/>
    <x v="2"/>
    <x v="1"/>
    <x v="5"/>
    <s v="Mobile Phone"/>
    <n v="2722.53"/>
    <x v="1"/>
    <s v="Card"/>
    <n v="3.9"/>
    <x v="14"/>
    <n v="2259.6999000000001"/>
    <n v="6"/>
    <x v="0"/>
  </r>
  <r>
    <n v="3309"/>
    <n v="41"/>
    <x v="0"/>
    <x v="1"/>
    <x v="5"/>
    <s v="Smart Watch"/>
    <n v="956.14"/>
    <x v="0"/>
    <s v="Card"/>
    <n v="3.5"/>
    <x v="21"/>
    <n v="755.35059999999999"/>
    <n v="8"/>
    <x v="2"/>
  </r>
  <r>
    <n v="3310"/>
    <n v="59"/>
    <x v="0"/>
    <x v="1"/>
    <x v="1"/>
    <s v="Jacket"/>
    <n v="179.08"/>
    <x v="2"/>
    <s v="Card"/>
    <n v="3.9"/>
    <x v="2"/>
    <n v="159.38120000000001"/>
    <n v="3"/>
    <x v="1"/>
  </r>
  <r>
    <n v="3311"/>
    <n v="70"/>
    <x v="1"/>
    <x v="1"/>
    <x v="7"/>
    <s v="Sneakers"/>
    <n v="237.9"/>
    <x v="2"/>
    <s v="Card"/>
    <n v="3.3"/>
    <x v="1"/>
    <n v="206.97300000000001"/>
    <n v="4"/>
    <x v="0"/>
  </r>
  <r>
    <n v="3312"/>
    <n v="21"/>
    <x v="2"/>
    <x v="0"/>
    <x v="7"/>
    <s v="Formal Shoes"/>
    <n v="112.2"/>
    <x v="2"/>
    <s v="Card"/>
    <n v="3"/>
    <x v="19"/>
    <n v="95.37"/>
    <n v="5"/>
    <x v="0"/>
  </r>
  <r>
    <n v="3313"/>
    <n v="53"/>
    <x v="0"/>
    <x v="0"/>
    <x v="8"/>
    <s v="Dress"/>
    <n v="100.01"/>
    <x v="3"/>
    <s v="Card"/>
    <n v="3.4"/>
    <x v="21"/>
    <n v="79.007900000000006"/>
    <n v="8"/>
    <x v="2"/>
  </r>
  <r>
    <n v="3314"/>
    <n v="46"/>
    <x v="0"/>
    <x v="1"/>
    <x v="7"/>
    <s v="Formal Shoes"/>
    <n v="70.16"/>
    <x v="0"/>
    <s v="Card"/>
    <n v="4"/>
    <x v="10"/>
    <n v="54.724800000000002"/>
    <n v="6"/>
    <x v="0"/>
  </r>
  <r>
    <n v="3315"/>
    <n v="61"/>
    <x v="1"/>
    <x v="0"/>
    <x v="8"/>
    <s v="Skirt"/>
    <n v="128.44"/>
    <x v="1"/>
    <s v="Card"/>
    <n v="4.5999999999999996"/>
    <x v="0"/>
    <n v="105.32080000000001"/>
    <n v="4"/>
    <x v="0"/>
  </r>
  <r>
    <n v="3316"/>
    <n v="43"/>
    <x v="0"/>
    <x v="1"/>
    <x v="1"/>
    <s v="T-Shirt"/>
    <n v="84.29"/>
    <x v="1"/>
    <s v="Cash on Delivery"/>
    <n v="3"/>
    <x v="5"/>
    <n v="77.546800000000005"/>
    <n v="4"/>
    <x v="0"/>
  </r>
  <r>
    <n v="3317"/>
    <n v="39"/>
    <x v="0"/>
    <x v="0"/>
    <x v="7"/>
    <s v="Sneakers"/>
    <n v="139.91"/>
    <x v="2"/>
    <s v="Card"/>
    <n v="3.8"/>
    <x v="8"/>
    <n v="123.1208"/>
    <n v="6"/>
    <x v="0"/>
  </r>
  <r>
    <n v="3318"/>
    <n v="25"/>
    <x v="2"/>
    <x v="0"/>
    <x v="7"/>
    <s v="Sandals"/>
    <n v="66.52"/>
    <x v="0"/>
    <s v="Cash on Delivery"/>
    <n v="3.8"/>
    <x v="5"/>
    <n v="61.198399999999999"/>
    <n v="4"/>
    <x v="0"/>
  </r>
  <r>
    <n v="3319"/>
    <n v="69"/>
    <x v="1"/>
    <x v="0"/>
    <x v="6"/>
    <s v="Perfume"/>
    <n v="49.37"/>
    <x v="0"/>
    <s v="Cash on Delivery"/>
    <n v="4.3"/>
    <x v="15"/>
    <n v="48.382599999999996"/>
    <n v="1"/>
    <x v="1"/>
  </r>
  <r>
    <n v="3320"/>
    <n v="52"/>
    <x v="0"/>
    <x v="0"/>
    <x v="6"/>
    <s v="Skincare Kit"/>
    <n v="33.78"/>
    <x v="1"/>
    <s v="Cash on Delivery"/>
    <n v="2.4"/>
    <x v="19"/>
    <n v="28.713000000000001"/>
    <n v="5"/>
    <x v="0"/>
  </r>
  <r>
    <n v="3321"/>
    <n v="40"/>
    <x v="0"/>
    <x v="1"/>
    <x v="1"/>
    <s v="Jacket"/>
    <n v="70.77"/>
    <x v="0"/>
    <s v="Card"/>
    <n v="4.5"/>
    <x v="6"/>
    <n v="59.446799999999996"/>
    <n v="3"/>
    <x v="1"/>
  </r>
  <r>
    <n v="3322"/>
    <n v="29"/>
    <x v="2"/>
    <x v="0"/>
    <x v="8"/>
    <s v="Jeans"/>
    <n v="65.09"/>
    <x v="1"/>
    <s v="Cash on Delivery"/>
    <n v="4.5999999999999996"/>
    <x v="17"/>
    <n v="62.486400000000003"/>
    <n v="2"/>
    <x v="1"/>
  </r>
  <r>
    <n v="3323"/>
    <n v="65"/>
    <x v="1"/>
    <x v="1"/>
    <x v="2"/>
    <s v="Yoga Mat"/>
    <n v="245.06"/>
    <x v="1"/>
    <s v="Card"/>
    <n v="3.1"/>
    <x v="7"/>
    <n v="220.554"/>
    <n v="5"/>
    <x v="0"/>
  </r>
  <r>
    <n v="3324"/>
    <n v="61"/>
    <x v="1"/>
    <x v="0"/>
    <x v="0"/>
    <s v="Handbag"/>
    <n v="68.040000000000006"/>
    <x v="0"/>
    <s v="Cash on Delivery"/>
    <n v="4.9000000000000004"/>
    <x v="0"/>
    <n v="55.792800000000007"/>
    <n v="9"/>
    <x v="2"/>
  </r>
  <r>
    <n v="3325"/>
    <n v="66"/>
    <x v="1"/>
    <x v="0"/>
    <x v="0"/>
    <s v="Handbag"/>
    <n v="41.18"/>
    <x v="2"/>
    <s v="Cash on Delivery"/>
    <n v="2.8"/>
    <x v="15"/>
    <n v="40.356400000000001"/>
    <n v="1"/>
    <x v="1"/>
  </r>
  <r>
    <n v="3326"/>
    <n v="63"/>
    <x v="1"/>
    <x v="1"/>
    <x v="2"/>
    <s v="Football"/>
    <n v="154.11000000000001"/>
    <x v="0"/>
    <s v="Card"/>
    <n v="3.3"/>
    <x v="1"/>
    <n v="134.07570000000001"/>
    <n v="4"/>
    <x v="0"/>
  </r>
  <r>
    <n v="3327"/>
    <n v="24"/>
    <x v="2"/>
    <x v="0"/>
    <x v="7"/>
    <s v="Sneakers"/>
    <n v="174.93"/>
    <x v="3"/>
    <s v="Card"/>
    <n v="3.9"/>
    <x v="14"/>
    <n v="145.1919"/>
    <n v="6"/>
    <x v="0"/>
  </r>
  <r>
    <n v="3328"/>
    <n v="38"/>
    <x v="0"/>
    <x v="1"/>
    <x v="1"/>
    <s v="Jacket"/>
    <n v="192.91"/>
    <x v="1"/>
    <s v="Card"/>
    <n v="3.6"/>
    <x v="6"/>
    <n v="162.0444"/>
    <n v="8"/>
    <x v="2"/>
  </r>
  <r>
    <n v="3329"/>
    <n v="21"/>
    <x v="2"/>
    <x v="0"/>
    <x v="7"/>
    <s v="Formal Shoes"/>
    <n v="42.33"/>
    <x v="3"/>
    <s v="Cash on Delivery"/>
    <n v="2.9"/>
    <x v="13"/>
    <n v="38.520299999999999"/>
    <n v="2"/>
    <x v="1"/>
  </r>
  <r>
    <n v="3330"/>
    <n v="41"/>
    <x v="0"/>
    <x v="0"/>
    <x v="3"/>
    <s v="Curtains"/>
    <n v="260.49"/>
    <x v="3"/>
    <s v="Card"/>
    <n v="4"/>
    <x v="10"/>
    <n v="203.18220000000002"/>
    <n v="6"/>
    <x v="0"/>
  </r>
  <r>
    <n v="3331"/>
    <n v="42"/>
    <x v="0"/>
    <x v="1"/>
    <x v="1"/>
    <s v="Jeans"/>
    <n v="48.33"/>
    <x v="3"/>
    <s v="Cash on Delivery"/>
    <n v="5"/>
    <x v="7"/>
    <n v="43.497"/>
    <n v="5"/>
    <x v="0"/>
  </r>
  <r>
    <n v="3332"/>
    <n v="56"/>
    <x v="0"/>
    <x v="0"/>
    <x v="6"/>
    <s v="Makeup Set"/>
    <n v="100.08"/>
    <x v="3"/>
    <s v="Card"/>
    <n v="3.5"/>
    <x v="5"/>
    <n v="92.073599999999999"/>
    <n v="4"/>
    <x v="0"/>
  </r>
  <r>
    <n v="3333"/>
    <n v="25"/>
    <x v="2"/>
    <x v="1"/>
    <x v="7"/>
    <s v="Formal Shoes"/>
    <n v="98.36"/>
    <x v="0"/>
    <s v="Card"/>
    <n v="4.3"/>
    <x v="13"/>
    <n v="89.507599999999996"/>
    <n v="2"/>
    <x v="1"/>
  </r>
  <r>
    <n v="3334"/>
    <n v="34"/>
    <x v="0"/>
    <x v="1"/>
    <x v="5"/>
    <s v="Mobile Phone"/>
    <n v="2073.3000000000002"/>
    <x v="0"/>
    <s v="Card"/>
    <n v="4.2"/>
    <x v="5"/>
    <n v="1907.4360000000001"/>
    <n v="4"/>
    <x v="0"/>
  </r>
  <r>
    <n v="3335"/>
    <n v="47"/>
    <x v="0"/>
    <x v="0"/>
    <x v="8"/>
    <s v="Top"/>
    <n v="98.36"/>
    <x v="3"/>
    <s v="Cash on Delivery"/>
    <n v="3.7"/>
    <x v="0"/>
    <n v="80.655200000000008"/>
    <n v="4"/>
    <x v="0"/>
  </r>
  <r>
    <n v="3336"/>
    <n v="35"/>
    <x v="0"/>
    <x v="1"/>
    <x v="2"/>
    <s v="Football"/>
    <n v="32.78"/>
    <x v="1"/>
    <s v="Cash on Delivery"/>
    <n v="4.5"/>
    <x v="7"/>
    <n v="29.502000000000002"/>
    <n v="5"/>
    <x v="0"/>
  </r>
  <r>
    <n v="3337"/>
    <n v="26"/>
    <x v="2"/>
    <x v="1"/>
    <x v="2"/>
    <s v="Dumbbells"/>
    <n v="168"/>
    <x v="1"/>
    <s v="Card"/>
    <n v="2.9"/>
    <x v="4"/>
    <n v="144.47999999999999"/>
    <n v="7"/>
    <x v="0"/>
  </r>
  <r>
    <n v="3338"/>
    <n v="63"/>
    <x v="1"/>
    <x v="1"/>
    <x v="5"/>
    <s v="Headphones"/>
    <n v="2939.08"/>
    <x v="3"/>
    <s v="Card"/>
    <n v="3.3"/>
    <x v="0"/>
    <n v="2410.0455999999999"/>
    <n v="4"/>
    <x v="0"/>
  </r>
  <r>
    <n v="3339"/>
    <n v="59"/>
    <x v="0"/>
    <x v="0"/>
    <x v="0"/>
    <s v="Sunglasses"/>
    <n v="37.43"/>
    <x v="2"/>
    <s v="Cash on Delivery"/>
    <n v="2.4"/>
    <x v="0"/>
    <n v="30.692600000000002"/>
    <n v="4"/>
    <x v="0"/>
  </r>
  <r>
    <n v="3340"/>
    <n v="57"/>
    <x v="0"/>
    <x v="1"/>
    <x v="7"/>
    <s v="Sneakers"/>
    <n v="219.41"/>
    <x v="3"/>
    <s v="Card"/>
    <n v="4.3"/>
    <x v="0"/>
    <n v="179.9162"/>
    <n v="4"/>
    <x v="0"/>
  </r>
  <r>
    <n v="3341"/>
    <n v="24"/>
    <x v="2"/>
    <x v="0"/>
    <x v="7"/>
    <s v="Sandals"/>
    <n v="79.680000000000007"/>
    <x v="1"/>
    <s v="Card"/>
    <n v="3.6"/>
    <x v="7"/>
    <n v="71.712000000000003"/>
    <n v="5"/>
    <x v="0"/>
  </r>
  <r>
    <n v="3342"/>
    <n v="44"/>
    <x v="0"/>
    <x v="0"/>
    <x v="6"/>
    <s v="Perfume"/>
    <n v="83.41"/>
    <x v="1"/>
    <s v="Cash on Delivery"/>
    <n v="3.2"/>
    <x v="4"/>
    <n v="71.732599999999991"/>
    <n v="7"/>
    <x v="0"/>
  </r>
  <r>
    <n v="3343"/>
    <n v="35"/>
    <x v="0"/>
    <x v="1"/>
    <x v="4"/>
    <s v="Beverages"/>
    <n v="19.63"/>
    <x v="3"/>
    <s v="Card"/>
    <n v="4.8"/>
    <x v="8"/>
    <n v="17.2744"/>
    <n v="6"/>
    <x v="0"/>
  </r>
  <r>
    <n v="3344"/>
    <n v="55"/>
    <x v="0"/>
    <x v="1"/>
    <x v="1"/>
    <s v="Shirt"/>
    <n v="112.09"/>
    <x v="0"/>
    <s v="Card"/>
    <n v="3.6"/>
    <x v="5"/>
    <n v="103.12280000000001"/>
    <n v="4"/>
    <x v="0"/>
  </r>
  <r>
    <n v="3345"/>
    <n v="31"/>
    <x v="0"/>
    <x v="0"/>
    <x v="3"/>
    <s v="Curtains"/>
    <n v="218.84"/>
    <x v="3"/>
    <s v="Card"/>
    <n v="4.0999999999999996"/>
    <x v="3"/>
    <n v="175.072"/>
    <n v="5"/>
    <x v="0"/>
  </r>
  <r>
    <n v="3346"/>
    <n v="62"/>
    <x v="1"/>
    <x v="0"/>
    <x v="6"/>
    <s v="Perfume"/>
    <n v="136.35"/>
    <x v="2"/>
    <s v="Card"/>
    <n v="2.7"/>
    <x v="8"/>
    <n v="119.988"/>
    <n v="6"/>
    <x v="0"/>
  </r>
  <r>
    <n v="3347"/>
    <n v="52"/>
    <x v="0"/>
    <x v="0"/>
    <x v="2"/>
    <s v="Dumbbells"/>
    <n v="210.16"/>
    <x v="0"/>
    <s v="Card"/>
    <n v="3"/>
    <x v="7"/>
    <n v="189.14400000000001"/>
    <n v="5"/>
    <x v="0"/>
  </r>
  <r>
    <n v="3348"/>
    <n v="53"/>
    <x v="0"/>
    <x v="1"/>
    <x v="1"/>
    <s v="Shirt"/>
    <n v="90.13"/>
    <x v="1"/>
    <s v="Card"/>
    <n v="3.5"/>
    <x v="0"/>
    <n v="73.906599999999997"/>
    <n v="4"/>
    <x v="0"/>
  </r>
  <r>
    <n v="3349"/>
    <n v="28"/>
    <x v="2"/>
    <x v="0"/>
    <x v="6"/>
    <s v="Skincare Kit"/>
    <n v="132.16999999999999"/>
    <x v="0"/>
    <s v="Card"/>
    <n v="2.7"/>
    <x v="12"/>
    <n v="107.0577"/>
    <n v="7"/>
    <x v="0"/>
  </r>
  <r>
    <n v="3350"/>
    <n v="20"/>
    <x v="2"/>
    <x v="1"/>
    <x v="7"/>
    <s v="Formal Shoes"/>
    <n v="162.4"/>
    <x v="2"/>
    <s v="Card"/>
    <n v="3.5"/>
    <x v="5"/>
    <n v="149.40800000000002"/>
    <n v="4"/>
    <x v="0"/>
  </r>
  <r>
    <n v="3351"/>
    <n v="47"/>
    <x v="0"/>
    <x v="0"/>
    <x v="3"/>
    <s v="Lamp"/>
    <n v="242.74"/>
    <x v="0"/>
    <s v="Card"/>
    <n v="2.8"/>
    <x v="2"/>
    <n v="216.0386"/>
    <n v="3"/>
    <x v="1"/>
  </r>
  <r>
    <n v="3352"/>
    <n v="40"/>
    <x v="0"/>
    <x v="1"/>
    <x v="1"/>
    <s v="T-Shirt"/>
    <n v="113.99"/>
    <x v="1"/>
    <s v="Card"/>
    <n v="3.2"/>
    <x v="16"/>
    <n v="107.15059999999998"/>
    <n v="3"/>
    <x v="1"/>
  </r>
  <r>
    <n v="3353"/>
    <n v="24"/>
    <x v="2"/>
    <x v="0"/>
    <x v="0"/>
    <s v="Sunglasses"/>
    <n v="45.95"/>
    <x v="3"/>
    <s v="Cash on Delivery"/>
    <n v="3.9"/>
    <x v="8"/>
    <n v="40.436"/>
    <n v="1"/>
    <x v="1"/>
  </r>
  <r>
    <n v="3354"/>
    <n v="24"/>
    <x v="2"/>
    <x v="0"/>
    <x v="0"/>
    <s v="Handbag"/>
    <n v="144.09"/>
    <x v="1"/>
    <s v="Card"/>
    <n v="5"/>
    <x v="24"/>
    <n v="103.7448"/>
    <n v="9"/>
    <x v="2"/>
  </r>
  <r>
    <n v="3355"/>
    <n v="59"/>
    <x v="0"/>
    <x v="1"/>
    <x v="3"/>
    <s v="Curtains"/>
    <n v="79.319999999999993"/>
    <x v="2"/>
    <s v="Cash on Delivery"/>
    <n v="4.4000000000000004"/>
    <x v="10"/>
    <n v="61.869599999999998"/>
    <n v="6"/>
    <x v="0"/>
  </r>
  <r>
    <n v="3356"/>
    <n v="47"/>
    <x v="0"/>
    <x v="0"/>
    <x v="0"/>
    <s v="Wallet"/>
    <n v="39.79"/>
    <x v="3"/>
    <s v="Card"/>
    <n v="3.3"/>
    <x v="2"/>
    <n v="35.4131"/>
    <n v="3"/>
    <x v="1"/>
  </r>
  <r>
    <n v="3357"/>
    <n v="68"/>
    <x v="1"/>
    <x v="1"/>
    <x v="7"/>
    <s v="Formal Shoes"/>
    <n v="205.44"/>
    <x v="1"/>
    <s v="Card"/>
    <n v="2"/>
    <x v="0"/>
    <n v="168.46080000000001"/>
    <n v="4"/>
    <x v="0"/>
  </r>
  <r>
    <n v="3358"/>
    <n v="56"/>
    <x v="0"/>
    <x v="1"/>
    <x v="2"/>
    <s v="Yoga Mat"/>
    <n v="53.45"/>
    <x v="3"/>
    <s v="Cash on Delivery"/>
    <n v="4.5999999999999996"/>
    <x v="7"/>
    <n v="48.105000000000004"/>
    <n v="0"/>
    <x v="1"/>
  </r>
  <r>
    <n v="3359"/>
    <n v="34"/>
    <x v="0"/>
    <x v="1"/>
    <x v="2"/>
    <s v="Dumbbells"/>
    <n v="110.27"/>
    <x v="2"/>
    <s v="Card"/>
    <n v="3.3"/>
    <x v="6"/>
    <n v="92.626799999999989"/>
    <n v="8"/>
    <x v="2"/>
  </r>
  <r>
    <n v="3360"/>
    <n v="31"/>
    <x v="0"/>
    <x v="1"/>
    <x v="7"/>
    <s v="Sneakers"/>
    <n v="234.04"/>
    <x v="0"/>
    <s v="Card"/>
    <n v="4.5999999999999996"/>
    <x v="4"/>
    <n v="201.27439999999999"/>
    <n v="7"/>
    <x v="0"/>
  </r>
  <r>
    <n v="3361"/>
    <n v="22"/>
    <x v="2"/>
    <x v="0"/>
    <x v="0"/>
    <s v="Wallet"/>
    <n v="116.71"/>
    <x v="2"/>
    <s v="Card"/>
    <n v="3.8"/>
    <x v="7"/>
    <n v="105.039"/>
    <n v="5"/>
    <x v="0"/>
  </r>
  <r>
    <n v="3362"/>
    <n v="59"/>
    <x v="0"/>
    <x v="1"/>
    <x v="1"/>
    <s v="T-Shirt"/>
    <n v="176.93"/>
    <x v="2"/>
    <s v="Card"/>
    <n v="5"/>
    <x v="24"/>
    <n v="127.3896"/>
    <n v="9"/>
    <x v="2"/>
  </r>
  <r>
    <n v="3363"/>
    <n v="20"/>
    <x v="2"/>
    <x v="1"/>
    <x v="7"/>
    <s v="Sneakers"/>
    <n v="51.56"/>
    <x v="1"/>
    <s v="Card"/>
    <n v="3.5"/>
    <x v="3"/>
    <n v="41.248000000000005"/>
    <n v="5"/>
    <x v="0"/>
  </r>
  <r>
    <n v="3364"/>
    <n v="51"/>
    <x v="0"/>
    <x v="0"/>
    <x v="6"/>
    <s v="Skincare Kit"/>
    <n v="94.53"/>
    <x v="2"/>
    <s v="Cash on Delivery"/>
    <n v="3.7"/>
    <x v="0"/>
    <n v="77.514600000000002"/>
    <n v="4"/>
    <x v="0"/>
  </r>
  <r>
    <n v="3365"/>
    <n v="22"/>
    <x v="2"/>
    <x v="0"/>
    <x v="2"/>
    <s v="Football"/>
    <n v="52.91"/>
    <x v="0"/>
    <s v="Cash on Delivery"/>
    <n v="4.3"/>
    <x v="11"/>
    <n v="39.153399999999998"/>
    <n v="8"/>
    <x v="2"/>
  </r>
  <r>
    <n v="3366"/>
    <n v="26"/>
    <x v="2"/>
    <x v="0"/>
    <x v="7"/>
    <s v="Sandals"/>
    <n v="118.99"/>
    <x v="1"/>
    <s v="Card"/>
    <n v="4.0999999999999996"/>
    <x v="1"/>
    <n v="103.5213"/>
    <n v="4"/>
    <x v="0"/>
  </r>
  <r>
    <n v="3367"/>
    <n v="36"/>
    <x v="0"/>
    <x v="0"/>
    <x v="0"/>
    <s v="Handbag"/>
    <n v="142.22"/>
    <x v="3"/>
    <s v="Card"/>
    <n v="3.1"/>
    <x v="3"/>
    <n v="113.77600000000001"/>
    <n v="5"/>
    <x v="0"/>
  </r>
  <r>
    <n v="3368"/>
    <n v="38"/>
    <x v="0"/>
    <x v="0"/>
    <x v="3"/>
    <s v="Lamp"/>
    <n v="279.22000000000003"/>
    <x v="3"/>
    <s v="Card"/>
    <n v="4.3"/>
    <x v="26"/>
    <n v="265.25900000000001"/>
    <n v="0"/>
    <x v="1"/>
  </r>
  <r>
    <n v="3369"/>
    <n v="22"/>
    <x v="2"/>
    <x v="0"/>
    <x v="6"/>
    <s v="Makeup Set"/>
    <n v="69.319999999999993"/>
    <x v="0"/>
    <s v="Cash on Delivery"/>
    <n v="3.2"/>
    <x v="6"/>
    <n v="58.228799999999993"/>
    <n v="3"/>
    <x v="1"/>
  </r>
  <r>
    <n v="3370"/>
    <n v="48"/>
    <x v="0"/>
    <x v="1"/>
    <x v="2"/>
    <s v="Yoga Mat"/>
    <n v="185.35"/>
    <x v="1"/>
    <s v="Card"/>
    <n v="1.7"/>
    <x v="6"/>
    <n v="155.69399999999999"/>
    <n v="3"/>
    <x v="1"/>
  </r>
  <r>
    <n v="3371"/>
    <n v="42"/>
    <x v="0"/>
    <x v="0"/>
    <x v="2"/>
    <s v="Dumbbells"/>
    <n v="93.72"/>
    <x v="2"/>
    <s v="Card"/>
    <n v="4.0999999999999996"/>
    <x v="0"/>
    <n v="76.850400000000008"/>
    <n v="4"/>
    <x v="0"/>
  </r>
  <r>
    <n v="3372"/>
    <n v="24"/>
    <x v="2"/>
    <x v="1"/>
    <x v="1"/>
    <s v="Shirt"/>
    <n v="158.33000000000001"/>
    <x v="1"/>
    <s v="Card"/>
    <n v="3.2"/>
    <x v="19"/>
    <n v="134.5805"/>
    <n v="5"/>
    <x v="0"/>
  </r>
  <r>
    <n v="3373"/>
    <n v="24"/>
    <x v="2"/>
    <x v="1"/>
    <x v="7"/>
    <s v="Sandals"/>
    <n v="73.819999999999993"/>
    <x v="0"/>
    <s v="Cash on Delivery"/>
    <n v="3.7"/>
    <x v="10"/>
    <n v="57.579599999999999"/>
    <n v="6"/>
    <x v="0"/>
  </r>
  <r>
    <n v="3374"/>
    <n v="63"/>
    <x v="1"/>
    <x v="1"/>
    <x v="4"/>
    <s v="Rice Pack"/>
    <n v="13.69"/>
    <x v="1"/>
    <s v="Card"/>
    <n v="3.7"/>
    <x v="6"/>
    <n v="11.499599999999999"/>
    <n v="8"/>
    <x v="2"/>
  </r>
  <r>
    <n v="3375"/>
    <n v="34"/>
    <x v="0"/>
    <x v="1"/>
    <x v="1"/>
    <s v="Jacket"/>
    <n v="59.1"/>
    <x v="0"/>
    <s v="Card"/>
    <n v="3.6"/>
    <x v="10"/>
    <n v="46.098000000000006"/>
    <n v="6"/>
    <x v="0"/>
  </r>
  <r>
    <n v="3376"/>
    <n v="57"/>
    <x v="0"/>
    <x v="0"/>
    <x v="3"/>
    <s v="Lamp"/>
    <n v="148.53"/>
    <x v="2"/>
    <s v="Card"/>
    <n v="3.8"/>
    <x v="6"/>
    <n v="124.76519999999999"/>
    <n v="3"/>
    <x v="1"/>
  </r>
  <r>
    <n v="3377"/>
    <n v="62"/>
    <x v="1"/>
    <x v="1"/>
    <x v="7"/>
    <s v="Formal Shoes"/>
    <n v="171"/>
    <x v="2"/>
    <s v="Card"/>
    <n v="4"/>
    <x v="0"/>
    <n v="140.22"/>
    <n v="4"/>
    <x v="0"/>
  </r>
  <r>
    <n v="3378"/>
    <n v="49"/>
    <x v="0"/>
    <x v="1"/>
    <x v="4"/>
    <s v="Beverages"/>
    <n v="56.43"/>
    <x v="2"/>
    <s v="Cash on Delivery"/>
    <n v="3.2"/>
    <x v="6"/>
    <n v="47.401199999999996"/>
    <n v="3"/>
    <x v="1"/>
  </r>
  <r>
    <n v="3379"/>
    <n v="41"/>
    <x v="0"/>
    <x v="0"/>
    <x v="6"/>
    <s v="Makeup Set"/>
    <n v="85.3"/>
    <x v="1"/>
    <s v="Card"/>
    <n v="5"/>
    <x v="7"/>
    <n v="76.77"/>
    <n v="5"/>
    <x v="0"/>
  </r>
  <r>
    <n v="3380"/>
    <n v="47"/>
    <x v="0"/>
    <x v="0"/>
    <x v="6"/>
    <s v="Skincare Kit"/>
    <n v="122.41"/>
    <x v="0"/>
    <s v="Card"/>
    <n v="4.2"/>
    <x v="0"/>
    <n v="100.37620000000001"/>
    <n v="4"/>
    <x v="0"/>
  </r>
  <r>
    <n v="3381"/>
    <n v="49"/>
    <x v="0"/>
    <x v="0"/>
    <x v="7"/>
    <s v="Sneakers"/>
    <n v="99.87"/>
    <x v="0"/>
    <s v="Card"/>
    <n v="3.6"/>
    <x v="12"/>
    <n v="80.894700000000014"/>
    <n v="7"/>
    <x v="0"/>
  </r>
  <r>
    <n v="3382"/>
    <n v="41"/>
    <x v="0"/>
    <x v="0"/>
    <x v="7"/>
    <s v="Formal Shoes"/>
    <n v="214.67"/>
    <x v="0"/>
    <s v="Card"/>
    <n v="3.7"/>
    <x v="6"/>
    <n v="180.32279999999997"/>
    <n v="8"/>
    <x v="2"/>
  </r>
  <r>
    <n v="3383"/>
    <n v="56"/>
    <x v="0"/>
    <x v="0"/>
    <x v="6"/>
    <s v="Skincare Kit"/>
    <n v="48.85"/>
    <x v="0"/>
    <s v="Card"/>
    <n v="4.7"/>
    <x v="6"/>
    <n v="41.033999999999999"/>
    <n v="3"/>
    <x v="1"/>
  </r>
  <r>
    <n v="3384"/>
    <n v="21"/>
    <x v="2"/>
    <x v="0"/>
    <x v="3"/>
    <s v="Kitchen Set"/>
    <n v="184.48"/>
    <x v="2"/>
    <s v="Card"/>
    <n v="4.5999999999999996"/>
    <x v="9"/>
    <n v="134.6704"/>
    <n v="11"/>
    <x v="2"/>
  </r>
  <r>
    <n v="3385"/>
    <n v="24"/>
    <x v="2"/>
    <x v="1"/>
    <x v="2"/>
    <s v="Dumbbells"/>
    <n v="137.49"/>
    <x v="3"/>
    <s v="Card"/>
    <n v="3.3"/>
    <x v="2"/>
    <n v="122.3661"/>
    <n v="3"/>
    <x v="1"/>
  </r>
  <r>
    <n v="3386"/>
    <n v="44"/>
    <x v="0"/>
    <x v="0"/>
    <x v="8"/>
    <s v="Skirt"/>
    <n v="32.06"/>
    <x v="2"/>
    <s v="Cash on Delivery"/>
    <n v="3.6"/>
    <x v="19"/>
    <n v="27.251000000000001"/>
    <n v="5"/>
    <x v="0"/>
  </r>
  <r>
    <n v="3387"/>
    <n v="68"/>
    <x v="1"/>
    <x v="1"/>
    <x v="1"/>
    <s v="T-Shirt"/>
    <n v="192.92"/>
    <x v="0"/>
    <s v="Card"/>
    <n v="4.0999999999999996"/>
    <x v="1"/>
    <n v="167.84039999999999"/>
    <n v="4"/>
    <x v="0"/>
  </r>
  <r>
    <n v="3388"/>
    <n v="41"/>
    <x v="0"/>
    <x v="0"/>
    <x v="4"/>
    <s v="Rice Pack"/>
    <n v="17.899999999999999"/>
    <x v="3"/>
    <s v="Card"/>
    <n v="2.5"/>
    <x v="25"/>
    <n v="12.529999999999998"/>
    <n v="10"/>
    <x v="2"/>
  </r>
  <r>
    <n v="3389"/>
    <n v="43"/>
    <x v="0"/>
    <x v="0"/>
    <x v="2"/>
    <s v="Dumbbells"/>
    <n v="122.74"/>
    <x v="3"/>
    <s v="Card"/>
    <n v="4.5"/>
    <x v="14"/>
    <n v="101.87419999999999"/>
    <n v="6"/>
    <x v="0"/>
  </r>
  <r>
    <n v="3390"/>
    <n v="21"/>
    <x v="2"/>
    <x v="0"/>
    <x v="7"/>
    <s v="Sandals"/>
    <n v="84.31"/>
    <x v="0"/>
    <s v="Card"/>
    <n v="3.3"/>
    <x v="17"/>
    <n v="80.937600000000003"/>
    <n v="2"/>
    <x v="1"/>
  </r>
  <r>
    <n v="3391"/>
    <n v="63"/>
    <x v="1"/>
    <x v="0"/>
    <x v="8"/>
    <s v="Dress"/>
    <n v="179.53"/>
    <x v="0"/>
    <s v="Card"/>
    <n v="4.5999999999999996"/>
    <x v="1"/>
    <n v="156.19110000000001"/>
    <n v="4"/>
    <x v="0"/>
  </r>
  <r>
    <n v="3392"/>
    <n v="63"/>
    <x v="1"/>
    <x v="0"/>
    <x v="8"/>
    <s v="Jeans"/>
    <n v="102.83"/>
    <x v="0"/>
    <s v="Card"/>
    <n v="2.2999999999999998"/>
    <x v="4"/>
    <n v="88.433799999999991"/>
    <n v="7"/>
    <x v="0"/>
  </r>
  <r>
    <n v="3393"/>
    <n v="46"/>
    <x v="0"/>
    <x v="1"/>
    <x v="5"/>
    <s v="Mobile Phone"/>
    <n v="1334.9"/>
    <x v="3"/>
    <s v="Card"/>
    <n v="2.4"/>
    <x v="6"/>
    <n v="1121.316"/>
    <n v="3"/>
    <x v="1"/>
  </r>
  <r>
    <n v="3394"/>
    <n v="60"/>
    <x v="0"/>
    <x v="1"/>
    <x v="5"/>
    <s v="Headphones"/>
    <n v="2995.9"/>
    <x v="1"/>
    <s v="Card"/>
    <n v="4.5999999999999996"/>
    <x v="4"/>
    <n v="2576.4740000000002"/>
    <n v="7"/>
    <x v="0"/>
  </r>
  <r>
    <n v="3395"/>
    <n v="26"/>
    <x v="2"/>
    <x v="0"/>
    <x v="7"/>
    <s v="Sandals"/>
    <n v="112.8"/>
    <x v="0"/>
    <s v="Card"/>
    <n v="3.7"/>
    <x v="11"/>
    <n v="83.471999999999994"/>
    <n v="8"/>
    <x v="2"/>
  </r>
  <r>
    <n v="3396"/>
    <n v="65"/>
    <x v="1"/>
    <x v="0"/>
    <x v="6"/>
    <s v="Makeup Set"/>
    <n v="116.4"/>
    <x v="2"/>
    <s v="Card"/>
    <n v="3.9"/>
    <x v="25"/>
    <n v="81.48"/>
    <n v="10"/>
    <x v="2"/>
  </r>
  <r>
    <n v="3397"/>
    <n v="69"/>
    <x v="1"/>
    <x v="0"/>
    <x v="0"/>
    <s v="Sunglasses"/>
    <n v="106.97"/>
    <x v="2"/>
    <s v="Card"/>
    <n v="4.0999999999999996"/>
    <x v="1"/>
    <n v="93.063900000000004"/>
    <n v="4"/>
    <x v="0"/>
  </r>
  <r>
    <n v="3398"/>
    <n v="48"/>
    <x v="0"/>
    <x v="1"/>
    <x v="7"/>
    <s v="Sneakers"/>
    <n v="106.53"/>
    <x v="1"/>
    <s v="Card"/>
    <n v="4.7"/>
    <x v="10"/>
    <n v="83.093400000000003"/>
    <n v="6"/>
    <x v="0"/>
  </r>
  <r>
    <n v="3399"/>
    <n v="22"/>
    <x v="2"/>
    <x v="0"/>
    <x v="4"/>
    <s v="Cooking Oil"/>
    <n v="71.849999999999994"/>
    <x v="1"/>
    <s v="Card"/>
    <n v="3.6"/>
    <x v="10"/>
    <n v="56.042999999999999"/>
    <n v="6"/>
    <x v="0"/>
  </r>
  <r>
    <n v="3400"/>
    <n v="23"/>
    <x v="2"/>
    <x v="1"/>
    <x v="2"/>
    <s v="Dumbbells"/>
    <n v="79.17"/>
    <x v="3"/>
    <s v="Card"/>
    <n v="3.9"/>
    <x v="1"/>
    <n v="68.877899999999997"/>
    <n v="4"/>
    <x v="0"/>
  </r>
  <r>
    <n v="3401"/>
    <n v="21"/>
    <x v="2"/>
    <x v="1"/>
    <x v="7"/>
    <s v="Sneakers"/>
    <n v="218.6"/>
    <x v="2"/>
    <s v="Card"/>
    <n v="4.5"/>
    <x v="8"/>
    <n v="192.36799999999999"/>
    <n v="6"/>
    <x v="0"/>
  </r>
  <r>
    <n v="3402"/>
    <n v="54"/>
    <x v="0"/>
    <x v="1"/>
    <x v="1"/>
    <s v="Jacket"/>
    <n v="130.78"/>
    <x v="0"/>
    <s v="Card"/>
    <n v="4.9000000000000004"/>
    <x v="4"/>
    <n v="112.4708"/>
    <n v="7"/>
    <x v="0"/>
  </r>
  <r>
    <n v="3403"/>
    <n v="23"/>
    <x v="2"/>
    <x v="1"/>
    <x v="7"/>
    <s v="Sandals"/>
    <n v="76.209999999999994"/>
    <x v="1"/>
    <s v="Card"/>
    <n v="4.8"/>
    <x v="2"/>
    <n v="67.826899999999995"/>
    <n v="3"/>
    <x v="1"/>
  </r>
  <r>
    <n v="3404"/>
    <n v="36"/>
    <x v="0"/>
    <x v="1"/>
    <x v="2"/>
    <s v="Yoga Mat"/>
    <n v="134.77000000000001"/>
    <x v="3"/>
    <s v="Card"/>
    <n v="4.8"/>
    <x v="8"/>
    <n v="118.59760000000001"/>
    <n v="6"/>
    <x v="0"/>
  </r>
  <r>
    <n v="3405"/>
    <n v="56"/>
    <x v="0"/>
    <x v="1"/>
    <x v="2"/>
    <s v="Dumbbells"/>
    <n v="224.71"/>
    <x v="0"/>
    <s v="Card"/>
    <n v="4.8"/>
    <x v="1"/>
    <n v="195.49770000000001"/>
    <n v="4"/>
    <x v="0"/>
  </r>
  <r>
    <n v="3406"/>
    <n v="65"/>
    <x v="1"/>
    <x v="0"/>
    <x v="6"/>
    <s v="Skincare Kit"/>
    <n v="29.46"/>
    <x v="0"/>
    <s v="Card"/>
    <n v="3.6"/>
    <x v="1"/>
    <n v="25.630200000000002"/>
    <n v="4"/>
    <x v="0"/>
  </r>
  <r>
    <n v="3407"/>
    <n v="64"/>
    <x v="1"/>
    <x v="1"/>
    <x v="1"/>
    <s v="Shirt"/>
    <n v="57"/>
    <x v="3"/>
    <s v="Cash on Delivery"/>
    <n v="3.6"/>
    <x v="19"/>
    <n v="48.449999999999996"/>
    <n v="5"/>
    <x v="0"/>
  </r>
  <r>
    <n v="3408"/>
    <n v="38"/>
    <x v="0"/>
    <x v="1"/>
    <x v="7"/>
    <s v="Sneakers"/>
    <n v="71.58"/>
    <x v="1"/>
    <s v="Cash on Delivery"/>
    <n v="3.3"/>
    <x v="1"/>
    <n v="62.2746"/>
    <n v="4"/>
    <x v="0"/>
  </r>
  <r>
    <n v="3409"/>
    <n v="34"/>
    <x v="0"/>
    <x v="0"/>
    <x v="2"/>
    <s v="Dumbbells"/>
    <n v="213.67"/>
    <x v="0"/>
    <s v="Card"/>
    <n v="3.7"/>
    <x v="10"/>
    <n v="166.6626"/>
    <n v="6"/>
    <x v="0"/>
  </r>
  <r>
    <n v="3410"/>
    <n v="35"/>
    <x v="0"/>
    <x v="0"/>
    <x v="8"/>
    <s v="Skirt"/>
    <n v="97.07"/>
    <x v="1"/>
    <s v="Cash on Delivery"/>
    <n v="3.1"/>
    <x v="0"/>
    <n v="79.597400000000007"/>
    <n v="4"/>
    <x v="0"/>
  </r>
  <r>
    <n v="3411"/>
    <n v="67"/>
    <x v="1"/>
    <x v="0"/>
    <x v="0"/>
    <s v="Sunglasses"/>
    <n v="154.84"/>
    <x v="2"/>
    <s v="Card"/>
    <n v="3.9"/>
    <x v="0"/>
    <n v="126.96880000000002"/>
    <n v="4"/>
    <x v="0"/>
  </r>
  <r>
    <n v="3412"/>
    <n v="55"/>
    <x v="0"/>
    <x v="0"/>
    <x v="6"/>
    <s v="Perfume"/>
    <n v="92.98"/>
    <x v="2"/>
    <s v="Card"/>
    <n v="3.7"/>
    <x v="5"/>
    <n v="85.541600000000003"/>
    <n v="4"/>
    <x v="0"/>
  </r>
  <r>
    <n v="3413"/>
    <n v="64"/>
    <x v="1"/>
    <x v="0"/>
    <x v="6"/>
    <s v="Makeup Set"/>
    <n v="81.650000000000006"/>
    <x v="1"/>
    <s v="Card"/>
    <n v="3.8"/>
    <x v="14"/>
    <n v="67.769500000000008"/>
    <n v="6"/>
    <x v="0"/>
  </r>
  <r>
    <n v="3414"/>
    <n v="39"/>
    <x v="0"/>
    <x v="0"/>
    <x v="7"/>
    <s v="Sneakers"/>
    <n v="249.4"/>
    <x v="3"/>
    <s v="Card"/>
    <n v="3.9"/>
    <x v="21"/>
    <n v="197.02600000000001"/>
    <n v="8"/>
    <x v="2"/>
  </r>
  <r>
    <n v="3415"/>
    <n v="23"/>
    <x v="2"/>
    <x v="1"/>
    <x v="3"/>
    <s v="Lamp"/>
    <n v="268.91000000000003"/>
    <x v="1"/>
    <s v="Card"/>
    <n v="4.2"/>
    <x v="1"/>
    <n v="233.95170000000002"/>
    <n v="4"/>
    <x v="0"/>
  </r>
  <r>
    <n v="3416"/>
    <n v="66"/>
    <x v="1"/>
    <x v="1"/>
    <x v="2"/>
    <s v="Football"/>
    <n v="81.459999999999994"/>
    <x v="2"/>
    <s v="Cash on Delivery"/>
    <n v="3.9"/>
    <x v="3"/>
    <n v="65.167999999999992"/>
    <n v="5"/>
    <x v="0"/>
  </r>
  <r>
    <n v="3417"/>
    <n v="29"/>
    <x v="2"/>
    <x v="0"/>
    <x v="8"/>
    <s v="Skirt"/>
    <n v="135.06"/>
    <x v="3"/>
    <s v="Card"/>
    <n v="2.2000000000000002"/>
    <x v="12"/>
    <n v="109.39860000000002"/>
    <n v="7"/>
    <x v="0"/>
  </r>
  <r>
    <n v="3418"/>
    <n v="54"/>
    <x v="0"/>
    <x v="0"/>
    <x v="6"/>
    <s v="Skincare Kit"/>
    <n v="127.1"/>
    <x v="0"/>
    <s v="Card"/>
    <n v="3.5"/>
    <x v="0"/>
    <n v="104.22200000000001"/>
    <n v="4"/>
    <x v="0"/>
  </r>
  <r>
    <n v="3419"/>
    <n v="48"/>
    <x v="0"/>
    <x v="1"/>
    <x v="7"/>
    <s v="Sneakers"/>
    <n v="121.62"/>
    <x v="1"/>
    <s v="Card"/>
    <n v="4.4000000000000004"/>
    <x v="16"/>
    <n v="114.3228"/>
    <n v="3"/>
    <x v="1"/>
  </r>
  <r>
    <n v="3420"/>
    <n v="30"/>
    <x v="2"/>
    <x v="0"/>
    <x v="3"/>
    <s v="Lamp"/>
    <n v="194.22"/>
    <x v="1"/>
    <s v="Card"/>
    <n v="4.2"/>
    <x v="1"/>
    <n v="168.97139999999999"/>
    <n v="4"/>
    <x v="0"/>
  </r>
  <r>
    <n v="3421"/>
    <n v="48"/>
    <x v="0"/>
    <x v="0"/>
    <x v="7"/>
    <s v="Sandals"/>
    <n v="225.8"/>
    <x v="3"/>
    <s v="Card"/>
    <n v="3.2"/>
    <x v="16"/>
    <n v="212.25200000000001"/>
    <n v="3"/>
    <x v="1"/>
  </r>
  <r>
    <n v="3422"/>
    <n v="47"/>
    <x v="0"/>
    <x v="0"/>
    <x v="8"/>
    <s v="Jeans"/>
    <n v="193.59"/>
    <x v="1"/>
    <s v="Card"/>
    <n v="3.3"/>
    <x v="6"/>
    <n v="162.6156"/>
    <n v="3"/>
    <x v="1"/>
  </r>
  <r>
    <n v="3423"/>
    <n v="48"/>
    <x v="0"/>
    <x v="1"/>
    <x v="5"/>
    <s v="Laptop"/>
    <n v="2610.9899999999998"/>
    <x v="3"/>
    <s v="Card"/>
    <n v="3.5"/>
    <x v="1"/>
    <n v="2271.5612999999998"/>
    <n v="4"/>
    <x v="0"/>
  </r>
  <r>
    <n v="3424"/>
    <n v="20"/>
    <x v="2"/>
    <x v="0"/>
    <x v="7"/>
    <s v="Sneakers"/>
    <n v="104.2"/>
    <x v="1"/>
    <s v="Card"/>
    <n v="2.8"/>
    <x v="2"/>
    <n v="92.738"/>
    <n v="3"/>
    <x v="1"/>
  </r>
  <r>
    <n v="3425"/>
    <n v="37"/>
    <x v="0"/>
    <x v="1"/>
    <x v="7"/>
    <s v="Formal Shoes"/>
    <n v="159.51"/>
    <x v="2"/>
    <s v="Card"/>
    <n v="3.8"/>
    <x v="2"/>
    <n v="141.9639"/>
    <n v="3"/>
    <x v="1"/>
  </r>
  <r>
    <n v="3426"/>
    <n v="63"/>
    <x v="1"/>
    <x v="1"/>
    <x v="1"/>
    <s v="Jeans"/>
    <n v="163.47999999999999"/>
    <x v="0"/>
    <s v="Card"/>
    <n v="4"/>
    <x v="0"/>
    <n v="134.05359999999999"/>
    <n v="4"/>
    <x v="0"/>
  </r>
  <r>
    <n v="3427"/>
    <n v="49"/>
    <x v="0"/>
    <x v="0"/>
    <x v="3"/>
    <s v="Kitchen Set"/>
    <n v="106.24"/>
    <x v="2"/>
    <s v="Card"/>
    <n v="3.5"/>
    <x v="6"/>
    <n v="89.241599999999991"/>
    <n v="3"/>
    <x v="1"/>
  </r>
  <r>
    <n v="3428"/>
    <n v="40"/>
    <x v="0"/>
    <x v="1"/>
    <x v="5"/>
    <s v="Headphones"/>
    <n v="1340.12"/>
    <x v="1"/>
    <s v="Card"/>
    <n v="4.0999999999999996"/>
    <x v="24"/>
    <n v="964.88639999999987"/>
    <n v="9"/>
    <x v="2"/>
  </r>
  <r>
    <n v="3429"/>
    <n v="55"/>
    <x v="0"/>
    <x v="0"/>
    <x v="0"/>
    <s v="Wallet"/>
    <n v="66.95"/>
    <x v="1"/>
    <s v="Card"/>
    <n v="3.7"/>
    <x v="4"/>
    <n v="57.576999999999998"/>
    <n v="2"/>
    <x v="1"/>
  </r>
  <r>
    <n v="3430"/>
    <n v="50"/>
    <x v="0"/>
    <x v="0"/>
    <x v="8"/>
    <s v="Dress"/>
    <n v="114.36"/>
    <x v="0"/>
    <s v="Card"/>
    <n v="3.3"/>
    <x v="7"/>
    <n v="102.92400000000001"/>
    <n v="5"/>
    <x v="0"/>
  </r>
  <r>
    <n v="3431"/>
    <n v="63"/>
    <x v="1"/>
    <x v="0"/>
    <x v="0"/>
    <s v="Wallet"/>
    <n v="171.7"/>
    <x v="3"/>
    <s v="Card"/>
    <n v="3.8"/>
    <x v="14"/>
    <n v="142.511"/>
    <n v="6"/>
    <x v="0"/>
  </r>
  <r>
    <n v="3432"/>
    <n v="36"/>
    <x v="0"/>
    <x v="1"/>
    <x v="7"/>
    <s v="Sneakers"/>
    <n v="74.53"/>
    <x v="1"/>
    <s v="Cash on Delivery"/>
    <n v="4.3"/>
    <x v="2"/>
    <n v="66.331699999999998"/>
    <n v="3"/>
    <x v="1"/>
  </r>
  <r>
    <n v="3433"/>
    <n v="34"/>
    <x v="0"/>
    <x v="0"/>
    <x v="8"/>
    <s v="Dress"/>
    <n v="47.24"/>
    <x v="1"/>
    <s v="Cash on Delivery"/>
    <n v="3.1"/>
    <x v="0"/>
    <n v="38.736800000000002"/>
    <n v="4"/>
    <x v="0"/>
  </r>
  <r>
    <n v="3434"/>
    <n v="70"/>
    <x v="1"/>
    <x v="1"/>
    <x v="7"/>
    <s v="Sandals"/>
    <n v="247.53"/>
    <x v="1"/>
    <s v="Card"/>
    <n v="4.0999999999999996"/>
    <x v="8"/>
    <n v="217.82640000000001"/>
    <n v="6"/>
    <x v="0"/>
  </r>
  <r>
    <n v="3435"/>
    <n v="65"/>
    <x v="1"/>
    <x v="0"/>
    <x v="6"/>
    <s v="Perfume"/>
    <n v="119.15"/>
    <x v="3"/>
    <s v="Card"/>
    <n v="2.9"/>
    <x v="0"/>
    <n v="97.703000000000017"/>
    <n v="4"/>
    <x v="0"/>
  </r>
  <r>
    <n v="3436"/>
    <n v="38"/>
    <x v="0"/>
    <x v="1"/>
    <x v="5"/>
    <s v="Mobile Phone"/>
    <n v="2077.59"/>
    <x v="2"/>
    <s v="Card"/>
    <n v="3.2"/>
    <x v="5"/>
    <n v="1911.3828000000003"/>
    <n v="4"/>
    <x v="0"/>
  </r>
  <r>
    <n v="3437"/>
    <n v="24"/>
    <x v="2"/>
    <x v="1"/>
    <x v="5"/>
    <s v="Mobile Phone"/>
    <n v="2160.6799999999998"/>
    <x v="2"/>
    <s v="Card"/>
    <n v="2.7"/>
    <x v="16"/>
    <n v="2031.0391999999997"/>
    <n v="3"/>
    <x v="1"/>
  </r>
  <r>
    <n v="3438"/>
    <n v="45"/>
    <x v="0"/>
    <x v="1"/>
    <x v="7"/>
    <s v="Sandals"/>
    <n v="179.48"/>
    <x v="0"/>
    <s v="Card"/>
    <n v="3.9"/>
    <x v="1"/>
    <n v="156.14759999999998"/>
    <n v="4"/>
    <x v="0"/>
  </r>
  <r>
    <n v="3439"/>
    <n v="63"/>
    <x v="1"/>
    <x v="1"/>
    <x v="3"/>
    <s v="Kitchen Set"/>
    <n v="49.32"/>
    <x v="2"/>
    <s v="Cash on Delivery"/>
    <n v="3.6"/>
    <x v="0"/>
    <n v="40.442400000000006"/>
    <n v="4"/>
    <x v="0"/>
  </r>
  <r>
    <n v="3440"/>
    <n v="55"/>
    <x v="0"/>
    <x v="1"/>
    <x v="5"/>
    <s v="Headphones"/>
    <n v="844.6"/>
    <x v="2"/>
    <s v="Card"/>
    <n v="4.7"/>
    <x v="17"/>
    <n v="810.81600000000003"/>
    <n v="2"/>
    <x v="1"/>
  </r>
  <r>
    <n v="3441"/>
    <n v="58"/>
    <x v="0"/>
    <x v="0"/>
    <x v="4"/>
    <s v="Cooking Oil"/>
    <n v="61.51"/>
    <x v="0"/>
    <s v="Card"/>
    <n v="2.9"/>
    <x v="7"/>
    <n v="55.359000000000002"/>
    <n v="5"/>
    <x v="0"/>
  </r>
  <r>
    <n v="3442"/>
    <n v="20"/>
    <x v="2"/>
    <x v="1"/>
    <x v="5"/>
    <s v="Mobile Phone"/>
    <n v="1267.3900000000001"/>
    <x v="3"/>
    <s v="Card"/>
    <n v="3.5"/>
    <x v="16"/>
    <n v="1191.3466000000001"/>
    <n v="3"/>
    <x v="1"/>
  </r>
  <r>
    <n v="3443"/>
    <n v="51"/>
    <x v="0"/>
    <x v="0"/>
    <x v="0"/>
    <s v="Handbag"/>
    <n v="89.15"/>
    <x v="3"/>
    <s v="Cash on Delivery"/>
    <n v="3"/>
    <x v="4"/>
    <n v="76.668999999999997"/>
    <n v="7"/>
    <x v="0"/>
  </r>
  <r>
    <n v="3444"/>
    <n v="59"/>
    <x v="0"/>
    <x v="0"/>
    <x v="6"/>
    <s v="Perfume"/>
    <n v="31.16"/>
    <x v="0"/>
    <s v="Cash on Delivery"/>
    <n v="3.7"/>
    <x v="19"/>
    <n v="26.486000000000001"/>
    <n v="5"/>
    <x v="0"/>
  </r>
  <r>
    <n v="3445"/>
    <n v="20"/>
    <x v="2"/>
    <x v="0"/>
    <x v="4"/>
    <s v="Rice Pack"/>
    <n v="40.090000000000003"/>
    <x v="1"/>
    <s v="Cash on Delivery"/>
    <n v="4.9000000000000004"/>
    <x v="3"/>
    <n v="32.072000000000003"/>
    <n v="5"/>
    <x v="0"/>
  </r>
  <r>
    <n v="3446"/>
    <n v="33"/>
    <x v="0"/>
    <x v="0"/>
    <x v="7"/>
    <s v="Sneakers"/>
    <n v="94.64"/>
    <x v="3"/>
    <s v="Cash on Delivery"/>
    <n v="4.9000000000000004"/>
    <x v="3"/>
    <n v="75.712000000000003"/>
    <n v="5"/>
    <x v="0"/>
  </r>
  <r>
    <n v="3447"/>
    <n v="46"/>
    <x v="0"/>
    <x v="0"/>
    <x v="4"/>
    <s v="Rice Pack"/>
    <n v="47.53"/>
    <x v="2"/>
    <s v="Cash on Delivery"/>
    <n v="3.4"/>
    <x v="2"/>
    <n v="42.301700000000004"/>
    <n v="3"/>
    <x v="1"/>
  </r>
  <r>
    <n v="3448"/>
    <n v="29"/>
    <x v="2"/>
    <x v="1"/>
    <x v="7"/>
    <s v="Sneakers"/>
    <n v="51.72"/>
    <x v="2"/>
    <s v="Card"/>
    <n v="3.9"/>
    <x v="14"/>
    <n v="42.927599999999998"/>
    <n v="6"/>
    <x v="0"/>
  </r>
  <r>
    <n v="3449"/>
    <n v="59"/>
    <x v="0"/>
    <x v="0"/>
    <x v="4"/>
    <s v="Beverages"/>
    <n v="63.38"/>
    <x v="0"/>
    <s v="Card"/>
    <n v="3.1"/>
    <x v="11"/>
    <n v="46.901200000000003"/>
    <n v="8"/>
    <x v="2"/>
  </r>
  <r>
    <n v="3450"/>
    <n v="37"/>
    <x v="0"/>
    <x v="0"/>
    <x v="6"/>
    <s v="Perfume"/>
    <n v="37.64"/>
    <x v="1"/>
    <s v="Card"/>
    <n v="2.9"/>
    <x v="19"/>
    <n v="31.994"/>
    <n v="5"/>
    <x v="0"/>
  </r>
  <r>
    <n v="3451"/>
    <n v="43"/>
    <x v="0"/>
    <x v="0"/>
    <x v="7"/>
    <s v="Sandals"/>
    <n v="183.45"/>
    <x v="0"/>
    <s v="Card"/>
    <n v="4.4000000000000004"/>
    <x v="24"/>
    <n v="132.08399999999997"/>
    <n v="9"/>
    <x v="2"/>
  </r>
  <r>
    <n v="3452"/>
    <n v="38"/>
    <x v="0"/>
    <x v="0"/>
    <x v="2"/>
    <s v="Dumbbells"/>
    <n v="103.8"/>
    <x v="3"/>
    <s v="Card"/>
    <n v="3.4"/>
    <x v="21"/>
    <n v="82.001999999999995"/>
    <n v="8"/>
    <x v="2"/>
  </r>
  <r>
    <n v="3453"/>
    <n v="25"/>
    <x v="2"/>
    <x v="1"/>
    <x v="1"/>
    <s v="T-Shirt"/>
    <n v="86.2"/>
    <x v="1"/>
    <s v="Card"/>
    <n v="3.9"/>
    <x v="27"/>
    <n v="64.650000000000006"/>
    <n v="10"/>
    <x v="2"/>
  </r>
  <r>
    <n v="3454"/>
    <n v="25"/>
    <x v="2"/>
    <x v="1"/>
    <x v="2"/>
    <s v="Yoga Mat"/>
    <n v="134.38"/>
    <x v="2"/>
    <s v="Card"/>
    <n v="3.8"/>
    <x v="13"/>
    <n v="122.28579999999999"/>
    <n v="2"/>
    <x v="1"/>
  </r>
  <r>
    <n v="3455"/>
    <n v="50"/>
    <x v="0"/>
    <x v="1"/>
    <x v="5"/>
    <s v="Headphones"/>
    <n v="2994.62"/>
    <x v="0"/>
    <s v="Card"/>
    <n v="3.6"/>
    <x v="27"/>
    <n v="2245.9650000000001"/>
    <n v="10"/>
    <x v="2"/>
  </r>
  <r>
    <n v="3456"/>
    <n v="23"/>
    <x v="2"/>
    <x v="0"/>
    <x v="8"/>
    <s v="Jeans"/>
    <n v="130.04"/>
    <x v="1"/>
    <s v="Card"/>
    <n v="3.8"/>
    <x v="3"/>
    <n v="104.032"/>
    <n v="5"/>
    <x v="0"/>
  </r>
  <r>
    <n v="3457"/>
    <n v="44"/>
    <x v="0"/>
    <x v="0"/>
    <x v="3"/>
    <s v="Lamp"/>
    <n v="218.77"/>
    <x v="2"/>
    <s v="Card"/>
    <n v="5"/>
    <x v="24"/>
    <n v="157.51439999999999"/>
    <n v="9"/>
    <x v="2"/>
  </r>
  <r>
    <n v="3458"/>
    <n v="33"/>
    <x v="0"/>
    <x v="0"/>
    <x v="8"/>
    <s v="Skirt"/>
    <n v="110.92"/>
    <x v="2"/>
    <s v="Card"/>
    <n v="3.7"/>
    <x v="7"/>
    <n v="99.828000000000003"/>
    <n v="5"/>
    <x v="0"/>
  </r>
  <r>
    <n v="3459"/>
    <n v="20"/>
    <x v="2"/>
    <x v="1"/>
    <x v="4"/>
    <s v="Beverages"/>
    <n v="31.55"/>
    <x v="0"/>
    <s v="Cash on Delivery"/>
    <n v="4.3"/>
    <x v="8"/>
    <n v="27.763999999999999"/>
    <n v="1"/>
    <x v="1"/>
  </r>
  <r>
    <n v="3460"/>
    <n v="56"/>
    <x v="0"/>
    <x v="0"/>
    <x v="8"/>
    <s v="Skirt"/>
    <n v="66.72"/>
    <x v="2"/>
    <s v="Card"/>
    <n v="4.8"/>
    <x v="3"/>
    <n v="53.376000000000005"/>
    <n v="5"/>
    <x v="0"/>
  </r>
  <r>
    <n v="3461"/>
    <n v="70"/>
    <x v="1"/>
    <x v="1"/>
    <x v="7"/>
    <s v="Sandals"/>
    <n v="216.39"/>
    <x v="3"/>
    <s v="Card"/>
    <n v="4.5"/>
    <x v="4"/>
    <n v="186.09539999999998"/>
    <n v="2"/>
    <x v="1"/>
  </r>
  <r>
    <n v="3462"/>
    <n v="55"/>
    <x v="0"/>
    <x v="0"/>
    <x v="7"/>
    <s v="Formal Shoes"/>
    <n v="166.18"/>
    <x v="3"/>
    <s v="Card"/>
    <n v="4.0999999999999996"/>
    <x v="16"/>
    <n v="156.20920000000001"/>
    <n v="3"/>
    <x v="1"/>
  </r>
  <r>
    <n v="3463"/>
    <n v="24"/>
    <x v="2"/>
    <x v="1"/>
    <x v="7"/>
    <s v="Sandals"/>
    <n v="74.739999999999995"/>
    <x v="3"/>
    <s v="Cash on Delivery"/>
    <n v="4.0999999999999996"/>
    <x v="4"/>
    <n v="64.276399999999995"/>
    <n v="7"/>
    <x v="0"/>
  </r>
  <r>
    <n v="3464"/>
    <n v="34"/>
    <x v="0"/>
    <x v="0"/>
    <x v="8"/>
    <s v="Skirt"/>
    <n v="77.55"/>
    <x v="1"/>
    <s v="Cash on Delivery"/>
    <n v="4.2"/>
    <x v="7"/>
    <n v="69.795000000000002"/>
    <n v="5"/>
    <x v="0"/>
  </r>
  <r>
    <n v="3465"/>
    <n v="45"/>
    <x v="0"/>
    <x v="0"/>
    <x v="7"/>
    <s v="Sneakers"/>
    <n v="66.040000000000006"/>
    <x v="1"/>
    <s v="Card"/>
    <n v="3.7"/>
    <x v="2"/>
    <n v="58.775600000000004"/>
    <n v="3"/>
    <x v="1"/>
  </r>
  <r>
    <n v="3466"/>
    <n v="49"/>
    <x v="0"/>
    <x v="1"/>
    <x v="7"/>
    <s v="Formal Shoes"/>
    <n v="101"/>
    <x v="0"/>
    <s v="Card"/>
    <n v="4.5999999999999996"/>
    <x v="0"/>
    <n v="82.820000000000007"/>
    <n v="9"/>
    <x v="2"/>
  </r>
  <r>
    <n v="3467"/>
    <n v="68"/>
    <x v="1"/>
    <x v="0"/>
    <x v="6"/>
    <s v="Perfume"/>
    <n v="110.3"/>
    <x v="1"/>
    <s v="Card"/>
    <n v="2.8"/>
    <x v="4"/>
    <n v="94.85799999999999"/>
    <n v="7"/>
    <x v="0"/>
  </r>
  <r>
    <n v="3468"/>
    <n v="26"/>
    <x v="2"/>
    <x v="0"/>
    <x v="6"/>
    <s v="Skincare Kit"/>
    <n v="101.16"/>
    <x v="3"/>
    <s v="Card"/>
    <n v="4.0999999999999996"/>
    <x v="6"/>
    <n v="84.974399999999989"/>
    <n v="3"/>
    <x v="1"/>
  </r>
  <r>
    <n v="3469"/>
    <n v="52"/>
    <x v="0"/>
    <x v="0"/>
    <x v="7"/>
    <s v="Sneakers"/>
    <n v="236.38"/>
    <x v="1"/>
    <s v="Card"/>
    <n v="3.6"/>
    <x v="2"/>
    <n v="210.37819999999999"/>
    <n v="3"/>
    <x v="1"/>
  </r>
  <r>
    <n v="3470"/>
    <n v="66"/>
    <x v="1"/>
    <x v="1"/>
    <x v="1"/>
    <s v="T-Shirt"/>
    <n v="164.23"/>
    <x v="3"/>
    <s v="Card"/>
    <n v="4.0999999999999996"/>
    <x v="14"/>
    <n v="136.31089999999998"/>
    <n v="6"/>
    <x v="0"/>
  </r>
  <r>
    <n v="3471"/>
    <n v="53"/>
    <x v="0"/>
    <x v="1"/>
    <x v="2"/>
    <s v="Dumbbells"/>
    <n v="205.45"/>
    <x v="3"/>
    <s v="Card"/>
    <n v="4.2"/>
    <x v="8"/>
    <n v="180.79599999999999"/>
    <n v="6"/>
    <x v="0"/>
  </r>
  <r>
    <n v="3472"/>
    <n v="44"/>
    <x v="0"/>
    <x v="0"/>
    <x v="8"/>
    <s v="Dress"/>
    <n v="61.41"/>
    <x v="2"/>
    <s v="Card"/>
    <n v="4.5999999999999996"/>
    <x v="10"/>
    <n v="47.899799999999999"/>
    <n v="6"/>
    <x v="0"/>
  </r>
  <r>
    <n v="3473"/>
    <n v="44"/>
    <x v="0"/>
    <x v="0"/>
    <x v="0"/>
    <s v="Sunglasses"/>
    <n v="79.900000000000006"/>
    <x v="2"/>
    <s v="Card"/>
    <n v="3.2"/>
    <x v="6"/>
    <n v="67.116"/>
    <n v="3"/>
    <x v="1"/>
  </r>
  <r>
    <n v="3474"/>
    <n v="37"/>
    <x v="0"/>
    <x v="1"/>
    <x v="2"/>
    <s v="Dumbbells"/>
    <n v="228.81"/>
    <x v="2"/>
    <s v="Card"/>
    <n v="3.9"/>
    <x v="10"/>
    <n v="178.4718"/>
    <n v="6"/>
    <x v="0"/>
  </r>
  <r>
    <n v="3475"/>
    <n v="30"/>
    <x v="2"/>
    <x v="0"/>
    <x v="6"/>
    <s v="Makeup Set"/>
    <n v="146.26"/>
    <x v="2"/>
    <s v="Card"/>
    <n v="3.4"/>
    <x v="5"/>
    <n v="134.5592"/>
    <n v="4"/>
    <x v="0"/>
  </r>
  <r>
    <n v="3476"/>
    <n v="58"/>
    <x v="0"/>
    <x v="0"/>
    <x v="6"/>
    <s v="Perfume"/>
    <n v="58.29"/>
    <x v="3"/>
    <s v="Cash on Delivery"/>
    <n v="1.9"/>
    <x v="5"/>
    <n v="53.626800000000003"/>
    <n v="4"/>
    <x v="0"/>
  </r>
  <r>
    <n v="3477"/>
    <n v="42"/>
    <x v="0"/>
    <x v="1"/>
    <x v="3"/>
    <s v="Curtains"/>
    <n v="61.68"/>
    <x v="2"/>
    <s v="Card"/>
    <n v="5"/>
    <x v="14"/>
    <n v="51.194399999999995"/>
    <n v="6"/>
    <x v="0"/>
  </r>
  <r>
    <n v="3478"/>
    <n v="46"/>
    <x v="0"/>
    <x v="1"/>
    <x v="1"/>
    <s v="Shirt"/>
    <n v="76.22"/>
    <x v="2"/>
    <s v="Cash on Delivery"/>
    <n v="4.7"/>
    <x v="6"/>
    <n v="64.024799999999999"/>
    <n v="8"/>
    <x v="2"/>
  </r>
  <r>
    <n v="3479"/>
    <n v="23"/>
    <x v="2"/>
    <x v="0"/>
    <x v="8"/>
    <s v="Skirt"/>
    <n v="93.3"/>
    <x v="0"/>
    <s v="Card"/>
    <n v="3.6"/>
    <x v="4"/>
    <n v="80.238"/>
    <n v="2"/>
    <x v="1"/>
  </r>
  <r>
    <n v="3480"/>
    <n v="41"/>
    <x v="0"/>
    <x v="1"/>
    <x v="2"/>
    <s v="Dumbbells"/>
    <n v="50.96"/>
    <x v="3"/>
    <s v="Card"/>
    <n v="3.7"/>
    <x v="10"/>
    <n v="39.748800000000003"/>
    <n v="6"/>
    <x v="0"/>
  </r>
  <r>
    <n v="3481"/>
    <n v="29"/>
    <x v="2"/>
    <x v="1"/>
    <x v="1"/>
    <s v="T-Shirt"/>
    <n v="88.61"/>
    <x v="2"/>
    <s v="Cash on Delivery"/>
    <n v="2.7"/>
    <x v="19"/>
    <n v="75.3185"/>
    <n v="5"/>
    <x v="0"/>
  </r>
  <r>
    <n v="3482"/>
    <n v="38"/>
    <x v="0"/>
    <x v="1"/>
    <x v="7"/>
    <s v="Sneakers"/>
    <n v="128.69"/>
    <x v="1"/>
    <s v="Card"/>
    <n v="4.0999999999999996"/>
    <x v="8"/>
    <n v="113.24719999999999"/>
    <n v="6"/>
    <x v="0"/>
  </r>
  <r>
    <n v="3483"/>
    <n v="61"/>
    <x v="1"/>
    <x v="0"/>
    <x v="7"/>
    <s v="Formal Shoes"/>
    <n v="58.31"/>
    <x v="3"/>
    <s v="Cash on Delivery"/>
    <n v="4.3"/>
    <x v="10"/>
    <n v="45.4818"/>
    <n v="6"/>
    <x v="0"/>
  </r>
  <r>
    <n v="3484"/>
    <n v="33"/>
    <x v="0"/>
    <x v="0"/>
    <x v="3"/>
    <s v="Kitchen Set"/>
    <n v="144.94999999999999"/>
    <x v="2"/>
    <s v="Card"/>
    <n v="3.6"/>
    <x v="8"/>
    <n v="127.556"/>
    <n v="1"/>
    <x v="1"/>
  </r>
  <r>
    <n v="3485"/>
    <n v="61"/>
    <x v="1"/>
    <x v="1"/>
    <x v="1"/>
    <s v="Shirt"/>
    <n v="160.36000000000001"/>
    <x v="2"/>
    <s v="Card"/>
    <n v="2.7"/>
    <x v="16"/>
    <n v="150.73840000000001"/>
    <n v="3"/>
    <x v="1"/>
  </r>
  <r>
    <n v="3486"/>
    <n v="42"/>
    <x v="0"/>
    <x v="0"/>
    <x v="7"/>
    <s v="Formal Shoes"/>
    <n v="225.91"/>
    <x v="2"/>
    <s v="Card"/>
    <n v="3.7"/>
    <x v="7"/>
    <n v="203.31899999999999"/>
    <n v="5"/>
    <x v="0"/>
  </r>
  <r>
    <n v="3487"/>
    <n v="28"/>
    <x v="2"/>
    <x v="0"/>
    <x v="8"/>
    <s v="Jeans"/>
    <n v="57.14"/>
    <x v="3"/>
    <s v="Cash on Delivery"/>
    <n v="3.1"/>
    <x v="1"/>
    <n v="49.711800000000004"/>
    <n v="4"/>
    <x v="0"/>
  </r>
  <r>
    <n v="3488"/>
    <n v="53"/>
    <x v="0"/>
    <x v="1"/>
    <x v="1"/>
    <s v="T-Shirt"/>
    <n v="133.94"/>
    <x v="0"/>
    <s v="Card"/>
    <n v="4.3"/>
    <x v="0"/>
    <n v="109.83080000000001"/>
    <n v="4"/>
    <x v="0"/>
  </r>
  <r>
    <n v="3489"/>
    <n v="64"/>
    <x v="1"/>
    <x v="0"/>
    <x v="6"/>
    <s v="Perfume"/>
    <n v="57.54"/>
    <x v="3"/>
    <s v="Card"/>
    <n v="5"/>
    <x v="0"/>
    <n v="47.1828"/>
    <n v="4"/>
    <x v="0"/>
  </r>
  <r>
    <n v="3490"/>
    <n v="64"/>
    <x v="1"/>
    <x v="1"/>
    <x v="1"/>
    <s v="Shirt"/>
    <n v="76.87"/>
    <x v="3"/>
    <s v="Card"/>
    <n v="3.9"/>
    <x v="16"/>
    <n v="72.257800000000003"/>
    <n v="3"/>
    <x v="1"/>
  </r>
  <r>
    <n v="3491"/>
    <n v="68"/>
    <x v="1"/>
    <x v="1"/>
    <x v="2"/>
    <s v="Football"/>
    <n v="32.729999999999997"/>
    <x v="1"/>
    <s v="Cash on Delivery"/>
    <n v="3.9"/>
    <x v="0"/>
    <n v="26.8386"/>
    <n v="9"/>
    <x v="2"/>
  </r>
  <r>
    <n v="3492"/>
    <n v="34"/>
    <x v="0"/>
    <x v="1"/>
    <x v="1"/>
    <s v="T-Shirt"/>
    <n v="56.59"/>
    <x v="1"/>
    <s v="Cash on Delivery"/>
    <n v="3.9"/>
    <x v="0"/>
    <n v="46.403800000000004"/>
    <n v="4"/>
    <x v="0"/>
  </r>
  <r>
    <n v="3493"/>
    <n v="57"/>
    <x v="0"/>
    <x v="0"/>
    <x v="8"/>
    <s v="Jeans"/>
    <n v="113.82"/>
    <x v="0"/>
    <s v="Card"/>
    <n v="3.1"/>
    <x v="5"/>
    <n v="104.7144"/>
    <n v="4"/>
    <x v="0"/>
  </r>
  <r>
    <n v="3494"/>
    <n v="50"/>
    <x v="0"/>
    <x v="0"/>
    <x v="8"/>
    <s v="Jeans"/>
    <n v="34.270000000000003"/>
    <x v="3"/>
    <s v="Card"/>
    <n v="4.2"/>
    <x v="21"/>
    <n v="27.073300000000003"/>
    <n v="8"/>
    <x v="2"/>
  </r>
  <r>
    <n v="3495"/>
    <n v="45"/>
    <x v="0"/>
    <x v="1"/>
    <x v="5"/>
    <s v="Laptop"/>
    <n v="1460.58"/>
    <x v="2"/>
    <s v="Card"/>
    <n v="4.3"/>
    <x v="5"/>
    <n v="1343.7336"/>
    <n v="4"/>
    <x v="0"/>
  </r>
  <r>
    <n v="3496"/>
    <n v="23"/>
    <x v="2"/>
    <x v="1"/>
    <x v="2"/>
    <s v="Yoga Mat"/>
    <n v="207.34"/>
    <x v="3"/>
    <s v="Card"/>
    <n v="4.4000000000000004"/>
    <x v="6"/>
    <n v="174.16559999999998"/>
    <n v="8"/>
    <x v="2"/>
  </r>
  <r>
    <n v="3497"/>
    <n v="33"/>
    <x v="0"/>
    <x v="0"/>
    <x v="8"/>
    <s v="Jeans"/>
    <n v="79.55"/>
    <x v="1"/>
    <s v="Card"/>
    <n v="4.4000000000000004"/>
    <x v="3"/>
    <n v="63.64"/>
    <n v="5"/>
    <x v="0"/>
  </r>
  <r>
    <n v="3498"/>
    <n v="38"/>
    <x v="0"/>
    <x v="1"/>
    <x v="7"/>
    <s v="Sandals"/>
    <n v="171"/>
    <x v="0"/>
    <s v="Card"/>
    <n v="2.7"/>
    <x v="8"/>
    <n v="150.47999999999999"/>
    <n v="6"/>
    <x v="0"/>
  </r>
  <r>
    <n v="3499"/>
    <n v="50"/>
    <x v="0"/>
    <x v="0"/>
    <x v="7"/>
    <s v="Sandals"/>
    <n v="109.47"/>
    <x v="0"/>
    <s v="Card"/>
    <n v="3.9"/>
    <x v="19"/>
    <n v="93.049499999999995"/>
    <n v="5"/>
    <x v="0"/>
  </r>
  <r>
    <n v="3500"/>
    <n v="33"/>
    <x v="0"/>
    <x v="1"/>
    <x v="5"/>
    <s v="Mobile Phone"/>
    <n v="2664.84"/>
    <x v="2"/>
    <s v="Card"/>
    <n v="5"/>
    <x v="10"/>
    <n v="2078.5752000000002"/>
    <n v="6"/>
    <x v="0"/>
  </r>
  <r>
    <n v="3501"/>
    <n v="38"/>
    <x v="0"/>
    <x v="0"/>
    <x v="0"/>
    <s v="Sunglasses"/>
    <n v="126.81"/>
    <x v="1"/>
    <s v="Card"/>
    <n v="4.0999999999999996"/>
    <x v="19"/>
    <n v="107.7885"/>
    <n v="5"/>
    <x v="0"/>
  </r>
  <r>
    <n v="3502"/>
    <n v="40"/>
    <x v="0"/>
    <x v="1"/>
    <x v="2"/>
    <s v="Yoga Mat"/>
    <n v="200.09"/>
    <x v="3"/>
    <s v="Card"/>
    <n v="3.7"/>
    <x v="3"/>
    <n v="160.072"/>
    <n v="5"/>
    <x v="0"/>
  </r>
  <r>
    <n v="3503"/>
    <n v="37"/>
    <x v="0"/>
    <x v="0"/>
    <x v="7"/>
    <s v="Sneakers"/>
    <n v="163.18"/>
    <x v="0"/>
    <s v="Card"/>
    <n v="4.4000000000000004"/>
    <x v="3"/>
    <n v="130.54400000000001"/>
    <n v="5"/>
    <x v="0"/>
  </r>
  <r>
    <n v="3504"/>
    <n v="50"/>
    <x v="0"/>
    <x v="1"/>
    <x v="2"/>
    <s v="Football"/>
    <n v="112.61"/>
    <x v="2"/>
    <s v="Card"/>
    <n v="4.5"/>
    <x v="14"/>
    <n v="93.46629999999999"/>
    <n v="6"/>
    <x v="0"/>
  </r>
  <r>
    <n v="3505"/>
    <n v="47"/>
    <x v="0"/>
    <x v="0"/>
    <x v="4"/>
    <s v="Snacks"/>
    <n v="73.2"/>
    <x v="3"/>
    <s v="Cash on Delivery"/>
    <n v="3.6"/>
    <x v="10"/>
    <n v="57.096000000000004"/>
    <n v="6"/>
    <x v="0"/>
  </r>
  <r>
    <n v="3506"/>
    <n v="49"/>
    <x v="0"/>
    <x v="0"/>
    <x v="0"/>
    <s v="Sunglasses"/>
    <n v="41.27"/>
    <x v="0"/>
    <s v="Card"/>
    <n v="2.1"/>
    <x v="17"/>
    <n v="39.619199999999999"/>
    <n v="2"/>
    <x v="1"/>
  </r>
  <r>
    <n v="3507"/>
    <n v="70"/>
    <x v="1"/>
    <x v="1"/>
    <x v="5"/>
    <s v="Smart Watch"/>
    <n v="2742.82"/>
    <x v="3"/>
    <s v="Card"/>
    <n v="4"/>
    <x v="10"/>
    <n v="2139.3996000000002"/>
    <n v="6"/>
    <x v="0"/>
  </r>
  <r>
    <n v="3508"/>
    <n v="32"/>
    <x v="0"/>
    <x v="0"/>
    <x v="4"/>
    <s v="Beverages"/>
    <n v="9.6999999999999993"/>
    <x v="1"/>
    <s v="Card"/>
    <n v="4.4000000000000004"/>
    <x v="7"/>
    <n v="8.73"/>
    <n v="5"/>
    <x v="0"/>
  </r>
  <r>
    <n v="3509"/>
    <n v="65"/>
    <x v="1"/>
    <x v="0"/>
    <x v="0"/>
    <s v="Sunglasses"/>
    <n v="34.49"/>
    <x v="1"/>
    <s v="Card"/>
    <n v="3.1"/>
    <x v="10"/>
    <n v="26.902200000000004"/>
    <n v="6"/>
    <x v="0"/>
  </r>
  <r>
    <n v="3510"/>
    <n v="39"/>
    <x v="0"/>
    <x v="1"/>
    <x v="1"/>
    <s v="Jeans"/>
    <n v="84.03"/>
    <x v="2"/>
    <s v="Cash on Delivery"/>
    <n v="4"/>
    <x v="2"/>
    <n v="74.786699999999996"/>
    <n v="3"/>
    <x v="1"/>
  </r>
  <r>
    <n v="3511"/>
    <n v="58"/>
    <x v="0"/>
    <x v="1"/>
    <x v="1"/>
    <s v="Shirt"/>
    <n v="147.16999999999999"/>
    <x v="2"/>
    <s v="Card"/>
    <n v="4.5"/>
    <x v="16"/>
    <n v="138.33979999999997"/>
    <n v="3"/>
    <x v="1"/>
  </r>
  <r>
    <n v="3512"/>
    <n v="44"/>
    <x v="0"/>
    <x v="0"/>
    <x v="4"/>
    <s v="Cooking Oil"/>
    <n v="29.29"/>
    <x v="3"/>
    <s v="Cash on Delivery"/>
    <n v="4.8"/>
    <x v="13"/>
    <n v="26.6539"/>
    <n v="2"/>
    <x v="1"/>
  </r>
  <r>
    <n v="3513"/>
    <n v="38"/>
    <x v="0"/>
    <x v="1"/>
    <x v="3"/>
    <s v="Lamp"/>
    <n v="180.38"/>
    <x v="0"/>
    <s v="Card"/>
    <n v="2.9"/>
    <x v="4"/>
    <n v="155.1268"/>
    <n v="7"/>
    <x v="0"/>
  </r>
  <r>
    <n v="3514"/>
    <n v="65"/>
    <x v="1"/>
    <x v="1"/>
    <x v="5"/>
    <s v="Headphones"/>
    <n v="1279.3"/>
    <x v="0"/>
    <s v="Card"/>
    <n v="4.4000000000000004"/>
    <x v="2"/>
    <n v="1138.577"/>
    <n v="3"/>
    <x v="1"/>
  </r>
  <r>
    <n v="3515"/>
    <n v="23"/>
    <x v="2"/>
    <x v="0"/>
    <x v="8"/>
    <s v="Skirt"/>
    <n v="31.4"/>
    <x v="3"/>
    <s v="Cash on Delivery"/>
    <n v="3"/>
    <x v="5"/>
    <n v="28.888000000000002"/>
    <n v="4"/>
    <x v="0"/>
  </r>
  <r>
    <n v="3516"/>
    <n v="20"/>
    <x v="2"/>
    <x v="0"/>
    <x v="4"/>
    <s v="Beverages"/>
    <n v="47.95"/>
    <x v="1"/>
    <s v="Card"/>
    <n v="4.3"/>
    <x v="18"/>
    <n v="36.442"/>
    <n v="7"/>
    <x v="0"/>
  </r>
  <r>
    <n v="3517"/>
    <n v="36"/>
    <x v="0"/>
    <x v="0"/>
    <x v="8"/>
    <s v="Top"/>
    <n v="98.93"/>
    <x v="1"/>
    <s v="Card"/>
    <n v="4.4000000000000004"/>
    <x v="7"/>
    <n v="89.037000000000006"/>
    <n v="5"/>
    <x v="0"/>
  </r>
  <r>
    <n v="3518"/>
    <n v="46"/>
    <x v="0"/>
    <x v="0"/>
    <x v="8"/>
    <s v="Top"/>
    <n v="84.09"/>
    <x v="3"/>
    <s v="Card"/>
    <n v="3.4"/>
    <x v="17"/>
    <n v="80.726399999999998"/>
    <n v="2"/>
    <x v="1"/>
  </r>
  <r>
    <n v="3519"/>
    <n v="45"/>
    <x v="0"/>
    <x v="1"/>
    <x v="7"/>
    <s v="Sandals"/>
    <n v="174.22"/>
    <x v="3"/>
    <s v="Card"/>
    <n v="4"/>
    <x v="1"/>
    <n v="151.57140000000001"/>
    <n v="4"/>
    <x v="0"/>
  </r>
  <r>
    <n v="3520"/>
    <n v="62"/>
    <x v="1"/>
    <x v="1"/>
    <x v="2"/>
    <s v="Yoga Mat"/>
    <n v="50.18"/>
    <x v="1"/>
    <s v="Card"/>
    <n v="3.4"/>
    <x v="18"/>
    <n v="38.136800000000001"/>
    <n v="7"/>
    <x v="0"/>
  </r>
  <r>
    <n v="3521"/>
    <n v="66"/>
    <x v="1"/>
    <x v="1"/>
    <x v="5"/>
    <s v="Smart Watch"/>
    <n v="2988.75"/>
    <x v="1"/>
    <s v="Card"/>
    <n v="4.0999999999999996"/>
    <x v="5"/>
    <n v="2749.65"/>
    <n v="4"/>
    <x v="0"/>
  </r>
  <r>
    <n v="3522"/>
    <n v="25"/>
    <x v="2"/>
    <x v="1"/>
    <x v="7"/>
    <s v="Sandals"/>
    <n v="91.39"/>
    <x v="2"/>
    <s v="Cash on Delivery"/>
    <n v="4.5999999999999996"/>
    <x v="21"/>
    <n v="72.198099999999997"/>
    <n v="8"/>
    <x v="2"/>
  </r>
  <r>
    <n v="3523"/>
    <n v="63"/>
    <x v="1"/>
    <x v="1"/>
    <x v="7"/>
    <s v="Formal Shoes"/>
    <n v="148.77000000000001"/>
    <x v="2"/>
    <s v="Card"/>
    <n v="3.7"/>
    <x v="17"/>
    <n v="142.8192"/>
    <n v="2"/>
    <x v="1"/>
  </r>
  <r>
    <n v="3524"/>
    <n v="68"/>
    <x v="1"/>
    <x v="0"/>
    <x v="2"/>
    <s v="Dumbbells"/>
    <n v="208.26"/>
    <x v="0"/>
    <s v="Card"/>
    <n v="3.3"/>
    <x v="16"/>
    <n v="195.76439999999997"/>
    <n v="3"/>
    <x v="1"/>
  </r>
  <r>
    <n v="3525"/>
    <n v="41"/>
    <x v="0"/>
    <x v="1"/>
    <x v="4"/>
    <s v="Snacks"/>
    <n v="75.680000000000007"/>
    <x v="0"/>
    <s v="Cash on Delivery"/>
    <n v="4.7"/>
    <x v="8"/>
    <n v="66.598400000000012"/>
    <n v="1"/>
    <x v="1"/>
  </r>
  <r>
    <n v="3526"/>
    <n v="42"/>
    <x v="0"/>
    <x v="0"/>
    <x v="8"/>
    <s v="Top"/>
    <n v="195.75"/>
    <x v="3"/>
    <s v="Card"/>
    <n v="2.7"/>
    <x v="19"/>
    <n v="166.38749999999999"/>
    <n v="5"/>
    <x v="0"/>
  </r>
  <r>
    <n v="3527"/>
    <n v="20"/>
    <x v="2"/>
    <x v="0"/>
    <x v="8"/>
    <s v="Skirt"/>
    <n v="101.76"/>
    <x v="0"/>
    <s v="Card"/>
    <n v="3.6"/>
    <x v="17"/>
    <n v="97.689599999999999"/>
    <n v="2"/>
    <x v="1"/>
  </r>
  <r>
    <n v="3528"/>
    <n v="62"/>
    <x v="1"/>
    <x v="1"/>
    <x v="7"/>
    <s v="Formal Shoes"/>
    <n v="162.80000000000001"/>
    <x v="0"/>
    <s v="Card"/>
    <n v="4.3"/>
    <x v="10"/>
    <n v="126.98400000000001"/>
    <n v="6"/>
    <x v="0"/>
  </r>
  <r>
    <n v="3529"/>
    <n v="67"/>
    <x v="1"/>
    <x v="0"/>
    <x v="8"/>
    <s v="Dress"/>
    <n v="184.18"/>
    <x v="0"/>
    <s v="Card"/>
    <n v="3.2"/>
    <x v="4"/>
    <n v="158.3948"/>
    <n v="2"/>
    <x v="1"/>
  </r>
  <r>
    <n v="3530"/>
    <n v="27"/>
    <x v="2"/>
    <x v="0"/>
    <x v="6"/>
    <s v="Skincare Kit"/>
    <n v="92.28"/>
    <x v="2"/>
    <s v="Cash on Delivery"/>
    <n v="4.2"/>
    <x v="4"/>
    <n v="79.360799999999998"/>
    <n v="2"/>
    <x v="1"/>
  </r>
  <r>
    <n v="3531"/>
    <n v="27"/>
    <x v="2"/>
    <x v="1"/>
    <x v="3"/>
    <s v="Lamp"/>
    <n v="90.91"/>
    <x v="1"/>
    <s v="Card"/>
    <n v="3.6"/>
    <x v="7"/>
    <n v="81.819000000000003"/>
    <n v="5"/>
    <x v="0"/>
  </r>
  <r>
    <n v="3532"/>
    <n v="69"/>
    <x v="1"/>
    <x v="1"/>
    <x v="2"/>
    <s v="Yoga Mat"/>
    <n v="213.7"/>
    <x v="3"/>
    <s v="Card"/>
    <n v="3.7"/>
    <x v="16"/>
    <n v="200.87799999999999"/>
    <n v="3"/>
    <x v="1"/>
  </r>
  <r>
    <n v="3533"/>
    <n v="40"/>
    <x v="0"/>
    <x v="1"/>
    <x v="5"/>
    <s v="Laptop"/>
    <n v="2397"/>
    <x v="2"/>
    <s v="Card"/>
    <n v="4"/>
    <x v="20"/>
    <n v="1629.9599999999998"/>
    <n v="11"/>
    <x v="2"/>
  </r>
  <r>
    <n v="3534"/>
    <n v="64"/>
    <x v="1"/>
    <x v="0"/>
    <x v="0"/>
    <s v="Handbag"/>
    <n v="174.66"/>
    <x v="0"/>
    <s v="Card"/>
    <n v="5"/>
    <x v="18"/>
    <n v="132.74160000000001"/>
    <n v="7"/>
    <x v="0"/>
  </r>
  <r>
    <n v="3535"/>
    <n v="34"/>
    <x v="0"/>
    <x v="1"/>
    <x v="5"/>
    <s v="Smart Watch"/>
    <n v="2047.74"/>
    <x v="0"/>
    <s v="Card"/>
    <n v="4"/>
    <x v="10"/>
    <n v="1597.2372"/>
    <n v="6"/>
    <x v="0"/>
  </r>
  <r>
    <n v="3536"/>
    <n v="67"/>
    <x v="1"/>
    <x v="0"/>
    <x v="8"/>
    <s v="Skirt"/>
    <n v="148.32"/>
    <x v="1"/>
    <s v="Card"/>
    <n v="4.5"/>
    <x v="3"/>
    <n v="118.65600000000001"/>
    <n v="5"/>
    <x v="0"/>
  </r>
  <r>
    <n v="3537"/>
    <n v="27"/>
    <x v="2"/>
    <x v="1"/>
    <x v="2"/>
    <s v="Football"/>
    <n v="118.03"/>
    <x v="1"/>
    <s v="Card"/>
    <n v="4"/>
    <x v="12"/>
    <n v="95.604300000000009"/>
    <n v="7"/>
    <x v="0"/>
  </r>
  <r>
    <n v="3538"/>
    <n v="33"/>
    <x v="0"/>
    <x v="0"/>
    <x v="6"/>
    <s v="Skincare Kit"/>
    <n v="55.18"/>
    <x v="2"/>
    <s v="Card"/>
    <n v="3.4"/>
    <x v="1"/>
    <n v="48.006599999999999"/>
    <n v="4"/>
    <x v="0"/>
  </r>
  <r>
    <n v="3539"/>
    <n v="57"/>
    <x v="0"/>
    <x v="0"/>
    <x v="0"/>
    <s v="Wallet"/>
    <n v="39.68"/>
    <x v="3"/>
    <s v="Cash on Delivery"/>
    <n v="3.4"/>
    <x v="7"/>
    <n v="35.712000000000003"/>
    <n v="5"/>
    <x v="0"/>
  </r>
  <r>
    <n v="3540"/>
    <n v="47"/>
    <x v="0"/>
    <x v="1"/>
    <x v="7"/>
    <s v="Formal Shoes"/>
    <n v="138.35"/>
    <x v="0"/>
    <s v="Card"/>
    <n v="4.5999999999999996"/>
    <x v="19"/>
    <n v="117.5975"/>
    <n v="5"/>
    <x v="0"/>
  </r>
  <r>
    <n v="3541"/>
    <n v="20"/>
    <x v="2"/>
    <x v="0"/>
    <x v="7"/>
    <s v="Formal Shoes"/>
    <n v="80.11"/>
    <x v="2"/>
    <s v="Card"/>
    <n v="4.5999999999999996"/>
    <x v="7"/>
    <n v="72.099000000000004"/>
    <n v="5"/>
    <x v="0"/>
  </r>
  <r>
    <n v="3542"/>
    <n v="58"/>
    <x v="0"/>
    <x v="0"/>
    <x v="0"/>
    <s v="Handbag"/>
    <n v="97.52"/>
    <x v="1"/>
    <s v="Cash on Delivery"/>
    <n v="2.8"/>
    <x v="7"/>
    <n v="87.768000000000001"/>
    <n v="5"/>
    <x v="0"/>
  </r>
  <r>
    <n v="3543"/>
    <n v="29"/>
    <x v="2"/>
    <x v="0"/>
    <x v="0"/>
    <s v="Wallet"/>
    <n v="135.41999999999999"/>
    <x v="1"/>
    <s v="Card"/>
    <n v="3.7"/>
    <x v="7"/>
    <n v="121.87799999999999"/>
    <n v="5"/>
    <x v="0"/>
  </r>
  <r>
    <n v="3544"/>
    <n v="68"/>
    <x v="1"/>
    <x v="1"/>
    <x v="1"/>
    <s v="Shirt"/>
    <n v="95.18"/>
    <x v="0"/>
    <s v="Card"/>
    <n v="4.4000000000000004"/>
    <x v="14"/>
    <n v="78.999400000000009"/>
    <n v="6"/>
    <x v="0"/>
  </r>
  <r>
    <n v="3545"/>
    <n v="50"/>
    <x v="0"/>
    <x v="0"/>
    <x v="6"/>
    <s v="Skincare Kit"/>
    <n v="121.73"/>
    <x v="2"/>
    <s v="Card"/>
    <n v="4.0999999999999996"/>
    <x v="24"/>
    <n v="87.645600000000002"/>
    <n v="9"/>
    <x v="2"/>
  </r>
  <r>
    <n v="3546"/>
    <n v="21"/>
    <x v="2"/>
    <x v="0"/>
    <x v="8"/>
    <s v="Dress"/>
    <n v="155.07"/>
    <x v="3"/>
    <s v="Card"/>
    <n v="3"/>
    <x v="1"/>
    <n v="134.9109"/>
    <n v="4"/>
    <x v="0"/>
  </r>
  <r>
    <n v="3547"/>
    <n v="65"/>
    <x v="1"/>
    <x v="1"/>
    <x v="1"/>
    <s v="Shirt"/>
    <n v="146.36000000000001"/>
    <x v="3"/>
    <s v="Card"/>
    <n v="2.5"/>
    <x v="15"/>
    <n v="143.43280000000001"/>
    <n v="1"/>
    <x v="1"/>
  </r>
  <r>
    <n v="3548"/>
    <n v="67"/>
    <x v="1"/>
    <x v="1"/>
    <x v="2"/>
    <s v="Yoga Mat"/>
    <n v="222.83"/>
    <x v="3"/>
    <s v="Card"/>
    <n v="4.8"/>
    <x v="1"/>
    <n v="193.8621"/>
    <n v="4"/>
    <x v="0"/>
  </r>
  <r>
    <n v="3549"/>
    <n v="28"/>
    <x v="2"/>
    <x v="0"/>
    <x v="7"/>
    <s v="Sandals"/>
    <n v="237.96"/>
    <x v="0"/>
    <s v="Card"/>
    <n v="4.7"/>
    <x v="13"/>
    <n v="216.54360000000003"/>
    <n v="2"/>
    <x v="1"/>
  </r>
  <r>
    <n v="3550"/>
    <n v="53"/>
    <x v="0"/>
    <x v="0"/>
    <x v="8"/>
    <s v="Dress"/>
    <n v="182.1"/>
    <x v="0"/>
    <s v="Card"/>
    <n v="2.8"/>
    <x v="1"/>
    <n v="158.42699999999999"/>
    <n v="4"/>
    <x v="0"/>
  </r>
  <r>
    <n v="3551"/>
    <n v="53"/>
    <x v="0"/>
    <x v="1"/>
    <x v="5"/>
    <s v="Headphones"/>
    <n v="2807.25"/>
    <x v="3"/>
    <s v="Card"/>
    <n v="2.7"/>
    <x v="10"/>
    <n v="2189.6550000000002"/>
    <n v="6"/>
    <x v="0"/>
  </r>
  <r>
    <n v="3552"/>
    <n v="24"/>
    <x v="2"/>
    <x v="1"/>
    <x v="2"/>
    <s v="Dumbbells"/>
    <n v="140.57"/>
    <x v="0"/>
    <s v="Card"/>
    <n v="4.0999999999999996"/>
    <x v="7"/>
    <n v="126.51299999999999"/>
    <n v="5"/>
    <x v="0"/>
  </r>
  <r>
    <n v="3553"/>
    <n v="68"/>
    <x v="1"/>
    <x v="1"/>
    <x v="4"/>
    <s v="Beverages"/>
    <n v="77.77"/>
    <x v="2"/>
    <s v="Cash on Delivery"/>
    <n v="3.6"/>
    <x v="7"/>
    <n v="69.992999999999995"/>
    <n v="5"/>
    <x v="0"/>
  </r>
  <r>
    <n v="3554"/>
    <n v="70"/>
    <x v="1"/>
    <x v="0"/>
    <x v="7"/>
    <s v="Formal Shoes"/>
    <n v="165.35"/>
    <x v="0"/>
    <s v="Card"/>
    <n v="4.0999999999999996"/>
    <x v="16"/>
    <n v="155.42899999999997"/>
    <n v="3"/>
    <x v="1"/>
  </r>
  <r>
    <n v="3555"/>
    <n v="43"/>
    <x v="0"/>
    <x v="1"/>
    <x v="2"/>
    <s v="Yoga Mat"/>
    <n v="246.24"/>
    <x v="2"/>
    <s v="Card"/>
    <n v="4.5"/>
    <x v="4"/>
    <n v="211.7664"/>
    <n v="2"/>
    <x v="1"/>
  </r>
  <r>
    <n v="3556"/>
    <n v="26"/>
    <x v="2"/>
    <x v="0"/>
    <x v="6"/>
    <s v="Makeup Set"/>
    <n v="121.85"/>
    <x v="3"/>
    <s v="Card"/>
    <n v="4.0999999999999996"/>
    <x v="2"/>
    <n v="108.4465"/>
    <n v="3"/>
    <x v="1"/>
  </r>
  <r>
    <n v="3557"/>
    <n v="21"/>
    <x v="2"/>
    <x v="1"/>
    <x v="2"/>
    <s v="Dumbbells"/>
    <n v="244.91"/>
    <x v="2"/>
    <s v="Card"/>
    <n v="2.9"/>
    <x v="16"/>
    <n v="230.21539999999999"/>
    <n v="3"/>
    <x v="1"/>
  </r>
  <r>
    <n v="3558"/>
    <n v="68"/>
    <x v="1"/>
    <x v="0"/>
    <x v="6"/>
    <s v="Makeup Set"/>
    <n v="116.21"/>
    <x v="0"/>
    <s v="Card"/>
    <n v="3.3"/>
    <x v="24"/>
    <n v="83.671199999999999"/>
    <n v="9"/>
    <x v="2"/>
  </r>
  <r>
    <n v="3559"/>
    <n v="65"/>
    <x v="1"/>
    <x v="1"/>
    <x v="4"/>
    <s v="Cooking Oil"/>
    <n v="31.66"/>
    <x v="0"/>
    <s v="Cash on Delivery"/>
    <n v="2.4"/>
    <x v="4"/>
    <n v="27.227599999999999"/>
    <n v="7"/>
    <x v="0"/>
  </r>
  <r>
    <n v="3560"/>
    <n v="42"/>
    <x v="0"/>
    <x v="1"/>
    <x v="2"/>
    <s v="Dumbbells"/>
    <n v="150.72"/>
    <x v="3"/>
    <s v="Card"/>
    <n v="4.3"/>
    <x v="14"/>
    <n v="125.0976"/>
    <n v="6"/>
    <x v="0"/>
  </r>
  <r>
    <n v="3561"/>
    <n v="40"/>
    <x v="0"/>
    <x v="0"/>
    <x v="7"/>
    <s v="Sandals"/>
    <n v="169.6"/>
    <x v="3"/>
    <s v="Card"/>
    <n v="3"/>
    <x v="1"/>
    <n v="147.55199999999999"/>
    <n v="4"/>
    <x v="0"/>
  </r>
  <r>
    <n v="3562"/>
    <n v="47"/>
    <x v="0"/>
    <x v="0"/>
    <x v="2"/>
    <s v="Football"/>
    <n v="58.39"/>
    <x v="0"/>
    <s v="Cash on Delivery"/>
    <n v="4.4000000000000004"/>
    <x v="6"/>
    <n v="49.047599999999996"/>
    <n v="3"/>
    <x v="1"/>
  </r>
  <r>
    <n v="3563"/>
    <n v="53"/>
    <x v="0"/>
    <x v="0"/>
    <x v="6"/>
    <s v="Skincare Kit"/>
    <n v="68.14"/>
    <x v="0"/>
    <s v="Cash on Delivery"/>
    <n v="3.3"/>
    <x v="7"/>
    <n v="61.326000000000001"/>
    <n v="5"/>
    <x v="0"/>
  </r>
  <r>
    <n v="3564"/>
    <n v="48"/>
    <x v="0"/>
    <x v="1"/>
    <x v="7"/>
    <s v="Sneakers"/>
    <n v="179.68"/>
    <x v="0"/>
    <s v="Card"/>
    <n v="4.9000000000000004"/>
    <x v="24"/>
    <n v="129.36959999999999"/>
    <n v="9"/>
    <x v="2"/>
  </r>
  <r>
    <n v="3565"/>
    <n v="33"/>
    <x v="0"/>
    <x v="1"/>
    <x v="5"/>
    <s v="Laptop"/>
    <n v="2844.72"/>
    <x v="3"/>
    <s v="Card"/>
    <n v="3.9"/>
    <x v="5"/>
    <n v="2617.1423999999997"/>
    <n v="4"/>
    <x v="0"/>
  </r>
  <r>
    <n v="3566"/>
    <n v="42"/>
    <x v="0"/>
    <x v="0"/>
    <x v="7"/>
    <s v="Sneakers"/>
    <n v="125.92"/>
    <x v="3"/>
    <s v="Card"/>
    <n v="2.8"/>
    <x v="7"/>
    <n v="113.328"/>
    <n v="5"/>
    <x v="0"/>
  </r>
  <r>
    <n v="3567"/>
    <n v="45"/>
    <x v="0"/>
    <x v="0"/>
    <x v="6"/>
    <s v="Skincare Kit"/>
    <n v="21.56"/>
    <x v="1"/>
    <s v="Cash on Delivery"/>
    <n v="3.4"/>
    <x v="13"/>
    <n v="19.619599999999998"/>
    <n v="2"/>
    <x v="1"/>
  </r>
  <r>
    <n v="3568"/>
    <n v="42"/>
    <x v="0"/>
    <x v="1"/>
    <x v="4"/>
    <s v="Beverages"/>
    <n v="65.64"/>
    <x v="2"/>
    <s v="Cash on Delivery"/>
    <n v="2.8"/>
    <x v="7"/>
    <n v="59.076000000000001"/>
    <n v="5"/>
    <x v="0"/>
  </r>
  <r>
    <n v="3569"/>
    <n v="56"/>
    <x v="0"/>
    <x v="0"/>
    <x v="0"/>
    <s v="Wallet"/>
    <n v="110.86"/>
    <x v="0"/>
    <s v="Card"/>
    <n v="4"/>
    <x v="10"/>
    <n v="86.470799999999997"/>
    <n v="6"/>
    <x v="0"/>
  </r>
  <r>
    <n v="3570"/>
    <n v="37"/>
    <x v="0"/>
    <x v="0"/>
    <x v="0"/>
    <s v="Handbag"/>
    <n v="35.340000000000003"/>
    <x v="0"/>
    <s v="Cash on Delivery"/>
    <n v="3.5"/>
    <x v="1"/>
    <n v="30.745800000000003"/>
    <n v="4"/>
    <x v="0"/>
  </r>
  <r>
    <n v="3571"/>
    <n v="34"/>
    <x v="0"/>
    <x v="0"/>
    <x v="7"/>
    <s v="Sandals"/>
    <n v="41.87"/>
    <x v="1"/>
    <s v="Card"/>
    <n v="4"/>
    <x v="5"/>
    <n v="38.520400000000002"/>
    <n v="4"/>
    <x v="0"/>
  </r>
  <r>
    <n v="3572"/>
    <n v="61"/>
    <x v="1"/>
    <x v="1"/>
    <x v="2"/>
    <s v="Football"/>
    <n v="43.84"/>
    <x v="3"/>
    <s v="Cash on Delivery"/>
    <n v="3.3"/>
    <x v="3"/>
    <n v="35.072000000000003"/>
    <n v="5"/>
    <x v="0"/>
  </r>
  <r>
    <n v="3573"/>
    <n v="34"/>
    <x v="0"/>
    <x v="1"/>
    <x v="7"/>
    <s v="Sandals"/>
    <n v="186.06"/>
    <x v="0"/>
    <s v="Card"/>
    <n v="3.8"/>
    <x v="6"/>
    <n v="156.29040000000001"/>
    <n v="3"/>
    <x v="1"/>
  </r>
  <r>
    <n v="3574"/>
    <n v="42"/>
    <x v="0"/>
    <x v="1"/>
    <x v="1"/>
    <s v="Jacket"/>
    <n v="183.14"/>
    <x v="2"/>
    <s v="Card"/>
    <n v="3.1"/>
    <x v="8"/>
    <n v="161.16319999999999"/>
    <n v="6"/>
    <x v="0"/>
  </r>
  <r>
    <n v="3575"/>
    <n v="38"/>
    <x v="0"/>
    <x v="0"/>
    <x v="0"/>
    <s v="Wallet"/>
    <n v="114.51"/>
    <x v="1"/>
    <s v="Card"/>
    <n v="2.7"/>
    <x v="12"/>
    <n v="92.753100000000003"/>
    <n v="7"/>
    <x v="0"/>
  </r>
  <r>
    <n v="3576"/>
    <n v="58"/>
    <x v="0"/>
    <x v="0"/>
    <x v="7"/>
    <s v="Formal Shoes"/>
    <n v="201.39"/>
    <x v="1"/>
    <s v="Card"/>
    <n v="3.7"/>
    <x v="4"/>
    <n v="173.19539999999998"/>
    <n v="7"/>
    <x v="0"/>
  </r>
  <r>
    <n v="3577"/>
    <n v="31"/>
    <x v="0"/>
    <x v="1"/>
    <x v="7"/>
    <s v="Formal Shoes"/>
    <n v="141.51"/>
    <x v="2"/>
    <s v="Card"/>
    <n v="3.7"/>
    <x v="25"/>
    <n v="99.056999999999988"/>
    <n v="10"/>
    <x v="2"/>
  </r>
  <r>
    <n v="3578"/>
    <n v="22"/>
    <x v="2"/>
    <x v="1"/>
    <x v="1"/>
    <s v="Shirt"/>
    <n v="61.09"/>
    <x v="0"/>
    <s v="Card"/>
    <n v="3.2"/>
    <x v="5"/>
    <n v="56.202800000000003"/>
    <n v="4"/>
    <x v="0"/>
  </r>
  <r>
    <n v="3579"/>
    <n v="54"/>
    <x v="0"/>
    <x v="0"/>
    <x v="8"/>
    <s v="Top"/>
    <n v="80.7"/>
    <x v="3"/>
    <s v="Cash on Delivery"/>
    <n v="3.7"/>
    <x v="21"/>
    <n v="63.753000000000007"/>
    <n v="8"/>
    <x v="2"/>
  </r>
  <r>
    <n v="3580"/>
    <n v="63"/>
    <x v="1"/>
    <x v="0"/>
    <x v="0"/>
    <s v="Sunglasses"/>
    <n v="88.07"/>
    <x v="0"/>
    <s v="Cash on Delivery"/>
    <n v="3.4"/>
    <x v="24"/>
    <n v="63.410399999999996"/>
    <n v="9"/>
    <x v="2"/>
  </r>
  <r>
    <n v="3581"/>
    <n v="47"/>
    <x v="0"/>
    <x v="1"/>
    <x v="5"/>
    <s v="Headphones"/>
    <n v="1425.23"/>
    <x v="0"/>
    <s v="Card"/>
    <n v="3.5"/>
    <x v="18"/>
    <n v="1083.1748"/>
    <n v="7"/>
    <x v="0"/>
  </r>
  <r>
    <n v="3582"/>
    <n v="36"/>
    <x v="0"/>
    <x v="1"/>
    <x v="1"/>
    <s v="Jacket"/>
    <n v="76.67"/>
    <x v="0"/>
    <s v="Cash on Delivery"/>
    <n v="2.8"/>
    <x v="8"/>
    <n v="67.4696"/>
    <n v="6"/>
    <x v="0"/>
  </r>
  <r>
    <n v="3583"/>
    <n v="47"/>
    <x v="0"/>
    <x v="0"/>
    <x v="4"/>
    <s v="Rice Pack"/>
    <n v="46.13"/>
    <x v="0"/>
    <s v="Card"/>
    <n v="3.4"/>
    <x v="4"/>
    <n v="39.671800000000005"/>
    <n v="7"/>
    <x v="0"/>
  </r>
  <r>
    <n v="3584"/>
    <n v="54"/>
    <x v="0"/>
    <x v="1"/>
    <x v="1"/>
    <s v="Jeans"/>
    <n v="42.34"/>
    <x v="0"/>
    <s v="Card"/>
    <n v="4.2"/>
    <x v="10"/>
    <n v="33.025200000000005"/>
    <n v="6"/>
    <x v="0"/>
  </r>
  <r>
    <n v="3585"/>
    <n v="46"/>
    <x v="0"/>
    <x v="1"/>
    <x v="2"/>
    <s v="Football"/>
    <n v="62.68"/>
    <x v="1"/>
    <s v="Card"/>
    <n v="2.2999999999999998"/>
    <x v="1"/>
    <n v="54.531599999999997"/>
    <n v="4"/>
    <x v="0"/>
  </r>
  <r>
    <n v="3586"/>
    <n v="38"/>
    <x v="0"/>
    <x v="1"/>
    <x v="5"/>
    <s v="Smart Watch"/>
    <n v="2478.7399999999998"/>
    <x v="1"/>
    <s v="Card"/>
    <n v="4.9000000000000004"/>
    <x v="20"/>
    <n v="1685.5431999999996"/>
    <n v="11"/>
    <x v="2"/>
  </r>
  <r>
    <n v="3587"/>
    <n v="25"/>
    <x v="2"/>
    <x v="0"/>
    <x v="0"/>
    <s v="Wallet"/>
    <n v="84.07"/>
    <x v="1"/>
    <s v="Cash on Delivery"/>
    <n v="3.7"/>
    <x v="3"/>
    <n v="67.256"/>
    <n v="5"/>
    <x v="0"/>
  </r>
  <r>
    <n v="3588"/>
    <n v="68"/>
    <x v="1"/>
    <x v="1"/>
    <x v="5"/>
    <s v="Headphones"/>
    <n v="2454.39"/>
    <x v="0"/>
    <s v="Card"/>
    <n v="4.0999999999999996"/>
    <x v="3"/>
    <n v="1963.5119999999999"/>
    <n v="5"/>
    <x v="0"/>
  </r>
  <r>
    <n v="3589"/>
    <n v="56"/>
    <x v="0"/>
    <x v="1"/>
    <x v="5"/>
    <s v="Smart Watch"/>
    <n v="1041.3399999999999"/>
    <x v="0"/>
    <s v="Card"/>
    <n v="3.4"/>
    <x v="19"/>
    <n v="885.1389999999999"/>
    <n v="5"/>
    <x v="0"/>
  </r>
  <r>
    <n v="3590"/>
    <n v="56"/>
    <x v="0"/>
    <x v="1"/>
    <x v="2"/>
    <s v="Dumbbells"/>
    <n v="235.44"/>
    <x v="3"/>
    <s v="Card"/>
    <n v="2.4"/>
    <x v="19"/>
    <n v="200.124"/>
    <n v="5"/>
    <x v="0"/>
  </r>
  <r>
    <n v="3591"/>
    <n v="35"/>
    <x v="0"/>
    <x v="0"/>
    <x v="6"/>
    <s v="Makeup Set"/>
    <n v="35.72"/>
    <x v="0"/>
    <s v="Card"/>
    <n v="4.3"/>
    <x v="5"/>
    <n v="32.862400000000001"/>
    <n v="4"/>
    <x v="0"/>
  </r>
  <r>
    <n v="3592"/>
    <n v="27"/>
    <x v="2"/>
    <x v="1"/>
    <x v="1"/>
    <s v="Shirt"/>
    <n v="134.71"/>
    <x v="1"/>
    <s v="Card"/>
    <n v="3.2"/>
    <x v="6"/>
    <n v="113.1564"/>
    <n v="3"/>
    <x v="1"/>
  </r>
  <r>
    <n v="3593"/>
    <n v="33"/>
    <x v="0"/>
    <x v="0"/>
    <x v="7"/>
    <s v="Sandals"/>
    <n v="148.91999999999999"/>
    <x v="2"/>
    <s v="Card"/>
    <n v="4.0999999999999996"/>
    <x v="17"/>
    <n v="142.96319999999997"/>
    <n v="2"/>
    <x v="1"/>
  </r>
  <r>
    <n v="3594"/>
    <n v="30"/>
    <x v="2"/>
    <x v="1"/>
    <x v="1"/>
    <s v="Jacket"/>
    <n v="104.95"/>
    <x v="3"/>
    <s v="Card"/>
    <n v="3.9"/>
    <x v="10"/>
    <n v="81.861000000000004"/>
    <n v="6"/>
    <x v="0"/>
  </r>
  <r>
    <n v="3595"/>
    <n v="49"/>
    <x v="0"/>
    <x v="0"/>
    <x v="0"/>
    <s v="Handbag"/>
    <n v="103.47"/>
    <x v="3"/>
    <s v="Card"/>
    <n v="3.5"/>
    <x v="11"/>
    <n v="76.567799999999991"/>
    <n v="8"/>
    <x v="2"/>
  </r>
  <r>
    <n v="3596"/>
    <n v="55"/>
    <x v="0"/>
    <x v="0"/>
    <x v="3"/>
    <s v="Lamp"/>
    <n v="298.60000000000002"/>
    <x v="0"/>
    <s v="Card"/>
    <n v="4.7"/>
    <x v="14"/>
    <n v="247.83799999999999"/>
    <n v="6"/>
    <x v="0"/>
  </r>
  <r>
    <n v="3597"/>
    <n v="51"/>
    <x v="0"/>
    <x v="1"/>
    <x v="2"/>
    <s v="Yoga Mat"/>
    <n v="39.06"/>
    <x v="1"/>
    <s v="Card"/>
    <n v="3.7"/>
    <x v="3"/>
    <n v="31.248000000000005"/>
    <n v="5"/>
    <x v="0"/>
  </r>
  <r>
    <n v="3598"/>
    <n v="40"/>
    <x v="0"/>
    <x v="1"/>
    <x v="1"/>
    <s v="Shirt"/>
    <n v="133.24"/>
    <x v="3"/>
    <s v="Card"/>
    <n v="3.8"/>
    <x v="14"/>
    <n v="110.58920000000001"/>
    <n v="6"/>
    <x v="0"/>
  </r>
  <r>
    <n v="3599"/>
    <n v="42"/>
    <x v="0"/>
    <x v="1"/>
    <x v="5"/>
    <s v="Mobile Phone"/>
    <n v="897.41"/>
    <x v="0"/>
    <s v="Card"/>
    <n v="3.8"/>
    <x v="12"/>
    <n v="726.90210000000002"/>
    <n v="7"/>
    <x v="0"/>
  </r>
  <r>
    <n v="3600"/>
    <n v="52"/>
    <x v="0"/>
    <x v="1"/>
    <x v="7"/>
    <s v="Sneakers"/>
    <n v="86.48"/>
    <x v="2"/>
    <s v="Cash on Delivery"/>
    <n v="3.2"/>
    <x v="10"/>
    <n v="67.454400000000007"/>
    <n v="6"/>
    <x v="0"/>
  </r>
  <r>
    <n v="3601"/>
    <n v="56"/>
    <x v="0"/>
    <x v="0"/>
    <x v="7"/>
    <s v="Sandals"/>
    <n v="125.07"/>
    <x v="0"/>
    <s v="Card"/>
    <n v="2.8"/>
    <x v="0"/>
    <n v="102.5574"/>
    <n v="4"/>
    <x v="0"/>
  </r>
  <r>
    <n v="3602"/>
    <n v="46"/>
    <x v="0"/>
    <x v="1"/>
    <x v="2"/>
    <s v="Yoga Mat"/>
    <n v="216.22"/>
    <x v="2"/>
    <s v="Card"/>
    <n v="3.2"/>
    <x v="10"/>
    <n v="168.6516"/>
    <n v="6"/>
    <x v="0"/>
  </r>
  <r>
    <n v="3603"/>
    <n v="55"/>
    <x v="0"/>
    <x v="0"/>
    <x v="6"/>
    <s v="Makeup Set"/>
    <n v="29.52"/>
    <x v="1"/>
    <s v="Cash on Delivery"/>
    <n v="3.8"/>
    <x v="17"/>
    <n v="28.339199999999998"/>
    <n v="2"/>
    <x v="1"/>
  </r>
  <r>
    <n v="3604"/>
    <n v="39"/>
    <x v="0"/>
    <x v="0"/>
    <x v="8"/>
    <s v="Top"/>
    <n v="174.95"/>
    <x v="0"/>
    <s v="Card"/>
    <n v="2.9"/>
    <x v="1"/>
    <n v="152.20649999999998"/>
    <n v="4"/>
    <x v="0"/>
  </r>
  <r>
    <n v="3605"/>
    <n v="49"/>
    <x v="0"/>
    <x v="1"/>
    <x v="1"/>
    <s v="Shirt"/>
    <n v="101.38"/>
    <x v="1"/>
    <s v="Card"/>
    <n v="3.3"/>
    <x v="8"/>
    <n v="89.214399999999998"/>
    <n v="6"/>
    <x v="0"/>
  </r>
  <r>
    <n v="3606"/>
    <n v="53"/>
    <x v="0"/>
    <x v="1"/>
    <x v="2"/>
    <s v="Dumbbells"/>
    <n v="61.95"/>
    <x v="2"/>
    <s v="Card"/>
    <n v="5"/>
    <x v="24"/>
    <n v="44.603999999999999"/>
    <n v="9"/>
    <x v="2"/>
  </r>
  <r>
    <n v="3607"/>
    <n v="34"/>
    <x v="0"/>
    <x v="0"/>
    <x v="2"/>
    <s v="Dumbbells"/>
    <n v="117.57"/>
    <x v="0"/>
    <s v="Card"/>
    <n v="4.4000000000000004"/>
    <x v="6"/>
    <n v="98.758799999999994"/>
    <n v="3"/>
    <x v="1"/>
  </r>
  <r>
    <n v="3608"/>
    <n v="70"/>
    <x v="1"/>
    <x v="0"/>
    <x v="6"/>
    <s v="Perfume"/>
    <n v="130.01"/>
    <x v="1"/>
    <s v="Card"/>
    <n v="4.3"/>
    <x v="19"/>
    <n v="110.50849999999998"/>
    <n v="5"/>
    <x v="0"/>
  </r>
  <r>
    <n v="3609"/>
    <n v="69"/>
    <x v="1"/>
    <x v="1"/>
    <x v="2"/>
    <s v="Yoga Mat"/>
    <n v="225.9"/>
    <x v="2"/>
    <s v="Card"/>
    <n v="3.8"/>
    <x v="10"/>
    <n v="176.202"/>
    <n v="6"/>
    <x v="0"/>
  </r>
  <r>
    <n v="3610"/>
    <n v="27"/>
    <x v="2"/>
    <x v="1"/>
    <x v="2"/>
    <s v="Dumbbells"/>
    <n v="165.66"/>
    <x v="3"/>
    <s v="Card"/>
    <n v="3.4"/>
    <x v="4"/>
    <n v="142.4676"/>
    <n v="2"/>
    <x v="1"/>
  </r>
  <r>
    <n v="3611"/>
    <n v="30"/>
    <x v="2"/>
    <x v="1"/>
    <x v="7"/>
    <s v="Sneakers"/>
    <n v="197.71"/>
    <x v="1"/>
    <s v="Card"/>
    <n v="3.3"/>
    <x v="14"/>
    <n v="164.0993"/>
    <n v="6"/>
    <x v="0"/>
  </r>
  <r>
    <n v="3612"/>
    <n v="58"/>
    <x v="0"/>
    <x v="1"/>
    <x v="1"/>
    <s v="Jacket"/>
    <n v="104.05"/>
    <x v="0"/>
    <s v="Card"/>
    <n v="2.8"/>
    <x v="16"/>
    <n v="97.806999999999988"/>
    <n v="3"/>
    <x v="1"/>
  </r>
  <r>
    <n v="3613"/>
    <n v="32"/>
    <x v="0"/>
    <x v="1"/>
    <x v="4"/>
    <s v="Snacks"/>
    <n v="77.81"/>
    <x v="0"/>
    <s v="Card"/>
    <n v="4.2"/>
    <x v="5"/>
    <n v="71.5852"/>
    <n v="4"/>
    <x v="0"/>
  </r>
  <r>
    <n v="3614"/>
    <n v="43"/>
    <x v="0"/>
    <x v="0"/>
    <x v="7"/>
    <s v="Sneakers"/>
    <n v="117.91"/>
    <x v="1"/>
    <s v="Card"/>
    <n v="4"/>
    <x v="8"/>
    <n v="103.7608"/>
    <n v="1"/>
    <x v="1"/>
  </r>
  <r>
    <n v="3615"/>
    <n v="26"/>
    <x v="2"/>
    <x v="1"/>
    <x v="4"/>
    <s v="Cooking Oil"/>
    <n v="70.44"/>
    <x v="2"/>
    <s v="Card"/>
    <n v="2.5"/>
    <x v="12"/>
    <n v="57.056400000000004"/>
    <n v="7"/>
    <x v="0"/>
  </r>
  <r>
    <n v="3616"/>
    <n v="60"/>
    <x v="0"/>
    <x v="0"/>
    <x v="0"/>
    <s v="Wallet"/>
    <n v="104.64"/>
    <x v="0"/>
    <s v="Card"/>
    <n v="3.7"/>
    <x v="14"/>
    <n v="86.851199999999992"/>
    <n v="6"/>
    <x v="0"/>
  </r>
  <r>
    <n v="3617"/>
    <n v="64"/>
    <x v="1"/>
    <x v="0"/>
    <x v="6"/>
    <s v="Makeup Set"/>
    <n v="71.510000000000005"/>
    <x v="2"/>
    <s v="Cash on Delivery"/>
    <n v="2.9"/>
    <x v="24"/>
    <n v="51.487200000000001"/>
    <n v="9"/>
    <x v="2"/>
  </r>
  <r>
    <n v="3618"/>
    <n v="53"/>
    <x v="0"/>
    <x v="0"/>
    <x v="6"/>
    <s v="Skincare Kit"/>
    <n v="51.04"/>
    <x v="0"/>
    <s v="Card"/>
    <n v="4.4000000000000004"/>
    <x v="12"/>
    <n v="41.342400000000005"/>
    <n v="7"/>
    <x v="0"/>
  </r>
  <r>
    <n v="3619"/>
    <n v="23"/>
    <x v="2"/>
    <x v="1"/>
    <x v="1"/>
    <s v="Jeans"/>
    <n v="76.95"/>
    <x v="2"/>
    <s v="Card"/>
    <n v="3.8"/>
    <x v="5"/>
    <n v="70.794000000000011"/>
    <n v="4"/>
    <x v="0"/>
  </r>
  <r>
    <n v="3620"/>
    <n v="32"/>
    <x v="0"/>
    <x v="1"/>
    <x v="1"/>
    <s v="Jeans"/>
    <n v="81.88"/>
    <x v="3"/>
    <s v="Card"/>
    <n v="3.9"/>
    <x v="5"/>
    <n v="75.329599999999999"/>
    <n v="4"/>
    <x v="0"/>
  </r>
  <r>
    <n v="3621"/>
    <n v="66"/>
    <x v="1"/>
    <x v="1"/>
    <x v="2"/>
    <s v="Dumbbells"/>
    <n v="65.33"/>
    <x v="1"/>
    <s v="Card"/>
    <n v="3.2"/>
    <x v="3"/>
    <n v="52.264000000000003"/>
    <n v="5"/>
    <x v="0"/>
  </r>
  <r>
    <n v="3622"/>
    <n v="47"/>
    <x v="0"/>
    <x v="0"/>
    <x v="8"/>
    <s v="Top"/>
    <n v="52.4"/>
    <x v="2"/>
    <s v="Cash on Delivery"/>
    <n v="3.7"/>
    <x v="18"/>
    <n v="39.823999999999998"/>
    <n v="7"/>
    <x v="0"/>
  </r>
  <r>
    <n v="3623"/>
    <n v="20"/>
    <x v="2"/>
    <x v="1"/>
    <x v="7"/>
    <s v="Formal Shoes"/>
    <n v="205.07"/>
    <x v="1"/>
    <s v="Card"/>
    <n v="4.2"/>
    <x v="14"/>
    <n v="170.20809999999997"/>
    <n v="6"/>
    <x v="0"/>
  </r>
  <r>
    <n v="3624"/>
    <n v="50"/>
    <x v="0"/>
    <x v="0"/>
    <x v="6"/>
    <s v="Skincare Kit"/>
    <n v="29.83"/>
    <x v="2"/>
    <s v="Card"/>
    <n v="2.4"/>
    <x v="0"/>
    <n v="24.460599999999999"/>
    <n v="4"/>
    <x v="0"/>
  </r>
  <r>
    <n v="3625"/>
    <n v="68"/>
    <x v="1"/>
    <x v="0"/>
    <x v="2"/>
    <s v="Football"/>
    <n v="151.76"/>
    <x v="0"/>
    <s v="Card"/>
    <n v="4.0999999999999996"/>
    <x v="4"/>
    <n v="130.5136"/>
    <n v="7"/>
    <x v="0"/>
  </r>
  <r>
    <n v="3626"/>
    <n v="47"/>
    <x v="0"/>
    <x v="1"/>
    <x v="4"/>
    <s v="Beverages"/>
    <n v="56.84"/>
    <x v="3"/>
    <s v="Card"/>
    <n v="3.7"/>
    <x v="7"/>
    <n v="51.156000000000006"/>
    <n v="5"/>
    <x v="0"/>
  </r>
  <r>
    <n v="3627"/>
    <n v="66"/>
    <x v="1"/>
    <x v="0"/>
    <x v="7"/>
    <s v="Sandals"/>
    <n v="228.84"/>
    <x v="1"/>
    <s v="Card"/>
    <n v="4.0999999999999996"/>
    <x v="4"/>
    <n v="196.80240000000001"/>
    <n v="2"/>
    <x v="1"/>
  </r>
  <r>
    <n v="3628"/>
    <n v="53"/>
    <x v="0"/>
    <x v="0"/>
    <x v="7"/>
    <s v="Sneakers"/>
    <n v="130.81"/>
    <x v="3"/>
    <s v="Card"/>
    <n v="3.8"/>
    <x v="6"/>
    <n v="109.88039999999999"/>
    <n v="8"/>
    <x v="2"/>
  </r>
  <r>
    <n v="3629"/>
    <n v="57"/>
    <x v="0"/>
    <x v="1"/>
    <x v="7"/>
    <s v="Formal Shoes"/>
    <n v="65.53"/>
    <x v="3"/>
    <s v="Cash on Delivery"/>
    <n v="3.9"/>
    <x v="14"/>
    <n v="54.389899999999997"/>
    <n v="6"/>
    <x v="0"/>
  </r>
  <r>
    <n v="3630"/>
    <n v="60"/>
    <x v="0"/>
    <x v="0"/>
    <x v="0"/>
    <s v="Sunglasses"/>
    <n v="86.31"/>
    <x v="1"/>
    <s v="Card"/>
    <n v="4.4000000000000004"/>
    <x v="1"/>
    <n v="75.089700000000008"/>
    <n v="4"/>
    <x v="0"/>
  </r>
  <r>
    <n v="3631"/>
    <n v="31"/>
    <x v="0"/>
    <x v="1"/>
    <x v="2"/>
    <s v="Yoga Mat"/>
    <n v="204.19"/>
    <x v="2"/>
    <s v="Card"/>
    <n v="3.4"/>
    <x v="0"/>
    <n v="167.4358"/>
    <n v="4"/>
    <x v="0"/>
  </r>
  <r>
    <n v="3632"/>
    <n v="68"/>
    <x v="1"/>
    <x v="1"/>
    <x v="3"/>
    <s v="Curtains"/>
    <n v="289.19"/>
    <x v="2"/>
    <s v="Card"/>
    <n v="3.5"/>
    <x v="13"/>
    <n v="263.16289999999998"/>
    <n v="2"/>
    <x v="1"/>
  </r>
  <r>
    <n v="3633"/>
    <n v="54"/>
    <x v="0"/>
    <x v="1"/>
    <x v="2"/>
    <s v="Football"/>
    <n v="158.37"/>
    <x v="3"/>
    <s v="Card"/>
    <n v="2.2999999999999998"/>
    <x v="8"/>
    <n v="139.3656"/>
    <n v="6"/>
    <x v="0"/>
  </r>
  <r>
    <n v="3634"/>
    <n v="47"/>
    <x v="0"/>
    <x v="0"/>
    <x v="8"/>
    <s v="Dress"/>
    <n v="71.25"/>
    <x v="3"/>
    <s v="Cash on Delivery"/>
    <n v="3.8"/>
    <x v="11"/>
    <n v="52.725000000000001"/>
    <n v="8"/>
    <x v="2"/>
  </r>
  <r>
    <n v="3635"/>
    <n v="62"/>
    <x v="1"/>
    <x v="0"/>
    <x v="0"/>
    <s v="Handbag"/>
    <n v="176.49"/>
    <x v="0"/>
    <s v="Card"/>
    <n v="3.4"/>
    <x v="6"/>
    <n v="148.2516"/>
    <n v="8"/>
    <x v="2"/>
  </r>
  <r>
    <n v="3636"/>
    <n v="33"/>
    <x v="0"/>
    <x v="0"/>
    <x v="7"/>
    <s v="Sandals"/>
    <n v="60.85"/>
    <x v="0"/>
    <s v="Cash on Delivery"/>
    <n v="3.3"/>
    <x v="8"/>
    <n v="53.548000000000002"/>
    <n v="6"/>
    <x v="0"/>
  </r>
  <r>
    <n v="3637"/>
    <n v="40"/>
    <x v="0"/>
    <x v="1"/>
    <x v="7"/>
    <s v="Formal Shoes"/>
    <n v="235.85"/>
    <x v="0"/>
    <s v="Card"/>
    <n v="4.0999999999999996"/>
    <x v="25"/>
    <n v="165.095"/>
    <n v="10"/>
    <x v="2"/>
  </r>
  <r>
    <n v="3638"/>
    <n v="66"/>
    <x v="1"/>
    <x v="1"/>
    <x v="5"/>
    <s v="Smart Watch"/>
    <n v="1417.24"/>
    <x v="2"/>
    <s v="Card"/>
    <n v="3.3"/>
    <x v="22"/>
    <n v="1091.2748000000001"/>
    <n v="9"/>
    <x v="2"/>
  </r>
  <r>
    <n v="3639"/>
    <n v="39"/>
    <x v="0"/>
    <x v="0"/>
    <x v="8"/>
    <s v="Jeans"/>
    <n v="119.67"/>
    <x v="2"/>
    <s v="Card"/>
    <n v="4.3"/>
    <x v="1"/>
    <n v="104.1129"/>
    <n v="4"/>
    <x v="0"/>
  </r>
  <r>
    <n v="3640"/>
    <n v="63"/>
    <x v="1"/>
    <x v="0"/>
    <x v="8"/>
    <s v="Dress"/>
    <n v="77.59"/>
    <x v="3"/>
    <s v="Card"/>
    <n v="4.5"/>
    <x v="0"/>
    <n v="63.62380000000001"/>
    <n v="4"/>
    <x v="0"/>
  </r>
  <r>
    <n v="3641"/>
    <n v="57"/>
    <x v="0"/>
    <x v="0"/>
    <x v="7"/>
    <s v="Sneakers"/>
    <n v="176.39"/>
    <x v="2"/>
    <s v="Card"/>
    <n v="5"/>
    <x v="16"/>
    <n v="165.80659999999997"/>
    <n v="3"/>
    <x v="1"/>
  </r>
  <r>
    <n v="3642"/>
    <n v="50"/>
    <x v="0"/>
    <x v="1"/>
    <x v="5"/>
    <s v="Headphones"/>
    <n v="2463.27"/>
    <x v="0"/>
    <s v="Card"/>
    <n v="3.7"/>
    <x v="3"/>
    <n v="1970.616"/>
    <n v="5"/>
    <x v="0"/>
  </r>
  <r>
    <n v="3643"/>
    <n v="65"/>
    <x v="1"/>
    <x v="1"/>
    <x v="2"/>
    <s v="Football"/>
    <n v="210.26"/>
    <x v="3"/>
    <s v="Card"/>
    <n v="4.5"/>
    <x v="12"/>
    <n v="170.31059999999999"/>
    <n v="7"/>
    <x v="0"/>
  </r>
  <r>
    <n v="3644"/>
    <n v="43"/>
    <x v="0"/>
    <x v="1"/>
    <x v="7"/>
    <s v="Sneakers"/>
    <n v="43.08"/>
    <x v="0"/>
    <s v="Cash on Delivery"/>
    <n v="3.3"/>
    <x v="18"/>
    <n v="32.7408"/>
    <n v="7"/>
    <x v="0"/>
  </r>
  <r>
    <n v="3645"/>
    <n v="66"/>
    <x v="1"/>
    <x v="1"/>
    <x v="5"/>
    <s v="Laptop"/>
    <n v="2061.67"/>
    <x v="2"/>
    <s v="Card"/>
    <n v="3.8"/>
    <x v="2"/>
    <n v="1834.8863000000001"/>
    <n v="3"/>
    <x v="1"/>
  </r>
  <r>
    <n v="3646"/>
    <n v="54"/>
    <x v="0"/>
    <x v="0"/>
    <x v="6"/>
    <s v="Skincare Kit"/>
    <n v="116.1"/>
    <x v="0"/>
    <s v="Card"/>
    <n v="3.3"/>
    <x v="2"/>
    <n v="103.32899999999999"/>
    <n v="3"/>
    <x v="1"/>
  </r>
  <r>
    <n v="3647"/>
    <n v="21"/>
    <x v="2"/>
    <x v="0"/>
    <x v="0"/>
    <s v="Wallet"/>
    <n v="74.010000000000005"/>
    <x v="0"/>
    <s v="Card"/>
    <n v="4.0999999999999996"/>
    <x v="10"/>
    <n v="57.727800000000009"/>
    <n v="6"/>
    <x v="0"/>
  </r>
  <r>
    <n v="3648"/>
    <n v="49"/>
    <x v="0"/>
    <x v="0"/>
    <x v="4"/>
    <s v="Snacks"/>
    <n v="63.04"/>
    <x v="2"/>
    <s v="Card"/>
    <n v="3.5"/>
    <x v="10"/>
    <n v="49.171199999999999"/>
    <n v="6"/>
    <x v="0"/>
  </r>
  <r>
    <n v="3649"/>
    <n v="41"/>
    <x v="0"/>
    <x v="1"/>
    <x v="1"/>
    <s v="Jeans"/>
    <n v="52.63"/>
    <x v="2"/>
    <s v="Cash on Delivery"/>
    <n v="4.4000000000000004"/>
    <x v="6"/>
    <n v="44.209200000000003"/>
    <n v="3"/>
    <x v="1"/>
  </r>
  <r>
    <n v="3650"/>
    <n v="51"/>
    <x v="0"/>
    <x v="1"/>
    <x v="1"/>
    <s v="Shirt"/>
    <n v="159.5"/>
    <x v="1"/>
    <s v="Card"/>
    <n v="4.3"/>
    <x v="10"/>
    <n v="124.41000000000001"/>
    <n v="6"/>
    <x v="0"/>
  </r>
  <r>
    <n v="3651"/>
    <n v="63"/>
    <x v="1"/>
    <x v="0"/>
    <x v="8"/>
    <s v="Skirt"/>
    <n v="128.85"/>
    <x v="2"/>
    <s v="Card"/>
    <n v="2.9"/>
    <x v="2"/>
    <n v="114.67649999999999"/>
    <n v="3"/>
    <x v="1"/>
  </r>
  <r>
    <n v="3652"/>
    <n v="29"/>
    <x v="2"/>
    <x v="1"/>
    <x v="2"/>
    <s v="Dumbbells"/>
    <n v="206.04"/>
    <x v="3"/>
    <s v="Card"/>
    <n v="3.5"/>
    <x v="3"/>
    <n v="164.83199999999999"/>
    <n v="5"/>
    <x v="0"/>
  </r>
  <r>
    <n v="3653"/>
    <n v="68"/>
    <x v="1"/>
    <x v="0"/>
    <x v="7"/>
    <s v="Sandals"/>
    <n v="86.55"/>
    <x v="3"/>
    <s v="Card"/>
    <n v="5"/>
    <x v="24"/>
    <n v="62.315999999999995"/>
    <n v="9"/>
    <x v="2"/>
  </r>
  <r>
    <n v="3654"/>
    <n v="63"/>
    <x v="1"/>
    <x v="1"/>
    <x v="2"/>
    <s v="Yoga Mat"/>
    <n v="138.76"/>
    <x v="1"/>
    <s v="Card"/>
    <n v="3.5"/>
    <x v="14"/>
    <n v="115.17079999999999"/>
    <n v="6"/>
    <x v="0"/>
  </r>
  <r>
    <n v="3655"/>
    <n v="49"/>
    <x v="0"/>
    <x v="0"/>
    <x v="8"/>
    <s v="Skirt"/>
    <n v="45.93"/>
    <x v="1"/>
    <s v="Card"/>
    <n v="5"/>
    <x v="10"/>
    <n v="35.825400000000002"/>
    <n v="6"/>
    <x v="0"/>
  </r>
  <r>
    <n v="3656"/>
    <n v="56"/>
    <x v="0"/>
    <x v="0"/>
    <x v="8"/>
    <s v="Jeans"/>
    <n v="80.56"/>
    <x v="0"/>
    <s v="Card"/>
    <n v="3.5"/>
    <x v="4"/>
    <n v="69.281599999999997"/>
    <n v="7"/>
    <x v="0"/>
  </r>
  <r>
    <n v="3657"/>
    <n v="42"/>
    <x v="0"/>
    <x v="1"/>
    <x v="3"/>
    <s v="Kitchen Set"/>
    <n v="133.91"/>
    <x v="3"/>
    <s v="Card"/>
    <n v="3.9"/>
    <x v="0"/>
    <n v="109.8062"/>
    <n v="4"/>
    <x v="0"/>
  </r>
  <r>
    <n v="3658"/>
    <n v="34"/>
    <x v="0"/>
    <x v="1"/>
    <x v="5"/>
    <s v="Laptop"/>
    <n v="739.02"/>
    <x v="0"/>
    <s v="Card"/>
    <n v="4.3"/>
    <x v="25"/>
    <n v="517.31399999999996"/>
    <n v="10"/>
    <x v="2"/>
  </r>
  <r>
    <n v="3659"/>
    <n v="49"/>
    <x v="0"/>
    <x v="1"/>
    <x v="2"/>
    <s v="Football"/>
    <n v="245.64"/>
    <x v="2"/>
    <s v="Card"/>
    <n v="4.0999999999999996"/>
    <x v="19"/>
    <n v="208.79399999999998"/>
    <n v="5"/>
    <x v="0"/>
  </r>
  <r>
    <n v="3660"/>
    <n v="38"/>
    <x v="0"/>
    <x v="1"/>
    <x v="1"/>
    <s v="Jeans"/>
    <n v="75.67"/>
    <x v="2"/>
    <s v="Cash on Delivery"/>
    <n v="3.8"/>
    <x v="19"/>
    <n v="64.319500000000005"/>
    <n v="5"/>
    <x v="0"/>
  </r>
  <r>
    <n v="3661"/>
    <n v="51"/>
    <x v="0"/>
    <x v="0"/>
    <x v="0"/>
    <s v="Wallet"/>
    <n v="102.13"/>
    <x v="3"/>
    <s v="Card"/>
    <n v="4.0999999999999996"/>
    <x v="8"/>
    <n v="89.874399999999994"/>
    <n v="6"/>
    <x v="0"/>
  </r>
  <r>
    <n v="3662"/>
    <n v="50"/>
    <x v="0"/>
    <x v="0"/>
    <x v="8"/>
    <s v="Jeans"/>
    <n v="193.62"/>
    <x v="0"/>
    <s v="Card"/>
    <n v="2.9"/>
    <x v="12"/>
    <n v="156.8322"/>
    <n v="7"/>
    <x v="0"/>
  </r>
  <r>
    <n v="3663"/>
    <n v="27"/>
    <x v="2"/>
    <x v="1"/>
    <x v="1"/>
    <s v="Jacket"/>
    <n v="154.24"/>
    <x v="3"/>
    <s v="Card"/>
    <n v="4.2"/>
    <x v="10"/>
    <n v="120.30720000000001"/>
    <n v="6"/>
    <x v="0"/>
  </r>
  <r>
    <n v="3664"/>
    <n v="40"/>
    <x v="0"/>
    <x v="1"/>
    <x v="7"/>
    <s v="Formal Shoes"/>
    <n v="70.38"/>
    <x v="3"/>
    <s v="Card"/>
    <n v="4.3"/>
    <x v="21"/>
    <n v="55.600200000000001"/>
    <n v="8"/>
    <x v="2"/>
  </r>
  <r>
    <n v="3665"/>
    <n v="43"/>
    <x v="0"/>
    <x v="0"/>
    <x v="4"/>
    <s v="Cooking Oil"/>
    <n v="42.5"/>
    <x v="3"/>
    <s v="Cash on Delivery"/>
    <n v="2.4"/>
    <x v="13"/>
    <n v="38.675000000000004"/>
    <n v="2"/>
    <x v="1"/>
  </r>
  <r>
    <n v="3666"/>
    <n v="57"/>
    <x v="0"/>
    <x v="0"/>
    <x v="7"/>
    <s v="Sneakers"/>
    <n v="185.73"/>
    <x v="1"/>
    <s v="Card"/>
    <n v="5"/>
    <x v="14"/>
    <n v="154.15589999999997"/>
    <n v="6"/>
    <x v="0"/>
  </r>
  <r>
    <n v="3667"/>
    <n v="20"/>
    <x v="2"/>
    <x v="1"/>
    <x v="5"/>
    <s v="Laptop"/>
    <n v="1838.94"/>
    <x v="2"/>
    <s v="Card"/>
    <n v="3.8"/>
    <x v="7"/>
    <n v="1655.046"/>
    <n v="5"/>
    <x v="0"/>
  </r>
  <r>
    <n v="3668"/>
    <n v="25"/>
    <x v="2"/>
    <x v="1"/>
    <x v="2"/>
    <s v="Yoga Mat"/>
    <n v="224.19"/>
    <x v="0"/>
    <s v="Card"/>
    <n v="3.3"/>
    <x v="0"/>
    <n v="183.83580000000001"/>
    <n v="4"/>
    <x v="0"/>
  </r>
  <r>
    <n v="3669"/>
    <n v="64"/>
    <x v="1"/>
    <x v="1"/>
    <x v="1"/>
    <s v="Jacket"/>
    <n v="64.53"/>
    <x v="3"/>
    <s v="Cash on Delivery"/>
    <n v="3.8"/>
    <x v="10"/>
    <n v="50.333400000000005"/>
    <n v="6"/>
    <x v="0"/>
  </r>
  <r>
    <n v="3670"/>
    <n v="43"/>
    <x v="0"/>
    <x v="1"/>
    <x v="5"/>
    <s v="Headphones"/>
    <n v="907.49"/>
    <x v="2"/>
    <s v="Card"/>
    <n v="4.3"/>
    <x v="5"/>
    <n v="834.89080000000001"/>
    <n v="4"/>
    <x v="0"/>
  </r>
  <r>
    <n v="3671"/>
    <n v="56"/>
    <x v="0"/>
    <x v="0"/>
    <x v="6"/>
    <s v="Makeup Set"/>
    <n v="91.75"/>
    <x v="0"/>
    <s v="Card"/>
    <n v="3.3"/>
    <x v="1"/>
    <n v="79.822500000000005"/>
    <n v="4"/>
    <x v="0"/>
  </r>
  <r>
    <n v="3672"/>
    <n v="67"/>
    <x v="1"/>
    <x v="1"/>
    <x v="1"/>
    <s v="Jacket"/>
    <n v="51.17"/>
    <x v="3"/>
    <s v="Cash on Delivery"/>
    <n v="4"/>
    <x v="4"/>
    <n v="44.0062"/>
    <n v="2"/>
    <x v="1"/>
  </r>
  <r>
    <n v="3673"/>
    <n v="60"/>
    <x v="0"/>
    <x v="0"/>
    <x v="0"/>
    <s v="Handbag"/>
    <n v="58.89"/>
    <x v="3"/>
    <s v="Card"/>
    <n v="4.9000000000000004"/>
    <x v="8"/>
    <n v="51.8232"/>
    <n v="1"/>
    <x v="1"/>
  </r>
  <r>
    <n v="3674"/>
    <n v="35"/>
    <x v="0"/>
    <x v="1"/>
    <x v="3"/>
    <s v="Kitchen Set"/>
    <n v="118.44"/>
    <x v="2"/>
    <s v="Card"/>
    <n v="4.7"/>
    <x v="24"/>
    <n v="85.276799999999994"/>
    <n v="9"/>
    <x v="2"/>
  </r>
  <r>
    <n v="3675"/>
    <n v="35"/>
    <x v="0"/>
    <x v="0"/>
    <x v="0"/>
    <s v="Handbag"/>
    <n v="130.35"/>
    <x v="1"/>
    <s v="Card"/>
    <n v="3.8"/>
    <x v="18"/>
    <n v="99.066000000000003"/>
    <n v="7"/>
    <x v="0"/>
  </r>
  <r>
    <n v="3676"/>
    <n v="44"/>
    <x v="0"/>
    <x v="0"/>
    <x v="4"/>
    <s v="Rice Pack"/>
    <n v="53.11"/>
    <x v="2"/>
    <s v="Cash on Delivery"/>
    <n v="3.9"/>
    <x v="19"/>
    <n v="45.143499999999996"/>
    <n v="5"/>
    <x v="0"/>
  </r>
  <r>
    <n v="3677"/>
    <n v="47"/>
    <x v="0"/>
    <x v="0"/>
    <x v="0"/>
    <s v="Handbag"/>
    <n v="72"/>
    <x v="1"/>
    <s v="Cash on Delivery"/>
    <n v="4.2"/>
    <x v="6"/>
    <n v="60.48"/>
    <n v="8"/>
    <x v="2"/>
  </r>
  <r>
    <n v="3678"/>
    <n v="54"/>
    <x v="0"/>
    <x v="1"/>
    <x v="2"/>
    <s v="Dumbbells"/>
    <n v="97.9"/>
    <x v="2"/>
    <s v="Card"/>
    <n v="3.7"/>
    <x v="7"/>
    <n v="88.110000000000014"/>
    <n v="5"/>
    <x v="0"/>
  </r>
  <r>
    <n v="3679"/>
    <n v="70"/>
    <x v="1"/>
    <x v="0"/>
    <x v="8"/>
    <s v="Top"/>
    <n v="131.93"/>
    <x v="0"/>
    <s v="Card"/>
    <n v="3.3"/>
    <x v="6"/>
    <n v="110.8212"/>
    <n v="3"/>
    <x v="1"/>
  </r>
  <r>
    <n v="3680"/>
    <n v="56"/>
    <x v="0"/>
    <x v="0"/>
    <x v="8"/>
    <s v="Jeans"/>
    <n v="184.09"/>
    <x v="0"/>
    <s v="Card"/>
    <n v="3.4"/>
    <x v="10"/>
    <n v="143.59020000000001"/>
    <n v="6"/>
    <x v="0"/>
  </r>
  <r>
    <n v="3681"/>
    <n v="20"/>
    <x v="2"/>
    <x v="0"/>
    <x v="6"/>
    <s v="Perfume"/>
    <n v="58.16"/>
    <x v="1"/>
    <s v="Cash on Delivery"/>
    <n v="4.5"/>
    <x v="2"/>
    <n v="51.7624"/>
    <n v="3"/>
    <x v="1"/>
  </r>
  <r>
    <n v="3682"/>
    <n v="25"/>
    <x v="2"/>
    <x v="0"/>
    <x v="0"/>
    <s v="Sunglasses"/>
    <n v="20.67"/>
    <x v="3"/>
    <s v="Card"/>
    <n v="5"/>
    <x v="5"/>
    <n v="19.016400000000001"/>
    <n v="4"/>
    <x v="0"/>
  </r>
  <r>
    <n v="3683"/>
    <n v="57"/>
    <x v="0"/>
    <x v="0"/>
    <x v="6"/>
    <s v="Perfume"/>
    <n v="93.07"/>
    <x v="1"/>
    <s v="Card"/>
    <n v="3.4"/>
    <x v="4"/>
    <n v="80.040199999999999"/>
    <n v="2"/>
    <x v="1"/>
  </r>
  <r>
    <n v="3684"/>
    <n v="30"/>
    <x v="2"/>
    <x v="0"/>
    <x v="0"/>
    <s v="Sunglasses"/>
    <n v="95.38"/>
    <x v="1"/>
    <s v="Card"/>
    <n v="5"/>
    <x v="7"/>
    <n v="85.841999999999999"/>
    <n v="5"/>
    <x v="0"/>
  </r>
  <r>
    <n v="3685"/>
    <n v="20"/>
    <x v="2"/>
    <x v="1"/>
    <x v="2"/>
    <s v="Football"/>
    <n v="167.54"/>
    <x v="2"/>
    <s v="Card"/>
    <n v="3.8"/>
    <x v="3"/>
    <n v="134.03200000000001"/>
    <n v="5"/>
    <x v="0"/>
  </r>
  <r>
    <n v="3686"/>
    <n v="70"/>
    <x v="1"/>
    <x v="1"/>
    <x v="1"/>
    <s v="Jacket"/>
    <n v="78.89"/>
    <x v="3"/>
    <s v="Card"/>
    <n v="3.9"/>
    <x v="5"/>
    <n v="72.578800000000001"/>
    <n v="4"/>
    <x v="0"/>
  </r>
  <r>
    <n v="3687"/>
    <n v="28"/>
    <x v="2"/>
    <x v="1"/>
    <x v="2"/>
    <s v="Football"/>
    <n v="39.159999999999997"/>
    <x v="3"/>
    <s v="Cash on Delivery"/>
    <n v="3.9"/>
    <x v="1"/>
    <n v="34.069199999999995"/>
    <n v="4"/>
    <x v="0"/>
  </r>
  <r>
    <n v="3688"/>
    <n v="35"/>
    <x v="0"/>
    <x v="0"/>
    <x v="3"/>
    <s v="Curtains"/>
    <n v="299.25"/>
    <x v="2"/>
    <s v="Card"/>
    <n v="3.4"/>
    <x v="7"/>
    <n v="269.32499999999999"/>
    <n v="5"/>
    <x v="0"/>
  </r>
  <r>
    <n v="3689"/>
    <n v="29"/>
    <x v="2"/>
    <x v="0"/>
    <x v="4"/>
    <s v="Snacks"/>
    <n v="70.760000000000005"/>
    <x v="0"/>
    <s v="Card"/>
    <n v="3.8"/>
    <x v="1"/>
    <n v="61.561200000000007"/>
    <n v="4"/>
    <x v="0"/>
  </r>
  <r>
    <n v="3690"/>
    <n v="40"/>
    <x v="0"/>
    <x v="0"/>
    <x v="8"/>
    <s v="Skirt"/>
    <n v="191.37"/>
    <x v="1"/>
    <s v="Card"/>
    <n v="4.0999999999999996"/>
    <x v="6"/>
    <n v="160.7508"/>
    <n v="3"/>
    <x v="1"/>
  </r>
  <r>
    <n v="3691"/>
    <n v="34"/>
    <x v="0"/>
    <x v="0"/>
    <x v="7"/>
    <s v="Sneakers"/>
    <n v="240.46"/>
    <x v="3"/>
    <s v="Card"/>
    <n v="5"/>
    <x v="0"/>
    <n v="197.17720000000003"/>
    <n v="9"/>
    <x v="2"/>
  </r>
  <r>
    <n v="3692"/>
    <n v="57"/>
    <x v="0"/>
    <x v="0"/>
    <x v="6"/>
    <s v="Makeup Set"/>
    <n v="134.16"/>
    <x v="3"/>
    <s v="Card"/>
    <n v="4"/>
    <x v="8"/>
    <n v="118.0608"/>
    <n v="6"/>
    <x v="0"/>
  </r>
  <r>
    <n v="3693"/>
    <n v="50"/>
    <x v="0"/>
    <x v="0"/>
    <x v="6"/>
    <s v="Skincare Kit"/>
    <n v="92.73"/>
    <x v="0"/>
    <s v="Card"/>
    <n v="4.2"/>
    <x v="11"/>
    <n v="68.620199999999997"/>
    <n v="8"/>
    <x v="2"/>
  </r>
  <r>
    <n v="3694"/>
    <n v="60"/>
    <x v="0"/>
    <x v="0"/>
    <x v="8"/>
    <s v="Top"/>
    <n v="169.58"/>
    <x v="0"/>
    <s v="Card"/>
    <n v="4.8"/>
    <x v="22"/>
    <n v="130.57660000000001"/>
    <n v="9"/>
    <x v="2"/>
  </r>
  <r>
    <n v="3695"/>
    <n v="70"/>
    <x v="1"/>
    <x v="0"/>
    <x v="8"/>
    <s v="Skirt"/>
    <n v="51.99"/>
    <x v="0"/>
    <s v="Cash on Delivery"/>
    <n v="3.4"/>
    <x v="18"/>
    <n v="39.5124"/>
    <n v="7"/>
    <x v="0"/>
  </r>
  <r>
    <n v="3696"/>
    <n v="35"/>
    <x v="0"/>
    <x v="0"/>
    <x v="7"/>
    <s v="Sandals"/>
    <n v="220.75"/>
    <x v="3"/>
    <s v="Card"/>
    <n v="3.7"/>
    <x v="4"/>
    <n v="189.845"/>
    <n v="7"/>
    <x v="0"/>
  </r>
  <r>
    <n v="3697"/>
    <n v="31"/>
    <x v="0"/>
    <x v="0"/>
    <x v="3"/>
    <s v="Curtains"/>
    <n v="86.63"/>
    <x v="0"/>
    <s v="Cash on Delivery"/>
    <n v="4.5"/>
    <x v="3"/>
    <n v="69.304000000000002"/>
    <n v="10"/>
    <x v="2"/>
  </r>
  <r>
    <n v="3698"/>
    <n v="37"/>
    <x v="0"/>
    <x v="1"/>
    <x v="4"/>
    <s v="Rice Pack"/>
    <n v="43.63"/>
    <x v="0"/>
    <s v="Card"/>
    <n v="4.5999999999999996"/>
    <x v="6"/>
    <n v="36.6492"/>
    <n v="3"/>
    <x v="1"/>
  </r>
  <r>
    <n v="3699"/>
    <n v="63"/>
    <x v="1"/>
    <x v="1"/>
    <x v="7"/>
    <s v="Sneakers"/>
    <n v="173.53"/>
    <x v="1"/>
    <s v="Card"/>
    <n v="4.4000000000000004"/>
    <x v="6"/>
    <n v="145.76519999999999"/>
    <n v="3"/>
    <x v="1"/>
  </r>
  <r>
    <n v="3700"/>
    <n v="46"/>
    <x v="0"/>
    <x v="1"/>
    <x v="3"/>
    <s v="Curtains"/>
    <n v="162.93"/>
    <x v="0"/>
    <s v="Card"/>
    <n v="4.7"/>
    <x v="0"/>
    <n v="133.60260000000002"/>
    <n v="4"/>
    <x v="0"/>
  </r>
  <r>
    <n v="3701"/>
    <n v="35"/>
    <x v="0"/>
    <x v="0"/>
    <x v="6"/>
    <s v="Skincare Kit"/>
    <n v="75.510000000000005"/>
    <x v="1"/>
    <s v="Card"/>
    <n v="4.0999999999999996"/>
    <x v="14"/>
    <n v="62.673300000000005"/>
    <n v="6"/>
    <x v="0"/>
  </r>
  <r>
    <n v="3702"/>
    <n v="42"/>
    <x v="0"/>
    <x v="0"/>
    <x v="7"/>
    <s v="Sneakers"/>
    <n v="148.02000000000001"/>
    <x v="2"/>
    <s v="Card"/>
    <n v="2.7"/>
    <x v="8"/>
    <n v="130.2576"/>
    <n v="6"/>
    <x v="0"/>
  </r>
  <r>
    <n v="3703"/>
    <n v="47"/>
    <x v="0"/>
    <x v="0"/>
    <x v="6"/>
    <s v="Makeup Set"/>
    <n v="31.89"/>
    <x v="2"/>
    <s v="Cash on Delivery"/>
    <n v="4.3"/>
    <x v="1"/>
    <n v="27.744299999999999"/>
    <n v="4"/>
    <x v="0"/>
  </r>
  <r>
    <n v="3704"/>
    <n v="62"/>
    <x v="1"/>
    <x v="1"/>
    <x v="3"/>
    <s v="Lamp"/>
    <n v="36.04"/>
    <x v="2"/>
    <s v="Cash on Delivery"/>
    <n v="3.7"/>
    <x v="0"/>
    <n v="29.552800000000001"/>
    <n v="4"/>
    <x v="0"/>
  </r>
  <r>
    <n v="3705"/>
    <n v="47"/>
    <x v="0"/>
    <x v="0"/>
    <x v="6"/>
    <s v="Makeup Set"/>
    <n v="110.64"/>
    <x v="2"/>
    <s v="Card"/>
    <n v="4.0999999999999996"/>
    <x v="7"/>
    <n v="99.576000000000008"/>
    <n v="5"/>
    <x v="0"/>
  </r>
  <r>
    <n v="3706"/>
    <n v="70"/>
    <x v="1"/>
    <x v="0"/>
    <x v="8"/>
    <s v="Skirt"/>
    <n v="166.68"/>
    <x v="1"/>
    <s v="Card"/>
    <n v="3.5"/>
    <x v="15"/>
    <n v="163.34640000000002"/>
    <n v="1"/>
    <x v="1"/>
  </r>
  <r>
    <n v="3707"/>
    <n v="56"/>
    <x v="0"/>
    <x v="0"/>
    <x v="7"/>
    <s v="Formal Shoes"/>
    <n v="239.19"/>
    <x v="1"/>
    <s v="Card"/>
    <n v="5"/>
    <x v="3"/>
    <n v="191.352"/>
    <n v="5"/>
    <x v="0"/>
  </r>
  <r>
    <n v="3708"/>
    <n v="38"/>
    <x v="0"/>
    <x v="1"/>
    <x v="1"/>
    <s v="Shirt"/>
    <n v="51.09"/>
    <x v="3"/>
    <s v="Cash on Delivery"/>
    <n v="4.5999999999999996"/>
    <x v="16"/>
    <n v="48.0246"/>
    <n v="3"/>
    <x v="1"/>
  </r>
  <r>
    <n v="3709"/>
    <n v="67"/>
    <x v="1"/>
    <x v="1"/>
    <x v="5"/>
    <s v="Laptop"/>
    <n v="2033.97"/>
    <x v="0"/>
    <s v="Card"/>
    <n v="4.3"/>
    <x v="3"/>
    <n v="1627.1760000000002"/>
    <n v="5"/>
    <x v="0"/>
  </r>
  <r>
    <n v="3710"/>
    <n v="32"/>
    <x v="0"/>
    <x v="0"/>
    <x v="6"/>
    <s v="Perfume"/>
    <n v="25.5"/>
    <x v="1"/>
    <s v="Card"/>
    <n v="4.3"/>
    <x v="21"/>
    <n v="20.145"/>
    <n v="8"/>
    <x v="2"/>
  </r>
  <r>
    <n v="3711"/>
    <n v="41"/>
    <x v="0"/>
    <x v="0"/>
    <x v="7"/>
    <s v="Sandals"/>
    <n v="194.63"/>
    <x v="0"/>
    <s v="Card"/>
    <n v="3.6"/>
    <x v="19"/>
    <n v="165.43549999999999"/>
    <n v="5"/>
    <x v="0"/>
  </r>
  <r>
    <n v="3712"/>
    <n v="65"/>
    <x v="1"/>
    <x v="1"/>
    <x v="4"/>
    <s v="Beverages"/>
    <n v="56.5"/>
    <x v="3"/>
    <s v="Card"/>
    <n v="3.4"/>
    <x v="3"/>
    <n v="45.2"/>
    <n v="5"/>
    <x v="0"/>
  </r>
  <r>
    <n v="3713"/>
    <n v="46"/>
    <x v="0"/>
    <x v="0"/>
    <x v="0"/>
    <s v="Wallet"/>
    <n v="118.52"/>
    <x v="1"/>
    <s v="Card"/>
    <n v="5"/>
    <x v="11"/>
    <n v="87.704799999999992"/>
    <n v="8"/>
    <x v="2"/>
  </r>
  <r>
    <n v="3714"/>
    <n v="50"/>
    <x v="0"/>
    <x v="1"/>
    <x v="4"/>
    <s v="Beverages"/>
    <n v="30.62"/>
    <x v="0"/>
    <s v="Card"/>
    <n v="4.2"/>
    <x v="11"/>
    <n v="22.658799999999999"/>
    <n v="8"/>
    <x v="2"/>
  </r>
  <r>
    <n v="3715"/>
    <n v="21"/>
    <x v="2"/>
    <x v="0"/>
    <x v="7"/>
    <s v="Sandals"/>
    <n v="225.81"/>
    <x v="2"/>
    <s v="Card"/>
    <n v="3.2"/>
    <x v="14"/>
    <n v="187.42230000000001"/>
    <n v="6"/>
    <x v="0"/>
  </r>
  <r>
    <n v="3716"/>
    <n v="38"/>
    <x v="0"/>
    <x v="1"/>
    <x v="2"/>
    <s v="Yoga Mat"/>
    <n v="42.08"/>
    <x v="0"/>
    <s v="Cash on Delivery"/>
    <n v="4.0999999999999996"/>
    <x v="16"/>
    <n v="39.555199999999999"/>
    <n v="3"/>
    <x v="1"/>
  </r>
  <r>
    <n v="3717"/>
    <n v="22"/>
    <x v="2"/>
    <x v="1"/>
    <x v="2"/>
    <s v="Dumbbells"/>
    <n v="78.2"/>
    <x v="1"/>
    <s v="Cash on Delivery"/>
    <n v="4.0999999999999996"/>
    <x v="19"/>
    <n v="66.47"/>
    <n v="5"/>
    <x v="0"/>
  </r>
  <r>
    <n v="3718"/>
    <n v="51"/>
    <x v="0"/>
    <x v="1"/>
    <x v="2"/>
    <s v="Yoga Mat"/>
    <n v="238.8"/>
    <x v="2"/>
    <s v="Card"/>
    <n v="3.2"/>
    <x v="7"/>
    <n v="214.92000000000002"/>
    <n v="5"/>
    <x v="0"/>
  </r>
  <r>
    <n v="3719"/>
    <n v="29"/>
    <x v="2"/>
    <x v="0"/>
    <x v="7"/>
    <s v="Formal Shoes"/>
    <n v="232.13"/>
    <x v="0"/>
    <s v="Card"/>
    <n v="3.8"/>
    <x v="6"/>
    <n v="194.98919999999998"/>
    <n v="8"/>
    <x v="2"/>
  </r>
  <r>
    <n v="3720"/>
    <n v="43"/>
    <x v="0"/>
    <x v="1"/>
    <x v="1"/>
    <s v="Shirt"/>
    <n v="63.05"/>
    <x v="2"/>
    <s v="Card"/>
    <n v="3.6"/>
    <x v="13"/>
    <n v="57.375500000000002"/>
    <n v="2"/>
    <x v="1"/>
  </r>
  <r>
    <n v="3721"/>
    <n v="58"/>
    <x v="0"/>
    <x v="1"/>
    <x v="2"/>
    <s v="Football"/>
    <n v="103.55"/>
    <x v="0"/>
    <s v="Card"/>
    <n v="3.3"/>
    <x v="2"/>
    <n v="92.159499999999994"/>
    <n v="3"/>
    <x v="1"/>
  </r>
  <r>
    <n v="3722"/>
    <n v="62"/>
    <x v="1"/>
    <x v="1"/>
    <x v="4"/>
    <s v="Cooking Oil"/>
    <n v="21.14"/>
    <x v="0"/>
    <s v="Cash on Delivery"/>
    <n v="4.0999999999999996"/>
    <x v="2"/>
    <n v="18.814600000000002"/>
    <n v="3"/>
    <x v="1"/>
  </r>
  <r>
    <n v="3723"/>
    <n v="69"/>
    <x v="1"/>
    <x v="0"/>
    <x v="0"/>
    <s v="Sunglasses"/>
    <n v="175.97"/>
    <x v="2"/>
    <s v="Card"/>
    <n v="3.4"/>
    <x v="5"/>
    <n v="161.89240000000001"/>
    <n v="4"/>
    <x v="0"/>
  </r>
  <r>
    <n v="3724"/>
    <n v="37"/>
    <x v="0"/>
    <x v="0"/>
    <x v="0"/>
    <s v="Sunglasses"/>
    <n v="175.84"/>
    <x v="1"/>
    <s v="Card"/>
    <n v="3.9"/>
    <x v="19"/>
    <n v="149.464"/>
    <n v="5"/>
    <x v="0"/>
  </r>
  <r>
    <n v="3725"/>
    <n v="44"/>
    <x v="0"/>
    <x v="1"/>
    <x v="7"/>
    <s v="Sandals"/>
    <n v="199.68"/>
    <x v="3"/>
    <s v="Card"/>
    <n v="4.5999999999999996"/>
    <x v="8"/>
    <n v="175.7184"/>
    <n v="6"/>
    <x v="0"/>
  </r>
  <r>
    <n v="3726"/>
    <n v="56"/>
    <x v="0"/>
    <x v="0"/>
    <x v="0"/>
    <s v="Wallet"/>
    <n v="121.61"/>
    <x v="2"/>
    <s v="Card"/>
    <n v="3.8"/>
    <x v="5"/>
    <n v="111.88120000000001"/>
    <n v="4"/>
    <x v="0"/>
  </r>
  <r>
    <n v="3727"/>
    <n v="35"/>
    <x v="0"/>
    <x v="1"/>
    <x v="5"/>
    <s v="Smart Watch"/>
    <n v="2019.58"/>
    <x v="0"/>
    <s v="Card"/>
    <n v="3"/>
    <x v="14"/>
    <n v="1676.2513999999999"/>
    <n v="6"/>
    <x v="0"/>
  </r>
  <r>
    <n v="3728"/>
    <n v="35"/>
    <x v="0"/>
    <x v="0"/>
    <x v="6"/>
    <s v="Skincare Kit"/>
    <n v="53.04"/>
    <x v="1"/>
    <s v="Card"/>
    <n v="3.5"/>
    <x v="3"/>
    <n v="42.432000000000002"/>
    <n v="5"/>
    <x v="0"/>
  </r>
  <r>
    <n v="3729"/>
    <n v="62"/>
    <x v="1"/>
    <x v="0"/>
    <x v="8"/>
    <s v="Top"/>
    <n v="149.16"/>
    <x v="0"/>
    <s v="Card"/>
    <n v="3.5"/>
    <x v="3"/>
    <n v="119.328"/>
    <n v="5"/>
    <x v="0"/>
  </r>
  <r>
    <n v="3730"/>
    <n v="48"/>
    <x v="0"/>
    <x v="0"/>
    <x v="7"/>
    <s v="Sandals"/>
    <n v="165.93"/>
    <x v="0"/>
    <s v="Card"/>
    <n v="3"/>
    <x v="6"/>
    <n v="139.38120000000001"/>
    <n v="3"/>
    <x v="1"/>
  </r>
  <r>
    <n v="3731"/>
    <n v="38"/>
    <x v="0"/>
    <x v="0"/>
    <x v="7"/>
    <s v="Sandals"/>
    <n v="138.47"/>
    <x v="0"/>
    <s v="Card"/>
    <n v="4.0999999999999996"/>
    <x v="3"/>
    <n v="110.77600000000001"/>
    <n v="5"/>
    <x v="0"/>
  </r>
  <r>
    <n v="3732"/>
    <n v="49"/>
    <x v="0"/>
    <x v="0"/>
    <x v="8"/>
    <s v="Jeans"/>
    <n v="61.75"/>
    <x v="3"/>
    <s v="Cash on Delivery"/>
    <n v="2.9"/>
    <x v="17"/>
    <n v="59.28"/>
    <n v="2"/>
    <x v="1"/>
  </r>
  <r>
    <n v="3733"/>
    <n v="25"/>
    <x v="2"/>
    <x v="1"/>
    <x v="1"/>
    <s v="T-Shirt"/>
    <n v="186.83"/>
    <x v="3"/>
    <s v="Card"/>
    <n v="3.3"/>
    <x v="3"/>
    <n v="149.46400000000003"/>
    <n v="5"/>
    <x v="0"/>
  </r>
  <r>
    <n v="3734"/>
    <n v="32"/>
    <x v="0"/>
    <x v="0"/>
    <x v="3"/>
    <s v="Lamp"/>
    <n v="161.13"/>
    <x v="0"/>
    <s v="Card"/>
    <n v="4.5999999999999996"/>
    <x v="18"/>
    <n v="122.4588"/>
    <n v="7"/>
    <x v="0"/>
  </r>
  <r>
    <n v="3735"/>
    <n v="24"/>
    <x v="2"/>
    <x v="0"/>
    <x v="4"/>
    <s v="Snacks"/>
    <n v="34.75"/>
    <x v="2"/>
    <s v="Cash on Delivery"/>
    <n v="3.1"/>
    <x v="3"/>
    <n v="27.8"/>
    <n v="5"/>
    <x v="0"/>
  </r>
  <r>
    <n v="3736"/>
    <n v="52"/>
    <x v="0"/>
    <x v="1"/>
    <x v="2"/>
    <s v="Dumbbells"/>
    <n v="40.54"/>
    <x v="0"/>
    <s v="Card"/>
    <n v="5"/>
    <x v="19"/>
    <n v="34.458999999999996"/>
    <n v="5"/>
    <x v="0"/>
  </r>
  <r>
    <n v="3737"/>
    <n v="38"/>
    <x v="0"/>
    <x v="1"/>
    <x v="1"/>
    <s v="T-Shirt"/>
    <n v="156.15"/>
    <x v="2"/>
    <s v="Card"/>
    <n v="4.9000000000000004"/>
    <x v="0"/>
    <n v="128.04300000000001"/>
    <n v="4"/>
    <x v="0"/>
  </r>
  <r>
    <n v="3738"/>
    <n v="30"/>
    <x v="2"/>
    <x v="0"/>
    <x v="8"/>
    <s v="Top"/>
    <n v="53.27"/>
    <x v="0"/>
    <s v="Cash on Delivery"/>
    <n v="3.2"/>
    <x v="10"/>
    <n v="41.550600000000003"/>
    <n v="6"/>
    <x v="0"/>
  </r>
  <r>
    <n v="3739"/>
    <n v="70"/>
    <x v="1"/>
    <x v="0"/>
    <x v="8"/>
    <s v="Skirt"/>
    <n v="90.81"/>
    <x v="1"/>
    <s v="Cash on Delivery"/>
    <n v="4"/>
    <x v="5"/>
    <n v="83.545200000000008"/>
    <n v="4"/>
    <x v="0"/>
  </r>
  <r>
    <n v="3740"/>
    <n v="23"/>
    <x v="2"/>
    <x v="0"/>
    <x v="8"/>
    <s v="Top"/>
    <n v="101.78"/>
    <x v="2"/>
    <s v="Card"/>
    <n v="2.4"/>
    <x v="6"/>
    <n v="85.495199999999997"/>
    <n v="3"/>
    <x v="1"/>
  </r>
  <r>
    <n v="3741"/>
    <n v="52"/>
    <x v="0"/>
    <x v="1"/>
    <x v="7"/>
    <s v="Formal Shoes"/>
    <n v="83.51"/>
    <x v="0"/>
    <s v="Card"/>
    <n v="3.5"/>
    <x v="19"/>
    <n v="70.983500000000006"/>
    <n v="5"/>
    <x v="0"/>
  </r>
  <r>
    <n v="3742"/>
    <n v="35"/>
    <x v="0"/>
    <x v="0"/>
    <x v="8"/>
    <s v="Top"/>
    <n v="156.25"/>
    <x v="3"/>
    <s v="Card"/>
    <n v="4.0999999999999996"/>
    <x v="19"/>
    <n v="132.8125"/>
    <n v="5"/>
    <x v="0"/>
  </r>
  <r>
    <n v="3743"/>
    <n v="61"/>
    <x v="1"/>
    <x v="0"/>
    <x v="7"/>
    <s v="Sandals"/>
    <n v="240.97"/>
    <x v="1"/>
    <s v="Card"/>
    <n v="4"/>
    <x v="11"/>
    <n v="178.31780000000001"/>
    <n v="8"/>
    <x v="2"/>
  </r>
  <r>
    <n v="3744"/>
    <n v="25"/>
    <x v="2"/>
    <x v="0"/>
    <x v="7"/>
    <s v="Sneakers"/>
    <n v="161.52000000000001"/>
    <x v="3"/>
    <s v="Card"/>
    <n v="4.2"/>
    <x v="7"/>
    <n v="145.36800000000002"/>
    <n v="5"/>
    <x v="0"/>
  </r>
  <r>
    <n v="3745"/>
    <n v="60"/>
    <x v="0"/>
    <x v="1"/>
    <x v="3"/>
    <s v="Lamp"/>
    <n v="52.07"/>
    <x v="2"/>
    <s v="Card"/>
    <n v="5"/>
    <x v="0"/>
    <n v="42.697400000000002"/>
    <n v="4"/>
    <x v="0"/>
  </r>
  <r>
    <n v="3746"/>
    <n v="21"/>
    <x v="2"/>
    <x v="0"/>
    <x v="6"/>
    <s v="Skincare Kit"/>
    <n v="41.3"/>
    <x v="0"/>
    <s v="Cash on Delivery"/>
    <n v="3.8"/>
    <x v="5"/>
    <n v="37.996000000000002"/>
    <n v="4"/>
    <x v="0"/>
  </r>
  <r>
    <n v="3747"/>
    <n v="59"/>
    <x v="0"/>
    <x v="0"/>
    <x v="0"/>
    <s v="Sunglasses"/>
    <n v="77.78"/>
    <x v="3"/>
    <s v="Cash on Delivery"/>
    <n v="4"/>
    <x v="1"/>
    <n v="67.668599999999998"/>
    <n v="4"/>
    <x v="0"/>
  </r>
  <r>
    <n v="3748"/>
    <n v="51"/>
    <x v="0"/>
    <x v="0"/>
    <x v="3"/>
    <s v="Curtains"/>
    <n v="74.72"/>
    <x v="1"/>
    <s v="Card"/>
    <n v="4"/>
    <x v="5"/>
    <n v="68.742400000000004"/>
    <n v="4"/>
    <x v="0"/>
  </r>
  <r>
    <n v="3749"/>
    <n v="39"/>
    <x v="0"/>
    <x v="0"/>
    <x v="7"/>
    <s v="Formal Shoes"/>
    <n v="88.03"/>
    <x v="0"/>
    <s v="Cash on Delivery"/>
    <n v="4"/>
    <x v="7"/>
    <n v="79.227000000000004"/>
    <n v="5"/>
    <x v="0"/>
  </r>
  <r>
    <n v="3750"/>
    <n v="23"/>
    <x v="2"/>
    <x v="0"/>
    <x v="8"/>
    <s v="Jeans"/>
    <n v="83.7"/>
    <x v="1"/>
    <s v="Cash on Delivery"/>
    <n v="3.3"/>
    <x v="3"/>
    <n v="66.960000000000008"/>
    <n v="5"/>
    <x v="0"/>
  </r>
  <r>
    <n v="3751"/>
    <n v="43"/>
    <x v="0"/>
    <x v="0"/>
    <x v="8"/>
    <s v="Dress"/>
    <n v="87.63"/>
    <x v="0"/>
    <s v="Cash on Delivery"/>
    <n v="4.5999999999999996"/>
    <x v="17"/>
    <n v="84.124799999999993"/>
    <n v="2"/>
    <x v="1"/>
  </r>
  <r>
    <n v="3752"/>
    <n v="53"/>
    <x v="0"/>
    <x v="0"/>
    <x v="6"/>
    <s v="Perfume"/>
    <n v="78.650000000000006"/>
    <x v="0"/>
    <s v="Card"/>
    <n v="3.6"/>
    <x v="8"/>
    <n v="69.212000000000003"/>
    <n v="6"/>
    <x v="0"/>
  </r>
  <r>
    <n v="3753"/>
    <n v="37"/>
    <x v="0"/>
    <x v="0"/>
    <x v="0"/>
    <s v="Wallet"/>
    <n v="29.21"/>
    <x v="3"/>
    <s v="Card"/>
    <n v="4.0999999999999996"/>
    <x v="2"/>
    <n v="25.9969"/>
    <n v="3"/>
    <x v="1"/>
  </r>
  <r>
    <n v="3754"/>
    <n v="54"/>
    <x v="0"/>
    <x v="0"/>
    <x v="2"/>
    <s v="Dumbbells"/>
    <n v="107.34"/>
    <x v="3"/>
    <s v="Card"/>
    <n v="3.5"/>
    <x v="12"/>
    <n v="86.945400000000006"/>
    <n v="7"/>
    <x v="0"/>
  </r>
  <r>
    <n v="3755"/>
    <n v="56"/>
    <x v="0"/>
    <x v="1"/>
    <x v="7"/>
    <s v="Sneakers"/>
    <n v="241.91"/>
    <x v="3"/>
    <s v="Card"/>
    <n v="3.5"/>
    <x v="6"/>
    <n v="203.20439999999999"/>
    <n v="3"/>
    <x v="1"/>
  </r>
  <r>
    <n v="3756"/>
    <n v="31"/>
    <x v="0"/>
    <x v="0"/>
    <x v="6"/>
    <s v="Skincare Kit"/>
    <n v="105.94"/>
    <x v="3"/>
    <s v="Card"/>
    <n v="3.3"/>
    <x v="6"/>
    <n v="88.989599999999996"/>
    <n v="3"/>
    <x v="1"/>
  </r>
  <r>
    <n v="3757"/>
    <n v="47"/>
    <x v="0"/>
    <x v="1"/>
    <x v="1"/>
    <s v="Jacket"/>
    <n v="100.06"/>
    <x v="0"/>
    <s v="Card"/>
    <n v="3.7"/>
    <x v="0"/>
    <n v="82.049200000000013"/>
    <n v="4"/>
    <x v="0"/>
  </r>
  <r>
    <n v="3758"/>
    <n v="41"/>
    <x v="0"/>
    <x v="0"/>
    <x v="2"/>
    <s v="Dumbbells"/>
    <n v="53.69"/>
    <x v="1"/>
    <s v="Cash on Delivery"/>
    <n v="3.7"/>
    <x v="21"/>
    <n v="42.415100000000002"/>
    <n v="8"/>
    <x v="2"/>
  </r>
  <r>
    <n v="3759"/>
    <n v="69"/>
    <x v="1"/>
    <x v="1"/>
    <x v="1"/>
    <s v="Jacket"/>
    <n v="95.85"/>
    <x v="0"/>
    <s v="Card"/>
    <n v="4.3"/>
    <x v="8"/>
    <n v="84.347999999999999"/>
    <n v="6"/>
    <x v="0"/>
  </r>
  <r>
    <n v="3760"/>
    <n v="25"/>
    <x v="2"/>
    <x v="0"/>
    <x v="0"/>
    <s v="Handbag"/>
    <n v="177.89"/>
    <x v="1"/>
    <s v="Card"/>
    <n v="3.7"/>
    <x v="6"/>
    <n v="149.42759999999998"/>
    <n v="8"/>
    <x v="2"/>
  </r>
  <r>
    <n v="3761"/>
    <n v="57"/>
    <x v="0"/>
    <x v="0"/>
    <x v="0"/>
    <s v="Sunglasses"/>
    <n v="97"/>
    <x v="2"/>
    <s v="Cash on Delivery"/>
    <n v="4.0999999999999996"/>
    <x v="18"/>
    <n v="73.72"/>
    <n v="7"/>
    <x v="0"/>
  </r>
  <r>
    <n v="3762"/>
    <n v="43"/>
    <x v="0"/>
    <x v="1"/>
    <x v="7"/>
    <s v="Sneakers"/>
    <n v="135.26"/>
    <x v="1"/>
    <s v="Card"/>
    <n v="4.3"/>
    <x v="24"/>
    <n v="97.387199999999993"/>
    <n v="9"/>
    <x v="2"/>
  </r>
  <r>
    <n v="3763"/>
    <n v="55"/>
    <x v="0"/>
    <x v="1"/>
    <x v="2"/>
    <s v="Dumbbells"/>
    <n v="153.94999999999999"/>
    <x v="1"/>
    <s v="Card"/>
    <n v="3.4"/>
    <x v="1"/>
    <n v="133.9365"/>
    <n v="4"/>
    <x v="0"/>
  </r>
  <r>
    <n v="3764"/>
    <n v="55"/>
    <x v="0"/>
    <x v="1"/>
    <x v="2"/>
    <s v="Dumbbells"/>
    <n v="73.22"/>
    <x v="1"/>
    <s v="Cash on Delivery"/>
    <n v="3"/>
    <x v="14"/>
    <n v="60.772599999999997"/>
    <n v="6"/>
    <x v="0"/>
  </r>
  <r>
    <n v="3765"/>
    <n v="59"/>
    <x v="0"/>
    <x v="0"/>
    <x v="8"/>
    <s v="Skirt"/>
    <n v="78.739999999999995"/>
    <x v="0"/>
    <s v="Card"/>
    <n v="3.9"/>
    <x v="14"/>
    <n v="65.354199999999992"/>
    <n v="6"/>
    <x v="0"/>
  </r>
  <r>
    <n v="3766"/>
    <n v="59"/>
    <x v="0"/>
    <x v="1"/>
    <x v="2"/>
    <s v="Dumbbells"/>
    <n v="193.24"/>
    <x v="0"/>
    <s v="Card"/>
    <n v="4.0999999999999996"/>
    <x v="5"/>
    <n v="177.78080000000003"/>
    <n v="4"/>
    <x v="0"/>
  </r>
  <r>
    <n v="3767"/>
    <n v="58"/>
    <x v="0"/>
    <x v="0"/>
    <x v="8"/>
    <s v="Dress"/>
    <n v="123.99"/>
    <x v="3"/>
    <s v="Card"/>
    <n v="4.3"/>
    <x v="8"/>
    <n v="109.1112"/>
    <n v="6"/>
    <x v="0"/>
  </r>
  <r>
    <n v="3768"/>
    <n v="31"/>
    <x v="0"/>
    <x v="0"/>
    <x v="0"/>
    <s v="Handbag"/>
    <n v="127.18"/>
    <x v="3"/>
    <s v="Card"/>
    <n v="3.3"/>
    <x v="7"/>
    <n v="114.462"/>
    <n v="5"/>
    <x v="0"/>
  </r>
  <r>
    <n v="3769"/>
    <n v="42"/>
    <x v="0"/>
    <x v="1"/>
    <x v="5"/>
    <s v="Laptop"/>
    <n v="2662.7"/>
    <x v="3"/>
    <s v="Card"/>
    <n v="3.6"/>
    <x v="12"/>
    <n v="2156.7869999999998"/>
    <n v="7"/>
    <x v="0"/>
  </r>
  <r>
    <n v="3770"/>
    <n v="68"/>
    <x v="1"/>
    <x v="1"/>
    <x v="7"/>
    <s v="Formal Shoes"/>
    <n v="207"/>
    <x v="3"/>
    <s v="Card"/>
    <n v="5"/>
    <x v="11"/>
    <n v="153.18"/>
    <n v="8"/>
    <x v="2"/>
  </r>
  <r>
    <n v="3771"/>
    <n v="54"/>
    <x v="0"/>
    <x v="0"/>
    <x v="0"/>
    <s v="Handbag"/>
    <n v="148.96"/>
    <x v="0"/>
    <s v="Card"/>
    <n v="4"/>
    <x v="10"/>
    <n v="116.18880000000001"/>
    <n v="6"/>
    <x v="0"/>
  </r>
  <r>
    <n v="3772"/>
    <n v="33"/>
    <x v="0"/>
    <x v="1"/>
    <x v="1"/>
    <s v="Jacket"/>
    <n v="91.42"/>
    <x v="0"/>
    <s v="Cash on Delivery"/>
    <n v="4.5"/>
    <x v="4"/>
    <n v="78.621200000000002"/>
    <n v="2"/>
    <x v="1"/>
  </r>
  <r>
    <n v="3773"/>
    <n v="45"/>
    <x v="0"/>
    <x v="0"/>
    <x v="7"/>
    <s v="Sandals"/>
    <n v="153.68"/>
    <x v="1"/>
    <s v="Card"/>
    <n v="4"/>
    <x v="3"/>
    <n v="122.94400000000002"/>
    <n v="5"/>
    <x v="0"/>
  </r>
  <r>
    <n v="3774"/>
    <n v="68"/>
    <x v="1"/>
    <x v="1"/>
    <x v="2"/>
    <s v="Dumbbells"/>
    <n v="110.62"/>
    <x v="0"/>
    <s v="Card"/>
    <n v="3.9"/>
    <x v="19"/>
    <n v="94.027000000000001"/>
    <n v="5"/>
    <x v="0"/>
  </r>
  <r>
    <n v="3775"/>
    <n v="43"/>
    <x v="0"/>
    <x v="0"/>
    <x v="0"/>
    <s v="Wallet"/>
    <n v="178.57"/>
    <x v="0"/>
    <s v="Card"/>
    <n v="3.2"/>
    <x v="6"/>
    <n v="149.99879999999999"/>
    <n v="3"/>
    <x v="1"/>
  </r>
  <r>
    <n v="3776"/>
    <n v="23"/>
    <x v="2"/>
    <x v="1"/>
    <x v="1"/>
    <s v="Jacket"/>
    <n v="84.91"/>
    <x v="2"/>
    <s v="Card"/>
    <n v="2.6"/>
    <x v="0"/>
    <n v="69.626199999999997"/>
    <n v="9"/>
    <x v="2"/>
  </r>
  <r>
    <n v="3777"/>
    <n v="59"/>
    <x v="0"/>
    <x v="0"/>
    <x v="0"/>
    <s v="Sunglasses"/>
    <n v="95.39"/>
    <x v="0"/>
    <s v="Card"/>
    <n v="5"/>
    <x v="13"/>
    <n v="86.804900000000004"/>
    <n v="2"/>
    <x v="1"/>
  </r>
  <r>
    <n v="3778"/>
    <n v="21"/>
    <x v="2"/>
    <x v="1"/>
    <x v="5"/>
    <s v="Smart Watch"/>
    <n v="1512.5"/>
    <x v="1"/>
    <s v="Card"/>
    <n v="4"/>
    <x v="19"/>
    <n v="1285.625"/>
    <n v="5"/>
    <x v="0"/>
  </r>
  <r>
    <n v="3779"/>
    <n v="35"/>
    <x v="0"/>
    <x v="0"/>
    <x v="7"/>
    <s v="Sandals"/>
    <n v="68.790000000000006"/>
    <x v="1"/>
    <s v="Cash on Delivery"/>
    <n v="5"/>
    <x v="3"/>
    <n v="55.032000000000011"/>
    <n v="5"/>
    <x v="0"/>
  </r>
  <r>
    <n v="3780"/>
    <n v="26"/>
    <x v="2"/>
    <x v="0"/>
    <x v="6"/>
    <s v="Skincare Kit"/>
    <n v="30.17"/>
    <x v="1"/>
    <s v="Card"/>
    <n v="2.8"/>
    <x v="1"/>
    <n v="26.247900000000001"/>
    <n v="4"/>
    <x v="0"/>
  </r>
  <r>
    <n v="3781"/>
    <n v="40"/>
    <x v="0"/>
    <x v="1"/>
    <x v="2"/>
    <s v="Yoga Mat"/>
    <n v="199.87"/>
    <x v="0"/>
    <s v="Card"/>
    <n v="3.1"/>
    <x v="23"/>
    <n v="185.87909999999999"/>
    <n v="1"/>
    <x v="1"/>
  </r>
  <r>
    <n v="3782"/>
    <n v="24"/>
    <x v="2"/>
    <x v="0"/>
    <x v="6"/>
    <s v="Skincare Kit"/>
    <n v="47.98"/>
    <x v="3"/>
    <s v="Card"/>
    <n v="4.5999999999999996"/>
    <x v="17"/>
    <n v="46.060799999999993"/>
    <n v="2"/>
    <x v="1"/>
  </r>
  <r>
    <n v="3783"/>
    <n v="68"/>
    <x v="1"/>
    <x v="0"/>
    <x v="8"/>
    <s v="Top"/>
    <n v="184.65"/>
    <x v="3"/>
    <s v="Card"/>
    <n v="3.4"/>
    <x v="4"/>
    <n v="158.79900000000001"/>
    <n v="2"/>
    <x v="1"/>
  </r>
  <r>
    <n v="3784"/>
    <n v="39"/>
    <x v="0"/>
    <x v="0"/>
    <x v="2"/>
    <s v="Football"/>
    <n v="101.5"/>
    <x v="3"/>
    <s v="Card"/>
    <n v="4.5"/>
    <x v="3"/>
    <n v="81.2"/>
    <n v="5"/>
    <x v="0"/>
  </r>
  <r>
    <n v="3785"/>
    <n v="27"/>
    <x v="2"/>
    <x v="1"/>
    <x v="5"/>
    <s v="Mobile Phone"/>
    <n v="502.45"/>
    <x v="2"/>
    <s v="Card"/>
    <n v="5"/>
    <x v="6"/>
    <n v="422.05799999999999"/>
    <n v="3"/>
    <x v="1"/>
  </r>
  <r>
    <n v="3786"/>
    <n v="29"/>
    <x v="2"/>
    <x v="0"/>
    <x v="6"/>
    <s v="Skincare Kit"/>
    <n v="137"/>
    <x v="0"/>
    <s v="Card"/>
    <n v="4.7"/>
    <x v="10"/>
    <n v="106.86"/>
    <n v="6"/>
    <x v="0"/>
  </r>
  <r>
    <n v="3787"/>
    <n v="21"/>
    <x v="2"/>
    <x v="1"/>
    <x v="2"/>
    <s v="Dumbbells"/>
    <n v="137.18"/>
    <x v="3"/>
    <s v="Card"/>
    <n v="2.8"/>
    <x v="8"/>
    <n v="120.7184"/>
    <n v="6"/>
    <x v="0"/>
  </r>
  <r>
    <n v="3788"/>
    <n v="52"/>
    <x v="0"/>
    <x v="0"/>
    <x v="2"/>
    <s v="Football"/>
    <n v="129.61000000000001"/>
    <x v="0"/>
    <s v="Card"/>
    <n v="3.8"/>
    <x v="2"/>
    <n v="115.35290000000002"/>
    <n v="3"/>
    <x v="1"/>
  </r>
  <r>
    <n v="3789"/>
    <n v="39"/>
    <x v="0"/>
    <x v="0"/>
    <x v="7"/>
    <s v="Sneakers"/>
    <n v="129.19"/>
    <x v="1"/>
    <s v="Card"/>
    <n v="3.5"/>
    <x v="2"/>
    <n v="114.9791"/>
    <n v="3"/>
    <x v="1"/>
  </r>
  <r>
    <n v="3790"/>
    <n v="65"/>
    <x v="1"/>
    <x v="1"/>
    <x v="2"/>
    <s v="Football"/>
    <n v="154.65"/>
    <x v="2"/>
    <s v="Card"/>
    <n v="3.1"/>
    <x v="0"/>
    <n v="126.81300000000002"/>
    <n v="4"/>
    <x v="0"/>
  </r>
  <r>
    <n v="3791"/>
    <n v="67"/>
    <x v="1"/>
    <x v="0"/>
    <x v="8"/>
    <s v="Jeans"/>
    <n v="54.55"/>
    <x v="0"/>
    <s v="Card"/>
    <n v="4.7"/>
    <x v="12"/>
    <n v="44.185499999999998"/>
    <n v="7"/>
    <x v="0"/>
  </r>
  <r>
    <n v="3792"/>
    <n v="21"/>
    <x v="2"/>
    <x v="1"/>
    <x v="2"/>
    <s v="Yoga Mat"/>
    <n v="77.209999999999994"/>
    <x v="1"/>
    <s v="Card"/>
    <n v="4.3"/>
    <x v="12"/>
    <n v="62.540100000000002"/>
    <n v="7"/>
    <x v="0"/>
  </r>
  <r>
    <n v="3793"/>
    <n v="62"/>
    <x v="1"/>
    <x v="1"/>
    <x v="5"/>
    <s v="Laptop"/>
    <n v="1865.21"/>
    <x v="2"/>
    <s v="Card"/>
    <n v="3.9"/>
    <x v="4"/>
    <n v="1604.0806"/>
    <n v="2"/>
    <x v="1"/>
  </r>
  <r>
    <n v="3794"/>
    <n v="52"/>
    <x v="0"/>
    <x v="0"/>
    <x v="6"/>
    <s v="Skincare Kit"/>
    <n v="97.56"/>
    <x v="3"/>
    <s v="Card"/>
    <n v="3.6"/>
    <x v="19"/>
    <n v="82.926000000000002"/>
    <n v="5"/>
    <x v="0"/>
  </r>
  <r>
    <n v="3795"/>
    <n v="28"/>
    <x v="2"/>
    <x v="1"/>
    <x v="5"/>
    <s v="Smart Watch"/>
    <n v="2248.23"/>
    <x v="1"/>
    <s v="Card"/>
    <n v="3.6"/>
    <x v="22"/>
    <n v="1731.1371000000001"/>
    <n v="9"/>
    <x v="2"/>
  </r>
  <r>
    <n v="3796"/>
    <n v="59"/>
    <x v="0"/>
    <x v="0"/>
    <x v="4"/>
    <s v="Cooking Oil"/>
    <n v="26.78"/>
    <x v="2"/>
    <s v="Card"/>
    <n v="5"/>
    <x v="12"/>
    <n v="21.691800000000001"/>
    <n v="7"/>
    <x v="0"/>
  </r>
  <r>
    <n v="3797"/>
    <n v="67"/>
    <x v="1"/>
    <x v="0"/>
    <x v="6"/>
    <s v="Perfume"/>
    <n v="99.35"/>
    <x v="0"/>
    <s v="Cash on Delivery"/>
    <n v="4"/>
    <x v="19"/>
    <n v="84.447499999999991"/>
    <n v="5"/>
    <x v="0"/>
  </r>
  <r>
    <n v="3798"/>
    <n v="35"/>
    <x v="0"/>
    <x v="1"/>
    <x v="5"/>
    <s v="Smart Watch"/>
    <n v="1797.25"/>
    <x v="2"/>
    <s v="Card"/>
    <n v="4.5"/>
    <x v="5"/>
    <n v="1653.47"/>
    <n v="4"/>
    <x v="0"/>
  </r>
  <r>
    <n v="3799"/>
    <n v="68"/>
    <x v="1"/>
    <x v="1"/>
    <x v="5"/>
    <s v="Headphones"/>
    <n v="2202.2600000000002"/>
    <x v="1"/>
    <s v="Card"/>
    <n v="3.9"/>
    <x v="19"/>
    <n v="1871.921"/>
    <n v="5"/>
    <x v="0"/>
  </r>
  <r>
    <n v="3800"/>
    <n v="43"/>
    <x v="0"/>
    <x v="0"/>
    <x v="0"/>
    <s v="Wallet"/>
    <n v="109.12"/>
    <x v="2"/>
    <s v="Card"/>
    <n v="3.6"/>
    <x v="6"/>
    <n v="91.660799999999995"/>
    <n v="3"/>
    <x v="1"/>
  </r>
  <r>
    <n v="3801"/>
    <n v="21"/>
    <x v="2"/>
    <x v="0"/>
    <x v="6"/>
    <s v="Skincare Kit"/>
    <n v="76.900000000000006"/>
    <x v="1"/>
    <s v="Card"/>
    <n v="4.9000000000000004"/>
    <x v="14"/>
    <n v="63.826999999999998"/>
    <n v="6"/>
    <x v="0"/>
  </r>
  <r>
    <n v="3802"/>
    <n v="51"/>
    <x v="0"/>
    <x v="0"/>
    <x v="0"/>
    <s v="Wallet"/>
    <n v="99.61"/>
    <x v="2"/>
    <s v="Card"/>
    <n v="3.8"/>
    <x v="3"/>
    <n v="79.688000000000002"/>
    <n v="10"/>
    <x v="2"/>
  </r>
  <r>
    <n v="3803"/>
    <n v="64"/>
    <x v="1"/>
    <x v="0"/>
    <x v="6"/>
    <s v="Perfume"/>
    <n v="81.88"/>
    <x v="0"/>
    <s v="Cash on Delivery"/>
    <n v="4.5999999999999996"/>
    <x v="0"/>
    <n v="67.141599999999997"/>
    <n v="4"/>
    <x v="0"/>
  </r>
  <r>
    <n v="3804"/>
    <n v="38"/>
    <x v="0"/>
    <x v="0"/>
    <x v="2"/>
    <s v="Yoga Mat"/>
    <n v="211.85"/>
    <x v="3"/>
    <s v="Card"/>
    <n v="4.5"/>
    <x v="15"/>
    <n v="207.613"/>
    <n v="1"/>
    <x v="1"/>
  </r>
  <r>
    <n v="3805"/>
    <n v="60"/>
    <x v="0"/>
    <x v="0"/>
    <x v="6"/>
    <s v="Makeup Set"/>
    <n v="72.84"/>
    <x v="1"/>
    <s v="Card"/>
    <n v="4.5"/>
    <x v="1"/>
    <n v="63.370800000000003"/>
    <n v="4"/>
    <x v="0"/>
  </r>
  <r>
    <n v="3806"/>
    <n v="33"/>
    <x v="0"/>
    <x v="0"/>
    <x v="0"/>
    <s v="Wallet"/>
    <n v="126.38"/>
    <x v="2"/>
    <s v="Card"/>
    <n v="2.8"/>
    <x v="8"/>
    <n v="111.2144"/>
    <n v="6"/>
    <x v="0"/>
  </r>
  <r>
    <n v="3807"/>
    <n v="25"/>
    <x v="2"/>
    <x v="0"/>
    <x v="2"/>
    <s v="Dumbbells"/>
    <n v="91.07"/>
    <x v="3"/>
    <s v="Card"/>
    <n v="4.0999999999999996"/>
    <x v="25"/>
    <n v="63.748999999999988"/>
    <n v="10"/>
    <x v="2"/>
  </r>
  <r>
    <n v="3808"/>
    <n v="42"/>
    <x v="0"/>
    <x v="1"/>
    <x v="1"/>
    <s v="Jacket"/>
    <n v="104.3"/>
    <x v="3"/>
    <s v="Card"/>
    <n v="4.7"/>
    <x v="2"/>
    <n v="92.826999999999998"/>
    <n v="3"/>
    <x v="1"/>
  </r>
  <r>
    <n v="3809"/>
    <n v="36"/>
    <x v="0"/>
    <x v="0"/>
    <x v="7"/>
    <s v="Formal Shoes"/>
    <n v="142.78"/>
    <x v="1"/>
    <s v="Card"/>
    <n v="3.7"/>
    <x v="18"/>
    <n v="108.5128"/>
    <n v="7"/>
    <x v="0"/>
  </r>
  <r>
    <n v="3810"/>
    <n v="64"/>
    <x v="1"/>
    <x v="0"/>
    <x v="8"/>
    <s v="Skirt"/>
    <n v="152.88"/>
    <x v="0"/>
    <s v="Card"/>
    <n v="4"/>
    <x v="8"/>
    <n v="134.53440000000001"/>
    <n v="6"/>
    <x v="0"/>
  </r>
  <r>
    <n v="3811"/>
    <n v="33"/>
    <x v="0"/>
    <x v="0"/>
    <x v="0"/>
    <s v="Wallet"/>
    <n v="92.62"/>
    <x v="0"/>
    <s v="Card"/>
    <n v="3.4"/>
    <x v="7"/>
    <n v="83.358000000000004"/>
    <n v="5"/>
    <x v="0"/>
  </r>
  <r>
    <n v="3812"/>
    <n v="24"/>
    <x v="2"/>
    <x v="0"/>
    <x v="6"/>
    <s v="Makeup Set"/>
    <n v="35.21"/>
    <x v="3"/>
    <s v="Card"/>
    <n v="3.5"/>
    <x v="23"/>
    <n v="32.7453"/>
    <n v="1"/>
    <x v="1"/>
  </r>
  <r>
    <n v="3813"/>
    <n v="55"/>
    <x v="0"/>
    <x v="0"/>
    <x v="6"/>
    <s v="Makeup Set"/>
    <n v="63.85"/>
    <x v="2"/>
    <s v="Card"/>
    <n v="4"/>
    <x v="14"/>
    <n v="52.9955"/>
    <n v="6"/>
    <x v="0"/>
  </r>
  <r>
    <n v="3814"/>
    <n v="31"/>
    <x v="0"/>
    <x v="1"/>
    <x v="5"/>
    <s v="Smart Watch"/>
    <n v="1015.78"/>
    <x v="0"/>
    <s v="Card"/>
    <n v="3.7"/>
    <x v="8"/>
    <n v="893.88639999999998"/>
    <n v="6"/>
    <x v="0"/>
  </r>
  <r>
    <n v="3815"/>
    <n v="49"/>
    <x v="0"/>
    <x v="1"/>
    <x v="1"/>
    <s v="Jeans"/>
    <n v="60.79"/>
    <x v="0"/>
    <s v="Card"/>
    <n v="3.9"/>
    <x v="17"/>
    <n v="58.358399999999996"/>
    <n v="2"/>
    <x v="1"/>
  </r>
  <r>
    <n v="3816"/>
    <n v="61"/>
    <x v="1"/>
    <x v="0"/>
    <x v="8"/>
    <s v="Dress"/>
    <n v="189.41"/>
    <x v="2"/>
    <s v="Card"/>
    <n v="3.2"/>
    <x v="16"/>
    <n v="178.0454"/>
    <n v="3"/>
    <x v="1"/>
  </r>
  <r>
    <n v="3817"/>
    <n v="24"/>
    <x v="2"/>
    <x v="1"/>
    <x v="4"/>
    <s v="Beverages"/>
    <n v="38.06"/>
    <x v="1"/>
    <s v="Cash on Delivery"/>
    <n v="4.7"/>
    <x v="3"/>
    <n v="30.448000000000004"/>
    <n v="5"/>
    <x v="0"/>
  </r>
  <r>
    <n v="3818"/>
    <n v="32"/>
    <x v="0"/>
    <x v="0"/>
    <x v="6"/>
    <s v="Skincare Kit"/>
    <n v="148.62"/>
    <x v="0"/>
    <s v="Card"/>
    <n v="3.1"/>
    <x v="17"/>
    <n v="142.67519999999999"/>
    <n v="2"/>
    <x v="1"/>
  </r>
  <r>
    <n v="3819"/>
    <n v="39"/>
    <x v="0"/>
    <x v="1"/>
    <x v="4"/>
    <s v="Rice Pack"/>
    <n v="70.510000000000005"/>
    <x v="3"/>
    <s v="Card"/>
    <n v="4.0999999999999996"/>
    <x v="0"/>
    <n v="57.818200000000012"/>
    <n v="4"/>
    <x v="0"/>
  </r>
  <r>
    <n v="3820"/>
    <n v="47"/>
    <x v="0"/>
    <x v="1"/>
    <x v="1"/>
    <s v="T-Shirt"/>
    <n v="86.22"/>
    <x v="0"/>
    <s v="Cash on Delivery"/>
    <n v="5"/>
    <x v="24"/>
    <n v="62.078399999999995"/>
    <n v="9"/>
    <x v="2"/>
  </r>
  <r>
    <n v="3821"/>
    <n v="41"/>
    <x v="0"/>
    <x v="1"/>
    <x v="4"/>
    <s v="Cooking Oil"/>
    <n v="14.42"/>
    <x v="3"/>
    <s v="Cash on Delivery"/>
    <n v="3.8"/>
    <x v="6"/>
    <n v="12.1128"/>
    <n v="3"/>
    <x v="1"/>
  </r>
  <r>
    <n v="3822"/>
    <n v="70"/>
    <x v="1"/>
    <x v="1"/>
    <x v="1"/>
    <s v="Jacket"/>
    <n v="189.46"/>
    <x v="3"/>
    <s v="Card"/>
    <n v="4.3"/>
    <x v="3"/>
    <n v="151.56800000000001"/>
    <n v="5"/>
    <x v="0"/>
  </r>
  <r>
    <n v="3823"/>
    <n v="56"/>
    <x v="0"/>
    <x v="0"/>
    <x v="6"/>
    <s v="Perfume"/>
    <n v="68.849999999999994"/>
    <x v="0"/>
    <s v="Cash on Delivery"/>
    <n v="5"/>
    <x v="7"/>
    <n v="61.964999999999996"/>
    <n v="5"/>
    <x v="0"/>
  </r>
  <r>
    <n v="3824"/>
    <n v="30"/>
    <x v="2"/>
    <x v="1"/>
    <x v="5"/>
    <s v="Mobile Phone"/>
    <n v="1289.45"/>
    <x v="1"/>
    <s v="Card"/>
    <n v="3.9"/>
    <x v="18"/>
    <n v="979.98200000000008"/>
    <n v="7"/>
    <x v="0"/>
  </r>
  <r>
    <n v="3825"/>
    <n v="37"/>
    <x v="0"/>
    <x v="1"/>
    <x v="2"/>
    <s v="Dumbbells"/>
    <n v="152.16"/>
    <x v="0"/>
    <s v="Card"/>
    <n v="2.9"/>
    <x v="0"/>
    <n v="124.77120000000001"/>
    <n v="4"/>
    <x v="0"/>
  </r>
  <r>
    <n v="3826"/>
    <n v="37"/>
    <x v="0"/>
    <x v="0"/>
    <x v="0"/>
    <s v="Handbag"/>
    <n v="108.77"/>
    <x v="3"/>
    <s v="Card"/>
    <n v="4.2"/>
    <x v="8"/>
    <n v="95.71759999999999"/>
    <n v="6"/>
    <x v="0"/>
  </r>
  <r>
    <n v="3827"/>
    <n v="57"/>
    <x v="0"/>
    <x v="1"/>
    <x v="2"/>
    <s v="Yoga Mat"/>
    <n v="102.42"/>
    <x v="0"/>
    <s v="Card"/>
    <n v="3.5"/>
    <x v="15"/>
    <n v="100.3716"/>
    <n v="1"/>
    <x v="1"/>
  </r>
  <r>
    <n v="3828"/>
    <n v="35"/>
    <x v="0"/>
    <x v="0"/>
    <x v="0"/>
    <s v="Wallet"/>
    <n v="89.77"/>
    <x v="1"/>
    <s v="Card"/>
    <n v="3.6"/>
    <x v="16"/>
    <n v="84.383799999999994"/>
    <n v="3"/>
    <x v="1"/>
  </r>
  <r>
    <n v="3829"/>
    <n v="66"/>
    <x v="1"/>
    <x v="1"/>
    <x v="5"/>
    <s v="Laptop"/>
    <n v="2342.16"/>
    <x v="3"/>
    <s v="Card"/>
    <n v="3.7"/>
    <x v="22"/>
    <n v="1803.4631999999999"/>
    <n v="9"/>
    <x v="2"/>
  </r>
  <r>
    <n v="3830"/>
    <n v="54"/>
    <x v="0"/>
    <x v="0"/>
    <x v="6"/>
    <s v="Makeup Set"/>
    <n v="101.65"/>
    <x v="3"/>
    <s v="Card"/>
    <n v="3.9"/>
    <x v="8"/>
    <n v="89.452000000000012"/>
    <n v="6"/>
    <x v="0"/>
  </r>
  <r>
    <n v="3831"/>
    <n v="57"/>
    <x v="0"/>
    <x v="0"/>
    <x v="2"/>
    <s v="Dumbbells"/>
    <n v="194.84"/>
    <x v="1"/>
    <s v="Card"/>
    <n v="4.7"/>
    <x v="10"/>
    <n v="151.9752"/>
    <n v="6"/>
    <x v="0"/>
  </r>
  <r>
    <n v="3832"/>
    <n v="27"/>
    <x v="2"/>
    <x v="1"/>
    <x v="5"/>
    <s v="Smart Watch"/>
    <n v="1483.08"/>
    <x v="1"/>
    <s v="Card"/>
    <n v="4.0999999999999996"/>
    <x v="6"/>
    <n v="1245.7872"/>
    <n v="3"/>
    <x v="1"/>
  </r>
  <r>
    <n v="3833"/>
    <n v="66"/>
    <x v="1"/>
    <x v="0"/>
    <x v="4"/>
    <s v="Beverages"/>
    <n v="16.63"/>
    <x v="1"/>
    <s v="Cash on Delivery"/>
    <n v="3"/>
    <x v="19"/>
    <n v="14.135499999999999"/>
    <n v="5"/>
    <x v="0"/>
  </r>
  <r>
    <n v="3834"/>
    <n v="45"/>
    <x v="0"/>
    <x v="1"/>
    <x v="2"/>
    <s v="Football"/>
    <n v="191.91"/>
    <x v="2"/>
    <s v="Card"/>
    <n v="3"/>
    <x v="5"/>
    <n v="176.55719999999999"/>
    <n v="4"/>
    <x v="0"/>
  </r>
  <r>
    <n v="3835"/>
    <n v="48"/>
    <x v="0"/>
    <x v="1"/>
    <x v="1"/>
    <s v="Jacket"/>
    <n v="114.46"/>
    <x v="0"/>
    <s v="Card"/>
    <n v="3.5"/>
    <x v="23"/>
    <n v="106.44779999999999"/>
    <n v="1"/>
    <x v="1"/>
  </r>
  <r>
    <n v="3836"/>
    <n v="44"/>
    <x v="0"/>
    <x v="1"/>
    <x v="3"/>
    <s v="Curtains"/>
    <n v="194.94"/>
    <x v="0"/>
    <s v="Card"/>
    <n v="2.6"/>
    <x v="3"/>
    <n v="155.952"/>
    <n v="5"/>
    <x v="0"/>
  </r>
  <r>
    <n v="3837"/>
    <n v="42"/>
    <x v="0"/>
    <x v="0"/>
    <x v="8"/>
    <s v="Dress"/>
    <n v="161.16999999999999"/>
    <x v="1"/>
    <s v="Card"/>
    <n v="3.2"/>
    <x v="7"/>
    <n v="145.053"/>
    <n v="5"/>
    <x v="0"/>
  </r>
  <r>
    <n v="3838"/>
    <n v="21"/>
    <x v="2"/>
    <x v="0"/>
    <x v="6"/>
    <s v="Makeup Set"/>
    <n v="128.63"/>
    <x v="1"/>
    <s v="Card"/>
    <n v="3.7"/>
    <x v="6"/>
    <n v="108.0492"/>
    <n v="3"/>
    <x v="1"/>
  </r>
  <r>
    <n v="3839"/>
    <n v="42"/>
    <x v="0"/>
    <x v="1"/>
    <x v="5"/>
    <s v="Mobile Phone"/>
    <n v="1995.79"/>
    <x v="3"/>
    <s v="Card"/>
    <n v="3"/>
    <x v="17"/>
    <n v="1915.9584"/>
    <n v="2"/>
    <x v="1"/>
  </r>
  <r>
    <n v="3840"/>
    <n v="57"/>
    <x v="0"/>
    <x v="1"/>
    <x v="7"/>
    <s v="Sneakers"/>
    <n v="184.11"/>
    <x v="1"/>
    <s v="Card"/>
    <n v="3.4"/>
    <x v="14"/>
    <n v="152.81130000000002"/>
    <n v="6"/>
    <x v="0"/>
  </r>
  <r>
    <n v="3841"/>
    <n v="31"/>
    <x v="0"/>
    <x v="0"/>
    <x v="8"/>
    <s v="Top"/>
    <n v="42.28"/>
    <x v="0"/>
    <s v="Card"/>
    <n v="4.2"/>
    <x v="5"/>
    <n v="38.897600000000004"/>
    <n v="4"/>
    <x v="0"/>
  </r>
  <r>
    <n v="3842"/>
    <n v="34"/>
    <x v="0"/>
    <x v="0"/>
    <x v="4"/>
    <s v="Rice Pack"/>
    <n v="32.97"/>
    <x v="1"/>
    <s v="Cash on Delivery"/>
    <n v="2.2000000000000002"/>
    <x v="10"/>
    <n v="25.7166"/>
    <n v="6"/>
    <x v="0"/>
  </r>
  <r>
    <n v="3843"/>
    <n v="36"/>
    <x v="0"/>
    <x v="1"/>
    <x v="1"/>
    <s v="Jeans"/>
    <n v="177.58"/>
    <x v="0"/>
    <s v="Card"/>
    <n v="5"/>
    <x v="3"/>
    <n v="142.06400000000002"/>
    <n v="5"/>
    <x v="0"/>
  </r>
  <r>
    <n v="3844"/>
    <n v="52"/>
    <x v="0"/>
    <x v="1"/>
    <x v="4"/>
    <s v="Rice Pack"/>
    <n v="28.33"/>
    <x v="3"/>
    <s v="Card"/>
    <n v="2.6"/>
    <x v="7"/>
    <n v="25.497"/>
    <n v="5"/>
    <x v="0"/>
  </r>
  <r>
    <n v="3845"/>
    <n v="56"/>
    <x v="0"/>
    <x v="1"/>
    <x v="5"/>
    <s v="Headphones"/>
    <n v="1509.77"/>
    <x v="1"/>
    <s v="Card"/>
    <n v="4.0999999999999996"/>
    <x v="5"/>
    <n v="1388.9884"/>
    <n v="4"/>
    <x v="0"/>
  </r>
  <r>
    <n v="3846"/>
    <n v="22"/>
    <x v="2"/>
    <x v="1"/>
    <x v="7"/>
    <s v="Formal Shoes"/>
    <n v="221.34"/>
    <x v="3"/>
    <s v="Card"/>
    <n v="3"/>
    <x v="13"/>
    <n v="201.4194"/>
    <n v="2"/>
    <x v="1"/>
  </r>
  <r>
    <n v="3847"/>
    <n v="25"/>
    <x v="2"/>
    <x v="1"/>
    <x v="7"/>
    <s v="Formal Shoes"/>
    <n v="129.19999999999999"/>
    <x v="2"/>
    <s v="Card"/>
    <n v="3.8"/>
    <x v="2"/>
    <n v="114.98799999999999"/>
    <n v="3"/>
    <x v="1"/>
  </r>
  <r>
    <n v="3848"/>
    <n v="33"/>
    <x v="0"/>
    <x v="0"/>
    <x v="6"/>
    <s v="Makeup Set"/>
    <n v="33.51"/>
    <x v="2"/>
    <s v="Card"/>
    <n v="3.8"/>
    <x v="6"/>
    <n v="28.148399999999999"/>
    <n v="8"/>
    <x v="2"/>
  </r>
  <r>
    <n v="3849"/>
    <n v="60"/>
    <x v="0"/>
    <x v="0"/>
    <x v="8"/>
    <s v="Jeans"/>
    <n v="73.260000000000005"/>
    <x v="2"/>
    <s v="Card"/>
    <n v="3"/>
    <x v="13"/>
    <n v="66.666600000000003"/>
    <n v="2"/>
    <x v="1"/>
  </r>
  <r>
    <n v="3850"/>
    <n v="22"/>
    <x v="2"/>
    <x v="1"/>
    <x v="5"/>
    <s v="Headphones"/>
    <n v="2440.87"/>
    <x v="3"/>
    <s v="Card"/>
    <n v="3.7"/>
    <x v="10"/>
    <n v="1903.8786"/>
    <n v="6"/>
    <x v="0"/>
  </r>
  <r>
    <n v="3851"/>
    <n v="35"/>
    <x v="0"/>
    <x v="0"/>
    <x v="3"/>
    <s v="Kitchen Set"/>
    <n v="164.39"/>
    <x v="3"/>
    <s v="Card"/>
    <n v="3.9"/>
    <x v="19"/>
    <n v="139.73149999999998"/>
    <n v="5"/>
    <x v="0"/>
  </r>
  <r>
    <n v="3852"/>
    <n v="35"/>
    <x v="0"/>
    <x v="0"/>
    <x v="0"/>
    <s v="Handbag"/>
    <n v="72.819999999999993"/>
    <x v="1"/>
    <s v="Cash on Delivery"/>
    <n v="5"/>
    <x v="18"/>
    <n v="55.343199999999996"/>
    <n v="7"/>
    <x v="0"/>
  </r>
  <r>
    <n v="3853"/>
    <n v="22"/>
    <x v="2"/>
    <x v="0"/>
    <x v="7"/>
    <s v="Sandals"/>
    <n v="195.2"/>
    <x v="3"/>
    <s v="Card"/>
    <n v="3.6"/>
    <x v="14"/>
    <n v="162.01599999999999"/>
    <n v="6"/>
    <x v="0"/>
  </r>
  <r>
    <n v="3854"/>
    <n v="52"/>
    <x v="0"/>
    <x v="0"/>
    <x v="7"/>
    <s v="Sandals"/>
    <n v="165.9"/>
    <x v="1"/>
    <s v="Card"/>
    <n v="3.3"/>
    <x v="23"/>
    <n v="154.28700000000001"/>
    <n v="1"/>
    <x v="1"/>
  </r>
  <r>
    <n v="3855"/>
    <n v="57"/>
    <x v="0"/>
    <x v="1"/>
    <x v="2"/>
    <s v="Yoga Mat"/>
    <n v="53.33"/>
    <x v="0"/>
    <s v="Card"/>
    <n v="3.7"/>
    <x v="19"/>
    <n v="45.330500000000001"/>
    <n v="5"/>
    <x v="0"/>
  </r>
  <r>
    <n v="3856"/>
    <n v="43"/>
    <x v="0"/>
    <x v="1"/>
    <x v="2"/>
    <s v="Yoga Mat"/>
    <n v="186.13"/>
    <x v="3"/>
    <s v="Card"/>
    <n v="2.7"/>
    <x v="5"/>
    <n v="171.2396"/>
    <n v="4"/>
    <x v="0"/>
  </r>
  <r>
    <n v="3857"/>
    <n v="51"/>
    <x v="0"/>
    <x v="1"/>
    <x v="1"/>
    <s v="T-Shirt"/>
    <n v="71.650000000000006"/>
    <x v="3"/>
    <s v="Cash on Delivery"/>
    <n v="4.2"/>
    <x v="12"/>
    <n v="58.036500000000011"/>
    <n v="7"/>
    <x v="0"/>
  </r>
  <r>
    <n v="3858"/>
    <n v="55"/>
    <x v="0"/>
    <x v="1"/>
    <x v="2"/>
    <s v="Yoga Mat"/>
    <n v="128.66999999999999"/>
    <x v="1"/>
    <s v="Card"/>
    <n v="4.0999999999999996"/>
    <x v="3"/>
    <n v="102.93599999999999"/>
    <n v="5"/>
    <x v="0"/>
  </r>
  <r>
    <n v="3859"/>
    <n v="68"/>
    <x v="1"/>
    <x v="0"/>
    <x v="6"/>
    <s v="Makeup Set"/>
    <n v="72.5"/>
    <x v="0"/>
    <s v="Cash on Delivery"/>
    <n v="3"/>
    <x v="24"/>
    <n v="52.199999999999996"/>
    <n v="9"/>
    <x v="2"/>
  </r>
  <r>
    <n v="3860"/>
    <n v="61"/>
    <x v="1"/>
    <x v="0"/>
    <x v="4"/>
    <s v="Cooking Oil"/>
    <n v="25.6"/>
    <x v="1"/>
    <s v="Cash on Delivery"/>
    <n v="4"/>
    <x v="1"/>
    <n v="22.272000000000002"/>
    <n v="4"/>
    <x v="0"/>
  </r>
  <r>
    <n v="3861"/>
    <n v="54"/>
    <x v="0"/>
    <x v="0"/>
    <x v="8"/>
    <s v="Jeans"/>
    <n v="48.92"/>
    <x v="3"/>
    <s v="Card"/>
    <n v="4.2"/>
    <x v="10"/>
    <n v="38.157600000000002"/>
    <n v="6"/>
    <x v="0"/>
  </r>
  <r>
    <n v="3862"/>
    <n v="65"/>
    <x v="1"/>
    <x v="0"/>
    <x v="0"/>
    <s v="Handbag"/>
    <n v="82.14"/>
    <x v="3"/>
    <s v="Cash on Delivery"/>
    <n v="3.3"/>
    <x v="14"/>
    <n v="68.176199999999994"/>
    <n v="6"/>
    <x v="0"/>
  </r>
  <r>
    <n v="3863"/>
    <n v="42"/>
    <x v="0"/>
    <x v="1"/>
    <x v="7"/>
    <s v="Formal Shoes"/>
    <n v="74.959999999999994"/>
    <x v="2"/>
    <s v="Cash on Delivery"/>
    <n v="2.4"/>
    <x v="10"/>
    <n v="58.468799999999995"/>
    <n v="6"/>
    <x v="0"/>
  </r>
  <r>
    <n v="3864"/>
    <n v="53"/>
    <x v="0"/>
    <x v="0"/>
    <x v="4"/>
    <s v="Rice Pack"/>
    <n v="36.549999999999997"/>
    <x v="1"/>
    <s v="Card"/>
    <n v="3.8"/>
    <x v="19"/>
    <n v="31.067499999999995"/>
    <n v="5"/>
    <x v="0"/>
  </r>
  <r>
    <n v="3865"/>
    <n v="25"/>
    <x v="2"/>
    <x v="1"/>
    <x v="2"/>
    <s v="Football"/>
    <n v="162.61000000000001"/>
    <x v="2"/>
    <s v="Card"/>
    <n v="4.7"/>
    <x v="6"/>
    <n v="136.5924"/>
    <n v="3"/>
    <x v="1"/>
  </r>
  <r>
    <n v="3866"/>
    <n v="49"/>
    <x v="0"/>
    <x v="1"/>
    <x v="2"/>
    <s v="Football"/>
    <n v="75.87"/>
    <x v="1"/>
    <s v="Cash on Delivery"/>
    <n v="3"/>
    <x v="2"/>
    <n v="67.524300000000011"/>
    <n v="3"/>
    <x v="1"/>
  </r>
  <r>
    <n v="3867"/>
    <n v="59"/>
    <x v="0"/>
    <x v="0"/>
    <x v="4"/>
    <s v="Rice Pack"/>
    <n v="16.71"/>
    <x v="3"/>
    <s v="Card"/>
    <n v="3.9"/>
    <x v="14"/>
    <n v="13.869300000000001"/>
    <n v="6"/>
    <x v="0"/>
  </r>
  <r>
    <n v="3868"/>
    <n v="66"/>
    <x v="1"/>
    <x v="0"/>
    <x v="0"/>
    <s v="Handbag"/>
    <n v="118.57"/>
    <x v="0"/>
    <s v="Card"/>
    <n v="2.9"/>
    <x v="19"/>
    <n v="100.78449999999999"/>
    <n v="5"/>
    <x v="0"/>
  </r>
  <r>
    <n v="3869"/>
    <n v="26"/>
    <x v="2"/>
    <x v="0"/>
    <x v="8"/>
    <s v="Jeans"/>
    <n v="71.72"/>
    <x v="1"/>
    <s v="Card"/>
    <n v="3.5"/>
    <x v="21"/>
    <n v="56.658799999999999"/>
    <n v="8"/>
    <x v="2"/>
  </r>
  <r>
    <n v="3870"/>
    <n v="64"/>
    <x v="1"/>
    <x v="0"/>
    <x v="3"/>
    <s v="Kitchen Set"/>
    <n v="280.58999999999997"/>
    <x v="3"/>
    <s v="Card"/>
    <n v="4.9000000000000004"/>
    <x v="14"/>
    <n v="232.88969999999998"/>
    <n v="6"/>
    <x v="0"/>
  </r>
  <r>
    <n v="3871"/>
    <n v="46"/>
    <x v="0"/>
    <x v="0"/>
    <x v="8"/>
    <s v="Jeans"/>
    <n v="121.97"/>
    <x v="3"/>
    <s v="Card"/>
    <n v="4.5999999999999996"/>
    <x v="11"/>
    <n v="90.257800000000003"/>
    <n v="8"/>
    <x v="2"/>
  </r>
  <r>
    <n v="3872"/>
    <n v="62"/>
    <x v="1"/>
    <x v="1"/>
    <x v="2"/>
    <s v="Dumbbells"/>
    <n v="125.84"/>
    <x v="0"/>
    <s v="Card"/>
    <n v="3.9"/>
    <x v="5"/>
    <n v="115.7728"/>
    <n v="4"/>
    <x v="0"/>
  </r>
  <r>
    <n v="3873"/>
    <n v="43"/>
    <x v="0"/>
    <x v="1"/>
    <x v="2"/>
    <s v="Dumbbells"/>
    <n v="199.76"/>
    <x v="3"/>
    <s v="Card"/>
    <n v="2.4"/>
    <x v="18"/>
    <n v="151.8176"/>
    <n v="7"/>
    <x v="0"/>
  </r>
  <r>
    <n v="3874"/>
    <n v="63"/>
    <x v="1"/>
    <x v="1"/>
    <x v="2"/>
    <s v="Football"/>
    <n v="245.47"/>
    <x v="1"/>
    <s v="Card"/>
    <n v="4.0999999999999996"/>
    <x v="8"/>
    <n v="216.0136"/>
    <n v="6"/>
    <x v="0"/>
  </r>
  <r>
    <n v="3875"/>
    <n v="36"/>
    <x v="0"/>
    <x v="0"/>
    <x v="6"/>
    <s v="Makeup Set"/>
    <n v="63.27"/>
    <x v="3"/>
    <s v="Card"/>
    <n v="2.8"/>
    <x v="8"/>
    <n v="55.677600000000005"/>
    <n v="6"/>
    <x v="0"/>
  </r>
  <r>
    <n v="3876"/>
    <n v="48"/>
    <x v="0"/>
    <x v="0"/>
    <x v="7"/>
    <s v="Sandals"/>
    <n v="71.12"/>
    <x v="0"/>
    <s v="Card"/>
    <n v="4.2"/>
    <x v="0"/>
    <n v="58.318400000000011"/>
    <n v="4"/>
    <x v="0"/>
  </r>
  <r>
    <n v="3877"/>
    <n v="52"/>
    <x v="0"/>
    <x v="0"/>
    <x v="3"/>
    <s v="Lamp"/>
    <n v="71.95"/>
    <x v="3"/>
    <s v="Cash on Delivery"/>
    <n v="3.6"/>
    <x v="21"/>
    <n v="56.840500000000006"/>
    <n v="8"/>
    <x v="2"/>
  </r>
  <r>
    <n v="3878"/>
    <n v="34"/>
    <x v="0"/>
    <x v="1"/>
    <x v="3"/>
    <s v="Kitchen Set"/>
    <n v="199.66"/>
    <x v="2"/>
    <s v="Card"/>
    <n v="3.3"/>
    <x v="5"/>
    <n v="183.68720000000002"/>
    <n v="4"/>
    <x v="0"/>
  </r>
  <r>
    <n v="3879"/>
    <n v="46"/>
    <x v="0"/>
    <x v="0"/>
    <x v="0"/>
    <s v="Handbag"/>
    <n v="52.31"/>
    <x v="2"/>
    <s v="Cash on Delivery"/>
    <n v="5"/>
    <x v="10"/>
    <n v="40.8018"/>
    <n v="6"/>
    <x v="0"/>
  </r>
  <r>
    <n v="3880"/>
    <n v="35"/>
    <x v="0"/>
    <x v="0"/>
    <x v="6"/>
    <s v="Skincare Kit"/>
    <n v="92"/>
    <x v="3"/>
    <s v="Cash on Delivery"/>
    <n v="4.8"/>
    <x v="25"/>
    <n v="64.399999999999991"/>
    <n v="10"/>
    <x v="2"/>
  </r>
  <r>
    <n v="3881"/>
    <n v="39"/>
    <x v="0"/>
    <x v="0"/>
    <x v="0"/>
    <s v="Wallet"/>
    <n v="41.86"/>
    <x v="1"/>
    <s v="Card"/>
    <n v="2.8"/>
    <x v="0"/>
    <n v="34.325200000000002"/>
    <n v="4"/>
    <x v="0"/>
  </r>
  <r>
    <n v="3882"/>
    <n v="67"/>
    <x v="1"/>
    <x v="0"/>
    <x v="7"/>
    <s v="Sneakers"/>
    <n v="134.68"/>
    <x v="3"/>
    <s v="Card"/>
    <n v="4.0999999999999996"/>
    <x v="19"/>
    <n v="114.47800000000001"/>
    <n v="5"/>
    <x v="0"/>
  </r>
  <r>
    <n v="3883"/>
    <n v="52"/>
    <x v="0"/>
    <x v="1"/>
    <x v="2"/>
    <s v="Football"/>
    <n v="91.41"/>
    <x v="0"/>
    <s v="Cash on Delivery"/>
    <n v="2.9"/>
    <x v="16"/>
    <n v="85.925399999999996"/>
    <n v="3"/>
    <x v="1"/>
  </r>
  <r>
    <n v="3884"/>
    <n v="29"/>
    <x v="2"/>
    <x v="0"/>
    <x v="4"/>
    <s v="Rice Pack"/>
    <n v="29.99"/>
    <x v="3"/>
    <s v="Card"/>
    <n v="4.5"/>
    <x v="14"/>
    <n v="24.891699999999997"/>
    <n v="6"/>
    <x v="0"/>
  </r>
  <r>
    <n v="3885"/>
    <n v="55"/>
    <x v="0"/>
    <x v="1"/>
    <x v="3"/>
    <s v="Lamp"/>
    <n v="261.19"/>
    <x v="1"/>
    <s v="Card"/>
    <n v="3.2"/>
    <x v="18"/>
    <n v="198.5044"/>
    <n v="7"/>
    <x v="0"/>
  </r>
  <r>
    <n v="3886"/>
    <n v="70"/>
    <x v="1"/>
    <x v="1"/>
    <x v="7"/>
    <s v="Sandals"/>
    <n v="87.98"/>
    <x v="1"/>
    <s v="Card"/>
    <n v="3.2"/>
    <x v="8"/>
    <n v="77.42240000000001"/>
    <n v="6"/>
    <x v="0"/>
  </r>
  <r>
    <n v="3887"/>
    <n v="41"/>
    <x v="0"/>
    <x v="1"/>
    <x v="1"/>
    <s v="T-Shirt"/>
    <n v="152.87"/>
    <x v="3"/>
    <s v="Card"/>
    <n v="4.5"/>
    <x v="8"/>
    <n v="134.5256"/>
    <n v="6"/>
    <x v="0"/>
  </r>
  <r>
    <n v="3888"/>
    <n v="24"/>
    <x v="2"/>
    <x v="1"/>
    <x v="3"/>
    <s v="Kitchen Set"/>
    <n v="160.16999999999999"/>
    <x v="1"/>
    <s v="Card"/>
    <n v="3.7"/>
    <x v="0"/>
    <n v="131.33940000000001"/>
    <n v="4"/>
    <x v="0"/>
  </r>
  <r>
    <n v="3889"/>
    <n v="61"/>
    <x v="1"/>
    <x v="1"/>
    <x v="2"/>
    <s v="Football"/>
    <n v="92.21"/>
    <x v="1"/>
    <s v="Card"/>
    <n v="4.2"/>
    <x v="7"/>
    <n v="82.98899999999999"/>
    <n v="5"/>
    <x v="0"/>
  </r>
  <r>
    <n v="3890"/>
    <n v="55"/>
    <x v="0"/>
    <x v="0"/>
    <x v="8"/>
    <s v="Dress"/>
    <n v="68.75"/>
    <x v="3"/>
    <s v="Card"/>
    <n v="4.9000000000000004"/>
    <x v="13"/>
    <n v="62.5625"/>
    <n v="2"/>
    <x v="1"/>
  </r>
  <r>
    <n v="3891"/>
    <n v="36"/>
    <x v="0"/>
    <x v="1"/>
    <x v="5"/>
    <s v="Smart Watch"/>
    <n v="2199.9299999999998"/>
    <x v="2"/>
    <s v="Card"/>
    <n v="4.3"/>
    <x v="14"/>
    <n v="1825.9418999999998"/>
    <n v="6"/>
    <x v="0"/>
  </r>
  <r>
    <n v="3892"/>
    <n v="67"/>
    <x v="1"/>
    <x v="0"/>
    <x v="7"/>
    <s v="Sandals"/>
    <n v="191.36"/>
    <x v="2"/>
    <s v="Card"/>
    <n v="4.0999999999999996"/>
    <x v="0"/>
    <n v="156.91520000000003"/>
    <n v="4"/>
    <x v="0"/>
  </r>
  <r>
    <n v="3893"/>
    <n v="50"/>
    <x v="0"/>
    <x v="1"/>
    <x v="3"/>
    <s v="Kitchen Set"/>
    <n v="55.82"/>
    <x v="1"/>
    <s v="Cash on Delivery"/>
    <n v="3.7"/>
    <x v="6"/>
    <n v="46.888799999999996"/>
    <n v="3"/>
    <x v="1"/>
  </r>
  <r>
    <n v="3894"/>
    <n v="33"/>
    <x v="0"/>
    <x v="0"/>
    <x v="7"/>
    <s v="Formal Shoes"/>
    <n v="222.12"/>
    <x v="2"/>
    <s v="Card"/>
    <n v="4.0999999999999996"/>
    <x v="7"/>
    <n v="199.90800000000002"/>
    <n v="5"/>
    <x v="0"/>
  </r>
  <r>
    <n v="3895"/>
    <n v="33"/>
    <x v="0"/>
    <x v="0"/>
    <x v="4"/>
    <s v="Rice Pack"/>
    <n v="78.680000000000007"/>
    <x v="3"/>
    <s v="Card"/>
    <n v="3.4"/>
    <x v="16"/>
    <n v="73.959199999999996"/>
    <n v="3"/>
    <x v="1"/>
  </r>
  <r>
    <n v="3896"/>
    <n v="53"/>
    <x v="0"/>
    <x v="0"/>
    <x v="7"/>
    <s v="Formal Shoes"/>
    <n v="151.9"/>
    <x v="3"/>
    <s v="Card"/>
    <n v="3.5"/>
    <x v="23"/>
    <n v="141.267"/>
    <n v="1"/>
    <x v="1"/>
  </r>
  <r>
    <n v="3897"/>
    <n v="41"/>
    <x v="0"/>
    <x v="0"/>
    <x v="8"/>
    <s v="Top"/>
    <n v="34.340000000000003"/>
    <x v="0"/>
    <s v="Cash on Delivery"/>
    <n v="3.7"/>
    <x v="18"/>
    <n v="26.098400000000002"/>
    <n v="7"/>
    <x v="0"/>
  </r>
  <r>
    <n v="3898"/>
    <n v="44"/>
    <x v="0"/>
    <x v="1"/>
    <x v="3"/>
    <s v="Kitchen Set"/>
    <n v="193.78"/>
    <x v="0"/>
    <s v="Card"/>
    <n v="3.9"/>
    <x v="2"/>
    <n v="172.46420000000001"/>
    <n v="3"/>
    <x v="1"/>
  </r>
  <r>
    <n v="3899"/>
    <n v="44"/>
    <x v="0"/>
    <x v="0"/>
    <x v="7"/>
    <s v="Sneakers"/>
    <n v="165.49"/>
    <x v="2"/>
    <s v="Card"/>
    <n v="3.8"/>
    <x v="3"/>
    <n v="132.39200000000002"/>
    <n v="5"/>
    <x v="0"/>
  </r>
  <r>
    <n v="3900"/>
    <n v="26"/>
    <x v="2"/>
    <x v="0"/>
    <x v="8"/>
    <s v="Dress"/>
    <n v="98.13"/>
    <x v="3"/>
    <s v="Cash on Delivery"/>
    <n v="3"/>
    <x v="19"/>
    <n v="83.410499999999999"/>
    <n v="5"/>
    <x v="0"/>
  </r>
  <r>
    <n v="3901"/>
    <n v="60"/>
    <x v="0"/>
    <x v="1"/>
    <x v="1"/>
    <s v="Shirt"/>
    <n v="101.85"/>
    <x v="2"/>
    <s v="Card"/>
    <n v="4.4000000000000004"/>
    <x v="7"/>
    <n v="91.664999999999992"/>
    <n v="5"/>
    <x v="0"/>
  </r>
  <r>
    <n v="3902"/>
    <n v="20"/>
    <x v="2"/>
    <x v="0"/>
    <x v="6"/>
    <s v="Skincare Kit"/>
    <n v="140.1"/>
    <x v="3"/>
    <s v="Card"/>
    <n v="3.7"/>
    <x v="17"/>
    <n v="134.49599999999998"/>
    <n v="2"/>
    <x v="1"/>
  </r>
  <r>
    <n v="3903"/>
    <n v="45"/>
    <x v="0"/>
    <x v="1"/>
    <x v="4"/>
    <s v="Rice Pack"/>
    <n v="8.33"/>
    <x v="1"/>
    <s v="Card"/>
    <n v="2.7"/>
    <x v="8"/>
    <n v="7.3304"/>
    <n v="6"/>
    <x v="0"/>
  </r>
  <r>
    <n v="3904"/>
    <n v="41"/>
    <x v="0"/>
    <x v="1"/>
    <x v="5"/>
    <s v="Mobile Phone"/>
    <n v="2137.8000000000002"/>
    <x v="2"/>
    <s v="Card"/>
    <n v="2.9"/>
    <x v="2"/>
    <n v="1902.6420000000003"/>
    <n v="3"/>
    <x v="1"/>
  </r>
  <r>
    <n v="3905"/>
    <n v="24"/>
    <x v="2"/>
    <x v="1"/>
    <x v="5"/>
    <s v="Laptop"/>
    <n v="1012.48"/>
    <x v="2"/>
    <s v="Card"/>
    <n v="5"/>
    <x v="8"/>
    <n v="890.98239999999998"/>
    <n v="6"/>
    <x v="0"/>
  </r>
  <r>
    <n v="3906"/>
    <n v="23"/>
    <x v="2"/>
    <x v="1"/>
    <x v="7"/>
    <s v="Formal Shoes"/>
    <n v="159.02000000000001"/>
    <x v="1"/>
    <s v="Card"/>
    <n v="3.4"/>
    <x v="16"/>
    <n v="149.47880000000001"/>
    <n v="3"/>
    <x v="1"/>
  </r>
  <r>
    <n v="3907"/>
    <n v="70"/>
    <x v="1"/>
    <x v="0"/>
    <x v="6"/>
    <s v="Perfume"/>
    <n v="65.099999999999994"/>
    <x v="2"/>
    <s v="Cash on Delivery"/>
    <n v="3.5"/>
    <x v="2"/>
    <n v="57.938999999999993"/>
    <n v="3"/>
    <x v="1"/>
  </r>
  <r>
    <n v="3908"/>
    <n v="45"/>
    <x v="0"/>
    <x v="1"/>
    <x v="5"/>
    <s v="Headphones"/>
    <n v="1162.1500000000001"/>
    <x v="1"/>
    <s v="Card"/>
    <n v="3.9"/>
    <x v="13"/>
    <n v="1057.5565000000001"/>
    <n v="2"/>
    <x v="1"/>
  </r>
  <r>
    <n v="3909"/>
    <n v="51"/>
    <x v="0"/>
    <x v="1"/>
    <x v="7"/>
    <s v="Formal Shoes"/>
    <n v="226.35"/>
    <x v="3"/>
    <s v="Card"/>
    <n v="4.2"/>
    <x v="3"/>
    <n v="181.08"/>
    <n v="10"/>
    <x v="2"/>
  </r>
  <r>
    <n v="3910"/>
    <n v="38"/>
    <x v="0"/>
    <x v="1"/>
    <x v="5"/>
    <s v="Laptop"/>
    <n v="1523"/>
    <x v="3"/>
    <s v="Card"/>
    <n v="5"/>
    <x v="20"/>
    <n v="1035.6399999999999"/>
    <n v="11"/>
    <x v="2"/>
  </r>
  <r>
    <n v="3911"/>
    <n v="59"/>
    <x v="0"/>
    <x v="1"/>
    <x v="3"/>
    <s v="Kitchen Set"/>
    <n v="152.75"/>
    <x v="0"/>
    <s v="Card"/>
    <n v="3.6"/>
    <x v="25"/>
    <n v="106.925"/>
    <n v="10"/>
    <x v="2"/>
  </r>
  <r>
    <n v="3912"/>
    <n v="42"/>
    <x v="0"/>
    <x v="1"/>
    <x v="2"/>
    <s v="Yoga Mat"/>
    <n v="243.12"/>
    <x v="0"/>
    <s v="Card"/>
    <n v="5"/>
    <x v="4"/>
    <n v="209.08320000000001"/>
    <n v="7"/>
    <x v="0"/>
  </r>
  <r>
    <n v="3913"/>
    <n v="64"/>
    <x v="1"/>
    <x v="1"/>
    <x v="4"/>
    <s v="Snacks"/>
    <n v="11.97"/>
    <x v="3"/>
    <s v="Card"/>
    <n v="4"/>
    <x v="13"/>
    <n v="10.892700000000001"/>
    <n v="2"/>
    <x v="1"/>
  </r>
  <r>
    <n v="3914"/>
    <n v="23"/>
    <x v="2"/>
    <x v="1"/>
    <x v="7"/>
    <s v="Sandals"/>
    <n v="75.64"/>
    <x v="0"/>
    <s v="Card"/>
    <n v="2.8"/>
    <x v="10"/>
    <n v="58.999200000000002"/>
    <n v="6"/>
    <x v="0"/>
  </r>
  <r>
    <n v="3915"/>
    <n v="31"/>
    <x v="0"/>
    <x v="1"/>
    <x v="2"/>
    <s v="Football"/>
    <n v="107.78"/>
    <x v="0"/>
    <s v="Card"/>
    <n v="3.5"/>
    <x v="19"/>
    <n v="91.613"/>
    <n v="5"/>
    <x v="0"/>
  </r>
  <r>
    <n v="3916"/>
    <n v="64"/>
    <x v="1"/>
    <x v="1"/>
    <x v="2"/>
    <s v="Football"/>
    <n v="170.99"/>
    <x v="3"/>
    <s v="Card"/>
    <n v="3.7"/>
    <x v="4"/>
    <n v="147.0514"/>
    <n v="7"/>
    <x v="0"/>
  </r>
  <r>
    <n v="3917"/>
    <n v="61"/>
    <x v="1"/>
    <x v="0"/>
    <x v="0"/>
    <s v="Wallet"/>
    <n v="171.53"/>
    <x v="3"/>
    <s v="Card"/>
    <n v="3.5"/>
    <x v="6"/>
    <n v="144.08519999999999"/>
    <n v="3"/>
    <x v="1"/>
  </r>
  <r>
    <n v="3918"/>
    <n v="27"/>
    <x v="2"/>
    <x v="0"/>
    <x v="6"/>
    <s v="Skincare Kit"/>
    <n v="76.489999999999995"/>
    <x v="1"/>
    <s v="Card"/>
    <n v="4.3"/>
    <x v="13"/>
    <n v="69.605899999999991"/>
    <n v="2"/>
    <x v="1"/>
  </r>
  <r>
    <n v="3919"/>
    <n v="22"/>
    <x v="2"/>
    <x v="0"/>
    <x v="8"/>
    <s v="Jeans"/>
    <n v="180.68"/>
    <x v="2"/>
    <s v="Card"/>
    <n v="4.5"/>
    <x v="21"/>
    <n v="142.7372"/>
    <n v="8"/>
    <x v="2"/>
  </r>
  <r>
    <n v="3920"/>
    <n v="69"/>
    <x v="1"/>
    <x v="1"/>
    <x v="2"/>
    <s v="Dumbbells"/>
    <n v="51.3"/>
    <x v="0"/>
    <s v="Cash on Delivery"/>
    <n v="2.5"/>
    <x v="13"/>
    <n v="46.683"/>
    <n v="2"/>
    <x v="1"/>
  </r>
  <r>
    <n v="3921"/>
    <n v="66"/>
    <x v="1"/>
    <x v="1"/>
    <x v="1"/>
    <s v="Jeans"/>
    <n v="40.06"/>
    <x v="3"/>
    <s v="Cash on Delivery"/>
    <n v="3.1"/>
    <x v="3"/>
    <n v="32.048000000000002"/>
    <n v="5"/>
    <x v="0"/>
  </r>
  <r>
    <n v="3922"/>
    <n v="39"/>
    <x v="0"/>
    <x v="1"/>
    <x v="2"/>
    <s v="Dumbbells"/>
    <n v="149.28"/>
    <x v="2"/>
    <s v="Card"/>
    <n v="2.9"/>
    <x v="19"/>
    <n v="126.88799999999999"/>
    <n v="5"/>
    <x v="0"/>
  </r>
  <r>
    <n v="3923"/>
    <n v="22"/>
    <x v="2"/>
    <x v="1"/>
    <x v="7"/>
    <s v="Sandals"/>
    <n v="168.49"/>
    <x v="1"/>
    <s v="Card"/>
    <n v="4.9000000000000004"/>
    <x v="12"/>
    <n v="136.47690000000003"/>
    <n v="7"/>
    <x v="0"/>
  </r>
  <r>
    <n v="3924"/>
    <n v="53"/>
    <x v="0"/>
    <x v="0"/>
    <x v="7"/>
    <s v="Sandals"/>
    <n v="141.58000000000001"/>
    <x v="1"/>
    <s v="Card"/>
    <n v="1.7"/>
    <x v="7"/>
    <n v="127.42200000000001"/>
    <n v="5"/>
    <x v="0"/>
  </r>
  <r>
    <n v="3925"/>
    <n v="50"/>
    <x v="0"/>
    <x v="0"/>
    <x v="7"/>
    <s v="Sandals"/>
    <n v="227.28"/>
    <x v="1"/>
    <s v="Card"/>
    <n v="3.8"/>
    <x v="6"/>
    <n v="190.9152"/>
    <n v="3"/>
    <x v="1"/>
  </r>
  <r>
    <n v="3926"/>
    <n v="45"/>
    <x v="0"/>
    <x v="1"/>
    <x v="1"/>
    <s v="Shirt"/>
    <n v="49.65"/>
    <x v="3"/>
    <s v="Card"/>
    <n v="4.9000000000000004"/>
    <x v="11"/>
    <n v="36.741"/>
    <n v="8"/>
    <x v="2"/>
  </r>
  <r>
    <n v="3927"/>
    <n v="54"/>
    <x v="0"/>
    <x v="1"/>
    <x v="1"/>
    <s v="Jacket"/>
    <n v="48.95"/>
    <x v="2"/>
    <s v="Card"/>
    <n v="2.6"/>
    <x v="1"/>
    <n v="42.586500000000001"/>
    <n v="4"/>
    <x v="0"/>
  </r>
  <r>
    <n v="3928"/>
    <n v="38"/>
    <x v="0"/>
    <x v="0"/>
    <x v="3"/>
    <s v="Lamp"/>
    <n v="289.17"/>
    <x v="2"/>
    <s v="Card"/>
    <n v="3.9"/>
    <x v="16"/>
    <n v="271.81979999999999"/>
    <n v="3"/>
    <x v="1"/>
  </r>
  <r>
    <n v="3929"/>
    <n v="45"/>
    <x v="0"/>
    <x v="0"/>
    <x v="0"/>
    <s v="Wallet"/>
    <n v="51.88"/>
    <x v="2"/>
    <s v="Card"/>
    <n v="4.5999999999999996"/>
    <x v="5"/>
    <n v="47.729600000000005"/>
    <n v="4"/>
    <x v="0"/>
  </r>
  <r>
    <n v="3930"/>
    <n v="36"/>
    <x v="0"/>
    <x v="0"/>
    <x v="8"/>
    <s v="Top"/>
    <n v="70.98"/>
    <x v="2"/>
    <s v="Cash on Delivery"/>
    <n v="3.4"/>
    <x v="16"/>
    <n v="66.721199999999996"/>
    <n v="3"/>
    <x v="1"/>
  </r>
  <r>
    <n v="3931"/>
    <n v="34"/>
    <x v="0"/>
    <x v="1"/>
    <x v="1"/>
    <s v="T-Shirt"/>
    <n v="63.17"/>
    <x v="3"/>
    <s v="Card"/>
    <n v="3.6"/>
    <x v="3"/>
    <n v="50.536000000000001"/>
    <n v="10"/>
    <x v="2"/>
  </r>
  <r>
    <n v="3932"/>
    <n v="69"/>
    <x v="1"/>
    <x v="1"/>
    <x v="2"/>
    <s v="Yoga Mat"/>
    <n v="235.79"/>
    <x v="2"/>
    <s v="Card"/>
    <n v="3.7"/>
    <x v="2"/>
    <n v="209.85309999999998"/>
    <n v="3"/>
    <x v="1"/>
  </r>
  <r>
    <n v="3933"/>
    <n v="25"/>
    <x v="2"/>
    <x v="1"/>
    <x v="2"/>
    <s v="Dumbbells"/>
    <n v="156.57"/>
    <x v="2"/>
    <s v="Card"/>
    <n v="3.5"/>
    <x v="14"/>
    <n v="129.95309999999998"/>
    <n v="6"/>
    <x v="0"/>
  </r>
  <r>
    <n v="3934"/>
    <n v="70"/>
    <x v="1"/>
    <x v="0"/>
    <x v="4"/>
    <s v="Snacks"/>
    <n v="58.72"/>
    <x v="1"/>
    <s v="Card"/>
    <n v="4.5"/>
    <x v="11"/>
    <n v="43.452799999999996"/>
    <n v="8"/>
    <x v="2"/>
  </r>
  <r>
    <n v="3935"/>
    <n v="26"/>
    <x v="2"/>
    <x v="1"/>
    <x v="1"/>
    <s v="Jeans"/>
    <n v="148.72999999999999"/>
    <x v="2"/>
    <s v="Card"/>
    <n v="3.5"/>
    <x v="3"/>
    <n v="118.98399999999999"/>
    <n v="5"/>
    <x v="0"/>
  </r>
  <r>
    <n v="3936"/>
    <n v="41"/>
    <x v="0"/>
    <x v="1"/>
    <x v="5"/>
    <s v="Headphones"/>
    <n v="560.16"/>
    <x v="0"/>
    <s v="Card"/>
    <n v="3.4"/>
    <x v="5"/>
    <n v="515.34720000000004"/>
    <n v="4"/>
    <x v="0"/>
  </r>
  <r>
    <n v="3937"/>
    <n v="70"/>
    <x v="1"/>
    <x v="0"/>
    <x v="6"/>
    <s v="Makeup Set"/>
    <n v="57.57"/>
    <x v="1"/>
    <s v="Card"/>
    <n v="4.2"/>
    <x v="24"/>
    <n v="41.450400000000002"/>
    <n v="9"/>
    <x v="2"/>
  </r>
  <r>
    <n v="3938"/>
    <n v="67"/>
    <x v="1"/>
    <x v="1"/>
    <x v="2"/>
    <s v="Football"/>
    <n v="177.81"/>
    <x v="3"/>
    <s v="Card"/>
    <n v="4.4000000000000004"/>
    <x v="18"/>
    <n v="135.13560000000001"/>
    <n v="7"/>
    <x v="0"/>
  </r>
  <r>
    <n v="3939"/>
    <n v="51"/>
    <x v="0"/>
    <x v="0"/>
    <x v="2"/>
    <s v="Football"/>
    <n v="184.15"/>
    <x v="0"/>
    <s v="Card"/>
    <n v="4.5"/>
    <x v="12"/>
    <n v="149.16150000000002"/>
    <n v="7"/>
    <x v="0"/>
  </r>
  <r>
    <n v="3940"/>
    <n v="57"/>
    <x v="0"/>
    <x v="0"/>
    <x v="6"/>
    <s v="Makeup Set"/>
    <n v="113.42"/>
    <x v="2"/>
    <s v="Card"/>
    <n v="5"/>
    <x v="18"/>
    <n v="86.199200000000005"/>
    <n v="7"/>
    <x v="0"/>
  </r>
  <r>
    <n v="3941"/>
    <n v="43"/>
    <x v="0"/>
    <x v="1"/>
    <x v="1"/>
    <s v="Shirt"/>
    <n v="73.540000000000006"/>
    <x v="0"/>
    <s v="Cash on Delivery"/>
    <n v="2.4"/>
    <x v="2"/>
    <n v="65.450600000000009"/>
    <n v="3"/>
    <x v="1"/>
  </r>
  <r>
    <n v="3942"/>
    <n v="63"/>
    <x v="1"/>
    <x v="0"/>
    <x v="0"/>
    <s v="Handbag"/>
    <n v="83.01"/>
    <x v="3"/>
    <s v="Card"/>
    <n v="2.9"/>
    <x v="3"/>
    <n v="66.408000000000001"/>
    <n v="5"/>
    <x v="0"/>
  </r>
  <r>
    <n v="3943"/>
    <n v="42"/>
    <x v="0"/>
    <x v="0"/>
    <x v="0"/>
    <s v="Wallet"/>
    <n v="136.71"/>
    <x v="2"/>
    <s v="Card"/>
    <n v="2.2999999999999998"/>
    <x v="6"/>
    <n v="114.8364"/>
    <n v="3"/>
    <x v="1"/>
  </r>
  <r>
    <n v="3944"/>
    <n v="46"/>
    <x v="0"/>
    <x v="1"/>
    <x v="5"/>
    <s v="Smart Watch"/>
    <n v="1464.71"/>
    <x v="0"/>
    <s v="Card"/>
    <n v="2.2999999999999998"/>
    <x v="8"/>
    <n v="1288.9448"/>
    <n v="6"/>
    <x v="0"/>
  </r>
  <r>
    <n v="3945"/>
    <n v="69"/>
    <x v="1"/>
    <x v="1"/>
    <x v="1"/>
    <s v="Jacket"/>
    <n v="173.52"/>
    <x v="3"/>
    <s v="Card"/>
    <n v="3.2"/>
    <x v="7"/>
    <n v="156.16800000000001"/>
    <n v="5"/>
    <x v="0"/>
  </r>
  <r>
    <n v="3946"/>
    <n v="49"/>
    <x v="0"/>
    <x v="1"/>
    <x v="5"/>
    <s v="Headphones"/>
    <n v="1875.63"/>
    <x v="2"/>
    <s v="Card"/>
    <n v="3.5"/>
    <x v="0"/>
    <n v="1538.0166000000002"/>
    <n v="4"/>
    <x v="0"/>
  </r>
  <r>
    <n v="3947"/>
    <n v="36"/>
    <x v="0"/>
    <x v="0"/>
    <x v="6"/>
    <s v="Skincare Kit"/>
    <n v="149.27000000000001"/>
    <x v="2"/>
    <s v="Card"/>
    <n v="3.2"/>
    <x v="16"/>
    <n v="140.31380000000001"/>
    <n v="3"/>
    <x v="1"/>
  </r>
  <r>
    <n v="3948"/>
    <n v="37"/>
    <x v="0"/>
    <x v="0"/>
    <x v="7"/>
    <s v="Sandals"/>
    <n v="116.16"/>
    <x v="0"/>
    <s v="Card"/>
    <n v="4.7"/>
    <x v="3"/>
    <n v="92.927999999999997"/>
    <n v="5"/>
    <x v="0"/>
  </r>
  <r>
    <n v="3949"/>
    <n v="21"/>
    <x v="2"/>
    <x v="0"/>
    <x v="0"/>
    <s v="Handbag"/>
    <n v="159.82"/>
    <x v="0"/>
    <s v="Card"/>
    <n v="3.9"/>
    <x v="17"/>
    <n v="153.4272"/>
    <n v="2"/>
    <x v="1"/>
  </r>
  <r>
    <n v="3950"/>
    <n v="70"/>
    <x v="1"/>
    <x v="0"/>
    <x v="8"/>
    <s v="Top"/>
    <n v="53.66"/>
    <x v="3"/>
    <s v="Cash on Delivery"/>
    <n v="2.6"/>
    <x v="3"/>
    <n v="42.927999999999997"/>
    <n v="5"/>
    <x v="0"/>
  </r>
  <r>
    <n v="3951"/>
    <n v="40"/>
    <x v="0"/>
    <x v="0"/>
    <x v="8"/>
    <s v="Skirt"/>
    <n v="180.23"/>
    <x v="1"/>
    <s v="Card"/>
    <n v="3.8"/>
    <x v="1"/>
    <n v="156.80009999999999"/>
    <n v="4"/>
    <x v="0"/>
  </r>
  <r>
    <n v="3952"/>
    <n v="65"/>
    <x v="1"/>
    <x v="1"/>
    <x v="2"/>
    <s v="Dumbbells"/>
    <n v="177.72"/>
    <x v="2"/>
    <s v="Card"/>
    <n v="3.6"/>
    <x v="21"/>
    <n v="140.39879999999999"/>
    <n v="8"/>
    <x v="2"/>
  </r>
  <r>
    <n v="3953"/>
    <n v="65"/>
    <x v="1"/>
    <x v="1"/>
    <x v="5"/>
    <s v="Smart Watch"/>
    <n v="2849.33"/>
    <x v="1"/>
    <s v="Card"/>
    <n v="4.5999999999999996"/>
    <x v="0"/>
    <n v="2336.4506000000001"/>
    <n v="4"/>
    <x v="0"/>
  </r>
  <r>
    <n v="3954"/>
    <n v="34"/>
    <x v="0"/>
    <x v="1"/>
    <x v="4"/>
    <s v="Beverages"/>
    <n v="5.92"/>
    <x v="1"/>
    <s v="Card"/>
    <n v="4.2"/>
    <x v="19"/>
    <n v="5.032"/>
    <n v="5"/>
    <x v="0"/>
  </r>
  <r>
    <n v="3955"/>
    <n v="37"/>
    <x v="0"/>
    <x v="1"/>
    <x v="2"/>
    <s v="Football"/>
    <n v="120"/>
    <x v="1"/>
    <s v="Card"/>
    <n v="2.8"/>
    <x v="19"/>
    <n v="102"/>
    <n v="5"/>
    <x v="0"/>
  </r>
  <r>
    <n v="3956"/>
    <n v="35"/>
    <x v="0"/>
    <x v="1"/>
    <x v="7"/>
    <s v="Formal Shoes"/>
    <n v="151.72999999999999"/>
    <x v="3"/>
    <s v="Card"/>
    <n v="3.3"/>
    <x v="5"/>
    <n v="139.5916"/>
    <n v="4"/>
    <x v="0"/>
  </r>
  <r>
    <n v="3957"/>
    <n v="66"/>
    <x v="1"/>
    <x v="1"/>
    <x v="1"/>
    <s v="T-Shirt"/>
    <n v="188.31"/>
    <x v="2"/>
    <s v="Card"/>
    <n v="5"/>
    <x v="16"/>
    <n v="177.01139999999998"/>
    <n v="3"/>
    <x v="1"/>
  </r>
  <r>
    <n v="3958"/>
    <n v="63"/>
    <x v="1"/>
    <x v="0"/>
    <x v="3"/>
    <s v="Kitchen Set"/>
    <n v="96.14"/>
    <x v="1"/>
    <s v="Cash on Delivery"/>
    <n v="4.9000000000000004"/>
    <x v="18"/>
    <n v="73.066400000000002"/>
    <n v="7"/>
    <x v="0"/>
  </r>
  <r>
    <n v="3959"/>
    <n v="68"/>
    <x v="1"/>
    <x v="0"/>
    <x v="2"/>
    <s v="Dumbbells"/>
    <n v="57.13"/>
    <x v="0"/>
    <s v="Cash on Delivery"/>
    <n v="3.9"/>
    <x v="0"/>
    <n v="46.846600000000002"/>
    <n v="9"/>
    <x v="2"/>
  </r>
  <r>
    <n v="3960"/>
    <n v="58"/>
    <x v="0"/>
    <x v="1"/>
    <x v="3"/>
    <s v="Kitchen Set"/>
    <n v="53.9"/>
    <x v="2"/>
    <s v="Cash on Delivery"/>
    <n v="4.4000000000000004"/>
    <x v="18"/>
    <n v="40.963999999999999"/>
    <n v="7"/>
    <x v="0"/>
  </r>
  <r>
    <n v="3961"/>
    <n v="48"/>
    <x v="0"/>
    <x v="0"/>
    <x v="8"/>
    <s v="Dress"/>
    <n v="108.03"/>
    <x v="1"/>
    <s v="Card"/>
    <n v="2.9"/>
    <x v="1"/>
    <n v="93.986100000000008"/>
    <n v="4"/>
    <x v="0"/>
  </r>
  <r>
    <n v="3962"/>
    <n v="33"/>
    <x v="0"/>
    <x v="0"/>
    <x v="0"/>
    <s v="Handbag"/>
    <n v="37.950000000000003"/>
    <x v="2"/>
    <s v="Cash on Delivery"/>
    <n v="4.5"/>
    <x v="4"/>
    <n v="32.637"/>
    <n v="7"/>
    <x v="0"/>
  </r>
  <r>
    <n v="3963"/>
    <n v="61"/>
    <x v="1"/>
    <x v="1"/>
    <x v="2"/>
    <s v="Dumbbells"/>
    <n v="105.24"/>
    <x v="3"/>
    <s v="Card"/>
    <n v="4.5999999999999996"/>
    <x v="8"/>
    <n v="92.611199999999997"/>
    <n v="6"/>
    <x v="0"/>
  </r>
  <r>
    <n v="3964"/>
    <n v="39"/>
    <x v="0"/>
    <x v="1"/>
    <x v="5"/>
    <s v="Laptop"/>
    <n v="1041.0999999999999"/>
    <x v="2"/>
    <s v="Card"/>
    <n v="3.4"/>
    <x v="12"/>
    <n v="843.29099999999994"/>
    <n v="7"/>
    <x v="0"/>
  </r>
  <r>
    <n v="3965"/>
    <n v="41"/>
    <x v="0"/>
    <x v="1"/>
    <x v="2"/>
    <s v="Dumbbells"/>
    <n v="171.63"/>
    <x v="2"/>
    <s v="Card"/>
    <n v="4.4000000000000004"/>
    <x v="6"/>
    <n v="144.16919999999999"/>
    <n v="3"/>
    <x v="1"/>
  </r>
  <r>
    <n v="3966"/>
    <n v="60"/>
    <x v="0"/>
    <x v="0"/>
    <x v="7"/>
    <s v="Sneakers"/>
    <n v="234.84"/>
    <x v="3"/>
    <s v="Card"/>
    <n v="5"/>
    <x v="28"/>
    <n v="166.7364"/>
    <n v="12"/>
    <x v="2"/>
  </r>
  <r>
    <n v="3967"/>
    <n v="38"/>
    <x v="0"/>
    <x v="0"/>
    <x v="7"/>
    <s v="Sandals"/>
    <n v="68.16"/>
    <x v="2"/>
    <s v="Card"/>
    <n v="4.3"/>
    <x v="10"/>
    <n v="53.1648"/>
    <n v="6"/>
    <x v="0"/>
  </r>
  <r>
    <n v="3968"/>
    <n v="21"/>
    <x v="2"/>
    <x v="1"/>
    <x v="7"/>
    <s v="Formal Shoes"/>
    <n v="245.4"/>
    <x v="2"/>
    <s v="Card"/>
    <n v="3.9"/>
    <x v="17"/>
    <n v="235.584"/>
    <n v="2"/>
    <x v="1"/>
  </r>
  <r>
    <n v="3969"/>
    <n v="56"/>
    <x v="0"/>
    <x v="0"/>
    <x v="6"/>
    <s v="Perfume"/>
    <n v="79.16"/>
    <x v="2"/>
    <s v="Cash on Delivery"/>
    <n v="3"/>
    <x v="13"/>
    <n v="72.035600000000002"/>
    <n v="2"/>
    <x v="1"/>
  </r>
  <r>
    <n v="3970"/>
    <n v="51"/>
    <x v="0"/>
    <x v="0"/>
    <x v="7"/>
    <s v="Sandals"/>
    <n v="88.4"/>
    <x v="0"/>
    <s v="Cash on Delivery"/>
    <n v="4"/>
    <x v="16"/>
    <n v="83.096000000000004"/>
    <n v="3"/>
    <x v="1"/>
  </r>
  <r>
    <n v="3971"/>
    <n v="27"/>
    <x v="2"/>
    <x v="0"/>
    <x v="3"/>
    <s v="Curtains"/>
    <n v="271.83999999999997"/>
    <x v="1"/>
    <s v="Card"/>
    <n v="3.5"/>
    <x v="8"/>
    <n v="239.21919999999997"/>
    <n v="6"/>
    <x v="0"/>
  </r>
  <r>
    <n v="3972"/>
    <n v="68"/>
    <x v="1"/>
    <x v="0"/>
    <x v="0"/>
    <s v="Handbag"/>
    <n v="119.54"/>
    <x v="2"/>
    <s v="Card"/>
    <n v="3.8"/>
    <x v="17"/>
    <n v="114.75840000000001"/>
    <n v="2"/>
    <x v="1"/>
  </r>
  <r>
    <n v="3973"/>
    <n v="20"/>
    <x v="2"/>
    <x v="1"/>
    <x v="7"/>
    <s v="Sneakers"/>
    <n v="99.98"/>
    <x v="0"/>
    <s v="Cash on Delivery"/>
    <n v="4.3"/>
    <x v="17"/>
    <n v="95.980800000000002"/>
    <n v="2"/>
    <x v="1"/>
  </r>
  <r>
    <n v="3974"/>
    <n v="51"/>
    <x v="0"/>
    <x v="0"/>
    <x v="6"/>
    <s v="Perfume"/>
    <n v="98.45"/>
    <x v="2"/>
    <s v="Cash on Delivery"/>
    <n v="4"/>
    <x v="3"/>
    <n v="78.760000000000005"/>
    <n v="5"/>
    <x v="0"/>
  </r>
  <r>
    <n v="3975"/>
    <n v="52"/>
    <x v="0"/>
    <x v="1"/>
    <x v="7"/>
    <s v="Formal Shoes"/>
    <n v="152.72"/>
    <x v="0"/>
    <s v="Card"/>
    <n v="3.6"/>
    <x v="12"/>
    <n v="123.70320000000001"/>
    <n v="7"/>
    <x v="0"/>
  </r>
  <r>
    <n v="3976"/>
    <n v="36"/>
    <x v="0"/>
    <x v="1"/>
    <x v="7"/>
    <s v="Sandals"/>
    <n v="149.22999999999999"/>
    <x v="2"/>
    <s v="Card"/>
    <n v="4.2"/>
    <x v="1"/>
    <n v="129.83009999999999"/>
    <n v="4"/>
    <x v="0"/>
  </r>
  <r>
    <n v="3977"/>
    <n v="57"/>
    <x v="0"/>
    <x v="0"/>
    <x v="7"/>
    <s v="Formal Shoes"/>
    <n v="222.63"/>
    <x v="0"/>
    <s v="Card"/>
    <n v="3.9"/>
    <x v="4"/>
    <n v="191.46179999999998"/>
    <n v="2"/>
    <x v="1"/>
  </r>
  <r>
    <n v="3978"/>
    <n v="60"/>
    <x v="0"/>
    <x v="0"/>
    <x v="7"/>
    <s v="Sneakers"/>
    <n v="180.72"/>
    <x v="3"/>
    <s v="Card"/>
    <n v="3.7"/>
    <x v="17"/>
    <n v="173.49119999999999"/>
    <n v="2"/>
    <x v="1"/>
  </r>
  <r>
    <n v="3979"/>
    <n v="61"/>
    <x v="1"/>
    <x v="1"/>
    <x v="7"/>
    <s v="Sandals"/>
    <n v="223.63"/>
    <x v="1"/>
    <s v="Card"/>
    <n v="2.4"/>
    <x v="7"/>
    <n v="201.267"/>
    <n v="5"/>
    <x v="0"/>
  </r>
  <r>
    <n v="3980"/>
    <n v="43"/>
    <x v="0"/>
    <x v="1"/>
    <x v="5"/>
    <s v="Mobile Phone"/>
    <n v="2843.54"/>
    <x v="0"/>
    <s v="Card"/>
    <n v="4.7"/>
    <x v="8"/>
    <n v="2502.3152"/>
    <n v="6"/>
    <x v="0"/>
  </r>
  <r>
    <n v="3981"/>
    <n v="21"/>
    <x v="2"/>
    <x v="1"/>
    <x v="2"/>
    <s v="Football"/>
    <n v="84.88"/>
    <x v="0"/>
    <s v="Cash on Delivery"/>
    <n v="3.5"/>
    <x v="8"/>
    <n v="74.694400000000002"/>
    <n v="6"/>
    <x v="0"/>
  </r>
  <r>
    <n v="3982"/>
    <n v="31"/>
    <x v="0"/>
    <x v="1"/>
    <x v="5"/>
    <s v="Mobile Phone"/>
    <n v="2371.4899999999998"/>
    <x v="2"/>
    <s v="Card"/>
    <n v="4.5"/>
    <x v="5"/>
    <n v="2181.7707999999998"/>
    <n v="4"/>
    <x v="0"/>
  </r>
  <r>
    <n v="3983"/>
    <n v="62"/>
    <x v="1"/>
    <x v="1"/>
    <x v="2"/>
    <s v="Dumbbells"/>
    <n v="150.02000000000001"/>
    <x v="0"/>
    <s v="Card"/>
    <n v="3.8"/>
    <x v="3"/>
    <n v="120.01600000000002"/>
    <n v="10"/>
    <x v="2"/>
  </r>
  <r>
    <n v="3984"/>
    <n v="63"/>
    <x v="1"/>
    <x v="1"/>
    <x v="1"/>
    <s v="Jeans"/>
    <n v="136.77000000000001"/>
    <x v="2"/>
    <s v="Card"/>
    <n v="4.5"/>
    <x v="4"/>
    <n v="117.62220000000001"/>
    <n v="2"/>
    <x v="1"/>
  </r>
  <r>
    <n v="3985"/>
    <n v="66"/>
    <x v="1"/>
    <x v="1"/>
    <x v="5"/>
    <s v="Smart Watch"/>
    <n v="2709.03"/>
    <x v="3"/>
    <s v="Card"/>
    <n v="2"/>
    <x v="3"/>
    <n v="2167.2240000000002"/>
    <n v="10"/>
    <x v="2"/>
  </r>
  <r>
    <n v="3986"/>
    <n v="31"/>
    <x v="0"/>
    <x v="0"/>
    <x v="8"/>
    <s v="Skirt"/>
    <n v="147.94999999999999"/>
    <x v="1"/>
    <s v="Card"/>
    <n v="3.5"/>
    <x v="14"/>
    <n v="122.79849999999999"/>
    <n v="6"/>
    <x v="0"/>
  </r>
  <r>
    <n v="3987"/>
    <n v="42"/>
    <x v="0"/>
    <x v="1"/>
    <x v="2"/>
    <s v="Football"/>
    <n v="114.5"/>
    <x v="1"/>
    <s v="Card"/>
    <n v="2.8"/>
    <x v="4"/>
    <n v="98.47"/>
    <n v="2"/>
    <x v="1"/>
  </r>
  <r>
    <n v="3988"/>
    <n v="34"/>
    <x v="0"/>
    <x v="1"/>
    <x v="2"/>
    <s v="Dumbbells"/>
    <n v="238.61"/>
    <x v="3"/>
    <s v="Card"/>
    <n v="3.9"/>
    <x v="2"/>
    <n v="212.36290000000002"/>
    <n v="3"/>
    <x v="1"/>
  </r>
  <r>
    <n v="3989"/>
    <n v="61"/>
    <x v="1"/>
    <x v="1"/>
    <x v="5"/>
    <s v="Mobile Phone"/>
    <n v="2513.3200000000002"/>
    <x v="2"/>
    <s v="Card"/>
    <n v="3.6"/>
    <x v="16"/>
    <n v="2362.5208000000002"/>
    <n v="3"/>
    <x v="1"/>
  </r>
  <r>
    <n v="3990"/>
    <n v="47"/>
    <x v="0"/>
    <x v="1"/>
    <x v="2"/>
    <s v="Yoga Mat"/>
    <n v="221.85"/>
    <x v="1"/>
    <s v="Card"/>
    <n v="4.4000000000000004"/>
    <x v="6"/>
    <n v="186.35399999999998"/>
    <n v="3"/>
    <x v="1"/>
  </r>
  <r>
    <n v="3991"/>
    <n v="39"/>
    <x v="0"/>
    <x v="1"/>
    <x v="7"/>
    <s v="Sneakers"/>
    <n v="217.91"/>
    <x v="1"/>
    <s v="Card"/>
    <n v="3"/>
    <x v="3"/>
    <n v="174.328"/>
    <n v="5"/>
    <x v="0"/>
  </r>
  <r>
    <n v="3992"/>
    <n v="29"/>
    <x v="2"/>
    <x v="1"/>
    <x v="7"/>
    <s v="Sneakers"/>
    <n v="88.9"/>
    <x v="3"/>
    <s v="Cash on Delivery"/>
    <n v="2.8"/>
    <x v="19"/>
    <n v="75.564999999999998"/>
    <n v="5"/>
    <x v="0"/>
  </r>
  <r>
    <n v="3993"/>
    <n v="49"/>
    <x v="0"/>
    <x v="0"/>
    <x v="3"/>
    <s v="Curtains"/>
    <n v="248.98"/>
    <x v="1"/>
    <s v="Card"/>
    <n v="3.8"/>
    <x v="22"/>
    <n v="191.71459999999999"/>
    <n v="9"/>
    <x v="2"/>
  </r>
  <r>
    <n v="3994"/>
    <n v="28"/>
    <x v="2"/>
    <x v="0"/>
    <x v="3"/>
    <s v="Curtains"/>
    <n v="225.31"/>
    <x v="2"/>
    <s v="Card"/>
    <n v="3.9"/>
    <x v="7"/>
    <n v="202.779"/>
    <n v="5"/>
    <x v="0"/>
  </r>
  <r>
    <n v="3995"/>
    <n v="23"/>
    <x v="2"/>
    <x v="0"/>
    <x v="0"/>
    <s v="Handbag"/>
    <n v="163.88"/>
    <x v="1"/>
    <s v="Card"/>
    <n v="4.7"/>
    <x v="8"/>
    <n v="144.21439999999998"/>
    <n v="6"/>
    <x v="0"/>
  </r>
  <r>
    <n v="3996"/>
    <n v="28"/>
    <x v="2"/>
    <x v="0"/>
    <x v="0"/>
    <s v="Handbag"/>
    <n v="139.87"/>
    <x v="3"/>
    <s v="Card"/>
    <n v="4.8"/>
    <x v="19"/>
    <n v="118.8895"/>
    <n v="5"/>
    <x v="0"/>
  </r>
  <r>
    <n v="3997"/>
    <n v="67"/>
    <x v="1"/>
    <x v="0"/>
    <x v="0"/>
    <s v="Handbag"/>
    <n v="133.21"/>
    <x v="3"/>
    <s v="Card"/>
    <n v="4.5999999999999996"/>
    <x v="8"/>
    <n v="117.2248"/>
    <n v="6"/>
    <x v="0"/>
  </r>
  <r>
    <n v="3998"/>
    <n v="63"/>
    <x v="1"/>
    <x v="0"/>
    <x v="0"/>
    <s v="Handbag"/>
    <n v="138.94"/>
    <x v="3"/>
    <s v="Card"/>
    <n v="3.8"/>
    <x v="0"/>
    <n v="113.9308"/>
    <n v="9"/>
    <x v="2"/>
  </r>
  <r>
    <n v="3999"/>
    <n v="38"/>
    <x v="0"/>
    <x v="0"/>
    <x v="2"/>
    <s v="Dumbbells"/>
    <n v="52.35"/>
    <x v="1"/>
    <s v="Card"/>
    <n v="4.0999999999999996"/>
    <x v="21"/>
    <n v="41.356500000000004"/>
    <n v="8"/>
    <x v="2"/>
  </r>
  <r>
    <n v="4000"/>
    <n v="41"/>
    <x v="0"/>
    <x v="1"/>
    <x v="1"/>
    <s v="Jeans"/>
    <n v="36.25"/>
    <x v="0"/>
    <s v="Cash on Delivery"/>
    <n v="4.5999999999999996"/>
    <x v="0"/>
    <n v="29.725000000000001"/>
    <n v="4"/>
    <x v="0"/>
  </r>
  <r>
    <n v="4001"/>
    <n v="50"/>
    <x v="0"/>
    <x v="1"/>
    <x v="1"/>
    <s v="T-Shirt"/>
    <n v="96.94"/>
    <x v="3"/>
    <s v="Cash on Delivery"/>
    <n v="3.6"/>
    <x v="16"/>
    <n v="91.123599999999996"/>
    <n v="3"/>
    <x v="1"/>
  </r>
  <r>
    <n v="4002"/>
    <n v="65"/>
    <x v="1"/>
    <x v="0"/>
    <x v="8"/>
    <s v="Jeans"/>
    <n v="170.25"/>
    <x v="0"/>
    <s v="Card"/>
    <n v="4.7"/>
    <x v="11"/>
    <n v="125.985"/>
    <n v="8"/>
    <x v="2"/>
  </r>
  <r>
    <n v="4003"/>
    <n v="49"/>
    <x v="0"/>
    <x v="1"/>
    <x v="2"/>
    <s v="Dumbbells"/>
    <n v="190.85"/>
    <x v="1"/>
    <s v="Card"/>
    <n v="4"/>
    <x v="4"/>
    <n v="164.131"/>
    <n v="7"/>
    <x v="0"/>
  </r>
  <r>
    <n v="4004"/>
    <n v="41"/>
    <x v="0"/>
    <x v="1"/>
    <x v="1"/>
    <s v="Shirt"/>
    <n v="106.08"/>
    <x v="0"/>
    <s v="Card"/>
    <n v="4.0999999999999996"/>
    <x v="13"/>
    <n v="96.532800000000009"/>
    <n v="2"/>
    <x v="1"/>
  </r>
  <r>
    <n v="4005"/>
    <n v="24"/>
    <x v="2"/>
    <x v="0"/>
    <x v="6"/>
    <s v="Makeup Set"/>
    <n v="124.83"/>
    <x v="2"/>
    <s v="Card"/>
    <n v="2.6"/>
    <x v="8"/>
    <n v="109.85039999999999"/>
    <n v="1"/>
    <x v="1"/>
  </r>
  <r>
    <n v="4006"/>
    <n v="27"/>
    <x v="2"/>
    <x v="0"/>
    <x v="6"/>
    <s v="Skincare Kit"/>
    <n v="140.07"/>
    <x v="3"/>
    <s v="Card"/>
    <n v="3.2"/>
    <x v="2"/>
    <n v="124.6623"/>
    <n v="3"/>
    <x v="1"/>
  </r>
  <r>
    <n v="4007"/>
    <n v="50"/>
    <x v="0"/>
    <x v="0"/>
    <x v="4"/>
    <s v="Snacks"/>
    <n v="72.930000000000007"/>
    <x v="2"/>
    <s v="Cash on Delivery"/>
    <n v="3.8"/>
    <x v="7"/>
    <n v="65.637000000000015"/>
    <n v="5"/>
    <x v="0"/>
  </r>
  <r>
    <n v="4008"/>
    <n v="36"/>
    <x v="0"/>
    <x v="0"/>
    <x v="6"/>
    <s v="Makeup Set"/>
    <n v="122.19"/>
    <x v="2"/>
    <s v="Card"/>
    <n v="3.8"/>
    <x v="8"/>
    <n v="107.52719999999999"/>
    <n v="6"/>
    <x v="0"/>
  </r>
  <r>
    <n v="4009"/>
    <n v="52"/>
    <x v="0"/>
    <x v="1"/>
    <x v="5"/>
    <s v="Smart Watch"/>
    <n v="1169.3900000000001"/>
    <x v="3"/>
    <s v="Card"/>
    <n v="3"/>
    <x v="3"/>
    <n v="935.51200000000017"/>
    <n v="10"/>
    <x v="2"/>
  </r>
  <r>
    <n v="4010"/>
    <n v="66"/>
    <x v="1"/>
    <x v="0"/>
    <x v="2"/>
    <s v="Football"/>
    <n v="195.24"/>
    <x v="2"/>
    <s v="Card"/>
    <n v="5"/>
    <x v="0"/>
    <n v="160.09680000000003"/>
    <n v="4"/>
    <x v="0"/>
  </r>
  <r>
    <n v="4011"/>
    <n v="70"/>
    <x v="1"/>
    <x v="0"/>
    <x v="8"/>
    <s v="Skirt"/>
    <n v="199.98"/>
    <x v="1"/>
    <s v="Card"/>
    <n v="4"/>
    <x v="1"/>
    <n v="173.98259999999999"/>
    <n v="4"/>
    <x v="0"/>
  </r>
  <r>
    <n v="4012"/>
    <n v="44"/>
    <x v="0"/>
    <x v="0"/>
    <x v="8"/>
    <s v="Skirt"/>
    <n v="81.96"/>
    <x v="0"/>
    <s v="Cash on Delivery"/>
    <n v="2.7"/>
    <x v="7"/>
    <n v="73.763999999999996"/>
    <n v="5"/>
    <x v="0"/>
  </r>
  <r>
    <n v="4013"/>
    <n v="64"/>
    <x v="1"/>
    <x v="0"/>
    <x v="8"/>
    <s v="Top"/>
    <n v="168.24"/>
    <x v="2"/>
    <s v="Card"/>
    <n v="3.1"/>
    <x v="17"/>
    <n v="161.5104"/>
    <n v="2"/>
    <x v="1"/>
  </r>
  <r>
    <n v="4014"/>
    <n v="37"/>
    <x v="0"/>
    <x v="0"/>
    <x v="6"/>
    <s v="Perfume"/>
    <n v="38"/>
    <x v="0"/>
    <s v="Card"/>
    <n v="4"/>
    <x v="6"/>
    <n v="31.919999999999998"/>
    <n v="8"/>
    <x v="2"/>
  </r>
  <r>
    <n v="4015"/>
    <n v="36"/>
    <x v="0"/>
    <x v="1"/>
    <x v="2"/>
    <s v="Football"/>
    <n v="37.32"/>
    <x v="2"/>
    <s v="Card"/>
    <n v="5"/>
    <x v="22"/>
    <n v="28.7364"/>
    <n v="9"/>
    <x v="2"/>
  </r>
  <r>
    <n v="4016"/>
    <n v="58"/>
    <x v="0"/>
    <x v="0"/>
    <x v="0"/>
    <s v="Wallet"/>
    <n v="152.99"/>
    <x v="3"/>
    <s v="Card"/>
    <n v="3.2"/>
    <x v="14"/>
    <n v="126.9817"/>
    <n v="6"/>
    <x v="0"/>
  </r>
  <r>
    <n v="4017"/>
    <n v="65"/>
    <x v="1"/>
    <x v="0"/>
    <x v="0"/>
    <s v="Wallet"/>
    <n v="88.31"/>
    <x v="0"/>
    <s v="Card"/>
    <n v="3.8"/>
    <x v="0"/>
    <n v="72.414200000000008"/>
    <n v="4"/>
    <x v="0"/>
  </r>
  <r>
    <n v="4018"/>
    <n v="35"/>
    <x v="0"/>
    <x v="1"/>
    <x v="1"/>
    <s v="Shirt"/>
    <n v="49.5"/>
    <x v="1"/>
    <s v="Cash on Delivery"/>
    <n v="4.5999999999999996"/>
    <x v="0"/>
    <n v="40.590000000000003"/>
    <n v="4"/>
    <x v="0"/>
  </r>
  <r>
    <n v="4019"/>
    <n v="41"/>
    <x v="0"/>
    <x v="1"/>
    <x v="2"/>
    <s v="Football"/>
    <n v="201"/>
    <x v="3"/>
    <s v="Card"/>
    <n v="4.5999999999999996"/>
    <x v="17"/>
    <n v="192.95999999999998"/>
    <n v="2"/>
    <x v="1"/>
  </r>
  <r>
    <n v="4020"/>
    <n v="52"/>
    <x v="0"/>
    <x v="0"/>
    <x v="0"/>
    <s v="Wallet"/>
    <n v="85.67"/>
    <x v="3"/>
    <s v="Cash on Delivery"/>
    <n v="2.7"/>
    <x v="5"/>
    <n v="78.816400000000002"/>
    <n v="4"/>
    <x v="0"/>
  </r>
  <r>
    <n v="4021"/>
    <n v="41"/>
    <x v="0"/>
    <x v="1"/>
    <x v="4"/>
    <s v="Snacks"/>
    <n v="35.58"/>
    <x v="2"/>
    <s v="Card"/>
    <n v="4.4000000000000004"/>
    <x v="18"/>
    <n v="27.040799999999997"/>
    <n v="7"/>
    <x v="0"/>
  </r>
  <r>
    <n v="4022"/>
    <n v="28"/>
    <x v="2"/>
    <x v="0"/>
    <x v="6"/>
    <s v="Skincare Kit"/>
    <n v="132.91"/>
    <x v="1"/>
    <s v="Card"/>
    <n v="3.4"/>
    <x v="7"/>
    <n v="119.619"/>
    <n v="5"/>
    <x v="0"/>
  </r>
  <r>
    <n v="4023"/>
    <n v="54"/>
    <x v="0"/>
    <x v="0"/>
    <x v="8"/>
    <s v="Jeans"/>
    <n v="41.9"/>
    <x v="1"/>
    <s v="Cash on Delivery"/>
    <n v="3.3"/>
    <x v="4"/>
    <n v="36.033999999999999"/>
    <n v="2"/>
    <x v="1"/>
  </r>
  <r>
    <n v="4024"/>
    <n v="62"/>
    <x v="1"/>
    <x v="1"/>
    <x v="7"/>
    <s v="Formal Shoes"/>
    <n v="237.74"/>
    <x v="1"/>
    <s v="Card"/>
    <n v="3.1"/>
    <x v="6"/>
    <n v="199.70160000000001"/>
    <n v="8"/>
    <x v="2"/>
  </r>
  <r>
    <n v="4025"/>
    <n v="66"/>
    <x v="1"/>
    <x v="0"/>
    <x v="6"/>
    <s v="Skincare Kit"/>
    <n v="66.59"/>
    <x v="0"/>
    <s v="Card"/>
    <n v="3.4"/>
    <x v="10"/>
    <n v="51.940200000000004"/>
    <n v="6"/>
    <x v="0"/>
  </r>
  <r>
    <n v="4026"/>
    <n v="35"/>
    <x v="0"/>
    <x v="0"/>
    <x v="2"/>
    <s v="Dumbbells"/>
    <n v="127.31"/>
    <x v="0"/>
    <s v="Card"/>
    <n v="3.1"/>
    <x v="14"/>
    <n v="105.6673"/>
    <n v="6"/>
    <x v="0"/>
  </r>
  <r>
    <n v="4027"/>
    <n v="59"/>
    <x v="0"/>
    <x v="0"/>
    <x v="3"/>
    <s v="Curtains"/>
    <n v="123.5"/>
    <x v="3"/>
    <s v="Card"/>
    <n v="3.3"/>
    <x v="10"/>
    <n v="96.33"/>
    <n v="11"/>
    <x v="2"/>
  </r>
  <r>
    <n v="4028"/>
    <n v="65"/>
    <x v="1"/>
    <x v="0"/>
    <x v="7"/>
    <s v="Sandals"/>
    <n v="187.64"/>
    <x v="3"/>
    <s v="Card"/>
    <n v="4.0999999999999996"/>
    <x v="11"/>
    <n v="138.8536"/>
    <n v="8"/>
    <x v="2"/>
  </r>
  <r>
    <n v="4029"/>
    <n v="33"/>
    <x v="0"/>
    <x v="1"/>
    <x v="7"/>
    <s v="Sneakers"/>
    <n v="156.02000000000001"/>
    <x v="1"/>
    <s v="Card"/>
    <n v="4.5999999999999996"/>
    <x v="1"/>
    <n v="135.73740000000001"/>
    <n v="4"/>
    <x v="0"/>
  </r>
  <r>
    <n v="4030"/>
    <n v="37"/>
    <x v="0"/>
    <x v="0"/>
    <x v="6"/>
    <s v="Perfume"/>
    <n v="21.66"/>
    <x v="2"/>
    <s v="Card"/>
    <n v="2.9"/>
    <x v="7"/>
    <n v="19.494"/>
    <n v="5"/>
    <x v="0"/>
  </r>
  <r>
    <n v="4031"/>
    <n v="66"/>
    <x v="1"/>
    <x v="0"/>
    <x v="0"/>
    <s v="Sunglasses"/>
    <n v="155.30000000000001"/>
    <x v="0"/>
    <s v="Card"/>
    <n v="2.8"/>
    <x v="7"/>
    <n v="139.77000000000001"/>
    <n v="5"/>
    <x v="0"/>
  </r>
  <r>
    <n v="4032"/>
    <n v="62"/>
    <x v="1"/>
    <x v="0"/>
    <x v="7"/>
    <s v="Sneakers"/>
    <n v="112.89"/>
    <x v="1"/>
    <s v="Card"/>
    <n v="3.8"/>
    <x v="3"/>
    <n v="90.312000000000012"/>
    <n v="10"/>
    <x v="2"/>
  </r>
  <r>
    <n v="4033"/>
    <n v="22"/>
    <x v="2"/>
    <x v="0"/>
    <x v="0"/>
    <s v="Handbag"/>
    <n v="66.64"/>
    <x v="2"/>
    <s v="Cash on Delivery"/>
    <n v="3"/>
    <x v="19"/>
    <n v="56.643999999999998"/>
    <n v="5"/>
    <x v="0"/>
  </r>
  <r>
    <n v="4034"/>
    <n v="29"/>
    <x v="2"/>
    <x v="1"/>
    <x v="7"/>
    <s v="Sandals"/>
    <n v="139.43"/>
    <x v="1"/>
    <s v="Card"/>
    <n v="3.3"/>
    <x v="1"/>
    <n v="121.30410000000001"/>
    <n v="4"/>
    <x v="0"/>
  </r>
  <r>
    <n v="4035"/>
    <n v="52"/>
    <x v="0"/>
    <x v="0"/>
    <x v="6"/>
    <s v="Skincare Kit"/>
    <n v="106.44"/>
    <x v="3"/>
    <s v="Card"/>
    <n v="4.5"/>
    <x v="0"/>
    <n v="87.280799999999999"/>
    <n v="4"/>
    <x v="0"/>
  </r>
  <r>
    <n v="4036"/>
    <n v="47"/>
    <x v="0"/>
    <x v="0"/>
    <x v="8"/>
    <s v="Top"/>
    <n v="79.709999999999994"/>
    <x v="0"/>
    <s v="Cash on Delivery"/>
    <n v="3.3"/>
    <x v="16"/>
    <n v="74.927399999999992"/>
    <n v="3"/>
    <x v="1"/>
  </r>
  <r>
    <n v="4037"/>
    <n v="67"/>
    <x v="1"/>
    <x v="1"/>
    <x v="1"/>
    <s v="T-Shirt"/>
    <n v="188.64"/>
    <x v="2"/>
    <s v="Card"/>
    <n v="4.5"/>
    <x v="3"/>
    <n v="150.91200000000001"/>
    <n v="5"/>
    <x v="0"/>
  </r>
  <r>
    <n v="4038"/>
    <n v="34"/>
    <x v="0"/>
    <x v="1"/>
    <x v="3"/>
    <s v="Kitchen Set"/>
    <n v="136.71"/>
    <x v="2"/>
    <s v="Card"/>
    <n v="4"/>
    <x v="4"/>
    <n v="117.5706"/>
    <n v="7"/>
    <x v="0"/>
  </r>
  <r>
    <n v="4039"/>
    <n v="42"/>
    <x v="0"/>
    <x v="0"/>
    <x v="7"/>
    <s v="Formal Shoes"/>
    <n v="211.73"/>
    <x v="2"/>
    <s v="Card"/>
    <n v="4.5999999999999996"/>
    <x v="14"/>
    <n v="175.73589999999999"/>
    <n v="6"/>
    <x v="0"/>
  </r>
  <r>
    <n v="4040"/>
    <n v="51"/>
    <x v="0"/>
    <x v="0"/>
    <x v="6"/>
    <s v="Skincare Kit"/>
    <n v="86.9"/>
    <x v="3"/>
    <s v="Card"/>
    <n v="4"/>
    <x v="6"/>
    <n v="72.995999999999995"/>
    <n v="8"/>
    <x v="2"/>
  </r>
  <r>
    <n v="4041"/>
    <n v="51"/>
    <x v="0"/>
    <x v="0"/>
    <x v="7"/>
    <s v="Sneakers"/>
    <n v="80.319999999999993"/>
    <x v="3"/>
    <s v="Cash on Delivery"/>
    <n v="4"/>
    <x v="27"/>
    <n v="60.239999999999995"/>
    <n v="10"/>
    <x v="2"/>
  </r>
  <r>
    <n v="4042"/>
    <n v="50"/>
    <x v="0"/>
    <x v="0"/>
    <x v="8"/>
    <s v="Dress"/>
    <n v="110.41"/>
    <x v="2"/>
    <s v="Card"/>
    <n v="3"/>
    <x v="14"/>
    <n v="91.640299999999996"/>
    <n v="6"/>
    <x v="0"/>
  </r>
  <r>
    <n v="4043"/>
    <n v="62"/>
    <x v="1"/>
    <x v="0"/>
    <x v="0"/>
    <s v="Wallet"/>
    <n v="173.41"/>
    <x v="2"/>
    <s v="Card"/>
    <n v="3.9"/>
    <x v="1"/>
    <n v="150.86670000000001"/>
    <n v="4"/>
    <x v="0"/>
  </r>
  <r>
    <n v="4044"/>
    <n v="41"/>
    <x v="0"/>
    <x v="1"/>
    <x v="7"/>
    <s v="Formal Shoes"/>
    <n v="227.74"/>
    <x v="2"/>
    <s v="Card"/>
    <n v="3.6"/>
    <x v="5"/>
    <n v="209.52080000000001"/>
    <n v="4"/>
    <x v="0"/>
  </r>
  <r>
    <n v="4045"/>
    <n v="59"/>
    <x v="0"/>
    <x v="1"/>
    <x v="2"/>
    <s v="Yoga Mat"/>
    <n v="63.64"/>
    <x v="2"/>
    <s v="Cash on Delivery"/>
    <n v="3.9"/>
    <x v="10"/>
    <n v="49.639200000000002"/>
    <n v="6"/>
    <x v="0"/>
  </r>
  <r>
    <n v="4046"/>
    <n v="39"/>
    <x v="0"/>
    <x v="1"/>
    <x v="5"/>
    <s v="Headphones"/>
    <n v="2936.44"/>
    <x v="1"/>
    <s v="Card"/>
    <n v="4.3"/>
    <x v="13"/>
    <n v="2672.1604000000002"/>
    <n v="2"/>
    <x v="1"/>
  </r>
  <r>
    <n v="4047"/>
    <n v="48"/>
    <x v="0"/>
    <x v="0"/>
    <x v="8"/>
    <s v="Dress"/>
    <n v="85.77"/>
    <x v="0"/>
    <s v="Cash on Delivery"/>
    <n v="4.2"/>
    <x v="19"/>
    <n v="72.904499999999999"/>
    <n v="5"/>
    <x v="0"/>
  </r>
  <r>
    <n v="4048"/>
    <n v="42"/>
    <x v="0"/>
    <x v="0"/>
    <x v="8"/>
    <s v="Jeans"/>
    <n v="149.1"/>
    <x v="2"/>
    <s v="Card"/>
    <n v="4.5999999999999996"/>
    <x v="20"/>
    <n v="101.38799999999999"/>
    <n v="11"/>
    <x v="2"/>
  </r>
  <r>
    <n v="4049"/>
    <n v="54"/>
    <x v="0"/>
    <x v="1"/>
    <x v="2"/>
    <s v="Football"/>
    <n v="231.13"/>
    <x v="3"/>
    <s v="Card"/>
    <n v="4.5999999999999996"/>
    <x v="21"/>
    <n v="182.59270000000001"/>
    <n v="8"/>
    <x v="2"/>
  </r>
  <r>
    <n v="4050"/>
    <n v="36"/>
    <x v="0"/>
    <x v="1"/>
    <x v="2"/>
    <s v="Yoga Mat"/>
    <n v="193.53"/>
    <x v="0"/>
    <s v="Card"/>
    <n v="2.2000000000000002"/>
    <x v="7"/>
    <n v="174.17699999999999"/>
    <n v="5"/>
    <x v="0"/>
  </r>
  <r>
    <n v="4051"/>
    <n v="30"/>
    <x v="2"/>
    <x v="1"/>
    <x v="1"/>
    <s v="Jeans"/>
    <n v="47.15"/>
    <x v="0"/>
    <s v="Cash on Delivery"/>
    <n v="4.9000000000000004"/>
    <x v="18"/>
    <n v="35.833999999999996"/>
    <n v="7"/>
    <x v="0"/>
  </r>
  <r>
    <n v="4052"/>
    <n v="38"/>
    <x v="0"/>
    <x v="1"/>
    <x v="5"/>
    <s v="Laptop"/>
    <n v="824.08"/>
    <x v="1"/>
    <s v="Card"/>
    <n v="4.9000000000000004"/>
    <x v="8"/>
    <n v="725.19040000000007"/>
    <n v="6"/>
    <x v="0"/>
  </r>
  <r>
    <n v="4053"/>
    <n v="47"/>
    <x v="0"/>
    <x v="0"/>
    <x v="8"/>
    <s v="Top"/>
    <n v="86.68"/>
    <x v="0"/>
    <s v="Card"/>
    <n v="4.9000000000000004"/>
    <x v="6"/>
    <n v="72.811199999999999"/>
    <n v="3"/>
    <x v="1"/>
  </r>
  <r>
    <n v="4054"/>
    <n v="37"/>
    <x v="0"/>
    <x v="1"/>
    <x v="2"/>
    <s v="Dumbbells"/>
    <n v="218.43"/>
    <x v="0"/>
    <s v="Card"/>
    <n v="4.0999999999999996"/>
    <x v="3"/>
    <n v="174.74400000000003"/>
    <n v="5"/>
    <x v="0"/>
  </r>
  <r>
    <n v="4055"/>
    <n v="68"/>
    <x v="1"/>
    <x v="1"/>
    <x v="4"/>
    <s v="Rice Pack"/>
    <n v="21.72"/>
    <x v="2"/>
    <s v="Cash on Delivery"/>
    <n v="3.1"/>
    <x v="0"/>
    <n v="17.810400000000001"/>
    <n v="4"/>
    <x v="0"/>
  </r>
  <r>
    <n v="4056"/>
    <n v="21"/>
    <x v="2"/>
    <x v="0"/>
    <x v="6"/>
    <s v="Perfume"/>
    <n v="23.57"/>
    <x v="3"/>
    <s v="Cash on Delivery"/>
    <n v="4.3"/>
    <x v="10"/>
    <n v="18.384600000000002"/>
    <n v="6"/>
    <x v="0"/>
  </r>
  <r>
    <n v="4057"/>
    <n v="70"/>
    <x v="1"/>
    <x v="1"/>
    <x v="3"/>
    <s v="Curtains"/>
    <n v="177.36"/>
    <x v="0"/>
    <s v="Card"/>
    <n v="3.2"/>
    <x v="10"/>
    <n v="138.3408"/>
    <n v="6"/>
    <x v="0"/>
  </r>
  <r>
    <n v="4058"/>
    <n v="49"/>
    <x v="0"/>
    <x v="0"/>
    <x v="8"/>
    <s v="Dress"/>
    <n v="125.76"/>
    <x v="1"/>
    <s v="Card"/>
    <n v="3.6"/>
    <x v="6"/>
    <n v="105.6384"/>
    <n v="3"/>
    <x v="1"/>
  </r>
  <r>
    <n v="4059"/>
    <n v="70"/>
    <x v="1"/>
    <x v="1"/>
    <x v="3"/>
    <s v="Curtains"/>
    <n v="118.9"/>
    <x v="0"/>
    <s v="Card"/>
    <n v="4.5"/>
    <x v="5"/>
    <n v="109.38800000000001"/>
    <n v="4"/>
    <x v="0"/>
  </r>
  <r>
    <n v="4060"/>
    <n v="60"/>
    <x v="0"/>
    <x v="1"/>
    <x v="2"/>
    <s v="Yoga Mat"/>
    <n v="103.3"/>
    <x v="2"/>
    <s v="Card"/>
    <n v="3.2"/>
    <x v="11"/>
    <n v="76.441999999999993"/>
    <n v="8"/>
    <x v="2"/>
  </r>
  <r>
    <n v="4061"/>
    <n v="22"/>
    <x v="2"/>
    <x v="0"/>
    <x v="8"/>
    <s v="Skirt"/>
    <n v="34.979999999999997"/>
    <x v="1"/>
    <s v="Card"/>
    <n v="3.9"/>
    <x v="17"/>
    <n v="33.580799999999996"/>
    <n v="2"/>
    <x v="1"/>
  </r>
  <r>
    <n v="4062"/>
    <n v="44"/>
    <x v="0"/>
    <x v="1"/>
    <x v="1"/>
    <s v="Jacket"/>
    <n v="193.69"/>
    <x v="3"/>
    <s v="Card"/>
    <n v="2.8"/>
    <x v="14"/>
    <n v="160.7627"/>
    <n v="6"/>
    <x v="0"/>
  </r>
  <r>
    <n v="4063"/>
    <n v="29"/>
    <x v="2"/>
    <x v="1"/>
    <x v="2"/>
    <s v="Dumbbells"/>
    <n v="40.36"/>
    <x v="2"/>
    <s v="Cash on Delivery"/>
    <n v="3.5"/>
    <x v="23"/>
    <n v="37.534799999999997"/>
    <n v="1"/>
    <x v="1"/>
  </r>
  <r>
    <n v="4064"/>
    <n v="66"/>
    <x v="1"/>
    <x v="1"/>
    <x v="5"/>
    <s v="Mobile Phone"/>
    <n v="1248.04"/>
    <x v="3"/>
    <s v="Card"/>
    <n v="3.8"/>
    <x v="3"/>
    <n v="998.43200000000002"/>
    <n v="5"/>
    <x v="0"/>
  </r>
  <r>
    <n v="4065"/>
    <n v="64"/>
    <x v="1"/>
    <x v="1"/>
    <x v="2"/>
    <s v="Dumbbells"/>
    <n v="176.11"/>
    <x v="0"/>
    <s v="Card"/>
    <n v="3.5"/>
    <x v="7"/>
    <n v="158.49900000000002"/>
    <n v="5"/>
    <x v="0"/>
  </r>
  <r>
    <n v="4066"/>
    <n v="56"/>
    <x v="0"/>
    <x v="1"/>
    <x v="2"/>
    <s v="Football"/>
    <n v="165.49"/>
    <x v="0"/>
    <s v="Card"/>
    <n v="3.8"/>
    <x v="10"/>
    <n v="129.0822"/>
    <n v="6"/>
    <x v="0"/>
  </r>
  <r>
    <n v="4067"/>
    <n v="65"/>
    <x v="1"/>
    <x v="1"/>
    <x v="2"/>
    <s v="Yoga Mat"/>
    <n v="147.71"/>
    <x v="0"/>
    <s v="Card"/>
    <n v="3.4"/>
    <x v="1"/>
    <n v="128.5077"/>
    <n v="4"/>
    <x v="0"/>
  </r>
  <r>
    <n v="4068"/>
    <n v="26"/>
    <x v="2"/>
    <x v="0"/>
    <x v="7"/>
    <s v="Sandals"/>
    <n v="167.62"/>
    <x v="3"/>
    <s v="Card"/>
    <n v="3.4"/>
    <x v="25"/>
    <n v="117.33399999999999"/>
    <n v="10"/>
    <x v="2"/>
  </r>
  <r>
    <n v="4069"/>
    <n v="53"/>
    <x v="0"/>
    <x v="1"/>
    <x v="3"/>
    <s v="Kitchen Set"/>
    <n v="103.21"/>
    <x v="2"/>
    <s v="Card"/>
    <n v="3.3"/>
    <x v="2"/>
    <n v="91.856899999999996"/>
    <n v="3"/>
    <x v="1"/>
  </r>
  <r>
    <n v="4070"/>
    <n v="70"/>
    <x v="1"/>
    <x v="1"/>
    <x v="7"/>
    <s v="Sneakers"/>
    <n v="56.28"/>
    <x v="3"/>
    <s v="Card"/>
    <n v="2.9"/>
    <x v="7"/>
    <n v="50.652000000000001"/>
    <n v="5"/>
    <x v="0"/>
  </r>
  <r>
    <n v="4071"/>
    <n v="48"/>
    <x v="0"/>
    <x v="1"/>
    <x v="2"/>
    <s v="Yoga Mat"/>
    <n v="136.24"/>
    <x v="3"/>
    <s v="Card"/>
    <n v="3.3"/>
    <x v="4"/>
    <n v="117.16640000000001"/>
    <n v="7"/>
    <x v="0"/>
  </r>
  <r>
    <n v="4072"/>
    <n v="53"/>
    <x v="0"/>
    <x v="0"/>
    <x v="6"/>
    <s v="Skincare Kit"/>
    <n v="125.77"/>
    <x v="1"/>
    <s v="Card"/>
    <n v="3.4"/>
    <x v="7"/>
    <n v="113.193"/>
    <n v="5"/>
    <x v="0"/>
  </r>
  <r>
    <n v="4073"/>
    <n v="26"/>
    <x v="2"/>
    <x v="0"/>
    <x v="0"/>
    <s v="Sunglasses"/>
    <n v="62.53"/>
    <x v="3"/>
    <s v="Cash on Delivery"/>
    <n v="3.8"/>
    <x v="6"/>
    <n v="52.525199999999998"/>
    <n v="8"/>
    <x v="2"/>
  </r>
  <r>
    <n v="4074"/>
    <n v="28"/>
    <x v="2"/>
    <x v="0"/>
    <x v="7"/>
    <s v="Sneakers"/>
    <n v="205.3"/>
    <x v="0"/>
    <s v="Card"/>
    <n v="4.8"/>
    <x v="7"/>
    <n v="184.77"/>
    <n v="5"/>
    <x v="0"/>
  </r>
  <r>
    <n v="4075"/>
    <n v="39"/>
    <x v="0"/>
    <x v="0"/>
    <x v="6"/>
    <s v="Makeup Set"/>
    <n v="99.04"/>
    <x v="0"/>
    <s v="Card"/>
    <n v="4.5"/>
    <x v="11"/>
    <n v="73.289600000000007"/>
    <n v="8"/>
    <x v="2"/>
  </r>
  <r>
    <n v="4076"/>
    <n v="33"/>
    <x v="0"/>
    <x v="1"/>
    <x v="2"/>
    <s v="Yoga Mat"/>
    <n v="123.12"/>
    <x v="2"/>
    <s v="Card"/>
    <n v="4"/>
    <x v="0"/>
    <n v="100.95840000000001"/>
    <n v="9"/>
    <x v="2"/>
  </r>
  <r>
    <n v="4077"/>
    <n v="40"/>
    <x v="0"/>
    <x v="1"/>
    <x v="5"/>
    <s v="Laptop"/>
    <n v="1512.28"/>
    <x v="1"/>
    <s v="Card"/>
    <n v="3.8"/>
    <x v="19"/>
    <n v="1285.4379999999999"/>
    <n v="5"/>
    <x v="0"/>
  </r>
  <r>
    <n v="4078"/>
    <n v="62"/>
    <x v="1"/>
    <x v="1"/>
    <x v="1"/>
    <s v="T-Shirt"/>
    <n v="71.94"/>
    <x v="3"/>
    <s v="Card"/>
    <n v="4.9000000000000004"/>
    <x v="14"/>
    <n v="59.710199999999993"/>
    <n v="6"/>
    <x v="0"/>
  </r>
  <r>
    <n v="4079"/>
    <n v="28"/>
    <x v="2"/>
    <x v="1"/>
    <x v="2"/>
    <s v="Football"/>
    <n v="153.12"/>
    <x v="2"/>
    <s v="Card"/>
    <n v="4.4000000000000004"/>
    <x v="13"/>
    <n v="139.33920000000001"/>
    <n v="2"/>
    <x v="1"/>
  </r>
  <r>
    <n v="4080"/>
    <n v="43"/>
    <x v="0"/>
    <x v="0"/>
    <x v="0"/>
    <s v="Sunglasses"/>
    <n v="74.33"/>
    <x v="0"/>
    <s v="Card"/>
    <n v="3.6"/>
    <x v="2"/>
    <n v="66.153700000000001"/>
    <n v="3"/>
    <x v="1"/>
  </r>
  <r>
    <n v="4081"/>
    <n v="22"/>
    <x v="2"/>
    <x v="0"/>
    <x v="0"/>
    <s v="Sunglasses"/>
    <n v="100.98"/>
    <x v="1"/>
    <s v="Card"/>
    <n v="4.3"/>
    <x v="1"/>
    <n v="87.85260000000001"/>
    <n v="4"/>
    <x v="0"/>
  </r>
  <r>
    <n v="4082"/>
    <n v="51"/>
    <x v="0"/>
    <x v="1"/>
    <x v="5"/>
    <s v="Laptop"/>
    <n v="2199.5100000000002"/>
    <x v="1"/>
    <s v="Card"/>
    <n v="3.6"/>
    <x v="19"/>
    <n v="1869.5835000000002"/>
    <n v="5"/>
    <x v="0"/>
  </r>
  <r>
    <n v="4083"/>
    <n v="53"/>
    <x v="0"/>
    <x v="1"/>
    <x v="2"/>
    <s v="Dumbbells"/>
    <n v="74.23"/>
    <x v="2"/>
    <s v="Card"/>
    <n v="2.2000000000000002"/>
    <x v="12"/>
    <n v="60.126300000000008"/>
    <n v="7"/>
    <x v="0"/>
  </r>
  <r>
    <n v="4084"/>
    <n v="36"/>
    <x v="0"/>
    <x v="1"/>
    <x v="5"/>
    <s v="Laptop"/>
    <n v="2049.23"/>
    <x v="1"/>
    <s v="Card"/>
    <n v="3"/>
    <x v="10"/>
    <n v="1598.3994"/>
    <n v="6"/>
    <x v="0"/>
  </r>
  <r>
    <n v="4085"/>
    <n v="68"/>
    <x v="1"/>
    <x v="1"/>
    <x v="5"/>
    <s v="Mobile Phone"/>
    <n v="2813.71"/>
    <x v="3"/>
    <s v="Card"/>
    <n v="4.0999999999999996"/>
    <x v="1"/>
    <n v="2447.9277000000002"/>
    <n v="4"/>
    <x v="0"/>
  </r>
  <r>
    <n v="4086"/>
    <n v="53"/>
    <x v="0"/>
    <x v="0"/>
    <x v="8"/>
    <s v="Skirt"/>
    <n v="81.17"/>
    <x v="2"/>
    <s v="Cash on Delivery"/>
    <n v="5"/>
    <x v="3"/>
    <n v="64.936000000000007"/>
    <n v="5"/>
    <x v="0"/>
  </r>
  <r>
    <n v="4087"/>
    <n v="46"/>
    <x v="0"/>
    <x v="1"/>
    <x v="1"/>
    <s v="Jeans"/>
    <n v="30.78"/>
    <x v="2"/>
    <s v="Card"/>
    <n v="5"/>
    <x v="8"/>
    <n v="27.086400000000001"/>
    <n v="6"/>
    <x v="0"/>
  </r>
  <r>
    <n v="4088"/>
    <n v="66"/>
    <x v="1"/>
    <x v="1"/>
    <x v="2"/>
    <s v="Dumbbells"/>
    <n v="181.35"/>
    <x v="1"/>
    <s v="Card"/>
    <n v="4"/>
    <x v="22"/>
    <n v="139.6395"/>
    <n v="9"/>
    <x v="2"/>
  </r>
  <r>
    <n v="4089"/>
    <n v="68"/>
    <x v="1"/>
    <x v="1"/>
    <x v="5"/>
    <s v="Laptop"/>
    <n v="2171.9299999999998"/>
    <x v="1"/>
    <s v="Card"/>
    <n v="3.8"/>
    <x v="4"/>
    <n v="1867.8597999999997"/>
    <n v="2"/>
    <x v="1"/>
  </r>
  <r>
    <n v="4090"/>
    <n v="24"/>
    <x v="2"/>
    <x v="0"/>
    <x v="2"/>
    <s v="Yoga Mat"/>
    <n v="164.57"/>
    <x v="1"/>
    <s v="Card"/>
    <n v="3"/>
    <x v="4"/>
    <n v="141.53019999999998"/>
    <n v="7"/>
    <x v="0"/>
  </r>
  <r>
    <n v="4091"/>
    <n v="37"/>
    <x v="0"/>
    <x v="1"/>
    <x v="4"/>
    <s v="Cooking Oil"/>
    <n v="18.23"/>
    <x v="0"/>
    <s v="Card"/>
    <n v="3.5"/>
    <x v="7"/>
    <n v="16.407"/>
    <n v="5"/>
    <x v="0"/>
  </r>
  <r>
    <n v="4092"/>
    <n v="64"/>
    <x v="1"/>
    <x v="0"/>
    <x v="6"/>
    <s v="Skincare Kit"/>
    <n v="73.92"/>
    <x v="2"/>
    <s v="Card"/>
    <n v="3.1"/>
    <x v="23"/>
    <n v="68.745599999999996"/>
    <n v="1"/>
    <x v="1"/>
  </r>
  <r>
    <n v="4093"/>
    <n v="43"/>
    <x v="0"/>
    <x v="1"/>
    <x v="2"/>
    <s v="Football"/>
    <n v="221.83"/>
    <x v="0"/>
    <s v="Card"/>
    <n v="4.3"/>
    <x v="21"/>
    <n v="175.24570000000003"/>
    <n v="8"/>
    <x v="2"/>
  </r>
  <r>
    <n v="4094"/>
    <n v="68"/>
    <x v="1"/>
    <x v="0"/>
    <x v="6"/>
    <s v="Makeup Set"/>
    <n v="100.18"/>
    <x v="0"/>
    <s v="Card"/>
    <n v="3.3"/>
    <x v="0"/>
    <n v="82.147600000000011"/>
    <n v="4"/>
    <x v="0"/>
  </r>
  <r>
    <n v="4095"/>
    <n v="41"/>
    <x v="0"/>
    <x v="1"/>
    <x v="2"/>
    <s v="Football"/>
    <n v="70.849999999999994"/>
    <x v="3"/>
    <s v="Cash on Delivery"/>
    <n v="5"/>
    <x v="0"/>
    <n v="58.097000000000001"/>
    <n v="4"/>
    <x v="0"/>
  </r>
  <r>
    <n v="4096"/>
    <n v="26"/>
    <x v="2"/>
    <x v="0"/>
    <x v="3"/>
    <s v="Curtains"/>
    <n v="209.2"/>
    <x v="1"/>
    <s v="Card"/>
    <n v="4.3"/>
    <x v="16"/>
    <n v="196.64799999999997"/>
    <n v="3"/>
    <x v="1"/>
  </r>
  <r>
    <n v="4097"/>
    <n v="30"/>
    <x v="2"/>
    <x v="0"/>
    <x v="8"/>
    <s v="Skirt"/>
    <n v="186.87"/>
    <x v="2"/>
    <s v="Card"/>
    <n v="2.6"/>
    <x v="17"/>
    <n v="179.39519999999999"/>
    <n v="2"/>
    <x v="1"/>
  </r>
  <r>
    <n v="4098"/>
    <n v="68"/>
    <x v="1"/>
    <x v="0"/>
    <x v="0"/>
    <s v="Wallet"/>
    <n v="150.12"/>
    <x v="2"/>
    <s v="Card"/>
    <n v="2.9"/>
    <x v="16"/>
    <n v="141.11279999999999"/>
    <n v="3"/>
    <x v="1"/>
  </r>
  <r>
    <n v="4099"/>
    <n v="26"/>
    <x v="2"/>
    <x v="1"/>
    <x v="1"/>
    <s v="Jeans"/>
    <n v="119.13"/>
    <x v="0"/>
    <s v="Card"/>
    <n v="4.5"/>
    <x v="16"/>
    <n v="111.98219999999999"/>
    <n v="3"/>
    <x v="1"/>
  </r>
  <r>
    <n v="4100"/>
    <n v="40"/>
    <x v="0"/>
    <x v="1"/>
    <x v="5"/>
    <s v="Laptop"/>
    <n v="2011.55"/>
    <x v="2"/>
    <s v="Card"/>
    <n v="3.8"/>
    <x v="7"/>
    <n v="1810.395"/>
    <n v="5"/>
    <x v="0"/>
  </r>
  <r>
    <n v="4101"/>
    <n v="65"/>
    <x v="1"/>
    <x v="0"/>
    <x v="0"/>
    <s v="Sunglasses"/>
    <n v="98.52"/>
    <x v="3"/>
    <s v="Cash on Delivery"/>
    <n v="5"/>
    <x v="8"/>
    <n v="86.697599999999994"/>
    <n v="6"/>
    <x v="0"/>
  </r>
  <r>
    <n v="4102"/>
    <n v="53"/>
    <x v="0"/>
    <x v="1"/>
    <x v="2"/>
    <s v="Football"/>
    <n v="138.94"/>
    <x v="0"/>
    <s v="Card"/>
    <n v="3.6"/>
    <x v="7"/>
    <n v="125.04600000000001"/>
    <n v="5"/>
    <x v="0"/>
  </r>
  <r>
    <n v="4103"/>
    <n v="60"/>
    <x v="0"/>
    <x v="0"/>
    <x v="0"/>
    <s v="Handbag"/>
    <n v="84.56"/>
    <x v="1"/>
    <s v="Cash on Delivery"/>
    <n v="3.5"/>
    <x v="10"/>
    <n v="65.956800000000001"/>
    <n v="6"/>
    <x v="0"/>
  </r>
  <r>
    <n v="4104"/>
    <n v="58"/>
    <x v="0"/>
    <x v="0"/>
    <x v="8"/>
    <s v="Dress"/>
    <n v="71.760000000000005"/>
    <x v="1"/>
    <s v="Card"/>
    <n v="5"/>
    <x v="13"/>
    <n v="65.301600000000008"/>
    <n v="2"/>
    <x v="1"/>
  </r>
  <r>
    <n v="4105"/>
    <n v="47"/>
    <x v="0"/>
    <x v="1"/>
    <x v="5"/>
    <s v="Laptop"/>
    <n v="2924.57"/>
    <x v="2"/>
    <s v="Card"/>
    <n v="3.5"/>
    <x v="1"/>
    <n v="2544.3759"/>
    <n v="4"/>
    <x v="0"/>
  </r>
  <r>
    <n v="4106"/>
    <n v="57"/>
    <x v="0"/>
    <x v="0"/>
    <x v="0"/>
    <s v="Handbag"/>
    <n v="96.5"/>
    <x v="1"/>
    <s v="Card"/>
    <n v="2.9"/>
    <x v="1"/>
    <n v="83.954999999999998"/>
    <n v="4"/>
    <x v="0"/>
  </r>
  <r>
    <n v="4107"/>
    <n v="62"/>
    <x v="1"/>
    <x v="0"/>
    <x v="7"/>
    <s v="Sneakers"/>
    <n v="93.71"/>
    <x v="3"/>
    <s v="Card"/>
    <n v="3.4"/>
    <x v="4"/>
    <n v="80.590599999999995"/>
    <n v="7"/>
    <x v="0"/>
  </r>
  <r>
    <n v="4108"/>
    <n v="59"/>
    <x v="0"/>
    <x v="0"/>
    <x v="8"/>
    <s v="Dress"/>
    <n v="107.94"/>
    <x v="2"/>
    <s v="Card"/>
    <n v="3.5"/>
    <x v="7"/>
    <n v="97.146000000000001"/>
    <n v="5"/>
    <x v="0"/>
  </r>
  <r>
    <n v="4109"/>
    <n v="29"/>
    <x v="2"/>
    <x v="1"/>
    <x v="7"/>
    <s v="Sneakers"/>
    <n v="75.989999999999995"/>
    <x v="1"/>
    <s v="Cash on Delivery"/>
    <n v="4.5999999999999996"/>
    <x v="0"/>
    <n v="62.311799999999998"/>
    <n v="4"/>
    <x v="0"/>
  </r>
  <r>
    <n v="4110"/>
    <n v="39"/>
    <x v="0"/>
    <x v="0"/>
    <x v="8"/>
    <s v="Dress"/>
    <n v="154.16999999999999"/>
    <x v="0"/>
    <s v="Card"/>
    <n v="4"/>
    <x v="22"/>
    <n v="118.7109"/>
    <n v="9"/>
    <x v="2"/>
  </r>
  <r>
    <n v="4111"/>
    <n v="23"/>
    <x v="2"/>
    <x v="0"/>
    <x v="0"/>
    <s v="Handbag"/>
    <n v="100.67"/>
    <x v="3"/>
    <s v="Card"/>
    <n v="3.7"/>
    <x v="0"/>
    <n v="82.549400000000006"/>
    <n v="4"/>
    <x v="0"/>
  </r>
  <r>
    <n v="4112"/>
    <n v="63"/>
    <x v="1"/>
    <x v="0"/>
    <x v="7"/>
    <s v="Sandals"/>
    <n v="116.77"/>
    <x v="3"/>
    <s v="Card"/>
    <n v="4.3"/>
    <x v="11"/>
    <n v="86.40979999999999"/>
    <n v="8"/>
    <x v="2"/>
  </r>
  <r>
    <n v="4113"/>
    <n v="38"/>
    <x v="0"/>
    <x v="1"/>
    <x v="7"/>
    <s v="Sandals"/>
    <n v="157.97999999999999"/>
    <x v="3"/>
    <s v="Card"/>
    <n v="4.9000000000000004"/>
    <x v="10"/>
    <n v="123.2244"/>
    <n v="6"/>
    <x v="0"/>
  </r>
  <r>
    <n v="4114"/>
    <n v="63"/>
    <x v="1"/>
    <x v="0"/>
    <x v="2"/>
    <s v="Football"/>
    <n v="108.5"/>
    <x v="0"/>
    <s v="Card"/>
    <n v="3.5"/>
    <x v="14"/>
    <n v="90.054999999999993"/>
    <n v="6"/>
    <x v="0"/>
  </r>
  <r>
    <n v="4115"/>
    <n v="44"/>
    <x v="0"/>
    <x v="1"/>
    <x v="7"/>
    <s v="Sneakers"/>
    <n v="45.36"/>
    <x v="3"/>
    <s v="Card"/>
    <n v="3"/>
    <x v="24"/>
    <n v="32.659199999999998"/>
    <n v="9"/>
    <x v="2"/>
  </r>
  <r>
    <n v="4116"/>
    <n v="68"/>
    <x v="1"/>
    <x v="1"/>
    <x v="1"/>
    <s v="Jeans"/>
    <n v="185.02"/>
    <x v="0"/>
    <s v="Card"/>
    <n v="3.8"/>
    <x v="4"/>
    <n v="159.1172"/>
    <n v="2"/>
    <x v="1"/>
  </r>
  <r>
    <n v="4117"/>
    <n v="63"/>
    <x v="1"/>
    <x v="0"/>
    <x v="8"/>
    <s v="Jeans"/>
    <n v="44.04"/>
    <x v="2"/>
    <s v="Card"/>
    <n v="5"/>
    <x v="6"/>
    <n v="36.993600000000001"/>
    <n v="3"/>
    <x v="1"/>
  </r>
  <r>
    <n v="4118"/>
    <n v="27"/>
    <x v="2"/>
    <x v="1"/>
    <x v="2"/>
    <s v="Dumbbells"/>
    <n v="100.08"/>
    <x v="1"/>
    <s v="Card"/>
    <n v="3.6"/>
    <x v="26"/>
    <n v="95.075999999999993"/>
    <n v="0"/>
    <x v="1"/>
  </r>
  <r>
    <n v="4119"/>
    <n v="49"/>
    <x v="0"/>
    <x v="0"/>
    <x v="2"/>
    <s v="Yoga Mat"/>
    <n v="107.29"/>
    <x v="2"/>
    <s v="Card"/>
    <n v="3.8"/>
    <x v="6"/>
    <n v="90.123599999999996"/>
    <n v="8"/>
    <x v="2"/>
  </r>
  <r>
    <n v="4120"/>
    <n v="43"/>
    <x v="0"/>
    <x v="0"/>
    <x v="3"/>
    <s v="Kitchen Set"/>
    <n v="163.18"/>
    <x v="3"/>
    <s v="Card"/>
    <n v="5"/>
    <x v="16"/>
    <n v="153.38919999999999"/>
    <n v="3"/>
    <x v="1"/>
  </r>
  <r>
    <n v="4121"/>
    <n v="67"/>
    <x v="1"/>
    <x v="0"/>
    <x v="6"/>
    <s v="Perfume"/>
    <n v="58.38"/>
    <x v="3"/>
    <s v="Card"/>
    <n v="4"/>
    <x v="8"/>
    <n v="51.374400000000001"/>
    <n v="6"/>
    <x v="0"/>
  </r>
  <r>
    <n v="4122"/>
    <n v="69"/>
    <x v="1"/>
    <x v="1"/>
    <x v="2"/>
    <s v="Football"/>
    <n v="169.84"/>
    <x v="1"/>
    <s v="Card"/>
    <n v="3.5"/>
    <x v="0"/>
    <n v="139.26880000000003"/>
    <n v="4"/>
    <x v="0"/>
  </r>
  <r>
    <n v="4123"/>
    <n v="20"/>
    <x v="2"/>
    <x v="0"/>
    <x v="0"/>
    <s v="Sunglasses"/>
    <n v="145.22"/>
    <x v="0"/>
    <s v="Card"/>
    <n v="3.8"/>
    <x v="3"/>
    <n v="116.176"/>
    <n v="5"/>
    <x v="0"/>
  </r>
  <r>
    <n v="4124"/>
    <n v="31"/>
    <x v="0"/>
    <x v="1"/>
    <x v="2"/>
    <s v="Football"/>
    <n v="117.9"/>
    <x v="2"/>
    <s v="Card"/>
    <n v="4.5999999999999996"/>
    <x v="18"/>
    <n v="89.603999999999999"/>
    <n v="7"/>
    <x v="0"/>
  </r>
  <r>
    <n v="4125"/>
    <n v="23"/>
    <x v="2"/>
    <x v="0"/>
    <x v="7"/>
    <s v="Sandals"/>
    <n v="92.07"/>
    <x v="1"/>
    <s v="Card"/>
    <n v="3.2"/>
    <x v="0"/>
    <n v="75.497399999999999"/>
    <n v="4"/>
    <x v="0"/>
  </r>
  <r>
    <n v="4126"/>
    <n v="33"/>
    <x v="0"/>
    <x v="0"/>
    <x v="8"/>
    <s v="Skirt"/>
    <n v="133.31"/>
    <x v="3"/>
    <s v="Card"/>
    <n v="2.9"/>
    <x v="17"/>
    <n v="127.9776"/>
    <n v="2"/>
    <x v="1"/>
  </r>
  <r>
    <n v="4127"/>
    <n v="22"/>
    <x v="2"/>
    <x v="0"/>
    <x v="0"/>
    <s v="Wallet"/>
    <n v="77.069999999999993"/>
    <x v="1"/>
    <s v="Card"/>
    <n v="4.7"/>
    <x v="0"/>
    <n v="63.197400000000002"/>
    <n v="4"/>
    <x v="0"/>
  </r>
  <r>
    <n v="4128"/>
    <n v="45"/>
    <x v="0"/>
    <x v="0"/>
    <x v="4"/>
    <s v="Cooking Oil"/>
    <n v="60.2"/>
    <x v="2"/>
    <s v="Card"/>
    <n v="3.3"/>
    <x v="7"/>
    <n v="54.180000000000007"/>
    <n v="5"/>
    <x v="0"/>
  </r>
  <r>
    <n v="4129"/>
    <n v="39"/>
    <x v="0"/>
    <x v="0"/>
    <x v="7"/>
    <s v="Formal Shoes"/>
    <n v="113.87"/>
    <x v="1"/>
    <s v="Card"/>
    <n v="4.3"/>
    <x v="5"/>
    <n v="104.7604"/>
    <n v="4"/>
    <x v="0"/>
  </r>
  <r>
    <n v="4130"/>
    <n v="43"/>
    <x v="0"/>
    <x v="1"/>
    <x v="1"/>
    <s v="T-Shirt"/>
    <n v="143.99"/>
    <x v="2"/>
    <s v="Card"/>
    <n v="4"/>
    <x v="22"/>
    <n v="110.87230000000001"/>
    <n v="9"/>
    <x v="2"/>
  </r>
  <r>
    <n v="4131"/>
    <n v="50"/>
    <x v="0"/>
    <x v="1"/>
    <x v="1"/>
    <s v="Shirt"/>
    <n v="131.03"/>
    <x v="0"/>
    <s v="Card"/>
    <n v="3.3"/>
    <x v="18"/>
    <n v="99.582800000000006"/>
    <n v="7"/>
    <x v="0"/>
  </r>
  <r>
    <n v="4132"/>
    <n v="54"/>
    <x v="0"/>
    <x v="0"/>
    <x v="8"/>
    <s v="Dress"/>
    <n v="197.73"/>
    <x v="3"/>
    <s v="Card"/>
    <n v="5"/>
    <x v="7"/>
    <n v="177.95699999999999"/>
    <n v="5"/>
    <x v="0"/>
  </r>
  <r>
    <n v="4133"/>
    <n v="46"/>
    <x v="0"/>
    <x v="0"/>
    <x v="7"/>
    <s v="Sandals"/>
    <n v="40.76"/>
    <x v="0"/>
    <s v="Cash on Delivery"/>
    <n v="4.7"/>
    <x v="15"/>
    <n v="39.944800000000001"/>
    <n v="1"/>
    <x v="1"/>
  </r>
  <r>
    <n v="4134"/>
    <n v="65"/>
    <x v="1"/>
    <x v="0"/>
    <x v="6"/>
    <s v="Makeup Set"/>
    <n v="74.680000000000007"/>
    <x v="1"/>
    <s v="Card"/>
    <n v="4.0999999999999996"/>
    <x v="0"/>
    <n v="61.237600000000008"/>
    <n v="9"/>
    <x v="2"/>
  </r>
  <r>
    <n v="4135"/>
    <n v="27"/>
    <x v="2"/>
    <x v="0"/>
    <x v="6"/>
    <s v="Makeup Set"/>
    <n v="117.55"/>
    <x v="0"/>
    <s v="Card"/>
    <n v="3.2"/>
    <x v="2"/>
    <n v="104.6195"/>
    <n v="3"/>
    <x v="1"/>
  </r>
  <r>
    <n v="4136"/>
    <n v="44"/>
    <x v="0"/>
    <x v="0"/>
    <x v="3"/>
    <s v="Curtains"/>
    <n v="211.32"/>
    <x v="0"/>
    <s v="Card"/>
    <n v="4.5"/>
    <x v="6"/>
    <n v="177.50879999999998"/>
    <n v="8"/>
    <x v="2"/>
  </r>
  <r>
    <n v="4137"/>
    <n v="29"/>
    <x v="2"/>
    <x v="1"/>
    <x v="1"/>
    <s v="T-Shirt"/>
    <n v="32.81"/>
    <x v="1"/>
    <s v="Cash on Delivery"/>
    <n v="3.8"/>
    <x v="13"/>
    <n v="29.857100000000003"/>
    <n v="2"/>
    <x v="1"/>
  </r>
  <r>
    <n v="4138"/>
    <n v="41"/>
    <x v="0"/>
    <x v="1"/>
    <x v="7"/>
    <s v="Formal Shoes"/>
    <n v="104.2"/>
    <x v="2"/>
    <s v="Card"/>
    <n v="4.0999999999999996"/>
    <x v="2"/>
    <n v="92.738"/>
    <n v="3"/>
    <x v="1"/>
  </r>
  <r>
    <n v="4139"/>
    <n v="25"/>
    <x v="2"/>
    <x v="1"/>
    <x v="5"/>
    <s v="Smart Watch"/>
    <n v="991.14"/>
    <x v="2"/>
    <s v="Card"/>
    <n v="2.1"/>
    <x v="17"/>
    <n v="951.49439999999993"/>
    <n v="2"/>
    <x v="1"/>
  </r>
  <r>
    <n v="4140"/>
    <n v="34"/>
    <x v="0"/>
    <x v="0"/>
    <x v="3"/>
    <s v="Kitchen Set"/>
    <n v="138.43"/>
    <x v="2"/>
    <s v="Card"/>
    <n v="4.0999999999999996"/>
    <x v="8"/>
    <n v="121.81840000000001"/>
    <n v="1"/>
    <x v="1"/>
  </r>
  <r>
    <n v="4141"/>
    <n v="61"/>
    <x v="1"/>
    <x v="1"/>
    <x v="2"/>
    <s v="Dumbbells"/>
    <n v="176.45"/>
    <x v="0"/>
    <s v="Card"/>
    <n v="3.9"/>
    <x v="16"/>
    <n v="165.86299999999997"/>
    <n v="3"/>
    <x v="1"/>
  </r>
  <r>
    <n v="4142"/>
    <n v="56"/>
    <x v="0"/>
    <x v="1"/>
    <x v="1"/>
    <s v="T-Shirt"/>
    <n v="156.69"/>
    <x v="3"/>
    <s v="Card"/>
    <n v="3.7"/>
    <x v="2"/>
    <n v="139.45410000000001"/>
    <n v="3"/>
    <x v="1"/>
  </r>
  <r>
    <n v="4143"/>
    <n v="34"/>
    <x v="0"/>
    <x v="1"/>
    <x v="5"/>
    <s v="Headphones"/>
    <n v="1532.93"/>
    <x v="2"/>
    <s v="Card"/>
    <n v="3.8"/>
    <x v="18"/>
    <n v="1165.0268000000001"/>
    <n v="7"/>
    <x v="0"/>
  </r>
  <r>
    <n v="4144"/>
    <n v="24"/>
    <x v="2"/>
    <x v="0"/>
    <x v="6"/>
    <s v="Perfume"/>
    <n v="37.85"/>
    <x v="1"/>
    <s v="Cash on Delivery"/>
    <n v="3.7"/>
    <x v="0"/>
    <n v="31.037000000000003"/>
    <n v="4"/>
    <x v="0"/>
  </r>
  <r>
    <n v="4145"/>
    <n v="49"/>
    <x v="0"/>
    <x v="1"/>
    <x v="1"/>
    <s v="Jeans"/>
    <n v="132.37"/>
    <x v="3"/>
    <s v="Card"/>
    <n v="2.9"/>
    <x v="1"/>
    <n v="115.1619"/>
    <n v="4"/>
    <x v="0"/>
  </r>
  <r>
    <n v="4146"/>
    <n v="40"/>
    <x v="0"/>
    <x v="1"/>
    <x v="2"/>
    <s v="Football"/>
    <n v="42.76"/>
    <x v="0"/>
    <s v="Cash on Delivery"/>
    <n v="2.7"/>
    <x v="5"/>
    <n v="39.339199999999998"/>
    <n v="4"/>
    <x v="0"/>
  </r>
  <r>
    <n v="4147"/>
    <n v="39"/>
    <x v="0"/>
    <x v="0"/>
    <x v="6"/>
    <s v="Makeup Set"/>
    <n v="28.3"/>
    <x v="1"/>
    <s v="Card"/>
    <n v="3.9"/>
    <x v="24"/>
    <n v="20.376000000000001"/>
    <n v="9"/>
    <x v="2"/>
  </r>
  <r>
    <n v="4148"/>
    <n v="27"/>
    <x v="2"/>
    <x v="1"/>
    <x v="5"/>
    <s v="Laptop"/>
    <n v="2662.63"/>
    <x v="1"/>
    <s v="Card"/>
    <n v="3.4"/>
    <x v="19"/>
    <n v="2263.2355000000002"/>
    <n v="5"/>
    <x v="0"/>
  </r>
  <r>
    <n v="4149"/>
    <n v="63"/>
    <x v="1"/>
    <x v="1"/>
    <x v="5"/>
    <s v="Headphones"/>
    <n v="783.46"/>
    <x v="1"/>
    <s v="Card"/>
    <n v="2.9"/>
    <x v="6"/>
    <n v="658.10640000000001"/>
    <n v="8"/>
    <x v="2"/>
  </r>
  <r>
    <n v="4150"/>
    <n v="40"/>
    <x v="0"/>
    <x v="0"/>
    <x v="0"/>
    <s v="Sunglasses"/>
    <n v="28.71"/>
    <x v="2"/>
    <s v="Cash on Delivery"/>
    <n v="2.5"/>
    <x v="6"/>
    <n v="24.116399999999999"/>
    <n v="8"/>
    <x v="2"/>
  </r>
  <r>
    <n v="4151"/>
    <n v="29"/>
    <x v="2"/>
    <x v="1"/>
    <x v="2"/>
    <s v="Dumbbells"/>
    <n v="103"/>
    <x v="3"/>
    <s v="Card"/>
    <n v="2.9"/>
    <x v="22"/>
    <n v="79.31"/>
    <n v="9"/>
    <x v="2"/>
  </r>
  <r>
    <n v="4152"/>
    <n v="48"/>
    <x v="0"/>
    <x v="1"/>
    <x v="1"/>
    <s v="Jacket"/>
    <n v="121.26"/>
    <x v="3"/>
    <s v="Card"/>
    <n v="1.9"/>
    <x v="8"/>
    <n v="106.70880000000001"/>
    <n v="6"/>
    <x v="0"/>
  </r>
  <r>
    <n v="4153"/>
    <n v="30"/>
    <x v="2"/>
    <x v="1"/>
    <x v="4"/>
    <s v="Beverages"/>
    <n v="5.89"/>
    <x v="3"/>
    <s v="Cash on Delivery"/>
    <n v="3.2"/>
    <x v="14"/>
    <n v="4.8886999999999992"/>
    <n v="6"/>
    <x v="0"/>
  </r>
  <r>
    <n v="4154"/>
    <n v="35"/>
    <x v="0"/>
    <x v="1"/>
    <x v="7"/>
    <s v="Sandals"/>
    <n v="240.97"/>
    <x v="3"/>
    <s v="Card"/>
    <n v="2.8"/>
    <x v="10"/>
    <n v="187.95660000000001"/>
    <n v="6"/>
    <x v="0"/>
  </r>
  <r>
    <n v="4155"/>
    <n v="62"/>
    <x v="1"/>
    <x v="0"/>
    <x v="6"/>
    <s v="Makeup Set"/>
    <n v="140.77000000000001"/>
    <x v="3"/>
    <s v="Card"/>
    <n v="2.7"/>
    <x v="16"/>
    <n v="132.32380000000001"/>
    <n v="3"/>
    <x v="1"/>
  </r>
  <r>
    <n v="4156"/>
    <n v="21"/>
    <x v="2"/>
    <x v="1"/>
    <x v="5"/>
    <s v="Headphones"/>
    <n v="1584.57"/>
    <x v="2"/>
    <s v="Card"/>
    <n v="3.6"/>
    <x v="19"/>
    <n v="1346.8844999999999"/>
    <n v="5"/>
    <x v="0"/>
  </r>
  <r>
    <n v="4157"/>
    <n v="56"/>
    <x v="0"/>
    <x v="0"/>
    <x v="8"/>
    <s v="Top"/>
    <n v="123.71"/>
    <x v="0"/>
    <s v="Card"/>
    <n v="3.2"/>
    <x v="2"/>
    <n v="110.1019"/>
    <n v="3"/>
    <x v="1"/>
  </r>
  <r>
    <n v="4158"/>
    <n v="20"/>
    <x v="2"/>
    <x v="0"/>
    <x v="0"/>
    <s v="Wallet"/>
    <n v="127.91"/>
    <x v="1"/>
    <s v="Card"/>
    <n v="2.9"/>
    <x v="14"/>
    <n v="106.16529999999999"/>
    <n v="6"/>
    <x v="0"/>
  </r>
  <r>
    <n v="4159"/>
    <n v="22"/>
    <x v="2"/>
    <x v="0"/>
    <x v="4"/>
    <s v="Snacks"/>
    <n v="23.75"/>
    <x v="1"/>
    <s v="Card"/>
    <n v="3.7"/>
    <x v="0"/>
    <n v="19.475000000000001"/>
    <n v="4"/>
    <x v="0"/>
  </r>
  <r>
    <n v="4160"/>
    <n v="47"/>
    <x v="0"/>
    <x v="1"/>
    <x v="7"/>
    <s v="Sandals"/>
    <n v="71.63"/>
    <x v="0"/>
    <s v="Cash on Delivery"/>
    <n v="3.2"/>
    <x v="19"/>
    <n v="60.885499999999993"/>
    <n v="5"/>
    <x v="0"/>
  </r>
  <r>
    <n v="4161"/>
    <n v="44"/>
    <x v="0"/>
    <x v="0"/>
    <x v="0"/>
    <s v="Wallet"/>
    <n v="132.41999999999999"/>
    <x v="0"/>
    <s v="Card"/>
    <n v="3.7"/>
    <x v="19"/>
    <n v="112.55699999999999"/>
    <n v="5"/>
    <x v="0"/>
  </r>
  <r>
    <n v="4162"/>
    <n v="50"/>
    <x v="0"/>
    <x v="0"/>
    <x v="6"/>
    <s v="Skincare Kit"/>
    <n v="128.51"/>
    <x v="1"/>
    <s v="Card"/>
    <n v="3.8"/>
    <x v="6"/>
    <n v="107.94839999999999"/>
    <n v="8"/>
    <x v="2"/>
  </r>
  <r>
    <n v="4163"/>
    <n v="39"/>
    <x v="0"/>
    <x v="1"/>
    <x v="1"/>
    <s v="Jacket"/>
    <n v="143.5"/>
    <x v="2"/>
    <s v="Card"/>
    <n v="4.9000000000000004"/>
    <x v="12"/>
    <n v="116.23500000000001"/>
    <n v="7"/>
    <x v="0"/>
  </r>
  <r>
    <n v="4164"/>
    <n v="64"/>
    <x v="1"/>
    <x v="0"/>
    <x v="7"/>
    <s v="Sneakers"/>
    <n v="162.31"/>
    <x v="3"/>
    <s v="Card"/>
    <n v="3.7"/>
    <x v="4"/>
    <n v="139.5866"/>
    <n v="7"/>
    <x v="0"/>
  </r>
  <r>
    <n v="4165"/>
    <n v="67"/>
    <x v="1"/>
    <x v="0"/>
    <x v="7"/>
    <s v="Sandals"/>
    <n v="210.1"/>
    <x v="0"/>
    <s v="Card"/>
    <n v="3.9"/>
    <x v="17"/>
    <n v="201.696"/>
    <n v="2"/>
    <x v="1"/>
  </r>
  <r>
    <n v="4166"/>
    <n v="48"/>
    <x v="0"/>
    <x v="1"/>
    <x v="5"/>
    <s v="Mobile Phone"/>
    <n v="1794.93"/>
    <x v="1"/>
    <s v="Card"/>
    <n v="4.5999999999999996"/>
    <x v="6"/>
    <n v="1507.7411999999999"/>
    <n v="8"/>
    <x v="2"/>
  </r>
  <r>
    <n v="4167"/>
    <n v="26"/>
    <x v="2"/>
    <x v="1"/>
    <x v="1"/>
    <s v="T-Shirt"/>
    <n v="52.64"/>
    <x v="0"/>
    <s v="Cash on Delivery"/>
    <n v="4.5"/>
    <x v="13"/>
    <n v="47.9024"/>
    <n v="2"/>
    <x v="1"/>
  </r>
  <r>
    <n v="4168"/>
    <n v="46"/>
    <x v="0"/>
    <x v="1"/>
    <x v="2"/>
    <s v="Dumbbells"/>
    <n v="119.62"/>
    <x v="0"/>
    <s v="Card"/>
    <n v="4.5"/>
    <x v="19"/>
    <n v="101.67700000000001"/>
    <n v="5"/>
    <x v="0"/>
  </r>
  <r>
    <n v="4169"/>
    <n v="26"/>
    <x v="2"/>
    <x v="0"/>
    <x v="7"/>
    <s v="Sandals"/>
    <n v="230.19"/>
    <x v="2"/>
    <s v="Card"/>
    <n v="3.9"/>
    <x v="10"/>
    <n v="179.54820000000001"/>
    <n v="6"/>
    <x v="0"/>
  </r>
  <r>
    <n v="4170"/>
    <n v="50"/>
    <x v="0"/>
    <x v="0"/>
    <x v="3"/>
    <s v="Curtains"/>
    <n v="58.78"/>
    <x v="2"/>
    <s v="Cash on Delivery"/>
    <n v="4.8"/>
    <x v="6"/>
    <n v="49.3752"/>
    <n v="3"/>
    <x v="1"/>
  </r>
  <r>
    <n v="4171"/>
    <n v="36"/>
    <x v="0"/>
    <x v="1"/>
    <x v="5"/>
    <s v="Headphones"/>
    <n v="2331.58"/>
    <x v="2"/>
    <s v="Card"/>
    <n v="3"/>
    <x v="5"/>
    <n v="2145.0536000000002"/>
    <n v="4"/>
    <x v="0"/>
  </r>
  <r>
    <n v="4172"/>
    <n v="36"/>
    <x v="0"/>
    <x v="1"/>
    <x v="2"/>
    <s v="Dumbbells"/>
    <n v="149.44"/>
    <x v="0"/>
    <s v="Card"/>
    <n v="3.6"/>
    <x v="3"/>
    <n v="119.55200000000001"/>
    <n v="5"/>
    <x v="0"/>
  </r>
  <r>
    <n v="4173"/>
    <n v="64"/>
    <x v="1"/>
    <x v="1"/>
    <x v="5"/>
    <s v="Headphones"/>
    <n v="2758.3"/>
    <x v="1"/>
    <s v="Card"/>
    <n v="3.4"/>
    <x v="14"/>
    <n v="2289.3890000000001"/>
    <n v="6"/>
    <x v="0"/>
  </r>
  <r>
    <n v="4174"/>
    <n v="69"/>
    <x v="1"/>
    <x v="0"/>
    <x v="6"/>
    <s v="Makeup Set"/>
    <n v="87.77"/>
    <x v="0"/>
    <s v="Cash on Delivery"/>
    <n v="3.9"/>
    <x v="13"/>
    <n v="79.870699999999999"/>
    <n v="2"/>
    <x v="1"/>
  </r>
  <r>
    <n v="4175"/>
    <n v="41"/>
    <x v="0"/>
    <x v="1"/>
    <x v="1"/>
    <s v="Shirt"/>
    <n v="199.07"/>
    <x v="2"/>
    <s v="Card"/>
    <n v="3.1"/>
    <x v="16"/>
    <n v="187.12579999999997"/>
    <n v="3"/>
    <x v="1"/>
  </r>
  <r>
    <n v="4176"/>
    <n v="39"/>
    <x v="0"/>
    <x v="1"/>
    <x v="1"/>
    <s v="Shirt"/>
    <n v="145.5"/>
    <x v="0"/>
    <s v="Card"/>
    <n v="3.8"/>
    <x v="17"/>
    <n v="139.68"/>
    <n v="2"/>
    <x v="1"/>
  </r>
  <r>
    <n v="4177"/>
    <n v="62"/>
    <x v="1"/>
    <x v="0"/>
    <x v="6"/>
    <s v="Makeup Set"/>
    <n v="145.38999999999999"/>
    <x v="3"/>
    <s v="Card"/>
    <n v="3.8"/>
    <x v="1"/>
    <n v="126.48929999999999"/>
    <n v="4"/>
    <x v="0"/>
  </r>
  <r>
    <n v="4178"/>
    <n v="47"/>
    <x v="0"/>
    <x v="1"/>
    <x v="5"/>
    <s v="Mobile Phone"/>
    <n v="1665.59"/>
    <x v="3"/>
    <s v="Card"/>
    <n v="3.9"/>
    <x v="14"/>
    <n v="1382.4396999999999"/>
    <n v="6"/>
    <x v="0"/>
  </r>
  <r>
    <n v="4179"/>
    <n v="46"/>
    <x v="0"/>
    <x v="0"/>
    <x v="7"/>
    <s v="Sandals"/>
    <n v="89.47"/>
    <x v="1"/>
    <s v="Cash on Delivery"/>
    <n v="4.3"/>
    <x v="14"/>
    <n v="74.260099999999994"/>
    <n v="6"/>
    <x v="0"/>
  </r>
  <r>
    <n v="4180"/>
    <n v="56"/>
    <x v="0"/>
    <x v="1"/>
    <x v="1"/>
    <s v="Shirt"/>
    <n v="153.46"/>
    <x v="1"/>
    <s v="Card"/>
    <n v="3.2"/>
    <x v="2"/>
    <n v="136.57940000000002"/>
    <n v="3"/>
    <x v="1"/>
  </r>
  <r>
    <n v="4181"/>
    <n v="32"/>
    <x v="0"/>
    <x v="0"/>
    <x v="0"/>
    <s v="Sunglasses"/>
    <n v="156.18"/>
    <x v="2"/>
    <s v="Card"/>
    <n v="2.6"/>
    <x v="8"/>
    <n v="137.4384"/>
    <n v="6"/>
    <x v="0"/>
  </r>
  <r>
    <n v="4182"/>
    <n v="50"/>
    <x v="0"/>
    <x v="1"/>
    <x v="2"/>
    <s v="Dumbbells"/>
    <n v="83.36"/>
    <x v="3"/>
    <s v="Card"/>
    <n v="3.4"/>
    <x v="7"/>
    <n v="75.024000000000001"/>
    <n v="5"/>
    <x v="0"/>
  </r>
  <r>
    <n v="4183"/>
    <n v="58"/>
    <x v="0"/>
    <x v="1"/>
    <x v="1"/>
    <s v="T-Shirt"/>
    <n v="171.56"/>
    <x v="3"/>
    <s v="Card"/>
    <n v="3.9"/>
    <x v="5"/>
    <n v="157.83520000000001"/>
    <n v="4"/>
    <x v="0"/>
  </r>
  <r>
    <n v="4184"/>
    <n v="26"/>
    <x v="2"/>
    <x v="0"/>
    <x v="8"/>
    <s v="Top"/>
    <n v="31.99"/>
    <x v="2"/>
    <s v="Cash on Delivery"/>
    <n v="3.4"/>
    <x v="22"/>
    <n v="24.632300000000001"/>
    <n v="9"/>
    <x v="2"/>
  </r>
  <r>
    <n v="4185"/>
    <n v="58"/>
    <x v="0"/>
    <x v="0"/>
    <x v="8"/>
    <s v="Top"/>
    <n v="199.24"/>
    <x v="2"/>
    <s v="Card"/>
    <n v="3.3"/>
    <x v="19"/>
    <n v="169.35400000000001"/>
    <n v="5"/>
    <x v="0"/>
  </r>
  <r>
    <n v="4186"/>
    <n v="24"/>
    <x v="2"/>
    <x v="0"/>
    <x v="8"/>
    <s v="Top"/>
    <n v="80.739999999999995"/>
    <x v="1"/>
    <s v="Card"/>
    <n v="3.4"/>
    <x v="18"/>
    <n v="61.362399999999994"/>
    <n v="7"/>
    <x v="0"/>
  </r>
  <r>
    <n v="4187"/>
    <n v="65"/>
    <x v="1"/>
    <x v="0"/>
    <x v="7"/>
    <s v="Sandals"/>
    <n v="231.77"/>
    <x v="0"/>
    <s v="Card"/>
    <n v="3.5"/>
    <x v="10"/>
    <n v="180.78060000000002"/>
    <n v="6"/>
    <x v="0"/>
  </r>
  <r>
    <n v="4188"/>
    <n v="46"/>
    <x v="0"/>
    <x v="1"/>
    <x v="1"/>
    <s v="T-Shirt"/>
    <n v="79.069999999999993"/>
    <x v="0"/>
    <s v="Card"/>
    <n v="4.3"/>
    <x v="4"/>
    <n v="68.000199999999992"/>
    <n v="2"/>
    <x v="1"/>
  </r>
  <r>
    <n v="4189"/>
    <n v="57"/>
    <x v="0"/>
    <x v="0"/>
    <x v="4"/>
    <s v="Rice Pack"/>
    <n v="13.76"/>
    <x v="2"/>
    <s v="Card"/>
    <n v="4.4000000000000004"/>
    <x v="23"/>
    <n v="12.796799999999999"/>
    <n v="1"/>
    <x v="1"/>
  </r>
  <r>
    <n v="4190"/>
    <n v="27"/>
    <x v="2"/>
    <x v="0"/>
    <x v="6"/>
    <s v="Perfume"/>
    <n v="113.95"/>
    <x v="1"/>
    <s v="Card"/>
    <n v="3.7"/>
    <x v="2"/>
    <n v="101.41550000000001"/>
    <n v="3"/>
    <x v="1"/>
  </r>
  <r>
    <n v="4191"/>
    <n v="41"/>
    <x v="0"/>
    <x v="0"/>
    <x v="7"/>
    <s v="Formal Shoes"/>
    <n v="216.85"/>
    <x v="1"/>
    <s v="Card"/>
    <n v="3.3"/>
    <x v="21"/>
    <n v="171.3115"/>
    <n v="8"/>
    <x v="2"/>
  </r>
  <r>
    <n v="4192"/>
    <n v="40"/>
    <x v="0"/>
    <x v="0"/>
    <x v="6"/>
    <s v="Perfume"/>
    <n v="58.55"/>
    <x v="1"/>
    <s v="Cash on Delivery"/>
    <n v="4.8"/>
    <x v="16"/>
    <n v="55.036999999999992"/>
    <n v="3"/>
    <x v="1"/>
  </r>
  <r>
    <n v="4193"/>
    <n v="43"/>
    <x v="0"/>
    <x v="1"/>
    <x v="2"/>
    <s v="Yoga Mat"/>
    <n v="188.28"/>
    <x v="2"/>
    <s v="Card"/>
    <n v="4.4000000000000004"/>
    <x v="12"/>
    <n v="152.5068"/>
    <n v="7"/>
    <x v="0"/>
  </r>
  <r>
    <n v="4194"/>
    <n v="37"/>
    <x v="0"/>
    <x v="0"/>
    <x v="8"/>
    <s v="Skirt"/>
    <n v="116.17"/>
    <x v="0"/>
    <s v="Card"/>
    <n v="4.4000000000000004"/>
    <x v="10"/>
    <n v="90.6126"/>
    <n v="6"/>
    <x v="0"/>
  </r>
  <r>
    <n v="4195"/>
    <n v="34"/>
    <x v="0"/>
    <x v="0"/>
    <x v="3"/>
    <s v="Curtains"/>
    <n v="142.76"/>
    <x v="3"/>
    <s v="Card"/>
    <n v="4.5999999999999996"/>
    <x v="12"/>
    <n v="115.6356"/>
    <n v="7"/>
    <x v="0"/>
  </r>
  <r>
    <n v="4196"/>
    <n v="43"/>
    <x v="0"/>
    <x v="1"/>
    <x v="7"/>
    <s v="Sneakers"/>
    <n v="158.75"/>
    <x v="2"/>
    <s v="Card"/>
    <n v="4.5"/>
    <x v="6"/>
    <n v="133.35"/>
    <n v="8"/>
    <x v="2"/>
  </r>
  <r>
    <n v="4197"/>
    <n v="49"/>
    <x v="0"/>
    <x v="0"/>
    <x v="4"/>
    <s v="Cooking Oil"/>
    <n v="43.81"/>
    <x v="1"/>
    <s v="Cash on Delivery"/>
    <n v="4"/>
    <x v="8"/>
    <n v="38.552800000000005"/>
    <n v="6"/>
    <x v="0"/>
  </r>
  <r>
    <n v="4198"/>
    <n v="57"/>
    <x v="0"/>
    <x v="1"/>
    <x v="2"/>
    <s v="Football"/>
    <n v="66.09"/>
    <x v="1"/>
    <s v="Cash on Delivery"/>
    <n v="3.6"/>
    <x v="2"/>
    <n v="58.820100000000004"/>
    <n v="3"/>
    <x v="1"/>
  </r>
  <r>
    <n v="4199"/>
    <n v="60"/>
    <x v="0"/>
    <x v="1"/>
    <x v="5"/>
    <s v="Laptop"/>
    <n v="2585.88"/>
    <x v="2"/>
    <s v="Card"/>
    <n v="3.1"/>
    <x v="19"/>
    <n v="2197.998"/>
    <n v="5"/>
    <x v="0"/>
  </r>
  <r>
    <n v="4200"/>
    <n v="45"/>
    <x v="0"/>
    <x v="1"/>
    <x v="5"/>
    <s v="Laptop"/>
    <n v="2462.83"/>
    <x v="1"/>
    <s v="Card"/>
    <n v="4.5"/>
    <x v="8"/>
    <n v="2167.2903999999999"/>
    <n v="6"/>
    <x v="0"/>
  </r>
  <r>
    <n v="4201"/>
    <n v="38"/>
    <x v="0"/>
    <x v="1"/>
    <x v="2"/>
    <s v="Yoga Mat"/>
    <n v="92.59"/>
    <x v="1"/>
    <s v="Card"/>
    <n v="4.5999999999999996"/>
    <x v="12"/>
    <n v="74.997900000000001"/>
    <n v="7"/>
    <x v="0"/>
  </r>
  <r>
    <n v="4202"/>
    <n v="52"/>
    <x v="0"/>
    <x v="0"/>
    <x v="8"/>
    <s v="Jeans"/>
    <n v="132.66999999999999"/>
    <x v="0"/>
    <s v="Card"/>
    <n v="5"/>
    <x v="1"/>
    <n v="115.42289999999998"/>
    <n v="4"/>
    <x v="0"/>
  </r>
  <r>
    <n v="4203"/>
    <n v="49"/>
    <x v="0"/>
    <x v="0"/>
    <x v="4"/>
    <s v="Cooking Oil"/>
    <n v="44.3"/>
    <x v="2"/>
    <s v="Card"/>
    <n v="4.3"/>
    <x v="14"/>
    <n v="36.768999999999998"/>
    <n v="6"/>
    <x v="0"/>
  </r>
  <r>
    <n v="4204"/>
    <n v="26"/>
    <x v="2"/>
    <x v="0"/>
    <x v="6"/>
    <s v="Perfume"/>
    <n v="76.87"/>
    <x v="1"/>
    <s v="Card"/>
    <n v="3"/>
    <x v="7"/>
    <n v="69.183000000000007"/>
    <n v="5"/>
    <x v="0"/>
  </r>
  <r>
    <n v="4205"/>
    <n v="58"/>
    <x v="0"/>
    <x v="1"/>
    <x v="1"/>
    <s v="Jacket"/>
    <n v="53.51"/>
    <x v="1"/>
    <s v="Card"/>
    <n v="4.4000000000000004"/>
    <x v="8"/>
    <n v="47.088799999999999"/>
    <n v="6"/>
    <x v="0"/>
  </r>
  <r>
    <n v="4206"/>
    <n v="52"/>
    <x v="0"/>
    <x v="1"/>
    <x v="2"/>
    <s v="Dumbbells"/>
    <n v="103.02"/>
    <x v="0"/>
    <s v="Card"/>
    <n v="3.6"/>
    <x v="4"/>
    <n v="88.597200000000001"/>
    <n v="7"/>
    <x v="0"/>
  </r>
  <r>
    <n v="4207"/>
    <n v="64"/>
    <x v="1"/>
    <x v="1"/>
    <x v="7"/>
    <s v="Sneakers"/>
    <n v="184.26"/>
    <x v="2"/>
    <s v="Card"/>
    <n v="4.5999999999999996"/>
    <x v="8"/>
    <n v="162.14879999999999"/>
    <n v="1"/>
    <x v="1"/>
  </r>
  <r>
    <n v="4208"/>
    <n v="55"/>
    <x v="0"/>
    <x v="0"/>
    <x v="7"/>
    <s v="Sneakers"/>
    <n v="171.05"/>
    <x v="0"/>
    <s v="Card"/>
    <n v="3.8"/>
    <x v="8"/>
    <n v="150.524"/>
    <n v="6"/>
    <x v="0"/>
  </r>
  <r>
    <n v="4209"/>
    <n v="67"/>
    <x v="1"/>
    <x v="0"/>
    <x v="0"/>
    <s v="Wallet"/>
    <n v="37.770000000000003"/>
    <x v="2"/>
    <s v="Cash on Delivery"/>
    <n v="4.5"/>
    <x v="3"/>
    <n v="30.216000000000005"/>
    <n v="5"/>
    <x v="0"/>
  </r>
  <r>
    <n v="4210"/>
    <n v="41"/>
    <x v="0"/>
    <x v="1"/>
    <x v="3"/>
    <s v="Lamp"/>
    <n v="170.89"/>
    <x v="0"/>
    <s v="Card"/>
    <n v="4.7"/>
    <x v="18"/>
    <n v="129.87639999999999"/>
    <n v="7"/>
    <x v="0"/>
  </r>
  <r>
    <n v="4211"/>
    <n v="23"/>
    <x v="2"/>
    <x v="1"/>
    <x v="7"/>
    <s v="Formal Shoes"/>
    <n v="249.42"/>
    <x v="1"/>
    <s v="Card"/>
    <n v="2.7"/>
    <x v="22"/>
    <n v="192.05339999999998"/>
    <n v="9"/>
    <x v="2"/>
  </r>
  <r>
    <n v="4212"/>
    <n v="66"/>
    <x v="1"/>
    <x v="0"/>
    <x v="7"/>
    <s v="Sandals"/>
    <n v="167.08"/>
    <x v="1"/>
    <s v="Card"/>
    <n v="4.2"/>
    <x v="18"/>
    <n v="126.98080000000002"/>
    <n v="7"/>
    <x v="0"/>
  </r>
  <r>
    <n v="4213"/>
    <n v="26"/>
    <x v="2"/>
    <x v="0"/>
    <x v="4"/>
    <s v="Cooking Oil"/>
    <n v="59.78"/>
    <x v="0"/>
    <s v="Card"/>
    <n v="4.3"/>
    <x v="19"/>
    <n v="50.813000000000002"/>
    <n v="5"/>
    <x v="0"/>
  </r>
  <r>
    <n v="4214"/>
    <n v="44"/>
    <x v="0"/>
    <x v="0"/>
    <x v="8"/>
    <s v="Top"/>
    <n v="32"/>
    <x v="0"/>
    <s v="Card"/>
    <n v="5"/>
    <x v="4"/>
    <n v="27.52"/>
    <n v="7"/>
    <x v="0"/>
  </r>
  <r>
    <n v="4215"/>
    <n v="36"/>
    <x v="0"/>
    <x v="1"/>
    <x v="2"/>
    <s v="Yoga Mat"/>
    <n v="46.99"/>
    <x v="1"/>
    <s v="Cash on Delivery"/>
    <n v="3.7"/>
    <x v="5"/>
    <n v="43.230800000000002"/>
    <n v="4"/>
    <x v="0"/>
  </r>
  <r>
    <n v="4216"/>
    <n v="31"/>
    <x v="0"/>
    <x v="1"/>
    <x v="7"/>
    <s v="Sneakers"/>
    <n v="82.9"/>
    <x v="2"/>
    <s v="Card"/>
    <n v="4.2"/>
    <x v="6"/>
    <n v="69.635999999999996"/>
    <n v="3"/>
    <x v="1"/>
  </r>
  <r>
    <n v="4217"/>
    <n v="69"/>
    <x v="1"/>
    <x v="1"/>
    <x v="7"/>
    <s v="Sneakers"/>
    <n v="245.86"/>
    <x v="2"/>
    <s v="Card"/>
    <n v="4"/>
    <x v="19"/>
    <n v="208.98099999999999"/>
    <n v="5"/>
    <x v="0"/>
  </r>
  <r>
    <n v="4218"/>
    <n v="48"/>
    <x v="0"/>
    <x v="0"/>
    <x v="0"/>
    <s v="Handbag"/>
    <n v="94.05"/>
    <x v="1"/>
    <s v="Cash on Delivery"/>
    <n v="4.3"/>
    <x v="7"/>
    <n v="84.644999999999996"/>
    <n v="5"/>
    <x v="0"/>
  </r>
  <r>
    <n v="4219"/>
    <n v="31"/>
    <x v="0"/>
    <x v="0"/>
    <x v="4"/>
    <s v="Rice Pack"/>
    <n v="9.39"/>
    <x v="0"/>
    <s v="Card"/>
    <n v="4.2"/>
    <x v="4"/>
    <n v="8.0754000000000001"/>
    <n v="2"/>
    <x v="1"/>
  </r>
  <r>
    <n v="4220"/>
    <n v="33"/>
    <x v="0"/>
    <x v="0"/>
    <x v="7"/>
    <s v="Formal Shoes"/>
    <n v="115.37"/>
    <x v="2"/>
    <s v="Card"/>
    <n v="2.8"/>
    <x v="16"/>
    <n v="108.4478"/>
    <n v="3"/>
    <x v="1"/>
  </r>
  <r>
    <n v="4221"/>
    <n v="42"/>
    <x v="0"/>
    <x v="1"/>
    <x v="3"/>
    <s v="Lamp"/>
    <n v="288.26"/>
    <x v="1"/>
    <s v="Card"/>
    <n v="4.0999999999999996"/>
    <x v="7"/>
    <n v="259.43400000000003"/>
    <n v="5"/>
    <x v="0"/>
  </r>
  <r>
    <n v="4222"/>
    <n v="61"/>
    <x v="1"/>
    <x v="1"/>
    <x v="5"/>
    <s v="Mobile Phone"/>
    <n v="2235.09"/>
    <x v="2"/>
    <s v="Card"/>
    <n v="4.4000000000000004"/>
    <x v="4"/>
    <n v="1922.1774"/>
    <n v="7"/>
    <x v="0"/>
  </r>
  <r>
    <n v="4223"/>
    <n v="62"/>
    <x v="1"/>
    <x v="1"/>
    <x v="2"/>
    <s v="Football"/>
    <n v="173.92"/>
    <x v="3"/>
    <s v="Card"/>
    <n v="4.2"/>
    <x v="5"/>
    <n v="160.00639999999999"/>
    <n v="4"/>
    <x v="0"/>
  </r>
  <r>
    <n v="4224"/>
    <n v="29"/>
    <x v="2"/>
    <x v="0"/>
    <x v="6"/>
    <s v="Perfume"/>
    <n v="20.49"/>
    <x v="1"/>
    <s v="Cash on Delivery"/>
    <n v="3.7"/>
    <x v="4"/>
    <n v="17.621399999999998"/>
    <n v="7"/>
    <x v="0"/>
  </r>
  <r>
    <n v="4225"/>
    <n v="23"/>
    <x v="2"/>
    <x v="0"/>
    <x v="6"/>
    <s v="Skincare Kit"/>
    <n v="46.62"/>
    <x v="2"/>
    <s v="Cash on Delivery"/>
    <n v="5"/>
    <x v="10"/>
    <n v="36.363599999999998"/>
    <n v="6"/>
    <x v="0"/>
  </r>
  <r>
    <n v="4226"/>
    <n v="49"/>
    <x v="0"/>
    <x v="1"/>
    <x v="5"/>
    <s v="Mobile Phone"/>
    <n v="2552"/>
    <x v="0"/>
    <s v="Card"/>
    <n v="4.5"/>
    <x v="0"/>
    <n v="2092.6400000000003"/>
    <n v="4"/>
    <x v="0"/>
  </r>
  <r>
    <n v="4227"/>
    <n v="67"/>
    <x v="1"/>
    <x v="1"/>
    <x v="2"/>
    <s v="Yoga Mat"/>
    <n v="123.27"/>
    <x v="3"/>
    <s v="Card"/>
    <n v="4.0999999999999996"/>
    <x v="8"/>
    <n v="108.4776"/>
    <n v="6"/>
    <x v="0"/>
  </r>
  <r>
    <n v="4228"/>
    <n v="65"/>
    <x v="1"/>
    <x v="1"/>
    <x v="7"/>
    <s v="Formal Shoes"/>
    <n v="92.07"/>
    <x v="3"/>
    <s v="Cash on Delivery"/>
    <n v="4.2"/>
    <x v="0"/>
    <n v="75.497399999999999"/>
    <n v="4"/>
    <x v="0"/>
  </r>
  <r>
    <n v="4229"/>
    <n v="30"/>
    <x v="2"/>
    <x v="0"/>
    <x v="0"/>
    <s v="Wallet"/>
    <n v="37.86"/>
    <x v="1"/>
    <s v="Cash on Delivery"/>
    <n v="4.9000000000000004"/>
    <x v="6"/>
    <n v="31.802399999999999"/>
    <n v="3"/>
    <x v="1"/>
  </r>
  <r>
    <n v="4230"/>
    <n v="52"/>
    <x v="0"/>
    <x v="1"/>
    <x v="5"/>
    <s v="Smart Watch"/>
    <n v="1075.98"/>
    <x v="0"/>
    <s v="Card"/>
    <n v="4"/>
    <x v="17"/>
    <n v="1032.9408000000001"/>
    <n v="2"/>
    <x v="1"/>
  </r>
  <r>
    <n v="4231"/>
    <n v="70"/>
    <x v="1"/>
    <x v="1"/>
    <x v="7"/>
    <s v="Formal Shoes"/>
    <n v="71.55"/>
    <x v="3"/>
    <s v="Cash on Delivery"/>
    <n v="4.5"/>
    <x v="7"/>
    <n v="64.394999999999996"/>
    <n v="5"/>
    <x v="0"/>
  </r>
  <r>
    <n v="4232"/>
    <n v="27"/>
    <x v="2"/>
    <x v="1"/>
    <x v="5"/>
    <s v="Headphones"/>
    <n v="2020.46"/>
    <x v="0"/>
    <s v="Card"/>
    <n v="5"/>
    <x v="22"/>
    <n v="1555.7542000000001"/>
    <n v="9"/>
    <x v="2"/>
  </r>
  <r>
    <n v="4233"/>
    <n v="41"/>
    <x v="0"/>
    <x v="0"/>
    <x v="0"/>
    <s v="Handbag"/>
    <n v="55.11"/>
    <x v="1"/>
    <s v="Card"/>
    <n v="3.2"/>
    <x v="19"/>
    <n v="46.843499999999999"/>
    <n v="5"/>
    <x v="0"/>
  </r>
  <r>
    <n v="4234"/>
    <n v="22"/>
    <x v="2"/>
    <x v="0"/>
    <x v="6"/>
    <s v="Makeup Set"/>
    <n v="120.3"/>
    <x v="1"/>
    <s v="Card"/>
    <n v="3.3"/>
    <x v="2"/>
    <n v="107.06699999999999"/>
    <n v="3"/>
    <x v="1"/>
  </r>
  <r>
    <n v="4235"/>
    <n v="50"/>
    <x v="0"/>
    <x v="0"/>
    <x v="0"/>
    <s v="Wallet"/>
    <n v="69.930000000000007"/>
    <x v="0"/>
    <s v="Cash on Delivery"/>
    <n v="3.9"/>
    <x v="1"/>
    <n v="60.839100000000009"/>
    <n v="4"/>
    <x v="0"/>
  </r>
  <r>
    <n v="4236"/>
    <n v="27"/>
    <x v="2"/>
    <x v="0"/>
    <x v="8"/>
    <s v="Top"/>
    <n v="185.32"/>
    <x v="3"/>
    <s v="Card"/>
    <n v="4.5"/>
    <x v="12"/>
    <n v="150.10920000000002"/>
    <n v="7"/>
    <x v="0"/>
  </r>
  <r>
    <n v="4237"/>
    <n v="28"/>
    <x v="2"/>
    <x v="0"/>
    <x v="0"/>
    <s v="Handbag"/>
    <n v="123.5"/>
    <x v="1"/>
    <s v="Card"/>
    <n v="3"/>
    <x v="4"/>
    <n v="106.21"/>
    <n v="2"/>
    <x v="1"/>
  </r>
  <r>
    <n v="4238"/>
    <n v="52"/>
    <x v="0"/>
    <x v="1"/>
    <x v="7"/>
    <s v="Formal Shoes"/>
    <n v="56.61"/>
    <x v="3"/>
    <s v="Cash on Delivery"/>
    <n v="2.9"/>
    <x v="19"/>
    <n v="48.118499999999997"/>
    <n v="5"/>
    <x v="0"/>
  </r>
  <r>
    <n v="4239"/>
    <n v="32"/>
    <x v="0"/>
    <x v="0"/>
    <x v="8"/>
    <s v="Top"/>
    <n v="60.63"/>
    <x v="2"/>
    <s v="Cash on Delivery"/>
    <n v="3.6"/>
    <x v="8"/>
    <n v="53.354400000000005"/>
    <n v="6"/>
    <x v="0"/>
  </r>
  <r>
    <n v="4240"/>
    <n v="68"/>
    <x v="1"/>
    <x v="0"/>
    <x v="0"/>
    <s v="Wallet"/>
    <n v="80.92"/>
    <x v="1"/>
    <s v="Card"/>
    <n v="4"/>
    <x v="6"/>
    <n v="67.972799999999992"/>
    <n v="3"/>
    <x v="1"/>
  </r>
  <r>
    <n v="4241"/>
    <n v="52"/>
    <x v="0"/>
    <x v="0"/>
    <x v="0"/>
    <s v="Handbag"/>
    <n v="152.85"/>
    <x v="0"/>
    <s v="Card"/>
    <n v="4.5"/>
    <x v="19"/>
    <n v="129.92249999999999"/>
    <n v="5"/>
    <x v="0"/>
  </r>
  <r>
    <n v="4242"/>
    <n v="29"/>
    <x v="2"/>
    <x v="1"/>
    <x v="5"/>
    <s v="Mobile Phone"/>
    <n v="2125.29"/>
    <x v="2"/>
    <s v="Card"/>
    <n v="3.2"/>
    <x v="19"/>
    <n v="1806.4965"/>
    <n v="5"/>
    <x v="0"/>
  </r>
  <r>
    <n v="4243"/>
    <n v="58"/>
    <x v="0"/>
    <x v="1"/>
    <x v="1"/>
    <s v="Jacket"/>
    <n v="123.77"/>
    <x v="0"/>
    <s v="Card"/>
    <n v="3"/>
    <x v="14"/>
    <n v="102.72909999999999"/>
    <n v="6"/>
    <x v="0"/>
  </r>
  <r>
    <n v="4244"/>
    <n v="54"/>
    <x v="0"/>
    <x v="0"/>
    <x v="7"/>
    <s v="Sandals"/>
    <n v="90.38"/>
    <x v="1"/>
    <s v="Card"/>
    <n v="2.2000000000000002"/>
    <x v="2"/>
    <n v="80.438199999999995"/>
    <n v="3"/>
    <x v="1"/>
  </r>
  <r>
    <n v="4245"/>
    <n v="32"/>
    <x v="0"/>
    <x v="1"/>
    <x v="2"/>
    <s v="Football"/>
    <n v="76.58"/>
    <x v="3"/>
    <s v="Card"/>
    <n v="3"/>
    <x v="0"/>
    <n v="62.7956"/>
    <n v="4"/>
    <x v="0"/>
  </r>
  <r>
    <n v="4246"/>
    <n v="68"/>
    <x v="1"/>
    <x v="0"/>
    <x v="7"/>
    <s v="Sneakers"/>
    <n v="167.65"/>
    <x v="3"/>
    <s v="Card"/>
    <n v="4.4000000000000004"/>
    <x v="19"/>
    <n v="142.5025"/>
    <n v="5"/>
    <x v="0"/>
  </r>
  <r>
    <n v="4247"/>
    <n v="29"/>
    <x v="2"/>
    <x v="1"/>
    <x v="2"/>
    <s v="Yoga Mat"/>
    <n v="140.16999999999999"/>
    <x v="1"/>
    <s v="Card"/>
    <n v="3.1"/>
    <x v="4"/>
    <n v="120.54619999999998"/>
    <n v="2"/>
    <x v="1"/>
  </r>
  <r>
    <n v="4248"/>
    <n v="63"/>
    <x v="1"/>
    <x v="0"/>
    <x v="0"/>
    <s v="Wallet"/>
    <n v="159.29"/>
    <x v="2"/>
    <s v="Card"/>
    <n v="5"/>
    <x v="1"/>
    <n v="138.5823"/>
    <n v="4"/>
    <x v="0"/>
  </r>
  <r>
    <n v="4249"/>
    <n v="51"/>
    <x v="0"/>
    <x v="0"/>
    <x v="8"/>
    <s v="Top"/>
    <n v="182.14"/>
    <x v="0"/>
    <s v="Card"/>
    <n v="3.3"/>
    <x v="0"/>
    <n v="149.35480000000001"/>
    <n v="4"/>
    <x v="0"/>
  </r>
  <r>
    <n v="4250"/>
    <n v="43"/>
    <x v="0"/>
    <x v="0"/>
    <x v="7"/>
    <s v="Formal Shoes"/>
    <n v="207.33"/>
    <x v="0"/>
    <s v="Card"/>
    <n v="3.9"/>
    <x v="7"/>
    <n v="186.59700000000001"/>
    <n v="5"/>
    <x v="0"/>
  </r>
  <r>
    <n v="4251"/>
    <n v="20"/>
    <x v="2"/>
    <x v="0"/>
    <x v="6"/>
    <s v="Makeup Set"/>
    <n v="142.55000000000001"/>
    <x v="0"/>
    <s v="Card"/>
    <n v="3.7"/>
    <x v="4"/>
    <n v="122.593"/>
    <n v="2"/>
    <x v="1"/>
  </r>
  <r>
    <n v="4252"/>
    <n v="24"/>
    <x v="2"/>
    <x v="1"/>
    <x v="2"/>
    <s v="Dumbbells"/>
    <n v="28.41"/>
    <x v="1"/>
    <s v="Card"/>
    <n v="3.7"/>
    <x v="0"/>
    <n v="23.296200000000002"/>
    <n v="4"/>
    <x v="0"/>
  </r>
  <r>
    <n v="4253"/>
    <n v="22"/>
    <x v="2"/>
    <x v="0"/>
    <x v="3"/>
    <s v="Kitchen Set"/>
    <n v="53.87"/>
    <x v="3"/>
    <s v="Card"/>
    <n v="3.7"/>
    <x v="13"/>
    <n v="49.021700000000003"/>
    <n v="2"/>
    <x v="1"/>
  </r>
  <r>
    <n v="4254"/>
    <n v="40"/>
    <x v="0"/>
    <x v="1"/>
    <x v="5"/>
    <s v="Laptop"/>
    <n v="2648.55"/>
    <x v="0"/>
    <s v="Card"/>
    <n v="5"/>
    <x v="6"/>
    <n v="2224.7820000000002"/>
    <n v="8"/>
    <x v="2"/>
  </r>
  <r>
    <n v="4255"/>
    <n v="56"/>
    <x v="0"/>
    <x v="1"/>
    <x v="5"/>
    <s v="Headphones"/>
    <n v="2273.5300000000002"/>
    <x v="3"/>
    <s v="Card"/>
    <n v="3.9"/>
    <x v="27"/>
    <n v="1705.1475"/>
    <n v="10"/>
    <x v="2"/>
  </r>
  <r>
    <n v="4256"/>
    <n v="68"/>
    <x v="1"/>
    <x v="0"/>
    <x v="2"/>
    <s v="Football"/>
    <n v="118.12"/>
    <x v="2"/>
    <s v="Card"/>
    <n v="3.3"/>
    <x v="10"/>
    <n v="92.133600000000001"/>
    <n v="6"/>
    <x v="0"/>
  </r>
  <r>
    <n v="4257"/>
    <n v="39"/>
    <x v="0"/>
    <x v="0"/>
    <x v="7"/>
    <s v="Sandals"/>
    <n v="226.03"/>
    <x v="2"/>
    <s v="Card"/>
    <n v="3.8"/>
    <x v="3"/>
    <n v="180.82400000000001"/>
    <n v="5"/>
    <x v="0"/>
  </r>
  <r>
    <n v="4258"/>
    <n v="45"/>
    <x v="0"/>
    <x v="0"/>
    <x v="8"/>
    <s v="Top"/>
    <n v="78.87"/>
    <x v="1"/>
    <s v="Cash on Delivery"/>
    <n v="3.7"/>
    <x v="0"/>
    <n v="64.673400000000015"/>
    <n v="4"/>
    <x v="0"/>
  </r>
  <r>
    <n v="4259"/>
    <n v="63"/>
    <x v="1"/>
    <x v="1"/>
    <x v="2"/>
    <s v="Football"/>
    <n v="119.9"/>
    <x v="0"/>
    <s v="Card"/>
    <n v="4.5999999999999996"/>
    <x v="25"/>
    <n v="83.929999999999993"/>
    <n v="10"/>
    <x v="2"/>
  </r>
  <r>
    <n v="4260"/>
    <n v="46"/>
    <x v="0"/>
    <x v="0"/>
    <x v="0"/>
    <s v="Handbag"/>
    <n v="64.95"/>
    <x v="0"/>
    <s v="Cash on Delivery"/>
    <n v="3.6"/>
    <x v="8"/>
    <n v="57.156000000000006"/>
    <n v="1"/>
    <x v="1"/>
  </r>
  <r>
    <n v="4261"/>
    <n v="34"/>
    <x v="0"/>
    <x v="1"/>
    <x v="7"/>
    <s v="Sandals"/>
    <n v="103.26"/>
    <x v="2"/>
    <s v="Card"/>
    <n v="5"/>
    <x v="19"/>
    <n v="87.771000000000001"/>
    <n v="5"/>
    <x v="0"/>
  </r>
  <r>
    <n v="4262"/>
    <n v="69"/>
    <x v="1"/>
    <x v="1"/>
    <x v="5"/>
    <s v="Headphones"/>
    <n v="1019.98"/>
    <x v="1"/>
    <s v="Card"/>
    <n v="4.5"/>
    <x v="0"/>
    <n v="836.38360000000011"/>
    <n v="4"/>
    <x v="0"/>
  </r>
  <r>
    <n v="4263"/>
    <n v="48"/>
    <x v="0"/>
    <x v="0"/>
    <x v="0"/>
    <s v="Sunglasses"/>
    <n v="177.11"/>
    <x v="0"/>
    <s v="Card"/>
    <n v="4.7"/>
    <x v="16"/>
    <n v="166.48340000000002"/>
    <n v="3"/>
    <x v="1"/>
  </r>
  <r>
    <n v="4264"/>
    <n v="68"/>
    <x v="1"/>
    <x v="0"/>
    <x v="8"/>
    <s v="Top"/>
    <n v="102.76"/>
    <x v="1"/>
    <s v="Card"/>
    <n v="3.5"/>
    <x v="14"/>
    <n v="85.290800000000004"/>
    <n v="6"/>
    <x v="0"/>
  </r>
  <r>
    <n v="4265"/>
    <n v="58"/>
    <x v="0"/>
    <x v="1"/>
    <x v="1"/>
    <s v="T-Shirt"/>
    <n v="115.46"/>
    <x v="1"/>
    <s v="Card"/>
    <n v="5"/>
    <x v="4"/>
    <n v="99.295599999999993"/>
    <n v="7"/>
    <x v="0"/>
  </r>
  <r>
    <n v="4266"/>
    <n v="23"/>
    <x v="2"/>
    <x v="1"/>
    <x v="1"/>
    <s v="Jacket"/>
    <n v="180.94"/>
    <x v="3"/>
    <s v="Card"/>
    <n v="3.9"/>
    <x v="4"/>
    <n v="155.60839999999999"/>
    <n v="7"/>
    <x v="0"/>
  </r>
  <r>
    <n v="4267"/>
    <n v="62"/>
    <x v="1"/>
    <x v="0"/>
    <x v="0"/>
    <s v="Wallet"/>
    <n v="155.55000000000001"/>
    <x v="0"/>
    <s v="Card"/>
    <n v="3.9"/>
    <x v="10"/>
    <n v="121.32900000000001"/>
    <n v="6"/>
    <x v="0"/>
  </r>
  <r>
    <n v="4268"/>
    <n v="41"/>
    <x v="0"/>
    <x v="0"/>
    <x v="4"/>
    <s v="Beverages"/>
    <n v="8.82"/>
    <x v="2"/>
    <s v="Cash on Delivery"/>
    <n v="3.6"/>
    <x v="16"/>
    <n v="8.2907999999999991"/>
    <n v="3"/>
    <x v="1"/>
  </r>
  <r>
    <n v="4269"/>
    <n v="38"/>
    <x v="0"/>
    <x v="0"/>
    <x v="8"/>
    <s v="Skirt"/>
    <n v="87.41"/>
    <x v="1"/>
    <s v="Card"/>
    <n v="3.8"/>
    <x v="15"/>
    <n v="85.661799999999999"/>
    <n v="1"/>
    <x v="1"/>
  </r>
  <r>
    <n v="4270"/>
    <n v="48"/>
    <x v="0"/>
    <x v="1"/>
    <x v="2"/>
    <s v="Football"/>
    <n v="134.24"/>
    <x v="0"/>
    <s v="Card"/>
    <n v="2.7"/>
    <x v="4"/>
    <n v="115.44640000000001"/>
    <n v="7"/>
    <x v="0"/>
  </r>
  <r>
    <n v="4271"/>
    <n v="48"/>
    <x v="0"/>
    <x v="0"/>
    <x v="6"/>
    <s v="Perfume"/>
    <n v="101.02"/>
    <x v="3"/>
    <s v="Card"/>
    <n v="4"/>
    <x v="10"/>
    <n v="78.795599999999993"/>
    <n v="6"/>
    <x v="0"/>
  </r>
  <r>
    <n v="4272"/>
    <n v="27"/>
    <x v="2"/>
    <x v="0"/>
    <x v="2"/>
    <s v="Dumbbells"/>
    <n v="83.72"/>
    <x v="1"/>
    <s v="Card"/>
    <n v="3"/>
    <x v="10"/>
    <n v="65.301600000000008"/>
    <n v="6"/>
    <x v="0"/>
  </r>
  <r>
    <n v="4273"/>
    <n v="64"/>
    <x v="1"/>
    <x v="1"/>
    <x v="1"/>
    <s v="Jacket"/>
    <n v="71.42"/>
    <x v="1"/>
    <s v="Cash on Delivery"/>
    <n v="2.8"/>
    <x v="7"/>
    <n v="64.278000000000006"/>
    <n v="5"/>
    <x v="0"/>
  </r>
  <r>
    <n v="4274"/>
    <n v="62"/>
    <x v="1"/>
    <x v="0"/>
    <x v="8"/>
    <s v="Skirt"/>
    <n v="89.76"/>
    <x v="0"/>
    <s v="Card"/>
    <n v="4.5999999999999996"/>
    <x v="24"/>
    <n v="64.627200000000002"/>
    <n v="9"/>
    <x v="2"/>
  </r>
  <r>
    <n v="4275"/>
    <n v="46"/>
    <x v="0"/>
    <x v="1"/>
    <x v="5"/>
    <s v="Mobile Phone"/>
    <n v="683.7"/>
    <x v="1"/>
    <s v="Card"/>
    <n v="3.8"/>
    <x v="11"/>
    <n v="505.93800000000005"/>
    <n v="8"/>
    <x v="2"/>
  </r>
  <r>
    <n v="4276"/>
    <n v="58"/>
    <x v="0"/>
    <x v="1"/>
    <x v="2"/>
    <s v="Dumbbells"/>
    <n v="151.74"/>
    <x v="0"/>
    <s v="Card"/>
    <n v="4.4000000000000004"/>
    <x v="6"/>
    <n v="127.4616"/>
    <n v="8"/>
    <x v="2"/>
  </r>
  <r>
    <n v="4277"/>
    <n v="58"/>
    <x v="0"/>
    <x v="1"/>
    <x v="7"/>
    <s v="Sneakers"/>
    <n v="72.22"/>
    <x v="2"/>
    <s v="Card"/>
    <n v="2.6"/>
    <x v="6"/>
    <n v="60.6648"/>
    <n v="8"/>
    <x v="2"/>
  </r>
  <r>
    <n v="4278"/>
    <n v="25"/>
    <x v="2"/>
    <x v="1"/>
    <x v="4"/>
    <s v="Snacks"/>
    <n v="53.37"/>
    <x v="0"/>
    <s v="Cash on Delivery"/>
    <n v="3.5"/>
    <x v="11"/>
    <n v="39.4938"/>
    <n v="8"/>
    <x v="2"/>
  </r>
  <r>
    <n v="4279"/>
    <n v="49"/>
    <x v="0"/>
    <x v="1"/>
    <x v="2"/>
    <s v="Yoga Mat"/>
    <n v="33.07"/>
    <x v="2"/>
    <s v="Card"/>
    <n v="2.9"/>
    <x v="10"/>
    <n v="25.794600000000003"/>
    <n v="6"/>
    <x v="0"/>
  </r>
  <r>
    <n v="4280"/>
    <n v="33"/>
    <x v="0"/>
    <x v="0"/>
    <x v="0"/>
    <s v="Sunglasses"/>
    <n v="61.92"/>
    <x v="1"/>
    <s v="Cash on Delivery"/>
    <n v="4.2"/>
    <x v="24"/>
    <n v="44.5824"/>
    <n v="9"/>
    <x v="2"/>
  </r>
  <r>
    <n v="4281"/>
    <n v="43"/>
    <x v="0"/>
    <x v="1"/>
    <x v="2"/>
    <s v="Dumbbells"/>
    <n v="88.84"/>
    <x v="0"/>
    <s v="Card"/>
    <n v="3.5"/>
    <x v="6"/>
    <n v="74.625600000000006"/>
    <n v="8"/>
    <x v="2"/>
  </r>
  <r>
    <n v="4282"/>
    <n v="46"/>
    <x v="0"/>
    <x v="0"/>
    <x v="7"/>
    <s v="Sneakers"/>
    <n v="213.67"/>
    <x v="3"/>
    <s v="Card"/>
    <n v="3.8"/>
    <x v="1"/>
    <n v="185.8929"/>
    <n v="4"/>
    <x v="0"/>
  </r>
  <r>
    <n v="4283"/>
    <n v="32"/>
    <x v="0"/>
    <x v="1"/>
    <x v="5"/>
    <s v="Smart Watch"/>
    <n v="744.74"/>
    <x v="2"/>
    <s v="Card"/>
    <n v="2.9"/>
    <x v="17"/>
    <n v="714.95039999999995"/>
    <n v="2"/>
    <x v="1"/>
  </r>
  <r>
    <n v="4284"/>
    <n v="64"/>
    <x v="1"/>
    <x v="0"/>
    <x v="8"/>
    <s v="Jeans"/>
    <n v="199.4"/>
    <x v="1"/>
    <s v="Card"/>
    <n v="3.2"/>
    <x v="2"/>
    <n v="177.46600000000001"/>
    <n v="3"/>
    <x v="1"/>
  </r>
  <r>
    <n v="4285"/>
    <n v="67"/>
    <x v="1"/>
    <x v="0"/>
    <x v="8"/>
    <s v="Dress"/>
    <n v="122.67"/>
    <x v="0"/>
    <s v="Card"/>
    <n v="3.6"/>
    <x v="18"/>
    <n v="93.229200000000006"/>
    <n v="7"/>
    <x v="0"/>
  </r>
  <r>
    <n v="4286"/>
    <n v="56"/>
    <x v="0"/>
    <x v="0"/>
    <x v="8"/>
    <s v="Jeans"/>
    <n v="81.62"/>
    <x v="1"/>
    <s v="Card"/>
    <n v="4.0999999999999996"/>
    <x v="10"/>
    <n v="63.663600000000002"/>
    <n v="6"/>
    <x v="0"/>
  </r>
  <r>
    <n v="4287"/>
    <n v="51"/>
    <x v="0"/>
    <x v="0"/>
    <x v="4"/>
    <s v="Snacks"/>
    <n v="50.86"/>
    <x v="3"/>
    <s v="Cash on Delivery"/>
    <n v="3.4"/>
    <x v="3"/>
    <n v="40.688000000000002"/>
    <n v="5"/>
    <x v="0"/>
  </r>
  <r>
    <n v="4288"/>
    <n v="42"/>
    <x v="0"/>
    <x v="0"/>
    <x v="7"/>
    <s v="Formal Shoes"/>
    <n v="50.03"/>
    <x v="1"/>
    <s v="Cash on Delivery"/>
    <n v="4.0999999999999996"/>
    <x v="8"/>
    <n v="44.026400000000002"/>
    <n v="6"/>
    <x v="0"/>
  </r>
  <r>
    <n v="4289"/>
    <n v="46"/>
    <x v="0"/>
    <x v="1"/>
    <x v="7"/>
    <s v="Formal Shoes"/>
    <n v="140.4"/>
    <x v="2"/>
    <s v="Card"/>
    <n v="3.5"/>
    <x v="0"/>
    <n v="115.12800000000001"/>
    <n v="9"/>
    <x v="2"/>
  </r>
  <r>
    <n v="4290"/>
    <n v="29"/>
    <x v="2"/>
    <x v="0"/>
    <x v="6"/>
    <s v="Perfume"/>
    <n v="52.2"/>
    <x v="2"/>
    <s v="Card"/>
    <n v="4.3"/>
    <x v="16"/>
    <n v="49.067999999999998"/>
    <n v="3"/>
    <x v="1"/>
  </r>
  <r>
    <n v="4291"/>
    <n v="67"/>
    <x v="1"/>
    <x v="1"/>
    <x v="2"/>
    <s v="Dumbbells"/>
    <n v="161.66999999999999"/>
    <x v="1"/>
    <s v="Card"/>
    <n v="2.8"/>
    <x v="7"/>
    <n v="145.50299999999999"/>
    <n v="5"/>
    <x v="0"/>
  </r>
  <r>
    <n v="4292"/>
    <n v="61"/>
    <x v="1"/>
    <x v="1"/>
    <x v="2"/>
    <s v="Dumbbells"/>
    <n v="116.32"/>
    <x v="0"/>
    <s v="Card"/>
    <n v="3.6"/>
    <x v="6"/>
    <n v="97.708799999999997"/>
    <n v="3"/>
    <x v="1"/>
  </r>
  <r>
    <n v="4293"/>
    <n v="63"/>
    <x v="1"/>
    <x v="0"/>
    <x v="6"/>
    <s v="Skincare Kit"/>
    <n v="88.46"/>
    <x v="2"/>
    <s v="Cash on Delivery"/>
    <n v="4.2"/>
    <x v="0"/>
    <n v="72.537199999999999"/>
    <n v="4"/>
    <x v="0"/>
  </r>
  <r>
    <n v="4294"/>
    <n v="20"/>
    <x v="2"/>
    <x v="1"/>
    <x v="1"/>
    <s v="T-Shirt"/>
    <n v="175.64"/>
    <x v="3"/>
    <s v="Card"/>
    <n v="4"/>
    <x v="21"/>
    <n v="138.75559999999999"/>
    <n v="8"/>
    <x v="2"/>
  </r>
  <r>
    <n v="4295"/>
    <n v="68"/>
    <x v="1"/>
    <x v="0"/>
    <x v="7"/>
    <s v="Sandals"/>
    <n v="109.35"/>
    <x v="3"/>
    <s v="Card"/>
    <n v="4.2"/>
    <x v="19"/>
    <n v="92.947499999999991"/>
    <n v="5"/>
    <x v="0"/>
  </r>
  <r>
    <n v="4296"/>
    <n v="41"/>
    <x v="0"/>
    <x v="0"/>
    <x v="3"/>
    <s v="Lamp"/>
    <n v="63.09"/>
    <x v="0"/>
    <s v="Card"/>
    <n v="4.0999999999999996"/>
    <x v="3"/>
    <n v="50.472000000000008"/>
    <n v="5"/>
    <x v="0"/>
  </r>
  <r>
    <n v="4297"/>
    <n v="66"/>
    <x v="1"/>
    <x v="1"/>
    <x v="1"/>
    <s v="T-Shirt"/>
    <n v="177.68"/>
    <x v="2"/>
    <s v="Card"/>
    <n v="4.5999999999999996"/>
    <x v="10"/>
    <n v="138.59040000000002"/>
    <n v="6"/>
    <x v="0"/>
  </r>
  <r>
    <n v="4298"/>
    <n v="53"/>
    <x v="0"/>
    <x v="1"/>
    <x v="2"/>
    <s v="Football"/>
    <n v="203.97"/>
    <x v="1"/>
    <s v="Card"/>
    <n v="3.8"/>
    <x v="16"/>
    <n v="191.73179999999999"/>
    <n v="3"/>
    <x v="1"/>
  </r>
  <r>
    <n v="4299"/>
    <n v="66"/>
    <x v="1"/>
    <x v="1"/>
    <x v="7"/>
    <s v="Sandals"/>
    <n v="55.18"/>
    <x v="1"/>
    <s v="Cash on Delivery"/>
    <n v="5"/>
    <x v="6"/>
    <n v="46.351199999999999"/>
    <n v="8"/>
    <x v="2"/>
  </r>
  <r>
    <n v="4300"/>
    <n v="58"/>
    <x v="0"/>
    <x v="0"/>
    <x v="6"/>
    <s v="Perfume"/>
    <n v="120.91"/>
    <x v="2"/>
    <s v="Card"/>
    <n v="4.2"/>
    <x v="0"/>
    <n v="99.146200000000007"/>
    <n v="4"/>
    <x v="0"/>
  </r>
  <r>
    <n v="4301"/>
    <n v="65"/>
    <x v="1"/>
    <x v="0"/>
    <x v="7"/>
    <s v="Sneakers"/>
    <n v="107.79"/>
    <x v="3"/>
    <s v="Card"/>
    <n v="3.9"/>
    <x v="8"/>
    <n v="94.855200000000011"/>
    <n v="6"/>
    <x v="0"/>
  </r>
  <r>
    <n v="4302"/>
    <n v="22"/>
    <x v="2"/>
    <x v="0"/>
    <x v="6"/>
    <s v="Skincare Kit"/>
    <n v="88.76"/>
    <x v="1"/>
    <s v="Card"/>
    <n v="4"/>
    <x v="21"/>
    <n v="70.120400000000004"/>
    <n v="8"/>
    <x v="2"/>
  </r>
  <r>
    <n v="4303"/>
    <n v="41"/>
    <x v="0"/>
    <x v="1"/>
    <x v="2"/>
    <s v="Dumbbells"/>
    <n v="131.51"/>
    <x v="2"/>
    <s v="Card"/>
    <n v="3.4"/>
    <x v="4"/>
    <n v="113.09859999999999"/>
    <n v="7"/>
    <x v="0"/>
  </r>
  <r>
    <n v="4304"/>
    <n v="54"/>
    <x v="0"/>
    <x v="1"/>
    <x v="3"/>
    <s v="Kitchen Set"/>
    <n v="58.82"/>
    <x v="3"/>
    <s v="Cash on Delivery"/>
    <n v="3.8"/>
    <x v="22"/>
    <n v="45.291400000000003"/>
    <n v="9"/>
    <x v="2"/>
  </r>
  <r>
    <n v="4305"/>
    <n v="62"/>
    <x v="1"/>
    <x v="1"/>
    <x v="1"/>
    <s v="T-Shirt"/>
    <n v="184.53"/>
    <x v="2"/>
    <s v="Card"/>
    <n v="4.2"/>
    <x v="24"/>
    <n v="132.86160000000001"/>
    <n v="9"/>
    <x v="2"/>
  </r>
  <r>
    <n v="4306"/>
    <n v="65"/>
    <x v="1"/>
    <x v="1"/>
    <x v="5"/>
    <s v="Smart Watch"/>
    <n v="2803.45"/>
    <x v="1"/>
    <s v="Card"/>
    <n v="3.1"/>
    <x v="8"/>
    <n v="2467.0360000000001"/>
    <n v="1"/>
    <x v="1"/>
  </r>
  <r>
    <n v="4307"/>
    <n v="54"/>
    <x v="0"/>
    <x v="0"/>
    <x v="0"/>
    <s v="Wallet"/>
    <n v="91.94"/>
    <x v="0"/>
    <s v="Card"/>
    <n v="3.6"/>
    <x v="6"/>
    <n v="77.229599999999991"/>
    <n v="3"/>
    <x v="1"/>
  </r>
  <r>
    <n v="4308"/>
    <n v="45"/>
    <x v="0"/>
    <x v="1"/>
    <x v="3"/>
    <s v="Curtains"/>
    <n v="130.44999999999999"/>
    <x v="2"/>
    <s v="Card"/>
    <n v="4.5"/>
    <x v="4"/>
    <n v="112.18699999999998"/>
    <n v="7"/>
    <x v="0"/>
  </r>
  <r>
    <n v="4309"/>
    <n v="34"/>
    <x v="0"/>
    <x v="1"/>
    <x v="3"/>
    <s v="Lamp"/>
    <n v="225"/>
    <x v="3"/>
    <s v="Card"/>
    <n v="3.2"/>
    <x v="4"/>
    <n v="193.5"/>
    <n v="2"/>
    <x v="1"/>
  </r>
  <r>
    <n v="4310"/>
    <n v="32"/>
    <x v="0"/>
    <x v="1"/>
    <x v="7"/>
    <s v="Sandals"/>
    <n v="237.39"/>
    <x v="0"/>
    <s v="Card"/>
    <n v="5"/>
    <x v="18"/>
    <n v="180.41639999999998"/>
    <n v="7"/>
    <x v="0"/>
  </r>
  <r>
    <n v="4311"/>
    <n v="52"/>
    <x v="0"/>
    <x v="0"/>
    <x v="0"/>
    <s v="Sunglasses"/>
    <n v="36.25"/>
    <x v="2"/>
    <s v="Cash on Delivery"/>
    <n v="4"/>
    <x v="14"/>
    <n v="30.087499999999999"/>
    <n v="6"/>
    <x v="0"/>
  </r>
  <r>
    <n v="4312"/>
    <n v="53"/>
    <x v="0"/>
    <x v="1"/>
    <x v="7"/>
    <s v="Formal Shoes"/>
    <n v="70.209999999999994"/>
    <x v="1"/>
    <s v="Card"/>
    <n v="3"/>
    <x v="5"/>
    <n v="64.593199999999996"/>
    <n v="4"/>
    <x v="0"/>
  </r>
  <r>
    <n v="4313"/>
    <n v="38"/>
    <x v="0"/>
    <x v="0"/>
    <x v="8"/>
    <s v="Dress"/>
    <n v="136.24"/>
    <x v="2"/>
    <s v="Card"/>
    <n v="3.9"/>
    <x v="5"/>
    <n v="125.34080000000002"/>
    <n v="4"/>
    <x v="0"/>
  </r>
  <r>
    <n v="4314"/>
    <n v="44"/>
    <x v="0"/>
    <x v="0"/>
    <x v="8"/>
    <s v="Skirt"/>
    <n v="159.32"/>
    <x v="0"/>
    <s v="Card"/>
    <n v="4.3"/>
    <x v="7"/>
    <n v="143.38800000000001"/>
    <n v="5"/>
    <x v="0"/>
  </r>
  <r>
    <n v="4315"/>
    <n v="27"/>
    <x v="2"/>
    <x v="1"/>
    <x v="3"/>
    <s v="Curtains"/>
    <n v="105.26"/>
    <x v="2"/>
    <s v="Card"/>
    <n v="3.7"/>
    <x v="19"/>
    <n v="89.471000000000004"/>
    <n v="5"/>
    <x v="0"/>
  </r>
  <r>
    <n v="4316"/>
    <n v="55"/>
    <x v="0"/>
    <x v="0"/>
    <x v="3"/>
    <s v="Lamp"/>
    <n v="214.41"/>
    <x v="2"/>
    <s v="Card"/>
    <n v="3.7"/>
    <x v="2"/>
    <n v="190.82490000000001"/>
    <n v="3"/>
    <x v="1"/>
  </r>
  <r>
    <n v="4317"/>
    <n v="42"/>
    <x v="0"/>
    <x v="0"/>
    <x v="8"/>
    <s v="Skirt"/>
    <n v="101.15"/>
    <x v="0"/>
    <s v="Card"/>
    <n v="2.6"/>
    <x v="8"/>
    <n v="89.012"/>
    <n v="6"/>
    <x v="0"/>
  </r>
  <r>
    <n v="4318"/>
    <n v="39"/>
    <x v="0"/>
    <x v="0"/>
    <x v="4"/>
    <s v="Rice Pack"/>
    <n v="23.86"/>
    <x v="3"/>
    <s v="Cash on Delivery"/>
    <n v="3.7"/>
    <x v="4"/>
    <n v="20.519600000000001"/>
    <n v="7"/>
    <x v="0"/>
  </r>
  <r>
    <n v="4319"/>
    <n v="38"/>
    <x v="0"/>
    <x v="1"/>
    <x v="7"/>
    <s v="Sneakers"/>
    <n v="206.88"/>
    <x v="2"/>
    <s v="Card"/>
    <n v="4.5"/>
    <x v="22"/>
    <n v="159.29759999999999"/>
    <n v="9"/>
    <x v="2"/>
  </r>
  <r>
    <n v="4320"/>
    <n v="33"/>
    <x v="0"/>
    <x v="0"/>
    <x v="8"/>
    <s v="Jeans"/>
    <n v="152.85"/>
    <x v="2"/>
    <s v="Card"/>
    <n v="2.9"/>
    <x v="14"/>
    <n v="126.86549999999998"/>
    <n v="6"/>
    <x v="0"/>
  </r>
  <r>
    <n v="4321"/>
    <n v="41"/>
    <x v="0"/>
    <x v="0"/>
    <x v="8"/>
    <s v="Top"/>
    <n v="131.57"/>
    <x v="3"/>
    <s v="Card"/>
    <n v="5"/>
    <x v="13"/>
    <n v="119.7287"/>
    <n v="2"/>
    <x v="1"/>
  </r>
  <r>
    <n v="4322"/>
    <n v="46"/>
    <x v="0"/>
    <x v="1"/>
    <x v="2"/>
    <s v="Football"/>
    <n v="61.71"/>
    <x v="0"/>
    <s v="Card"/>
    <n v="4.8"/>
    <x v="0"/>
    <n v="50.602200000000003"/>
    <n v="4"/>
    <x v="0"/>
  </r>
  <r>
    <n v="4323"/>
    <n v="33"/>
    <x v="0"/>
    <x v="0"/>
    <x v="2"/>
    <s v="Yoga Mat"/>
    <n v="146.32"/>
    <x v="0"/>
    <s v="Card"/>
    <n v="3.9"/>
    <x v="4"/>
    <n v="125.83519999999999"/>
    <n v="2"/>
    <x v="1"/>
  </r>
  <r>
    <n v="4324"/>
    <n v="30"/>
    <x v="2"/>
    <x v="1"/>
    <x v="2"/>
    <s v="Football"/>
    <n v="176.43"/>
    <x v="0"/>
    <s v="Card"/>
    <n v="3.9"/>
    <x v="7"/>
    <n v="158.78700000000001"/>
    <n v="5"/>
    <x v="0"/>
  </r>
  <r>
    <n v="4325"/>
    <n v="40"/>
    <x v="0"/>
    <x v="1"/>
    <x v="7"/>
    <s v="Sneakers"/>
    <n v="180.35"/>
    <x v="0"/>
    <s v="Card"/>
    <n v="3.5"/>
    <x v="7"/>
    <n v="162.315"/>
    <n v="5"/>
    <x v="0"/>
  </r>
  <r>
    <n v="4326"/>
    <n v="31"/>
    <x v="0"/>
    <x v="0"/>
    <x v="3"/>
    <s v="Lamp"/>
    <n v="46.08"/>
    <x v="0"/>
    <s v="Card"/>
    <n v="3"/>
    <x v="14"/>
    <n v="38.246399999999994"/>
    <n v="6"/>
    <x v="0"/>
  </r>
  <r>
    <n v="4327"/>
    <n v="52"/>
    <x v="0"/>
    <x v="0"/>
    <x v="6"/>
    <s v="Makeup Set"/>
    <n v="89.09"/>
    <x v="0"/>
    <s v="Cash on Delivery"/>
    <n v="4.4000000000000004"/>
    <x v="8"/>
    <n v="78.399200000000008"/>
    <n v="6"/>
    <x v="0"/>
  </r>
  <r>
    <n v="4328"/>
    <n v="65"/>
    <x v="1"/>
    <x v="0"/>
    <x v="2"/>
    <s v="Yoga Mat"/>
    <n v="100.42"/>
    <x v="0"/>
    <s v="Card"/>
    <n v="3.8"/>
    <x v="10"/>
    <n v="78.327600000000004"/>
    <n v="6"/>
    <x v="0"/>
  </r>
  <r>
    <n v="4329"/>
    <n v="48"/>
    <x v="0"/>
    <x v="1"/>
    <x v="1"/>
    <s v="T-Shirt"/>
    <n v="89.83"/>
    <x v="3"/>
    <s v="Card"/>
    <n v="4.0999999999999996"/>
    <x v="3"/>
    <n v="71.864000000000004"/>
    <n v="5"/>
    <x v="0"/>
  </r>
  <r>
    <n v="4330"/>
    <n v="54"/>
    <x v="0"/>
    <x v="1"/>
    <x v="5"/>
    <s v="Mobile Phone"/>
    <n v="970.58"/>
    <x v="3"/>
    <s v="Card"/>
    <n v="4.7"/>
    <x v="0"/>
    <n v="795.87560000000008"/>
    <n v="9"/>
    <x v="2"/>
  </r>
  <r>
    <n v="4331"/>
    <n v="33"/>
    <x v="0"/>
    <x v="1"/>
    <x v="5"/>
    <s v="Laptop"/>
    <n v="1987.37"/>
    <x v="3"/>
    <s v="Card"/>
    <n v="3.9"/>
    <x v="4"/>
    <n v="1709.1381999999999"/>
    <n v="2"/>
    <x v="1"/>
  </r>
  <r>
    <n v="4332"/>
    <n v="56"/>
    <x v="0"/>
    <x v="1"/>
    <x v="5"/>
    <s v="Smart Watch"/>
    <n v="2918.5"/>
    <x v="2"/>
    <s v="Card"/>
    <n v="2.8"/>
    <x v="19"/>
    <n v="2480.7249999999999"/>
    <n v="5"/>
    <x v="0"/>
  </r>
  <r>
    <n v="4333"/>
    <n v="41"/>
    <x v="0"/>
    <x v="0"/>
    <x v="2"/>
    <s v="Yoga Mat"/>
    <n v="25.82"/>
    <x v="3"/>
    <s v="Card"/>
    <n v="4.4000000000000004"/>
    <x v="6"/>
    <n v="21.688800000000001"/>
    <n v="3"/>
    <x v="1"/>
  </r>
  <r>
    <n v="4334"/>
    <n v="65"/>
    <x v="1"/>
    <x v="1"/>
    <x v="7"/>
    <s v="Formal Shoes"/>
    <n v="72.739999999999995"/>
    <x v="2"/>
    <s v="Card"/>
    <n v="3"/>
    <x v="8"/>
    <n v="64.011200000000002"/>
    <n v="6"/>
    <x v="0"/>
  </r>
  <r>
    <n v="4335"/>
    <n v="32"/>
    <x v="0"/>
    <x v="0"/>
    <x v="6"/>
    <s v="Skincare Kit"/>
    <n v="139.69999999999999"/>
    <x v="3"/>
    <s v="Card"/>
    <n v="3.1"/>
    <x v="3"/>
    <n v="111.75999999999999"/>
    <n v="5"/>
    <x v="0"/>
  </r>
  <r>
    <n v="4336"/>
    <n v="49"/>
    <x v="0"/>
    <x v="0"/>
    <x v="7"/>
    <s v="Formal Shoes"/>
    <n v="59.06"/>
    <x v="1"/>
    <s v="Cash on Delivery"/>
    <n v="2.9"/>
    <x v="4"/>
    <n v="50.791600000000003"/>
    <n v="7"/>
    <x v="0"/>
  </r>
  <r>
    <n v="4337"/>
    <n v="61"/>
    <x v="1"/>
    <x v="1"/>
    <x v="2"/>
    <s v="Football"/>
    <n v="101.88"/>
    <x v="1"/>
    <s v="Card"/>
    <n v="3.9"/>
    <x v="2"/>
    <n v="90.673199999999994"/>
    <n v="3"/>
    <x v="1"/>
  </r>
  <r>
    <n v="4338"/>
    <n v="54"/>
    <x v="0"/>
    <x v="1"/>
    <x v="2"/>
    <s v="Football"/>
    <n v="92.18"/>
    <x v="1"/>
    <s v="Card"/>
    <n v="3.3"/>
    <x v="2"/>
    <n v="82.040200000000013"/>
    <n v="3"/>
    <x v="1"/>
  </r>
  <r>
    <n v="4339"/>
    <n v="50"/>
    <x v="0"/>
    <x v="0"/>
    <x v="2"/>
    <s v="Football"/>
    <n v="118.5"/>
    <x v="3"/>
    <s v="Card"/>
    <n v="4.5999999999999996"/>
    <x v="3"/>
    <n v="94.800000000000011"/>
    <n v="10"/>
    <x v="2"/>
  </r>
  <r>
    <n v="4340"/>
    <n v="61"/>
    <x v="1"/>
    <x v="1"/>
    <x v="5"/>
    <s v="Mobile Phone"/>
    <n v="1079.3399999999999"/>
    <x v="0"/>
    <s v="Card"/>
    <n v="3.6"/>
    <x v="11"/>
    <n v="798.71159999999998"/>
    <n v="8"/>
    <x v="2"/>
  </r>
  <r>
    <n v="4341"/>
    <n v="60"/>
    <x v="0"/>
    <x v="0"/>
    <x v="6"/>
    <s v="Perfume"/>
    <n v="65.44"/>
    <x v="0"/>
    <s v="Cash on Delivery"/>
    <n v="5"/>
    <x v="6"/>
    <n v="54.969599999999993"/>
    <n v="3"/>
    <x v="1"/>
  </r>
  <r>
    <n v="4342"/>
    <n v="42"/>
    <x v="0"/>
    <x v="0"/>
    <x v="6"/>
    <s v="Skincare Kit"/>
    <n v="25.79"/>
    <x v="2"/>
    <s v="Cash on Delivery"/>
    <n v="4"/>
    <x v="5"/>
    <n v="23.726800000000001"/>
    <n v="4"/>
    <x v="0"/>
  </r>
  <r>
    <n v="4343"/>
    <n v="45"/>
    <x v="0"/>
    <x v="0"/>
    <x v="7"/>
    <s v="Sandals"/>
    <n v="50.12"/>
    <x v="2"/>
    <s v="Cash on Delivery"/>
    <n v="3.3"/>
    <x v="13"/>
    <n v="45.609200000000001"/>
    <n v="2"/>
    <x v="1"/>
  </r>
  <r>
    <n v="4344"/>
    <n v="28"/>
    <x v="2"/>
    <x v="1"/>
    <x v="2"/>
    <s v="Yoga Mat"/>
    <n v="131.99"/>
    <x v="2"/>
    <s v="Card"/>
    <n v="4"/>
    <x v="22"/>
    <n v="101.63230000000001"/>
    <n v="9"/>
    <x v="2"/>
  </r>
  <r>
    <n v="4345"/>
    <n v="53"/>
    <x v="0"/>
    <x v="0"/>
    <x v="7"/>
    <s v="Sandals"/>
    <n v="56.27"/>
    <x v="1"/>
    <s v="Cash on Delivery"/>
    <n v="3.3"/>
    <x v="6"/>
    <n v="47.266800000000003"/>
    <n v="8"/>
    <x v="2"/>
  </r>
  <r>
    <n v="4346"/>
    <n v="59"/>
    <x v="0"/>
    <x v="1"/>
    <x v="5"/>
    <s v="Laptop"/>
    <n v="639.16999999999996"/>
    <x v="2"/>
    <s v="Card"/>
    <n v="3.9"/>
    <x v="6"/>
    <n v="536.90279999999996"/>
    <n v="8"/>
    <x v="2"/>
  </r>
  <r>
    <n v="4347"/>
    <n v="42"/>
    <x v="0"/>
    <x v="0"/>
    <x v="7"/>
    <s v="Formal Shoes"/>
    <n v="56.5"/>
    <x v="1"/>
    <s v="Card"/>
    <n v="4.0999999999999996"/>
    <x v="5"/>
    <n v="51.980000000000004"/>
    <n v="4"/>
    <x v="0"/>
  </r>
  <r>
    <n v="4348"/>
    <n v="69"/>
    <x v="1"/>
    <x v="0"/>
    <x v="2"/>
    <s v="Football"/>
    <n v="49.1"/>
    <x v="3"/>
    <s v="Cash on Delivery"/>
    <n v="3"/>
    <x v="10"/>
    <n v="38.298000000000002"/>
    <n v="6"/>
    <x v="0"/>
  </r>
  <r>
    <n v="4349"/>
    <n v="70"/>
    <x v="1"/>
    <x v="0"/>
    <x v="0"/>
    <s v="Wallet"/>
    <n v="27.04"/>
    <x v="2"/>
    <s v="Card"/>
    <n v="3.9"/>
    <x v="6"/>
    <n v="22.7136"/>
    <n v="3"/>
    <x v="1"/>
  </r>
  <r>
    <n v="4350"/>
    <n v="69"/>
    <x v="1"/>
    <x v="1"/>
    <x v="7"/>
    <s v="Sneakers"/>
    <n v="116.04"/>
    <x v="2"/>
    <s v="Card"/>
    <n v="3.3"/>
    <x v="14"/>
    <n v="96.313199999999995"/>
    <n v="6"/>
    <x v="0"/>
  </r>
  <r>
    <n v="4351"/>
    <n v="21"/>
    <x v="2"/>
    <x v="0"/>
    <x v="2"/>
    <s v="Yoga Mat"/>
    <n v="130.69999999999999"/>
    <x v="0"/>
    <s v="Card"/>
    <n v="3.5"/>
    <x v="7"/>
    <n v="117.63"/>
    <n v="5"/>
    <x v="0"/>
  </r>
  <r>
    <n v="4352"/>
    <n v="23"/>
    <x v="2"/>
    <x v="1"/>
    <x v="5"/>
    <s v="Mobile Phone"/>
    <n v="1990.13"/>
    <x v="1"/>
    <s v="Card"/>
    <n v="4.0999999999999996"/>
    <x v="7"/>
    <n v="1791.1170000000002"/>
    <n v="0"/>
    <x v="1"/>
  </r>
  <r>
    <n v="4353"/>
    <n v="59"/>
    <x v="0"/>
    <x v="0"/>
    <x v="7"/>
    <s v="Sneakers"/>
    <n v="198.56"/>
    <x v="3"/>
    <s v="Card"/>
    <n v="3.4"/>
    <x v="7"/>
    <n v="178.70400000000001"/>
    <n v="5"/>
    <x v="0"/>
  </r>
  <r>
    <n v="4354"/>
    <n v="68"/>
    <x v="1"/>
    <x v="0"/>
    <x v="0"/>
    <s v="Sunglasses"/>
    <n v="116.6"/>
    <x v="2"/>
    <s v="Card"/>
    <n v="3.4"/>
    <x v="6"/>
    <n v="97.943999999999988"/>
    <n v="3"/>
    <x v="1"/>
  </r>
  <r>
    <n v="4355"/>
    <n v="41"/>
    <x v="0"/>
    <x v="1"/>
    <x v="1"/>
    <s v="Shirt"/>
    <n v="143.78"/>
    <x v="2"/>
    <s v="Card"/>
    <n v="3.6"/>
    <x v="18"/>
    <n v="109.2728"/>
    <n v="12"/>
    <x v="2"/>
  </r>
  <r>
    <n v="4356"/>
    <n v="22"/>
    <x v="2"/>
    <x v="1"/>
    <x v="7"/>
    <s v="Formal Shoes"/>
    <n v="72.510000000000005"/>
    <x v="1"/>
    <s v="Cash on Delivery"/>
    <n v="3.7"/>
    <x v="2"/>
    <n v="64.533900000000003"/>
    <n v="3"/>
    <x v="1"/>
  </r>
  <r>
    <n v="4357"/>
    <n v="20"/>
    <x v="2"/>
    <x v="1"/>
    <x v="7"/>
    <s v="Formal Shoes"/>
    <n v="238.67"/>
    <x v="1"/>
    <s v="Card"/>
    <n v="4.0999999999999996"/>
    <x v="8"/>
    <n v="210.02959999999999"/>
    <n v="6"/>
    <x v="0"/>
  </r>
  <r>
    <n v="4358"/>
    <n v="52"/>
    <x v="0"/>
    <x v="1"/>
    <x v="1"/>
    <s v="Shirt"/>
    <n v="164.35"/>
    <x v="2"/>
    <s v="Card"/>
    <n v="4.0999999999999996"/>
    <x v="17"/>
    <n v="157.77599999999998"/>
    <n v="2"/>
    <x v="1"/>
  </r>
  <r>
    <n v="4359"/>
    <n v="69"/>
    <x v="1"/>
    <x v="1"/>
    <x v="5"/>
    <s v="Headphones"/>
    <n v="1339.11"/>
    <x v="0"/>
    <s v="Card"/>
    <n v="3.5"/>
    <x v="13"/>
    <n v="1218.5900999999999"/>
    <n v="2"/>
    <x v="1"/>
  </r>
  <r>
    <n v="4360"/>
    <n v="42"/>
    <x v="0"/>
    <x v="1"/>
    <x v="2"/>
    <s v="Dumbbells"/>
    <n v="198.2"/>
    <x v="0"/>
    <s v="Card"/>
    <n v="3.3"/>
    <x v="5"/>
    <n v="182.34399999999999"/>
    <n v="4"/>
    <x v="0"/>
  </r>
  <r>
    <n v="4361"/>
    <n v="37"/>
    <x v="0"/>
    <x v="1"/>
    <x v="4"/>
    <s v="Cooking Oil"/>
    <n v="62.87"/>
    <x v="3"/>
    <s v="Cash on Delivery"/>
    <n v="3.5"/>
    <x v="4"/>
    <n v="54.068199999999997"/>
    <n v="7"/>
    <x v="0"/>
  </r>
  <r>
    <n v="4362"/>
    <n v="29"/>
    <x v="2"/>
    <x v="0"/>
    <x v="8"/>
    <s v="Dress"/>
    <n v="150.07"/>
    <x v="1"/>
    <s v="Card"/>
    <n v="3.9"/>
    <x v="12"/>
    <n v="121.55670000000001"/>
    <n v="7"/>
    <x v="0"/>
  </r>
  <r>
    <n v="4363"/>
    <n v="51"/>
    <x v="0"/>
    <x v="1"/>
    <x v="4"/>
    <s v="Cooking Oil"/>
    <n v="71.540000000000006"/>
    <x v="2"/>
    <s v="Cash on Delivery"/>
    <n v="3.5"/>
    <x v="6"/>
    <n v="60.093600000000002"/>
    <n v="3"/>
    <x v="1"/>
  </r>
  <r>
    <n v="4364"/>
    <n v="26"/>
    <x v="2"/>
    <x v="0"/>
    <x v="8"/>
    <s v="Skirt"/>
    <n v="43.22"/>
    <x v="1"/>
    <s v="Cash on Delivery"/>
    <n v="2.9"/>
    <x v="15"/>
    <n v="42.355599999999995"/>
    <n v="1"/>
    <x v="1"/>
  </r>
  <r>
    <n v="4365"/>
    <n v="49"/>
    <x v="0"/>
    <x v="1"/>
    <x v="7"/>
    <s v="Sandals"/>
    <n v="173.46"/>
    <x v="0"/>
    <s v="Card"/>
    <n v="3.8"/>
    <x v="10"/>
    <n v="135.2988"/>
    <n v="6"/>
    <x v="0"/>
  </r>
  <r>
    <n v="4366"/>
    <n v="47"/>
    <x v="0"/>
    <x v="1"/>
    <x v="3"/>
    <s v="Lamp"/>
    <n v="286.8"/>
    <x v="1"/>
    <s v="Card"/>
    <n v="5"/>
    <x v="12"/>
    <n v="232.30800000000002"/>
    <n v="7"/>
    <x v="0"/>
  </r>
  <r>
    <n v="4367"/>
    <n v="30"/>
    <x v="2"/>
    <x v="1"/>
    <x v="1"/>
    <s v="Jacket"/>
    <n v="83.11"/>
    <x v="0"/>
    <s v="Card"/>
    <n v="3.6"/>
    <x v="4"/>
    <n v="71.474599999999995"/>
    <n v="2"/>
    <x v="1"/>
  </r>
  <r>
    <n v="4368"/>
    <n v="22"/>
    <x v="2"/>
    <x v="0"/>
    <x v="6"/>
    <s v="Perfume"/>
    <n v="27.57"/>
    <x v="1"/>
    <s v="Cash on Delivery"/>
    <n v="4.0999999999999996"/>
    <x v="4"/>
    <n v="23.7102"/>
    <n v="7"/>
    <x v="0"/>
  </r>
  <r>
    <n v="4369"/>
    <n v="46"/>
    <x v="0"/>
    <x v="0"/>
    <x v="7"/>
    <s v="Sneakers"/>
    <n v="208.33"/>
    <x v="2"/>
    <s v="Card"/>
    <n v="3.9"/>
    <x v="5"/>
    <n v="191.66360000000003"/>
    <n v="4"/>
    <x v="0"/>
  </r>
  <r>
    <n v="4370"/>
    <n v="57"/>
    <x v="0"/>
    <x v="0"/>
    <x v="8"/>
    <s v="Dress"/>
    <n v="43.06"/>
    <x v="2"/>
    <s v="Card"/>
    <n v="5"/>
    <x v="3"/>
    <n v="34.448"/>
    <n v="5"/>
    <x v="0"/>
  </r>
  <r>
    <n v="4371"/>
    <n v="63"/>
    <x v="1"/>
    <x v="0"/>
    <x v="4"/>
    <s v="Beverages"/>
    <n v="42.76"/>
    <x v="0"/>
    <s v="Cash on Delivery"/>
    <n v="4.3"/>
    <x v="18"/>
    <n v="32.497599999999998"/>
    <n v="7"/>
    <x v="0"/>
  </r>
  <r>
    <n v="4372"/>
    <n v="54"/>
    <x v="0"/>
    <x v="1"/>
    <x v="1"/>
    <s v="Jacket"/>
    <n v="80.56"/>
    <x v="3"/>
    <s v="Card"/>
    <n v="4"/>
    <x v="11"/>
    <n v="59.614400000000003"/>
    <n v="8"/>
    <x v="2"/>
  </r>
  <r>
    <n v="4373"/>
    <n v="32"/>
    <x v="0"/>
    <x v="0"/>
    <x v="8"/>
    <s v="Skirt"/>
    <n v="59.17"/>
    <x v="2"/>
    <s v="Card"/>
    <n v="3"/>
    <x v="8"/>
    <n v="52.069600000000001"/>
    <n v="6"/>
    <x v="0"/>
  </r>
  <r>
    <n v="4374"/>
    <n v="69"/>
    <x v="1"/>
    <x v="1"/>
    <x v="4"/>
    <s v="Rice Pack"/>
    <n v="58.67"/>
    <x v="2"/>
    <s v="Cash on Delivery"/>
    <n v="4.7"/>
    <x v="24"/>
    <n v="42.242399999999996"/>
    <n v="9"/>
    <x v="2"/>
  </r>
  <r>
    <n v="4375"/>
    <n v="65"/>
    <x v="1"/>
    <x v="1"/>
    <x v="5"/>
    <s v="Laptop"/>
    <n v="2600.4699999999998"/>
    <x v="0"/>
    <s v="Card"/>
    <n v="2.1"/>
    <x v="1"/>
    <n v="2262.4088999999999"/>
    <n v="4"/>
    <x v="0"/>
  </r>
  <r>
    <n v="4376"/>
    <n v="57"/>
    <x v="0"/>
    <x v="0"/>
    <x v="8"/>
    <s v="Skirt"/>
    <n v="54.73"/>
    <x v="0"/>
    <s v="Cash on Delivery"/>
    <n v="3.7"/>
    <x v="10"/>
    <n v="42.689399999999999"/>
    <n v="11"/>
    <x v="2"/>
  </r>
  <r>
    <n v="4377"/>
    <n v="27"/>
    <x v="2"/>
    <x v="1"/>
    <x v="7"/>
    <s v="Sandals"/>
    <n v="66.290000000000006"/>
    <x v="0"/>
    <s v="Cash on Delivery"/>
    <n v="3"/>
    <x v="2"/>
    <n v="58.998100000000008"/>
    <n v="3"/>
    <x v="1"/>
  </r>
  <r>
    <n v="4378"/>
    <n v="40"/>
    <x v="0"/>
    <x v="0"/>
    <x v="8"/>
    <s v="Jeans"/>
    <n v="65.430000000000007"/>
    <x v="1"/>
    <s v="Card"/>
    <n v="3.6"/>
    <x v="4"/>
    <n v="56.269800000000004"/>
    <n v="2"/>
    <x v="1"/>
  </r>
  <r>
    <n v="4379"/>
    <n v="62"/>
    <x v="1"/>
    <x v="1"/>
    <x v="2"/>
    <s v="Yoga Mat"/>
    <n v="50.26"/>
    <x v="2"/>
    <s v="Cash on Delivery"/>
    <n v="2.8"/>
    <x v="12"/>
    <n v="40.710599999999999"/>
    <n v="7"/>
    <x v="0"/>
  </r>
  <r>
    <n v="4380"/>
    <n v="27"/>
    <x v="2"/>
    <x v="0"/>
    <x v="6"/>
    <s v="Makeup Set"/>
    <n v="125.15"/>
    <x v="3"/>
    <s v="Card"/>
    <n v="3.9"/>
    <x v="0"/>
    <n v="102.62300000000002"/>
    <n v="4"/>
    <x v="0"/>
  </r>
  <r>
    <n v="4381"/>
    <n v="62"/>
    <x v="1"/>
    <x v="1"/>
    <x v="7"/>
    <s v="Sneakers"/>
    <n v="166.81"/>
    <x v="2"/>
    <s v="Card"/>
    <n v="4.5999999999999996"/>
    <x v="24"/>
    <n v="120.1032"/>
    <n v="9"/>
    <x v="2"/>
  </r>
  <r>
    <n v="4382"/>
    <n v="46"/>
    <x v="0"/>
    <x v="0"/>
    <x v="8"/>
    <s v="Skirt"/>
    <n v="141.44999999999999"/>
    <x v="3"/>
    <s v="Card"/>
    <n v="5"/>
    <x v="4"/>
    <n v="121.64699999999999"/>
    <n v="7"/>
    <x v="0"/>
  </r>
  <r>
    <n v="4383"/>
    <n v="60"/>
    <x v="0"/>
    <x v="1"/>
    <x v="7"/>
    <s v="Sneakers"/>
    <n v="167.45"/>
    <x v="1"/>
    <s v="Card"/>
    <n v="4.4000000000000004"/>
    <x v="26"/>
    <n v="159.07749999999999"/>
    <n v="0"/>
    <x v="1"/>
  </r>
  <r>
    <n v="4384"/>
    <n v="62"/>
    <x v="1"/>
    <x v="1"/>
    <x v="7"/>
    <s v="Formal Shoes"/>
    <n v="151.56"/>
    <x v="1"/>
    <s v="Card"/>
    <n v="4.0999999999999996"/>
    <x v="1"/>
    <n v="131.85720000000001"/>
    <n v="4"/>
    <x v="0"/>
  </r>
  <r>
    <n v="4385"/>
    <n v="49"/>
    <x v="0"/>
    <x v="1"/>
    <x v="1"/>
    <s v="T-Shirt"/>
    <n v="49.58"/>
    <x v="0"/>
    <s v="Cash on Delivery"/>
    <n v="4.5999999999999996"/>
    <x v="21"/>
    <n v="39.168199999999999"/>
    <n v="8"/>
    <x v="2"/>
  </r>
  <r>
    <n v="4386"/>
    <n v="21"/>
    <x v="2"/>
    <x v="0"/>
    <x v="7"/>
    <s v="Formal Shoes"/>
    <n v="170.32"/>
    <x v="1"/>
    <s v="Card"/>
    <n v="4.8"/>
    <x v="21"/>
    <n v="134.55279999999999"/>
    <n v="8"/>
    <x v="2"/>
  </r>
  <r>
    <n v="4387"/>
    <n v="25"/>
    <x v="2"/>
    <x v="0"/>
    <x v="0"/>
    <s v="Sunglasses"/>
    <n v="30.47"/>
    <x v="2"/>
    <s v="Card"/>
    <n v="4.5"/>
    <x v="3"/>
    <n v="24.376000000000001"/>
    <n v="5"/>
    <x v="0"/>
  </r>
  <r>
    <n v="4388"/>
    <n v="50"/>
    <x v="0"/>
    <x v="1"/>
    <x v="4"/>
    <s v="Rice Pack"/>
    <n v="10.5"/>
    <x v="2"/>
    <s v="Cash on Delivery"/>
    <n v="4.5"/>
    <x v="11"/>
    <n v="7.77"/>
    <n v="8"/>
    <x v="2"/>
  </r>
  <r>
    <n v="4389"/>
    <n v="63"/>
    <x v="1"/>
    <x v="1"/>
    <x v="5"/>
    <s v="Headphones"/>
    <n v="2558.44"/>
    <x v="1"/>
    <s v="Card"/>
    <n v="4.2"/>
    <x v="16"/>
    <n v="2404.9335999999998"/>
    <n v="3"/>
    <x v="1"/>
  </r>
  <r>
    <n v="4390"/>
    <n v="58"/>
    <x v="0"/>
    <x v="0"/>
    <x v="8"/>
    <s v="Jeans"/>
    <n v="32.71"/>
    <x v="1"/>
    <s v="Cash on Delivery"/>
    <n v="3.4"/>
    <x v="14"/>
    <n v="27.1493"/>
    <n v="6"/>
    <x v="0"/>
  </r>
  <r>
    <n v="4391"/>
    <n v="25"/>
    <x v="2"/>
    <x v="1"/>
    <x v="2"/>
    <s v="Football"/>
    <n v="203.65"/>
    <x v="3"/>
    <s v="Card"/>
    <n v="4.7"/>
    <x v="11"/>
    <n v="150.70099999999999"/>
    <n v="13"/>
    <x v="2"/>
  </r>
  <r>
    <n v="4392"/>
    <n v="66"/>
    <x v="1"/>
    <x v="0"/>
    <x v="3"/>
    <s v="Kitchen Set"/>
    <n v="186.33"/>
    <x v="3"/>
    <s v="Card"/>
    <n v="3.9"/>
    <x v="8"/>
    <n v="163.97040000000001"/>
    <n v="6"/>
    <x v="0"/>
  </r>
  <r>
    <n v="4393"/>
    <n v="63"/>
    <x v="1"/>
    <x v="0"/>
    <x v="2"/>
    <s v="Yoga Mat"/>
    <n v="154.41"/>
    <x v="0"/>
    <s v="Card"/>
    <n v="3.5"/>
    <x v="6"/>
    <n v="129.70439999999999"/>
    <n v="3"/>
    <x v="1"/>
  </r>
  <r>
    <n v="4394"/>
    <n v="70"/>
    <x v="1"/>
    <x v="0"/>
    <x v="6"/>
    <s v="Perfume"/>
    <n v="105.45"/>
    <x v="0"/>
    <s v="Card"/>
    <n v="3.2"/>
    <x v="6"/>
    <n v="88.578000000000003"/>
    <n v="3"/>
    <x v="1"/>
  </r>
  <r>
    <n v="4395"/>
    <n v="28"/>
    <x v="2"/>
    <x v="0"/>
    <x v="4"/>
    <s v="Snacks"/>
    <n v="71.260000000000005"/>
    <x v="0"/>
    <s v="Card"/>
    <n v="3.6"/>
    <x v="2"/>
    <n v="63.421400000000006"/>
    <n v="3"/>
    <x v="1"/>
  </r>
  <r>
    <n v="4396"/>
    <n v="28"/>
    <x v="2"/>
    <x v="0"/>
    <x v="7"/>
    <s v="Sneakers"/>
    <n v="210.09"/>
    <x v="3"/>
    <s v="Card"/>
    <n v="4.4000000000000004"/>
    <x v="18"/>
    <n v="159.66839999999999"/>
    <n v="7"/>
    <x v="0"/>
  </r>
  <r>
    <n v="4397"/>
    <n v="36"/>
    <x v="0"/>
    <x v="0"/>
    <x v="6"/>
    <s v="Perfume"/>
    <n v="28.51"/>
    <x v="1"/>
    <s v="Card"/>
    <n v="2.9"/>
    <x v="6"/>
    <n v="23.948399999999999"/>
    <n v="3"/>
    <x v="1"/>
  </r>
  <r>
    <n v="4398"/>
    <n v="47"/>
    <x v="0"/>
    <x v="0"/>
    <x v="6"/>
    <s v="Skincare Kit"/>
    <n v="108.76"/>
    <x v="1"/>
    <s v="Card"/>
    <n v="3.7"/>
    <x v="16"/>
    <n v="102.23439999999999"/>
    <n v="3"/>
    <x v="1"/>
  </r>
  <r>
    <n v="4399"/>
    <n v="25"/>
    <x v="2"/>
    <x v="0"/>
    <x v="7"/>
    <s v="Sneakers"/>
    <n v="248.94"/>
    <x v="0"/>
    <s v="Card"/>
    <n v="2.5"/>
    <x v="0"/>
    <n v="204.13080000000002"/>
    <n v="4"/>
    <x v="0"/>
  </r>
  <r>
    <n v="4400"/>
    <n v="55"/>
    <x v="0"/>
    <x v="1"/>
    <x v="1"/>
    <s v="Shirt"/>
    <n v="178.99"/>
    <x v="1"/>
    <s v="Card"/>
    <n v="5"/>
    <x v="5"/>
    <n v="164.67080000000001"/>
    <n v="4"/>
    <x v="0"/>
  </r>
  <r>
    <n v="4401"/>
    <n v="22"/>
    <x v="2"/>
    <x v="0"/>
    <x v="4"/>
    <s v="Snacks"/>
    <n v="64.91"/>
    <x v="1"/>
    <s v="Cash on Delivery"/>
    <n v="2.9"/>
    <x v="19"/>
    <n v="55.173499999999997"/>
    <n v="5"/>
    <x v="0"/>
  </r>
  <r>
    <n v="4402"/>
    <n v="55"/>
    <x v="0"/>
    <x v="1"/>
    <x v="5"/>
    <s v="Smart Watch"/>
    <n v="1774.32"/>
    <x v="3"/>
    <s v="Card"/>
    <n v="4"/>
    <x v="11"/>
    <n v="1312.9967999999999"/>
    <n v="8"/>
    <x v="2"/>
  </r>
  <r>
    <n v="4403"/>
    <n v="25"/>
    <x v="2"/>
    <x v="1"/>
    <x v="1"/>
    <s v="Shirt"/>
    <n v="173.88"/>
    <x v="1"/>
    <s v="Card"/>
    <n v="4.4000000000000004"/>
    <x v="21"/>
    <n v="137.36520000000002"/>
    <n v="8"/>
    <x v="2"/>
  </r>
  <r>
    <n v="4404"/>
    <n v="34"/>
    <x v="0"/>
    <x v="1"/>
    <x v="2"/>
    <s v="Dumbbells"/>
    <n v="130.83000000000001"/>
    <x v="1"/>
    <s v="Card"/>
    <n v="3.6"/>
    <x v="3"/>
    <n v="104.66400000000002"/>
    <n v="5"/>
    <x v="0"/>
  </r>
  <r>
    <n v="4405"/>
    <n v="39"/>
    <x v="0"/>
    <x v="0"/>
    <x v="0"/>
    <s v="Wallet"/>
    <n v="47.44"/>
    <x v="3"/>
    <s v="Card"/>
    <n v="3.8"/>
    <x v="19"/>
    <n v="40.323999999999998"/>
    <n v="5"/>
    <x v="0"/>
  </r>
  <r>
    <n v="4406"/>
    <n v="65"/>
    <x v="1"/>
    <x v="1"/>
    <x v="1"/>
    <s v="Jeans"/>
    <n v="76.94"/>
    <x v="1"/>
    <s v="Card"/>
    <n v="3.9"/>
    <x v="6"/>
    <n v="64.629599999999996"/>
    <n v="8"/>
    <x v="2"/>
  </r>
  <r>
    <n v="4407"/>
    <n v="51"/>
    <x v="0"/>
    <x v="0"/>
    <x v="7"/>
    <s v="Sneakers"/>
    <n v="79.66"/>
    <x v="0"/>
    <s v="Card"/>
    <n v="3.8"/>
    <x v="15"/>
    <n v="78.066800000000001"/>
    <n v="1"/>
    <x v="1"/>
  </r>
  <r>
    <n v="4408"/>
    <n v="52"/>
    <x v="0"/>
    <x v="1"/>
    <x v="7"/>
    <s v="Sneakers"/>
    <n v="91.9"/>
    <x v="2"/>
    <s v="Cash on Delivery"/>
    <n v="2.5"/>
    <x v="5"/>
    <n v="84.548000000000002"/>
    <n v="4"/>
    <x v="0"/>
  </r>
  <r>
    <n v="4409"/>
    <n v="48"/>
    <x v="0"/>
    <x v="0"/>
    <x v="7"/>
    <s v="Sandals"/>
    <n v="146.85"/>
    <x v="1"/>
    <s v="Card"/>
    <n v="3.5"/>
    <x v="2"/>
    <n v="130.69649999999999"/>
    <n v="3"/>
    <x v="1"/>
  </r>
  <r>
    <n v="4410"/>
    <n v="25"/>
    <x v="2"/>
    <x v="0"/>
    <x v="0"/>
    <s v="Handbag"/>
    <n v="100.99"/>
    <x v="0"/>
    <s v="Card"/>
    <n v="3.5"/>
    <x v="12"/>
    <n v="81.801900000000003"/>
    <n v="7"/>
    <x v="0"/>
  </r>
  <r>
    <n v="4411"/>
    <n v="35"/>
    <x v="0"/>
    <x v="1"/>
    <x v="5"/>
    <s v="Laptop"/>
    <n v="2272.6999999999998"/>
    <x v="2"/>
    <s v="Card"/>
    <n v="2.2999999999999998"/>
    <x v="4"/>
    <n v="1954.5219999999997"/>
    <n v="7"/>
    <x v="0"/>
  </r>
  <r>
    <n v="4412"/>
    <n v="42"/>
    <x v="0"/>
    <x v="1"/>
    <x v="5"/>
    <s v="Mobile Phone"/>
    <n v="783.29"/>
    <x v="2"/>
    <s v="Card"/>
    <n v="3.6"/>
    <x v="3"/>
    <n v="626.63200000000006"/>
    <n v="5"/>
    <x v="0"/>
  </r>
  <r>
    <n v="4413"/>
    <n v="46"/>
    <x v="0"/>
    <x v="1"/>
    <x v="2"/>
    <s v="Yoga Mat"/>
    <n v="125.6"/>
    <x v="1"/>
    <s v="Card"/>
    <n v="1.8"/>
    <x v="7"/>
    <n v="113.03999999999999"/>
    <n v="5"/>
    <x v="0"/>
  </r>
  <r>
    <n v="4414"/>
    <n v="21"/>
    <x v="2"/>
    <x v="1"/>
    <x v="7"/>
    <s v="Formal Shoes"/>
    <n v="151.15"/>
    <x v="3"/>
    <s v="Card"/>
    <n v="4.2"/>
    <x v="13"/>
    <n v="137.54650000000001"/>
    <n v="2"/>
    <x v="1"/>
  </r>
  <r>
    <n v="4415"/>
    <n v="22"/>
    <x v="2"/>
    <x v="0"/>
    <x v="6"/>
    <s v="Makeup Set"/>
    <n v="116.28"/>
    <x v="3"/>
    <s v="Card"/>
    <n v="4.2"/>
    <x v="8"/>
    <n v="102.32640000000001"/>
    <n v="6"/>
    <x v="0"/>
  </r>
  <r>
    <n v="4416"/>
    <n v="53"/>
    <x v="0"/>
    <x v="0"/>
    <x v="4"/>
    <s v="Snacks"/>
    <n v="46.85"/>
    <x v="2"/>
    <s v="Cash on Delivery"/>
    <n v="3"/>
    <x v="0"/>
    <n v="38.417000000000002"/>
    <n v="4"/>
    <x v="0"/>
  </r>
  <r>
    <n v="4417"/>
    <n v="26"/>
    <x v="2"/>
    <x v="1"/>
    <x v="5"/>
    <s v="Smart Watch"/>
    <n v="2162.23"/>
    <x v="1"/>
    <s v="Card"/>
    <n v="4.0999999999999996"/>
    <x v="17"/>
    <n v="2075.7408"/>
    <n v="2"/>
    <x v="1"/>
  </r>
  <r>
    <n v="4418"/>
    <n v="29"/>
    <x v="2"/>
    <x v="1"/>
    <x v="1"/>
    <s v="Jacket"/>
    <n v="99.56"/>
    <x v="1"/>
    <s v="Card"/>
    <n v="3"/>
    <x v="3"/>
    <n v="79.64800000000001"/>
    <n v="5"/>
    <x v="0"/>
  </r>
  <r>
    <n v="4419"/>
    <n v="22"/>
    <x v="2"/>
    <x v="1"/>
    <x v="5"/>
    <s v="Laptop"/>
    <n v="2633.36"/>
    <x v="1"/>
    <s v="Card"/>
    <n v="4.2"/>
    <x v="0"/>
    <n v="2159.3552000000004"/>
    <n v="4"/>
    <x v="0"/>
  </r>
  <r>
    <n v="4420"/>
    <n v="63"/>
    <x v="1"/>
    <x v="0"/>
    <x v="0"/>
    <s v="Sunglasses"/>
    <n v="132.84"/>
    <x v="0"/>
    <s v="Card"/>
    <n v="4.0999999999999996"/>
    <x v="3"/>
    <n v="106.27200000000001"/>
    <n v="5"/>
    <x v="0"/>
  </r>
  <r>
    <n v="4421"/>
    <n v="20"/>
    <x v="2"/>
    <x v="0"/>
    <x v="7"/>
    <s v="Sandals"/>
    <n v="161.07"/>
    <x v="1"/>
    <s v="Card"/>
    <n v="3.7"/>
    <x v="5"/>
    <n v="148.18440000000001"/>
    <n v="4"/>
    <x v="0"/>
  </r>
  <r>
    <n v="4422"/>
    <n v="50"/>
    <x v="0"/>
    <x v="0"/>
    <x v="6"/>
    <s v="Perfume"/>
    <n v="35.9"/>
    <x v="0"/>
    <s v="Card"/>
    <n v="4.4000000000000004"/>
    <x v="0"/>
    <n v="29.438000000000002"/>
    <n v="9"/>
    <x v="2"/>
  </r>
  <r>
    <n v="4423"/>
    <n v="54"/>
    <x v="0"/>
    <x v="0"/>
    <x v="8"/>
    <s v="Dress"/>
    <n v="41.24"/>
    <x v="0"/>
    <s v="Cash on Delivery"/>
    <n v="3.4"/>
    <x v="12"/>
    <n v="33.404400000000003"/>
    <n v="7"/>
    <x v="0"/>
  </r>
  <r>
    <n v="4424"/>
    <n v="45"/>
    <x v="0"/>
    <x v="1"/>
    <x v="2"/>
    <s v="Dumbbells"/>
    <n v="160.08000000000001"/>
    <x v="3"/>
    <s v="Card"/>
    <n v="3.9"/>
    <x v="14"/>
    <n v="132.8664"/>
    <n v="6"/>
    <x v="0"/>
  </r>
  <r>
    <n v="4425"/>
    <n v="59"/>
    <x v="0"/>
    <x v="0"/>
    <x v="0"/>
    <s v="Wallet"/>
    <n v="152.97"/>
    <x v="2"/>
    <s v="Card"/>
    <n v="3.5"/>
    <x v="14"/>
    <n v="126.96509999999999"/>
    <n v="6"/>
    <x v="0"/>
  </r>
  <r>
    <n v="4426"/>
    <n v="43"/>
    <x v="0"/>
    <x v="0"/>
    <x v="8"/>
    <s v="Skirt"/>
    <n v="71.83"/>
    <x v="3"/>
    <s v="Cash on Delivery"/>
    <n v="4.0999999999999996"/>
    <x v="8"/>
    <n v="63.2104"/>
    <n v="6"/>
    <x v="0"/>
  </r>
  <r>
    <n v="4427"/>
    <n v="21"/>
    <x v="2"/>
    <x v="0"/>
    <x v="0"/>
    <s v="Handbag"/>
    <n v="95.84"/>
    <x v="0"/>
    <s v="Cash on Delivery"/>
    <n v="4.3"/>
    <x v="10"/>
    <n v="74.755200000000002"/>
    <n v="6"/>
    <x v="0"/>
  </r>
  <r>
    <n v="4428"/>
    <n v="62"/>
    <x v="1"/>
    <x v="1"/>
    <x v="3"/>
    <s v="Curtains"/>
    <n v="38.659999999999997"/>
    <x v="2"/>
    <s v="Cash on Delivery"/>
    <n v="3.6"/>
    <x v="5"/>
    <n v="35.5672"/>
    <n v="4"/>
    <x v="0"/>
  </r>
  <r>
    <n v="4429"/>
    <n v="44"/>
    <x v="0"/>
    <x v="1"/>
    <x v="5"/>
    <s v="Smart Watch"/>
    <n v="1769.68"/>
    <x v="1"/>
    <s v="Card"/>
    <n v="4.8"/>
    <x v="3"/>
    <n v="1415.7440000000001"/>
    <n v="5"/>
    <x v="0"/>
  </r>
  <r>
    <n v="4430"/>
    <n v="44"/>
    <x v="0"/>
    <x v="0"/>
    <x v="7"/>
    <s v="Formal Shoes"/>
    <n v="103.11"/>
    <x v="2"/>
    <s v="Card"/>
    <n v="3.1"/>
    <x v="19"/>
    <n v="87.643500000000003"/>
    <n v="5"/>
    <x v="0"/>
  </r>
  <r>
    <n v="4431"/>
    <n v="45"/>
    <x v="0"/>
    <x v="0"/>
    <x v="7"/>
    <s v="Formal Shoes"/>
    <n v="118.28"/>
    <x v="2"/>
    <s v="Card"/>
    <n v="4"/>
    <x v="7"/>
    <n v="106.452"/>
    <n v="5"/>
    <x v="0"/>
  </r>
  <r>
    <n v="4432"/>
    <n v="37"/>
    <x v="0"/>
    <x v="0"/>
    <x v="0"/>
    <s v="Wallet"/>
    <n v="162.69999999999999"/>
    <x v="2"/>
    <s v="Card"/>
    <n v="3.5"/>
    <x v="12"/>
    <n v="131.78700000000001"/>
    <n v="7"/>
    <x v="0"/>
  </r>
  <r>
    <n v="4433"/>
    <n v="49"/>
    <x v="0"/>
    <x v="1"/>
    <x v="2"/>
    <s v="Yoga Mat"/>
    <n v="75.760000000000005"/>
    <x v="3"/>
    <s v="Cash on Delivery"/>
    <n v="4.5"/>
    <x v="19"/>
    <n v="64.396000000000001"/>
    <n v="5"/>
    <x v="0"/>
  </r>
  <r>
    <n v="4434"/>
    <n v="63"/>
    <x v="1"/>
    <x v="1"/>
    <x v="2"/>
    <s v="Dumbbells"/>
    <n v="234.8"/>
    <x v="1"/>
    <s v="Card"/>
    <n v="3.1"/>
    <x v="6"/>
    <n v="197.232"/>
    <n v="3"/>
    <x v="1"/>
  </r>
  <r>
    <n v="4435"/>
    <n v="25"/>
    <x v="2"/>
    <x v="0"/>
    <x v="7"/>
    <s v="Sandals"/>
    <n v="107.61"/>
    <x v="3"/>
    <s v="Card"/>
    <n v="4.8"/>
    <x v="14"/>
    <n v="89.316299999999998"/>
    <n v="6"/>
    <x v="0"/>
  </r>
  <r>
    <n v="4436"/>
    <n v="44"/>
    <x v="0"/>
    <x v="1"/>
    <x v="2"/>
    <s v="Football"/>
    <n v="150.15"/>
    <x v="1"/>
    <s v="Card"/>
    <n v="3.5"/>
    <x v="3"/>
    <n v="120.12"/>
    <n v="5"/>
    <x v="0"/>
  </r>
  <r>
    <n v="4437"/>
    <n v="36"/>
    <x v="0"/>
    <x v="1"/>
    <x v="2"/>
    <s v="Dumbbells"/>
    <n v="97.03"/>
    <x v="3"/>
    <s v="Card"/>
    <n v="3.4"/>
    <x v="16"/>
    <n v="91.208199999999991"/>
    <n v="3"/>
    <x v="1"/>
  </r>
  <r>
    <n v="4438"/>
    <n v="44"/>
    <x v="0"/>
    <x v="0"/>
    <x v="2"/>
    <s v="Yoga Mat"/>
    <n v="129.12"/>
    <x v="3"/>
    <s v="Card"/>
    <n v="5"/>
    <x v="3"/>
    <n v="103.29600000000001"/>
    <n v="5"/>
    <x v="0"/>
  </r>
  <r>
    <n v="4439"/>
    <n v="31"/>
    <x v="0"/>
    <x v="0"/>
    <x v="7"/>
    <s v="Sandals"/>
    <n v="75.930000000000007"/>
    <x v="0"/>
    <s v="Card"/>
    <n v="3.5"/>
    <x v="0"/>
    <n v="62.262600000000013"/>
    <n v="4"/>
    <x v="0"/>
  </r>
  <r>
    <n v="4440"/>
    <n v="46"/>
    <x v="0"/>
    <x v="0"/>
    <x v="8"/>
    <s v="Top"/>
    <n v="181.75"/>
    <x v="2"/>
    <s v="Card"/>
    <n v="4.3"/>
    <x v="5"/>
    <n v="167.21"/>
    <n v="4"/>
    <x v="0"/>
  </r>
  <r>
    <n v="4441"/>
    <n v="43"/>
    <x v="0"/>
    <x v="1"/>
    <x v="5"/>
    <s v="Mobile Phone"/>
    <n v="1217.08"/>
    <x v="1"/>
    <s v="Card"/>
    <n v="4.5999999999999996"/>
    <x v="3"/>
    <n v="973.66399999999999"/>
    <n v="5"/>
    <x v="0"/>
  </r>
  <r>
    <n v="4442"/>
    <n v="23"/>
    <x v="2"/>
    <x v="0"/>
    <x v="7"/>
    <s v="Sneakers"/>
    <n v="241.42"/>
    <x v="1"/>
    <s v="Card"/>
    <n v="5"/>
    <x v="5"/>
    <n v="222.10640000000001"/>
    <n v="4"/>
    <x v="0"/>
  </r>
  <r>
    <n v="4443"/>
    <n v="58"/>
    <x v="0"/>
    <x v="1"/>
    <x v="5"/>
    <s v="Laptop"/>
    <n v="1944.24"/>
    <x v="1"/>
    <s v="Card"/>
    <n v="2.7"/>
    <x v="10"/>
    <n v="1516.5072"/>
    <n v="6"/>
    <x v="0"/>
  </r>
  <r>
    <n v="4444"/>
    <n v="22"/>
    <x v="2"/>
    <x v="1"/>
    <x v="2"/>
    <s v="Yoga Mat"/>
    <n v="48.39"/>
    <x v="3"/>
    <s v="Cash on Delivery"/>
    <n v="4"/>
    <x v="17"/>
    <n v="46.4544"/>
    <n v="2"/>
    <x v="1"/>
  </r>
  <r>
    <n v="4445"/>
    <n v="63"/>
    <x v="1"/>
    <x v="0"/>
    <x v="0"/>
    <s v="Sunglasses"/>
    <n v="107.47"/>
    <x v="0"/>
    <s v="Card"/>
    <n v="2.2000000000000002"/>
    <x v="8"/>
    <n v="94.573599999999999"/>
    <n v="1"/>
    <x v="1"/>
  </r>
  <r>
    <n v="4446"/>
    <n v="62"/>
    <x v="1"/>
    <x v="1"/>
    <x v="5"/>
    <s v="Headphones"/>
    <n v="1763.47"/>
    <x v="0"/>
    <s v="Card"/>
    <n v="4"/>
    <x v="3"/>
    <n v="1410.7760000000001"/>
    <n v="5"/>
    <x v="0"/>
  </r>
  <r>
    <n v="4447"/>
    <n v="69"/>
    <x v="1"/>
    <x v="0"/>
    <x v="8"/>
    <s v="Dress"/>
    <n v="159.97999999999999"/>
    <x v="2"/>
    <s v="Card"/>
    <n v="2.9"/>
    <x v="18"/>
    <n v="121.58479999999999"/>
    <n v="7"/>
    <x v="0"/>
  </r>
  <r>
    <n v="4448"/>
    <n v="36"/>
    <x v="0"/>
    <x v="1"/>
    <x v="4"/>
    <s v="Cooking Oil"/>
    <n v="60.71"/>
    <x v="2"/>
    <s v="Cash on Delivery"/>
    <n v="4.5"/>
    <x v="6"/>
    <n v="50.996400000000001"/>
    <n v="3"/>
    <x v="1"/>
  </r>
  <r>
    <n v="4449"/>
    <n v="46"/>
    <x v="0"/>
    <x v="0"/>
    <x v="3"/>
    <s v="Lamp"/>
    <n v="118.81"/>
    <x v="0"/>
    <s v="Card"/>
    <n v="4.0999999999999996"/>
    <x v="6"/>
    <n v="99.800399999999996"/>
    <n v="3"/>
    <x v="1"/>
  </r>
  <r>
    <n v="4450"/>
    <n v="53"/>
    <x v="0"/>
    <x v="1"/>
    <x v="2"/>
    <s v="Football"/>
    <n v="115.93"/>
    <x v="3"/>
    <s v="Card"/>
    <n v="3"/>
    <x v="16"/>
    <n v="108.9742"/>
    <n v="3"/>
    <x v="1"/>
  </r>
  <r>
    <n v="4451"/>
    <n v="20"/>
    <x v="2"/>
    <x v="0"/>
    <x v="6"/>
    <s v="Perfume"/>
    <n v="109.6"/>
    <x v="2"/>
    <s v="Card"/>
    <n v="4.4000000000000004"/>
    <x v="6"/>
    <n v="92.063999999999993"/>
    <n v="8"/>
    <x v="2"/>
  </r>
  <r>
    <n v="4452"/>
    <n v="48"/>
    <x v="0"/>
    <x v="1"/>
    <x v="7"/>
    <s v="Formal Shoes"/>
    <n v="197.83"/>
    <x v="0"/>
    <s v="Card"/>
    <n v="3.4"/>
    <x v="14"/>
    <n v="164.19890000000001"/>
    <n v="6"/>
    <x v="0"/>
  </r>
  <r>
    <n v="4453"/>
    <n v="29"/>
    <x v="2"/>
    <x v="0"/>
    <x v="7"/>
    <s v="Sneakers"/>
    <n v="68.819999999999993"/>
    <x v="3"/>
    <s v="Card"/>
    <n v="3.6"/>
    <x v="29"/>
    <n v="68.819999999999993"/>
    <n v="0"/>
    <x v="1"/>
  </r>
  <r>
    <n v="4454"/>
    <n v="43"/>
    <x v="0"/>
    <x v="1"/>
    <x v="1"/>
    <s v="T-Shirt"/>
    <n v="112.21"/>
    <x v="3"/>
    <s v="Card"/>
    <n v="4.0999999999999996"/>
    <x v="8"/>
    <n v="98.744799999999998"/>
    <n v="6"/>
    <x v="0"/>
  </r>
  <r>
    <n v="4455"/>
    <n v="37"/>
    <x v="0"/>
    <x v="1"/>
    <x v="7"/>
    <s v="Sandals"/>
    <n v="75.17"/>
    <x v="0"/>
    <s v="Card"/>
    <n v="2.9"/>
    <x v="2"/>
    <n v="66.901300000000006"/>
    <n v="3"/>
    <x v="1"/>
  </r>
  <r>
    <n v="4456"/>
    <n v="49"/>
    <x v="0"/>
    <x v="1"/>
    <x v="5"/>
    <s v="Headphones"/>
    <n v="2429.83"/>
    <x v="2"/>
    <s v="Card"/>
    <n v="2.9"/>
    <x v="0"/>
    <n v="1992.4606000000001"/>
    <n v="9"/>
    <x v="2"/>
  </r>
  <r>
    <n v="4457"/>
    <n v="38"/>
    <x v="0"/>
    <x v="1"/>
    <x v="5"/>
    <s v="Headphones"/>
    <n v="1961.17"/>
    <x v="3"/>
    <s v="Card"/>
    <n v="2.9"/>
    <x v="11"/>
    <n v="1451.2658000000001"/>
    <n v="8"/>
    <x v="2"/>
  </r>
  <r>
    <n v="4458"/>
    <n v="41"/>
    <x v="0"/>
    <x v="0"/>
    <x v="7"/>
    <s v="Sandals"/>
    <n v="119.89"/>
    <x v="2"/>
    <s v="Card"/>
    <n v="3.6"/>
    <x v="2"/>
    <n v="106.7021"/>
    <n v="3"/>
    <x v="1"/>
  </r>
  <r>
    <n v="4459"/>
    <n v="25"/>
    <x v="2"/>
    <x v="0"/>
    <x v="4"/>
    <s v="Cooking Oil"/>
    <n v="78.319999999999993"/>
    <x v="2"/>
    <s v="Cash on Delivery"/>
    <n v="4.5999999999999996"/>
    <x v="18"/>
    <n v="59.523199999999996"/>
    <n v="7"/>
    <x v="0"/>
  </r>
  <r>
    <n v="4460"/>
    <n v="55"/>
    <x v="0"/>
    <x v="1"/>
    <x v="5"/>
    <s v="Mobile Phone"/>
    <n v="1710.6"/>
    <x v="0"/>
    <s v="Card"/>
    <n v="4"/>
    <x v="6"/>
    <n v="1436.9039999999998"/>
    <n v="3"/>
    <x v="1"/>
  </r>
  <r>
    <n v="4461"/>
    <n v="47"/>
    <x v="0"/>
    <x v="0"/>
    <x v="7"/>
    <s v="Sandals"/>
    <n v="148.86000000000001"/>
    <x v="0"/>
    <s v="Card"/>
    <n v="3.4"/>
    <x v="6"/>
    <n v="125.0424"/>
    <n v="3"/>
    <x v="1"/>
  </r>
  <r>
    <n v="4462"/>
    <n v="70"/>
    <x v="1"/>
    <x v="1"/>
    <x v="3"/>
    <s v="Curtains"/>
    <n v="194.65"/>
    <x v="3"/>
    <s v="Card"/>
    <n v="3.3"/>
    <x v="8"/>
    <n v="171.292"/>
    <n v="6"/>
    <x v="0"/>
  </r>
  <r>
    <n v="4463"/>
    <n v="59"/>
    <x v="0"/>
    <x v="0"/>
    <x v="6"/>
    <s v="Perfume"/>
    <n v="58.65"/>
    <x v="0"/>
    <s v="Cash on Delivery"/>
    <n v="3.3"/>
    <x v="8"/>
    <n v="51.612000000000002"/>
    <n v="6"/>
    <x v="0"/>
  </r>
  <r>
    <n v="4464"/>
    <n v="21"/>
    <x v="2"/>
    <x v="0"/>
    <x v="7"/>
    <s v="Sandals"/>
    <n v="228.61"/>
    <x v="0"/>
    <s v="Card"/>
    <n v="2.5"/>
    <x v="7"/>
    <n v="205.74900000000002"/>
    <n v="5"/>
    <x v="0"/>
  </r>
  <r>
    <n v="4465"/>
    <n v="62"/>
    <x v="1"/>
    <x v="1"/>
    <x v="5"/>
    <s v="Mobile Phone"/>
    <n v="2057.65"/>
    <x v="1"/>
    <s v="Card"/>
    <n v="4.0999999999999996"/>
    <x v="18"/>
    <n v="1563.8140000000001"/>
    <n v="7"/>
    <x v="0"/>
  </r>
  <r>
    <n v="4466"/>
    <n v="25"/>
    <x v="2"/>
    <x v="0"/>
    <x v="7"/>
    <s v="Sandals"/>
    <n v="138.83000000000001"/>
    <x v="3"/>
    <s v="Card"/>
    <n v="3.8"/>
    <x v="3"/>
    <n v="111.06400000000002"/>
    <n v="5"/>
    <x v="0"/>
  </r>
  <r>
    <n v="4467"/>
    <n v="23"/>
    <x v="2"/>
    <x v="1"/>
    <x v="1"/>
    <s v="Shirt"/>
    <n v="106.76"/>
    <x v="3"/>
    <s v="Card"/>
    <n v="4.5"/>
    <x v="3"/>
    <n v="85.408000000000015"/>
    <n v="5"/>
    <x v="0"/>
  </r>
  <r>
    <n v="4468"/>
    <n v="62"/>
    <x v="1"/>
    <x v="1"/>
    <x v="5"/>
    <s v="Headphones"/>
    <n v="2593.67"/>
    <x v="0"/>
    <s v="Card"/>
    <n v="2.9"/>
    <x v="7"/>
    <n v="2334.3030000000003"/>
    <n v="5"/>
    <x v="0"/>
  </r>
  <r>
    <n v="4469"/>
    <n v="30"/>
    <x v="2"/>
    <x v="1"/>
    <x v="1"/>
    <s v="Jacket"/>
    <n v="195.55"/>
    <x v="1"/>
    <s v="Card"/>
    <n v="3.9"/>
    <x v="0"/>
    <n v="160.35100000000003"/>
    <n v="4"/>
    <x v="0"/>
  </r>
  <r>
    <n v="4470"/>
    <n v="69"/>
    <x v="1"/>
    <x v="1"/>
    <x v="3"/>
    <s v="Kitchen Set"/>
    <n v="127.32"/>
    <x v="1"/>
    <s v="Card"/>
    <n v="3.5"/>
    <x v="17"/>
    <n v="122.22719999999998"/>
    <n v="2"/>
    <x v="1"/>
  </r>
  <r>
    <n v="4471"/>
    <n v="29"/>
    <x v="2"/>
    <x v="1"/>
    <x v="7"/>
    <s v="Formal Shoes"/>
    <n v="86.48"/>
    <x v="1"/>
    <s v="Card"/>
    <n v="3.7"/>
    <x v="2"/>
    <n v="76.967200000000005"/>
    <n v="3"/>
    <x v="1"/>
  </r>
  <r>
    <n v="4472"/>
    <n v="21"/>
    <x v="2"/>
    <x v="0"/>
    <x v="6"/>
    <s v="Skincare Kit"/>
    <n v="109.66"/>
    <x v="2"/>
    <s v="Card"/>
    <n v="3.5"/>
    <x v="6"/>
    <n v="92.114399999999989"/>
    <n v="8"/>
    <x v="2"/>
  </r>
  <r>
    <n v="4473"/>
    <n v="57"/>
    <x v="0"/>
    <x v="0"/>
    <x v="0"/>
    <s v="Handbag"/>
    <n v="63.39"/>
    <x v="2"/>
    <s v="Cash on Delivery"/>
    <n v="4"/>
    <x v="14"/>
    <n v="52.613700000000001"/>
    <n v="6"/>
    <x v="0"/>
  </r>
  <r>
    <n v="4474"/>
    <n v="61"/>
    <x v="1"/>
    <x v="0"/>
    <x v="8"/>
    <s v="Top"/>
    <n v="198.86"/>
    <x v="2"/>
    <s v="Card"/>
    <n v="3.5"/>
    <x v="19"/>
    <n v="169.03100000000001"/>
    <n v="5"/>
    <x v="0"/>
  </r>
  <r>
    <n v="4475"/>
    <n v="29"/>
    <x v="2"/>
    <x v="0"/>
    <x v="6"/>
    <s v="Makeup Set"/>
    <n v="143.68"/>
    <x v="1"/>
    <s v="Card"/>
    <n v="3.5"/>
    <x v="2"/>
    <n v="127.87520000000001"/>
    <n v="3"/>
    <x v="1"/>
  </r>
  <r>
    <n v="4476"/>
    <n v="44"/>
    <x v="0"/>
    <x v="1"/>
    <x v="5"/>
    <s v="Mobile Phone"/>
    <n v="605.67999999999995"/>
    <x v="3"/>
    <s v="Card"/>
    <n v="3"/>
    <x v="3"/>
    <n v="484.54399999999998"/>
    <n v="5"/>
    <x v="0"/>
  </r>
  <r>
    <n v="4477"/>
    <n v="24"/>
    <x v="2"/>
    <x v="0"/>
    <x v="7"/>
    <s v="Formal Shoes"/>
    <n v="52.58"/>
    <x v="0"/>
    <s v="Cash on Delivery"/>
    <n v="2.4"/>
    <x v="1"/>
    <n v="45.744599999999998"/>
    <n v="4"/>
    <x v="0"/>
  </r>
  <r>
    <n v="4478"/>
    <n v="51"/>
    <x v="0"/>
    <x v="1"/>
    <x v="2"/>
    <s v="Yoga Mat"/>
    <n v="179.61"/>
    <x v="0"/>
    <s v="Card"/>
    <n v="2.9"/>
    <x v="13"/>
    <n v="163.44510000000002"/>
    <n v="2"/>
    <x v="1"/>
  </r>
  <r>
    <n v="4479"/>
    <n v="35"/>
    <x v="0"/>
    <x v="0"/>
    <x v="8"/>
    <s v="Dress"/>
    <n v="170.61"/>
    <x v="1"/>
    <s v="Card"/>
    <n v="4.3"/>
    <x v="18"/>
    <n v="129.6636"/>
    <n v="7"/>
    <x v="0"/>
  </r>
  <r>
    <n v="4480"/>
    <n v="61"/>
    <x v="1"/>
    <x v="1"/>
    <x v="1"/>
    <s v="Shirt"/>
    <n v="124.26"/>
    <x v="3"/>
    <s v="Card"/>
    <n v="3.6"/>
    <x v="19"/>
    <n v="105.621"/>
    <n v="5"/>
    <x v="0"/>
  </r>
  <r>
    <n v="4481"/>
    <n v="54"/>
    <x v="0"/>
    <x v="0"/>
    <x v="8"/>
    <s v="Top"/>
    <n v="102.38"/>
    <x v="0"/>
    <s v="Card"/>
    <n v="4.8"/>
    <x v="16"/>
    <n v="96.237199999999987"/>
    <n v="3"/>
    <x v="1"/>
  </r>
  <r>
    <n v="4482"/>
    <n v="31"/>
    <x v="0"/>
    <x v="1"/>
    <x v="1"/>
    <s v="Jeans"/>
    <n v="129.77000000000001"/>
    <x v="0"/>
    <s v="Card"/>
    <n v="3.3"/>
    <x v="2"/>
    <n v="115.49530000000001"/>
    <n v="3"/>
    <x v="1"/>
  </r>
  <r>
    <n v="4483"/>
    <n v="31"/>
    <x v="0"/>
    <x v="1"/>
    <x v="2"/>
    <s v="Football"/>
    <n v="107.4"/>
    <x v="1"/>
    <s v="Card"/>
    <n v="3.2"/>
    <x v="19"/>
    <n v="91.29"/>
    <n v="5"/>
    <x v="0"/>
  </r>
  <r>
    <n v="4484"/>
    <n v="56"/>
    <x v="0"/>
    <x v="1"/>
    <x v="5"/>
    <s v="Mobile Phone"/>
    <n v="1554.91"/>
    <x v="0"/>
    <s v="Card"/>
    <n v="2.8"/>
    <x v="23"/>
    <n v="1446.0663"/>
    <n v="1"/>
    <x v="1"/>
  </r>
  <r>
    <n v="4485"/>
    <n v="66"/>
    <x v="1"/>
    <x v="0"/>
    <x v="8"/>
    <s v="Top"/>
    <n v="131.11000000000001"/>
    <x v="0"/>
    <s v="Card"/>
    <n v="3"/>
    <x v="3"/>
    <n v="104.88800000000002"/>
    <n v="10"/>
    <x v="2"/>
  </r>
  <r>
    <n v="4486"/>
    <n v="38"/>
    <x v="0"/>
    <x v="1"/>
    <x v="1"/>
    <s v="Jacket"/>
    <n v="52.09"/>
    <x v="2"/>
    <s v="Card"/>
    <n v="4.2"/>
    <x v="4"/>
    <n v="44.797400000000003"/>
    <n v="2"/>
    <x v="1"/>
  </r>
  <r>
    <n v="4487"/>
    <n v="25"/>
    <x v="2"/>
    <x v="1"/>
    <x v="2"/>
    <s v="Dumbbells"/>
    <n v="130.22999999999999"/>
    <x v="3"/>
    <s v="Card"/>
    <n v="4.7"/>
    <x v="6"/>
    <n v="109.39319999999999"/>
    <n v="3"/>
    <x v="1"/>
  </r>
  <r>
    <n v="4488"/>
    <n v="44"/>
    <x v="0"/>
    <x v="1"/>
    <x v="2"/>
    <s v="Football"/>
    <n v="125.56"/>
    <x v="3"/>
    <s v="Card"/>
    <n v="3.2"/>
    <x v="8"/>
    <n v="110.4928"/>
    <n v="1"/>
    <x v="1"/>
  </r>
  <r>
    <n v="4489"/>
    <n v="60"/>
    <x v="0"/>
    <x v="0"/>
    <x v="7"/>
    <s v="Sneakers"/>
    <n v="76.16"/>
    <x v="2"/>
    <s v="Card"/>
    <n v="4.7"/>
    <x v="1"/>
    <n v="66.259199999999993"/>
    <n v="4"/>
    <x v="0"/>
  </r>
  <r>
    <n v="4490"/>
    <n v="50"/>
    <x v="0"/>
    <x v="1"/>
    <x v="1"/>
    <s v="T-Shirt"/>
    <n v="37.53"/>
    <x v="2"/>
    <s v="Card"/>
    <n v="3.5"/>
    <x v="5"/>
    <n v="34.5276"/>
    <n v="4"/>
    <x v="0"/>
  </r>
  <r>
    <n v="4491"/>
    <n v="51"/>
    <x v="0"/>
    <x v="1"/>
    <x v="1"/>
    <s v="T-Shirt"/>
    <n v="100.29"/>
    <x v="2"/>
    <s v="Card"/>
    <n v="3.5"/>
    <x v="4"/>
    <n v="86.249400000000009"/>
    <n v="7"/>
    <x v="0"/>
  </r>
  <r>
    <n v="4492"/>
    <n v="26"/>
    <x v="2"/>
    <x v="1"/>
    <x v="5"/>
    <s v="Laptop"/>
    <n v="1336.49"/>
    <x v="2"/>
    <s v="Card"/>
    <n v="3.8"/>
    <x v="13"/>
    <n v="1216.2059000000002"/>
    <n v="2"/>
    <x v="1"/>
  </r>
  <r>
    <n v="4493"/>
    <n v="23"/>
    <x v="2"/>
    <x v="1"/>
    <x v="3"/>
    <s v="Kitchen Set"/>
    <n v="207.75"/>
    <x v="2"/>
    <s v="Card"/>
    <n v="4.9000000000000004"/>
    <x v="14"/>
    <n v="172.4325"/>
    <n v="6"/>
    <x v="0"/>
  </r>
  <r>
    <n v="4494"/>
    <n v="25"/>
    <x v="2"/>
    <x v="0"/>
    <x v="3"/>
    <s v="Lamp"/>
    <n v="44.45"/>
    <x v="3"/>
    <s v="Cash on Delivery"/>
    <n v="5"/>
    <x v="7"/>
    <n v="40.005000000000003"/>
    <n v="5"/>
    <x v="0"/>
  </r>
  <r>
    <n v="4495"/>
    <n v="34"/>
    <x v="0"/>
    <x v="0"/>
    <x v="3"/>
    <s v="Kitchen Set"/>
    <n v="228.41"/>
    <x v="2"/>
    <s v="Card"/>
    <n v="3.5"/>
    <x v="5"/>
    <n v="210.13720000000001"/>
    <n v="4"/>
    <x v="0"/>
  </r>
  <r>
    <n v="4496"/>
    <n v="24"/>
    <x v="2"/>
    <x v="1"/>
    <x v="3"/>
    <s v="Kitchen Set"/>
    <n v="69.23"/>
    <x v="1"/>
    <s v="Cash on Delivery"/>
    <n v="4.2"/>
    <x v="17"/>
    <n v="66.460800000000006"/>
    <n v="2"/>
    <x v="1"/>
  </r>
  <r>
    <n v="4497"/>
    <n v="40"/>
    <x v="0"/>
    <x v="0"/>
    <x v="6"/>
    <s v="Skincare Kit"/>
    <n v="37.65"/>
    <x v="2"/>
    <s v="Cash on Delivery"/>
    <n v="4.3"/>
    <x v="9"/>
    <n v="27.484499999999997"/>
    <n v="11"/>
    <x v="2"/>
  </r>
  <r>
    <n v="4498"/>
    <n v="23"/>
    <x v="2"/>
    <x v="1"/>
    <x v="5"/>
    <s v="Laptop"/>
    <n v="1286.98"/>
    <x v="1"/>
    <s v="Card"/>
    <n v="4"/>
    <x v="4"/>
    <n v="1106.8027999999999"/>
    <n v="7"/>
    <x v="0"/>
  </r>
  <r>
    <n v="4499"/>
    <n v="28"/>
    <x v="2"/>
    <x v="0"/>
    <x v="7"/>
    <s v="Sneakers"/>
    <n v="99.44"/>
    <x v="2"/>
    <s v="Card"/>
    <n v="3.7"/>
    <x v="3"/>
    <n v="79.552000000000007"/>
    <n v="5"/>
    <x v="0"/>
  </r>
  <r>
    <n v="4500"/>
    <n v="22"/>
    <x v="2"/>
    <x v="1"/>
    <x v="2"/>
    <s v="Football"/>
    <n v="215.07"/>
    <x v="2"/>
    <s v="Card"/>
    <n v="2.5"/>
    <x v="18"/>
    <n v="163.45320000000001"/>
    <n v="7"/>
    <x v="0"/>
  </r>
  <r>
    <n v="4501"/>
    <n v="27"/>
    <x v="2"/>
    <x v="1"/>
    <x v="5"/>
    <s v="Headphones"/>
    <n v="975.24"/>
    <x v="1"/>
    <s v="Card"/>
    <n v="3.6"/>
    <x v="17"/>
    <n v="936.23039999999992"/>
    <n v="2"/>
    <x v="1"/>
  </r>
  <r>
    <n v="4502"/>
    <n v="58"/>
    <x v="0"/>
    <x v="0"/>
    <x v="8"/>
    <s v="Skirt"/>
    <n v="52.67"/>
    <x v="1"/>
    <s v="Cash on Delivery"/>
    <n v="3.3"/>
    <x v="6"/>
    <n v="44.242800000000003"/>
    <n v="8"/>
    <x v="2"/>
  </r>
  <r>
    <n v="4503"/>
    <n v="49"/>
    <x v="0"/>
    <x v="1"/>
    <x v="5"/>
    <s v="Headphones"/>
    <n v="2177.2800000000002"/>
    <x v="3"/>
    <s v="Card"/>
    <n v="3.6"/>
    <x v="11"/>
    <n v="1611.1872000000001"/>
    <n v="8"/>
    <x v="2"/>
  </r>
  <r>
    <n v="4504"/>
    <n v="60"/>
    <x v="0"/>
    <x v="0"/>
    <x v="8"/>
    <s v="Top"/>
    <n v="90.75"/>
    <x v="1"/>
    <s v="Card"/>
    <n v="3.7"/>
    <x v="27"/>
    <n v="68.0625"/>
    <n v="10"/>
    <x v="2"/>
  </r>
  <r>
    <n v="4505"/>
    <n v="23"/>
    <x v="2"/>
    <x v="0"/>
    <x v="7"/>
    <s v="Sneakers"/>
    <n v="200.4"/>
    <x v="0"/>
    <s v="Card"/>
    <n v="3"/>
    <x v="12"/>
    <n v="162.32400000000001"/>
    <n v="7"/>
    <x v="0"/>
  </r>
  <r>
    <n v="4506"/>
    <n v="51"/>
    <x v="0"/>
    <x v="0"/>
    <x v="6"/>
    <s v="Perfume"/>
    <n v="20.2"/>
    <x v="0"/>
    <s v="Cash on Delivery"/>
    <n v="5"/>
    <x v="19"/>
    <n v="17.169999999999998"/>
    <n v="5"/>
    <x v="0"/>
  </r>
  <r>
    <n v="4507"/>
    <n v="42"/>
    <x v="0"/>
    <x v="1"/>
    <x v="1"/>
    <s v="Shirt"/>
    <n v="120.04"/>
    <x v="3"/>
    <s v="Card"/>
    <n v="4.8"/>
    <x v="14"/>
    <n v="99.633200000000002"/>
    <n v="6"/>
    <x v="0"/>
  </r>
  <r>
    <n v="4508"/>
    <n v="63"/>
    <x v="1"/>
    <x v="0"/>
    <x v="6"/>
    <s v="Skincare Kit"/>
    <n v="64.58"/>
    <x v="0"/>
    <s v="Card"/>
    <n v="3.5"/>
    <x v="16"/>
    <n v="60.705199999999998"/>
    <n v="3"/>
    <x v="1"/>
  </r>
  <r>
    <n v="4509"/>
    <n v="21"/>
    <x v="2"/>
    <x v="1"/>
    <x v="4"/>
    <s v="Rice Pack"/>
    <n v="5.44"/>
    <x v="3"/>
    <s v="Card"/>
    <n v="3.7"/>
    <x v="10"/>
    <n v="4.2432000000000007"/>
    <n v="6"/>
    <x v="0"/>
  </r>
  <r>
    <n v="4510"/>
    <n v="52"/>
    <x v="0"/>
    <x v="1"/>
    <x v="5"/>
    <s v="Mobile Phone"/>
    <n v="1371.54"/>
    <x v="2"/>
    <s v="Card"/>
    <n v="3.4"/>
    <x v="4"/>
    <n v="1179.5244"/>
    <n v="7"/>
    <x v="0"/>
  </r>
  <r>
    <n v="4511"/>
    <n v="30"/>
    <x v="2"/>
    <x v="1"/>
    <x v="7"/>
    <s v="Formal Shoes"/>
    <n v="193.68"/>
    <x v="2"/>
    <s v="Card"/>
    <n v="3.1"/>
    <x v="4"/>
    <n v="166.56479999999999"/>
    <n v="2"/>
    <x v="1"/>
  </r>
  <r>
    <n v="4512"/>
    <n v="70"/>
    <x v="1"/>
    <x v="0"/>
    <x v="8"/>
    <s v="Jeans"/>
    <n v="142.97"/>
    <x v="2"/>
    <s v="Card"/>
    <n v="4"/>
    <x v="14"/>
    <n v="118.6651"/>
    <n v="6"/>
    <x v="0"/>
  </r>
  <r>
    <n v="4513"/>
    <n v="61"/>
    <x v="1"/>
    <x v="0"/>
    <x v="0"/>
    <s v="Sunglasses"/>
    <n v="119.4"/>
    <x v="2"/>
    <s v="Card"/>
    <n v="4.3"/>
    <x v="11"/>
    <n v="88.356000000000009"/>
    <n v="8"/>
    <x v="2"/>
  </r>
  <r>
    <n v="4514"/>
    <n v="55"/>
    <x v="0"/>
    <x v="0"/>
    <x v="8"/>
    <s v="Top"/>
    <n v="178.14"/>
    <x v="0"/>
    <s v="Card"/>
    <n v="4.7"/>
    <x v="6"/>
    <n v="149.63759999999999"/>
    <n v="3"/>
    <x v="1"/>
  </r>
  <r>
    <n v="4515"/>
    <n v="65"/>
    <x v="1"/>
    <x v="1"/>
    <x v="4"/>
    <s v="Cooking Oil"/>
    <n v="13.59"/>
    <x v="1"/>
    <s v="Card"/>
    <n v="3.1"/>
    <x v="7"/>
    <n v="12.231"/>
    <n v="5"/>
    <x v="0"/>
  </r>
  <r>
    <n v="4516"/>
    <n v="41"/>
    <x v="0"/>
    <x v="1"/>
    <x v="4"/>
    <s v="Beverages"/>
    <n v="11.01"/>
    <x v="3"/>
    <s v="Cash on Delivery"/>
    <n v="4.5999999999999996"/>
    <x v="1"/>
    <n v="9.5786999999999995"/>
    <n v="4"/>
    <x v="0"/>
  </r>
  <r>
    <n v="4517"/>
    <n v="35"/>
    <x v="0"/>
    <x v="1"/>
    <x v="2"/>
    <s v="Yoga Mat"/>
    <n v="156.76"/>
    <x v="2"/>
    <s v="Card"/>
    <n v="3.3"/>
    <x v="16"/>
    <n v="147.35439999999997"/>
    <n v="3"/>
    <x v="1"/>
  </r>
  <r>
    <n v="4518"/>
    <n v="55"/>
    <x v="0"/>
    <x v="0"/>
    <x v="7"/>
    <s v="Formal Shoes"/>
    <n v="40.21"/>
    <x v="0"/>
    <s v="Card"/>
    <n v="3.5"/>
    <x v="4"/>
    <n v="34.580599999999997"/>
    <n v="2"/>
    <x v="1"/>
  </r>
  <r>
    <n v="4519"/>
    <n v="65"/>
    <x v="1"/>
    <x v="0"/>
    <x v="6"/>
    <s v="Skincare Kit"/>
    <n v="54.03"/>
    <x v="3"/>
    <s v="Card"/>
    <n v="3.6"/>
    <x v="19"/>
    <n v="45.9255"/>
    <n v="5"/>
    <x v="0"/>
  </r>
  <r>
    <n v="4520"/>
    <n v="40"/>
    <x v="0"/>
    <x v="0"/>
    <x v="3"/>
    <s v="Lamp"/>
    <n v="216.9"/>
    <x v="3"/>
    <s v="Card"/>
    <n v="3.7"/>
    <x v="17"/>
    <n v="208.22399999999999"/>
    <n v="2"/>
    <x v="1"/>
  </r>
  <r>
    <n v="4521"/>
    <n v="59"/>
    <x v="0"/>
    <x v="0"/>
    <x v="0"/>
    <s v="Sunglasses"/>
    <n v="29.8"/>
    <x v="2"/>
    <s v="Cash on Delivery"/>
    <n v="3.2"/>
    <x v="7"/>
    <n v="26.82"/>
    <n v="5"/>
    <x v="0"/>
  </r>
  <r>
    <n v="4522"/>
    <n v="59"/>
    <x v="0"/>
    <x v="0"/>
    <x v="6"/>
    <s v="Perfume"/>
    <n v="111.6"/>
    <x v="1"/>
    <s v="Card"/>
    <n v="2.2000000000000002"/>
    <x v="17"/>
    <n v="107.136"/>
    <n v="2"/>
    <x v="1"/>
  </r>
  <r>
    <n v="4523"/>
    <n v="70"/>
    <x v="1"/>
    <x v="0"/>
    <x v="8"/>
    <s v="Top"/>
    <n v="161.66999999999999"/>
    <x v="2"/>
    <s v="Card"/>
    <n v="3.8"/>
    <x v="14"/>
    <n v="134.18609999999998"/>
    <n v="6"/>
    <x v="0"/>
  </r>
  <r>
    <n v="4524"/>
    <n v="59"/>
    <x v="0"/>
    <x v="1"/>
    <x v="3"/>
    <s v="Kitchen Set"/>
    <n v="155.09"/>
    <x v="3"/>
    <s v="Card"/>
    <n v="3.6"/>
    <x v="0"/>
    <n v="127.17380000000001"/>
    <n v="9"/>
    <x v="2"/>
  </r>
  <r>
    <n v="4525"/>
    <n v="61"/>
    <x v="1"/>
    <x v="0"/>
    <x v="2"/>
    <s v="Football"/>
    <n v="140.07"/>
    <x v="3"/>
    <s v="Card"/>
    <n v="4"/>
    <x v="7"/>
    <n v="126.063"/>
    <n v="5"/>
    <x v="0"/>
  </r>
  <r>
    <n v="4526"/>
    <n v="68"/>
    <x v="1"/>
    <x v="1"/>
    <x v="5"/>
    <s v="Headphones"/>
    <n v="894.06"/>
    <x v="2"/>
    <s v="Card"/>
    <n v="3.9"/>
    <x v="7"/>
    <n v="804.654"/>
    <n v="5"/>
    <x v="0"/>
  </r>
  <r>
    <n v="4527"/>
    <n v="45"/>
    <x v="0"/>
    <x v="0"/>
    <x v="7"/>
    <s v="Formal Shoes"/>
    <n v="232.18"/>
    <x v="2"/>
    <s v="Card"/>
    <n v="4.5"/>
    <x v="3"/>
    <n v="185.74400000000003"/>
    <n v="5"/>
    <x v="0"/>
  </r>
  <r>
    <n v="4528"/>
    <n v="35"/>
    <x v="0"/>
    <x v="0"/>
    <x v="7"/>
    <s v="Sneakers"/>
    <n v="185.34"/>
    <x v="3"/>
    <s v="Card"/>
    <n v="3.6"/>
    <x v="1"/>
    <n v="161.2458"/>
    <n v="4"/>
    <x v="0"/>
  </r>
  <r>
    <n v="4529"/>
    <n v="54"/>
    <x v="0"/>
    <x v="1"/>
    <x v="2"/>
    <s v="Dumbbells"/>
    <n v="245.45"/>
    <x v="3"/>
    <s v="Card"/>
    <n v="3.6"/>
    <x v="5"/>
    <n v="225.81399999999999"/>
    <n v="4"/>
    <x v="0"/>
  </r>
  <r>
    <n v="4530"/>
    <n v="53"/>
    <x v="0"/>
    <x v="0"/>
    <x v="6"/>
    <s v="Skincare Kit"/>
    <n v="30.54"/>
    <x v="0"/>
    <s v="Card"/>
    <n v="4"/>
    <x v="23"/>
    <n v="28.402199999999997"/>
    <n v="1"/>
    <x v="1"/>
  </r>
  <r>
    <n v="4531"/>
    <n v="30"/>
    <x v="2"/>
    <x v="0"/>
    <x v="8"/>
    <s v="Top"/>
    <n v="95.64"/>
    <x v="2"/>
    <s v="Cash on Delivery"/>
    <n v="4.5"/>
    <x v="14"/>
    <n v="79.381199999999993"/>
    <n v="6"/>
    <x v="0"/>
  </r>
  <r>
    <n v="4532"/>
    <n v="52"/>
    <x v="0"/>
    <x v="1"/>
    <x v="1"/>
    <s v="Shirt"/>
    <n v="134.28"/>
    <x v="2"/>
    <s v="Card"/>
    <n v="3.1"/>
    <x v="5"/>
    <n v="123.53760000000001"/>
    <n v="4"/>
    <x v="0"/>
  </r>
  <r>
    <n v="4533"/>
    <n v="42"/>
    <x v="0"/>
    <x v="1"/>
    <x v="2"/>
    <s v="Football"/>
    <n v="249.3"/>
    <x v="3"/>
    <s v="Card"/>
    <n v="5"/>
    <x v="0"/>
    <n v="204.42600000000002"/>
    <n v="4"/>
    <x v="0"/>
  </r>
  <r>
    <n v="4534"/>
    <n v="44"/>
    <x v="0"/>
    <x v="1"/>
    <x v="7"/>
    <s v="Sneakers"/>
    <n v="55.33"/>
    <x v="3"/>
    <s v="Card"/>
    <n v="4.5"/>
    <x v="24"/>
    <n v="39.837599999999995"/>
    <n v="9"/>
    <x v="2"/>
  </r>
  <r>
    <n v="4535"/>
    <n v="60"/>
    <x v="0"/>
    <x v="1"/>
    <x v="4"/>
    <s v="Snacks"/>
    <n v="10.3"/>
    <x v="1"/>
    <s v="Cash on Delivery"/>
    <n v="3.9"/>
    <x v="14"/>
    <n v="8.5489999999999995"/>
    <n v="6"/>
    <x v="0"/>
  </r>
  <r>
    <n v="4536"/>
    <n v="22"/>
    <x v="2"/>
    <x v="0"/>
    <x v="7"/>
    <s v="Formal Shoes"/>
    <n v="109.51"/>
    <x v="1"/>
    <s v="Card"/>
    <n v="4.8"/>
    <x v="7"/>
    <n v="98.559000000000012"/>
    <n v="5"/>
    <x v="0"/>
  </r>
  <r>
    <n v="4537"/>
    <n v="31"/>
    <x v="0"/>
    <x v="1"/>
    <x v="5"/>
    <s v="Smart Watch"/>
    <n v="1550.91"/>
    <x v="1"/>
    <s v="Card"/>
    <n v="2.1"/>
    <x v="13"/>
    <n v="1411.3281000000002"/>
    <n v="2"/>
    <x v="1"/>
  </r>
  <r>
    <n v="4538"/>
    <n v="38"/>
    <x v="0"/>
    <x v="1"/>
    <x v="7"/>
    <s v="Sneakers"/>
    <n v="192.19"/>
    <x v="0"/>
    <s v="Card"/>
    <n v="3.5"/>
    <x v="2"/>
    <n v="171.04910000000001"/>
    <n v="3"/>
    <x v="1"/>
  </r>
  <r>
    <n v="4539"/>
    <n v="49"/>
    <x v="0"/>
    <x v="1"/>
    <x v="5"/>
    <s v="Smart Watch"/>
    <n v="2208.2199999999998"/>
    <x v="3"/>
    <s v="Card"/>
    <n v="3.8"/>
    <x v="5"/>
    <n v="2031.5623999999998"/>
    <n v="4"/>
    <x v="0"/>
  </r>
  <r>
    <n v="4540"/>
    <n v="23"/>
    <x v="2"/>
    <x v="0"/>
    <x v="2"/>
    <s v="Dumbbells"/>
    <n v="37.85"/>
    <x v="2"/>
    <s v="Card"/>
    <n v="3.1"/>
    <x v="12"/>
    <n v="30.658500000000004"/>
    <n v="7"/>
    <x v="0"/>
  </r>
  <r>
    <n v="4541"/>
    <n v="40"/>
    <x v="0"/>
    <x v="0"/>
    <x v="7"/>
    <s v="Sneakers"/>
    <n v="96.16"/>
    <x v="3"/>
    <s v="Cash on Delivery"/>
    <n v="4.0999999999999996"/>
    <x v="4"/>
    <n v="82.697599999999994"/>
    <n v="2"/>
    <x v="1"/>
  </r>
  <r>
    <n v="4542"/>
    <n v="62"/>
    <x v="1"/>
    <x v="1"/>
    <x v="7"/>
    <s v="Formal Shoes"/>
    <n v="73.58"/>
    <x v="1"/>
    <s v="Card"/>
    <n v="3.2"/>
    <x v="7"/>
    <n v="66.221999999999994"/>
    <n v="5"/>
    <x v="0"/>
  </r>
  <r>
    <n v="4543"/>
    <n v="27"/>
    <x v="2"/>
    <x v="0"/>
    <x v="7"/>
    <s v="Formal Shoes"/>
    <n v="108.25"/>
    <x v="2"/>
    <s v="Card"/>
    <n v="4.4000000000000004"/>
    <x v="19"/>
    <n v="92.012500000000003"/>
    <n v="5"/>
    <x v="0"/>
  </r>
  <r>
    <n v="4544"/>
    <n v="35"/>
    <x v="0"/>
    <x v="0"/>
    <x v="2"/>
    <s v="Football"/>
    <n v="84.39"/>
    <x v="3"/>
    <s v="Card"/>
    <n v="4.8"/>
    <x v="12"/>
    <n v="68.355900000000005"/>
    <n v="7"/>
    <x v="0"/>
  </r>
  <r>
    <n v="4545"/>
    <n v="21"/>
    <x v="2"/>
    <x v="1"/>
    <x v="5"/>
    <s v="Laptop"/>
    <n v="2196.35"/>
    <x v="2"/>
    <s v="Card"/>
    <n v="3.8"/>
    <x v="7"/>
    <n v="1976.7149999999999"/>
    <n v="5"/>
    <x v="0"/>
  </r>
  <r>
    <n v="4546"/>
    <n v="55"/>
    <x v="0"/>
    <x v="1"/>
    <x v="1"/>
    <s v="T-Shirt"/>
    <n v="56.1"/>
    <x v="2"/>
    <s v="Card"/>
    <n v="5"/>
    <x v="8"/>
    <n v="49.368000000000002"/>
    <n v="6"/>
    <x v="0"/>
  </r>
  <r>
    <n v="4547"/>
    <n v="49"/>
    <x v="0"/>
    <x v="1"/>
    <x v="1"/>
    <s v="Jacket"/>
    <n v="115.95"/>
    <x v="1"/>
    <s v="Card"/>
    <n v="3.7"/>
    <x v="19"/>
    <n v="98.557500000000005"/>
    <n v="5"/>
    <x v="0"/>
  </r>
  <r>
    <n v="4548"/>
    <n v="60"/>
    <x v="0"/>
    <x v="1"/>
    <x v="2"/>
    <s v="Football"/>
    <n v="122.97"/>
    <x v="0"/>
    <s v="Card"/>
    <n v="3.8"/>
    <x v="13"/>
    <n v="111.9027"/>
    <n v="2"/>
    <x v="1"/>
  </r>
  <r>
    <n v="4549"/>
    <n v="46"/>
    <x v="0"/>
    <x v="1"/>
    <x v="5"/>
    <s v="Mobile Phone"/>
    <n v="561.66"/>
    <x v="3"/>
    <s v="Card"/>
    <n v="3.8"/>
    <x v="8"/>
    <n v="494.26079999999996"/>
    <n v="6"/>
    <x v="0"/>
  </r>
  <r>
    <n v="4550"/>
    <n v="69"/>
    <x v="1"/>
    <x v="0"/>
    <x v="8"/>
    <s v="Top"/>
    <n v="73.88"/>
    <x v="3"/>
    <s v="Card"/>
    <n v="4.3"/>
    <x v="14"/>
    <n v="61.320399999999992"/>
    <n v="6"/>
    <x v="0"/>
  </r>
  <r>
    <n v="4551"/>
    <n v="49"/>
    <x v="0"/>
    <x v="0"/>
    <x v="7"/>
    <s v="Sandals"/>
    <n v="96.13"/>
    <x v="1"/>
    <s v="Cash on Delivery"/>
    <n v="4"/>
    <x v="19"/>
    <n v="81.710499999999996"/>
    <n v="5"/>
    <x v="0"/>
  </r>
  <r>
    <n v="4552"/>
    <n v="58"/>
    <x v="0"/>
    <x v="1"/>
    <x v="1"/>
    <s v="T-Shirt"/>
    <n v="128.34"/>
    <x v="1"/>
    <s v="Card"/>
    <n v="3.6"/>
    <x v="10"/>
    <n v="100.10520000000001"/>
    <n v="6"/>
    <x v="0"/>
  </r>
  <r>
    <n v="4553"/>
    <n v="22"/>
    <x v="2"/>
    <x v="1"/>
    <x v="4"/>
    <s v="Cooking Oil"/>
    <n v="36.200000000000003"/>
    <x v="0"/>
    <s v="Cash on Delivery"/>
    <n v="5"/>
    <x v="3"/>
    <n v="28.960000000000004"/>
    <n v="5"/>
    <x v="0"/>
  </r>
  <r>
    <n v="4554"/>
    <n v="50"/>
    <x v="0"/>
    <x v="0"/>
    <x v="6"/>
    <s v="Skincare Kit"/>
    <n v="22.59"/>
    <x v="1"/>
    <s v="Cash on Delivery"/>
    <n v="3.9"/>
    <x v="3"/>
    <n v="18.071999999999999"/>
    <n v="5"/>
    <x v="0"/>
  </r>
  <r>
    <n v="4555"/>
    <n v="41"/>
    <x v="0"/>
    <x v="0"/>
    <x v="7"/>
    <s v="Sandals"/>
    <n v="55.08"/>
    <x v="1"/>
    <s v="Cash on Delivery"/>
    <n v="4"/>
    <x v="11"/>
    <n v="40.7592"/>
    <n v="8"/>
    <x v="2"/>
  </r>
  <r>
    <n v="4556"/>
    <n v="68"/>
    <x v="1"/>
    <x v="0"/>
    <x v="0"/>
    <s v="Wallet"/>
    <n v="121.36"/>
    <x v="2"/>
    <s v="Card"/>
    <n v="2.7"/>
    <x v="19"/>
    <n v="103.15599999999999"/>
    <n v="5"/>
    <x v="0"/>
  </r>
  <r>
    <n v="4557"/>
    <n v="67"/>
    <x v="1"/>
    <x v="1"/>
    <x v="7"/>
    <s v="Formal Shoes"/>
    <n v="202.9"/>
    <x v="0"/>
    <s v="Card"/>
    <n v="3.7"/>
    <x v="3"/>
    <n v="162.32000000000002"/>
    <n v="5"/>
    <x v="0"/>
  </r>
  <r>
    <n v="4558"/>
    <n v="67"/>
    <x v="1"/>
    <x v="1"/>
    <x v="1"/>
    <s v="Jeans"/>
    <n v="185.7"/>
    <x v="0"/>
    <s v="Card"/>
    <n v="3.1"/>
    <x v="15"/>
    <n v="181.98599999999999"/>
    <n v="1"/>
    <x v="1"/>
  </r>
  <r>
    <n v="4559"/>
    <n v="24"/>
    <x v="2"/>
    <x v="1"/>
    <x v="1"/>
    <s v="Jeans"/>
    <n v="156.16999999999999"/>
    <x v="1"/>
    <s v="Card"/>
    <n v="4.0999999999999996"/>
    <x v="2"/>
    <n v="138.9913"/>
    <n v="3"/>
    <x v="1"/>
  </r>
  <r>
    <n v="4560"/>
    <n v="56"/>
    <x v="0"/>
    <x v="0"/>
    <x v="6"/>
    <s v="Perfume"/>
    <n v="32.07"/>
    <x v="3"/>
    <s v="Card"/>
    <n v="3.7"/>
    <x v="30"/>
    <n v="21.166199999999996"/>
    <n v="12"/>
    <x v="2"/>
  </r>
  <r>
    <n v="4561"/>
    <n v="70"/>
    <x v="1"/>
    <x v="0"/>
    <x v="4"/>
    <s v="Rice Pack"/>
    <n v="65.38"/>
    <x v="3"/>
    <s v="Cash on Delivery"/>
    <n v="3.7"/>
    <x v="3"/>
    <n v="52.304000000000002"/>
    <n v="5"/>
    <x v="0"/>
  </r>
  <r>
    <n v="4562"/>
    <n v="62"/>
    <x v="1"/>
    <x v="0"/>
    <x v="7"/>
    <s v="Formal Shoes"/>
    <n v="48.76"/>
    <x v="0"/>
    <s v="Card"/>
    <n v="3.4"/>
    <x v="7"/>
    <n v="43.884"/>
    <n v="5"/>
    <x v="0"/>
  </r>
  <r>
    <n v="4563"/>
    <n v="55"/>
    <x v="0"/>
    <x v="0"/>
    <x v="7"/>
    <s v="Sandals"/>
    <n v="133.82"/>
    <x v="1"/>
    <s v="Card"/>
    <n v="4.5"/>
    <x v="14"/>
    <n v="111.07059999999998"/>
    <n v="6"/>
    <x v="0"/>
  </r>
  <r>
    <n v="4564"/>
    <n v="41"/>
    <x v="0"/>
    <x v="0"/>
    <x v="2"/>
    <s v="Yoga Mat"/>
    <n v="189.59"/>
    <x v="0"/>
    <s v="Card"/>
    <n v="3"/>
    <x v="7"/>
    <n v="170.631"/>
    <n v="5"/>
    <x v="0"/>
  </r>
  <r>
    <n v="4565"/>
    <n v="64"/>
    <x v="1"/>
    <x v="0"/>
    <x v="0"/>
    <s v="Handbag"/>
    <n v="129.44999999999999"/>
    <x v="0"/>
    <s v="Card"/>
    <n v="3.9"/>
    <x v="1"/>
    <n v="112.62149999999998"/>
    <n v="4"/>
    <x v="0"/>
  </r>
  <r>
    <n v="4566"/>
    <n v="67"/>
    <x v="1"/>
    <x v="1"/>
    <x v="7"/>
    <s v="Sandals"/>
    <n v="151.13"/>
    <x v="0"/>
    <s v="Card"/>
    <n v="3.6"/>
    <x v="17"/>
    <n v="145.0848"/>
    <n v="2"/>
    <x v="1"/>
  </r>
  <r>
    <n v="4567"/>
    <n v="30"/>
    <x v="2"/>
    <x v="1"/>
    <x v="7"/>
    <s v="Sneakers"/>
    <n v="122.89"/>
    <x v="2"/>
    <s v="Card"/>
    <n v="5"/>
    <x v="1"/>
    <n v="106.9143"/>
    <n v="4"/>
    <x v="0"/>
  </r>
  <r>
    <n v="4568"/>
    <n v="70"/>
    <x v="1"/>
    <x v="1"/>
    <x v="7"/>
    <s v="Sandals"/>
    <n v="112.06"/>
    <x v="1"/>
    <s v="Card"/>
    <n v="5"/>
    <x v="27"/>
    <n v="84.045000000000002"/>
    <n v="10"/>
    <x v="2"/>
  </r>
  <r>
    <n v="4569"/>
    <n v="66"/>
    <x v="1"/>
    <x v="0"/>
    <x v="2"/>
    <s v="Dumbbells"/>
    <n v="115.8"/>
    <x v="2"/>
    <s v="Card"/>
    <n v="3.2"/>
    <x v="8"/>
    <n v="101.904"/>
    <n v="1"/>
    <x v="1"/>
  </r>
  <r>
    <n v="4570"/>
    <n v="55"/>
    <x v="0"/>
    <x v="0"/>
    <x v="4"/>
    <s v="Rice Pack"/>
    <n v="68.87"/>
    <x v="0"/>
    <s v="Cash on Delivery"/>
    <n v="4"/>
    <x v="16"/>
    <n v="64.737800000000007"/>
    <n v="3"/>
    <x v="1"/>
  </r>
  <r>
    <n v="4571"/>
    <n v="63"/>
    <x v="1"/>
    <x v="1"/>
    <x v="1"/>
    <s v="Jeans"/>
    <n v="99.6"/>
    <x v="0"/>
    <s v="Cash on Delivery"/>
    <n v="4.5999999999999996"/>
    <x v="4"/>
    <n v="85.655999999999992"/>
    <n v="2"/>
    <x v="1"/>
  </r>
  <r>
    <n v="4572"/>
    <n v="65"/>
    <x v="1"/>
    <x v="1"/>
    <x v="2"/>
    <s v="Yoga Mat"/>
    <n v="112.71"/>
    <x v="2"/>
    <s v="Card"/>
    <n v="4.7"/>
    <x v="27"/>
    <n v="84.532499999999999"/>
    <n v="10"/>
    <x v="2"/>
  </r>
  <r>
    <n v="4573"/>
    <n v="42"/>
    <x v="0"/>
    <x v="1"/>
    <x v="7"/>
    <s v="Formal Shoes"/>
    <n v="176.05"/>
    <x v="3"/>
    <s v="Card"/>
    <n v="4.3"/>
    <x v="7"/>
    <n v="158.44500000000002"/>
    <n v="5"/>
    <x v="0"/>
  </r>
  <r>
    <n v="4574"/>
    <n v="53"/>
    <x v="0"/>
    <x v="1"/>
    <x v="2"/>
    <s v="Football"/>
    <n v="122.14"/>
    <x v="3"/>
    <s v="Card"/>
    <n v="4.7"/>
    <x v="14"/>
    <n v="101.3762"/>
    <n v="6"/>
    <x v="0"/>
  </r>
  <r>
    <n v="4575"/>
    <n v="29"/>
    <x v="2"/>
    <x v="0"/>
    <x v="8"/>
    <s v="Skirt"/>
    <n v="70.08"/>
    <x v="2"/>
    <s v="Card"/>
    <n v="3.1"/>
    <x v="5"/>
    <n v="64.473600000000005"/>
    <n v="4"/>
    <x v="0"/>
  </r>
  <r>
    <n v="4576"/>
    <n v="31"/>
    <x v="0"/>
    <x v="0"/>
    <x v="3"/>
    <s v="Lamp"/>
    <n v="212.12"/>
    <x v="1"/>
    <s v="Card"/>
    <n v="3.6"/>
    <x v="5"/>
    <n v="195.15040000000002"/>
    <n v="4"/>
    <x v="0"/>
  </r>
  <r>
    <n v="4577"/>
    <n v="22"/>
    <x v="2"/>
    <x v="1"/>
    <x v="1"/>
    <s v="T-Shirt"/>
    <n v="132.21"/>
    <x v="1"/>
    <s v="Card"/>
    <n v="4.2"/>
    <x v="8"/>
    <n v="116.34480000000001"/>
    <n v="6"/>
    <x v="0"/>
  </r>
  <r>
    <n v="4578"/>
    <n v="61"/>
    <x v="1"/>
    <x v="1"/>
    <x v="3"/>
    <s v="Lamp"/>
    <n v="30.41"/>
    <x v="1"/>
    <s v="Card"/>
    <n v="4.5"/>
    <x v="18"/>
    <n v="23.111599999999999"/>
    <n v="7"/>
    <x v="0"/>
  </r>
  <r>
    <n v="4579"/>
    <n v="70"/>
    <x v="1"/>
    <x v="0"/>
    <x v="8"/>
    <s v="Skirt"/>
    <n v="155.75"/>
    <x v="1"/>
    <s v="Card"/>
    <n v="4.8"/>
    <x v="11"/>
    <n v="115.255"/>
    <n v="8"/>
    <x v="2"/>
  </r>
  <r>
    <n v="4580"/>
    <n v="23"/>
    <x v="2"/>
    <x v="0"/>
    <x v="8"/>
    <s v="Top"/>
    <n v="139.63999999999999"/>
    <x v="3"/>
    <s v="Card"/>
    <n v="3.2"/>
    <x v="1"/>
    <n v="121.48679999999999"/>
    <n v="4"/>
    <x v="0"/>
  </r>
  <r>
    <n v="4581"/>
    <n v="37"/>
    <x v="0"/>
    <x v="0"/>
    <x v="8"/>
    <s v="Skirt"/>
    <n v="68.14"/>
    <x v="1"/>
    <s v="Card"/>
    <n v="5"/>
    <x v="19"/>
    <n v="57.918999999999997"/>
    <n v="5"/>
    <x v="0"/>
  </r>
  <r>
    <n v="4582"/>
    <n v="46"/>
    <x v="0"/>
    <x v="0"/>
    <x v="6"/>
    <s v="Skincare Kit"/>
    <n v="90.16"/>
    <x v="0"/>
    <s v="Cash on Delivery"/>
    <n v="3.4"/>
    <x v="5"/>
    <n v="82.947199999999995"/>
    <n v="4"/>
    <x v="0"/>
  </r>
  <r>
    <n v="4583"/>
    <n v="30"/>
    <x v="2"/>
    <x v="1"/>
    <x v="4"/>
    <s v="Beverages"/>
    <n v="31.14"/>
    <x v="3"/>
    <s v="Cash on Delivery"/>
    <n v="4.3"/>
    <x v="10"/>
    <n v="24.289200000000001"/>
    <n v="6"/>
    <x v="0"/>
  </r>
  <r>
    <n v="4584"/>
    <n v="40"/>
    <x v="0"/>
    <x v="0"/>
    <x v="6"/>
    <s v="Perfume"/>
    <n v="58.36"/>
    <x v="2"/>
    <s v="Cash on Delivery"/>
    <n v="3.4"/>
    <x v="6"/>
    <n v="49.022399999999998"/>
    <n v="3"/>
    <x v="1"/>
  </r>
  <r>
    <n v="4585"/>
    <n v="22"/>
    <x v="2"/>
    <x v="0"/>
    <x v="7"/>
    <s v="Sandals"/>
    <n v="185.34"/>
    <x v="2"/>
    <s v="Card"/>
    <n v="3.7"/>
    <x v="1"/>
    <n v="161.2458"/>
    <n v="4"/>
    <x v="0"/>
  </r>
  <r>
    <n v="4586"/>
    <n v="36"/>
    <x v="0"/>
    <x v="0"/>
    <x v="7"/>
    <s v="Sneakers"/>
    <n v="195.92"/>
    <x v="1"/>
    <s v="Card"/>
    <n v="3.3"/>
    <x v="5"/>
    <n v="180.24639999999999"/>
    <n v="4"/>
    <x v="0"/>
  </r>
  <r>
    <n v="4587"/>
    <n v="37"/>
    <x v="0"/>
    <x v="0"/>
    <x v="6"/>
    <s v="Skincare Kit"/>
    <n v="126.73"/>
    <x v="3"/>
    <s v="Card"/>
    <n v="4.4000000000000004"/>
    <x v="0"/>
    <n v="103.91860000000001"/>
    <n v="4"/>
    <x v="0"/>
  </r>
  <r>
    <n v="4588"/>
    <n v="36"/>
    <x v="0"/>
    <x v="1"/>
    <x v="2"/>
    <s v="Dumbbells"/>
    <n v="57.52"/>
    <x v="2"/>
    <s v="Cash on Delivery"/>
    <n v="3.6"/>
    <x v="14"/>
    <n v="47.741599999999998"/>
    <n v="6"/>
    <x v="0"/>
  </r>
  <r>
    <n v="4589"/>
    <n v="63"/>
    <x v="1"/>
    <x v="0"/>
    <x v="2"/>
    <s v="Yoga Mat"/>
    <n v="50.03"/>
    <x v="3"/>
    <s v="Cash on Delivery"/>
    <n v="4.9000000000000004"/>
    <x v="1"/>
    <n v="43.5261"/>
    <n v="4"/>
    <x v="0"/>
  </r>
  <r>
    <n v="4590"/>
    <n v="55"/>
    <x v="0"/>
    <x v="1"/>
    <x v="7"/>
    <s v="Formal Shoes"/>
    <n v="127.27"/>
    <x v="1"/>
    <s v="Card"/>
    <n v="3.8"/>
    <x v="14"/>
    <n v="105.63409999999999"/>
    <n v="6"/>
    <x v="0"/>
  </r>
  <r>
    <n v="4591"/>
    <n v="59"/>
    <x v="0"/>
    <x v="1"/>
    <x v="7"/>
    <s v="Sandals"/>
    <n v="146.82"/>
    <x v="0"/>
    <s v="Card"/>
    <n v="2.8"/>
    <x v="13"/>
    <n v="133.6062"/>
    <n v="2"/>
    <x v="1"/>
  </r>
  <r>
    <n v="4592"/>
    <n v="27"/>
    <x v="2"/>
    <x v="1"/>
    <x v="5"/>
    <s v="Headphones"/>
    <n v="1476.44"/>
    <x v="0"/>
    <s v="Card"/>
    <n v="5"/>
    <x v="6"/>
    <n v="1240.2095999999999"/>
    <n v="3"/>
    <x v="1"/>
  </r>
  <r>
    <n v="4593"/>
    <n v="40"/>
    <x v="0"/>
    <x v="0"/>
    <x v="3"/>
    <s v="Kitchen Set"/>
    <n v="67.92"/>
    <x v="1"/>
    <s v="Card"/>
    <n v="4.5999999999999996"/>
    <x v="8"/>
    <n v="59.769600000000004"/>
    <n v="6"/>
    <x v="0"/>
  </r>
  <r>
    <n v="4594"/>
    <n v="45"/>
    <x v="0"/>
    <x v="0"/>
    <x v="6"/>
    <s v="Skincare Kit"/>
    <n v="78.650000000000006"/>
    <x v="2"/>
    <s v="Cash on Delivery"/>
    <n v="3.6"/>
    <x v="0"/>
    <n v="64.493000000000009"/>
    <n v="4"/>
    <x v="0"/>
  </r>
  <r>
    <n v="4595"/>
    <n v="64"/>
    <x v="1"/>
    <x v="1"/>
    <x v="1"/>
    <s v="Jacket"/>
    <n v="158.12"/>
    <x v="3"/>
    <s v="Card"/>
    <n v="3.9"/>
    <x v="17"/>
    <n v="151.79519999999999"/>
    <n v="2"/>
    <x v="1"/>
  </r>
  <r>
    <n v="4596"/>
    <n v="44"/>
    <x v="0"/>
    <x v="0"/>
    <x v="0"/>
    <s v="Sunglasses"/>
    <n v="92.21"/>
    <x v="1"/>
    <s v="Card"/>
    <n v="2.9"/>
    <x v="19"/>
    <n v="78.378499999999988"/>
    <n v="5"/>
    <x v="0"/>
  </r>
  <r>
    <n v="4597"/>
    <n v="27"/>
    <x v="2"/>
    <x v="1"/>
    <x v="1"/>
    <s v="Shirt"/>
    <n v="86.53"/>
    <x v="2"/>
    <s v="Card"/>
    <n v="4.0999999999999996"/>
    <x v="26"/>
    <n v="82.203499999999991"/>
    <n v="0"/>
    <x v="1"/>
  </r>
  <r>
    <n v="4598"/>
    <n v="64"/>
    <x v="1"/>
    <x v="0"/>
    <x v="7"/>
    <s v="Formal Shoes"/>
    <n v="233.47"/>
    <x v="0"/>
    <s v="Card"/>
    <n v="4.8"/>
    <x v="16"/>
    <n v="219.46179999999998"/>
    <n v="3"/>
    <x v="1"/>
  </r>
  <r>
    <n v="4599"/>
    <n v="60"/>
    <x v="0"/>
    <x v="1"/>
    <x v="3"/>
    <s v="Lamp"/>
    <n v="82.83"/>
    <x v="1"/>
    <s v="Cash on Delivery"/>
    <n v="3.6"/>
    <x v="21"/>
    <n v="65.435699999999997"/>
    <n v="8"/>
    <x v="2"/>
  </r>
  <r>
    <n v="4600"/>
    <n v="60"/>
    <x v="0"/>
    <x v="0"/>
    <x v="2"/>
    <s v="Football"/>
    <n v="217.78"/>
    <x v="2"/>
    <s v="Card"/>
    <n v="4.8"/>
    <x v="0"/>
    <n v="178.57960000000003"/>
    <n v="4"/>
    <x v="0"/>
  </r>
  <r>
    <n v="4601"/>
    <n v="68"/>
    <x v="1"/>
    <x v="0"/>
    <x v="7"/>
    <s v="Sneakers"/>
    <n v="69.89"/>
    <x v="0"/>
    <s v="Cash on Delivery"/>
    <n v="3.9"/>
    <x v="13"/>
    <n v="63.599900000000005"/>
    <n v="2"/>
    <x v="1"/>
  </r>
  <r>
    <n v="4602"/>
    <n v="23"/>
    <x v="2"/>
    <x v="0"/>
    <x v="6"/>
    <s v="Perfume"/>
    <n v="86.48"/>
    <x v="2"/>
    <s v="Card"/>
    <n v="4.3"/>
    <x v="1"/>
    <n v="75.2376"/>
    <n v="4"/>
    <x v="0"/>
  </r>
  <r>
    <n v="4603"/>
    <n v="63"/>
    <x v="1"/>
    <x v="1"/>
    <x v="2"/>
    <s v="Yoga Mat"/>
    <n v="29.89"/>
    <x v="0"/>
    <s v="Cash on Delivery"/>
    <n v="3.9"/>
    <x v="4"/>
    <n v="25.705400000000001"/>
    <n v="7"/>
    <x v="0"/>
  </r>
  <r>
    <n v="4604"/>
    <n v="25"/>
    <x v="2"/>
    <x v="1"/>
    <x v="2"/>
    <s v="Dumbbells"/>
    <n v="30.91"/>
    <x v="0"/>
    <s v="Cash on Delivery"/>
    <n v="3.9"/>
    <x v="10"/>
    <n v="24.1098"/>
    <n v="6"/>
    <x v="0"/>
  </r>
  <r>
    <n v="4605"/>
    <n v="44"/>
    <x v="0"/>
    <x v="0"/>
    <x v="6"/>
    <s v="Skincare Kit"/>
    <n v="138.36000000000001"/>
    <x v="2"/>
    <s v="Card"/>
    <n v="4.4000000000000004"/>
    <x v="6"/>
    <n v="116.22240000000001"/>
    <n v="3"/>
    <x v="1"/>
  </r>
  <r>
    <n v="4606"/>
    <n v="48"/>
    <x v="0"/>
    <x v="0"/>
    <x v="8"/>
    <s v="Dress"/>
    <n v="42.2"/>
    <x v="2"/>
    <s v="Cash on Delivery"/>
    <n v="3.1"/>
    <x v="6"/>
    <n v="35.448"/>
    <n v="3"/>
    <x v="1"/>
  </r>
  <r>
    <n v="4607"/>
    <n v="30"/>
    <x v="2"/>
    <x v="0"/>
    <x v="8"/>
    <s v="Dress"/>
    <n v="137.13"/>
    <x v="3"/>
    <s v="Card"/>
    <n v="4.4000000000000004"/>
    <x v="6"/>
    <n v="115.18919999999999"/>
    <n v="3"/>
    <x v="1"/>
  </r>
  <r>
    <n v="4608"/>
    <n v="24"/>
    <x v="2"/>
    <x v="1"/>
    <x v="3"/>
    <s v="Curtains"/>
    <n v="232.57"/>
    <x v="3"/>
    <s v="Card"/>
    <n v="3.6"/>
    <x v="11"/>
    <n v="172.1018"/>
    <n v="8"/>
    <x v="2"/>
  </r>
  <r>
    <n v="4609"/>
    <n v="25"/>
    <x v="2"/>
    <x v="0"/>
    <x v="0"/>
    <s v="Handbag"/>
    <n v="22.59"/>
    <x v="2"/>
    <s v="Cash on Delivery"/>
    <n v="2.9"/>
    <x v="8"/>
    <n v="19.879200000000001"/>
    <n v="6"/>
    <x v="0"/>
  </r>
  <r>
    <n v="4610"/>
    <n v="50"/>
    <x v="0"/>
    <x v="1"/>
    <x v="5"/>
    <s v="Smart Watch"/>
    <n v="2642.49"/>
    <x v="2"/>
    <s v="Card"/>
    <n v="3.5"/>
    <x v="3"/>
    <n v="2113.9919999999997"/>
    <n v="5"/>
    <x v="0"/>
  </r>
  <r>
    <n v="4611"/>
    <n v="64"/>
    <x v="1"/>
    <x v="0"/>
    <x v="6"/>
    <s v="Skincare Kit"/>
    <n v="103.84"/>
    <x v="1"/>
    <s v="Card"/>
    <n v="4.3"/>
    <x v="4"/>
    <n v="89.302400000000006"/>
    <n v="7"/>
    <x v="0"/>
  </r>
  <r>
    <n v="4612"/>
    <n v="28"/>
    <x v="2"/>
    <x v="0"/>
    <x v="6"/>
    <s v="Perfume"/>
    <n v="107.9"/>
    <x v="3"/>
    <s v="Card"/>
    <n v="3.2"/>
    <x v="2"/>
    <n v="96.031000000000006"/>
    <n v="3"/>
    <x v="1"/>
  </r>
  <r>
    <n v="4613"/>
    <n v="55"/>
    <x v="0"/>
    <x v="1"/>
    <x v="2"/>
    <s v="Dumbbells"/>
    <n v="175.64"/>
    <x v="3"/>
    <s v="Card"/>
    <n v="4.4000000000000004"/>
    <x v="0"/>
    <n v="144.0248"/>
    <n v="9"/>
    <x v="2"/>
  </r>
  <r>
    <n v="4614"/>
    <n v="42"/>
    <x v="0"/>
    <x v="1"/>
    <x v="5"/>
    <s v="Mobile Phone"/>
    <n v="909.94"/>
    <x v="0"/>
    <s v="Card"/>
    <n v="3.5"/>
    <x v="12"/>
    <n v="737.05140000000006"/>
    <n v="7"/>
    <x v="0"/>
  </r>
  <r>
    <n v="4615"/>
    <n v="37"/>
    <x v="0"/>
    <x v="1"/>
    <x v="2"/>
    <s v="Dumbbells"/>
    <n v="72.13"/>
    <x v="0"/>
    <s v="Cash on Delivery"/>
    <n v="3.6"/>
    <x v="8"/>
    <n v="63.474399999999996"/>
    <n v="6"/>
    <x v="0"/>
  </r>
  <r>
    <n v="4616"/>
    <n v="60"/>
    <x v="0"/>
    <x v="0"/>
    <x v="7"/>
    <s v="Formal Shoes"/>
    <n v="150.30000000000001"/>
    <x v="3"/>
    <s v="Card"/>
    <n v="4.2"/>
    <x v="10"/>
    <n v="117.23400000000001"/>
    <n v="6"/>
    <x v="0"/>
  </r>
  <r>
    <n v="4617"/>
    <n v="32"/>
    <x v="0"/>
    <x v="1"/>
    <x v="2"/>
    <s v="Football"/>
    <n v="59.98"/>
    <x v="0"/>
    <s v="Cash on Delivery"/>
    <n v="4.4000000000000004"/>
    <x v="2"/>
    <n v="53.382199999999997"/>
    <n v="3"/>
    <x v="1"/>
  </r>
  <r>
    <n v="4618"/>
    <n v="38"/>
    <x v="0"/>
    <x v="0"/>
    <x v="8"/>
    <s v="Jeans"/>
    <n v="55.88"/>
    <x v="2"/>
    <s v="Card"/>
    <n v="4.9000000000000004"/>
    <x v="0"/>
    <n v="45.821600000000004"/>
    <n v="9"/>
    <x v="2"/>
  </r>
  <r>
    <n v="4619"/>
    <n v="62"/>
    <x v="1"/>
    <x v="1"/>
    <x v="1"/>
    <s v="Jeans"/>
    <n v="86.82"/>
    <x v="3"/>
    <s v="Cash on Delivery"/>
    <n v="3"/>
    <x v="2"/>
    <n v="77.269799999999989"/>
    <n v="3"/>
    <x v="1"/>
  </r>
  <r>
    <n v="4620"/>
    <n v="58"/>
    <x v="0"/>
    <x v="1"/>
    <x v="2"/>
    <s v="Football"/>
    <n v="88.53"/>
    <x v="2"/>
    <s v="Card"/>
    <n v="3.5"/>
    <x v="1"/>
    <n v="77.021100000000004"/>
    <n v="4"/>
    <x v="0"/>
  </r>
  <r>
    <n v="4621"/>
    <n v="20"/>
    <x v="2"/>
    <x v="1"/>
    <x v="7"/>
    <s v="Sneakers"/>
    <n v="155.1"/>
    <x v="0"/>
    <s v="Card"/>
    <n v="3.8"/>
    <x v="23"/>
    <n v="144.24299999999999"/>
    <n v="1"/>
    <x v="1"/>
  </r>
  <r>
    <n v="4622"/>
    <n v="43"/>
    <x v="0"/>
    <x v="0"/>
    <x v="6"/>
    <s v="Perfume"/>
    <n v="79.400000000000006"/>
    <x v="2"/>
    <s v="Cash on Delivery"/>
    <n v="4.3"/>
    <x v="21"/>
    <n v="62.726000000000006"/>
    <n v="8"/>
    <x v="2"/>
  </r>
  <r>
    <n v="4623"/>
    <n v="23"/>
    <x v="2"/>
    <x v="1"/>
    <x v="5"/>
    <s v="Mobile Phone"/>
    <n v="1000.65"/>
    <x v="1"/>
    <s v="Card"/>
    <n v="3.6"/>
    <x v="12"/>
    <n v="810.52650000000006"/>
    <n v="7"/>
    <x v="0"/>
  </r>
  <r>
    <n v="4624"/>
    <n v="34"/>
    <x v="0"/>
    <x v="1"/>
    <x v="5"/>
    <s v="Mobile Phone"/>
    <n v="654.41999999999996"/>
    <x v="3"/>
    <s v="Card"/>
    <n v="5"/>
    <x v="1"/>
    <n v="569.34539999999993"/>
    <n v="4"/>
    <x v="0"/>
  </r>
  <r>
    <n v="4625"/>
    <n v="31"/>
    <x v="0"/>
    <x v="1"/>
    <x v="2"/>
    <s v="Dumbbells"/>
    <n v="226.81"/>
    <x v="1"/>
    <s v="Card"/>
    <n v="4.5"/>
    <x v="17"/>
    <n v="217.73759999999999"/>
    <n v="2"/>
    <x v="1"/>
  </r>
  <r>
    <n v="4626"/>
    <n v="32"/>
    <x v="0"/>
    <x v="0"/>
    <x v="0"/>
    <s v="Sunglasses"/>
    <n v="40.26"/>
    <x v="3"/>
    <s v="Card"/>
    <n v="5"/>
    <x v="0"/>
    <n v="33.013199999999998"/>
    <n v="4"/>
    <x v="0"/>
  </r>
  <r>
    <n v="4627"/>
    <n v="55"/>
    <x v="0"/>
    <x v="1"/>
    <x v="5"/>
    <s v="Smart Watch"/>
    <n v="556.03"/>
    <x v="0"/>
    <s v="Card"/>
    <n v="4.0999999999999996"/>
    <x v="8"/>
    <n v="489.3064"/>
    <n v="6"/>
    <x v="0"/>
  </r>
  <r>
    <n v="4628"/>
    <n v="35"/>
    <x v="0"/>
    <x v="0"/>
    <x v="6"/>
    <s v="Skincare Kit"/>
    <n v="108.74"/>
    <x v="2"/>
    <s v="Card"/>
    <n v="3.8"/>
    <x v="17"/>
    <n v="104.39039999999999"/>
    <n v="2"/>
    <x v="1"/>
  </r>
  <r>
    <n v="4629"/>
    <n v="27"/>
    <x v="2"/>
    <x v="0"/>
    <x v="3"/>
    <s v="Curtains"/>
    <n v="176.23"/>
    <x v="0"/>
    <s v="Card"/>
    <n v="4.0999999999999996"/>
    <x v="3"/>
    <n v="140.98400000000001"/>
    <n v="5"/>
    <x v="0"/>
  </r>
  <r>
    <n v="4630"/>
    <n v="30"/>
    <x v="2"/>
    <x v="0"/>
    <x v="7"/>
    <s v="Formal Shoes"/>
    <n v="189.68"/>
    <x v="3"/>
    <s v="Card"/>
    <n v="4"/>
    <x v="1"/>
    <n v="165.02160000000001"/>
    <n v="4"/>
    <x v="0"/>
  </r>
  <r>
    <n v="4631"/>
    <n v="34"/>
    <x v="0"/>
    <x v="0"/>
    <x v="2"/>
    <s v="Yoga Mat"/>
    <n v="196.56"/>
    <x v="3"/>
    <s v="Card"/>
    <n v="3.8"/>
    <x v="4"/>
    <n v="169.04159999999999"/>
    <n v="7"/>
    <x v="0"/>
  </r>
  <r>
    <n v="4632"/>
    <n v="52"/>
    <x v="0"/>
    <x v="1"/>
    <x v="2"/>
    <s v="Football"/>
    <n v="42.78"/>
    <x v="2"/>
    <s v="Cash on Delivery"/>
    <n v="2.5"/>
    <x v="7"/>
    <n v="38.502000000000002"/>
    <n v="5"/>
    <x v="0"/>
  </r>
  <r>
    <n v="4633"/>
    <n v="70"/>
    <x v="1"/>
    <x v="1"/>
    <x v="1"/>
    <s v="Jeans"/>
    <n v="79.5"/>
    <x v="0"/>
    <s v="Card"/>
    <n v="4.4000000000000004"/>
    <x v="1"/>
    <n v="69.165000000000006"/>
    <n v="4"/>
    <x v="0"/>
  </r>
  <r>
    <n v="4634"/>
    <n v="42"/>
    <x v="0"/>
    <x v="0"/>
    <x v="7"/>
    <s v="Sneakers"/>
    <n v="145.34"/>
    <x v="3"/>
    <s v="Card"/>
    <n v="4.0999999999999996"/>
    <x v="16"/>
    <n v="136.61959999999999"/>
    <n v="3"/>
    <x v="1"/>
  </r>
  <r>
    <n v="4635"/>
    <n v="29"/>
    <x v="2"/>
    <x v="1"/>
    <x v="5"/>
    <s v="Laptop"/>
    <n v="1135.48"/>
    <x v="0"/>
    <s v="Card"/>
    <n v="4.2"/>
    <x v="5"/>
    <n v="1044.6416000000002"/>
    <n v="4"/>
    <x v="0"/>
  </r>
  <r>
    <n v="4636"/>
    <n v="33"/>
    <x v="0"/>
    <x v="0"/>
    <x v="7"/>
    <s v="Sandals"/>
    <n v="156.04"/>
    <x v="3"/>
    <s v="Card"/>
    <n v="4.4000000000000004"/>
    <x v="3"/>
    <n v="124.83199999999999"/>
    <n v="5"/>
    <x v="0"/>
  </r>
  <r>
    <n v="4637"/>
    <n v="68"/>
    <x v="1"/>
    <x v="0"/>
    <x v="6"/>
    <s v="Skincare Kit"/>
    <n v="91.12"/>
    <x v="0"/>
    <s v="Card"/>
    <n v="3.7"/>
    <x v="3"/>
    <n v="72.896000000000001"/>
    <n v="5"/>
    <x v="0"/>
  </r>
  <r>
    <n v="4638"/>
    <n v="47"/>
    <x v="0"/>
    <x v="0"/>
    <x v="6"/>
    <s v="Makeup Set"/>
    <n v="125.68"/>
    <x v="3"/>
    <s v="Card"/>
    <n v="4.9000000000000004"/>
    <x v="0"/>
    <n v="103.05760000000001"/>
    <n v="4"/>
    <x v="0"/>
  </r>
  <r>
    <n v="4639"/>
    <n v="59"/>
    <x v="0"/>
    <x v="1"/>
    <x v="7"/>
    <s v="Sneakers"/>
    <n v="118.38"/>
    <x v="0"/>
    <s v="Card"/>
    <n v="4.3"/>
    <x v="14"/>
    <n v="98.255399999999995"/>
    <n v="6"/>
    <x v="0"/>
  </r>
  <r>
    <n v="4640"/>
    <n v="41"/>
    <x v="0"/>
    <x v="1"/>
    <x v="5"/>
    <s v="Smart Watch"/>
    <n v="2452.5500000000002"/>
    <x v="2"/>
    <s v="Card"/>
    <n v="4.4000000000000004"/>
    <x v="0"/>
    <n v="2011.0910000000003"/>
    <n v="4"/>
    <x v="0"/>
  </r>
  <r>
    <n v="4641"/>
    <n v="60"/>
    <x v="0"/>
    <x v="0"/>
    <x v="7"/>
    <s v="Sandals"/>
    <n v="126.78"/>
    <x v="3"/>
    <s v="Card"/>
    <n v="3.2"/>
    <x v="1"/>
    <n v="110.29860000000001"/>
    <n v="4"/>
    <x v="0"/>
  </r>
  <r>
    <n v="4642"/>
    <n v="20"/>
    <x v="2"/>
    <x v="1"/>
    <x v="2"/>
    <s v="Dumbbells"/>
    <n v="167.57"/>
    <x v="3"/>
    <s v="Card"/>
    <n v="2.7"/>
    <x v="1"/>
    <n v="145.7859"/>
    <n v="4"/>
    <x v="0"/>
  </r>
  <r>
    <n v="4643"/>
    <n v="29"/>
    <x v="2"/>
    <x v="1"/>
    <x v="1"/>
    <s v="Shirt"/>
    <n v="89.05"/>
    <x v="1"/>
    <s v="Cash on Delivery"/>
    <n v="3.8"/>
    <x v="19"/>
    <n v="75.692499999999995"/>
    <n v="5"/>
    <x v="0"/>
  </r>
  <r>
    <n v="4644"/>
    <n v="41"/>
    <x v="0"/>
    <x v="0"/>
    <x v="7"/>
    <s v="Formal Shoes"/>
    <n v="83.85"/>
    <x v="0"/>
    <s v="Cash on Delivery"/>
    <n v="4.4000000000000004"/>
    <x v="18"/>
    <n v="63.725999999999999"/>
    <n v="7"/>
    <x v="0"/>
  </r>
  <r>
    <n v="4645"/>
    <n v="22"/>
    <x v="2"/>
    <x v="0"/>
    <x v="8"/>
    <s v="Skirt"/>
    <n v="73.430000000000007"/>
    <x v="0"/>
    <s v="Card"/>
    <n v="3.9"/>
    <x v="0"/>
    <n v="60.212600000000009"/>
    <n v="4"/>
    <x v="0"/>
  </r>
  <r>
    <n v="4646"/>
    <n v="50"/>
    <x v="0"/>
    <x v="0"/>
    <x v="3"/>
    <s v="Curtains"/>
    <n v="99.03"/>
    <x v="2"/>
    <s v="Card"/>
    <n v="4.5999999999999996"/>
    <x v="14"/>
    <n v="82.194900000000004"/>
    <n v="6"/>
    <x v="0"/>
  </r>
  <r>
    <n v="4647"/>
    <n v="51"/>
    <x v="0"/>
    <x v="1"/>
    <x v="5"/>
    <s v="Laptop"/>
    <n v="912.84"/>
    <x v="3"/>
    <s v="Card"/>
    <n v="4.4000000000000004"/>
    <x v="0"/>
    <n v="748.52880000000005"/>
    <n v="9"/>
    <x v="2"/>
  </r>
  <r>
    <n v="4648"/>
    <n v="30"/>
    <x v="2"/>
    <x v="1"/>
    <x v="7"/>
    <s v="Sandals"/>
    <n v="115.58"/>
    <x v="1"/>
    <s v="Card"/>
    <n v="4.3"/>
    <x v="19"/>
    <n v="98.242999999999995"/>
    <n v="5"/>
    <x v="0"/>
  </r>
  <r>
    <n v="4649"/>
    <n v="47"/>
    <x v="0"/>
    <x v="1"/>
    <x v="1"/>
    <s v="T-Shirt"/>
    <n v="93.05"/>
    <x v="2"/>
    <s v="Cash on Delivery"/>
    <n v="3.6"/>
    <x v="19"/>
    <n v="79.092500000000001"/>
    <n v="5"/>
    <x v="0"/>
  </r>
  <r>
    <n v="4650"/>
    <n v="67"/>
    <x v="1"/>
    <x v="0"/>
    <x v="8"/>
    <s v="Skirt"/>
    <n v="35.619999999999997"/>
    <x v="1"/>
    <s v="Cash on Delivery"/>
    <n v="3.4"/>
    <x v="1"/>
    <n v="30.989399999999996"/>
    <n v="4"/>
    <x v="0"/>
  </r>
  <r>
    <n v="4651"/>
    <n v="64"/>
    <x v="1"/>
    <x v="0"/>
    <x v="0"/>
    <s v="Sunglasses"/>
    <n v="132.69"/>
    <x v="3"/>
    <s v="Card"/>
    <n v="3.3"/>
    <x v="12"/>
    <n v="107.47890000000001"/>
    <n v="7"/>
    <x v="0"/>
  </r>
  <r>
    <n v="4652"/>
    <n v="25"/>
    <x v="2"/>
    <x v="1"/>
    <x v="1"/>
    <s v="T-Shirt"/>
    <n v="170.07"/>
    <x v="1"/>
    <s v="Card"/>
    <n v="3.6"/>
    <x v="13"/>
    <n v="154.7637"/>
    <n v="2"/>
    <x v="1"/>
  </r>
  <r>
    <n v="4653"/>
    <n v="48"/>
    <x v="0"/>
    <x v="0"/>
    <x v="0"/>
    <s v="Wallet"/>
    <n v="86.33"/>
    <x v="3"/>
    <s v="Card"/>
    <n v="3.4"/>
    <x v="16"/>
    <n v="81.150199999999998"/>
    <n v="3"/>
    <x v="1"/>
  </r>
  <r>
    <n v="4654"/>
    <n v="47"/>
    <x v="0"/>
    <x v="1"/>
    <x v="5"/>
    <s v="Headphones"/>
    <n v="2683.15"/>
    <x v="0"/>
    <s v="Card"/>
    <n v="3.3"/>
    <x v="2"/>
    <n v="2388.0035000000003"/>
    <n v="3"/>
    <x v="1"/>
  </r>
  <r>
    <n v="4655"/>
    <n v="64"/>
    <x v="1"/>
    <x v="1"/>
    <x v="5"/>
    <s v="Smart Watch"/>
    <n v="1406.03"/>
    <x v="2"/>
    <s v="Card"/>
    <n v="3.7"/>
    <x v="10"/>
    <n v="1096.7034000000001"/>
    <n v="6"/>
    <x v="0"/>
  </r>
  <r>
    <n v="4656"/>
    <n v="41"/>
    <x v="0"/>
    <x v="0"/>
    <x v="7"/>
    <s v="Formal Shoes"/>
    <n v="192.14"/>
    <x v="3"/>
    <s v="Card"/>
    <n v="3.8"/>
    <x v="1"/>
    <n v="167.1618"/>
    <n v="4"/>
    <x v="0"/>
  </r>
  <r>
    <n v="4657"/>
    <n v="56"/>
    <x v="0"/>
    <x v="0"/>
    <x v="7"/>
    <s v="Sandals"/>
    <n v="234.23"/>
    <x v="1"/>
    <s v="Card"/>
    <n v="4.7"/>
    <x v="1"/>
    <n v="203.78009999999998"/>
    <n v="4"/>
    <x v="0"/>
  </r>
  <r>
    <n v="4658"/>
    <n v="65"/>
    <x v="1"/>
    <x v="0"/>
    <x v="8"/>
    <s v="Top"/>
    <n v="50.96"/>
    <x v="0"/>
    <s v="Card"/>
    <n v="4"/>
    <x v="22"/>
    <n v="39.239200000000004"/>
    <n v="9"/>
    <x v="2"/>
  </r>
  <r>
    <n v="4659"/>
    <n v="62"/>
    <x v="1"/>
    <x v="0"/>
    <x v="7"/>
    <s v="Sneakers"/>
    <n v="50.04"/>
    <x v="1"/>
    <s v="Cash on Delivery"/>
    <n v="2.5"/>
    <x v="12"/>
    <n v="40.532400000000003"/>
    <n v="7"/>
    <x v="0"/>
  </r>
  <r>
    <n v="4660"/>
    <n v="63"/>
    <x v="1"/>
    <x v="1"/>
    <x v="1"/>
    <s v="Jeans"/>
    <n v="156.43"/>
    <x v="2"/>
    <s v="Card"/>
    <n v="3.7"/>
    <x v="1"/>
    <n v="136.0941"/>
    <n v="4"/>
    <x v="0"/>
  </r>
  <r>
    <n v="4661"/>
    <n v="32"/>
    <x v="0"/>
    <x v="0"/>
    <x v="7"/>
    <s v="Formal Shoes"/>
    <n v="44.71"/>
    <x v="2"/>
    <s v="Cash on Delivery"/>
    <n v="3.8"/>
    <x v="0"/>
    <n v="36.662200000000006"/>
    <n v="4"/>
    <x v="0"/>
  </r>
  <r>
    <n v="4662"/>
    <n v="42"/>
    <x v="0"/>
    <x v="1"/>
    <x v="7"/>
    <s v="Formal Shoes"/>
    <n v="220.57"/>
    <x v="1"/>
    <s v="Card"/>
    <n v="2.4"/>
    <x v="19"/>
    <n v="187.4845"/>
    <n v="5"/>
    <x v="0"/>
  </r>
  <r>
    <n v="4663"/>
    <n v="31"/>
    <x v="0"/>
    <x v="0"/>
    <x v="7"/>
    <s v="Sandals"/>
    <n v="42.84"/>
    <x v="0"/>
    <s v="Cash on Delivery"/>
    <n v="3.4"/>
    <x v="26"/>
    <n v="40.698"/>
    <n v="0"/>
    <x v="1"/>
  </r>
  <r>
    <n v="4664"/>
    <n v="65"/>
    <x v="1"/>
    <x v="1"/>
    <x v="2"/>
    <s v="Football"/>
    <n v="182.38"/>
    <x v="2"/>
    <s v="Card"/>
    <n v="4.5999999999999996"/>
    <x v="2"/>
    <n v="162.31819999999999"/>
    <n v="3"/>
    <x v="1"/>
  </r>
  <r>
    <n v="4665"/>
    <n v="47"/>
    <x v="0"/>
    <x v="1"/>
    <x v="7"/>
    <s v="Formal Shoes"/>
    <n v="147.94"/>
    <x v="1"/>
    <s v="Card"/>
    <n v="4.3"/>
    <x v="11"/>
    <n v="109.4756"/>
    <n v="8"/>
    <x v="2"/>
  </r>
  <r>
    <n v="4666"/>
    <n v="55"/>
    <x v="0"/>
    <x v="1"/>
    <x v="1"/>
    <s v="Jeans"/>
    <n v="178.41"/>
    <x v="0"/>
    <s v="Card"/>
    <n v="4"/>
    <x v="2"/>
    <n v="158.78489999999999"/>
    <n v="3"/>
    <x v="1"/>
  </r>
  <r>
    <n v="4667"/>
    <n v="35"/>
    <x v="0"/>
    <x v="0"/>
    <x v="6"/>
    <s v="Makeup Set"/>
    <n v="24.39"/>
    <x v="0"/>
    <s v="Card"/>
    <n v="2.9"/>
    <x v="4"/>
    <n v="20.9754"/>
    <n v="2"/>
    <x v="1"/>
  </r>
  <r>
    <n v="4668"/>
    <n v="42"/>
    <x v="0"/>
    <x v="0"/>
    <x v="6"/>
    <s v="Perfume"/>
    <n v="94.95"/>
    <x v="2"/>
    <s v="Card"/>
    <n v="3.6"/>
    <x v="13"/>
    <n v="86.404499999999999"/>
    <n v="2"/>
    <x v="1"/>
  </r>
  <r>
    <n v="4669"/>
    <n v="60"/>
    <x v="0"/>
    <x v="0"/>
    <x v="2"/>
    <s v="Yoga Mat"/>
    <n v="119.16"/>
    <x v="3"/>
    <s v="Card"/>
    <n v="4.3"/>
    <x v="26"/>
    <n v="113.202"/>
    <n v="0"/>
    <x v="1"/>
  </r>
  <r>
    <n v="4670"/>
    <n v="66"/>
    <x v="1"/>
    <x v="0"/>
    <x v="6"/>
    <s v="Perfume"/>
    <n v="102.5"/>
    <x v="3"/>
    <s v="Card"/>
    <n v="3.1"/>
    <x v="7"/>
    <n v="92.25"/>
    <n v="5"/>
    <x v="0"/>
  </r>
  <r>
    <n v="4671"/>
    <n v="54"/>
    <x v="0"/>
    <x v="0"/>
    <x v="0"/>
    <s v="Handbag"/>
    <n v="151.18"/>
    <x v="1"/>
    <s v="Card"/>
    <n v="4.9000000000000004"/>
    <x v="2"/>
    <n v="134.55020000000002"/>
    <n v="3"/>
    <x v="1"/>
  </r>
  <r>
    <n v="4672"/>
    <n v="69"/>
    <x v="1"/>
    <x v="1"/>
    <x v="1"/>
    <s v="Jeans"/>
    <n v="172.82"/>
    <x v="0"/>
    <s v="Card"/>
    <n v="3.2"/>
    <x v="14"/>
    <n v="143.44059999999999"/>
    <n v="6"/>
    <x v="0"/>
  </r>
  <r>
    <n v="4673"/>
    <n v="59"/>
    <x v="0"/>
    <x v="1"/>
    <x v="2"/>
    <s v="Dumbbells"/>
    <n v="181.52"/>
    <x v="1"/>
    <s v="Card"/>
    <n v="4.4000000000000004"/>
    <x v="3"/>
    <n v="145.21600000000001"/>
    <n v="5"/>
    <x v="0"/>
  </r>
  <r>
    <n v="4674"/>
    <n v="23"/>
    <x v="2"/>
    <x v="0"/>
    <x v="0"/>
    <s v="Handbag"/>
    <n v="120.86"/>
    <x v="1"/>
    <s v="Card"/>
    <n v="3.9"/>
    <x v="5"/>
    <n v="111.19120000000001"/>
    <n v="4"/>
    <x v="0"/>
  </r>
  <r>
    <n v="4675"/>
    <n v="45"/>
    <x v="0"/>
    <x v="1"/>
    <x v="2"/>
    <s v="Yoga Mat"/>
    <n v="153.69999999999999"/>
    <x v="1"/>
    <s v="Card"/>
    <n v="2.9"/>
    <x v="8"/>
    <n v="135.256"/>
    <n v="6"/>
    <x v="0"/>
  </r>
  <r>
    <n v="4676"/>
    <n v="55"/>
    <x v="0"/>
    <x v="0"/>
    <x v="7"/>
    <s v="Sneakers"/>
    <n v="220.12"/>
    <x v="1"/>
    <s v="Card"/>
    <n v="3.7"/>
    <x v="19"/>
    <n v="187.102"/>
    <n v="5"/>
    <x v="0"/>
  </r>
  <r>
    <n v="4677"/>
    <n v="56"/>
    <x v="0"/>
    <x v="1"/>
    <x v="7"/>
    <s v="Formal Shoes"/>
    <n v="197.64"/>
    <x v="2"/>
    <s v="Card"/>
    <n v="3.8"/>
    <x v="21"/>
    <n v="156.13559999999998"/>
    <n v="8"/>
    <x v="2"/>
  </r>
  <r>
    <n v="4678"/>
    <n v="37"/>
    <x v="0"/>
    <x v="0"/>
    <x v="0"/>
    <s v="Sunglasses"/>
    <n v="172.67"/>
    <x v="0"/>
    <s v="Card"/>
    <n v="3.4"/>
    <x v="2"/>
    <n v="153.6763"/>
    <n v="3"/>
    <x v="1"/>
  </r>
  <r>
    <n v="4679"/>
    <n v="26"/>
    <x v="2"/>
    <x v="1"/>
    <x v="1"/>
    <s v="Jeans"/>
    <n v="146.24"/>
    <x v="3"/>
    <s v="Card"/>
    <n v="4.4000000000000004"/>
    <x v="22"/>
    <n v="112.60480000000001"/>
    <n v="9"/>
    <x v="2"/>
  </r>
  <r>
    <n v="4680"/>
    <n v="29"/>
    <x v="2"/>
    <x v="0"/>
    <x v="0"/>
    <s v="Handbag"/>
    <n v="22.75"/>
    <x v="1"/>
    <s v="Card"/>
    <n v="4.2"/>
    <x v="18"/>
    <n v="17.29"/>
    <n v="7"/>
    <x v="0"/>
  </r>
  <r>
    <n v="4681"/>
    <n v="27"/>
    <x v="2"/>
    <x v="1"/>
    <x v="2"/>
    <s v="Yoga Mat"/>
    <n v="229.25"/>
    <x v="1"/>
    <s v="Card"/>
    <n v="4.0999999999999996"/>
    <x v="25"/>
    <n v="160.47499999999999"/>
    <n v="10"/>
    <x v="2"/>
  </r>
  <r>
    <n v="4682"/>
    <n v="40"/>
    <x v="0"/>
    <x v="1"/>
    <x v="5"/>
    <s v="Laptop"/>
    <n v="2163.41"/>
    <x v="1"/>
    <s v="Card"/>
    <n v="3.9"/>
    <x v="2"/>
    <n v="1925.4349"/>
    <n v="3"/>
    <x v="1"/>
  </r>
  <r>
    <n v="4683"/>
    <n v="42"/>
    <x v="0"/>
    <x v="0"/>
    <x v="7"/>
    <s v="Sneakers"/>
    <n v="222.57"/>
    <x v="2"/>
    <s v="Card"/>
    <n v="3.3"/>
    <x v="8"/>
    <n v="195.86159999999998"/>
    <n v="6"/>
    <x v="0"/>
  </r>
  <r>
    <n v="4684"/>
    <n v="23"/>
    <x v="2"/>
    <x v="0"/>
    <x v="8"/>
    <s v="Skirt"/>
    <n v="75.36"/>
    <x v="1"/>
    <s v="Cash on Delivery"/>
    <n v="3.2"/>
    <x v="19"/>
    <n v="64.055999999999997"/>
    <n v="5"/>
    <x v="0"/>
  </r>
  <r>
    <n v="4685"/>
    <n v="68"/>
    <x v="1"/>
    <x v="1"/>
    <x v="5"/>
    <s v="Smart Watch"/>
    <n v="1944.68"/>
    <x v="1"/>
    <s v="Card"/>
    <n v="2.4"/>
    <x v="0"/>
    <n v="1594.6376000000002"/>
    <n v="4"/>
    <x v="0"/>
  </r>
  <r>
    <n v="4686"/>
    <n v="22"/>
    <x v="2"/>
    <x v="1"/>
    <x v="2"/>
    <s v="Yoga Mat"/>
    <n v="40.119999999999997"/>
    <x v="3"/>
    <s v="Cash on Delivery"/>
    <n v="4.2"/>
    <x v="13"/>
    <n v="36.5092"/>
    <n v="2"/>
    <x v="1"/>
  </r>
  <r>
    <n v="4687"/>
    <n v="54"/>
    <x v="0"/>
    <x v="0"/>
    <x v="2"/>
    <s v="Yoga Mat"/>
    <n v="48.75"/>
    <x v="2"/>
    <s v="Cash on Delivery"/>
    <n v="3.8"/>
    <x v="0"/>
    <n v="39.975000000000001"/>
    <n v="4"/>
    <x v="0"/>
  </r>
  <r>
    <n v="4688"/>
    <n v="50"/>
    <x v="0"/>
    <x v="0"/>
    <x v="4"/>
    <s v="Rice Pack"/>
    <n v="43.15"/>
    <x v="2"/>
    <s v="Card"/>
    <n v="3.5"/>
    <x v="3"/>
    <n v="34.520000000000003"/>
    <n v="5"/>
    <x v="0"/>
  </r>
  <r>
    <n v="4689"/>
    <n v="34"/>
    <x v="0"/>
    <x v="1"/>
    <x v="2"/>
    <s v="Football"/>
    <n v="246.17"/>
    <x v="2"/>
    <s v="Card"/>
    <n v="3.1"/>
    <x v="14"/>
    <n v="204.32109999999997"/>
    <n v="6"/>
    <x v="0"/>
  </r>
  <r>
    <n v="4690"/>
    <n v="28"/>
    <x v="2"/>
    <x v="1"/>
    <x v="1"/>
    <s v="T-Shirt"/>
    <n v="185.01"/>
    <x v="2"/>
    <s v="Card"/>
    <n v="4.0999999999999996"/>
    <x v="1"/>
    <n v="160.95869999999999"/>
    <n v="4"/>
    <x v="0"/>
  </r>
  <r>
    <n v="4691"/>
    <n v="32"/>
    <x v="0"/>
    <x v="1"/>
    <x v="1"/>
    <s v="Jeans"/>
    <n v="81.069999999999993"/>
    <x v="3"/>
    <s v="Card"/>
    <n v="3.8"/>
    <x v="18"/>
    <n v="61.613199999999999"/>
    <n v="7"/>
    <x v="0"/>
  </r>
  <r>
    <n v="4692"/>
    <n v="50"/>
    <x v="0"/>
    <x v="1"/>
    <x v="1"/>
    <s v="T-Shirt"/>
    <n v="108.87"/>
    <x v="1"/>
    <s v="Card"/>
    <n v="4"/>
    <x v="8"/>
    <n v="95.805599999999998"/>
    <n v="6"/>
    <x v="0"/>
  </r>
  <r>
    <n v="4693"/>
    <n v="34"/>
    <x v="0"/>
    <x v="0"/>
    <x v="0"/>
    <s v="Handbag"/>
    <n v="52.23"/>
    <x v="1"/>
    <s v="Card"/>
    <n v="3.7"/>
    <x v="19"/>
    <n v="44.395499999999998"/>
    <n v="5"/>
    <x v="0"/>
  </r>
  <r>
    <n v="4694"/>
    <n v="60"/>
    <x v="0"/>
    <x v="0"/>
    <x v="0"/>
    <s v="Wallet"/>
    <n v="129.80000000000001"/>
    <x v="1"/>
    <s v="Card"/>
    <n v="4"/>
    <x v="18"/>
    <n v="98.64800000000001"/>
    <n v="7"/>
    <x v="0"/>
  </r>
  <r>
    <n v="4695"/>
    <n v="59"/>
    <x v="0"/>
    <x v="1"/>
    <x v="1"/>
    <s v="Jacket"/>
    <n v="115.65"/>
    <x v="2"/>
    <s v="Card"/>
    <n v="4.8"/>
    <x v="19"/>
    <n v="98.302500000000009"/>
    <n v="5"/>
    <x v="0"/>
  </r>
  <r>
    <n v="4696"/>
    <n v="40"/>
    <x v="0"/>
    <x v="0"/>
    <x v="4"/>
    <s v="Rice Pack"/>
    <n v="25.94"/>
    <x v="3"/>
    <s v="Cash on Delivery"/>
    <n v="3.3"/>
    <x v="13"/>
    <n v="23.605400000000003"/>
    <n v="2"/>
    <x v="1"/>
  </r>
  <r>
    <n v="4697"/>
    <n v="66"/>
    <x v="1"/>
    <x v="0"/>
    <x v="8"/>
    <s v="Top"/>
    <n v="101.87"/>
    <x v="1"/>
    <s v="Card"/>
    <n v="3.3"/>
    <x v="2"/>
    <n v="90.664300000000011"/>
    <n v="3"/>
    <x v="1"/>
  </r>
  <r>
    <n v="4698"/>
    <n v="44"/>
    <x v="0"/>
    <x v="0"/>
    <x v="6"/>
    <s v="Perfume"/>
    <n v="106.04"/>
    <x v="1"/>
    <s v="Card"/>
    <n v="3.6"/>
    <x v="14"/>
    <n v="88.013199999999998"/>
    <n v="6"/>
    <x v="0"/>
  </r>
  <r>
    <n v="4699"/>
    <n v="43"/>
    <x v="0"/>
    <x v="0"/>
    <x v="7"/>
    <s v="Sneakers"/>
    <n v="200.13"/>
    <x v="0"/>
    <s v="Card"/>
    <n v="4"/>
    <x v="14"/>
    <n v="166.1079"/>
    <n v="6"/>
    <x v="0"/>
  </r>
  <r>
    <n v="4700"/>
    <n v="60"/>
    <x v="0"/>
    <x v="1"/>
    <x v="7"/>
    <s v="Sneakers"/>
    <n v="210.29"/>
    <x v="3"/>
    <s v="Card"/>
    <n v="4.8"/>
    <x v="19"/>
    <n v="178.7465"/>
    <n v="5"/>
    <x v="0"/>
  </r>
  <r>
    <n v="4701"/>
    <n v="41"/>
    <x v="0"/>
    <x v="0"/>
    <x v="8"/>
    <s v="Jeans"/>
    <n v="41.5"/>
    <x v="2"/>
    <s v="Card"/>
    <n v="4.0999999999999996"/>
    <x v="1"/>
    <n v="36.104999999999997"/>
    <n v="4"/>
    <x v="0"/>
  </r>
  <r>
    <n v="4702"/>
    <n v="32"/>
    <x v="0"/>
    <x v="1"/>
    <x v="2"/>
    <s v="Dumbbells"/>
    <n v="186.57"/>
    <x v="3"/>
    <s v="Card"/>
    <n v="3.2"/>
    <x v="8"/>
    <n v="164.1816"/>
    <n v="6"/>
    <x v="0"/>
  </r>
  <r>
    <n v="4703"/>
    <n v="42"/>
    <x v="0"/>
    <x v="1"/>
    <x v="1"/>
    <s v="T-Shirt"/>
    <n v="189.79"/>
    <x v="2"/>
    <s v="Card"/>
    <n v="3"/>
    <x v="4"/>
    <n v="163.21939999999998"/>
    <n v="7"/>
    <x v="0"/>
  </r>
  <r>
    <n v="4704"/>
    <n v="30"/>
    <x v="2"/>
    <x v="1"/>
    <x v="4"/>
    <s v="Cooking Oil"/>
    <n v="63.78"/>
    <x v="2"/>
    <s v="Cash on Delivery"/>
    <n v="4.4000000000000004"/>
    <x v="21"/>
    <n v="50.386200000000002"/>
    <n v="8"/>
    <x v="2"/>
  </r>
  <r>
    <n v="4705"/>
    <n v="25"/>
    <x v="2"/>
    <x v="0"/>
    <x v="8"/>
    <s v="Skirt"/>
    <n v="161.91"/>
    <x v="2"/>
    <s v="Card"/>
    <n v="3.6"/>
    <x v="4"/>
    <n v="139.24259999999998"/>
    <n v="7"/>
    <x v="0"/>
  </r>
  <r>
    <n v="4706"/>
    <n v="54"/>
    <x v="0"/>
    <x v="1"/>
    <x v="5"/>
    <s v="Headphones"/>
    <n v="2349.33"/>
    <x v="3"/>
    <s v="Card"/>
    <n v="3.3"/>
    <x v="23"/>
    <n v="2184.8768999999998"/>
    <n v="1"/>
    <x v="1"/>
  </r>
  <r>
    <n v="4707"/>
    <n v="70"/>
    <x v="1"/>
    <x v="0"/>
    <x v="8"/>
    <s v="Jeans"/>
    <n v="61.86"/>
    <x v="3"/>
    <s v="Card"/>
    <n v="2.9"/>
    <x v="14"/>
    <n v="51.343799999999995"/>
    <n v="6"/>
    <x v="0"/>
  </r>
  <r>
    <n v="4708"/>
    <n v="26"/>
    <x v="2"/>
    <x v="0"/>
    <x v="8"/>
    <s v="Jeans"/>
    <n v="96.69"/>
    <x v="0"/>
    <s v="Cash on Delivery"/>
    <n v="4.8"/>
    <x v="0"/>
    <n v="79.285800000000009"/>
    <n v="4"/>
    <x v="0"/>
  </r>
  <r>
    <n v="4709"/>
    <n v="57"/>
    <x v="0"/>
    <x v="1"/>
    <x v="2"/>
    <s v="Yoga Mat"/>
    <n v="126.2"/>
    <x v="0"/>
    <s v="Card"/>
    <n v="5"/>
    <x v="2"/>
    <n v="112.318"/>
    <n v="3"/>
    <x v="1"/>
  </r>
  <r>
    <n v="4710"/>
    <n v="38"/>
    <x v="0"/>
    <x v="0"/>
    <x v="6"/>
    <s v="Makeup Set"/>
    <n v="62.65"/>
    <x v="0"/>
    <s v="Card"/>
    <n v="3.3"/>
    <x v="1"/>
    <n v="54.505499999999998"/>
    <n v="4"/>
    <x v="0"/>
  </r>
  <r>
    <n v="4711"/>
    <n v="57"/>
    <x v="0"/>
    <x v="0"/>
    <x v="8"/>
    <s v="Top"/>
    <n v="149.91"/>
    <x v="2"/>
    <s v="Card"/>
    <n v="3.1"/>
    <x v="4"/>
    <n v="128.92259999999999"/>
    <n v="7"/>
    <x v="0"/>
  </r>
  <r>
    <n v="4712"/>
    <n v="68"/>
    <x v="1"/>
    <x v="0"/>
    <x v="4"/>
    <s v="Beverages"/>
    <n v="54.83"/>
    <x v="2"/>
    <s v="Cash on Delivery"/>
    <n v="3.5"/>
    <x v="8"/>
    <n v="48.250399999999999"/>
    <n v="6"/>
    <x v="0"/>
  </r>
  <r>
    <n v="4713"/>
    <n v="26"/>
    <x v="2"/>
    <x v="1"/>
    <x v="5"/>
    <s v="Headphones"/>
    <n v="733.03"/>
    <x v="1"/>
    <s v="Card"/>
    <n v="3"/>
    <x v="1"/>
    <n v="637.73609999999996"/>
    <n v="4"/>
    <x v="0"/>
  </r>
  <r>
    <n v="4714"/>
    <n v="22"/>
    <x v="2"/>
    <x v="1"/>
    <x v="7"/>
    <s v="Formal Shoes"/>
    <n v="116.76"/>
    <x v="2"/>
    <s v="Card"/>
    <n v="4.8"/>
    <x v="14"/>
    <n v="96.910799999999995"/>
    <n v="6"/>
    <x v="0"/>
  </r>
  <r>
    <n v="4715"/>
    <n v="38"/>
    <x v="0"/>
    <x v="1"/>
    <x v="7"/>
    <s v="Sneakers"/>
    <n v="139.77000000000001"/>
    <x v="2"/>
    <s v="Card"/>
    <n v="5"/>
    <x v="5"/>
    <n v="128.58840000000001"/>
    <n v="4"/>
    <x v="0"/>
  </r>
  <r>
    <n v="4716"/>
    <n v="58"/>
    <x v="0"/>
    <x v="1"/>
    <x v="2"/>
    <s v="Dumbbells"/>
    <n v="95.93"/>
    <x v="3"/>
    <s v="Card"/>
    <n v="3.7"/>
    <x v="1"/>
    <n v="83.459100000000007"/>
    <n v="4"/>
    <x v="0"/>
  </r>
  <r>
    <n v="4717"/>
    <n v="66"/>
    <x v="1"/>
    <x v="1"/>
    <x v="2"/>
    <s v="Football"/>
    <n v="51.77"/>
    <x v="3"/>
    <s v="Cash on Delivery"/>
    <n v="5"/>
    <x v="14"/>
    <n v="42.969099999999997"/>
    <n v="6"/>
    <x v="0"/>
  </r>
  <r>
    <n v="4718"/>
    <n v="44"/>
    <x v="0"/>
    <x v="0"/>
    <x v="6"/>
    <s v="Skincare Kit"/>
    <n v="28.68"/>
    <x v="1"/>
    <s v="Cash on Delivery"/>
    <n v="3.5"/>
    <x v="8"/>
    <n v="25.238399999999999"/>
    <n v="6"/>
    <x v="0"/>
  </r>
  <r>
    <n v="4719"/>
    <n v="34"/>
    <x v="0"/>
    <x v="0"/>
    <x v="0"/>
    <s v="Wallet"/>
    <n v="140.63"/>
    <x v="3"/>
    <s v="Card"/>
    <n v="4.5"/>
    <x v="12"/>
    <n v="113.91030000000001"/>
    <n v="7"/>
    <x v="0"/>
  </r>
  <r>
    <n v="4720"/>
    <n v="25"/>
    <x v="2"/>
    <x v="1"/>
    <x v="2"/>
    <s v="Football"/>
    <n v="27.85"/>
    <x v="2"/>
    <s v="Card"/>
    <n v="3.5"/>
    <x v="15"/>
    <n v="27.292999999999999"/>
    <n v="1"/>
    <x v="1"/>
  </r>
  <r>
    <n v="4721"/>
    <n v="49"/>
    <x v="0"/>
    <x v="1"/>
    <x v="5"/>
    <s v="Mobile Phone"/>
    <n v="2620.52"/>
    <x v="2"/>
    <s v="Card"/>
    <n v="3.3"/>
    <x v="0"/>
    <n v="2148.8263999999999"/>
    <n v="4"/>
    <x v="0"/>
  </r>
  <r>
    <n v="4722"/>
    <n v="36"/>
    <x v="0"/>
    <x v="0"/>
    <x v="0"/>
    <s v="Sunglasses"/>
    <n v="60.24"/>
    <x v="2"/>
    <s v="Cash on Delivery"/>
    <n v="4.4000000000000004"/>
    <x v="16"/>
    <n v="56.625599999999999"/>
    <n v="3"/>
    <x v="1"/>
  </r>
  <r>
    <n v="4723"/>
    <n v="24"/>
    <x v="2"/>
    <x v="1"/>
    <x v="2"/>
    <s v="Yoga Mat"/>
    <n v="89.29"/>
    <x v="2"/>
    <s v="Card"/>
    <n v="3.8"/>
    <x v="29"/>
    <n v="89.29"/>
    <n v="0"/>
    <x v="1"/>
  </r>
  <r>
    <n v="4724"/>
    <n v="32"/>
    <x v="0"/>
    <x v="0"/>
    <x v="7"/>
    <s v="Sandals"/>
    <n v="52.53"/>
    <x v="1"/>
    <s v="Cash on Delivery"/>
    <n v="3.1"/>
    <x v="0"/>
    <n v="43.074600000000004"/>
    <n v="4"/>
    <x v="0"/>
  </r>
  <r>
    <n v="4725"/>
    <n v="62"/>
    <x v="1"/>
    <x v="0"/>
    <x v="6"/>
    <s v="Perfume"/>
    <n v="93.41"/>
    <x v="2"/>
    <s v="Cash on Delivery"/>
    <n v="4.0999999999999996"/>
    <x v="8"/>
    <n v="82.200800000000001"/>
    <n v="6"/>
    <x v="0"/>
  </r>
  <r>
    <n v="4726"/>
    <n v="48"/>
    <x v="0"/>
    <x v="0"/>
    <x v="6"/>
    <s v="Makeup Set"/>
    <n v="96.12"/>
    <x v="0"/>
    <s v="Card"/>
    <n v="3.8"/>
    <x v="10"/>
    <n v="74.973600000000005"/>
    <n v="11"/>
    <x v="2"/>
  </r>
  <r>
    <n v="4727"/>
    <n v="44"/>
    <x v="0"/>
    <x v="1"/>
    <x v="4"/>
    <s v="Snacks"/>
    <n v="51.5"/>
    <x v="0"/>
    <s v="Cash on Delivery"/>
    <n v="3.8"/>
    <x v="10"/>
    <n v="40.17"/>
    <n v="6"/>
    <x v="0"/>
  </r>
  <r>
    <n v="4728"/>
    <n v="58"/>
    <x v="0"/>
    <x v="1"/>
    <x v="2"/>
    <s v="Football"/>
    <n v="147.1"/>
    <x v="3"/>
    <s v="Card"/>
    <n v="4.0999999999999996"/>
    <x v="8"/>
    <n v="129.44800000000001"/>
    <n v="1"/>
    <x v="1"/>
  </r>
  <r>
    <n v="4729"/>
    <n v="59"/>
    <x v="0"/>
    <x v="1"/>
    <x v="7"/>
    <s v="Sneakers"/>
    <n v="208.77"/>
    <x v="1"/>
    <s v="Card"/>
    <n v="4"/>
    <x v="8"/>
    <n v="183.7176"/>
    <n v="6"/>
    <x v="0"/>
  </r>
  <r>
    <n v="4730"/>
    <n v="31"/>
    <x v="0"/>
    <x v="1"/>
    <x v="7"/>
    <s v="Sneakers"/>
    <n v="222.63"/>
    <x v="3"/>
    <s v="Card"/>
    <n v="4.3"/>
    <x v="0"/>
    <n v="182.5566"/>
    <n v="9"/>
    <x v="2"/>
  </r>
  <r>
    <n v="4731"/>
    <n v="37"/>
    <x v="0"/>
    <x v="0"/>
    <x v="8"/>
    <s v="Skirt"/>
    <n v="56.66"/>
    <x v="0"/>
    <s v="Card"/>
    <n v="5"/>
    <x v="4"/>
    <n v="48.727599999999995"/>
    <n v="7"/>
    <x v="0"/>
  </r>
  <r>
    <n v="4732"/>
    <n v="32"/>
    <x v="0"/>
    <x v="1"/>
    <x v="2"/>
    <s v="Dumbbells"/>
    <n v="46.9"/>
    <x v="1"/>
    <s v="Cash on Delivery"/>
    <n v="3.4"/>
    <x v="14"/>
    <n v="38.927"/>
    <n v="6"/>
    <x v="0"/>
  </r>
  <r>
    <n v="4733"/>
    <n v="69"/>
    <x v="1"/>
    <x v="1"/>
    <x v="5"/>
    <s v="Smart Watch"/>
    <n v="771.91"/>
    <x v="0"/>
    <s v="Card"/>
    <n v="4.8"/>
    <x v="4"/>
    <n v="663.84259999999995"/>
    <n v="7"/>
    <x v="0"/>
  </r>
  <r>
    <n v="4734"/>
    <n v="40"/>
    <x v="0"/>
    <x v="1"/>
    <x v="2"/>
    <s v="Yoga Mat"/>
    <n v="122.71"/>
    <x v="0"/>
    <s v="Card"/>
    <n v="2.8"/>
    <x v="1"/>
    <n v="106.7577"/>
    <n v="4"/>
    <x v="0"/>
  </r>
  <r>
    <n v="4735"/>
    <n v="21"/>
    <x v="2"/>
    <x v="0"/>
    <x v="8"/>
    <s v="Jeans"/>
    <n v="195.09"/>
    <x v="2"/>
    <s v="Card"/>
    <n v="4.4000000000000004"/>
    <x v="3"/>
    <n v="156.072"/>
    <n v="5"/>
    <x v="0"/>
  </r>
  <r>
    <n v="4736"/>
    <n v="60"/>
    <x v="0"/>
    <x v="0"/>
    <x v="6"/>
    <s v="Perfume"/>
    <n v="80.38"/>
    <x v="1"/>
    <s v="Card"/>
    <n v="3.6"/>
    <x v="4"/>
    <n v="69.126799999999989"/>
    <n v="7"/>
    <x v="0"/>
  </r>
  <r>
    <n v="4737"/>
    <n v="66"/>
    <x v="1"/>
    <x v="0"/>
    <x v="8"/>
    <s v="Top"/>
    <n v="109.58"/>
    <x v="3"/>
    <s v="Card"/>
    <n v="4.3"/>
    <x v="11"/>
    <n v="81.089199999999991"/>
    <n v="8"/>
    <x v="2"/>
  </r>
  <r>
    <n v="4738"/>
    <n v="42"/>
    <x v="0"/>
    <x v="0"/>
    <x v="6"/>
    <s v="Makeup Set"/>
    <n v="133.84"/>
    <x v="3"/>
    <s v="Card"/>
    <n v="3.3"/>
    <x v="4"/>
    <n v="115.1024"/>
    <n v="7"/>
    <x v="0"/>
  </r>
  <r>
    <n v="4739"/>
    <n v="28"/>
    <x v="2"/>
    <x v="1"/>
    <x v="1"/>
    <s v="T-Shirt"/>
    <n v="37.090000000000003"/>
    <x v="3"/>
    <s v="Card"/>
    <n v="4.4000000000000004"/>
    <x v="10"/>
    <n v="28.930200000000003"/>
    <n v="6"/>
    <x v="0"/>
  </r>
  <r>
    <n v="4740"/>
    <n v="50"/>
    <x v="0"/>
    <x v="1"/>
    <x v="4"/>
    <s v="Rice Pack"/>
    <n v="19.579999999999998"/>
    <x v="2"/>
    <s v="Card"/>
    <n v="3.3"/>
    <x v="12"/>
    <n v="15.8598"/>
    <n v="7"/>
    <x v="0"/>
  </r>
  <r>
    <n v="4741"/>
    <n v="65"/>
    <x v="1"/>
    <x v="1"/>
    <x v="4"/>
    <s v="Rice Pack"/>
    <n v="13.95"/>
    <x v="3"/>
    <s v="Card"/>
    <n v="4.0999999999999996"/>
    <x v="21"/>
    <n v="11.0205"/>
    <n v="8"/>
    <x v="2"/>
  </r>
  <r>
    <n v="4742"/>
    <n v="48"/>
    <x v="0"/>
    <x v="1"/>
    <x v="2"/>
    <s v="Dumbbells"/>
    <n v="147.08000000000001"/>
    <x v="3"/>
    <s v="Card"/>
    <n v="3.4"/>
    <x v="3"/>
    <n v="117.66400000000002"/>
    <n v="5"/>
    <x v="0"/>
  </r>
  <r>
    <n v="4743"/>
    <n v="56"/>
    <x v="0"/>
    <x v="0"/>
    <x v="8"/>
    <s v="Skirt"/>
    <n v="172.44"/>
    <x v="3"/>
    <s v="Card"/>
    <n v="3.7"/>
    <x v="0"/>
    <n v="141.4008"/>
    <n v="4"/>
    <x v="0"/>
  </r>
  <r>
    <n v="4744"/>
    <n v="41"/>
    <x v="0"/>
    <x v="1"/>
    <x v="2"/>
    <s v="Dumbbells"/>
    <n v="179"/>
    <x v="0"/>
    <s v="Card"/>
    <n v="4.9000000000000004"/>
    <x v="5"/>
    <n v="164.68"/>
    <n v="4"/>
    <x v="0"/>
  </r>
  <r>
    <n v="4745"/>
    <n v="26"/>
    <x v="2"/>
    <x v="0"/>
    <x v="7"/>
    <s v="Sandals"/>
    <n v="104.75"/>
    <x v="2"/>
    <s v="Card"/>
    <n v="4.0999999999999996"/>
    <x v="16"/>
    <n v="98.464999999999989"/>
    <n v="3"/>
    <x v="1"/>
  </r>
  <r>
    <n v="4746"/>
    <n v="61"/>
    <x v="1"/>
    <x v="1"/>
    <x v="2"/>
    <s v="Football"/>
    <n v="216.67"/>
    <x v="0"/>
    <s v="Card"/>
    <n v="4.4000000000000004"/>
    <x v="1"/>
    <n v="188.50289999999998"/>
    <n v="4"/>
    <x v="0"/>
  </r>
  <r>
    <n v="4747"/>
    <n v="54"/>
    <x v="0"/>
    <x v="1"/>
    <x v="5"/>
    <s v="Laptop"/>
    <n v="572.52"/>
    <x v="0"/>
    <s v="Card"/>
    <n v="3.7"/>
    <x v="2"/>
    <n v="509.5428"/>
    <n v="3"/>
    <x v="1"/>
  </r>
  <r>
    <n v="4748"/>
    <n v="45"/>
    <x v="0"/>
    <x v="0"/>
    <x v="7"/>
    <s v="Sneakers"/>
    <n v="198.44"/>
    <x v="2"/>
    <s v="Card"/>
    <n v="2.6"/>
    <x v="0"/>
    <n v="162.7208"/>
    <n v="4"/>
    <x v="0"/>
  </r>
  <r>
    <n v="4749"/>
    <n v="66"/>
    <x v="1"/>
    <x v="1"/>
    <x v="2"/>
    <s v="Yoga Mat"/>
    <n v="32.81"/>
    <x v="0"/>
    <s v="Cash on Delivery"/>
    <n v="3.6"/>
    <x v="6"/>
    <n v="27.560400000000001"/>
    <n v="3"/>
    <x v="1"/>
  </r>
  <r>
    <n v="4750"/>
    <n v="29"/>
    <x v="2"/>
    <x v="1"/>
    <x v="7"/>
    <s v="Formal Shoes"/>
    <n v="218.6"/>
    <x v="3"/>
    <s v="Card"/>
    <n v="2.2999999999999998"/>
    <x v="5"/>
    <n v="201.11199999999999"/>
    <n v="4"/>
    <x v="0"/>
  </r>
  <r>
    <n v="4751"/>
    <n v="27"/>
    <x v="2"/>
    <x v="1"/>
    <x v="2"/>
    <s v="Football"/>
    <n v="96.93"/>
    <x v="0"/>
    <s v="Cash on Delivery"/>
    <n v="3.2"/>
    <x v="5"/>
    <n v="89.175600000000017"/>
    <n v="4"/>
    <x v="0"/>
  </r>
  <r>
    <n v="4752"/>
    <n v="29"/>
    <x v="2"/>
    <x v="1"/>
    <x v="5"/>
    <s v="Headphones"/>
    <n v="2817.6"/>
    <x v="0"/>
    <s v="Card"/>
    <n v="4.0999999999999996"/>
    <x v="4"/>
    <n v="2423.136"/>
    <n v="2"/>
    <x v="1"/>
  </r>
  <r>
    <n v="4753"/>
    <n v="24"/>
    <x v="2"/>
    <x v="0"/>
    <x v="3"/>
    <s v="Curtains"/>
    <n v="209.24"/>
    <x v="0"/>
    <s v="Card"/>
    <n v="3.1"/>
    <x v="16"/>
    <n v="196.68559999999999"/>
    <n v="3"/>
    <x v="1"/>
  </r>
  <r>
    <n v="4754"/>
    <n v="65"/>
    <x v="1"/>
    <x v="1"/>
    <x v="3"/>
    <s v="Kitchen Set"/>
    <n v="205.4"/>
    <x v="3"/>
    <s v="Card"/>
    <n v="3.8"/>
    <x v="5"/>
    <n v="188.96800000000002"/>
    <n v="4"/>
    <x v="0"/>
  </r>
  <r>
    <n v="4755"/>
    <n v="50"/>
    <x v="0"/>
    <x v="0"/>
    <x v="7"/>
    <s v="Formal Shoes"/>
    <n v="69.78"/>
    <x v="2"/>
    <s v="Card"/>
    <n v="3.1"/>
    <x v="1"/>
    <n v="60.708600000000004"/>
    <n v="4"/>
    <x v="0"/>
  </r>
  <r>
    <n v="4756"/>
    <n v="28"/>
    <x v="2"/>
    <x v="0"/>
    <x v="6"/>
    <s v="Makeup Set"/>
    <n v="133.09"/>
    <x v="2"/>
    <s v="Card"/>
    <n v="4.4000000000000004"/>
    <x v="14"/>
    <n v="110.46469999999999"/>
    <n v="6"/>
    <x v="0"/>
  </r>
  <r>
    <n v="4757"/>
    <n v="26"/>
    <x v="2"/>
    <x v="1"/>
    <x v="3"/>
    <s v="Curtains"/>
    <n v="239.79"/>
    <x v="1"/>
    <s v="Card"/>
    <n v="3.5"/>
    <x v="5"/>
    <n v="220.60679999999999"/>
    <n v="4"/>
    <x v="0"/>
  </r>
  <r>
    <n v="4758"/>
    <n v="33"/>
    <x v="0"/>
    <x v="0"/>
    <x v="7"/>
    <s v="Formal Shoes"/>
    <n v="226.44"/>
    <x v="3"/>
    <s v="Card"/>
    <n v="4.5"/>
    <x v="5"/>
    <n v="208.32480000000001"/>
    <n v="4"/>
    <x v="0"/>
  </r>
  <r>
    <n v="4759"/>
    <n v="69"/>
    <x v="1"/>
    <x v="1"/>
    <x v="3"/>
    <s v="Kitchen Set"/>
    <n v="232.66"/>
    <x v="1"/>
    <s v="Card"/>
    <n v="3.7"/>
    <x v="11"/>
    <n v="172.16839999999999"/>
    <n v="8"/>
    <x v="2"/>
  </r>
  <r>
    <n v="4760"/>
    <n v="31"/>
    <x v="0"/>
    <x v="0"/>
    <x v="8"/>
    <s v="Skirt"/>
    <n v="158.41999999999999"/>
    <x v="1"/>
    <s v="Card"/>
    <n v="3.3"/>
    <x v="19"/>
    <n v="134.65699999999998"/>
    <n v="5"/>
    <x v="0"/>
  </r>
  <r>
    <n v="4761"/>
    <n v="59"/>
    <x v="0"/>
    <x v="0"/>
    <x v="4"/>
    <s v="Beverages"/>
    <n v="23.69"/>
    <x v="0"/>
    <s v="Cash on Delivery"/>
    <n v="3.5"/>
    <x v="4"/>
    <n v="20.3734"/>
    <n v="2"/>
    <x v="1"/>
  </r>
  <r>
    <n v="4762"/>
    <n v="34"/>
    <x v="0"/>
    <x v="1"/>
    <x v="1"/>
    <s v="Shirt"/>
    <n v="174.51"/>
    <x v="1"/>
    <s v="Card"/>
    <n v="2.6"/>
    <x v="8"/>
    <n v="153.56879999999998"/>
    <n v="6"/>
    <x v="0"/>
  </r>
  <r>
    <n v="4763"/>
    <n v="36"/>
    <x v="0"/>
    <x v="1"/>
    <x v="2"/>
    <s v="Dumbbells"/>
    <n v="189.27"/>
    <x v="0"/>
    <s v="Card"/>
    <n v="2.4"/>
    <x v="6"/>
    <n v="158.98680000000002"/>
    <n v="3"/>
    <x v="1"/>
  </r>
  <r>
    <n v="4764"/>
    <n v="22"/>
    <x v="2"/>
    <x v="0"/>
    <x v="6"/>
    <s v="Makeup Set"/>
    <n v="28.45"/>
    <x v="2"/>
    <s v="Cash on Delivery"/>
    <n v="3.6"/>
    <x v="19"/>
    <n v="24.182499999999997"/>
    <n v="5"/>
    <x v="0"/>
  </r>
  <r>
    <n v="4765"/>
    <n v="42"/>
    <x v="0"/>
    <x v="0"/>
    <x v="0"/>
    <s v="Handbag"/>
    <n v="103.25"/>
    <x v="3"/>
    <s v="Card"/>
    <n v="4.0999999999999996"/>
    <x v="19"/>
    <n v="87.762500000000003"/>
    <n v="5"/>
    <x v="0"/>
  </r>
  <r>
    <n v="4766"/>
    <n v="32"/>
    <x v="0"/>
    <x v="1"/>
    <x v="5"/>
    <s v="Mobile Phone"/>
    <n v="2817.12"/>
    <x v="0"/>
    <s v="Card"/>
    <n v="2.6"/>
    <x v="8"/>
    <n v="2479.0655999999999"/>
    <n v="6"/>
    <x v="0"/>
  </r>
  <r>
    <n v="4767"/>
    <n v="45"/>
    <x v="0"/>
    <x v="1"/>
    <x v="7"/>
    <s v="Sneakers"/>
    <n v="239.66"/>
    <x v="1"/>
    <s v="Card"/>
    <n v="4.7"/>
    <x v="8"/>
    <n v="210.9008"/>
    <n v="6"/>
    <x v="0"/>
  </r>
  <r>
    <n v="4768"/>
    <n v="30"/>
    <x v="2"/>
    <x v="1"/>
    <x v="1"/>
    <s v="T-Shirt"/>
    <n v="56.45"/>
    <x v="2"/>
    <s v="Card"/>
    <n v="3.7"/>
    <x v="18"/>
    <n v="42.902000000000001"/>
    <n v="7"/>
    <x v="0"/>
  </r>
  <r>
    <n v="4769"/>
    <n v="69"/>
    <x v="1"/>
    <x v="0"/>
    <x v="7"/>
    <s v="Formal Shoes"/>
    <n v="114.1"/>
    <x v="2"/>
    <s v="Card"/>
    <n v="3.4"/>
    <x v="24"/>
    <n v="82.151999999999987"/>
    <n v="9"/>
    <x v="2"/>
  </r>
  <r>
    <n v="4770"/>
    <n v="48"/>
    <x v="0"/>
    <x v="0"/>
    <x v="8"/>
    <s v="Skirt"/>
    <n v="180.95"/>
    <x v="0"/>
    <s v="Card"/>
    <n v="4"/>
    <x v="7"/>
    <n v="162.85499999999999"/>
    <n v="5"/>
    <x v="0"/>
  </r>
  <r>
    <n v="4771"/>
    <n v="44"/>
    <x v="0"/>
    <x v="0"/>
    <x v="8"/>
    <s v="Jeans"/>
    <n v="45.18"/>
    <x v="1"/>
    <s v="Card"/>
    <n v="4.4000000000000004"/>
    <x v="19"/>
    <n v="38.402999999999999"/>
    <n v="5"/>
    <x v="0"/>
  </r>
  <r>
    <n v="4772"/>
    <n v="30"/>
    <x v="2"/>
    <x v="1"/>
    <x v="7"/>
    <s v="Formal Shoes"/>
    <n v="243.11"/>
    <x v="2"/>
    <s v="Card"/>
    <n v="3.4"/>
    <x v="0"/>
    <n v="199.35020000000003"/>
    <n v="9"/>
    <x v="2"/>
  </r>
  <r>
    <n v="4773"/>
    <n v="66"/>
    <x v="1"/>
    <x v="1"/>
    <x v="7"/>
    <s v="Sandals"/>
    <n v="200.45"/>
    <x v="1"/>
    <s v="Card"/>
    <n v="4.4000000000000004"/>
    <x v="0"/>
    <n v="164.369"/>
    <n v="4"/>
    <x v="0"/>
  </r>
  <r>
    <n v="4774"/>
    <n v="33"/>
    <x v="0"/>
    <x v="0"/>
    <x v="6"/>
    <s v="Skincare Kit"/>
    <n v="121.83"/>
    <x v="2"/>
    <s v="Card"/>
    <n v="4.4000000000000004"/>
    <x v="5"/>
    <n v="112.0836"/>
    <n v="4"/>
    <x v="0"/>
  </r>
  <r>
    <n v="4775"/>
    <n v="41"/>
    <x v="0"/>
    <x v="0"/>
    <x v="4"/>
    <s v="Rice Pack"/>
    <n v="28.73"/>
    <x v="3"/>
    <s v="Card"/>
    <n v="3.9"/>
    <x v="16"/>
    <n v="27.0062"/>
    <n v="3"/>
    <x v="1"/>
  </r>
  <r>
    <n v="4776"/>
    <n v="27"/>
    <x v="2"/>
    <x v="0"/>
    <x v="7"/>
    <s v="Formal Shoes"/>
    <n v="117.43"/>
    <x v="1"/>
    <s v="Card"/>
    <n v="3.4"/>
    <x v="7"/>
    <n v="105.68700000000001"/>
    <n v="5"/>
    <x v="0"/>
  </r>
  <r>
    <n v="4777"/>
    <n v="57"/>
    <x v="0"/>
    <x v="1"/>
    <x v="5"/>
    <s v="Headphones"/>
    <n v="1597.87"/>
    <x v="0"/>
    <s v="Card"/>
    <n v="4.2"/>
    <x v="12"/>
    <n v="1294.2746999999999"/>
    <n v="7"/>
    <x v="0"/>
  </r>
  <r>
    <n v="4778"/>
    <n v="48"/>
    <x v="0"/>
    <x v="1"/>
    <x v="2"/>
    <s v="Yoga Mat"/>
    <n v="137.63"/>
    <x v="0"/>
    <s v="Card"/>
    <n v="3.5"/>
    <x v="5"/>
    <n v="126.61960000000001"/>
    <n v="4"/>
    <x v="0"/>
  </r>
  <r>
    <n v="4779"/>
    <n v="67"/>
    <x v="1"/>
    <x v="0"/>
    <x v="8"/>
    <s v="Skirt"/>
    <n v="134.72999999999999"/>
    <x v="2"/>
    <s v="Card"/>
    <n v="3.9"/>
    <x v="1"/>
    <n v="117.21509999999999"/>
    <n v="4"/>
    <x v="0"/>
  </r>
  <r>
    <n v="4780"/>
    <n v="59"/>
    <x v="0"/>
    <x v="0"/>
    <x v="6"/>
    <s v="Skincare Kit"/>
    <n v="42.19"/>
    <x v="3"/>
    <s v="Card"/>
    <n v="2.2000000000000002"/>
    <x v="2"/>
    <n v="37.549099999999996"/>
    <n v="3"/>
    <x v="1"/>
  </r>
  <r>
    <n v="4781"/>
    <n v="66"/>
    <x v="1"/>
    <x v="1"/>
    <x v="4"/>
    <s v="Cooking Oil"/>
    <n v="44.99"/>
    <x v="0"/>
    <s v="Cash on Delivery"/>
    <n v="4.3"/>
    <x v="12"/>
    <n v="36.441900000000004"/>
    <n v="7"/>
    <x v="0"/>
  </r>
  <r>
    <n v="4782"/>
    <n v="60"/>
    <x v="0"/>
    <x v="1"/>
    <x v="4"/>
    <s v="Beverages"/>
    <n v="5.98"/>
    <x v="3"/>
    <s v="Cash on Delivery"/>
    <n v="3.7"/>
    <x v="19"/>
    <n v="5.0830000000000002"/>
    <n v="5"/>
    <x v="0"/>
  </r>
  <r>
    <n v="4783"/>
    <n v="50"/>
    <x v="0"/>
    <x v="0"/>
    <x v="8"/>
    <s v="Dress"/>
    <n v="90.5"/>
    <x v="0"/>
    <s v="Cash on Delivery"/>
    <n v="3.6"/>
    <x v="12"/>
    <n v="73.305000000000007"/>
    <n v="7"/>
    <x v="0"/>
  </r>
  <r>
    <n v="4784"/>
    <n v="67"/>
    <x v="1"/>
    <x v="0"/>
    <x v="8"/>
    <s v="Jeans"/>
    <n v="61.64"/>
    <x v="1"/>
    <s v="Cash on Delivery"/>
    <n v="3.8"/>
    <x v="4"/>
    <n v="53.010399999999997"/>
    <n v="2"/>
    <x v="1"/>
  </r>
  <r>
    <n v="4785"/>
    <n v="21"/>
    <x v="2"/>
    <x v="1"/>
    <x v="1"/>
    <s v="T-Shirt"/>
    <n v="30.63"/>
    <x v="2"/>
    <s v="Card"/>
    <n v="3.2"/>
    <x v="19"/>
    <n v="26.035499999999999"/>
    <n v="5"/>
    <x v="0"/>
  </r>
  <r>
    <n v="4786"/>
    <n v="31"/>
    <x v="0"/>
    <x v="1"/>
    <x v="2"/>
    <s v="Dumbbells"/>
    <n v="82.96"/>
    <x v="1"/>
    <s v="Card"/>
    <n v="3.2"/>
    <x v="1"/>
    <n v="72.17519999999999"/>
    <n v="4"/>
    <x v="0"/>
  </r>
  <r>
    <n v="4787"/>
    <n v="43"/>
    <x v="0"/>
    <x v="0"/>
    <x v="3"/>
    <s v="Curtains"/>
    <n v="162.78"/>
    <x v="0"/>
    <s v="Card"/>
    <n v="3.3"/>
    <x v="8"/>
    <n v="143.24639999999999"/>
    <n v="1"/>
    <x v="1"/>
  </r>
  <r>
    <n v="4788"/>
    <n v="20"/>
    <x v="2"/>
    <x v="1"/>
    <x v="2"/>
    <s v="Dumbbells"/>
    <n v="173.24"/>
    <x v="1"/>
    <s v="Card"/>
    <n v="2.9"/>
    <x v="7"/>
    <n v="155.91600000000003"/>
    <n v="5"/>
    <x v="0"/>
  </r>
  <r>
    <n v="4789"/>
    <n v="58"/>
    <x v="0"/>
    <x v="1"/>
    <x v="5"/>
    <s v="Headphones"/>
    <n v="1498.26"/>
    <x v="1"/>
    <s v="Card"/>
    <n v="4.2"/>
    <x v="5"/>
    <n v="1378.3992000000001"/>
    <n v="4"/>
    <x v="0"/>
  </r>
  <r>
    <n v="4790"/>
    <n v="68"/>
    <x v="1"/>
    <x v="0"/>
    <x v="0"/>
    <s v="Sunglasses"/>
    <n v="124.8"/>
    <x v="1"/>
    <s v="Card"/>
    <n v="4.0999999999999996"/>
    <x v="2"/>
    <n v="111.072"/>
    <n v="3"/>
    <x v="1"/>
  </r>
  <r>
    <n v="4791"/>
    <n v="57"/>
    <x v="0"/>
    <x v="1"/>
    <x v="4"/>
    <s v="Beverages"/>
    <n v="45.07"/>
    <x v="0"/>
    <s v="Cash on Delivery"/>
    <n v="4.5"/>
    <x v="13"/>
    <n v="41.0137"/>
    <n v="2"/>
    <x v="1"/>
  </r>
  <r>
    <n v="4792"/>
    <n v="66"/>
    <x v="1"/>
    <x v="0"/>
    <x v="8"/>
    <s v="Dress"/>
    <n v="121.66"/>
    <x v="2"/>
    <s v="Card"/>
    <n v="3.9"/>
    <x v="18"/>
    <n v="92.461600000000004"/>
    <n v="7"/>
    <x v="0"/>
  </r>
  <r>
    <n v="4793"/>
    <n v="55"/>
    <x v="0"/>
    <x v="1"/>
    <x v="1"/>
    <s v="Shirt"/>
    <n v="63.17"/>
    <x v="2"/>
    <s v="Cash on Delivery"/>
    <n v="2.9"/>
    <x v="8"/>
    <n v="55.589600000000004"/>
    <n v="6"/>
    <x v="0"/>
  </r>
  <r>
    <n v="4794"/>
    <n v="37"/>
    <x v="0"/>
    <x v="1"/>
    <x v="1"/>
    <s v="Jacket"/>
    <n v="34.630000000000003"/>
    <x v="3"/>
    <s v="Cash on Delivery"/>
    <n v="2.9"/>
    <x v="7"/>
    <n v="31.167000000000002"/>
    <n v="0"/>
    <x v="1"/>
  </r>
  <r>
    <n v="4795"/>
    <n v="24"/>
    <x v="2"/>
    <x v="0"/>
    <x v="8"/>
    <s v="Top"/>
    <n v="59.95"/>
    <x v="2"/>
    <s v="Card"/>
    <n v="3.3"/>
    <x v="4"/>
    <n v="51.557000000000002"/>
    <n v="2"/>
    <x v="1"/>
  </r>
  <r>
    <n v="4796"/>
    <n v="65"/>
    <x v="1"/>
    <x v="0"/>
    <x v="0"/>
    <s v="Wallet"/>
    <n v="177.54"/>
    <x v="2"/>
    <s v="Card"/>
    <n v="2.8"/>
    <x v="0"/>
    <n v="145.58279999999999"/>
    <n v="4"/>
    <x v="0"/>
  </r>
  <r>
    <n v="4797"/>
    <n v="66"/>
    <x v="1"/>
    <x v="1"/>
    <x v="2"/>
    <s v="Yoga Mat"/>
    <n v="97.98"/>
    <x v="0"/>
    <s v="Cash on Delivery"/>
    <n v="3.3"/>
    <x v="0"/>
    <n v="80.343600000000009"/>
    <n v="9"/>
    <x v="2"/>
  </r>
  <r>
    <n v="4798"/>
    <n v="56"/>
    <x v="0"/>
    <x v="0"/>
    <x v="0"/>
    <s v="Wallet"/>
    <n v="62.19"/>
    <x v="2"/>
    <s v="Cash on Delivery"/>
    <n v="4.4000000000000004"/>
    <x v="23"/>
    <n v="57.836699999999993"/>
    <n v="1"/>
    <x v="1"/>
  </r>
  <r>
    <n v="4799"/>
    <n v="65"/>
    <x v="1"/>
    <x v="0"/>
    <x v="2"/>
    <s v="Football"/>
    <n v="36.71"/>
    <x v="0"/>
    <s v="Cash on Delivery"/>
    <n v="3.5"/>
    <x v="22"/>
    <n v="28.2667"/>
    <n v="9"/>
    <x v="2"/>
  </r>
  <r>
    <n v="4800"/>
    <n v="50"/>
    <x v="0"/>
    <x v="0"/>
    <x v="2"/>
    <s v="Yoga Mat"/>
    <n v="34.659999999999997"/>
    <x v="3"/>
    <s v="Card"/>
    <n v="2.8"/>
    <x v="8"/>
    <n v="30.500799999999998"/>
    <n v="6"/>
    <x v="0"/>
  </r>
  <r>
    <n v="4801"/>
    <n v="22"/>
    <x v="2"/>
    <x v="0"/>
    <x v="2"/>
    <s v="Yoga Mat"/>
    <n v="136.51"/>
    <x v="1"/>
    <s v="Card"/>
    <n v="4.5"/>
    <x v="10"/>
    <n v="106.4778"/>
    <n v="6"/>
    <x v="0"/>
  </r>
  <r>
    <n v="4802"/>
    <n v="67"/>
    <x v="1"/>
    <x v="0"/>
    <x v="8"/>
    <s v="Dress"/>
    <n v="81.05"/>
    <x v="1"/>
    <s v="Cash on Delivery"/>
    <n v="4.5999999999999996"/>
    <x v="4"/>
    <n v="69.703000000000003"/>
    <n v="7"/>
    <x v="0"/>
  </r>
  <r>
    <n v="4803"/>
    <n v="44"/>
    <x v="0"/>
    <x v="0"/>
    <x v="2"/>
    <s v="Yoga Mat"/>
    <n v="49.34"/>
    <x v="3"/>
    <s v="Cash on Delivery"/>
    <n v="3.3"/>
    <x v="23"/>
    <n v="45.886200000000002"/>
    <n v="1"/>
    <x v="1"/>
  </r>
  <r>
    <n v="4804"/>
    <n v="31"/>
    <x v="0"/>
    <x v="1"/>
    <x v="2"/>
    <s v="Yoga Mat"/>
    <n v="83.98"/>
    <x v="2"/>
    <s v="Cash on Delivery"/>
    <n v="4.0999999999999996"/>
    <x v="11"/>
    <n v="62.145200000000003"/>
    <n v="8"/>
    <x v="2"/>
  </r>
  <r>
    <n v="4805"/>
    <n v="46"/>
    <x v="0"/>
    <x v="0"/>
    <x v="8"/>
    <s v="Jeans"/>
    <n v="48.2"/>
    <x v="1"/>
    <s v="Cash on Delivery"/>
    <n v="4.0999999999999996"/>
    <x v="8"/>
    <n v="42.416000000000004"/>
    <n v="6"/>
    <x v="0"/>
  </r>
  <r>
    <n v="4806"/>
    <n v="57"/>
    <x v="0"/>
    <x v="0"/>
    <x v="4"/>
    <s v="Rice Pack"/>
    <n v="44.59"/>
    <x v="1"/>
    <s v="Cash on Delivery"/>
    <n v="4.5"/>
    <x v="8"/>
    <n v="39.239200000000004"/>
    <n v="6"/>
    <x v="0"/>
  </r>
  <r>
    <n v="4807"/>
    <n v="35"/>
    <x v="0"/>
    <x v="0"/>
    <x v="0"/>
    <s v="Sunglasses"/>
    <n v="99.42"/>
    <x v="1"/>
    <s v="Card"/>
    <n v="4.3"/>
    <x v="5"/>
    <n v="91.466400000000007"/>
    <n v="4"/>
    <x v="0"/>
  </r>
  <r>
    <n v="4808"/>
    <n v="47"/>
    <x v="0"/>
    <x v="1"/>
    <x v="1"/>
    <s v="T-Shirt"/>
    <n v="149.88999999999999"/>
    <x v="1"/>
    <s v="Card"/>
    <n v="3.7"/>
    <x v="5"/>
    <n v="137.89879999999999"/>
    <n v="4"/>
    <x v="0"/>
  </r>
  <r>
    <n v="4809"/>
    <n v="51"/>
    <x v="0"/>
    <x v="1"/>
    <x v="2"/>
    <s v="Football"/>
    <n v="223.89"/>
    <x v="2"/>
    <s v="Card"/>
    <n v="3.3"/>
    <x v="19"/>
    <n v="190.30649999999997"/>
    <n v="5"/>
    <x v="0"/>
  </r>
  <r>
    <n v="4810"/>
    <n v="43"/>
    <x v="0"/>
    <x v="0"/>
    <x v="8"/>
    <s v="Skirt"/>
    <n v="163.6"/>
    <x v="3"/>
    <s v="Card"/>
    <n v="2.6"/>
    <x v="19"/>
    <n v="139.06"/>
    <n v="5"/>
    <x v="0"/>
  </r>
  <r>
    <n v="4811"/>
    <n v="27"/>
    <x v="2"/>
    <x v="1"/>
    <x v="4"/>
    <s v="Beverages"/>
    <n v="54.58"/>
    <x v="0"/>
    <s v="Card"/>
    <n v="3.1"/>
    <x v="7"/>
    <n v="49.122"/>
    <n v="5"/>
    <x v="0"/>
  </r>
  <r>
    <n v="4812"/>
    <n v="34"/>
    <x v="0"/>
    <x v="1"/>
    <x v="7"/>
    <s v="Sneakers"/>
    <n v="107.13"/>
    <x v="2"/>
    <s v="Card"/>
    <n v="3.4"/>
    <x v="11"/>
    <n v="79.276199999999989"/>
    <n v="8"/>
    <x v="2"/>
  </r>
  <r>
    <n v="4813"/>
    <n v="55"/>
    <x v="0"/>
    <x v="0"/>
    <x v="7"/>
    <s v="Sandals"/>
    <n v="105.16"/>
    <x v="3"/>
    <s v="Card"/>
    <n v="3.9"/>
    <x v="3"/>
    <n v="84.128"/>
    <n v="5"/>
    <x v="0"/>
  </r>
  <r>
    <n v="4814"/>
    <n v="30"/>
    <x v="2"/>
    <x v="1"/>
    <x v="5"/>
    <s v="Smart Watch"/>
    <n v="1843.94"/>
    <x v="0"/>
    <s v="Card"/>
    <n v="3.5"/>
    <x v="13"/>
    <n v="1677.9854"/>
    <n v="2"/>
    <x v="1"/>
  </r>
  <r>
    <n v="4815"/>
    <n v="58"/>
    <x v="0"/>
    <x v="1"/>
    <x v="7"/>
    <s v="Sandals"/>
    <n v="64.59"/>
    <x v="2"/>
    <s v="Card"/>
    <n v="4.0999999999999996"/>
    <x v="12"/>
    <n v="52.317900000000009"/>
    <n v="7"/>
    <x v="0"/>
  </r>
  <r>
    <n v="4816"/>
    <n v="67"/>
    <x v="1"/>
    <x v="1"/>
    <x v="5"/>
    <s v="Mobile Phone"/>
    <n v="2035.13"/>
    <x v="1"/>
    <s v="Card"/>
    <n v="3.7"/>
    <x v="1"/>
    <n v="1770.5631000000001"/>
    <n v="4"/>
    <x v="0"/>
  </r>
  <r>
    <n v="4817"/>
    <n v="26"/>
    <x v="2"/>
    <x v="1"/>
    <x v="4"/>
    <s v="Rice Pack"/>
    <n v="42.57"/>
    <x v="0"/>
    <s v="Card"/>
    <n v="4.0999999999999996"/>
    <x v="13"/>
    <n v="38.738700000000001"/>
    <n v="2"/>
    <x v="1"/>
  </r>
  <r>
    <n v="4818"/>
    <n v="31"/>
    <x v="0"/>
    <x v="1"/>
    <x v="5"/>
    <s v="Mobile Phone"/>
    <n v="2124.87"/>
    <x v="2"/>
    <s v="Card"/>
    <n v="3.4"/>
    <x v="1"/>
    <n v="1848.6369"/>
    <n v="4"/>
    <x v="0"/>
  </r>
  <r>
    <n v="4819"/>
    <n v="58"/>
    <x v="0"/>
    <x v="1"/>
    <x v="5"/>
    <s v="Smart Watch"/>
    <n v="1687.48"/>
    <x v="3"/>
    <s v="Card"/>
    <n v="3.8"/>
    <x v="1"/>
    <n v="1468.1076"/>
    <n v="4"/>
    <x v="0"/>
  </r>
  <r>
    <n v="4820"/>
    <n v="38"/>
    <x v="0"/>
    <x v="1"/>
    <x v="5"/>
    <s v="Mobile Phone"/>
    <n v="1951.27"/>
    <x v="0"/>
    <s v="Card"/>
    <n v="4.5999999999999996"/>
    <x v="16"/>
    <n v="1834.1937999999998"/>
    <n v="3"/>
    <x v="1"/>
  </r>
  <r>
    <n v="4821"/>
    <n v="37"/>
    <x v="0"/>
    <x v="1"/>
    <x v="1"/>
    <s v="Jeans"/>
    <n v="159.61000000000001"/>
    <x v="1"/>
    <s v="Card"/>
    <n v="3.7"/>
    <x v="3"/>
    <n v="127.68800000000002"/>
    <n v="5"/>
    <x v="0"/>
  </r>
  <r>
    <n v="4822"/>
    <n v="28"/>
    <x v="2"/>
    <x v="1"/>
    <x v="2"/>
    <s v="Football"/>
    <n v="178.42"/>
    <x v="1"/>
    <s v="Card"/>
    <n v="4.0999999999999996"/>
    <x v="10"/>
    <n v="139.16759999999999"/>
    <n v="6"/>
    <x v="0"/>
  </r>
  <r>
    <n v="4823"/>
    <n v="48"/>
    <x v="0"/>
    <x v="1"/>
    <x v="7"/>
    <s v="Sandals"/>
    <n v="92.46"/>
    <x v="1"/>
    <s v="Card"/>
    <n v="3.3"/>
    <x v="4"/>
    <n v="79.515599999999992"/>
    <n v="7"/>
    <x v="0"/>
  </r>
  <r>
    <n v="4824"/>
    <n v="36"/>
    <x v="0"/>
    <x v="0"/>
    <x v="0"/>
    <s v="Wallet"/>
    <n v="35.9"/>
    <x v="1"/>
    <s v="Cash on Delivery"/>
    <n v="4.2"/>
    <x v="2"/>
    <n v="31.951000000000001"/>
    <n v="3"/>
    <x v="1"/>
  </r>
  <r>
    <n v="4825"/>
    <n v="57"/>
    <x v="0"/>
    <x v="1"/>
    <x v="2"/>
    <s v="Dumbbells"/>
    <n v="235.27"/>
    <x v="2"/>
    <s v="Card"/>
    <n v="3.9"/>
    <x v="0"/>
    <n v="192.92140000000003"/>
    <n v="4"/>
    <x v="0"/>
  </r>
  <r>
    <n v="4826"/>
    <n v="42"/>
    <x v="0"/>
    <x v="1"/>
    <x v="4"/>
    <s v="Cooking Oil"/>
    <n v="76.87"/>
    <x v="0"/>
    <s v="Cash on Delivery"/>
    <n v="4.5"/>
    <x v="13"/>
    <n v="69.951700000000002"/>
    <n v="2"/>
    <x v="1"/>
  </r>
  <r>
    <n v="4827"/>
    <n v="47"/>
    <x v="0"/>
    <x v="1"/>
    <x v="5"/>
    <s v="Smart Watch"/>
    <n v="692.45"/>
    <x v="3"/>
    <s v="Card"/>
    <n v="4.3"/>
    <x v="13"/>
    <n v="630.12950000000001"/>
    <n v="2"/>
    <x v="1"/>
  </r>
  <r>
    <n v="4828"/>
    <n v="56"/>
    <x v="0"/>
    <x v="0"/>
    <x v="8"/>
    <s v="Jeans"/>
    <n v="128.72999999999999"/>
    <x v="3"/>
    <s v="Card"/>
    <n v="4.9000000000000004"/>
    <x v="8"/>
    <n v="113.2824"/>
    <n v="6"/>
    <x v="0"/>
  </r>
  <r>
    <n v="4829"/>
    <n v="30"/>
    <x v="2"/>
    <x v="0"/>
    <x v="6"/>
    <s v="Skincare Kit"/>
    <n v="97.03"/>
    <x v="2"/>
    <s v="Cash on Delivery"/>
    <n v="4.0999999999999996"/>
    <x v="12"/>
    <n v="78.594300000000004"/>
    <n v="7"/>
    <x v="0"/>
  </r>
  <r>
    <n v="4830"/>
    <n v="24"/>
    <x v="2"/>
    <x v="0"/>
    <x v="0"/>
    <s v="Wallet"/>
    <n v="156.83000000000001"/>
    <x v="3"/>
    <s v="Card"/>
    <n v="2.8"/>
    <x v="5"/>
    <n v="144.28360000000001"/>
    <n v="4"/>
    <x v="0"/>
  </r>
  <r>
    <n v="4831"/>
    <n v="35"/>
    <x v="0"/>
    <x v="0"/>
    <x v="7"/>
    <s v="Formal Shoes"/>
    <n v="233.18"/>
    <x v="1"/>
    <s v="Card"/>
    <n v="3.1"/>
    <x v="2"/>
    <n v="207.53020000000001"/>
    <n v="3"/>
    <x v="1"/>
  </r>
  <r>
    <n v="4832"/>
    <n v="52"/>
    <x v="0"/>
    <x v="0"/>
    <x v="2"/>
    <s v="Yoga Mat"/>
    <n v="65.760000000000005"/>
    <x v="2"/>
    <s v="Cash on Delivery"/>
    <n v="3.5"/>
    <x v="20"/>
    <n v="44.716799999999999"/>
    <n v="11"/>
    <x v="2"/>
  </r>
  <r>
    <n v="4833"/>
    <n v="55"/>
    <x v="0"/>
    <x v="1"/>
    <x v="2"/>
    <s v="Football"/>
    <n v="245.22"/>
    <x v="3"/>
    <s v="Card"/>
    <n v="5"/>
    <x v="10"/>
    <n v="191.27160000000001"/>
    <n v="11"/>
    <x v="2"/>
  </r>
  <r>
    <n v="4834"/>
    <n v="27"/>
    <x v="2"/>
    <x v="1"/>
    <x v="5"/>
    <s v="Mobile Phone"/>
    <n v="540.45000000000005"/>
    <x v="1"/>
    <s v="Card"/>
    <n v="3.5"/>
    <x v="3"/>
    <n v="432.36000000000007"/>
    <n v="5"/>
    <x v="0"/>
  </r>
  <r>
    <n v="4835"/>
    <n v="50"/>
    <x v="0"/>
    <x v="0"/>
    <x v="6"/>
    <s v="Skincare Kit"/>
    <n v="55.69"/>
    <x v="0"/>
    <s v="Card"/>
    <n v="3.7"/>
    <x v="2"/>
    <n v="49.564099999999996"/>
    <n v="3"/>
    <x v="1"/>
  </r>
  <r>
    <n v="4836"/>
    <n v="62"/>
    <x v="1"/>
    <x v="0"/>
    <x v="7"/>
    <s v="Sneakers"/>
    <n v="204.43"/>
    <x v="0"/>
    <s v="Card"/>
    <n v="4.5"/>
    <x v="4"/>
    <n v="175.8098"/>
    <n v="7"/>
    <x v="0"/>
  </r>
  <r>
    <n v="4837"/>
    <n v="64"/>
    <x v="1"/>
    <x v="1"/>
    <x v="1"/>
    <s v="Jacket"/>
    <n v="187.34"/>
    <x v="1"/>
    <s v="Card"/>
    <n v="3.8"/>
    <x v="6"/>
    <n v="157.3656"/>
    <n v="3"/>
    <x v="1"/>
  </r>
  <r>
    <n v="4838"/>
    <n v="70"/>
    <x v="1"/>
    <x v="0"/>
    <x v="6"/>
    <s v="Perfume"/>
    <n v="119.95"/>
    <x v="3"/>
    <s v="Card"/>
    <n v="4.2"/>
    <x v="10"/>
    <n v="93.561000000000007"/>
    <n v="6"/>
    <x v="0"/>
  </r>
  <r>
    <n v="4839"/>
    <n v="38"/>
    <x v="0"/>
    <x v="1"/>
    <x v="1"/>
    <s v="T-Shirt"/>
    <n v="90.72"/>
    <x v="0"/>
    <s v="Cash on Delivery"/>
    <n v="4.4000000000000004"/>
    <x v="10"/>
    <n v="70.761600000000001"/>
    <n v="6"/>
    <x v="0"/>
  </r>
  <r>
    <n v="4840"/>
    <n v="24"/>
    <x v="2"/>
    <x v="0"/>
    <x v="4"/>
    <s v="Cooking Oil"/>
    <n v="42.23"/>
    <x v="1"/>
    <s v="Cash on Delivery"/>
    <n v="3.8"/>
    <x v="3"/>
    <n v="33.783999999999999"/>
    <n v="5"/>
    <x v="0"/>
  </r>
  <r>
    <n v="4841"/>
    <n v="26"/>
    <x v="2"/>
    <x v="1"/>
    <x v="5"/>
    <s v="Smart Watch"/>
    <n v="1499.25"/>
    <x v="1"/>
    <s v="Card"/>
    <n v="3.3"/>
    <x v="19"/>
    <n v="1274.3625"/>
    <n v="5"/>
    <x v="0"/>
  </r>
  <r>
    <n v="4842"/>
    <n v="46"/>
    <x v="0"/>
    <x v="1"/>
    <x v="1"/>
    <s v="Jacket"/>
    <n v="166.99"/>
    <x v="0"/>
    <s v="Card"/>
    <n v="3.3"/>
    <x v="11"/>
    <n v="123.57260000000001"/>
    <n v="8"/>
    <x v="2"/>
  </r>
  <r>
    <n v="4843"/>
    <n v="36"/>
    <x v="0"/>
    <x v="1"/>
    <x v="7"/>
    <s v="Formal Shoes"/>
    <n v="205.73"/>
    <x v="3"/>
    <s v="Card"/>
    <n v="4.5999999999999996"/>
    <x v="2"/>
    <n v="183.09969999999998"/>
    <n v="3"/>
    <x v="1"/>
  </r>
  <r>
    <n v="4844"/>
    <n v="36"/>
    <x v="0"/>
    <x v="0"/>
    <x v="3"/>
    <s v="Lamp"/>
    <n v="279.89999999999998"/>
    <x v="0"/>
    <s v="Card"/>
    <n v="4.4000000000000004"/>
    <x v="18"/>
    <n v="212.72399999999999"/>
    <n v="7"/>
    <x v="0"/>
  </r>
  <r>
    <n v="4845"/>
    <n v="65"/>
    <x v="1"/>
    <x v="1"/>
    <x v="5"/>
    <s v="Smart Watch"/>
    <n v="1117.23"/>
    <x v="1"/>
    <s v="Card"/>
    <n v="3.8"/>
    <x v="10"/>
    <n v="871.43940000000009"/>
    <n v="6"/>
    <x v="0"/>
  </r>
  <r>
    <n v="4846"/>
    <n v="51"/>
    <x v="0"/>
    <x v="0"/>
    <x v="8"/>
    <s v="Dress"/>
    <n v="75.540000000000006"/>
    <x v="3"/>
    <s v="Card"/>
    <n v="4.2"/>
    <x v="2"/>
    <n v="67.23060000000001"/>
    <n v="3"/>
    <x v="1"/>
  </r>
  <r>
    <n v="4847"/>
    <n v="21"/>
    <x v="2"/>
    <x v="0"/>
    <x v="0"/>
    <s v="Sunglasses"/>
    <n v="31.69"/>
    <x v="2"/>
    <s v="Cash on Delivery"/>
    <n v="2.6"/>
    <x v="3"/>
    <n v="25.352000000000004"/>
    <n v="5"/>
    <x v="0"/>
  </r>
  <r>
    <n v="4848"/>
    <n v="48"/>
    <x v="0"/>
    <x v="0"/>
    <x v="6"/>
    <s v="Skincare Kit"/>
    <n v="125.13"/>
    <x v="3"/>
    <s v="Card"/>
    <n v="3.6"/>
    <x v="0"/>
    <n v="102.6066"/>
    <n v="4"/>
    <x v="0"/>
  </r>
  <r>
    <n v="4849"/>
    <n v="51"/>
    <x v="0"/>
    <x v="1"/>
    <x v="7"/>
    <s v="Formal Shoes"/>
    <n v="188.35"/>
    <x v="0"/>
    <s v="Card"/>
    <n v="4.5999999999999996"/>
    <x v="6"/>
    <n v="158.214"/>
    <n v="8"/>
    <x v="2"/>
  </r>
  <r>
    <n v="4850"/>
    <n v="46"/>
    <x v="0"/>
    <x v="0"/>
    <x v="0"/>
    <s v="Wallet"/>
    <n v="72.39"/>
    <x v="0"/>
    <s v="Cash on Delivery"/>
    <n v="4.5999999999999996"/>
    <x v="6"/>
    <n v="60.807600000000001"/>
    <n v="3"/>
    <x v="1"/>
  </r>
  <r>
    <n v="4851"/>
    <n v="46"/>
    <x v="0"/>
    <x v="1"/>
    <x v="3"/>
    <s v="Kitchen Set"/>
    <n v="237.02"/>
    <x v="0"/>
    <s v="Card"/>
    <n v="4.0999999999999996"/>
    <x v="8"/>
    <n v="208.57760000000002"/>
    <n v="6"/>
    <x v="0"/>
  </r>
  <r>
    <n v="4852"/>
    <n v="52"/>
    <x v="0"/>
    <x v="0"/>
    <x v="8"/>
    <s v="Jeans"/>
    <n v="177.68"/>
    <x v="1"/>
    <s v="Card"/>
    <n v="3.8"/>
    <x v="16"/>
    <n v="167.01919999999998"/>
    <n v="3"/>
    <x v="1"/>
  </r>
  <r>
    <n v="4853"/>
    <n v="67"/>
    <x v="1"/>
    <x v="1"/>
    <x v="5"/>
    <s v="Laptop"/>
    <n v="1464.98"/>
    <x v="2"/>
    <s v="Card"/>
    <n v="3.8"/>
    <x v="10"/>
    <n v="1142.6844000000001"/>
    <n v="11"/>
    <x v="2"/>
  </r>
  <r>
    <n v="4854"/>
    <n v="36"/>
    <x v="0"/>
    <x v="1"/>
    <x v="7"/>
    <s v="Formal Shoes"/>
    <n v="236.57"/>
    <x v="0"/>
    <s v="Card"/>
    <n v="3.2"/>
    <x v="10"/>
    <n v="184.52459999999999"/>
    <n v="6"/>
    <x v="0"/>
  </r>
  <r>
    <n v="4855"/>
    <n v="38"/>
    <x v="0"/>
    <x v="1"/>
    <x v="3"/>
    <s v="Lamp"/>
    <n v="109.44"/>
    <x v="0"/>
    <s v="Card"/>
    <n v="2.7"/>
    <x v="7"/>
    <n v="98.495999999999995"/>
    <n v="0"/>
    <x v="1"/>
  </r>
  <r>
    <n v="4856"/>
    <n v="45"/>
    <x v="0"/>
    <x v="1"/>
    <x v="3"/>
    <s v="Lamp"/>
    <n v="220.75"/>
    <x v="3"/>
    <s v="Card"/>
    <n v="4"/>
    <x v="5"/>
    <n v="203.09"/>
    <n v="4"/>
    <x v="0"/>
  </r>
  <r>
    <n v="4857"/>
    <n v="22"/>
    <x v="2"/>
    <x v="0"/>
    <x v="8"/>
    <s v="Skirt"/>
    <n v="171.72"/>
    <x v="2"/>
    <s v="Card"/>
    <n v="3.9"/>
    <x v="8"/>
    <n v="151.11359999999999"/>
    <n v="6"/>
    <x v="0"/>
  </r>
  <r>
    <n v="4858"/>
    <n v="33"/>
    <x v="0"/>
    <x v="0"/>
    <x v="0"/>
    <s v="Handbag"/>
    <n v="83.46"/>
    <x v="3"/>
    <s v="Cash on Delivery"/>
    <n v="3.7"/>
    <x v="27"/>
    <n v="62.594999999999999"/>
    <n v="10"/>
    <x v="2"/>
  </r>
  <r>
    <n v="4859"/>
    <n v="60"/>
    <x v="0"/>
    <x v="1"/>
    <x v="2"/>
    <s v="Football"/>
    <n v="224.01"/>
    <x v="1"/>
    <s v="Card"/>
    <n v="3.2"/>
    <x v="22"/>
    <n v="172.48769999999999"/>
    <n v="9"/>
    <x v="2"/>
  </r>
  <r>
    <n v="4860"/>
    <n v="38"/>
    <x v="0"/>
    <x v="0"/>
    <x v="7"/>
    <s v="Sneakers"/>
    <n v="211.8"/>
    <x v="2"/>
    <s v="Card"/>
    <n v="3.6"/>
    <x v="19"/>
    <n v="180.03"/>
    <n v="5"/>
    <x v="0"/>
  </r>
  <r>
    <n v="4861"/>
    <n v="57"/>
    <x v="0"/>
    <x v="0"/>
    <x v="0"/>
    <s v="Sunglasses"/>
    <n v="97.86"/>
    <x v="3"/>
    <s v="Card"/>
    <n v="4.2"/>
    <x v="6"/>
    <n v="82.202399999999997"/>
    <n v="8"/>
    <x v="2"/>
  </r>
  <r>
    <n v="4862"/>
    <n v="61"/>
    <x v="1"/>
    <x v="1"/>
    <x v="2"/>
    <s v="Dumbbells"/>
    <n v="166.73"/>
    <x v="1"/>
    <s v="Card"/>
    <n v="3.5"/>
    <x v="8"/>
    <n v="146.72239999999999"/>
    <n v="1"/>
    <x v="1"/>
  </r>
  <r>
    <n v="4863"/>
    <n v="45"/>
    <x v="0"/>
    <x v="1"/>
    <x v="5"/>
    <s v="Mobile Phone"/>
    <n v="2482.54"/>
    <x v="3"/>
    <s v="Card"/>
    <n v="4.0999999999999996"/>
    <x v="17"/>
    <n v="2383.2383999999997"/>
    <n v="2"/>
    <x v="1"/>
  </r>
  <r>
    <n v="4864"/>
    <n v="26"/>
    <x v="2"/>
    <x v="1"/>
    <x v="2"/>
    <s v="Yoga Mat"/>
    <n v="125.43"/>
    <x v="1"/>
    <s v="Card"/>
    <n v="2.5"/>
    <x v="0"/>
    <n v="102.85260000000001"/>
    <n v="4"/>
    <x v="0"/>
  </r>
  <r>
    <n v="4865"/>
    <n v="25"/>
    <x v="2"/>
    <x v="0"/>
    <x v="6"/>
    <s v="Skincare Kit"/>
    <n v="62.35"/>
    <x v="1"/>
    <s v="Cash on Delivery"/>
    <n v="4"/>
    <x v="0"/>
    <n v="51.127000000000002"/>
    <n v="9"/>
    <x v="2"/>
  </r>
  <r>
    <n v="4866"/>
    <n v="22"/>
    <x v="2"/>
    <x v="0"/>
    <x v="6"/>
    <s v="Makeup Set"/>
    <n v="93.53"/>
    <x v="0"/>
    <s v="Card"/>
    <n v="3.3"/>
    <x v="7"/>
    <n v="84.177000000000007"/>
    <n v="5"/>
    <x v="0"/>
  </r>
  <r>
    <n v="4867"/>
    <n v="61"/>
    <x v="1"/>
    <x v="1"/>
    <x v="2"/>
    <s v="Football"/>
    <n v="193.47"/>
    <x v="3"/>
    <s v="Card"/>
    <n v="4.0999999999999996"/>
    <x v="19"/>
    <n v="164.4495"/>
    <n v="5"/>
    <x v="0"/>
  </r>
  <r>
    <n v="4868"/>
    <n v="34"/>
    <x v="0"/>
    <x v="0"/>
    <x v="8"/>
    <s v="Jeans"/>
    <n v="86.21"/>
    <x v="2"/>
    <s v="Cash on Delivery"/>
    <n v="3.5"/>
    <x v="18"/>
    <n v="65.519599999999997"/>
    <n v="7"/>
    <x v="0"/>
  </r>
  <r>
    <n v="4869"/>
    <n v="56"/>
    <x v="0"/>
    <x v="1"/>
    <x v="2"/>
    <s v="Dumbbells"/>
    <n v="184.93"/>
    <x v="3"/>
    <s v="Card"/>
    <n v="4.0999999999999996"/>
    <x v="8"/>
    <n v="162.73840000000001"/>
    <n v="6"/>
    <x v="0"/>
  </r>
  <r>
    <n v="4870"/>
    <n v="53"/>
    <x v="0"/>
    <x v="1"/>
    <x v="1"/>
    <s v="T-Shirt"/>
    <n v="162.06"/>
    <x v="3"/>
    <s v="Card"/>
    <n v="5"/>
    <x v="3"/>
    <n v="129.648"/>
    <n v="5"/>
    <x v="0"/>
  </r>
  <r>
    <n v="4871"/>
    <n v="34"/>
    <x v="0"/>
    <x v="1"/>
    <x v="2"/>
    <s v="Yoga Mat"/>
    <n v="75.709999999999994"/>
    <x v="1"/>
    <s v="Cash on Delivery"/>
    <n v="4.3"/>
    <x v="11"/>
    <n v="56.025399999999998"/>
    <n v="8"/>
    <x v="2"/>
  </r>
  <r>
    <n v="4872"/>
    <n v="20"/>
    <x v="2"/>
    <x v="1"/>
    <x v="4"/>
    <s v="Snacks"/>
    <n v="59.59"/>
    <x v="3"/>
    <s v="Card"/>
    <n v="4.8"/>
    <x v="4"/>
    <n v="51.247399999999999"/>
    <n v="2"/>
    <x v="1"/>
  </r>
  <r>
    <n v="4873"/>
    <n v="30"/>
    <x v="2"/>
    <x v="1"/>
    <x v="7"/>
    <s v="Sandals"/>
    <n v="113.81"/>
    <x v="1"/>
    <s v="Card"/>
    <n v="3.6"/>
    <x v="1"/>
    <n v="99.014700000000005"/>
    <n v="4"/>
    <x v="0"/>
  </r>
  <r>
    <n v="4874"/>
    <n v="28"/>
    <x v="2"/>
    <x v="1"/>
    <x v="1"/>
    <s v="T-Shirt"/>
    <n v="109.99"/>
    <x v="1"/>
    <s v="Card"/>
    <n v="4.5999999999999996"/>
    <x v="12"/>
    <n v="89.091899999999995"/>
    <n v="7"/>
    <x v="0"/>
  </r>
  <r>
    <n v="4875"/>
    <n v="27"/>
    <x v="2"/>
    <x v="0"/>
    <x v="0"/>
    <s v="Sunglasses"/>
    <n v="161.53"/>
    <x v="3"/>
    <s v="Card"/>
    <n v="3.8"/>
    <x v="8"/>
    <n v="142.1464"/>
    <n v="1"/>
    <x v="1"/>
  </r>
  <r>
    <n v="4876"/>
    <n v="38"/>
    <x v="0"/>
    <x v="0"/>
    <x v="7"/>
    <s v="Sandals"/>
    <n v="78.34"/>
    <x v="2"/>
    <s v="Card"/>
    <n v="3.7"/>
    <x v="19"/>
    <n v="66.588999999999999"/>
    <n v="5"/>
    <x v="0"/>
  </r>
  <r>
    <n v="4877"/>
    <n v="48"/>
    <x v="0"/>
    <x v="1"/>
    <x v="7"/>
    <s v="Sandals"/>
    <n v="228.07"/>
    <x v="0"/>
    <s v="Card"/>
    <n v="3.4"/>
    <x v="21"/>
    <n v="180.17529999999999"/>
    <n v="8"/>
    <x v="2"/>
  </r>
  <r>
    <n v="4878"/>
    <n v="30"/>
    <x v="2"/>
    <x v="0"/>
    <x v="6"/>
    <s v="Perfume"/>
    <n v="45.1"/>
    <x v="1"/>
    <s v="Card"/>
    <n v="3.1"/>
    <x v="11"/>
    <n v="33.374000000000002"/>
    <n v="8"/>
    <x v="2"/>
  </r>
  <r>
    <n v="4879"/>
    <n v="50"/>
    <x v="0"/>
    <x v="0"/>
    <x v="8"/>
    <s v="Dress"/>
    <n v="177.6"/>
    <x v="3"/>
    <s v="Card"/>
    <n v="3.1"/>
    <x v="5"/>
    <n v="163.392"/>
    <n v="4"/>
    <x v="0"/>
  </r>
  <r>
    <n v="4880"/>
    <n v="45"/>
    <x v="0"/>
    <x v="1"/>
    <x v="5"/>
    <s v="Mobile Phone"/>
    <n v="1054.2"/>
    <x v="0"/>
    <s v="Card"/>
    <n v="4.5999999999999996"/>
    <x v="7"/>
    <n v="948.78000000000009"/>
    <n v="5"/>
    <x v="0"/>
  </r>
  <r>
    <n v="4881"/>
    <n v="67"/>
    <x v="1"/>
    <x v="1"/>
    <x v="7"/>
    <s v="Sandals"/>
    <n v="86.51"/>
    <x v="3"/>
    <s v="Cash on Delivery"/>
    <n v="4"/>
    <x v="7"/>
    <n v="77.859000000000009"/>
    <n v="5"/>
    <x v="0"/>
  </r>
  <r>
    <n v="4882"/>
    <n v="48"/>
    <x v="0"/>
    <x v="1"/>
    <x v="5"/>
    <s v="Mobile Phone"/>
    <n v="2184.4"/>
    <x v="0"/>
    <s v="Card"/>
    <n v="4"/>
    <x v="5"/>
    <n v="2009.6480000000001"/>
    <n v="4"/>
    <x v="0"/>
  </r>
  <r>
    <n v="4883"/>
    <n v="42"/>
    <x v="0"/>
    <x v="0"/>
    <x v="0"/>
    <s v="Handbag"/>
    <n v="128.68"/>
    <x v="1"/>
    <s v="Card"/>
    <n v="5"/>
    <x v="12"/>
    <n v="104.23080000000002"/>
    <n v="7"/>
    <x v="0"/>
  </r>
  <r>
    <n v="4884"/>
    <n v="26"/>
    <x v="2"/>
    <x v="0"/>
    <x v="6"/>
    <s v="Skincare Kit"/>
    <n v="104.48"/>
    <x v="0"/>
    <s v="Card"/>
    <n v="4.2"/>
    <x v="3"/>
    <n v="83.584000000000003"/>
    <n v="5"/>
    <x v="0"/>
  </r>
  <r>
    <n v="4885"/>
    <n v="47"/>
    <x v="0"/>
    <x v="1"/>
    <x v="1"/>
    <s v="T-Shirt"/>
    <n v="77.72"/>
    <x v="0"/>
    <s v="Card"/>
    <n v="4.4000000000000004"/>
    <x v="3"/>
    <n v="62.176000000000002"/>
    <n v="5"/>
    <x v="0"/>
  </r>
  <r>
    <n v="4886"/>
    <n v="65"/>
    <x v="1"/>
    <x v="0"/>
    <x v="0"/>
    <s v="Wallet"/>
    <n v="44.5"/>
    <x v="1"/>
    <s v="Cash on Delivery"/>
    <n v="3.9"/>
    <x v="4"/>
    <n v="38.269999999999996"/>
    <n v="2"/>
    <x v="1"/>
  </r>
  <r>
    <n v="4887"/>
    <n v="67"/>
    <x v="1"/>
    <x v="1"/>
    <x v="1"/>
    <s v="Jacket"/>
    <n v="194.11"/>
    <x v="1"/>
    <s v="Card"/>
    <n v="3.6"/>
    <x v="6"/>
    <n v="163.05240000000001"/>
    <n v="3"/>
    <x v="1"/>
  </r>
  <r>
    <n v="4888"/>
    <n v="42"/>
    <x v="0"/>
    <x v="0"/>
    <x v="6"/>
    <s v="Skincare Kit"/>
    <n v="125.66"/>
    <x v="3"/>
    <s v="Card"/>
    <n v="3.6"/>
    <x v="8"/>
    <n v="110.5808"/>
    <n v="6"/>
    <x v="0"/>
  </r>
  <r>
    <n v="4889"/>
    <n v="57"/>
    <x v="0"/>
    <x v="0"/>
    <x v="6"/>
    <s v="Perfume"/>
    <n v="35.130000000000003"/>
    <x v="1"/>
    <s v="Card"/>
    <n v="3.8"/>
    <x v="2"/>
    <n v="31.265700000000002"/>
    <n v="3"/>
    <x v="1"/>
  </r>
  <r>
    <n v="4890"/>
    <n v="37"/>
    <x v="0"/>
    <x v="1"/>
    <x v="7"/>
    <s v="Sandals"/>
    <n v="62.42"/>
    <x v="0"/>
    <s v="Cash on Delivery"/>
    <n v="3.7"/>
    <x v="8"/>
    <n v="54.929600000000001"/>
    <n v="6"/>
    <x v="0"/>
  </r>
  <r>
    <n v="4891"/>
    <n v="61"/>
    <x v="1"/>
    <x v="0"/>
    <x v="0"/>
    <s v="Handbag"/>
    <n v="148.01"/>
    <x v="0"/>
    <s v="Card"/>
    <n v="3.5"/>
    <x v="7"/>
    <n v="133.209"/>
    <n v="5"/>
    <x v="0"/>
  </r>
  <r>
    <n v="4892"/>
    <n v="55"/>
    <x v="0"/>
    <x v="0"/>
    <x v="2"/>
    <s v="Football"/>
    <n v="121.55"/>
    <x v="0"/>
    <s v="Card"/>
    <n v="3.5"/>
    <x v="10"/>
    <n v="94.808999999999997"/>
    <n v="6"/>
    <x v="0"/>
  </r>
  <r>
    <n v="4893"/>
    <n v="70"/>
    <x v="1"/>
    <x v="0"/>
    <x v="2"/>
    <s v="Football"/>
    <n v="126.71"/>
    <x v="2"/>
    <s v="Card"/>
    <n v="4.2"/>
    <x v="4"/>
    <n v="108.97059999999999"/>
    <n v="7"/>
    <x v="0"/>
  </r>
  <r>
    <n v="4894"/>
    <n v="47"/>
    <x v="0"/>
    <x v="1"/>
    <x v="2"/>
    <s v="Football"/>
    <n v="187.3"/>
    <x v="1"/>
    <s v="Card"/>
    <n v="5"/>
    <x v="18"/>
    <n v="142.34800000000001"/>
    <n v="7"/>
    <x v="0"/>
  </r>
  <r>
    <n v="4895"/>
    <n v="31"/>
    <x v="0"/>
    <x v="0"/>
    <x v="8"/>
    <s v="Skirt"/>
    <n v="128.52000000000001"/>
    <x v="2"/>
    <s v="Card"/>
    <n v="3.2"/>
    <x v="7"/>
    <n v="115.66800000000001"/>
    <n v="5"/>
    <x v="0"/>
  </r>
  <r>
    <n v="4896"/>
    <n v="40"/>
    <x v="0"/>
    <x v="0"/>
    <x v="6"/>
    <s v="Skincare Kit"/>
    <n v="125.95"/>
    <x v="0"/>
    <s v="Card"/>
    <n v="4.0999999999999996"/>
    <x v="19"/>
    <n v="107.0575"/>
    <n v="5"/>
    <x v="0"/>
  </r>
  <r>
    <n v="4897"/>
    <n v="64"/>
    <x v="1"/>
    <x v="1"/>
    <x v="2"/>
    <s v="Football"/>
    <n v="131.15"/>
    <x v="2"/>
    <s v="Card"/>
    <n v="3.8"/>
    <x v="0"/>
    <n v="107.54300000000001"/>
    <n v="4"/>
    <x v="0"/>
  </r>
  <r>
    <n v="4898"/>
    <n v="57"/>
    <x v="0"/>
    <x v="0"/>
    <x v="8"/>
    <s v="Skirt"/>
    <n v="128.19999999999999"/>
    <x v="0"/>
    <s v="Card"/>
    <n v="4.2"/>
    <x v="25"/>
    <n v="89.739999999999981"/>
    <n v="10"/>
    <x v="2"/>
  </r>
  <r>
    <n v="4899"/>
    <n v="55"/>
    <x v="0"/>
    <x v="1"/>
    <x v="5"/>
    <s v="Mobile Phone"/>
    <n v="1091.19"/>
    <x v="3"/>
    <s v="Card"/>
    <n v="4.7"/>
    <x v="6"/>
    <n v="916.59960000000001"/>
    <n v="3"/>
    <x v="1"/>
  </r>
  <r>
    <n v="4900"/>
    <n v="48"/>
    <x v="0"/>
    <x v="1"/>
    <x v="3"/>
    <s v="Curtains"/>
    <n v="212.33"/>
    <x v="0"/>
    <s v="Card"/>
    <n v="3.7"/>
    <x v="8"/>
    <n v="186.85040000000001"/>
    <n v="6"/>
    <x v="0"/>
  </r>
  <r>
    <n v="4901"/>
    <n v="29"/>
    <x v="2"/>
    <x v="1"/>
    <x v="5"/>
    <s v="Smart Watch"/>
    <n v="2200.34"/>
    <x v="0"/>
    <s v="Card"/>
    <n v="4.8"/>
    <x v="12"/>
    <n v="1782.2754000000002"/>
    <n v="7"/>
    <x v="0"/>
  </r>
  <r>
    <n v="4902"/>
    <n v="69"/>
    <x v="1"/>
    <x v="1"/>
    <x v="5"/>
    <s v="Mobile Phone"/>
    <n v="2612.62"/>
    <x v="3"/>
    <s v="Card"/>
    <n v="4.4000000000000004"/>
    <x v="11"/>
    <n v="1933.3388"/>
    <n v="8"/>
    <x v="2"/>
  </r>
  <r>
    <n v="4903"/>
    <n v="23"/>
    <x v="2"/>
    <x v="0"/>
    <x v="7"/>
    <s v="Sandals"/>
    <n v="115.83"/>
    <x v="1"/>
    <s v="Card"/>
    <n v="5"/>
    <x v="4"/>
    <n v="99.613799999999998"/>
    <n v="2"/>
    <x v="1"/>
  </r>
  <r>
    <n v="4904"/>
    <n v="23"/>
    <x v="2"/>
    <x v="1"/>
    <x v="1"/>
    <s v="Shirt"/>
    <n v="75.36"/>
    <x v="3"/>
    <s v="Card"/>
    <n v="4.2"/>
    <x v="14"/>
    <n v="62.5488"/>
    <n v="6"/>
    <x v="0"/>
  </r>
  <r>
    <n v="4905"/>
    <n v="30"/>
    <x v="2"/>
    <x v="0"/>
    <x v="6"/>
    <s v="Makeup Set"/>
    <n v="54.87"/>
    <x v="3"/>
    <s v="Cash on Delivery"/>
    <n v="4.0999999999999996"/>
    <x v="16"/>
    <n v="51.577799999999996"/>
    <n v="3"/>
    <x v="1"/>
  </r>
  <r>
    <n v="4906"/>
    <n v="41"/>
    <x v="0"/>
    <x v="0"/>
    <x v="3"/>
    <s v="Lamp"/>
    <n v="151.15"/>
    <x v="2"/>
    <s v="Card"/>
    <n v="3.2"/>
    <x v="5"/>
    <n v="139.05800000000002"/>
    <n v="4"/>
    <x v="0"/>
  </r>
  <r>
    <n v="4907"/>
    <n v="69"/>
    <x v="1"/>
    <x v="0"/>
    <x v="4"/>
    <s v="Beverages"/>
    <n v="13.72"/>
    <x v="2"/>
    <s v="Cash on Delivery"/>
    <n v="3.5"/>
    <x v="14"/>
    <n v="11.387600000000001"/>
    <n v="6"/>
    <x v="0"/>
  </r>
  <r>
    <n v="4908"/>
    <n v="36"/>
    <x v="0"/>
    <x v="0"/>
    <x v="7"/>
    <s v="Sandals"/>
    <n v="46.3"/>
    <x v="1"/>
    <s v="Card"/>
    <n v="4.0999999999999996"/>
    <x v="20"/>
    <n v="31.483999999999995"/>
    <n v="11"/>
    <x v="2"/>
  </r>
  <r>
    <n v="4909"/>
    <n v="68"/>
    <x v="1"/>
    <x v="0"/>
    <x v="0"/>
    <s v="Handbag"/>
    <n v="133.47"/>
    <x v="3"/>
    <s v="Card"/>
    <n v="4"/>
    <x v="11"/>
    <n v="98.767799999999994"/>
    <n v="8"/>
    <x v="2"/>
  </r>
  <r>
    <n v="4910"/>
    <n v="47"/>
    <x v="0"/>
    <x v="0"/>
    <x v="2"/>
    <s v="Yoga Mat"/>
    <n v="61.86"/>
    <x v="2"/>
    <s v="Card"/>
    <n v="4.2"/>
    <x v="5"/>
    <n v="56.911200000000001"/>
    <n v="4"/>
    <x v="0"/>
  </r>
  <r>
    <n v="4911"/>
    <n v="26"/>
    <x v="2"/>
    <x v="0"/>
    <x v="2"/>
    <s v="Yoga Mat"/>
    <n v="72.040000000000006"/>
    <x v="1"/>
    <s v="Card"/>
    <n v="3.7"/>
    <x v="0"/>
    <n v="59.072800000000008"/>
    <n v="4"/>
    <x v="0"/>
  </r>
  <r>
    <n v="4912"/>
    <n v="62"/>
    <x v="1"/>
    <x v="1"/>
    <x v="1"/>
    <s v="Shirt"/>
    <n v="84.61"/>
    <x v="0"/>
    <s v="Card"/>
    <n v="3.9"/>
    <x v="12"/>
    <n v="68.534100000000009"/>
    <n v="7"/>
    <x v="0"/>
  </r>
  <r>
    <n v="4913"/>
    <n v="30"/>
    <x v="2"/>
    <x v="1"/>
    <x v="1"/>
    <s v="Jeans"/>
    <n v="123.73"/>
    <x v="0"/>
    <s v="Card"/>
    <n v="2.1"/>
    <x v="2"/>
    <n v="110.11970000000001"/>
    <n v="3"/>
    <x v="1"/>
  </r>
  <r>
    <n v="4914"/>
    <n v="44"/>
    <x v="0"/>
    <x v="1"/>
    <x v="7"/>
    <s v="Formal Shoes"/>
    <n v="114.66"/>
    <x v="3"/>
    <s v="Card"/>
    <n v="4"/>
    <x v="10"/>
    <n v="89.434799999999996"/>
    <n v="6"/>
    <x v="0"/>
  </r>
  <r>
    <n v="4915"/>
    <n v="44"/>
    <x v="0"/>
    <x v="0"/>
    <x v="7"/>
    <s v="Sandals"/>
    <n v="235.77"/>
    <x v="0"/>
    <s v="Card"/>
    <n v="2"/>
    <x v="8"/>
    <n v="207.47760000000002"/>
    <n v="6"/>
    <x v="0"/>
  </r>
  <r>
    <n v="4916"/>
    <n v="44"/>
    <x v="0"/>
    <x v="0"/>
    <x v="4"/>
    <s v="Cooking Oil"/>
    <n v="62.94"/>
    <x v="3"/>
    <s v="Cash on Delivery"/>
    <n v="3.6"/>
    <x v="15"/>
    <n v="61.681199999999997"/>
    <n v="1"/>
    <x v="1"/>
  </r>
  <r>
    <n v="4917"/>
    <n v="39"/>
    <x v="0"/>
    <x v="0"/>
    <x v="4"/>
    <s v="Cooking Oil"/>
    <n v="70.150000000000006"/>
    <x v="0"/>
    <s v="Cash on Delivery"/>
    <n v="4.0999999999999996"/>
    <x v="4"/>
    <n v="60.329000000000001"/>
    <n v="2"/>
    <x v="1"/>
  </r>
  <r>
    <n v="4918"/>
    <n v="35"/>
    <x v="0"/>
    <x v="0"/>
    <x v="4"/>
    <s v="Snacks"/>
    <n v="69.099999999999994"/>
    <x v="0"/>
    <s v="Card"/>
    <n v="4.3"/>
    <x v="10"/>
    <n v="53.897999999999996"/>
    <n v="6"/>
    <x v="0"/>
  </r>
  <r>
    <n v="4919"/>
    <n v="43"/>
    <x v="0"/>
    <x v="0"/>
    <x v="7"/>
    <s v="Sneakers"/>
    <n v="63.79"/>
    <x v="1"/>
    <s v="Cash on Delivery"/>
    <n v="4.0999999999999996"/>
    <x v="4"/>
    <n v="54.859400000000001"/>
    <n v="7"/>
    <x v="0"/>
  </r>
  <r>
    <n v="4920"/>
    <n v="44"/>
    <x v="0"/>
    <x v="0"/>
    <x v="8"/>
    <s v="Jeans"/>
    <n v="47.12"/>
    <x v="0"/>
    <s v="Cash on Delivery"/>
    <n v="2.2999999999999998"/>
    <x v="13"/>
    <n v="42.879199999999997"/>
    <n v="2"/>
    <x v="1"/>
  </r>
  <r>
    <n v="4921"/>
    <n v="69"/>
    <x v="1"/>
    <x v="1"/>
    <x v="2"/>
    <s v="Football"/>
    <n v="205.85"/>
    <x v="2"/>
    <s v="Card"/>
    <n v="3.3"/>
    <x v="6"/>
    <n v="172.91399999999999"/>
    <n v="3"/>
    <x v="1"/>
  </r>
  <r>
    <n v="4922"/>
    <n v="25"/>
    <x v="2"/>
    <x v="0"/>
    <x v="0"/>
    <s v="Sunglasses"/>
    <n v="33.380000000000003"/>
    <x v="0"/>
    <s v="Card"/>
    <n v="3.5"/>
    <x v="5"/>
    <n v="30.709600000000005"/>
    <n v="4"/>
    <x v="0"/>
  </r>
  <r>
    <n v="4923"/>
    <n v="24"/>
    <x v="2"/>
    <x v="1"/>
    <x v="4"/>
    <s v="Cooking Oil"/>
    <n v="60.32"/>
    <x v="2"/>
    <s v="Cash on Delivery"/>
    <n v="2.7"/>
    <x v="8"/>
    <n v="53.081600000000002"/>
    <n v="6"/>
    <x v="0"/>
  </r>
  <r>
    <n v="4924"/>
    <n v="45"/>
    <x v="0"/>
    <x v="1"/>
    <x v="2"/>
    <s v="Dumbbells"/>
    <n v="82.4"/>
    <x v="1"/>
    <s v="Card"/>
    <n v="3.4"/>
    <x v="7"/>
    <n v="74.160000000000011"/>
    <n v="5"/>
    <x v="0"/>
  </r>
  <r>
    <n v="4925"/>
    <n v="55"/>
    <x v="0"/>
    <x v="1"/>
    <x v="4"/>
    <s v="Snacks"/>
    <n v="32.01"/>
    <x v="2"/>
    <s v="Card"/>
    <n v="3.7"/>
    <x v="19"/>
    <n v="27.208499999999997"/>
    <n v="5"/>
    <x v="0"/>
  </r>
  <r>
    <n v="4926"/>
    <n v="33"/>
    <x v="0"/>
    <x v="1"/>
    <x v="2"/>
    <s v="Dumbbells"/>
    <n v="40.549999999999997"/>
    <x v="2"/>
    <s v="Cash on Delivery"/>
    <n v="4.5999999999999996"/>
    <x v="17"/>
    <n v="38.927999999999997"/>
    <n v="2"/>
    <x v="1"/>
  </r>
  <r>
    <n v="4927"/>
    <n v="47"/>
    <x v="0"/>
    <x v="0"/>
    <x v="6"/>
    <s v="Makeup Set"/>
    <n v="100.37"/>
    <x v="1"/>
    <s v="Card"/>
    <n v="3"/>
    <x v="17"/>
    <n v="96.355199999999996"/>
    <n v="2"/>
    <x v="1"/>
  </r>
  <r>
    <n v="4928"/>
    <n v="67"/>
    <x v="1"/>
    <x v="1"/>
    <x v="5"/>
    <s v="Mobile Phone"/>
    <n v="1360.46"/>
    <x v="3"/>
    <s v="Card"/>
    <n v="5"/>
    <x v="18"/>
    <n v="1033.9496000000001"/>
    <n v="7"/>
    <x v="0"/>
  </r>
  <r>
    <n v="4929"/>
    <n v="36"/>
    <x v="0"/>
    <x v="0"/>
    <x v="0"/>
    <s v="Sunglasses"/>
    <n v="141.63"/>
    <x v="0"/>
    <s v="Card"/>
    <n v="4.4000000000000004"/>
    <x v="14"/>
    <n v="117.55289999999999"/>
    <n v="6"/>
    <x v="0"/>
  </r>
  <r>
    <n v="4930"/>
    <n v="30"/>
    <x v="2"/>
    <x v="1"/>
    <x v="7"/>
    <s v="Formal Shoes"/>
    <n v="131.47"/>
    <x v="3"/>
    <s v="Card"/>
    <n v="3.9"/>
    <x v="0"/>
    <n v="107.80540000000001"/>
    <n v="4"/>
    <x v="0"/>
  </r>
  <r>
    <n v="4931"/>
    <n v="36"/>
    <x v="0"/>
    <x v="1"/>
    <x v="1"/>
    <s v="Jeans"/>
    <n v="106.54"/>
    <x v="2"/>
    <s v="Card"/>
    <n v="5"/>
    <x v="10"/>
    <n v="83.101200000000006"/>
    <n v="6"/>
    <x v="0"/>
  </r>
  <r>
    <n v="4932"/>
    <n v="21"/>
    <x v="2"/>
    <x v="1"/>
    <x v="5"/>
    <s v="Mobile Phone"/>
    <n v="845.23"/>
    <x v="2"/>
    <s v="Card"/>
    <n v="3.7"/>
    <x v="6"/>
    <n v="709.9932"/>
    <n v="8"/>
    <x v="2"/>
  </r>
  <r>
    <n v="4933"/>
    <n v="49"/>
    <x v="0"/>
    <x v="1"/>
    <x v="5"/>
    <s v="Mobile Phone"/>
    <n v="2662.07"/>
    <x v="2"/>
    <s v="Card"/>
    <n v="4.7"/>
    <x v="3"/>
    <n v="2129.6560000000004"/>
    <n v="5"/>
    <x v="0"/>
  </r>
  <r>
    <n v="4934"/>
    <n v="50"/>
    <x v="0"/>
    <x v="1"/>
    <x v="2"/>
    <s v="Dumbbells"/>
    <n v="186.83"/>
    <x v="1"/>
    <s v="Card"/>
    <n v="3"/>
    <x v="2"/>
    <n v="166.27870000000001"/>
    <n v="3"/>
    <x v="1"/>
  </r>
  <r>
    <n v="4935"/>
    <n v="66"/>
    <x v="1"/>
    <x v="0"/>
    <x v="0"/>
    <s v="Handbag"/>
    <n v="143.75"/>
    <x v="0"/>
    <s v="Card"/>
    <n v="3.7"/>
    <x v="3"/>
    <n v="115"/>
    <n v="5"/>
    <x v="0"/>
  </r>
  <r>
    <n v="4936"/>
    <n v="23"/>
    <x v="2"/>
    <x v="1"/>
    <x v="5"/>
    <s v="Mobile Phone"/>
    <n v="2876.27"/>
    <x v="1"/>
    <s v="Card"/>
    <n v="3"/>
    <x v="6"/>
    <n v="2416.0668000000001"/>
    <n v="3"/>
    <x v="1"/>
  </r>
  <r>
    <n v="4937"/>
    <n v="31"/>
    <x v="0"/>
    <x v="1"/>
    <x v="5"/>
    <s v="Laptop"/>
    <n v="2686.88"/>
    <x v="2"/>
    <s v="Card"/>
    <n v="3.3"/>
    <x v="13"/>
    <n v="2445.0608000000002"/>
    <n v="2"/>
    <x v="1"/>
  </r>
  <r>
    <n v="4938"/>
    <n v="54"/>
    <x v="0"/>
    <x v="0"/>
    <x v="8"/>
    <s v="Jeans"/>
    <n v="35.299999999999997"/>
    <x v="0"/>
    <s v="Card"/>
    <n v="3.6"/>
    <x v="11"/>
    <n v="26.121999999999996"/>
    <n v="8"/>
    <x v="2"/>
  </r>
  <r>
    <n v="4939"/>
    <n v="64"/>
    <x v="1"/>
    <x v="1"/>
    <x v="5"/>
    <s v="Headphones"/>
    <n v="2546.2600000000002"/>
    <x v="0"/>
    <s v="Card"/>
    <n v="4.9000000000000004"/>
    <x v="19"/>
    <n v="2164.3209999999999"/>
    <n v="5"/>
    <x v="0"/>
  </r>
  <r>
    <n v="4940"/>
    <n v="31"/>
    <x v="0"/>
    <x v="1"/>
    <x v="7"/>
    <s v="Sandals"/>
    <n v="248.37"/>
    <x v="3"/>
    <s v="Card"/>
    <n v="4.4000000000000004"/>
    <x v="3"/>
    <n v="198.69600000000003"/>
    <n v="5"/>
    <x v="0"/>
  </r>
  <r>
    <n v="4941"/>
    <n v="31"/>
    <x v="0"/>
    <x v="0"/>
    <x v="6"/>
    <s v="Perfume"/>
    <n v="45.08"/>
    <x v="2"/>
    <s v="Cash on Delivery"/>
    <n v="4.0999999999999996"/>
    <x v="10"/>
    <n v="35.162399999999998"/>
    <n v="6"/>
    <x v="0"/>
  </r>
  <r>
    <n v="4942"/>
    <n v="22"/>
    <x v="2"/>
    <x v="1"/>
    <x v="2"/>
    <s v="Yoga Mat"/>
    <n v="193.77"/>
    <x v="0"/>
    <s v="Card"/>
    <n v="4.9000000000000004"/>
    <x v="4"/>
    <n v="166.6422"/>
    <n v="7"/>
    <x v="0"/>
  </r>
  <r>
    <n v="4943"/>
    <n v="40"/>
    <x v="0"/>
    <x v="0"/>
    <x v="6"/>
    <s v="Perfume"/>
    <n v="98.85"/>
    <x v="0"/>
    <s v="Card"/>
    <n v="4.7"/>
    <x v="6"/>
    <n v="83.033999999999992"/>
    <n v="3"/>
    <x v="1"/>
  </r>
  <r>
    <n v="4944"/>
    <n v="28"/>
    <x v="2"/>
    <x v="1"/>
    <x v="7"/>
    <s v="Sneakers"/>
    <n v="216.39"/>
    <x v="0"/>
    <s v="Card"/>
    <n v="1.5"/>
    <x v="23"/>
    <n v="201.24269999999999"/>
    <n v="1"/>
    <x v="1"/>
  </r>
  <r>
    <n v="4945"/>
    <n v="64"/>
    <x v="1"/>
    <x v="0"/>
    <x v="7"/>
    <s v="Sandals"/>
    <n v="197.46"/>
    <x v="0"/>
    <s v="Card"/>
    <n v="4.4000000000000004"/>
    <x v="7"/>
    <n v="177.714"/>
    <n v="5"/>
    <x v="0"/>
  </r>
  <r>
    <n v="4946"/>
    <n v="48"/>
    <x v="0"/>
    <x v="0"/>
    <x v="4"/>
    <s v="Rice Pack"/>
    <n v="75.400000000000006"/>
    <x v="1"/>
    <s v="Card"/>
    <n v="3.7"/>
    <x v="5"/>
    <n v="69.368000000000009"/>
    <n v="4"/>
    <x v="0"/>
  </r>
  <r>
    <n v="4947"/>
    <n v="24"/>
    <x v="2"/>
    <x v="0"/>
    <x v="6"/>
    <s v="Skincare Kit"/>
    <n v="78.11"/>
    <x v="3"/>
    <s v="Cash on Delivery"/>
    <n v="3.6"/>
    <x v="8"/>
    <n v="68.736800000000002"/>
    <n v="6"/>
    <x v="0"/>
  </r>
  <r>
    <n v="4948"/>
    <n v="20"/>
    <x v="2"/>
    <x v="0"/>
    <x v="6"/>
    <s v="Skincare Kit"/>
    <n v="32.659999999999997"/>
    <x v="1"/>
    <s v="Cash on Delivery"/>
    <n v="2.9"/>
    <x v="5"/>
    <n v="30.047199999999997"/>
    <n v="4"/>
    <x v="0"/>
  </r>
  <r>
    <n v="4949"/>
    <n v="21"/>
    <x v="2"/>
    <x v="0"/>
    <x v="7"/>
    <s v="Formal Shoes"/>
    <n v="91.71"/>
    <x v="0"/>
    <s v="Cash on Delivery"/>
    <n v="3"/>
    <x v="5"/>
    <n v="84.373199999999997"/>
    <n v="4"/>
    <x v="0"/>
  </r>
  <r>
    <n v="4950"/>
    <n v="70"/>
    <x v="1"/>
    <x v="0"/>
    <x v="6"/>
    <s v="Skincare Kit"/>
    <n v="70.739999999999995"/>
    <x v="0"/>
    <s v="Cash on Delivery"/>
    <n v="4.7"/>
    <x v="24"/>
    <n v="50.932799999999993"/>
    <n v="9"/>
    <x v="2"/>
  </r>
  <r>
    <n v="4951"/>
    <n v="39"/>
    <x v="0"/>
    <x v="0"/>
    <x v="7"/>
    <s v="Sandals"/>
    <n v="92.58"/>
    <x v="3"/>
    <s v="Card"/>
    <n v="3.6"/>
    <x v="2"/>
    <n v="82.396199999999993"/>
    <n v="3"/>
    <x v="1"/>
  </r>
  <r>
    <n v="4952"/>
    <n v="53"/>
    <x v="0"/>
    <x v="0"/>
    <x v="6"/>
    <s v="Makeup Set"/>
    <n v="92.62"/>
    <x v="3"/>
    <s v="Card"/>
    <n v="4.9000000000000004"/>
    <x v="2"/>
    <n v="82.43180000000001"/>
    <n v="3"/>
    <x v="1"/>
  </r>
  <r>
    <n v="4953"/>
    <n v="24"/>
    <x v="2"/>
    <x v="1"/>
    <x v="7"/>
    <s v="Sneakers"/>
    <n v="201.33"/>
    <x v="2"/>
    <s v="Card"/>
    <n v="3.4"/>
    <x v="29"/>
    <n v="201.33"/>
    <n v="0"/>
    <x v="1"/>
  </r>
  <r>
    <n v="4954"/>
    <n v="22"/>
    <x v="2"/>
    <x v="0"/>
    <x v="8"/>
    <s v="Skirt"/>
    <n v="107.7"/>
    <x v="0"/>
    <s v="Card"/>
    <n v="3.2"/>
    <x v="24"/>
    <n v="77.543999999999997"/>
    <n v="9"/>
    <x v="2"/>
  </r>
  <r>
    <n v="4955"/>
    <n v="29"/>
    <x v="2"/>
    <x v="1"/>
    <x v="2"/>
    <s v="Football"/>
    <n v="48.66"/>
    <x v="1"/>
    <s v="Card"/>
    <n v="3.5"/>
    <x v="17"/>
    <n v="46.713599999999992"/>
    <n v="2"/>
    <x v="1"/>
  </r>
  <r>
    <n v="4956"/>
    <n v="37"/>
    <x v="0"/>
    <x v="1"/>
    <x v="4"/>
    <s v="Rice Pack"/>
    <n v="43.47"/>
    <x v="0"/>
    <s v="Cash on Delivery"/>
    <n v="4.0999999999999996"/>
    <x v="6"/>
    <n v="36.514800000000001"/>
    <n v="3"/>
    <x v="1"/>
  </r>
  <r>
    <n v="4957"/>
    <n v="47"/>
    <x v="0"/>
    <x v="1"/>
    <x v="1"/>
    <s v="Jeans"/>
    <n v="179.91"/>
    <x v="3"/>
    <s v="Card"/>
    <n v="4.4000000000000004"/>
    <x v="8"/>
    <n v="158.32079999999999"/>
    <n v="6"/>
    <x v="0"/>
  </r>
  <r>
    <n v="4958"/>
    <n v="69"/>
    <x v="1"/>
    <x v="1"/>
    <x v="4"/>
    <s v="Beverages"/>
    <n v="60.23"/>
    <x v="0"/>
    <s v="Cash on Delivery"/>
    <n v="3.3"/>
    <x v="4"/>
    <n v="51.797799999999995"/>
    <n v="7"/>
    <x v="0"/>
  </r>
  <r>
    <n v="4959"/>
    <n v="36"/>
    <x v="0"/>
    <x v="0"/>
    <x v="4"/>
    <s v="Beverages"/>
    <n v="33.119999999999997"/>
    <x v="1"/>
    <s v="Card"/>
    <n v="4.3"/>
    <x v="19"/>
    <n v="28.151999999999997"/>
    <n v="5"/>
    <x v="0"/>
  </r>
  <r>
    <n v="4960"/>
    <n v="42"/>
    <x v="0"/>
    <x v="1"/>
    <x v="5"/>
    <s v="Mobile Phone"/>
    <n v="2340.63"/>
    <x v="0"/>
    <s v="Card"/>
    <n v="3.1"/>
    <x v="13"/>
    <n v="2129.9733000000001"/>
    <n v="2"/>
    <x v="1"/>
  </r>
  <r>
    <n v="4961"/>
    <n v="23"/>
    <x v="2"/>
    <x v="0"/>
    <x v="2"/>
    <s v="Dumbbells"/>
    <n v="124.64"/>
    <x v="1"/>
    <s v="Card"/>
    <n v="4.9000000000000004"/>
    <x v="3"/>
    <n v="99.712000000000003"/>
    <n v="5"/>
    <x v="0"/>
  </r>
  <r>
    <n v="4962"/>
    <n v="52"/>
    <x v="0"/>
    <x v="1"/>
    <x v="4"/>
    <s v="Snacks"/>
    <n v="69.010000000000005"/>
    <x v="3"/>
    <s v="Cash on Delivery"/>
    <n v="3.6"/>
    <x v="5"/>
    <n v="63.489200000000011"/>
    <n v="4"/>
    <x v="0"/>
  </r>
  <r>
    <n v="4963"/>
    <n v="59"/>
    <x v="0"/>
    <x v="0"/>
    <x v="0"/>
    <s v="Sunglasses"/>
    <n v="67.83"/>
    <x v="2"/>
    <s v="Cash on Delivery"/>
    <n v="2.7"/>
    <x v="1"/>
    <n v="59.012099999999997"/>
    <n v="4"/>
    <x v="0"/>
  </r>
  <r>
    <n v="4964"/>
    <n v="21"/>
    <x v="2"/>
    <x v="1"/>
    <x v="1"/>
    <s v="T-Shirt"/>
    <n v="80.010000000000005"/>
    <x v="1"/>
    <s v="Card"/>
    <n v="4.5"/>
    <x v="12"/>
    <n v="64.80810000000001"/>
    <n v="7"/>
    <x v="0"/>
  </r>
  <r>
    <n v="4965"/>
    <n v="50"/>
    <x v="0"/>
    <x v="1"/>
    <x v="2"/>
    <s v="Yoga Mat"/>
    <n v="65.650000000000006"/>
    <x v="0"/>
    <s v="Cash on Delivery"/>
    <n v="4"/>
    <x v="6"/>
    <n v="55.146000000000001"/>
    <n v="8"/>
    <x v="2"/>
  </r>
  <r>
    <n v="4966"/>
    <n v="50"/>
    <x v="0"/>
    <x v="1"/>
    <x v="7"/>
    <s v="Formal Shoes"/>
    <n v="64.930000000000007"/>
    <x v="1"/>
    <s v="Card"/>
    <n v="4.4000000000000004"/>
    <x v="13"/>
    <n v="59.086300000000008"/>
    <n v="2"/>
    <x v="1"/>
  </r>
  <r>
    <n v="4967"/>
    <n v="57"/>
    <x v="0"/>
    <x v="1"/>
    <x v="1"/>
    <s v="Jeans"/>
    <n v="185.82"/>
    <x v="1"/>
    <s v="Card"/>
    <n v="3.6"/>
    <x v="14"/>
    <n v="154.23059999999998"/>
    <n v="6"/>
    <x v="0"/>
  </r>
  <r>
    <n v="4968"/>
    <n v="58"/>
    <x v="0"/>
    <x v="0"/>
    <x v="0"/>
    <s v="Handbag"/>
    <n v="60.51"/>
    <x v="3"/>
    <s v="Card"/>
    <n v="3.9"/>
    <x v="5"/>
    <n v="55.669200000000004"/>
    <n v="4"/>
    <x v="0"/>
  </r>
  <r>
    <n v="4969"/>
    <n v="34"/>
    <x v="0"/>
    <x v="1"/>
    <x v="3"/>
    <s v="Lamp"/>
    <n v="34.950000000000003"/>
    <x v="2"/>
    <s v="Cash on Delivery"/>
    <n v="3.6"/>
    <x v="5"/>
    <n v="32.154000000000003"/>
    <n v="4"/>
    <x v="0"/>
  </r>
  <r>
    <n v="4970"/>
    <n v="41"/>
    <x v="0"/>
    <x v="1"/>
    <x v="5"/>
    <s v="Laptop"/>
    <n v="2442.98"/>
    <x v="1"/>
    <s v="Card"/>
    <n v="4.8"/>
    <x v="7"/>
    <n v="2198.6820000000002"/>
    <n v="5"/>
    <x v="0"/>
  </r>
  <r>
    <n v="4971"/>
    <n v="52"/>
    <x v="0"/>
    <x v="0"/>
    <x v="0"/>
    <s v="Wallet"/>
    <n v="177.26"/>
    <x v="3"/>
    <s v="Card"/>
    <n v="3.3"/>
    <x v="6"/>
    <n v="148.89839999999998"/>
    <n v="3"/>
    <x v="1"/>
  </r>
  <r>
    <n v="4972"/>
    <n v="24"/>
    <x v="2"/>
    <x v="1"/>
    <x v="1"/>
    <s v="Jacket"/>
    <n v="161.44"/>
    <x v="2"/>
    <s v="Card"/>
    <n v="3.7"/>
    <x v="6"/>
    <n v="135.6096"/>
    <n v="3"/>
    <x v="1"/>
  </r>
  <r>
    <n v="4973"/>
    <n v="42"/>
    <x v="0"/>
    <x v="0"/>
    <x v="6"/>
    <s v="Perfume"/>
    <n v="106.4"/>
    <x v="0"/>
    <s v="Card"/>
    <n v="3.4"/>
    <x v="16"/>
    <n v="100.01600000000001"/>
    <n v="3"/>
    <x v="1"/>
  </r>
  <r>
    <n v="4974"/>
    <n v="53"/>
    <x v="0"/>
    <x v="1"/>
    <x v="2"/>
    <s v="Football"/>
    <n v="130.37"/>
    <x v="1"/>
    <s v="Card"/>
    <n v="4.5"/>
    <x v="16"/>
    <n v="122.5478"/>
    <n v="3"/>
    <x v="1"/>
  </r>
  <r>
    <n v="4975"/>
    <n v="50"/>
    <x v="0"/>
    <x v="0"/>
    <x v="7"/>
    <s v="Sneakers"/>
    <n v="243.99"/>
    <x v="1"/>
    <s v="Card"/>
    <n v="3.7"/>
    <x v="0"/>
    <n v="200.07180000000002"/>
    <n v="4"/>
    <x v="0"/>
  </r>
  <r>
    <n v="4976"/>
    <n v="47"/>
    <x v="0"/>
    <x v="0"/>
    <x v="0"/>
    <s v="Handbag"/>
    <n v="162.51"/>
    <x v="3"/>
    <s v="Card"/>
    <n v="5"/>
    <x v="10"/>
    <n v="126.7578"/>
    <n v="6"/>
    <x v="0"/>
  </r>
  <r>
    <n v="4977"/>
    <n v="32"/>
    <x v="0"/>
    <x v="1"/>
    <x v="2"/>
    <s v="Yoga Mat"/>
    <n v="49.17"/>
    <x v="0"/>
    <s v="Card"/>
    <n v="4.0999999999999996"/>
    <x v="7"/>
    <n v="44.253"/>
    <n v="5"/>
    <x v="0"/>
  </r>
  <r>
    <n v="4978"/>
    <n v="28"/>
    <x v="2"/>
    <x v="0"/>
    <x v="7"/>
    <s v="Sneakers"/>
    <n v="46.58"/>
    <x v="3"/>
    <s v="Cash on Delivery"/>
    <n v="4.3"/>
    <x v="19"/>
    <n v="39.592999999999996"/>
    <n v="5"/>
    <x v="0"/>
  </r>
  <r>
    <n v="4979"/>
    <n v="48"/>
    <x v="0"/>
    <x v="1"/>
    <x v="5"/>
    <s v="Mobile Phone"/>
    <n v="1886.39"/>
    <x v="1"/>
    <s v="Card"/>
    <n v="4.2"/>
    <x v="10"/>
    <n v="1471.3842000000002"/>
    <n v="6"/>
    <x v="0"/>
  </r>
  <r>
    <n v="4980"/>
    <n v="65"/>
    <x v="1"/>
    <x v="0"/>
    <x v="8"/>
    <s v="Jeans"/>
    <n v="150.06"/>
    <x v="2"/>
    <s v="Card"/>
    <n v="3.4"/>
    <x v="8"/>
    <n v="132.05279999999999"/>
    <n v="6"/>
    <x v="0"/>
  </r>
  <r>
    <n v="4981"/>
    <n v="58"/>
    <x v="0"/>
    <x v="0"/>
    <x v="6"/>
    <s v="Makeup Set"/>
    <n v="21.63"/>
    <x v="0"/>
    <s v="Card"/>
    <n v="3.8"/>
    <x v="0"/>
    <n v="17.736599999999999"/>
    <n v="4"/>
    <x v="0"/>
  </r>
  <r>
    <n v="4982"/>
    <n v="31"/>
    <x v="0"/>
    <x v="0"/>
    <x v="7"/>
    <s v="Sneakers"/>
    <n v="180.25"/>
    <x v="3"/>
    <s v="Card"/>
    <n v="5"/>
    <x v="28"/>
    <n v="127.97749999999999"/>
    <n v="12"/>
    <x v="2"/>
  </r>
  <r>
    <n v="4983"/>
    <n v="31"/>
    <x v="0"/>
    <x v="1"/>
    <x v="5"/>
    <s v="Smart Watch"/>
    <n v="2163.69"/>
    <x v="3"/>
    <s v="Card"/>
    <n v="4.0999999999999996"/>
    <x v="7"/>
    <n v="1947.3210000000001"/>
    <n v="5"/>
    <x v="0"/>
  </r>
  <r>
    <n v="4984"/>
    <n v="47"/>
    <x v="0"/>
    <x v="0"/>
    <x v="7"/>
    <s v="Formal Shoes"/>
    <n v="231.35"/>
    <x v="1"/>
    <s v="Card"/>
    <n v="2.7"/>
    <x v="6"/>
    <n v="194.33399999999997"/>
    <n v="3"/>
    <x v="1"/>
  </r>
  <r>
    <n v="4985"/>
    <n v="50"/>
    <x v="0"/>
    <x v="1"/>
    <x v="2"/>
    <s v="Yoga Mat"/>
    <n v="133.91"/>
    <x v="0"/>
    <s v="Card"/>
    <n v="5"/>
    <x v="8"/>
    <n v="117.8408"/>
    <n v="6"/>
    <x v="0"/>
  </r>
  <r>
    <n v="4986"/>
    <n v="22"/>
    <x v="2"/>
    <x v="0"/>
    <x v="7"/>
    <s v="Sneakers"/>
    <n v="158.22999999999999"/>
    <x v="3"/>
    <s v="Card"/>
    <n v="3.7"/>
    <x v="13"/>
    <n v="143.98929999999999"/>
    <n v="2"/>
    <x v="1"/>
  </r>
  <r>
    <n v="4987"/>
    <n v="29"/>
    <x v="2"/>
    <x v="1"/>
    <x v="1"/>
    <s v="Jacket"/>
    <n v="62.95"/>
    <x v="2"/>
    <s v="Cash on Delivery"/>
    <n v="5"/>
    <x v="10"/>
    <n v="49.101000000000006"/>
    <n v="6"/>
    <x v="0"/>
  </r>
  <r>
    <n v="4988"/>
    <n v="45"/>
    <x v="0"/>
    <x v="1"/>
    <x v="7"/>
    <s v="Formal Shoes"/>
    <n v="214.69"/>
    <x v="3"/>
    <s v="Card"/>
    <n v="4.5"/>
    <x v="3"/>
    <n v="171.75200000000001"/>
    <n v="5"/>
    <x v="0"/>
  </r>
  <r>
    <n v="4989"/>
    <n v="69"/>
    <x v="1"/>
    <x v="1"/>
    <x v="7"/>
    <s v="Formal Shoes"/>
    <n v="172.99"/>
    <x v="1"/>
    <s v="Card"/>
    <n v="3.9"/>
    <x v="15"/>
    <n v="169.53020000000001"/>
    <n v="1"/>
    <x v="1"/>
  </r>
  <r>
    <n v="4990"/>
    <n v="39"/>
    <x v="0"/>
    <x v="0"/>
    <x v="0"/>
    <s v="Sunglasses"/>
    <n v="147.24"/>
    <x v="2"/>
    <s v="Card"/>
    <n v="3.7"/>
    <x v="17"/>
    <n v="141.35040000000001"/>
    <n v="2"/>
    <x v="1"/>
  </r>
  <r>
    <n v="4991"/>
    <n v="28"/>
    <x v="2"/>
    <x v="0"/>
    <x v="4"/>
    <s v="Snacks"/>
    <n v="55.74"/>
    <x v="2"/>
    <s v="Card"/>
    <n v="2.6"/>
    <x v="18"/>
    <n v="42.362400000000001"/>
    <n v="7"/>
    <x v="0"/>
  </r>
  <r>
    <n v="4992"/>
    <n v="41"/>
    <x v="0"/>
    <x v="1"/>
    <x v="2"/>
    <s v="Football"/>
    <n v="167.22"/>
    <x v="3"/>
    <s v="Card"/>
    <n v="3"/>
    <x v="2"/>
    <n v="148.82580000000002"/>
    <n v="3"/>
    <x v="1"/>
  </r>
  <r>
    <n v="4993"/>
    <n v="48"/>
    <x v="0"/>
    <x v="1"/>
    <x v="2"/>
    <s v="Football"/>
    <n v="152.94"/>
    <x v="2"/>
    <s v="Card"/>
    <n v="4.7"/>
    <x v="8"/>
    <n v="134.5872"/>
    <n v="6"/>
    <x v="0"/>
  </r>
  <r>
    <n v="4994"/>
    <n v="69"/>
    <x v="1"/>
    <x v="0"/>
    <x v="8"/>
    <s v="Jeans"/>
    <n v="63.26"/>
    <x v="0"/>
    <s v="Cash on Delivery"/>
    <n v="3.2"/>
    <x v="24"/>
    <n v="45.547199999999997"/>
    <n v="9"/>
    <x v="2"/>
  </r>
  <r>
    <n v="4995"/>
    <n v="20"/>
    <x v="2"/>
    <x v="1"/>
    <x v="2"/>
    <s v="Dumbbells"/>
    <n v="124.24"/>
    <x v="1"/>
    <s v="Card"/>
    <n v="4.4000000000000004"/>
    <x v="4"/>
    <n v="106.84639999999999"/>
    <n v="2"/>
    <x v="1"/>
  </r>
  <r>
    <n v="4996"/>
    <n v="44"/>
    <x v="0"/>
    <x v="0"/>
    <x v="0"/>
    <s v="Sunglasses"/>
    <n v="172.64"/>
    <x v="2"/>
    <s v="Card"/>
    <n v="3.6"/>
    <x v="3"/>
    <n v="138.11199999999999"/>
    <n v="5"/>
    <x v="0"/>
  </r>
  <r>
    <n v="4997"/>
    <n v="59"/>
    <x v="0"/>
    <x v="1"/>
    <x v="4"/>
    <s v="Beverages"/>
    <n v="54"/>
    <x v="1"/>
    <s v="Cash on Delivery"/>
    <n v="3.8"/>
    <x v="4"/>
    <n v="46.44"/>
    <n v="2"/>
    <x v="1"/>
  </r>
  <r>
    <n v="4998"/>
    <n v="41"/>
    <x v="0"/>
    <x v="0"/>
    <x v="0"/>
    <s v="Handbag"/>
    <n v="159.33000000000001"/>
    <x v="0"/>
    <s v="Card"/>
    <n v="4.3"/>
    <x v="11"/>
    <n v="117.9042"/>
    <n v="8"/>
    <x v="2"/>
  </r>
  <r>
    <n v="4999"/>
    <n v="63"/>
    <x v="1"/>
    <x v="0"/>
    <x v="8"/>
    <s v="Skirt"/>
    <n v="173.82"/>
    <x v="0"/>
    <s v="Card"/>
    <n v="4.8"/>
    <x v="11"/>
    <n v="128.6268"/>
    <n v="8"/>
    <x v="2"/>
  </r>
  <r>
    <n v="5000"/>
    <n v="41"/>
    <x v="0"/>
    <x v="0"/>
    <x v="7"/>
    <s v="Sandals"/>
    <n v="55.39"/>
    <x v="0"/>
    <s v="Cash on Delivery"/>
    <n v="4.0999999999999996"/>
    <x v="12"/>
    <n v="44.865900000000003"/>
    <n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ategory">
  <location ref="A3:D13" firstHeaderRow="0" firstDataRow="1" firstDataCol="1"/>
  <pivotFields count="14">
    <pivotField dataField="1" showAll="0"/>
    <pivotField showAll="0"/>
    <pivotField showAll="0"/>
    <pivotField showAll="0"/>
    <pivotField axis="axisRow" showAll="0" sortType="descending">
      <items count="10">
        <item x="8"/>
        <item x="2"/>
        <item x="1"/>
        <item x="3"/>
        <item x="4"/>
        <item x="7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0">
    <i>
      <x v="6"/>
    </i>
    <i>
      <x v="5"/>
    </i>
    <i>
      <x v="1"/>
    </i>
    <i>
      <x/>
    </i>
    <i>
      <x v="2"/>
    </i>
    <i>
      <x v="8"/>
    </i>
    <i>
      <x v="3"/>
    </i>
    <i>
      <x v="7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11" baseField="4" baseItem="6" numFmtId="164"/>
    <dataField name="Average Revenue" fld="11" subtotal="average" baseField="4" baseItem="6" numFmtId="164"/>
    <dataField name="Number of purchases" fld="0" subtotal="count" baseField="4" baseItem="6"/>
  </dataFields>
  <formats count="8">
    <format dxfId="74">
      <pivotArea outline="0" collapsedLevelsAreSubtotals="1" fieldPosition="0"/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easons" colHeaderCaption="">
  <location ref="A3:K9" firstHeaderRow="1" firstDataRow="2" firstDataCol="1"/>
  <pivotFields count="14">
    <pivotField showAll="0"/>
    <pivotField showAll="0"/>
    <pivotField showAll="0"/>
    <pivotField showAll="0"/>
    <pivotField axis="axisCol" showAll="0">
      <items count="10">
        <item x="0"/>
        <item x="6"/>
        <item x="5"/>
        <item x="7"/>
        <item x="4"/>
        <item x="3"/>
        <item x="1"/>
        <item x="2"/>
        <item x="8"/>
        <item t="default"/>
      </items>
    </pivotField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5">
    <i>
      <x v="1"/>
    </i>
    <i>
      <x v="3"/>
    </i>
    <i>
      <x v="2"/>
    </i>
    <i>
      <x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Revenue" fld="11" baseField="0" baseItem="0" numFmtId="3"/>
  </dataFields>
  <formats count="1"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Discount Applied(%)">
  <location ref="A3:D36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33">
        <item x="31"/>
        <item x="30"/>
        <item x="20"/>
        <item x="25"/>
        <item x="28"/>
        <item x="24"/>
        <item x="9"/>
        <item x="11"/>
        <item x="27"/>
        <item x="18"/>
        <item x="22"/>
        <item x="10"/>
        <item x="21"/>
        <item x="3"/>
        <item x="12"/>
        <item x="0"/>
        <item x="14"/>
        <item x="6"/>
        <item x="19"/>
        <item x="4"/>
        <item x="1"/>
        <item x="8"/>
        <item x="2"/>
        <item x="7"/>
        <item x="13"/>
        <item x="5"/>
        <item x="23"/>
        <item x="16"/>
        <item x="26"/>
        <item x="17"/>
        <item x="15"/>
        <item x="29"/>
        <item t="default"/>
      </items>
    </pivotField>
    <pivotField dataField="1" showAll="0"/>
    <pivotField showAll="0"/>
    <pivotField showAll="0"/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ount" fld="6" subtotal="average" baseField="10" baseItem="0"/>
    <dataField name="Average of Net_Revenue" fld="11" subtotal="average" baseField="10" baseItem="0"/>
    <dataField name="Purchases" fld="0" subtotal="count" baseField="10" baseItem="0"/>
  </dataFields>
  <formats count="12">
    <format dxfId="33">
      <pivotArea collapsedLevelsAreSubtotals="1" fieldPosition="0">
        <references count="2">
          <reference field="4294967294" count="2" selected="0">
            <x v="0"/>
            <x v="1"/>
          </reference>
          <reference field="10" count="0"/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">
      <pivotArea field="10" type="button" dataOnly="0" labelOnly="1" outline="0" axis="axisRow" fieldPosition="0"/>
    </format>
    <format dxfId="37">
      <pivotArea dataOnly="0" labelOnly="1" fieldPosition="0">
        <references count="1">
          <reference field="10" count="0"/>
        </references>
      </pivotArea>
    </format>
    <format dxfId="38">
      <pivotArea dataOnly="0" labelOnly="1" grandRow="1" outline="0" fieldPosition="0"/>
    </format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4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outline="1" outlineData="1" multipleFieldFilters="0" rowHeaderCaption="Age_Group" colHeaderCaption="LOYALTY">
  <location ref="A3:E8" firstHeaderRow="1" firstDataRow="2" firstDataCol="1"/>
  <pivotFields count="14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Revenue" fld="11" baseField="0" baseItem="0" numFmtId="164"/>
  </dataFields>
  <formats count="3">
    <format dxfId="3">
      <pivotArea outline="0" collapsedLevelsAreSubtotals="1" fieldPosition="0"/>
    </format>
    <format dxfId="4">
      <pivotArea outline="0" collapsedLevelsAreSubtotals="1" fieldPosition="0"/>
    </format>
    <format dxfId="5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 colHeaderCaption="Gender">
  <location ref="A3:D14" firstHeaderRow="1" firstDataRow="2" firstDataCol="1"/>
  <pivotFields count="1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0">
        <item x="0"/>
        <item x="6"/>
        <item x="5"/>
        <item x="7"/>
        <item x="4"/>
        <item x="3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Revenue" fld="11" baseField="0" baseItem="0"/>
  </dataFields>
  <formats count="2">
    <format dxfId="2">
      <pivotArea collapsedLevelsAreSubtotals="1" fieldPosition="0">
        <references count="1">
          <reference field="4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opLeftCell="E1" workbookViewId="0">
      <pane ySplit="1" topLeftCell="A4904" activePane="bottomLeft" state="frozen"/>
      <selection pane="bottomLeft" activeCell="N4994" sqref="N4994"/>
    </sheetView>
  </sheetViews>
  <sheetFormatPr defaultRowHeight="14.5" x14ac:dyDescent="0.35"/>
  <cols>
    <col min="4" max="4" width="15.6328125" bestFit="1" customWidth="1"/>
    <col min="6" max="6" width="7.81640625" bestFit="1" customWidth="1"/>
    <col min="8" max="8" width="14.81640625" bestFit="1" customWidth="1"/>
    <col min="9" max="9" width="9.81640625" bestFit="1" customWidth="1"/>
    <col min="10" max="10" width="17.36328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58</v>
      </c>
      <c r="C2" t="s">
        <v>11</v>
      </c>
      <c r="D2" t="s">
        <v>12</v>
      </c>
      <c r="E2" t="s">
        <v>13</v>
      </c>
      <c r="F2">
        <v>115.5</v>
      </c>
      <c r="G2" t="s">
        <v>14</v>
      </c>
      <c r="H2" t="s">
        <v>15</v>
      </c>
      <c r="I2">
        <v>3.5</v>
      </c>
      <c r="J2">
        <v>18</v>
      </c>
      <c r="K2">
        <v>4</v>
      </c>
    </row>
    <row r="3" spans="1:11" x14ac:dyDescent="0.35">
      <c r="A3">
        <v>2</v>
      </c>
      <c r="B3">
        <v>40</v>
      </c>
      <c r="C3" t="s">
        <v>16</v>
      </c>
      <c r="D3" t="s">
        <v>17</v>
      </c>
      <c r="E3" t="s">
        <v>18</v>
      </c>
      <c r="F3">
        <v>103.43</v>
      </c>
      <c r="G3" t="s">
        <v>19</v>
      </c>
      <c r="H3" t="s">
        <v>15</v>
      </c>
      <c r="I3">
        <v>4.0999999999999996</v>
      </c>
      <c r="J3">
        <v>13</v>
      </c>
      <c r="K3">
        <v>4</v>
      </c>
    </row>
    <row r="4" spans="1:11" x14ac:dyDescent="0.35">
      <c r="A4">
        <v>3</v>
      </c>
      <c r="B4">
        <v>66</v>
      </c>
      <c r="C4" t="s">
        <v>11</v>
      </c>
      <c r="D4" t="s">
        <v>20</v>
      </c>
      <c r="E4" t="s">
        <v>21</v>
      </c>
      <c r="F4">
        <v>35.450000000000003</v>
      </c>
      <c r="G4" t="s">
        <v>19</v>
      </c>
      <c r="H4" t="s">
        <v>15</v>
      </c>
      <c r="I4">
        <v>3.3</v>
      </c>
      <c r="J4">
        <v>11</v>
      </c>
      <c r="K4">
        <v>3</v>
      </c>
    </row>
    <row r="5" spans="1:11" x14ac:dyDescent="0.35">
      <c r="A5">
        <v>4</v>
      </c>
      <c r="B5">
        <v>39</v>
      </c>
      <c r="C5" t="s">
        <v>11</v>
      </c>
      <c r="D5" t="s">
        <v>12</v>
      </c>
      <c r="E5" t="s">
        <v>13</v>
      </c>
      <c r="F5">
        <v>153.31</v>
      </c>
      <c r="G5" t="s">
        <v>19</v>
      </c>
      <c r="H5" t="s">
        <v>15</v>
      </c>
      <c r="I5">
        <v>4.4000000000000004</v>
      </c>
      <c r="J5">
        <v>13</v>
      </c>
      <c r="K5">
        <v>4</v>
      </c>
    </row>
    <row r="6" spans="1:11" x14ac:dyDescent="0.35">
      <c r="A6">
        <v>5</v>
      </c>
      <c r="B6">
        <v>23</v>
      </c>
      <c r="C6" t="s">
        <v>11</v>
      </c>
      <c r="D6" t="s">
        <v>22</v>
      </c>
      <c r="E6" t="s">
        <v>23</v>
      </c>
      <c r="F6">
        <v>151.43</v>
      </c>
      <c r="G6" t="s">
        <v>24</v>
      </c>
      <c r="H6" t="s">
        <v>15</v>
      </c>
      <c r="I6">
        <v>4.0999999999999996</v>
      </c>
      <c r="J6">
        <v>20</v>
      </c>
      <c r="K6">
        <v>10</v>
      </c>
    </row>
    <row r="7" spans="1:11" x14ac:dyDescent="0.35">
      <c r="A7">
        <v>6</v>
      </c>
      <c r="B7">
        <v>48</v>
      </c>
      <c r="C7" t="s">
        <v>16</v>
      </c>
      <c r="D7" t="s">
        <v>25</v>
      </c>
      <c r="E7" t="s">
        <v>26</v>
      </c>
      <c r="F7">
        <v>36.76</v>
      </c>
      <c r="G7" t="s">
        <v>14</v>
      </c>
      <c r="H7" t="s">
        <v>15</v>
      </c>
      <c r="I7">
        <v>2.5</v>
      </c>
      <c r="J7">
        <v>14</v>
      </c>
      <c r="K7">
        <v>2</v>
      </c>
    </row>
    <row r="8" spans="1:11" x14ac:dyDescent="0.35">
      <c r="A8">
        <v>7</v>
      </c>
      <c r="B8">
        <v>54</v>
      </c>
      <c r="C8" t="s">
        <v>16</v>
      </c>
      <c r="D8" t="s">
        <v>27</v>
      </c>
      <c r="E8" t="s">
        <v>28</v>
      </c>
      <c r="F8">
        <v>1396.16</v>
      </c>
      <c r="G8" t="s">
        <v>14</v>
      </c>
      <c r="H8" t="s">
        <v>15</v>
      </c>
      <c r="I8">
        <v>4.7</v>
      </c>
      <c r="J8">
        <v>18</v>
      </c>
      <c r="K8">
        <v>4</v>
      </c>
    </row>
    <row r="9" spans="1:11" x14ac:dyDescent="0.35">
      <c r="A9">
        <v>8</v>
      </c>
      <c r="B9">
        <v>59</v>
      </c>
      <c r="C9" t="s">
        <v>11</v>
      </c>
      <c r="D9" t="s">
        <v>29</v>
      </c>
      <c r="E9" t="s">
        <v>30</v>
      </c>
      <c r="F9">
        <v>35.549999999999997</v>
      </c>
      <c r="G9" t="s">
        <v>31</v>
      </c>
      <c r="H9" t="s">
        <v>15</v>
      </c>
      <c r="I9">
        <v>4.5999999999999996</v>
      </c>
      <c r="J9">
        <v>14</v>
      </c>
      <c r="K9">
        <v>7</v>
      </c>
    </row>
    <row r="10" spans="1:11" x14ac:dyDescent="0.35">
      <c r="A10">
        <v>9</v>
      </c>
      <c r="B10">
        <v>51</v>
      </c>
      <c r="C10" t="s">
        <v>16</v>
      </c>
      <c r="D10" t="s">
        <v>27</v>
      </c>
      <c r="E10" t="s">
        <v>32</v>
      </c>
      <c r="F10">
        <v>2238.79</v>
      </c>
      <c r="G10" t="s">
        <v>19</v>
      </c>
      <c r="H10" t="s">
        <v>15</v>
      </c>
      <c r="I10">
        <v>4.3</v>
      </c>
      <c r="J10">
        <v>20</v>
      </c>
      <c r="K10">
        <v>5</v>
      </c>
    </row>
    <row r="11" spans="1:11" x14ac:dyDescent="0.35">
      <c r="A11">
        <v>10</v>
      </c>
      <c r="B11">
        <v>47</v>
      </c>
      <c r="C11" t="s">
        <v>11</v>
      </c>
      <c r="D11" t="s">
        <v>33</v>
      </c>
      <c r="E11" t="s">
        <v>34</v>
      </c>
      <c r="F11">
        <v>225.49</v>
      </c>
      <c r="G11" t="s">
        <v>19</v>
      </c>
      <c r="H11" t="s">
        <v>15</v>
      </c>
      <c r="I11">
        <v>4.7</v>
      </c>
      <c r="J11">
        <v>18</v>
      </c>
      <c r="K11">
        <v>4</v>
      </c>
    </row>
    <row r="12" spans="1:11" x14ac:dyDescent="0.35">
      <c r="A12">
        <v>11</v>
      </c>
      <c r="B12">
        <v>32</v>
      </c>
      <c r="C12" t="s">
        <v>16</v>
      </c>
      <c r="D12" t="s">
        <v>17</v>
      </c>
      <c r="E12" t="s">
        <v>35</v>
      </c>
      <c r="F12">
        <v>120.8</v>
      </c>
      <c r="G12" t="s">
        <v>19</v>
      </c>
      <c r="H12" t="s">
        <v>15</v>
      </c>
      <c r="I12">
        <v>3.2</v>
      </c>
      <c r="J12">
        <v>8</v>
      </c>
      <c r="K12">
        <v>4</v>
      </c>
    </row>
    <row r="13" spans="1:11" x14ac:dyDescent="0.35">
      <c r="A13">
        <v>12</v>
      </c>
      <c r="B13">
        <v>31</v>
      </c>
      <c r="C13" t="s">
        <v>11</v>
      </c>
      <c r="D13" t="s">
        <v>12</v>
      </c>
      <c r="E13" t="s">
        <v>13</v>
      </c>
      <c r="F13">
        <v>43.69</v>
      </c>
      <c r="G13" t="s">
        <v>31</v>
      </c>
      <c r="H13" t="s">
        <v>15</v>
      </c>
      <c r="I13">
        <v>3.6</v>
      </c>
      <c r="J13">
        <v>8</v>
      </c>
      <c r="K13">
        <v>4</v>
      </c>
    </row>
    <row r="14" spans="1:11" x14ac:dyDescent="0.35">
      <c r="A14">
        <v>13</v>
      </c>
      <c r="B14">
        <v>21</v>
      </c>
      <c r="C14" t="s">
        <v>16</v>
      </c>
      <c r="D14" t="s">
        <v>20</v>
      </c>
      <c r="E14" t="s">
        <v>36</v>
      </c>
      <c r="F14">
        <v>79.459999999999994</v>
      </c>
      <c r="G14" t="s">
        <v>24</v>
      </c>
      <c r="H14" t="s">
        <v>37</v>
      </c>
      <c r="I14">
        <v>3.8</v>
      </c>
      <c r="J14">
        <v>16</v>
      </c>
      <c r="K14">
        <v>8</v>
      </c>
    </row>
    <row r="15" spans="1:11" x14ac:dyDescent="0.35">
      <c r="A15">
        <v>14</v>
      </c>
      <c r="B15">
        <v>22</v>
      </c>
      <c r="C15" t="s">
        <v>11</v>
      </c>
      <c r="D15" t="s">
        <v>33</v>
      </c>
      <c r="E15" t="s">
        <v>38</v>
      </c>
      <c r="F15">
        <v>189.34</v>
      </c>
      <c r="G15" t="s">
        <v>31</v>
      </c>
      <c r="H15" t="s">
        <v>15</v>
      </c>
      <c r="I15">
        <v>2.9</v>
      </c>
      <c r="J15">
        <v>10</v>
      </c>
      <c r="K15">
        <v>5</v>
      </c>
    </row>
    <row r="16" spans="1:11" x14ac:dyDescent="0.35">
      <c r="A16">
        <v>15</v>
      </c>
      <c r="B16">
        <v>47</v>
      </c>
      <c r="C16" t="s">
        <v>16</v>
      </c>
      <c r="D16" t="s">
        <v>20</v>
      </c>
      <c r="E16" t="s">
        <v>39</v>
      </c>
      <c r="F16">
        <v>222.4</v>
      </c>
      <c r="G16" t="s">
        <v>24</v>
      </c>
      <c r="H16" t="s">
        <v>15</v>
      </c>
      <c r="I16">
        <v>3.9</v>
      </c>
      <c r="J16">
        <v>12</v>
      </c>
      <c r="K16">
        <v>6</v>
      </c>
    </row>
    <row r="17" spans="1:11" x14ac:dyDescent="0.35">
      <c r="A17">
        <v>16</v>
      </c>
      <c r="B17">
        <v>60</v>
      </c>
      <c r="C17" t="s">
        <v>16</v>
      </c>
      <c r="D17" t="s">
        <v>20</v>
      </c>
      <c r="E17" t="s">
        <v>39</v>
      </c>
      <c r="F17">
        <v>217.67</v>
      </c>
      <c r="G17" t="s">
        <v>19</v>
      </c>
      <c r="H17" t="s">
        <v>15</v>
      </c>
      <c r="I17">
        <v>4.5999999999999996</v>
      </c>
      <c r="J17">
        <v>27</v>
      </c>
      <c r="K17">
        <v>11</v>
      </c>
    </row>
    <row r="18" spans="1:11" x14ac:dyDescent="0.35">
      <c r="A18">
        <v>17</v>
      </c>
      <c r="B18">
        <v>54</v>
      </c>
      <c r="C18" t="s">
        <v>11</v>
      </c>
      <c r="D18" t="s">
        <v>33</v>
      </c>
      <c r="E18" t="s">
        <v>40</v>
      </c>
      <c r="F18">
        <v>43.8</v>
      </c>
      <c r="G18" t="s">
        <v>19</v>
      </c>
      <c r="H18" t="s">
        <v>37</v>
      </c>
      <c r="I18">
        <v>2.9</v>
      </c>
      <c r="J18">
        <v>20</v>
      </c>
      <c r="K18">
        <v>5</v>
      </c>
    </row>
    <row r="19" spans="1:11" x14ac:dyDescent="0.35">
      <c r="A19">
        <v>18</v>
      </c>
      <c r="B19">
        <v>57</v>
      </c>
      <c r="C19" t="s">
        <v>11</v>
      </c>
      <c r="D19" t="s">
        <v>41</v>
      </c>
      <c r="E19" t="s">
        <v>42</v>
      </c>
      <c r="F19">
        <v>137.29</v>
      </c>
      <c r="G19" t="s">
        <v>14</v>
      </c>
      <c r="H19" t="s">
        <v>15</v>
      </c>
      <c r="I19">
        <v>3.4</v>
      </c>
      <c r="J19">
        <v>22</v>
      </c>
      <c r="K19">
        <v>6</v>
      </c>
    </row>
    <row r="20" spans="1:11" x14ac:dyDescent="0.35">
      <c r="A20">
        <v>19</v>
      </c>
      <c r="B20">
        <v>68</v>
      </c>
      <c r="C20" t="s">
        <v>11</v>
      </c>
      <c r="D20" t="s">
        <v>22</v>
      </c>
      <c r="E20" t="s">
        <v>43</v>
      </c>
      <c r="F20">
        <v>105.48</v>
      </c>
      <c r="G20" t="s">
        <v>14</v>
      </c>
      <c r="H20" t="s">
        <v>15</v>
      </c>
      <c r="I20">
        <v>4.5</v>
      </c>
      <c r="J20">
        <v>14</v>
      </c>
      <c r="K20">
        <v>7</v>
      </c>
    </row>
    <row r="21" spans="1:11" x14ac:dyDescent="0.35">
      <c r="A21">
        <v>20</v>
      </c>
      <c r="B21">
        <v>22</v>
      </c>
      <c r="C21" t="s">
        <v>11</v>
      </c>
      <c r="D21" t="s">
        <v>41</v>
      </c>
      <c r="E21" t="s">
        <v>44</v>
      </c>
      <c r="F21">
        <v>173.52</v>
      </c>
      <c r="G21" t="s">
        <v>31</v>
      </c>
      <c r="H21" t="s">
        <v>15</v>
      </c>
      <c r="I21">
        <v>3.6</v>
      </c>
      <c r="J21">
        <v>18</v>
      </c>
      <c r="K21">
        <v>4</v>
      </c>
    </row>
    <row r="22" spans="1:11" x14ac:dyDescent="0.35">
      <c r="A22">
        <v>21</v>
      </c>
      <c r="B22">
        <v>61</v>
      </c>
      <c r="C22" t="s">
        <v>11</v>
      </c>
      <c r="D22" t="s">
        <v>33</v>
      </c>
      <c r="E22" t="s">
        <v>40</v>
      </c>
      <c r="F22">
        <v>68.69</v>
      </c>
      <c r="G22" t="s">
        <v>14</v>
      </c>
      <c r="H22" t="s">
        <v>15</v>
      </c>
      <c r="I22">
        <v>4.9000000000000004</v>
      </c>
      <c r="J22">
        <v>22</v>
      </c>
      <c r="K22">
        <v>6</v>
      </c>
    </row>
    <row r="23" spans="1:11" x14ac:dyDescent="0.35">
      <c r="A23">
        <v>22</v>
      </c>
      <c r="B23">
        <v>65</v>
      </c>
      <c r="C23" t="s">
        <v>11</v>
      </c>
      <c r="D23" t="s">
        <v>20</v>
      </c>
      <c r="E23" t="s">
        <v>39</v>
      </c>
      <c r="F23">
        <v>31.21</v>
      </c>
      <c r="G23" t="s">
        <v>19</v>
      </c>
      <c r="H23" t="s">
        <v>37</v>
      </c>
      <c r="I23">
        <v>3.8</v>
      </c>
      <c r="J23">
        <v>14</v>
      </c>
      <c r="K23">
        <v>7</v>
      </c>
    </row>
    <row r="24" spans="1:11" x14ac:dyDescent="0.35">
      <c r="A24">
        <v>23</v>
      </c>
      <c r="B24">
        <v>25</v>
      </c>
      <c r="C24" t="s">
        <v>16</v>
      </c>
      <c r="D24" t="s">
        <v>20</v>
      </c>
      <c r="E24" t="s">
        <v>21</v>
      </c>
      <c r="F24">
        <v>142.5</v>
      </c>
      <c r="G24" t="s">
        <v>14</v>
      </c>
      <c r="H24" t="s">
        <v>15</v>
      </c>
      <c r="I24">
        <v>5</v>
      </c>
      <c r="J24">
        <v>13</v>
      </c>
      <c r="K24">
        <v>4</v>
      </c>
    </row>
    <row r="25" spans="1:11" x14ac:dyDescent="0.35">
      <c r="A25">
        <v>24</v>
      </c>
      <c r="B25">
        <v>35</v>
      </c>
      <c r="C25" t="s">
        <v>16</v>
      </c>
      <c r="D25" t="s">
        <v>17</v>
      </c>
      <c r="E25" t="s">
        <v>42</v>
      </c>
      <c r="F25">
        <v>36.979999999999997</v>
      </c>
      <c r="G25" t="s">
        <v>31</v>
      </c>
      <c r="H25" t="s">
        <v>15</v>
      </c>
      <c r="I25">
        <v>4.2</v>
      </c>
      <c r="J25">
        <v>13</v>
      </c>
      <c r="K25">
        <v>4</v>
      </c>
    </row>
    <row r="26" spans="1:11" x14ac:dyDescent="0.35">
      <c r="A26">
        <v>25</v>
      </c>
      <c r="B26">
        <v>28</v>
      </c>
      <c r="C26" t="s">
        <v>11</v>
      </c>
      <c r="D26" t="s">
        <v>41</v>
      </c>
      <c r="E26" t="s">
        <v>45</v>
      </c>
      <c r="F26">
        <v>56.59</v>
      </c>
      <c r="G26" t="s">
        <v>24</v>
      </c>
      <c r="H26" t="s">
        <v>15</v>
      </c>
      <c r="I26">
        <v>4.0999999999999996</v>
      </c>
      <c r="J26">
        <v>26</v>
      </c>
      <c r="K26">
        <v>8</v>
      </c>
    </row>
    <row r="27" spans="1:11" x14ac:dyDescent="0.35">
      <c r="A27">
        <v>26</v>
      </c>
      <c r="B27">
        <v>41</v>
      </c>
      <c r="C27" t="s">
        <v>16</v>
      </c>
      <c r="D27" t="s">
        <v>20</v>
      </c>
      <c r="E27" t="s">
        <v>21</v>
      </c>
      <c r="F27">
        <v>46.19</v>
      </c>
      <c r="G27" t="s">
        <v>24</v>
      </c>
      <c r="H27" t="s">
        <v>37</v>
      </c>
      <c r="I27">
        <v>3.3</v>
      </c>
      <c r="J27">
        <v>11</v>
      </c>
      <c r="K27">
        <v>3</v>
      </c>
    </row>
    <row r="28" spans="1:11" x14ac:dyDescent="0.35">
      <c r="A28">
        <v>27</v>
      </c>
      <c r="B28">
        <v>58</v>
      </c>
      <c r="C28" t="s">
        <v>11</v>
      </c>
      <c r="D28" t="s">
        <v>22</v>
      </c>
      <c r="E28" t="s">
        <v>43</v>
      </c>
      <c r="F28">
        <v>137.6</v>
      </c>
      <c r="G28" t="s">
        <v>14</v>
      </c>
      <c r="H28" t="s">
        <v>15</v>
      </c>
      <c r="I28">
        <v>3.7</v>
      </c>
      <c r="J28">
        <v>11</v>
      </c>
      <c r="K28">
        <v>3</v>
      </c>
    </row>
    <row r="29" spans="1:11" x14ac:dyDescent="0.35">
      <c r="A29">
        <v>28</v>
      </c>
      <c r="B29">
        <v>24</v>
      </c>
      <c r="C29" t="s">
        <v>16</v>
      </c>
      <c r="D29" t="s">
        <v>20</v>
      </c>
      <c r="E29" t="s">
        <v>36</v>
      </c>
      <c r="F29">
        <v>30.97</v>
      </c>
      <c r="G29" t="s">
        <v>14</v>
      </c>
      <c r="H29" t="s">
        <v>15</v>
      </c>
      <c r="I29">
        <v>4.4000000000000004</v>
      </c>
      <c r="J29">
        <v>20</v>
      </c>
      <c r="K29">
        <v>10</v>
      </c>
    </row>
    <row r="30" spans="1:11" x14ac:dyDescent="0.35">
      <c r="A30">
        <v>29</v>
      </c>
      <c r="B30">
        <v>50</v>
      </c>
      <c r="C30" t="s">
        <v>11</v>
      </c>
      <c r="D30" t="s">
        <v>20</v>
      </c>
      <c r="E30" t="s">
        <v>36</v>
      </c>
      <c r="F30">
        <v>178.68</v>
      </c>
      <c r="G30" t="s">
        <v>19</v>
      </c>
      <c r="H30" t="s">
        <v>15</v>
      </c>
      <c r="I30">
        <v>3.7</v>
      </c>
      <c r="J30">
        <v>11</v>
      </c>
      <c r="K30">
        <v>3</v>
      </c>
    </row>
    <row r="31" spans="1:11" x14ac:dyDescent="0.35">
      <c r="A31">
        <v>30</v>
      </c>
      <c r="B31">
        <v>69</v>
      </c>
      <c r="C31" t="s">
        <v>16</v>
      </c>
      <c r="D31" t="s">
        <v>20</v>
      </c>
      <c r="E31" t="s">
        <v>21</v>
      </c>
      <c r="F31">
        <v>205.78</v>
      </c>
      <c r="G31" t="s">
        <v>14</v>
      </c>
      <c r="H31" t="s">
        <v>15</v>
      </c>
      <c r="I31">
        <v>2.7</v>
      </c>
      <c r="J31">
        <v>22</v>
      </c>
      <c r="K31">
        <v>6</v>
      </c>
    </row>
    <row r="32" spans="1:11" x14ac:dyDescent="0.35">
      <c r="A32">
        <v>31</v>
      </c>
      <c r="B32">
        <v>43</v>
      </c>
      <c r="C32" t="s">
        <v>16</v>
      </c>
      <c r="D32" t="s">
        <v>27</v>
      </c>
      <c r="E32" t="s">
        <v>32</v>
      </c>
      <c r="F32">
        <v>1572.49</v>
      </c>
      <c r="G32" t="s">
        <v>14</v>
      </c>
      <c r="H32" t="s">
        <v>15</v>
      </c>
      <c r="I32">
        <v>3.5</v>
      </c>
      <c r="J32">
        <v>14</v>
      </c>
      <c r="K32">
        <v>7</v>
      </c>
    </row>
    <row r="33" spans="1:11" x14ac:dyDescent="0.35">
      <c r="A33">
        <v>32</v>
      </c>
      <c r="B33">
        <v>33</v>
      </c>
      <c r="C33" t="s">
        <v>16</v>
      </c>
      <c r="D33" t="s">
        <v>33</v>
      </c>
      <c r="E33" t="s">
        <v>34</v>
      </c>
      <c r="F33">
        <v>172.69</v>
      </c>
      <c r="G33" t="s">
        <v>19</v>
      </c>
      <c r="H33" t="s">
        <v>15</v>
      </c>
      <c r="I33">
        <v>4.5999999999999996</v>
      </c>
      <c r="J33">
        <v>19</v>
      </c>
      <c r="K33">
        <v>7</v>
      </c>
    </row>
    <row r="34" spans="1:11" x14ac:dyDescent="0.35">
      <c r="A34">
        <v>33</v>
      </c>
      <c r="B34">
        <v>58</v>
      </c>
      <c r="C34" t="s">
        <v>11</v>
      </c>
      <c r="D34" t="s">
        <v>29</v>
      </c>
      <c r="E34" t="s">
        <v>30</v>
      </c>
      <c r="F34">
        <v>135.4</v>
      </c>
      <c r="G34" t="s">
        <v>19</v>
      </c>
      <c r="H34" t="s">
        <v>15</v>
      </c>
      <c r="I34">
        <v>3.7</v>
      </c>
      <c r="J34">
        <v>9</v>
      </c>
      <c r="K34">
        <v>2</v>
      </c>
    </row>
    <row r="35" spans="1:11" x14ac:dyDescent="0.35">
      <c r="A35">
        <v>34</v>
      </c>
      <c r="B35">
        <v>26</v>
      </c>
      <c r="C35" t="s">
        <v>11</v>
      </c>
      <c r="D35" t="s">
        <v>41</v>
      </c>
      <c r="E35" t="s">
        <v>46</v>
      </c>
      <c r="F35">
        <v>169.72</v>
      </c>
      <c r="G35" t="s">
        <v>14</v>
      </c>
      <c r="H35" t="s">
        <v>15</v>
      </c>
      <c r="I35">
        <v>3.8</v>
      </c>
      <c r="J35">
        <v>14</v>
      </c>
      <c r="K35">
        <v>2</v>
      </c>
    </row>
    <row r="36" spans="1:11" x14ac:dyDescent="0.35">
      <c r="A36">
        <v>35</v>
      </c>
      <c r="B36">
        <v>67</v>
      </c>
      <c r="C36" t="s">
        <v>16</v>
      </c>
      <c r="D36" t="s">
        <v>20</v>
      </c>
      <c r="E36" t="s">
        <v>21</v>
      </c>
      <c r="F36">
        <v>238.13</v>
      </c>
      <c r="G36" t="s">
        <v>24</v>
      </c>
      <c r="H36" t="s">
        <v>15</v>
      </c>
      <c r="I36">
        <v>3.3</v>
      </c>
      <c r="J36">
        <v>17</v>
      </c>
      <c r="K36">
        <v>6</v>
      </c>
    </row>
    <row r="37" spans="1:11" x14ac:dyDescent="0.35">
      <c r="A37">
        <v>36</v>
      </c>
      <c r="B37">
        <v>32</v>
      </c>
      <c r="C37" t="s">
        <v>11</v>
      </c>
      <c r="D37" t="s">
        <v>41</v>
      </c>
      <c r="E37" t="s">
        <v>42</v>
      </c>
      <c r="F37">
        <v>50.2</v>
      </c>
      <c r="G37" t="s">
        <v>24</v>
      </c>
      <c r="H37" t="s">
        <v>37</v>
      </c>
      <c r="I37">
        <v>2.4</v>
      </c>
      <c r="J37">
        <v>12</v>
      </c>
      <c r="K37">
        <v>6</v>
      </c>
    </row>
    <row r="38" spans="1:11" x14ac:dyDescent="0.35">
      <c r="A38">
        <v>37</v>
      </c>
      <c r="B38">
        <v>25</v>
      </c>
      <c r="C38" t="s">
        <v>11</v>
      </c>
      <c r="D38" t="s">
        <v>25</v>
      </c>
      <c r="E38" t="s">
        <v>47</v>
      </c>
      <c r="F38">
        <v>29.2</v>
      </c>
      <c r="G38" t="s">
        <v>31</v>
      </c>
      <c r="H38" t="s">
        <v>37</v>
      </c>
      <c r="I38">
        <v>5</v>
      </c>
      <c r="J38">
        <v>8</v>
      </c>
      <c r="K38">
        <v>4</v>
      </c>
    </row>
    <row r="39" spans="1:11" x14ac:dyDescent="0.35">
      <c r="A39">
        <v>38</v>
      </c>
      <c r="B39">
        <v>50</v>
      </c>
      <c r="C39" t="s">
        <v>16</v>
      </c>
      <c r="D39" t="s">
        <v>17</v>
      </c>
      <c r="E39" t="s">
        <v>48</v>
      </c>
      <c r="F39">
        <v>183.2</v>
      </c>
      <c r="G39" t="s">
        <v>14</v>
      </c>
      <c r="H39" t="s">
        <v>15</v>
      </c>
      <c r="I39">
        <v>3.9</v>
      </c>
      <c r="J39">
        <v>8</v>
      </c>
      <c r="K39">
        <v>4</v>
      </c>
    </row>
    <row r="40" spans="1:11" x14ac:dyDescent="0.35">
      <c r="A40">
        <v>39</v>
      </c>
      <c r="B40">
        <v>47</v>
      </c>
      <c r="C40" t="s">
        <v>11</v>
      </c>
      <c r="D40" t="s">
        <v>41</v>
      </c>
      <c r="E40" t="s">
        <v>42</v>
      </c>
      <c r="F40">
        <v>129.22</v>
      </c>
      <c r="G40" t="s">
        <v>24</v>
      </c>
      <c r="H40" t="s">
        <v>15</v>
      </c>
      <c r="I40">
        <v>3.7</v>
      </c>
      <c r="J40">
        <v>14</v>
      </c>
      <c r="K40">
        <v>7</v>
      </c>
    </row>
    <row r="41" spans="1:11" x14ac:dyDescent="0.35">
      <c r="A41">
        <v>40</v>
      </c>
      <c r="B41">
        <v>66</v>
      </c>
      <c r="C41" t="s">
        <v>16</v>
      </c>
      <c r="D41" t="s">
        <v>20</v>
      </c>
      <c r="E41" t="s">
        <v>36</v>
      </c>
      <c r="F41">
        <v>219.86</v>
      </c>
      <c r="G41" t="s">
        <v>19</v>
      </c>
      <c r="H41" t="s">
        <v>15</v>
      </c>
      <c r="I41">
        <v>4</v>
      </c>
      <c r="J41">
        <v>2</v>
      </c>
      <c r="K41">
        <v>1</v>
      </c>
    </row>
    <row r="42" spans="1:11" x14ac:dyDescent="0.35">
      <c r="A42">
        <v>41</v>
      </c>
      <c r="B42">
        <v>20</v>
      </c>
      <c r="C42" t="s">
        <v>11</v>
      </c>
      <c r="D42" t="s">
        <v>29</v>
      </c>
      <c r="E42" t="s">
        <v>30</v>
      </c>
      <c r="F42">
        <v>97.24</v>
      </c>
      <c r="G42" t="s">
        <v>19</v>
      </c>
      <c r="H42" t="s">
        <v>15</v>
      </c>
      <c r="I42">
        <v>4.0999999999999996</v>
      </c>
      <c r="J42">
        <v>19</v>
      </c>
      <c r="K42">
        <v>7</v>
      </c>
    </row>
    <row r="43" spans="1:11" x14ac:dyDescent="0.35">
      <c r="A43">
        <v>42</v>
      </c>
      <c r="B43">
        <v>22</v>
      </c>
      <c r="C43" t="s">
        <v>16</v>
      </c>
      <c r="D43" t="s">
        <v>27</v>
      </c>
      <c r="E43" t="s">
        <v>49</v>
      </c>
      <c r="F43">
        <v>2392.6999999999998</v>
      </c>
      <c r="G43" t="s">
        <v>24</v>
      </c>
      <c r="H43" t="s">
        <v>15</v>
      </c>
      <c r="I43">
        <v>5</v>
      </c>
      <c r="J43">
        <v>6</v>
      </c>
      <c r="K43">
        <v>3</v>
      </c>
    </row>
    <row r="44" spans="1:11" x14ac:dyDescent="0.35">
      <c r="A44">
        <v>43</v>
      </c>
      <c r="B44">
        <v>23</v>
      </c>
      <c r="C44" t="s">
        <v>11</v>
      </c>
      <c r="D44" t="s">
        <v>33</v>
      </c>
      <c r="E44" t="s">
        <v>34</v>
      </c>
      <c r="F44">
        <v>115.21</v>
      </c>
      <c r="G44" t="s">
        <v>31</v>
      </c>
      <c r="H44" t="s">
        <v>15</v>
      </c>
      <c r="I44">
        <v>4.2</v>
      </c>
      <c r="J44">
        <v>19</v>
      </c>
      <c r="K44">
        <v>7</v>
      </c>
    </row>
    <row r="45" spans="1:11" x14ac:dyDescent="0.35">
      <c r="A45">
        <v>44</v>
      </c>
      <c r="B45">
        <v>66</v>
      </c>
      <c r="C45" t="s">
        <v>16</v>
      </c>
      <c r="D45" t="s">
        <v>27</v>
      </c>
      <c r="E45" t="s">
        <v>28</v>
      </c>
      <c r="F45">
        <v>2260.1999999999998</v>
      </c>
      <c r="G45" t="s">
        <v>19</v>
      </c>
      <c r="H45" t="s">
        <v>15</v>
      </c>
      <c r="I45">
        <v>4.5999999999999996</v>
      </c>
      <c r="J45">
        <v>9</v>
      </c>
      <c r="K45">
        <v>2</v>
      </c>
    </row>
    <row r="46" spans="1:11" x14ac:dyDescent="0.35">
      <c r="A46">
        <v>45</v>
      </c>
      <c r="B46">
        <v>53</v>
      </c>
      <c r="C46" t="s">
        <v>11</v>
      </c>
      <c r="D46" t="s">
        <v>12</v>
      </c>
      <c r="E46" t="s">
        <v>50</v>
      </c>
      <c r="F46">
        <v>164.67</v>
      </c>
      <c r="G46" t="s">
        <v>14</v>
      </c>
      <c r="H46" t="s">
        <v>15</v>
      </c>
      <c r="I46">
        <v>2.6</v>
      </c>
      <c r="J46">
        <v>14</v>
      </c>
      <c r="K46">
        <v>7</v>
      </c>
    </row>
    <row r="47" spans="1:11" x14ac:dyDescent="0.35">
      <c r="A47">
        <v>46</v>
      </c>
      <c r="B47">
        <v>24</v>
      </c>
      <c r="C47" t="s">
        <v>11</v>
      </c>
      <c r="D47" t="s">
        <v>41</v>
      </c>
      <c r="E47" t="s">
        <v>46</v>
      </c>
      <c r="F47">
        <v>65.55</v>
      </c>
      <c r="G47" t="s">
        <v>14</v>
      </c>
      <c r="H47" t="s">
        <v>15</v>
      </c>
      <c r="I47">
        <v>3.7</v>
      </c>
      <c r="J47">
        <v>14</v>
      </c>
      <c r="K47">
        <v>7</v>
      </c>
    </row>
    <row r="48" spans="1:11" x14ac:dyDescent="0.35">
      <c r="A48">
        <v>47</v>
      </c>
      <c r="B48">
        <v>22</v>
      </c>
      <c r="C48" t="s">
        <v>16</v>
      </c>
      <c r="D48" t="s">
        <v>17</v>
      </c>
      <c r="E48" t="s">
        <v>18</v>
      </c>
      <c r="F48">
        <v>62.69</v>
      </c>
      <c r="G48" t="s">
        <v>24</v>
      </c>
      <c r="H48" t="s">
        <v>15</v>
      </c>
      <c r="I48">
        <v>3.6</v>
      </c>
      <c r="J48">
        <v>4</v>
      </c>
      <c r="K48">
        <v>2</v>
      </c>
    </row>
    <row r="49" spans="1:11" x14ac:dyDescent="0.35">
      <c r="A49">
        <v>48</v>
      </c>
      <c r="B49">
        <v>31</v>
      </c>
      <c r="C49" t="s">
        <v>11</v>
      </c>
      <c r="D49" t="s">
        <v>29</v>
      </c>
      <c r="E49" t="s">
        <v>51</v>
      </c>
      <c r="F49">
        <v>62.91</v>
      </c>
      <c r="G49" t="s">
        <v>14</v>
      </c>
      <c r="H49" t="s">
        <v>15</v>
      </c>
      <c r="I49">
        <v>3.5</v>
      </c>
      <c r="J49">
        <v>18</v>
      </c>
      <c r="K49">
        <v>4</v>
      </c>
    </row>
    <row r="50" spans="1:11" x14ac:dyDescent="0.35">
      <c r="A50">
        <v>49</v>
      </c>
      <c r="B50">
        <v>36</v>
      </c>
      <c r="C50" t="s">
        <v>11</v>
      </c>
      <c r="D50" t="s">
        <v>33</v>
      </c>
      <c r="E50" t="s">
        <v>40</v>
      </c>
      <c r="F50">
        <v>165.43</v>
      </c>
      <c r="G50" t="s">
        <v>31</v>
      </c>
      <c r="H50" t="s">
        <v>15</v>
      </c>
      <c r="I50">
        <v>4.5999999999999996</v>
      </c>
      <c r="J50">
        <v>24</v>
      </c>
      <c r="K50">
        <v>7</v>
      </c>
    </row>
    <row r="51" spans="1:11" x14ac:dyDescent="0.35">
      <c r="A51">
        <v>50</v>
      </c>
      <c r="B51">
        <v>42</v>
      </c>
      <c r="C51" t="s">
        <v>11</v>
      </c>
      <c r="D51" t="s">
        <v>33</v>
      </c>
      <c r="E51" t="s">
        <v>40</v>
      </c>
      <c r="F51">
        <v>222.12</v>
      </c>
      <c r="G51" t="s">
        <v>24</v>
      </c>
      <c r="H51" t="s">
        <v>15</v>
      </c>
      <c r="I51">
        <v>3.2</v>
      </c>
      <c r="J51">
        <v>18</v>
      </c>
      <c r="K51">
        <v>4</v>
      </c>
    </row>
    <row r="52" spans="1:11" x14ac:dyDescent="0.35">
      <c r="A52">
        <v>51</v>
      </c>
      <c r="B52">
        <v>36</v>
      </c>
      <c r="C52" t="s">
        <v>16</v>
      </c>
      <c r="D52" t="s">
        <v>22</v>
      </c>
      <c r="E52" t="s">
        <v>43</v>
      </c>
      <c r="F52">
        <v>270.44</v>
      </c>
      <c r="G52" t="s">
        <v>24</v>
      </c>
      <c r="H52" t="s">
        <v>15</v>
      </c>
      <c r="I52">
        <v>2.2999999999999998</v>
      </c>
      <c r="J52">
        <v>12</v>
      </c>
      <c r="K52">
        <v>6</v>
      </c>
    </row>
    <row r="53" spans="1:11" x14ac:dyDescent="0.35">
      <c r="A53">
        <v>52</v>
      </c>
      <c r="B53">
        <v>25</v>
      </c>
      <c r="C53" t="s">
        <v>11</v>
      </c>
      <c r="D53" t="s">
        <v>41</v>
      </c>
      <c r="E53" t="s">
        <v>44</v>
      </c>
      <c r="F53">
        <v>90.54</v>
      </c>
      <c r="G53" t="s">
        <v>14</v>
      </c>
      <c r="H53" t="s">
        <v>37</v>
      </c>
      <c r="I53">
        <v>4.5999999999999996</v>
      </c>
      <c r="J53">
        <v>18</v>
      </c>
      <c r="K53">
        <v>4</v>
      </c>
    </row>
    <row r="54" spans="1:11" x14ac:dyDescent="0.35">
      <c r="A54">
        <v>53</v>
      </c>
      <c r="B54">
        <v>49</v>
      </c>
      <c r="C54" t="s">
        <v>16</v>
      </c>
      <c r="D54" t="s">
        <v>22</v>
      </c>
      <c r="E54" t="s">
        <v>52</v>
      </c>
      <c r="F54">
        <v>45.03</v>
      </c>
      <c r="G54" t="s">
        <v>31</v>
      </c>
      <c r="H54" t="s">
        <v>37</v>
      </c>
      <c r="I54">
        <v>3.9</v>
      </c>
      <c r="J54">
        <v>4</v>
      </c>
      <c r="K54">
        <v>2</v>
      </c>
    </row>
    <row r="55" spans="1:11" x14ac:dyDescent="0.35">
      <c r="A55">
        <v>54</v>
      </c>
      <c r="B55">
        <v>25</v>
      </c>
      <c r="C55" t="s">
        <v>11</v>
      </c>
      <c r="D55" t="s">
        <v>33</v>
      </c>
      <c r="E55" t="s">
        <v>34</v>
      </c>
      <c r="F55">
        <v>180.42</v>
      </c>
      <c r="G55" t="s">
        <v>14</v>
      </c>
      <c r="H55" t="s">
        <v>15</v>
      </c>
      <c r="I55">
        <v>3.9</v>
      </c>
      <c r="J55">
        <v>22</v>
      </c>
      <c r="K55">
        <v>6</v>
      </c>
    </row>
    <row r="56" spans="1:11" x14ac:dyDescent="0.35">
      <c r="A56">
        <v>55</v>
      </c>
      <c r="B56">
        <v>52</v>
      </c>
      <c r="C56" t="s">
        <v>11</v>
      </c>
      <c r="D56" t="s">
        <v>12</v>
      </c>
      <c r="E56" t="s">
        <v>13</v>
      </c>
      <c r="F56">
        <v>117.7</v>
      </c>
      <c r="G56" t="s">
        <v>24</v>
      </c>
      <c r="H56" t="s">
        <v>15</v>
      </c>
      <c r="I56">
        <v>3.1</v>
      </c>
      <c r="J56">
        <v>8</v>
      </c>
      <c r="K56">
        <v>4</v>
      </c>
    </row>
    <row r="57" spans="1:11" x14ac:dyDescent="0.35">
      <c r="A57">
        <v>56</v>
      </c>
      <c r="B57">
        <v>42</v>
      </c>
      <c r="C57" t="s">
        <v>11</v>
      </c>
      <c r="D57" t="s">
        <v>29</v>
      </c>
      <c r="E57" t="s">
        <v>51</v>
      </c>
      <c r="F57">
        <v>31.42</v>
      </c>
      <c r="G57" t="s">
        <v>31</v>
      </c>
      <c r="H57" t="s">
        <v>15</v>
      </c>
      <c r="I57">
        <v>2</v>
      </c>
      <c r="J57">
        <v>2</v>
      </c>
      <c r="K57">
        <v>1</v>
      </c>
    </row>
    <row r="58" spans="1:11" x14ac:dyDescent="0.35">
      <c r="A58">
        <v>57</v>
      </c>
      <c r="B58">
        <v>43</v>
      </c>
      <c r="C58" t="s">
        <v>11</v>
      </c>
      <c r="D58" t="s">
        <v>41</v>
      </c>
      <c r="E58" t="s">
        <v>44</v>
      </c>
      <c r="F58">
        <v>188.02</v>
      </c>
      <c r="G58" t="s">
        <v>14</v>
      </c>
      <c r="H58" t="s">
        <v>15</v>
      </c>
      <c r="I58">
        <v>4.2</v>
      </c>
      <c r="J58">
        <v>17</v>
      </c>
      <c r="K58">
        <v>6</v>
      </c>
    </row>
    <row r="59" spans="1:11" x14ac:dyDescent="0.35">
      <c r="A59">
        <v>58</v>
      </c>
      <c r="B59">
        <v>49</v>
      </c>
      <c r="C59" t="s">
        <v>16</v>
      </c>
      <c r="D59" t="s">
        <v>25</v>
      </c>
      <c r="E59" t="s">
        <v>26</v>
      </c>
      <c r="F59">
        <v>54.89</v>
      </c>
      <c r="G59" t="s">
        <v>31</v>
      </c>
      <c r="H59" t="s">
        <v>15</v>
      </c>
      <c r="I59">
        <v>4.4000000000000004</v>
      </c>
      <c r="J59">
        <v>19</v>
      </c>
      <c r="K59">
        <v>7</v>
      </c>
    </row>
    <row r="60" spans="1:11" x14ac:dyDescent="0.35">
      <c r="A60">
        <v>59</v>
      </c>
      <c r="B60">
        <v>34</v>
      </c>
      <c r="C60" t="s">
        <v>16</v>
      </c>
      <c r="D60" t="s">
        <v>27</v>
      </c>
      <c r="E60" t="s">
        <v>53</v>
      </c>
      <c r="F60">
        <v>1459.73</v>
      </c>
      <c r="G60" t="s">
        <v>19</v>
      </c>
      <c r="H60" t="s">
        <v>15</v>
      </c>
      <c r="I60">
        <v>4</v>
      </c>
      <c r="J60">
        <v>24</v>
      </c>
      <c r="K60">
        <v>7</v>
      </c>
    </row>
    <row r="61" spans="1:11" x14ac:dyDescent="0.35">
      <c r="A61">
        <v>60</v>
      </c>
      <c r="B61">
        <v>58</v>
      </c>
      <c r="C61" t="s">
        <v>16</v>
      </c>
      <c r="D61" t="s">
        <v>17</v>
      </c>
      <c r="E61" t="s">
        <v>18</v>
      </c>
      <c r="F61">
        <v>82.99</v>
      </c>
      <c r="G61" t="s">
        <v>19</v>
      </c>
      <c r="H61" t="s">
        <v>37</v>
      </c>
      <c r="I61">
        <v>4.4000000000000004</v>
      </c>
      <c r="J61">
        <v>9</v>
      </c>
      <c r="K61">
        <v>2</v>
      </c>
    </row>
    <row r="62" spans="1:11" x14ac:dyDescent="0.35">
      <c r="A62">
        <v>61</v>
      </c>
      <c r="B62">
        <v>24</v>
      </c>
      <c r="C62" t="s">
        <v>16</v>
      </c>
      <c r="D62" t="s">
        <v>17</v>
      </c>
      <c r="E62" t="s">
        <v>42</v>
      </c>
      <c r="F62">
        <v>121.2</v>
      </c>
      <c r="G62" t="s">
        <v>31</v>
      </c>
      <c r="H62" t="s">
        <v>15</v>
      </c>
      <c r="I62">
        <v>4.3</v>
      </c>
      <c r="J62">
        <v>12</v>
      </c>
      <c r="K62">
        <v>6</v>
      </c>
    </row>
    <row r="63" spans="1:11" x14ac:dyDescent="0.35">
      <c r="A63">
        <v>62</v>
      </c>
      <c r="B63">
        <v>55</v>
      </c>
      <c r="C63" t="s">
        <v>11</v>
      </c>
      <c r="D63" t="s">
        <v>12</v>
      </c>
      <c r="E63" t="s">
        <v>13</v>
      </c>
      <c r="F63">
        <v>152.29</v>
      </c>
      <c r="G63" t="s">
        <v>24</v>
      </c>
      <c r="H63" t="s">
        <v>15</v>
      </c>
      <c r="I63">
        <v>4.7</v>
      </c>
      <c r="J63">
        <v>15</v>
      </c>
      <c r="K63">
        <v>5</v>
      </c>
    </row>
    <row r="64" spans="1:11" x14ac:dyDescent="0.35">
      <c r="A64">
        <v>63</v>
      </c>
      <c r="B64">
        <v>59</v>
      </c>
      <c r="C64" t="s">
        <v>11</v>
      </c>
      <c r="D64" t="s">
        <v>25</v>
      </c>
      <c r="E64" t="s">
        <v>26</v>
      </c>
      <c r="F64">
        <v>59.46</v>
      </c>
      <c r="G64" t="s">
        <v>24</v>
      </c>
      <c r="H64" t="s">
        <v>37</v>
      </c>
      <c r="I64">
        <v>4</v>
      </c>
      <c r="J64">
        <v>18</v>
      </c>
      <c r="K64">
        <v>4</v>
      </c>
    </row>
    <row r="65" spans="1:11" x14ac:dyDescent="0.35">
      <c r="A65">
        <v>64</v>
      </c>
      <c r="B65">
        <v>70</v>
      </c>
      <c r="C65" t="s">
        <v>16</v>
      </c>
      <c r="D65" t="s">
        <v>25</v>
      </c>
      <c r="E65" t="s">
        <v>54</v>
      </c>
      <c r="F65">
        <v>73.3</v>
      </c>
      <c r="G65" t="s">
        <v>24</v>
      </c>
      <c r="H65" t="s">
        <v>15</v>
      </c>
      <c r="I65">
        <v>2.9</v>
      </c>
      <c r="J65">
        <v>9</v>
      </c>
      <c r="K65">
        <v>2</v>
      </c>
    </row>
    <row r="66" spans="1:11" x14ac:dyDescent="0.35">
      <c r="A66">
        <v>65</v>
      </c>
      <c r="B66">
        <v>20</v>
      </c>
      <c r="C66" t="s">
        <v>16</v>
      </c>
      <c r="D66" t="s">
        <v>33</v>
      </c>
      <c r="E66" t="s">
        <v>38</v>
      </c>
      <c r="F66">
        <v>123.79</v>
      </c>
      <c r="G66" t="s">
        <v>19</v>
      </c>
      <c r="H66" t="s">
        <v>15</v>
      </c>
      <c r="I66">
        <v>3.5</v>
      </c>
      <c r="J66">
        <v>6</v>
      </c>
      <c r="K66">
        <v>3</v>
      </c>
    </row>
    <row r="67" spans="1:11" x14ac:dyDescent="0.35">
      <c r="A67">
        <v>66</v>
      </c>
      <c r="B67">
        <v>30</v>
      </c>
      <c r="C67" t="s">
        <v>11</v>
      </c>
      <c r="D67" t="s">
        <v>41</v>
      </c>
      <c r="E67" t="s">
        <v>44</v>
      </c>
      <c r="F67">
        <v>155.38</v>
      </c>
      <c r="G67" t="s">
        <v>31</v>
      </c>
      <c r="H67" t="s">
        <v>15</v>
      </c>
      <c r="I67">
        <v>3</v>
      </c>
      <c r="J67">
        <v>6</v>
      </c>
      <c r="K67">
        <v>3</v>
      </c>
    </row>
    <row r="68" spans="1:11" x14ac:dyDescent="0.35">
      <c r="A68">
        <v>67</v>
      </c>
      <c r="B68">
        <v>25</v>
      </c>
      <c r="C68" t="s">
        <v>16</v>
      </c>
      <c r="D68" t="s">
        <v>27</v>
      </c>
      <c r="E68" t="s">
        <v>49</v>
      </c>
      <c r="F68">
        <v>1951.47</v>
      </c>
      <c r="G68" t="s">
        <v>14</v>
      </c>
      <c r="H68" t="s">
        <v>15</v>
      </c>
      <c r="I68">
        <v>3.8</v>
      </c>
      <c r="J68">
        <v>14</v>
      </c>
      <c r="K68">
        <v>2</v>
      </c>
    </row>
    <row r="69" spans="1:11" x14ac:dyDescent="0.35">
      <c r="A69">
        <v>68</v>
      </c>
      <c r="B69">
        <v>41</v>
      </c>
      <c r="C69" t="s">
        <v>11</v>
      </c>
      <c r="D69" t="s">
        <v>33</v>
      </c>
      <c r="E69" t="s">
        <v>40</v>
      </c>
      <c r="F69">
        <v>102.92</v>
      </c>
      <c r="G69" t="s">
        <v>19</v>
      </c>
      <c r="H69" t="s">
        <v>15</v>
      </c>
      <c r="I69">
        <v>4</v>
      </c>
      <c r="J69">
        <v>12</v>
      </c>
      <c r="K69">
        <v>6</v>
      </c>
    </row>
    <row r="70" spans="1:11" x14ac:dyDescent="0.35">
      <c r="A70">
        <v>69</v>
      </c>
      <c r="B70">
        <v>35</v>
      </c>
      <c r="C70" t="s">
        <v>11</v>
      </c>
      <c r="D70" t="s">
        <v>29</v>
      </c>
      <c r="E70" t="s">
        <v>51</v>
      </c>
      <c r="F70">
        <v>112.83</v>
      </c>
      <c r="G70" t="s">
        <v>19</v>
      </c>
      <c r="H70" t="s">
        <v>15</v>
      </c>
      <c r="I70">
        <v>3.8</v>
      </c>
      <c r="J70">
        <v>10</v>
      </c>
      <c r="K70">
        <v>5</v>
      </c>
    </row>
    <row r="71" spans="1:11" x14ac:dyDescent="0.35">
      <c r="A71">
        <v>70</v>
      </c>
      <c r="B71">
        <v>29</v>
      </c>
      <c r="C71" t="s">
        <v>16</v>
      </c>
      <c r="D71" t="s">
        <v>20</v>
      </c>
      <c r="E71" t="s">
        <v>21</v>
      </c>
      <c r="F71">
        <v>30.71</v>
      </c>
      <c r="G71" t="s">
        <v>14</v>
      </c>
      <c r="H71" t="s">
        <v>15</v>
      </c>
      <c r="I71">
        <v>3.7</v>
      </c>
      <c r="J71">
        <v>16</v>
      </c>
      <c r="K71">
        <v>3</v>
      </c>
    </row>
    <row r="72" spans="1:11" x14ac:dyDescent="0.35">
      <c r="A72">
        <v>71</v>
      </c>
      <c r="B72">
        <v>42</v>
      </c>
      <c r="C72" t="s">
        <v>16</v>
      </c>
      <c r="D72" t="s">
        <v>20</v>
      </c>
      <c r="E72" t="s">
        <v>36</v>
      </c>
      <c r="F72">
        <v>101.34</v>
      </c>
      <c r="G72" t="s">
        <v>19</v>
      </c>
      <c r="H72" t="s">
        <v>15</v>
      </c>
      <c r="I72">
        <v>3</v>
      </c>
      <c r="J72">
        <v>32</v>
      </c>
      <c r="K72">
        <v>11</v>
      </c>
    </row>
    <row r="73" spans="1:11" x14ac:dyDescent="0.35">
      <c r="A73">
        <v>72</v>
      </c>
      <c r="B73">
        <v>20</v>
      </c>
      <c r="C73" t="s">
        <v>16</v>
      </c>
      <c r="D73" t="s">
        <v>33</v>
      </c>
      <c r="E73" t="s">
        <v>34</v>
      </c>
      <c r="F73">
        <v>213.27</v>
      </c>
      <c r="G73" t="s">
        <v>24</v>
      </c>
      <c r="H73" t="s">
        <v>15</v>
      </c>
      <c r="I73">
        <v>5</v>
      </c>
      <c r="J73">
        <v>11</v>
      </c>
      <c r="K73">
        <v>3</v>
      </c>
    </row>
    <row r="74" spans="1:11" x14ac:dyDescent="0.35">
      <c r="A74">
        <v>73</v>
      </c>
      <c r="B74">
        <v>53</v>
      </c>
      <c r="C74" t="s">
        <v>16</v>
      </c>
      <c r="D74" t="s">
        <v>20</v>
      </c>
      <c r="E74" t="s">
        <v>36</v>
      </c>
      <c r="F74">
        <v>196.81</v>
      </c>
      <c r="G74" t="s">
        <v>24</v>
      </c>
      <c r="H74" t="s">
        <v>15</v>
      </c>
      <c r="I74">
        <v>4.4000000000000004</v>
      </c>
      <c r="J74">
        <v>17</v>
      </c>
      <c r="K74">
        <v>6</v>
      </c>
    </row>
    <row r="75" spans="1:11" x14ac:dyDescent="0.35">
      <c r="A75">
        <v>74</v>
      </c>
      <c r="B75">
        <v>58</v>
      </c>
      <c r="C75" t="s">
        <v>16</v>
      </c>
      <c r="D75" t="s">
        <v>20</v>
      </c>
      <c r="E75" t="s">
        <v>36</v>
      </c>
      <c r="F75">
        <v>246.49</v>
      </c>
      <c r="G75" t="s">
        <v>14</v>
      </c>
      <c r="H75" t="s">
        <v>15</v>
      </c>
      <c r="I75">
        <v>4.5</v>
      </c>
      <c r="J75">
        <v>11</v>
      </c>
      <c r="K75">
        <v>3</v>
      </c>
    </row>
    <row r="76" spans="1:11" x14ac:dyDescent="0.35">
      <c r="A76">
        <v>75</v>
      </c>
      <c r="B76">
        <v>40</v>
      </c>
      <c r="C76" t="s">
        <v>11</v>
      </c>
      <c r="D76" t="s">
        <v>41</v>
      </c>
      <c r="E76" t="s">
        <v>45</v>
      </c>
      <c r="F76">
        <v>124.21</v>
      </c>
      <c r="G76" t="s">
        <v>31</v>
      </c>
      <c r="H76" t="s">
        <v>15</v>
      </c>
      <c r="I76">
        <v>3</v>
      </c>
      <c r="J76">
        <v>6</v>
      </c>
      <c r="K76">
        <v>3</v>
      </c>
    </row>
    <row r="77" spans="1:11" x14ac:dyDescent="0.35">
      <c r="A77">
        <v>76</v>
      </c>
      <c r="B77">
        <v>59</v>
      </c>
      <c r="C77" t="s">
        <v>11</v>
      </c>
      <c r="D77" t="s">
        <v>29</v>
      </c>
      <c r="E77" t="s">
        <v>55</v>
      </c>
      <c r="F77">
        <v>42.8</v>
      </c>
      <c r="G77" t="s">
        <v>24</v>
      </c>
      <c r="H77" t="s">
        <v>15</v>
      </c>
      <c r="I77">
        <v>3.1</v>
      </c>
      <c r="J77">
        <v>13</v>
      </c>
      <c r="K77">
        <v>4</v>
      </c>
    </row>
    <row r="78" spans="1:11" x14ac:dyDescent="0.35">
      <c r="A78">
        <v>77</v>
      </c>
      <c r="B78">
        <v>70</v>
      </c>
      <c r="C78" t="s">
        <v>16</v>
      </c>
      <c r="D78" t="s">
        <v>17</v>
      </c>
      <c r="E78" t="s">
        <v>18</v>
      </c>
      <c r="F78">
        <v>96.18</v>
      </c>
      <c r="G78" t="s">
        <v>14</v>
      </c>
      <c r="H78" t="s">
        <v>15</v>
      </c>
      <c r="I78">
        <v>2.7</v>
      </c>
      <c r="J78">
        <v>20</v>
      </c>
      <c r="K78">
        <v>5</v>
      </c>
    </row>
    <row r="79" spans="1:11" x14ac:dyDescent="0.35">
      <c r="A79">
        <v>78</v>
      </c>
      <c r="B79">
        <v>38</v>
      </c>
      <c r="C79" t="s">
        <v>16</v>
      </c>
      <c r="D79" t="s">
        <v>27</v>
      </c>
      <c r="E79" t="s">
        <v>28</v>
      </c>
      <c r="F79">
        <v>2888.09</v>
      </c>
      <c r="G79" t="s">
        <v>24</v>
      </c>
      <c r="H79" t="s">
        <v>15</v>
      </c>
      <c r="I79">
        <v>3.6</v>
      </c>
      <c r="J79">
        <v>8</v>
      </c>
      <c r="K79">
        <v>4</v>
      </c>
    </row>
    <row r="80" spans="1:11" x14ac:dyDescent="0.35">
      <c r="A80">
        <v>79</v>
      </c>
      <c r="B80">
        <v>62</v>
      </c>
      <c r="C80" t="s">
        <v>11</v>
      </c>
      <c r="D80" t="s">
        <v>12</v>
      </c>
      <c r="E80" t="s">
        <v>50</v>
      </c>
      <c r="F80">
        <v>151.06</v>
      </c>
      <c r="G80" t="s">
        <v>14</v>
      </c>
      <c r="H80" t="s">
        <v>15</v>
      </c>
      <c r="I80">
        <v>4.0999999999999996</v>
      </c>
      <c r="J80">
        <v>20</v>
      </c>
      <c r="K80">
        <v>5</v>
      </c>
    </row>
    <row r="81" spans="1:11" x14ac:dyDescent="0.35">
      <c r="A81">
        <v>80</v>
      </c>
      <c r="B81">
        <v>35</v>
      </c>
      <c r="C81" t="s">
        <v>11</v>
      </c>
      <c r="D81" t="s">
        <v>12</v>
      </c>
      <c r="E81" t="s">
        <v>13</v>
      </c>
      <c r="F81">
        <v>141.44999999999999</v>
      </c>
      <c r="G81" t="s">
        <v>14</v>
      </c>
      <c r="H81" t="s">
        <v>15</v>
      </c>
      <c r="I81">
        <v>5</v>
      </c>
      <c r="J81">
        <v>19</v>
      </c>
      <c r="K81">
        <v>7</v>
      </c>
    </row>
    <row r="82" spans="1:11" x14ac:dyDescent="0.35">
      <c r="A82">
        <v>81</v>
      </c>
      <c r="B82">
        <v>26</v>
      </c>
      <c r="C82" t="s">
        <v>16</v>
      </c>
      <c r="D82" t="s">
        <v>25</v>
      </c>
      <c r="E82" t="s">
        <v>54</v>
      </c>
      <c r="F82">
        <v>73.66</v>
      </c>
      <c r="G82" t="s">
        <v>19</v>
      </c>
      <c r="H82" t="s">
        <v>15</v>
      </c>
      <c r="I82">
        <v>4.7</v>
      </c>
      <c r="J82">
        <v>11</v>
      </c>
      <c r="K82">
        <v>3</v>
      </c>
    </row>
    <row r="83" spans="1:11" x14ac:dyDescent="0.35">
      <c r="A83">
        <v>82</v>
      </c>
      <c r="B83">
        <v>58</v>
      </c>
      <c r="C83" t="s">
        <v>16</v>
      </c>
      <c r="D83" t="s">
        <v>17</v>
      </c>
      <c r="E83" t="s">
        <v>48</v>
      </c>
      <c r="F83">
        <v>36.29</v>
      </c>
      <c r="G83" t="s">
        <v>14</v>
      </c>
      <c r="H83" t="s">
        <v>15</v>
      </c>
      <c r="I83">
        <v>3.4</v>
      </c>
      <c r="J83">
        <v>6</v>
      </c>
      <c r="K83">
        <v>3</v>
      </c>
    </row>
    <row r="84" spans="1:11" x14ac:dyDescent="0.35">
      <c r="A84">
        <v>83</v>
      </c>
      <c r="B84">
        <v>45</v>
      </c>
      <c r="C84" t="s">
        <v>16</v>
      </c>
      <c r="D84" t="s">
        <v>33</v>
      </c>
      <c r="E84" t="s">
        <v>38</v>
      </c>
      <c r="F84">
        <v>208.84</v>
      </c>
      <c r="G84" t="s">
        <v>31</v>
      </c>
      <c r="H84" t="s">
        <v>15</v>
      </c>
      <c r="I84">
        <v>4.4000000000000004</v>
      </c>
      <c r="J84">
        <v>18</v>
      </c>
      <c r="K84">
        <v>9</v>
      </c>
    </row>
    <row r="85" spans="1:11" x14ac:dyDescent="0.35">
      <c r="A85">
        <v>84</v>
      </c>
      <c r="B85">
        <v>58</v>
      </c>
      <c r="C85" t="s">
        <v>11</v>
      </c>
      <c r="D85" t="s">
        <v>41</v>
      </c>
      <c r="E85" t="s">
        <v>46</v>
      </c>
      <c r="F85">
        <v>98.33</v>
      </c>
      <c r="G85" t="s">
        <v>19</v>
      </c>
      <c r="H85" t="s">
        <v>15</v>
      </c>
      <c r="I85">
        <v>4.0999999999999996</v>
      </c>
      <c r="J85">
        <v>26</v>
      </c>
      <c r="K85">
        <v>8</v>
      </c>
    </row>
    <row r="86" spans="1:11" x14ac:dyDescent="0.35">
      <c r="A86">
        <v>85</v>
      </c>
      <c r="B86">
        <v>49</v>
      </c>
      <c r="C86" t="s">
        <v>11</v>
      </c>
      <c r="D86" t="s">
        <v>41</v>
      </c>
      <c r="E86" t="s">
        <v>46</v>
      </c>
      <c r="F86">
        <v>37.159999999999997</v>
      </c>
      <c r="G86" t="s">
        <v>31</v>
      </c>
      <c r="H86" t="s">
        <v>37</v>
      </c>
      <c r="I86">
        <v>3.7</v>
      </c>
      <c r="J86">
        <v>16</v>
      </c>
      <c r="K86">
        <v>3</v>
      </c>
    </row>
    <row r="87" spans="1:11" x14ac:dyDescent="0.35">
      <c r="A87">
        <v>86</v>
      </c>
      <c r="B87">
        <v>65</v>
      </c>
      <c r="C87" t="s">
        <v>11</v>
      </c>
      <c r="D87" t="s">
        <v>29</v>
      </c>
      <c r="E87" t="s">
        <v>51</v>
      </c>
      <c r="F87">
        <v>41.71</v>
      </c>
      <c r="G87" t="s">
        <v>24</v>
      </c>
      <c r="H87" t="s">
        <v>15</v>
      </c>
      <c r="I87">
        <v>3.3</v>
      </c>
      <c r="J87">
        <v>19</v>
      </c>
      <c r="K87">
        <v>7</v>
      </c>
    </row>
    <row r="88" spans="1:11" x14ac:dyDescent="0.35">
      <c r="A88">
        <v>87</v>
      </c>
      <c r="B88">
        <v>22</v>
      </c>
      <c r="C88" t="s">
        <v>11</v>
      </c>
      <c r="D88" t="s">
        <v>29</v>
      </c>
      <c r="E88" t="s">
        <v>51</v>
      </c>
      <c r="F88">
        <v>145.97999999999999</v>
      </c>
      <c r="G88" t="s">
        <v>31</v>
      </c>
      <c r="H88" t="s">
        <v>15</v>
      </c>
      <c r="I88">
        <v>3.5</v>
      </c>
      <c r="J88">
        <v>24</v>
      </c>
      <c r="K88">
        <v>7</v>
      </c>
    </row>
    <row r="89" spans="1:11" x14ac:dyDescent="0.35">
      <c r="A89">
        <v>88</v>
      </c>
      <c r="B89">
        <v>44</v>
      </c>
      <c r="C89" t="s">
        <v>16</v>
      </c>
      <c r="D89" t="s">
        <v>27</v>
      </c>
      <c r="E89" t="s">
        <v>28</v>
      </c>
      <c r="F89">
        <v>1643.58</v>
      </c>
      <c r="G89" t="s">
        <v>14</v>
      </c>
      <c r="H89" t="s">
        <v>15</v>
      </c>
      <c r="I89">
        <v>3.2</v>
      </c>
      <c r="J89">
        <v>11</v>
      </c>
      <c r="K89">
        <v>3</v>
      </c>
    </row>
    <row r="90" spans="1:11" x14ac:dyDescent="0.35">
      <c r="A90">
        <v>89</v>
      </c>
      <c r="B90">
        <v>61</v>
      </c>
      <c r="C90" t="s">
        <v>16</v>
      </c>
      <c r="D90" t="s">
        <v>27</v>
      </c>
      <c r="E90" t="s">
        <v>49</v>
      </c>
      <c r="F90">
        <v>2338.0300000000002</v>
      </c>
      <c r="G90" t="s">
        <v>19</v>
      </c>
      <c r="H90" t="s">
        <v>15</v>
      </c>
      <c r="I90">
        <v>3.8</v>
      </c>
      <c r="J90">
        <v>14</v>
      </c>
      <c r="K90">
        <v>2</v>
      </c>
    </row>
    <row r="91" spans="1:11" x14ac:dyDescent="0.35">
      <c r="A91">
        <v>90</v>
      </c>
      <c r="B91">
        <v>56</v>
      </c>
      <c r="C91" t="s">
        <v>11</v>
      </c>
      <c r="D91" t="s">
        <v>25</v>
      </c>
      <c r="E91" t="s">
        <v>47</v>
      </c>
      <c r="F91">
        <v>68.84</v>
      </c>
      <c r="G91" t="s">
        <v>31</v>
      </c>
      <c r="H91" t="s">
        <v>37</v>
      </c>
      <c r="I91">
        <v>5</v>
      </c>
      <c r="J91">
        <v>19</v>
      </c>
      <c r="K91">
        <v>7</v>
      </c>
    </row>
    <row r="92" spans="1:11" x14ac:dyDescent="0.35">
      <c r="A92">
        <v>91</v>
      </c>
      <c r="B92">
        <v>35</v>
      </c>
      <c r="C92" t="s">
        <v>11</v>
      </c>
      <c r="D92" t="s">
        <v>12</v>
      </c>
      <c r="E92" t="s">
        <v>50</v>
      </c>
      <c r="F92">
        <v>45.66</v>
      </c>
      <c r="G92" t="s">
        <v>19</v>
      </c>
      <c r="H92" t="s">
        <v>37</v>
      </c>
      <c r="I92">
        <v>4.5999999999999996</v>
      </c>
      <c r="J92">
        <v>18</v>
      </c>
      <c r="K92">
        <v>4</v>
      </c>
    </row>
    <row r="93" spans="1:11" x14ac:dyDescent="0.35">
      <c r="A93">
        <v>92</v>
      </c>
      <c r="B93">
        <v>51</v>
      </c>
      <c r="C93" t="s">
        <v>16</v>
      </c>
      <c r="D93" t="s">
        <v>33</v>
      </c>
      <c r="E93" t="s">
        <v>38</v>
      </c>
      <c r="F93">
        <v>40.24</v>
      </c>
      <c r="G93" t="s">
        <v>24</v>
      </c>
      <c r="H93" t="s">
        <v>15</v>
      </c>
      <c r="I93">
        <v>3.8</v>
      </c>
      <c r="J93">
        <v>18</v>
      </c>
      <c r="K93">
        <v>4</v>
      </c>
    </row>
    <row r="94" spans="1:11" x14ac:dyDescent="0.35">
      <c r="A94">
        <v>93</v>
      </c>
      <c r="B94">
        <v>36</v>
      </c>
      <c r="C94" t="s">
        <v>11</v>
      </c>
      <c r="D94" t="s">
        <v>33</v>
      </c>
      <c r="E94" t="s">
        <v>40</v>
      </c>
      <c r="F94">
        <v>203.77</v>
      </c>
      <c r="G94" t="s">
        <v>19</v>
      </c>
      <c r="H94" t="s">
        <v>15</v>
      </c>
      <c r="I94">
        <v>4.4000000000000004</v>
      </c>
      <c r="J94">
        <v>19</v>
      </c>
      <c r="K94">
        <v>7</v>
      </c>
    </row>
    <row r="95" spans="1:11" x14ac:dyDescent="0.35">
      <c r="A95">
        <v>94</v>
      </c>
      <c r="B95">
        <v>20</v>
      </c>
      <c r="C95" t="s">
        <v>11</v>
      </c>
      <c r="D95" t="s">
        <v>12</v>
      </c>
      <c r="E95" t="s">
        <v>56</v>
      </c>
      <c r="F95">
        <v>159.44999999999999</v>
      </c>
      <c r="G95" t="s">
        <v>24</v>
      </c>
      <c r="H95" t="s">
        <v>15</v>
      </c>
      <c r="I95">
        <v>4.5999999999999996</v>
      </c>
      <c r="J95">
        <v>20</v>
      </c>
      <c r="K95">
        <v>5</v>
      </c>
    </row>
    <row r="96" spans="1:11" x14ac:dyDescent="0.35">
      <c r="A96">
        <v>95</v>
      </c>
      <c r="B96">
        <v>25</v>
      </c>
      <c r="C96" t="s">
        <v>16</v>
      </c>
      <c r="D96" t="s">
        <v>33</v>
      </c>
      <c r="E96" t="s">
        <v>38</v>
      </c>
      <c r="F96">
        <v>183.49</v>
      </c>
      <c r="G96" t="s">
        <v>14</v>
      </c>
      <c r="H96" t="s">
        <v>15</v>
      </c>
      <c r="I96">
        <v>3.5</v>
      </c>
      <c r="J96">
        <v>20</v>
      </c>
      <c r="K96">
        <v>5</v>
      </c>
    </row>
    <row r="97" spans="1:11" x14ac:dyDescent="0.35">
      <c r="A97">
        <v>96</v>
      </c>
      <c r="B97">
        <v>21</v>
      </c>
      <c r="C97" t="s">
        <v>16</v>
      </c>
      <c r="D97" t="s">
        <v>17</v>
      </c>
      <c r="E97" t="s">
        <v>48</v>
      </c>
      <c r="F97">
        <v>76.45</v>
      </c>
      <c r="G97" t="s">
        <v>31</v>
      </c>
      <c r="H97" t="s">
        <v>15</v>
      </c>
      <c r="I97">
        <v>4.4000000000000004</v>
      </c>
      <c r="J97">
        <v>12</v>
      </c>
      <c r="K97">
        <v>6</v>
      </c>
    </row>
    <row r="98" spans="1:11" x14ac:dyDescent="0.35">
      <c r="A98">
        <v>97</v>
      </c>
      <c r="B98">
        <v>20</v>
      </c>
      <c r="C98" t="s">
        <v>11</v>
      </c>
      <c r="D98" t="s">
        <v>12</v>
      </c>
      <c r="E98" t="s">
        <v>56</v>
      </c>
      <c r="F98">
        <v>54.1</v>
      </c>
      <c r="G98" t="s">
        <v>31</v>
      </c>
      <c r="H98" t="s">
        <v>15</v>
      </c>
      <c r="I98">
        <v>4.0999999999999996</v>
      </c>
      <c r="J98">
        <v>16</v>
      </c>
      <c r="K98">
        <v>3</v>
      </c>
    </row>
    <row r="99" spans="1:11" x14ac:dyDescent="0.35">
      <c r="A99">
        <v>98</v>
      </c>
      <c r="B99">
        <v>65</v>
      </c>
      <c r="C99" t="s">
        <v>11</v>
      </c>
      <c r="D99" t="s">
        <v>12</v>
      </c>
      <c r="E99" t="s">
        <v>13</v>
      </c>
      <c r="F99">
        <v>41</v>
      </c>
      <c r="G99" t="s">
        <v>14</v>
      </c>
      <c r="H99" t="s">
        <v>37</v>
      </c>
      <c r="I99">
        <v>4</v>
      </c>
      <c r="J99">
        <v>10</v>
      </c>
      <c r="K99">
        <v>5</v>
      </c>
    </row>
    <row r="100" spans="1:11" x14ac:dyDescent="0.35">
      <c r="A100">
        <v>99</v>
      </c>
      <c r="B100">
        <v>39</v>
      </c>
      <c r="C100" t="s">
        <v>11</v>
      </c>
      <c r="D100" t="s">
        <v>33</v>
      </c>
      <c r="E100" t="s">
        <v>40</v>
      </c>
      <c r="F100">
        <v>73.77</v>
      </c>
      <c r="G100" t="s">
        <v>19</v>
      </c>
      <c r="H100" t="s">
        <v>15</v>
      </c>
      <c r="I100">
        <v>3.5</v>
      </c>
      <c r="J100">
        <v>17</v>
      </c>
      <c r="K100">
        <v>6</v>
      </c>
    </row>
    <row r="101" spans="1:11" x14ac:dyDescent="0.35">
      <c r="A101">
        <v>100</v>
      </c>
      <c r="B101">
        <v>51</v>
      </c>
      <c r="C101" t="s">
        <v>16</v>
      </c>
      <c r="D101" t="s">
        <v>27</v>
      </c>
      <c r="E101" t="s">
        <v>32</v>
      </c>
      <c r="F101">
        <v>2449.63</v>
      </c>
      <c r="G101" t="s">
        <v>14</v>
      </c>
      <c r="H101" t="s">
        <v>15</v>
      </c>
      <c r="I101">
        <v>1.9</v>
      </c>
      <c r="J101">
        <v>4</v>
      </c>
      <c r="K101">
        <v>2</v>
      </c>
    </row>
    <row r="102" spans="1:11" x14ac:dyDescent="0.35">
      <c r="A102">
        <v>101</v>
      </c>
      <c r="B102">
        <v>65</v>
      </c>
      <c r="C102" t="s">
        <v>11</v>
      </c>
      <c r="D102" t="s">
        <v>22</v>
      </c>
      <c r="E102" t="s">
        <v>23</v>
      </c>
      <c r="F102">
        <v>86.79</v>
      </c>
      <c r="G102" t="s">
        <v>19</v>
      </c>
      <c r="H102" t="s">
        <v>37</v>
      </c>
      <c r="I102">
        <v>3.6</v>
      </c>
      <c r="J102">
        <v>12</v>
      </c>
      <c r="K102">
        <v>6</v>
      </c>
    </row>
    <row r="103" spans="1:11" x14ac:dyDescent="0.35">
      <c r="A103">
        <v>102</v>
      </c>
      <c r="B103">
        <v>58</v>
      </c>
      <c r="C103" t="s">
        <v>11</v>
      </c>
      <c r="D103" t="s">
        <v>41</v>
      </c>
      <c r="E103" t="s">
        <v>44</v>
      </c>
      <c r="F103">
        <v>64.03</v>
      </c>
      <c r="G103" t="s">
        <v>31</v>
      </c>
      <c r="H103" t="s">
        <v>15</v>
      </c>
      <c r="I103">
        <v>3.2</v>
      </c>
      <c r="J103">
        <v>13</v>
      </c>
      <c r="K103">
        <v>4</v>
      </c>
    </row>
    <row r="104" spans="1:11" x14ac:dyDescent="0.35">
      <c r="A104">
        <v>103</v>
      </c>
      <c r="B104">
        <v>50</v>
      </c>
      <c r="C104" t="s">
        <v>11</v>
      </c>
      <c r="D104" t="s">
        <v>33</v>
      </c>
      <c r="E104" t="s">
        <v>34</v>
      </c>
      <c r="F104">
        <v>171.31</v>
      </c>
      <c r="G104" t="s">
        <v>14</v>
      </c>
      <c r="H104" t="s">
        <v>15</v>
      </c>
      <c r="I104">
        <v>5</v>
      </c>
      <c r="J104">
        <v>21</v>
      </c>
      <c r="K104">
        <v>8</v>
      </c>
    </row>
    <row r="105" spans="1:11" x14ac:dyDescent="0.35">
      <c r="A105">
        <v>104</v>
      </c>
      <c r="B105">
        <v>42</v>
      </c>
      <c r="C105" t="s">
        <v>11</v>
      </c>
      <c r="D105" t="s">
        <v>25</v>
      </c>
      <c r="E105" t="s">
        <v>26</v>
      </c>
      <c r="F105">
        <v>21.44</v>
      </c>
      <c r="G105" t="s">
        <v>14</v>
      </c>
      <c r="H105" t="s">
        <v>15</v>
      </c>
      <c r="I105">
        <v>3.6</v>
      </c>
      <c r="J105">
        <v>19</v>
      </c>
      <c r="K105">
        <v>7</v>
      </c>
    </row>
    <row r="106" spans="1:11" x14ac:dyDescent="0.35">
      <c r="A106">
        <v>105</v>
      </c>
      <c r="B106">
        <v>60</v>
      </c>
      <c r="C106" t="s">
        <v>16</v>
      </c>
      <c r="D106" t="s">
        <v>17</v>
      </c>
      <c r="E106" t="s">
        <v>48</v>
      </c>
      <c r="F106">
        <v>145.63999999999999</v>
      </c>
      <c r="G106" t="s">
        <v>24</v>
      </c>
      <c r="H106" t="s">
        <v>15</v>
      </c>
      <c r="I106">
        <v>3.3</v>
      </c>
      <c r="J106">
        <v>2</v>
      </c>
      <c r="K106">
        <v>1</v>
      </c>
    </row>
    <row r="107" spans="1:11" x14ac:dyDescent="0.35">
      <c r="A107">
        <v>106</v>
      </c>
      <c r="B107">
        <v>50</v>
      </c>
      <c r="C107" t="s">
        <v>11</v>
      </c>
      <c r="D107" t="s">
        <v>33</v>
      </c>
      <c r="E107" t="s">
        <v>40</v>
      </c>
      <c r="F107">
        <v>112.65</v>
      </c>
      <c r="G107" t="s">
        <v>19</v>
      </c>
      <c r="H107" t="s">
        <v>15</v>
      </c>
      <c r="I107">
        <v>3.9</v>
      </c>
      <c r="J107">
        <v>10</v>
      </c>
      <c r="K107">
        <v>5</v>
      </c>
    </row>
    <row r="108" spans="1:11" x14ac:dyDescent="0.35">
      <c r="A108">
        <v>107</v>
      </c>
      <c r="B108">
        <v>55</v>
      </c>
      <c r="C108" t="s">
        <v>11</v>
      </c>
      <c r="D108" t="s">
        <v>33</v>
      </c>
      <c r="E108" t="s">
        <v>34</v>
      </c>
      <c r="F108">
        <v>177.55</v>
      </c>
      <c r="G108" t="s">
        <v>31</v>
      </c>
      <c r="H108" t="s">
        <v>15</v>
      </c>
      <c r="I108">
        <v>4.2</v>
      </c>
      <c r="J108">
        <v>17</v>
      </c>
      <c r="K108">
        <v>6</v>
      </c>
    </row>
    <row r="109" spans="1:11" x14ac:dyDescent="0.35">
      <c r="A109">
        <v>108</v>
      </c>
      <c r="B109">
        <v>61</v>
      </c>
      <c r="C109" t="s">
        <v>11</v>
      </c>
      <c r="D109" t="s">
        <v>41</v>
      </c>
      <c r="E109" t="s">
        <v>44</v>
      </c>
      <c r="F109">
        <v>100.22</v>
      </c>
      <c r="G109" t="s">
        <v>31</v>
      </c>
      <c r="H109" t="s">
        <v>15</v>
      </c>
      <c r="I109">
        <v>3.8</v>
      </c>
      <c r="J109">
        <v>4</v>
      </c>
      <c r="K109">
        <v>2</v>
      </c>
    </row>
    <row r="110" spans="1:11" x14ac:dyDescent="0.35">
      <c r="A110">
        <v>109</v>
      </c>
      <c r="B110">
        <v>33</v>
      </c>
      <c r="C110" t="s">
        <v>11</v>
      </c>
      <c r="D110" t="s">
        <v>33</v>
      </c>
      <c r="E110" t="s">
        <v>34</v>
      </c>
      <c r="F110">
        <v>60</v>
      </c>
      <c r="G110" t="s">
        <v>31</v>
      </c>
      <c r="H110" t="s">
        <v>15</v>
      </c>
      <c r="I110">
        <v>3.3</v>
      </c>
      <c r="J110">
        <v>8</v>
      </c>
      <c r="K110">
        <v>4</v>
      </c>
    </row>
    <row r="111" spans="1:11" x14ac:dyDescent="0.35">
      <c r="A111">
        <v>110</v>
      </c>
      <c r="B111">
        <v>66</v>
      </c>
      <c r="C111" t="s">
        <v>16</v>
      </c>
      <c r="D111" t="s">
        <v>33</v>
      </c>
      <c r="E111" t="s">
        <v>34</v>
      </c>
      <c r="F111">
        <v>75.650000000000006</v>
      </c>
      <c r="G111" t="s">
        <v>24</v>
      </c>
      <c r="H111" t="s">
        <v>15</v>
      </c>
      <c r="I111">
        <v>4</v>
      </c>
      <c r="J111">
        <v>14</v>
      </c>
      <c r="K111">
        <v>7</v>
      </c>
    </row>
    <row r="112" spans="1:11" x14ac:dyDescent="0.35">
      <c r="A112">
        <v>111</v>
      </c>
      <c r="B112">
        <v>66</v>
      </c>
      <c r="C112" t="s">
        <v>16</v>
      </c>
      <c r="D112" t="s">
        <v>27</v>
      </c>
      <c r="E112" t="s">
        <v>49</v>
      </c>
      <c r="F112">
        <v>2263.46</v>
      </c>
      <c r="G112" t="s">
        <v>14</v>
      </c>
      <c r="H112" t="s">
        <v>15</v>
      </c>
      <c r="I112">
        <v>3.8</v>
      </c>
      <c r="J112">
        <v>13</v>
      </c>
      <c r="K112">
        <v>4</v>
      </c>
    </row>
    <row r="113" spans="1:11" x14ac:dyDescent="0.35">
      <c r="A113">
        <v>112</v>
      </c>
      <c r="B113">
        <v>45</v>
      </c>
      <c r="C113" t="s">
        <v>16</v>
      </c>
      <c r="D113" t="s">
        <v>33</v>
      </c>
      <c r="E113" t="s">
        <v>34</v>
      </c>
      <c r="F113">
        <v>77.8</v>
      </c>
      <c r="G113" t="s">
        <v>24</v>
      </c>
      <c r="H113" t="s">
        <v>37</v>
      </c>
      <c r="I113">
        <v>3.2</v>
      </c>
      <c r="J113">
        <v>9</v>
      </c>
      <c r="K113">
        <v>2</v>
      </c>
    </row>
    <row r="114" spans="1:11" x14ac:dyDescent="0.35">
      <c r="A114">
        <v>113</v>
      </c>
      <c r="B114">
        <v>69</v>
      </c>
      <c r="C114" t="s">
        <v>11</v>
      </c>
      <c r="D114" t="s">
        <v>41</v>
      </c>
      <c r="E114" t="s">
        <v>45</v>
      </c>
      <c r="F114">
        <v>84.93</v>
      </c>
      <c r="G114" t="s">
        <v>14</v>
      </c>
      <c r="H114" t="s">
        <v>37</v>
      </c>
      <c r="I114">
        <v>4.5999999999999996</v>
      </c>
      <c r="J114">
        <v>17</v>
      </c>
      <c r="K114">
        <v>6</v>
      </c>
    </row>
    <row r="115" spans="1:11" x14ac:dyDescent="0.35">
      <c r="A115">
        <v>114</v>
      </c>
      <c r="B115">
        <v>27</v>
      </c>
      <c r="C115" t="s">
        <v>11</v>
      </c>
      <c r="D115" t="s">
        <v>20</v>
      </c>
      <c r="E115" t="s">
        <v>21</v>
      </c>
      <c r="F115">
        <v>124.84</v>
      </c>
      <c r="G115" t="s">
        <v>19</v>
      </c>
      <c r="H115" t="s">
        <v>15</v>
      </c>
      <c r="I115">
        <v>3.2</v>
      </c>
      <c r="J115">
        <v>20</v>
      </c>
      <c r="K115">
        <v>10</v>
      </c>
    </row>
    <row r="116" spans="1:11" x14ac:dyDescent="0.35">
      <c r="A116">
        <v>115</v>
      </c>
      <c r="B116">
        <v>23</v>
      </c>
      <c r="C116" t="s">
        <v>16</v>
      </c>
      <c r="D116" t="s">
        <v>33</v>
      </c>
      <c r="E116" t="s">
        <v>34</v>
      </c>
      <c r="F116">
        <v>122.71</v>
      </c>
      <c r="G116" t="s">
        <v>31</v>
      </c>
      <c r="H116" t="s">
        <v>15</v>
      </c>
      <c r="I116">
        <v>3.4</v>
      </c>
      <c r="J116">
        <v>8</v>
      </c>
      <c r="K116">
        <v>4</v>
      </c>
    </row>
    <row r="117" spans="1:11" x14ac:dyDescent="0.35">
      <c r="A117">
        <v>116</v>
      </c>
      <c r="B117">
        <v>60</v>
      </c>
      <c r="C117" t="s">
        <v>16</v>
      </c>
      <c r="D117" t="s">
        <v>27</v>
      </c>
      <c r="E117" t="s">
        <v>28</v>
      </c>
      <c r="F117">
        <v>1317.58</v>
      </c>
      <c r="G117" t="s">
        <v>24</v>
      </c>
      <c r="H117" t="s">
        <v>15</v>
      </c>
      <c r="I117">
        <v>4.2</v>
      </c>
      <c r="J117">
        <v>26</v>
      </c>
      <c r="K117">
        <v>8</v>
      </c>
    </row>
    <row r="118" spans="1:11" x14ac:dyDescent="0.35">
      <c r="A118">
        <v>117</v>
      </c>
      <c r="B118">
        <v>31</v>
      </c>
      <c r="C118" t="s">
        <v>11</v>
      </c>
      <c r="D118" t="s">
        <v>29</v>
      </c>
      <c r="E118" t="s">
        <v>30</v>
      </c>
      <c r="F118">
        <v>70.510000000000005</v>
      </c>
      <c r="G118" t="s">
        <v>19</v>
      </c>
      <c r="H118" t="s">
        <v>37</v>
      </c>
      <c r="I118">
        <v>4.2</v>
      </c>
      <c r="J118">
        <v>18</v>
      </c>
      <c r="K118">
        <v>4</v>
      </c>
    </row>
    <row r="119" spans="1:11" x14ac:dyDescent="0.35">
      <c r="A119">
        <v>118</v>
      </c>
      <c r="B119">
        <v>28</v>
      </c>
      <c r="C119" t="s">
        <v>16</v>
      </c>
      <c r="D119" t="s">
        <v>20</v>
      </c>
      <c r="E119" t="s">
        <v>36</v>
      </c>
      <c r="F119">
        <v>132.82</v>
      </c>
      <c r="G119" t="s">
        <v>14</v>
      </c>
      <c r="H119" t="s">
        <v>15</v>
      </c>
      <c r="I119">
        <v>2.9</v>
      </c>
      <c r="J119">
        <v>9</v>
      </c>
      <c r="K119">
        <v>2</v>
      </c>
    </row>
    <row r="120" spans="1:11" x14ac:dyDescent="0.35">
      <c r="A120">
        <v>119</v>
      </c>
      <c r="B120">
        <v>56</v>
      </c>
      <c r="C120" t="s">
        <v>16</v>
      </c>
      <c r="D120" t="s">
        <v>33</v>
      </c>
      <c r="E120" t="s">
        <v>38</v>
      </c>
      <c r="F120">
        <v>200.63</v>
      </c>
      <c r="G120" t="s">
        <v>31</v>
      </c>
      <c r="H120" t="s">
        <v>15</v>
      </c>
      <c r="I120">
        <v>4</v>
      </c>
      <c r="J120">
        <v>18</v>
      </c>
      <c r="K120">
        <v>4</v>
      </c>
    </row>
    <row r="121" spans="1:11" x14ac:dyDescent="0.35">
      <c r="A121">
        <v>120</v>
      </c>
      <c r="B121">
        <v>34</v>
      </c>
      <c r="C121" t="s">
        <v>11</v>
      </c>
      <c r="D121" t="s">
        <v>41</v>
      </c>
      <c r="E121" t="s">
        <v>44</v>
      </c>
      <c r="F121">
        <v>47.24</v>
      </c>
      <c r="G121" t="s">
        <v>19</v>
      </c>
      <c r="H121" t="s">
        <v>37</v>
      </c>
      <c r="I121">
        <v>4.0999999999999996</v>
      </c>
      <c r="J121">
        <v>15</v>
      </c>
      <c r="K121">
        <v>5</v>
      </c>
    </row>
    <row r="122" spans="1:11" x14ac:dyDescent="0.35">
      <c r="A122">
        <v>121</v>
      </c>
      <c r="B122">
        <v>37</v>
      </c>
      <c r="C122" t="s">
        <v>11</v>
      </c>
      <c r="D122" t="s">
        <v>33</v>
      </c>
      <c r="E122" t="s">
        <v>34</v>
      </c>
      <c r="F122">
        <v>65.599999999999994</v>
      </c>
      <c r="G122" t="s">
        <v>24</v>
      </c>
      <c r="H122" t="s">
        <v>37</v>
      </c>
      <c r="I122">
        <v>3.2</v>
      </c>
      <c r="J122">
        <v>15</v>
      </c>
      <c r="K122">
        <v>5</v>
      </c>
    </row>
    <row r="123" spans="1:11" x14ac:dyDescent="0.35">
      <c r="A123">
        <v>122</v>
      </c>
      <c r="B123">
        <v>63</v>
      </c>
      <c r="C123" t="s">
        <v>11</v>
      </c>
      <c r="D123" t="s">
        <v>12</v>
      </c>
      <c r="E123" t="s">
        <v>50</v>
      </c>
      <c r="F123">
        <v>20.41</v>
      </c>
      <c r="G123" t="s">
        <v>14</v>
      </c>
      <c r="H123" t="s">
        <v>37</v>
      </c>
      <c r="I123">
        <v>3.7</v>
      </c>
      <c r="J123">
        <v>17</v>
      </c>
      <c r="K123">
        <v>6</v>
      </c>
    </row>
    <row r="124" spans="1:11" x14ac:dyDescent="0.35">
      <c r="A124">
        <v>123</v>
      </c>
      <c r="B124">
        <v>35</v>
      </c>
      <c r="C124" t="s">
        <v>16</v>
      </c>
      <c r="D124" t="s">
        <v>27</v>
      </c>
      <c r="E124" t="s">
        <v>32</v>
      </c>
      <c r="F124">
        <v>1187.02</v>
      </c>
      <c r="G124" t="s">
        <v>14</v>
      </c>
      <c r="H124" t="s">
        <v>15</v>
      </c>
      <c r="I124">
        <v>3.5</v>
      </c>
      <c r="J124">
        <v>15</v>
      </c>
      <c r="K124">
        <v>5</v>
      </c>
    </row>
    <row r="125" spans="1:11" x14ac:dyDescent="0.35">
      <c r="A125">
        <v>124</v>
      </c>
      <c r="B125">
        <v>53</v>
      </c>
      <c r="C125" t="s">
        <v>16</v>
      </c>
      <c r="D125" t="s">
        <v>27</v>
      </c>
      <c r="E125" t="s">
        <v>28</v>
      </c>
      <c r="F125">
        <v>559.1</v>
      </c>
      <c r="G125" t="s">
        <v>14</v>
      </c>
      <c r="H125" t="s">
        <v>15</v>
      </c>
      <c r="I125">
        <v>3.4</v>
      </c>
      <c r="J125">
        <v>17</v>
      </c>
      <c r="K125">
        <v>6</v>
      </c>
    </row>
    <row r="126" spans="1:11" x14ac:dyDescent="0.35">
      <c r="A126">
        <v>125</v>
      </c>
      <c r="B126">
        <v>54</v>
      </c>
      <c r="C126" t="s">
        <v>16</v>
      </c>
      <c r="D126" t="s">
        <v>33</v>
      </c>
      <c r="E126" t="s">
        <v>34</v>
      </c>
      <c r="F126">
        <v>129.91999999999999</v>
      </c>
      <c r="G126" t="s">
        <v>24</v>
      </c>
      <c r="H126" t="s">
        <v>15</v>
      </c>
      <c r="I126">
        <v>4.2</v>
      </c>
      <c r="J126">
        <v>13</v>
      </c>
      <c r="K126">
        <v>4</v>
      </c>
    </row>
    <row r="127" spans="1:11" x14ac:dyDescent="0.35">
      <c r="A127">
        <v>126</v>
      </c>
      <c r="B127">
        <v>65</v>
      </c>
      <c r="C127" t="s">
        <v>11</v>
      </c>
      <c r="D127" t="s">
        <v>25</v>
      </c>
      <c r="E127" t="s">
        <v>57</v>
      </c>
      <c r="F127">
        <v>19.39</v>
      </c>
      <c r="G127" t="s">
        <v>19</v>
      </c>
      <c r="H127" t="s">
        <v>37</v>
      </c>
      <c r="I127">
        <v>3.4</v>
      </c>
      <c r="J127">
        <v>6</v>
      </c>
      <c r="K127">
        <v>3</v>
      </c>
    </row>
    <row r="128" spans="1:11" x14ac:dyDescent="0.35">
      <c r="A128">
        <v>127</v>
      </c>
      <c r="B128">
        <v>24</v>
      </c>
      <c r="C128" t="s">
        <v>11</v>
      </c>
      <c r="D128" t="s">
        <v>29</v>
      </c>
      <c r="E128" t="s">
        <v>51</v>
      </c>
      <c r="F128">
        <v>97.07</v>
      </c>
      <c r="G128" t="s">
        <v>14</v>
      </c>
      <c r="H128" t="s">
        <v>37</v>
      </c>
      <c r="I128">
        <v>2.4</v>
      </c>
      <c r="J128">
        <v>13</v>
      </c>
      <c r="K128">
        <v>4</v>
      </c>
    </row>
    <row r="129" spans="1:11" x14ac:dyDescent="0.35">
      <c r="A129">
        <v>128</v>
      </c>
      <c r="B129">
        <v>55</v>
      </c>
      <c r="C129" t="s">
        <v>16</v>
      </c>
      <c r="D129" t="s">
        <v>20</v>
      </c>
      <c r="E129" t="s">
        <v>39</v>
      </c>
      <c r="F129">
        <v>70.209999999999994</v>
      </c>
      <c r="G129" t="s">
        <v>19</v>
      </c>
      <c r="H129" t="s">
        <v>37</v>
      </c>
      <c r="I129">
        <v>3.4</v>
      </c>
      <c r="J129">
        <v>18</v>
      </c>
      <c r="K129">
        <v>4</v>
      </c>
    </row>
    <row r="130" spans="1:11" x14ac:dyDescent="0.35">
      <c r="A130">
        <v>129</v>
      </c>
      <c r="B130">
        <v>64</v>
      </c>
      <c r="C130" t="s">
        <v>16</v>
      </c>
      <c r="D130" t="s">
        <v>20</v>
      </c>
      <c r="E130" t="s">
        <v>36</v>
      </c>
      <c r="F130">
        <v>248.31</v>
      </c>
      <c r="G130" t="s">
        <v>24</v>
      </c>
      <c r="H130" t="s">
        <v>15</v>
      </c>
      <c r="I130">
        <v>3.7</v>
      </c>
      <c r="J130">
        <v>19</v>
      </c>
      <c r="K130">
        <v>7</v>
      </c>
    </row>
    <row r="131" spans="1:11" x14ac:dyDescent="0.35">
      <c r="A131">
        <v>130</v>
      </c>
      <c r="B131">
        <v>21</v>
      </c>
      <c r="C131" t="s">
        <v>16</v>
      </c>
      <c r="D131" t="s">
        <v>20</v>
      </c>
      <c r="E131" t="s">
        <v>21</v>
      </c>
      <c r="F131">
        <v>149.61000000000001</v>
      </c>
      <c r="G131" t="s">
        <v>14</v>
      </c>
      <c r="H131" t="s">
        <v>15</v>
      </c>
      <c r="I131">
        <v>3.6</v>
      </c>
      <c r="J131">
        <v>21</v>
      </c>
      <c r="K131">
        <v>8</v>
      </c>
    </row>
    <row r="132" spans="1:11" x14ac:dyDescent="0.35">
      <c r="A132">
        <v>131</v>
      </c>
      <c r="B132">
        <v>66</v>
      </c>
      <c r="C132" t="s">
        <v>16</v>
      </c>
      <c r="D132" t="s">
        <v>22</v>
      </c>
      <c r="E132" t="s">
        <v>43</v>
      </c>
      <c r="F132">
        <v>132.77000000000001</v>
      </c>
      <c r="G132" t="s">
        <v>19</v>
      </c>
      <c r="H132" t="s">
        <v>15</v>
      </c>
      <c r="I132">
        <v>3.5</v>
      </c>
      <c r="J132">
        <v>17</v>
      </c>
      <c r="K132">
        <v>6</v>
      </c>
    </row>
    <row r="133" spans="1:11" x14ac:dyDescent="0.35">
      <c r="A133">
        <v>132</v>
      </c>
      <c r="B133">
        <v>39</v>
      </c>
      <c r="C133" t="s">
        <v>11</v>
      </c>
      <c r="D133" t="s">
        <v>29</v>
      </c>
      <c r="E133" t="s">
        <v>51</v>
      </c>
      <c r="F133">
        <v>37.229999999999997</v>
      </c>
      <c r="G133" t="s">
        <v>24</v>
      </c>
      <c r="H133" t="s">
        <v>15</v>
      </c>
      <c r="I133">
        <v>3.4</v>
      </c>
      <c r="J133">
        <v>14</v>
      </c>
      <c r="K133">
        <v>7</v>
      </c>
    </row>
    <row r="134" spans="1:11" x14ac:dyDescent="0.35">
      <c r="A134">
        <v>133</v>
      </c>
      <c r="B134">
        <v>53</v>
      </c>
      <c r="C134" t="s">
        <v>11</v>
      </c>
      <c r="D134" t="s">
        <v>33</v>
      </c>
      <c r="E134" t="s">
        <v>40</v>
      </c>
      <c r="F134">
        <v>88.84</v>
      </c>
      <c r="G134" t="s">
        <v>31</v>
      </c>
      <c r="H134" t="s">
        <v>37</v>
      </c>
      <c r="I134">
        <v>1.8</v>
      </c>
      <c r="J134">
        <v>16</v>
      </c>
      <c r="K134">
        <v>3</v>
      </c>
    </row>
    <row r="135" spans="1:11" x14ac:dyDescent="0.35">
      <c r="A135">
        <v>134</v>
      </c>
      <c r="B135">
        <v>25</v>
      </c>
      <c r="C135" t="s">
        <v>11</v>
      </c>
      <c r="D135" t="s">
        <v>41</v>
      </c>
      <c r="E135" t="s">
        <v>45</v>
      </c>
      <c r="F135">
        <v>140.53</v>
      </c>
      <c r="G135" t="s">
        <v>19</v>
      </c>
      <c r="H135" t="s">
        <v>15</v>
      </c>
      <c r="I135">
        <v>3.9</v>
      </c>
      <c r="J135">
        <v>11</v>
      </c>
      <c r="K135">
        <v>3</v>
      </c>
    </row>
    <row r="136" spans="1:11" x14ac:dyDescent="0.35">
      <c r="A136">
        <v>135</v>
      </c>
      <c r="B136">
        <v>30</v>
      </c>
      <c r="C136" t="s">
        <v>11</v>
      </c>
      <c r="D136" t="s">
        <v>20</v>
      </c>
      <c r="E136" t="s">
        <v>21</v>
      </c>
      <c r="F136">
        <v>121.83</v>
      </c>
      <c r="G136" t="s">
        <v>14</v>
      </c>
      <c r="H136" t="s">
        <v>15</v>
      </c>
      <c r="I136">
        <v>3.5</v>
      </c>
      <c r="J136">
        <v>16</v>
      </c>
      <c r="K136">
        <v>3</v>
      </c>
    </row>
    <row r="137" spans="1:11" x14ac:dyDescent="0.35">
      <c r="A137">
        <v>136</v>
      </c>
      <c r="B137">
        <v>23</v>
      </c>
      <c r="C137" t="s">
        <v>16</v>
      </c>
      <c r="D137" t="s">
        <v>27</v>
      </c>
      <c r="E137" t="s">
        <v>53</v>
      </c>
      <c r="F137">
        <v>1052.01</v>
      </c>
      <c r="G137" t="s">
        <v>14</v>
      </c>
      <c r="H137" t="s">
        <v>15</v>
      </c>
      <c r="I137">
        <v>4.0999999999999996</v>
      </c>
      <c r="J137">
        <v>24</v>
      </c>
      <c r="K137">
        <v>7</v>
      </c>
    </row>
    <row r="138" spans="1:11" x14ac:dyDescent="0.35">
      <c r="A138">
        <v>137</v>
      </c>
      <c r="B138">
        <v>41</v>
      </c>
      <c r="C138" t="s">
        <v>11</v>
      </c>
      <c r="D138" t="s">
        <v>25</v>
      </c>
      <c r="E138" t="s">
        <v>54</v>
      </c>
      <c r="F138">
        <v>77.290000000000006</v>
      </c>
      <c r="G138" t="s">
        <v>24</v>
      </c>
      <c r="H138" t="s">
        <v>15</v>
      </c>
      <c r="I138">
        <v>3.9</v>
      </c>
      <c r="J138">
        <v>18</v>
      </c>
      <c r="K138">
        <v>4</v>
      </c>
    </row>
    <row r="139" spans="1:11" x14ac:dyDescent="0.35">
      <c r="A139">
        <v>138</v>
      </c>
      <c r="B139">
        <v>40</v>
      </c>
      <c r="C139" t="s">
        <v>11</v>
      </c>
      <c r="D139" t="s">
        <v>29</v>
      </c>
      <c r="E139" t="s">
        <v>55</v>
      </c>
      <c r="F139">
        <v>124.2</v>
      </c>
      <c r="G139" t="s">
        <v>19</v>
      </c>
      <c r="H139" t="s">
        <v>15</v>
      </c>
      <c r="I139">
        <v>3.1</v>
      </c>
      <c r="J139">
        <v>17</v>
      </c>
      <c r="K139">
        <v>6</v>
      </c>
    </row>
    <row r="140" spans="1:11" x14ac:dyDescent="0.35">
      <c r="A140">
        <v>139</v>
      </c>
      <c r="B140">
        <v>23</v>
      </c>
      <c r="C140" t="s">
        <v>11</v>
      </c>
      <c r="D140" t="s">
        <v>33</v>
      </c>
      <c r="E140" t="s">
        <v>34</v>
      </c>
      <c r="F140">
        <v>139.96</v>
      </c>
      <c r="G140" t="s">
        <v>14</v>
      </c>
      <c r="H140" t="s">
        <v>15</v>
      </c>
      <c r="I140">
        <v>4.0999999999999996</v>
      </c>
      <c r="J140">
        <v>18</v>
      </c>
      <c r="K140">
        <v>9</v>
      </c>
    </row>
    <row r="141" spans="1:11" x14ac:dyDescent="0.35">
      <c r="A141">
        <v>140</v>
      </c>
      <c r="B141">
        <v>59</v>
      </c>
      <c r="C141" t="s">
        <v>16</v>
      </c>
      <c r="D141" t="s">
        <v>33</v>
      </c>
      <c r="E141" t="s">
        <v>34</v>
      </c>
      <c r="F141">
        <v>121.13</v>
      </c>
      <c r="G141" t="s">
        <v>31</v>
      </c>
      <c r="H141" t="s">
        <v>15</v>
      </c>
      <c r="I141">
        <v>3.6</v>
      </c>
      <c r="J141">
        <v>10</v>
      </c>
      <c r="K141">
        <v>5</v>
      </c>
    </row>
    <row r="142" spans="1:11" x14ac:dyDescent="0.35">
      <c r="A142">
        <v>141</v>
      </c>
      <c r="B142">
        <v>56</v>
      </c>
      <c r="C142" t="s">
        <v>11</v>
      </c>
      <c r="D142" t="s">
        <v>25</v>
      </c>
      <c r="E142" t="s">
        <v>26</v>
      </c>
      <c r="F142">
        <v>58.72</v>
      </c>
      <c r="G142" t="s">
        <v>14</v>
      </c>
      <c r="H142" t="s">
        <v>15</v>
      </c>
      <c r="I142">
        <v>2.6</v>
      </c>
      <c r="J142">
        <v>2</v>
      </c>
      <c r="K142">
        <v>1</v>
      </c>
    </row>
    <row r="143" spans="1:11" x14ac:dyDescent="0.35">
      <c r="A143">
        <v>142</v>
      </c>
      <c r="B143">
        <v>34</v>
      </c>
      <c r="C143" t="s">
        <v>16</v>
      </c>
      <c r="D143" t="s">
        <v>20</v>
      </c>
      <c r="E143" t="s">
        <v>39</v>
      </c>
      <c r="F143">
        <v>64.17</v>
      </c>
      <c r="G143" t="s">
        <v>14</v>
      </c>
      <c r="H143" t="s">
        <v>15</v>
      </c>
      <c r="I143">
        <v>3</v>
      </c>
      <c r="J143">
        <v>8</v>
      </c>
      <c r="K143">
        <v>4</v>
      </c>
    </row>
    <row r="144" spans="1:11" x14ac:dyDescent="0.35">
      <c r="A144">
        <v>143</v>
      </c>
      <c r="B144">
        <v>59</v>
      </c>
      <c r="C144" t="s">
        <v>16</v>
      </c>
      <c r="D144" t="s">
        <v>33</v>
      </c>
      <c r="E144" t="s">
        <v>34</v>
      </c>
      <c r="F144">
        <v>42.19</v>
      </c>
      <c r="G144" t="s">
        <v>19</v>
      </c>
      <c r="H144" t="s">
        <v>37</v>
      </c>
      <c r="I144">
        <v>3.2</v>
      </c>
      <c r="J144">
        <v>4</v>
      </c>
      <c r="K144">
        <v>2</v>
      </c>
    </row>
    <row r="145" spans="1:11" x14ac:dyDescent="0.35">
      <c r="A145">
        <v>144</v>
      </c>
      <c r="B145">
        <v>40</v>
      </c>
      <c r="C145" t="s">
        <v>11</v>
      </c>
      <c r="D145" t="s">
        <v>33</v>
      </c>
      <c r="E145" t="s">
        <v>34</v>
      </c>
      <c r="F145">
        <v>166.4</v>
      </c>
      <c r="G145" t="s">
        <v>14</v>
      </c>
      <c r="H145" t="s">
        <v>15</v>
      </c>
      <c r="I145">
        <v>3.8</v>
      </c>
      <c r="J145">
        <v>14</v>
      </c>
      <c r="K145">
        <v>7</v>
      </c>
    </row>
    <row r="146" spans="1:11" x14ac:dyDescent="0.35">
      <c r="A146">
        <v>145</v>
      </c>
      <c r="B146">
        <v>33</v>
      </c>
      <c r="C146" t="s">
        <v>11</v>
      </c>
      <c r="D146" t="s">
        <v>41</v>
      </c>
      <c r="E146" t="s">
        <v>45</v>
      </c>
      <c r="F146">
        <v>76.540000000000006</v>
      </c>
      <c r="G146" t="s">
        <v>31</v>
      </c>
      <c r="H146" t="s">
        <v>15</v>
      </c>
      <c r="I146">
        <v>4.2</v>
      </c>
      <c r="J146">
        <v>6</v>
      </c>
      <c r="K146">
        <v>3</v>
      </c>
    </row>
    <row r="147" spans="1:11" x14ac:dyDescent="0.35">
      <c r="A147">
        <v>146</v>
      </c>
      <c r="B147">
        <v>68</v>
      </c>
      <c r="C147" t="s">
        <v>11</v>
      </c>
      <c r="D147" t="s">
        <v>41</v>
      </c>
      <c r="E147" t="s">
        <v>46</v>
      </c>
      <c r="F147">
        <v>158.36000000000001</v>
      </c>
      <c r="G147" t="s">
        <v>19</v>
      </c>
      <c r="H147" t="s">
        <v>15</v>
      </c>
      <c r="I147">
        <v>3.6</v>
      </c>
      <c r="J147">
        <v>23</v>
      </c>
      <c r="K147">
        <v>9</v>
      </c>
    </row>
    <row r="148" spans="1:11" x14ac:dyDescent="0.35">
      <c r="A148">
        <v>147</v>
      </c>
      <c r="B148">
        <v>48</v>
      </c>
      <c r="C148" t="s">
        <v>16</v>
      </c>
      <c r="D148" t="s">
        <v>33</v>
      </c>
      <c r="E148" t="s">
        <v>34</v>
      </c>
      <c r="F148">
        <v>84.84</v>
      </c>
      <c r="G148" t="s">
        <v>31</v>
      </c>
      <c r="H148" t="s">
        <v>15</v>
      </c>
      <c r="I148">
        <v>4.7</v>
      </c>
      <c r="J148">
        <v>26</v>
      </c>
      <c r="K148">
        <v>8</v>
      </c>
    </row>
    <row r="149" spans="1:11" x14ac:dyDescent="0.35">
      <c r="A149">
        <v>148</v>
      </c>
      <c r="B149">
        <v>27</v>
      </c>
      <c r="C149" t="s">
        <v>11</v>
      </c>
      <c r="D149" t="s">
        <v>33</v>
      </c>
      <c r="E149" t="s">
        <v>40</v>
      </c>
      <c r="F149">
        <v>195.76</v>
      </c>
      <c r="G149" t="s">
        <v>31</v>
      </c>
      <c r="H149" t="s">
        <v>15</v>
      </c>
      <c r="I149">
        <v>4</v>
      </c>
      <c r="J149">
        <v>17</v>
      </c>
      <c r="K149">
        <v>6</v>
      </c>
    </row>
    <row r="150" spans="1:11" x14ac:dyDescent="0.35">
      <c r="A150">
        <v>149</v>
      </c>
      <c r="B150">
        <v>46</v>
      </c>
      <c r="C150" t="s">
        <v>16</v>
      </c>
      <c r="D150" t="s">
        <v>20</v>
      </c>
      <c r="E150" t="s">
        <v>21</v>
      </c>
      <c r="F150">
        <v>146.21</v>
      </c>
      <c r="G150" t="s">
        <v>31</v>
      </c>
      <c r="H150" t="s">
        <v>15</v>
      </c>
      <c r="I150">
        <v>3.6</v>
      </c>
      <c r="J150">
        <v>8</v>
      </c>
      <c r="K150">
        <v>4</v>
      </c>
    </row>
    <row r="151" spans="1:11" x14ac:dyDescent="0.35">
      <c r="A151">
        <v>150</v>
      </c>
      <c r="B151">
        <v>35</v>
      </c>
      <c r="C151" t="s">
        <v>16</v>
      </c>
      <c r="D151" t="s">
        <v>17</v>
      </c>
      <c r="E151" t="s">
        <v>35</v>
      </c>
      <c r="F151">
        <v>115.35</v>
      </c>
      <c r="G151" t="s">
        <v>24</v>
      </c>
      <c r="H151" t="s">
        <v>15</v>
      </c>
      <c r="I151">
        <v>4.0999999999999996</v>
      </c>
      <c r="J151">
        <v>13</v>
      </c>
      <c r="K151">
        <v>4</v>
      </c>
    </row>
    <row r="152" spans="1:11" x14ac:dyDescent="0.35">
      <c r="A152">
        <v>151</v>
      </c>
      <c r="B152">
        <v>57</v>
      </c>
      <c r="C152" t="s">
        <v>16</v>
      </c>
      <c r="D152" t="s">
        <v>20</v>
      </c>
      <c r="E152" t="s">
        <v>21</v>
      </c>
      <c r="F152">
        <v>31.54</v>
      </c>
      <c r="G152" t="s">
        <v>24</v>
      </c>
      <c r="H152" t="s">
        <v>37</v>
      </c>
      <c r="I152">
        <v>5</v>
      </c>
      <c r="J152">
        <v>16</v>
      </c>
      <c r="K152">
        <v>3</v>
      </c>
    </row>
    <row r="153" spans="1:11" x14ac:dyDescent="0.35">
      <c r="A153">
        <v>152</v>
      </c>
      <c r="B153">
        <v>35</v>
      </c>
      <c r="C153" t="s">
        <v>11</v>
      </c>
      <c r="D153" t="s">
        <v>33</v>
      </c>
      <c r="E153" t="s">
        <v>34</v>
      </c>
      <c r="F153">
        <v>142.19</v>
      </c>
      <c r="G153" t="s">
        <v>19</v>
      </c>
      <c r="H153" t="s">
        <v>15</v>
      </c>
      <c r="I153">
        <v>3.6</v>
      </c>
      <c r="J153">
        <v>16</v>
      </c>
      <c r="K153">
        <v>3</v>
      </c>
    </row>
    <row r="154" spans="1:11" x14ac:dyDescent="0.35">
      <c r="A154">
        <v>153</v>
      </c>
      <c r="B154">
        <v>38</v>
      </c>
      <c r="C154" t="s">
        <v>11</v>
      </c>
      <c r="D154" t="s">
        <v>33</v>
      </c>
      <c r="E154" t="s">
        <v>34</v>
      </c>
      <c r="F154">
        <v>246.21</v>
      </c>
      <c r="G154" t="s">
        <v>14</v>
      </c>
      <c r="H154" t="s">
        <v>15</v>
      </c>
      <c r="I154">
        <v>3.1</v>
      </c>
      <c r="J154">
        <v>8</v>
      </c>
      <c r="K154">
        <v>4</v>
      </c>
    </row>
    <row r="155" spans="1:11" x14ac:dyDescent="0.35">
      <c r="A155">
        <v>154</v>
      </c>
      <c r="B155">
        <v>68</v>
      </c>
      <c r="C155" t="s">
        <v>16</v>
      </c>
      <c r="D155" t="s">
        <v>33</v>
      </c>
      <c r="E155" t="s">
        <v>38</v>
      </c>
      <c r="F155">
        <v>194.06</v>
      </c>
      <c r="G155" t="s">
        <v>19</v>
      </c>
      <c r="H155" t="s">
        <v>15</v>
      </c>
      <c r="I155">
        <v>3.8</v>
      </c>
      <c r="J155">
        <v>18</v>
      </c>
      <c r="K155">
        <v>4</v>
      </c>
    </row>
    <row r="156" spans="1:11" x14ac:dyDescent="0.35">
      <c r="A156">
        <v>155</v>
      </c>
      <c r="B156">
        <v>66</v>
      </c>
      <c r="C156" t="s">
        <v>11</v>
      </c>
      <c r="D156" t="s">
        <v>12</v>
      </c>
      <c r="E156" t="s">
        <v>13</v>
      </c>
      <c r="F156">
        <v>172.05</v>
      </c>
      <c r="G156" t="s">
        <v>24</v>
      </c>
      <c r="H156" t="s">
        <v>15</v>
      </c>
      <c r="I156">
        <v>2.5</v>
      </c>
      <c r="J156">
        <v>17</v>
      </c>
      <c r="K156">
        <v>6</v>
      </c>
    </row>
    <row r="157" spans="1:11" x14ac:dyDescent="0.35">
      <c r="A157">
        <v>156</v>
      </c>
      <c r="B157">
        <v>38</v>
      </c>
      <c r="C157" t="s">
        <v>11</v>
      </c>
      <c r="D157" t="s">
        <v>41</v>
      </c>
      <c r="E157" t="s">
        <v>44</v>
      </c>
      <c r="F157">
        <v>94.08</v>
      </c>
      <c r="G157" t="s">
        <v>31</v>
      </c>
      <c r="H157" t="s">
        <v>37</v>
      </c>
      <c r="I157">
        <v>4.0999999999999996</v>
      </c>
      <c r="J157">
        <v>22</v>
      </c>
      <c r="K157">
        <v>6</v>
      </c>
    </row>
    <row r="158" spans="1:11" x14ac:dyDescent="0.35">
      <c r="A158">
        <v>157</v>
      </c>
      <c r="B158">
        <v>20</v>
      </c>
      <c r="C158" t="s">
        <v>11</v>
      </c>
      <c r="D158" t="s">
        <v>41</v>
      </c>
      <c r="E158" t="s">
        <v>46</v>
      </c>
      <c r="F158">
        <v>57.01</v>
      </c>
      <c r="G158" t="s">
        <v>31</v>
      </c>
      <c r="H158" t="s">
        <v>15</v>
      </c>
      <c r="I158">
        <v>3.1</v>
      </c>
      <c r="J158">
        <v>15</v>
      </c>
      <c r="K158">
        <v>5</v>
      </c>
    </row>
    <row r="159" spans="1:11" x14ac:dyDescent="0.35">
      <c r="A159">
        <v>158</v>
      </c>
      <c r="B159">
        <v>47</v>
      </c>
      <c r="C159" t="s">
        <v>11</v>
      </c>
      <c r="D159" t="s">
        <v>33</v>
      </c>
      <c r="E159" t="s">
        <v>34</v>
      </c>
      <c r="F159">
        <v>130.07</v>
      </c>
      <c r="G159" t="s">
        <v>19</v>
      </c>
      <c r="H159" t="s">
        <v>15</v>
      </c>
      <c r="I159">
        <v>3.1</v>
      </c>
      <c r="J159">
        <v>13</v>
      </c>
      <c r="K159">
        <v>4</v>
      </c>
    </row>
    <row r="160" spans="1:11" x14ac:dyDescent="0.35">
      <c r="A160">
        <v>159</v>
      </c>
      <c r="B160">
        <v>62</v>
      </c>
      <c r="C160" t="s">
        <v>16</v>
      </c>
      <c r="D160" t="s">
        <v>17</v>
      </c>
      <c r="E160" t="s">
        <v>18</v>
      </c>
      <c r="F160">
        <v>161.22</v>
      </c>
      <c r="G160" t="s">
        <v>14</v>
      </c>
      <c r="H160" t="s">
        <v>15</v>
      </c>
      <c r="I160">
        <v>4.7</v>
      </c>
      <c r="J160">
        <v>18</v>
      </c>
      <c r="K160">
        <v>4</v>
      </c>
    </row>
    <row r="161" spans="1:11" x14ac:dyDescent="0.35">
      <c r="A161">
        <v>160</v>
      </c>
      <c r="B161">
        <v>33</v>
      </c>
      <c r="C161" t="s">
        <v>16</v>
      </c>
      <c r="D161" t="s">
        <v>27</v>
      </c>
      <c r="E161" t="s">
        <v>28</v>
      </c>
      <c r="F161">
        <v>862.41</v>
      </c>
      <c r="G161" t="s">
        <v>19</v>
      </c>
      <c r="H161" t="s">
        <v>15</v>
      </c>
      <c r="I161">
        <v>3.5</v>
      </c>
      <c r="J161">
        <v>12</v>
      </c>
      <c r="K161">
        <v>6</v>
      </c>
    </row>
    <row r="162" spans="1:11" x14ac:dyDescent="0.35">
      <c r="A162">
        <v>161</v>
      </c>
      <c r="B162">
        <v>23</v>
      </c>
      <c r="C162" t="s">
        <v>16</v>
      </c>
      <c r="D162" t="s">
        <v>33</v>
      </c>
      <c r="E162" t="s">
        <v>34</v>
      </c>
      <c r="F162">
        <v>157.86000000000001</v>
      </c>
      <c r="G162" t="s">
        <v>19</v>
      </c>
      <c r="H162" t="s">
        <v>15</v>
      </c>
      <c r="I162">
        <v>5</v>
      </c>
      <c r="J162">
        <v>13</v>
      </c>
      <c r="K162">
        <v>4</v>
      </c>
    </row>
    <row r="163" spans="1:11" x14ac:dyDescent="0.35">
      <c r="A163">
        <v>162</v>
      </c>
      <c r="B163">
        <v>25</v>
      </c>
      <c r="C163" t="s">
        <v>11</v>
      </c>
      <c r="D163" t="s">
        <v>29</v>
      </c>
      <c r="E163" t="s">
        <v>55</v>
      </c>
      <c r="F163">
        <v>142.94</v>
      </c>
      <c r="G163" t="s">
        <v>14</v>
      </c>
      <c r="H163" t="s">
        <v>15</v>
      </c>
      <c r="I163">
        <v>4.5</v>
      </c>
      <c r="J163">
        <v>17</v>
      </c>
      <c r="K163">
        <v>6</v>
      </c>
    </row>
    <row r="164" spans="1:11" x14ac:dyDescent="0.35">
      <c r="A164">
        <v>163</v>
      </c>
      <c r="B164">
        <v>29</v>
      </c>
      <c r="C164" t="s">
        <v>16</v>
      </c>
      <c r="D164" t="s">
        <v>20</v>
      </c>
      <c r="E164" t="s">
        <v>21</v>
      </c>
      <c r="F164">
        <v>70.31</v>
      </c>
      <c r="G164" t="s">
        <v>31</v>
      </c>
      <c r="H164" t="s">
        <v>37</v>
      </c>
      <c r="I164">
        <v>3</v>
      </c>
      <c r="J164">
        <v>8</v>
      </c>
      <c r="K164">
        <v>4</v>
      </c>
    </row>
    <row r="165" spans="1:11" x14ac:dyDescent="0.35">
      <c r="A165">
        <v>164</v>
      </c>
      <c r="B165">
        <v>60</v>
      </c>
      <c r="C165" t="s">
        <v>11</v>
      </c>
      <c r="D165" t="s">
        <v>41</v>
      </c>
      <c r="E165" t="s">
        <v>46</v>
      </c>
      <c r="F165">
        <v>34.619999999999997</v>
      </c>
      <c r="G165" t="s">
        <v>31</v>
      </c>
      <c r="H165" t="s">
        <v>15</v>
      </c>
      <c r="I165">
        <v>4.2</v>
      </c>
      <c r="J165">
        <v>20</v>
      </c>
      <c r="K165">
        <v>5</v>
      </c>
    </row>
    <row r="166" spans="1:11" x14ac:dyDescent="0.35">
      <c r="A166">
        <v>165</v>
      </c>
      <c r="B166">
        <v>69</v>
      </c>
      <c r="C166" t="s">
        <v>16</v>
      </c>
      <c r="D166" t="s">
        <v>33</v>
      </c>
      <c r="E166" t="s">
        <v>38</v>
      </c>
      <c r="F166">
        <v>82.79</v>
      </c>
      <c r="G166" t="s">
        <v>31</v>
      </c>
      <c r="H166" t="s">
        <v>37</v>
      </c>
      <c r="I166">
        <v>5</v>
      </c>
      <c r="J166">
        <v>21</v>
      </c>
      <c r="K166">
        <v>8</v>
      </c>
    </row>
    <row r="167" spans="1:11" x14ac:dyDescent="0.35">
      <c r="A167">
        <v>166</v>
      </c>
      <c r="B167">
        <v>35</v>
      </c>
      <c r="C167" t="s">
        <v>16</v>
      </c>
      <c r="D167" t="s">
        <v>33</v>
      </c>
      <c r="E167" t="s">
        <v>34</v>
      </c>
      <c r="F167">
        <v>75.459999999999994</v>
      </c>
      <c r="G167" t="s">
        <v>14</v>
      </c>
      <c r="H167" t="s">
        <v>15</v>
      </c>
      <c r="I167">
        <v>2.5</v>
      </c>
      <c r="J167">
        <v>16</v>
      </c>
      <c r="K167">
        <v>3</v>
      </c>
    </row>
    <row r="168" spans="1:11" x14ac:dyDescent="0.35">
      <c r="A168">
        <v>167</v>
      </c>
      <c r="B168">
        <v>49</v>
      </c>
      <c r="C168" t="s">
        <v>11</v>
      </c>
      <c r="D168" t="s">
        <v>12</v>
      </c>
      <c r="E168" t="s">
        <v>13</v>
      </c>
      <c r="F168">
        <v>148.58000000000001</v>
      </c>
      <c r="G168" t="s">
        <v>31</v>
      </c>
      <c r="H168" t="s">
        <v>15</v>
      </c>
      <c r="I168">
        <v>4.3</v>
      </c>
      <c r="J168">
        <v>26</v>
      </c>
      <c r="K168">
        <v>8</v>
      </c>
    </row>
    <row r="169" spans="1:11" x14ac:dyDescent="0.35">
      <c r="A169">
        <v>168</v>
      </c>
      <c r="B169">
        <v>52</v>
      </c>
      <c r="C169" t="s">
        <v>11</v>
      </c>
      <c r="D169" t="s">
        <v>41</v>
      </c>
      <c r="E169" t="s">
        <v>45</v>
      </c>
      <c r="F169">
        <v>43.5</v>
      </c>
      <c r="G169" t="s">
        <v>14</v>
      </c>
      <c r="H169" t="s">
        <v>37</v>
      </c>
      <c r="I169">
        <v>3.4</v>
      </c>
      <c r="J169">
        <v>24</v>
      </c>
      <c r="K169">
        <v>7</v>
      </c>
    </row>
    <row r="170" spans="1:11" x14ac:dyDescent="0.35">
      <c r="A170">
        <v>169</v>
      </c>
      <c r="B170">
        <v>28</v>
      </c>
      <c r="C170" t="s">
        <v>16</v>
      </c>
      <c r="D170" t="s">
        <v>17</v>
      </c>
      <c r="E170" t="s">
        <v>48</v>
      </c>
      <c r="F170">
        <v>179.57</v>
      </c>
      <c r="G170" t="s">
        <v>24</v>
      </c>
      <c r="H170" t="s">
        <v>15</v>
      </c>
      <c r="I170">
        <v>3.2</v>
      </c>
      <c r="J170">
        <v>6</v>
      </c>
      <c r="K170">
        <v>3</v>
      </c>
    </row>
    <row r="171" spans="1:11" x14ac:dyDescent="0.35">
      <c r="A171">
        <v>170</v>
      </c>
      <c r="B171">
        <v>70</v>
      </c>
      <c r="C171" t="s">
        <v>16</v>
      </c>
      <c r="D171" t="s">
        <v>20</v>
      </c>
      <c r="E171" t="s">
        <v>21</v>
      </c>
      <c r="F171">
        <v>122.99</v>
      </c>
      <c r="G171" t="s">
        <v>14</v>
      </c>
      <c r="H171" t="s">
        <v>15</v>
      </c>
      <c r="I171">
        <v>3.4</v>
      </c>
      <c r="J171">
        <v>10</v>
      </c>
      <c r="K171">
        <v>5</v>
      </c>
    </row>
    <row r="172" spans="1:11" x14ac:dyDescent="0.35">
      <c r="A172">
        <v>171</v>
      </c>
      <c r="B172">
        <v>53</v>
      </c>
      <c r="C172" t="s">
        <v>11</v>
      </c>
      <c r="D172" t="s">
        <v>33</v>
      </c>
      <c r="E172" t="s">
        <v>38</v>
      </c>
      <c r="F172">
        <v>76.73</v>
      </c>
      <c r="G172" t="s">
        <v>14</v>
      </c>
      <c r="H172" t="s">
        <v>37</v>
      </c>
      <c r="I172">
        <v>5</v>
      </c>
      <c r="J172">
        <v>24</v>
      </c>
      <c r="K172">
        <v>7</v>
      </c>
    </row>
    <row r="173" spans="1:11" x14ac:dyDescent="0.35">
      <c r="A173">
        <v>172</v>
      </c>
      <c r="B173">
        <v>36</v>
      </c>
      <c r="C173" t="s">
        <v>16</v>
      </c>
      <c r="D173" t="s">
        <v>20</v>
      </c>
      <c r="E173" t="s">
        <v>21</v>
      </c>
      <c r="F173">
        <v>227.24</v>
      </c>
      <c r="G173" t="s">
        <v>31</v>
      </c>
      <c r="H173" t="s">
        <v>15</v>
      </c>
      <c r="I173">
        <v>3.4</v>
      </c>
      <c r="J173">
        <v>14</v>
      </c>
      <c r="K173">
        <v>2</v>
      </c>
    </row>
    <row r="174" spans="1:11" x14ac:dyDescent="0.35">
      <c r="A174">
        <v>173</v>
      </c>
      <c r="B174">
        <v>53</v>
      </c>
      <c r="C174" t="s">
        <v>11</v>
      </c>
      <c r="D174" t="s">
        <v>41</v>
      </c>
      <c r="E174" t="s">
        <v>42</v>
      </c>
      <c r="F174">
        <v>94.87</v>
      </c>
      <c r="G174" t="s">
        <v>24</v>
      </c>
      <c r="H174" t="s">
        <v>37</v>
      </c>
      <c r="I174">
        <v>3.6</v>
      </c>
      <c r="J174">
        <v>13</v>
      </c>
      <c r="K174">
        <v>4</v>
      </c>
    </row>
    <row r="175" spans="1:11" x14ac:dyDescent="0.35">
      <c r="A175">
        <v>174</v>
      </c>
      <c r="B175">
        <v>38</v>
      </c>
      <c r="C175" t="s">
        <v>11</v>
      </c>
      <c r="D175" t="s">
        <v>41</v>
      </c>
      <c r="E175" t="s">
        <v>44</v>
      </c>
      <c r="F175">
        <v>166.83</v>
      </c>
      <c r="G175" t="s">
        <v>24</v>
      </c>
      <c r="H175" t="s">
        <v>15</v>
      </c>
      <c r="I175">
        <v>4.0999999999999996</v>
      </c>
      <c r="J175">
        <v>16</v>
      </c>
      <c r="K175">
        <v>3</v>
      </c>
    </row>
    <row r="176" spans="1:11" x14ac:dyDescent="0.35">
      <c r="A176">
        <v>175</v>
      </c>
      <c r="B176">
        <v>38</v>
      </c>
      <c r="C176" t="s">
        <v>16</v>
      </c>
      <c r="D176" t="s">
        <v>20</v>
      </c>
      <c r="E176" t="s">
        <v>36</v>
      </c>
      <c r="F176">
        <v>52.06</v>
      </c>
      <c r="G176" t="s">
        <v>24</v>
      </c>
      <c r="H176" t="s">
        <v>15</v>
      </c>
      <c r="I176">
        <v>2.2999999999999998</v>
      </c>
      <c r="J176">
        <v>4</v>
      </c>
      <c r="K176">
        <v>2</v>
      </c>
    </row>
    <row r="177" spans="1:11" x14ac:dyDescent="0.35">
      <c r="A177">
        <v>176</v>
      </c>
      <c r="B177">
        <v>54</v>
      </c>
      <c r="C177" t="s">
        <v>16</v>
      </c>
      <c r="D177" t="s">
        <v>17</v>
      </c>
      <c r="E177" t="s">
        <v>18</v>
      </c>
      <c r="F177">
        <v>38.18</v>
      </c>
      <c r="G177" t="s">
        <v>24</v>
      </c>
      <c r="H177" t="s">
        <v>37</v>
      </c>
      <c r="I177">
        <v>3.5</v>
      </c>
      <c r="J177">
        <v>12</v>
      </c>
      <c r="K177">
        <v>6</v>
      </c>
    </row>
    <row r="178" spans="1:11" x14ac:dyDescent="0.35">
      <c r="A178">
        <v>177</v>
      </c>
      <c r="B178">
        <v>67</v>
      </c>
      <c r="C178" t="s">
        <v>11</v>
      </c>
      <c r="D178" t="s">
        <v>12</v>
      </c>
      <c r="E178" t="s">
        <v>56</v>
      </c>
      <c r="F178">
        <v>156.91</v>
      </c>
      <c r="G178" t="s">
        <v>31</v>
      </c>
      <c r="H178" t="s">
        <v>15</v>
      </c>
      <c r="I178">
        <v>3.3</v>
      </c>
      <c r="J178">
        <v>8</v>
      </c>
      <c r="K178">
        <v>4</v>
      </c>
    </row>
    <row r="179" spans="1:11" x14ac:dyDescent="0.35">
      <c r="A179">
        <v>178</v>
      </c>
      <c r="B179">
        <v>36</v>
      </c>
      <c r="C179" t="s">
        <v>11</v>
      </c>
      <c r="D179" t="s">
        <v>29</v>
      </c>
      <c r="E179" t="s">
        <v>55</v>
      </c>
      <c r="F179">
        <v>110.28</v>
      </c>
      <c r="G179" t="s">
        <v>19</v>
      </c>
      <c r="H179" t="s">
        <v>15</v>
      </c>
      <c r="I179">
        <v>3.8</v>
      </c>
      <c r="J179">
        <v>16</v>
      </c>
      <c r="K179">
        <v>3</v>
      </c>
    </row>
    <row r="180" spans="1:11" x14ac:dyDescent="0.35">
      <c r="A180">
        <v>179</v>
      </c>
      <c r="B180">
        <v>48</v>
      </c>
      <c r="C180" t="s">
        <v>11</v>
      </c>
      <c r="D180" t="s">
        <v>12</v>
      </c>
      <c r="E180" t="s">
        <v>56</v>
      </c>
      <c r="F180">
        <v>114.67</v>
      </c>
      <c r="G180" t="s">
        <v>24</v>
      </c>
      <c r="H180" t="s">
        <v>15</v>
      </c>
      <c r="I180">
        <v>3.5</v>
      </c>
      <c r="J180">
        <v>8</v>
      </c>
      <c r="K180">
        <v>4</v>
      </c>
    </row>
    <row r="181" spans="1:11" x14ac:dyDescent="0.35">
      <c r="A181">
        <v>180</v>
      </c>
      <c r="B181">
        <v>20</v>
      </c>
      <c r="C181" t="s">
        <v>11</v>
      </c>
      <c r="D181" t="s">
        <v>41</v>
      </c>
      <c r="E181" t="s">
        <v>45</v>
      </c>
      <c r="F181">
        <v>73.25</v>
      </c>
      <c r="G181" t="s">
        <v>24</v>
      </c>
      <c r="H181" t="s">
        <v>15</v>
      </c>
      <c r="I181">
        <v>2.5</v>
      </c>
      <c r="J181">
        <v>11</v>
      </c>
      <c r="K181">
        <v>3</v>
      </c>
    </row>
    <row r="182" spans="1:11" x14ac:dyDescent="0.35">
      <c r="A182">
        <v>181</v>
      </c>
      <c r="B182">
        <v>48</v>
      </c>
      <c r="C182" t="s">
        <v>16</v>
      </c>
      <c r="D182" t="s">
        <v>20</v>
      </c>
      <c r="E182" t="s">
        <v>36</v>
      </c>
      <c r="F182">
        <v>162.43</v>
      </c>
      <c r="G182" t="s">
        <v>31</v>
      </c>
      <c r="H182" t="s">
        <v>15</v>
      </c>
      <c r="I182">
        <v>3.4</v>
      </c>
      <c r="J182">
        <v>11</v>
      </c>
      <c r="K182">
        <v>3</v>
      </c>
    </row>
    <row r="183" spans="1:11" x14ac:dyDescent="0.35">
      <c r="A183">
        <v>182</v>
      </c>
      <c r="B183">
        <v>40</v>
      </c>
      <c r="C183" t="s">
        <v>16</v>
      </c>
      <c r="D183" t="s">
        <v>17</v>
      </c>
      <c r="E183" t="s">
        <v>42</v>
      </c>
      <c r="F183">
        <v>79.89</v>
      </c>
      <c r="G183" t="s">
        <v>31</v>
      </c>
      <c r="H183" t="s">
        <v>15</v>
      </c>
      <c r="I183">
        <v>4.4000000000000004</v>
      </c>
      <c r="J183">
        <v>18</v>
      </c>
      <c r="K183">
        <v>4</v>
      </c>
    </row>
    <row r="184" spans="1:11" x14ac:dyDescent="0.35">
      <c r="A184">
        <v>183</v>
      </c>
      <c r="B184">
        <v>60</v>
      </c>
      <c r="C184" t="s">
        <v>16</v>
      </c>
      <c r="D184" t="s">
        <v>33</v>
      </c>
      <c r="E184" t="s">
        <v>34</v>
      </c>
      <c r="F184">
        <v>248.49</v>
      </c>
      <c r="G184" t="s">
        <v>14</v>
      </c>
      <c r="H184" t="s">
        <v>15</v>
      </c>
      <c r="I184">
        <v>4.2</v>
      </c>
      <c r="J184">
        <v>6</v>
      </c>
      <c r="K184">
        <v>3</v>
      </c>
    </row>
    <row r="185" spans="1:11" x14ac:dyDescent="0.35">
      <c r="A185">
        <v>184</v>
      </c>
      <c r="B185">
        <v>52</v>
      </c>
      <c r="C185" t="s">
        <v>16</v>
      </c>
      <c r="D185" t="s">
        <v>20</v>
      </c>
      <c r="E185" t="s">
        <v>36</v>
      </c>
      <c r="F185">
        <v>187.31</v>
      </c>
      <c r="G185" t="s">
        <v>24</v>
      </c>
      <c r="H185" t="s">
        <v>15</v>
      </c>
      <c r="I185">
        <v>4.7</v>
      </c>
      <c r="J185">
        <v>7</v>
      </c>
      <c r="K185">
        <v>1</v>
      </c>
    </row>
    <row r="186" spans="1:11" x14ac:dyDescent="0.35">
      <c r="A186">
        <v>185</v>
      </c>
      <c r="B186">
        <v>66</v>
      </c>
      <c r="C186" t="s">
        <v>16</v>
      </c>
      <c r="D186" t="s">
        <v>22</v>
      </c>
      <c r="E186" t="s">
        <v>23</v>
      </c>
      <c r="F186">
        <v>60.91</v>
      </c>
      <c r="G186" t="s">
        <v>24</v>
      </c>
      <c r="H186" t="s">
        <v>15</v>
      </c>
      <c r="I186">
        <v>4</v>
      </c>
      <c r="J186">
        <v>8</v>
      </c>
      <c r="K186">
        <v>4</v>
      </c>
    </row>
    <row r="187" spans="1:11" x14ac:dyDescent="0.35">
      <c r="A187">
        <v>186</v>
      </c>
      <c r="B187">
        <v>60</v>
      </c>
      <c r="C187" t="s">
        <v>11</v>
      </c>
      <c r="D187" t="s">
        <v>12</v>
      </c>
      <c r="E187" t="s">
        <v>13</v>
      </c>
      <c r="F187">
        <v>21.62</v>
      </c>
      <c r="G187" t="s">
        <v>19</v>
      </c>
      <c r="H187" t="s">
        <v>37</v>
      </c>
      <c r="I187">
        <v>3.8</v>
      </c>
      <c r="J187">
        <v>19</v>
      </c>
      <c r="K187">
        <v>7</v>
      </c>
    </row>
    <row r="188" spans="1:11" x14ac:dyDescent="0.35">
      <c r="A188">
        <v>187</v>
      </c>
      <c r="B188">
        <v>36</v>
      </c>
      <c r="C188" t="s">
        <v>16</v>
      </c>
      <c r="D188" t="s">
        <v>33</v>
      </c>
      <c r="E188" t="s">
        <v>38</v>
      </c>
      <c r="F188">
        <v>142.06</v>
      </c>
      <c r="G188" t="s">
        <v>14</v>
      </c>
      <c r="H188" t="s">
        <v>15</v>
      </c>
      <c r="I188">
        <v>3.5</v>
      </c>
      <c r="J188">
        <v>4</v>
      </c>
      <c r="K188">
        <v>2</v>
      </c>
    </row>
    <row r="189" spans="1:11" x14ac:dyDescent="0.35">
      <c r="A189">
        <v>188</v>
      </c>
      <c r="B189">
        <v>57</v>
      </c>
      <c r="C189" t="s">
        <v>11</v>
      </c>
      <c r="D189" t="s">
        <v>12</v>
      </c>
      <c r="E189" t="s">
        <v>56</v>
      </c>
      <c r="F189">
        <v>84.62</v>
      </c>
      <c r="G189" t="s">
        <v>14</v>
      </c>
      <c r="H189" t="s">
        <v>15</v>
      </c>
      <c r="I189">
        <v>2.8</v>
      </c>
      <c r="J189">
        <v>18</v>
      </c>
      <c r="K189">
        <v>4</v>
      </c>
    </row>
    <row r="190" spans="1:11" x14ac:dyDescent="0.35">
      <c r="A190">
        <v>189</v>
      </c>
      <c r="B190">
        <v>63</v>
      </c>
      <c r="C190" t="s">
        <v>16</v>
      </c>
      <c r="D190" t="s">
        <v>33</v>
      </c>
      <c r="E190" t="s">
        <v>38</v>
      </c>
      <c r="F190">
        <v>162.26</v>
      </c>
      <c r="G190" t="s">
        <v>14</v>
      </c>
      <c r="H190" t="s">
        <v>15</v>
      </c>
      <c r="I190">
        <v>3.5</v>
      </c>
      <c r="J190">
        <v>12</v>
      </c>
      <c r="K190">
        <v>6</v>
      </c>
    </row>
    <row r="191" spans="1:11" x14ac:dyDescent="0.35">
      <c r="A191">
        <v>190</v>
      </c>
      <c r="B191">
        <v>38</v>
      </c>
      <c r="C191" t="s">
        <v>16</v>
      </c>
      <c r="D191" t="s">
        <v>17</v>
      </c>
      <c r="E191" t="s">
        <v>35</v>
      </c>
      <c r="F191">
        <v>31.14</v>
      </c>
      <c r="G191" t="s">
        <v>31</v>
      </c>
      <c r="H191" t="s">
        <v>15</v>
      </c>
      <c r="I191">
        <v>4.4000000000000004</v>
      </c>
      <c r="J191">
        <v>19</v>
      </c>
      <c r="K191">
        <v>7</v>
      </c>
    </row>
    <row r="192" spans="1:11" x14ac:dyDescent="0.35">
      <c r="A192">
        <v>191</v>
      </c>
      <c r="B192">
        <v>23</v>
      </c>
      <c r="C192" t="s">
        <v>16</v>
      </c>
      <c r="D192" t="s">
        <v>25</v>
      </c>
      <c r="E192" t="s">
        <v>54</v>
      </c>
      <c r="F192">
        <v>7.07</v>
      </c>
      <c r="G192" t="s">
        <v>19</v>
      </c>
      <c r="H192" t="s">
        <v>37</v>
      </c>
      <c r="I192">
        <v>3.7</v>
      </c>
      <c r="J192">
        <v>18</v>
      </c>
      <c r="K192">
        <v>4</v>
      </c>
    </row>
    <row r="193" spans="1:11" x14ac:dyDescent="0.35">
      <c r="A193">
        <v>192</v>
      </c>
      <c r="B193">
        <v>56</v>
      </c>
      <c r="C193" t="s">
        <v>11</v>
      </c>
      <c r="D193" t="s">
        <v>22</v>
      </c>
      <c r="E193" t="s">
        <v>43</v>
      </c>
      <c r="F193">
        <v>157.97999999999999</v>
      </c>
      <c r="G193" t="s">
        <v>24</v>
      </c>
      <c r="H193" t="s">
        <v>15</v>
      </c>
      <c r="I193">
        <v>4.8</v>
      </c>
      <c r="J193">
        <v>10</v>
      </c>
      <c r="K193">
        <v>5</v>
      </c>
    </row>
    <row r="194" spans="1:11" x14ac:dyDescent="0.35">
      <c r="A194">
        <v>193</v>
      </c>
      <c r="B194">
        <v>51</v>
      </c>
      <c r="C194" t="s">
        <v>11</v>
      </c>
      <c r="D194" t="s">
        <v>29</v>
      </c>
      <c r="E194" t="s">
        <v>55</v>
      </c>
      <c r="F194">
        <v>82.12</v>
      </c>
      <c r="G194" t="s">
        <v>24</v>
      </c>
      <c r="H194" t="s">
        <v>15</v>
      </c>
      <c r="I194">
        <v>3.2</v>
      </c>
      <c r="J194">
        <v>13</v>
      </c>
      <c r="K194">
        <v>4</v>
      </c>
    </row>
    <row r="195" spans="1:11" x14ac:dyDescent="0.35">
      <c r="A195">
        <v>194</v>
      </c>
      <c r="B195">
        <v>65</v>
      </c>
      <c r="C195" t="s">
        <v>16</v>
      </c>
      <c r="D195" t="s">
        <v>20</v>
      </c>
      <c r="E195" t="s">
        <v>39</v>
      </c>
      <c r="F195">
        <v>150.47999999999999</v>
      </c>
      <c r="G195" t="s">
        <v>24</v>
      </c>
      <c r="H195" t="s">
        <v>15</v>
      </c>
      <c r="I195">
        <v>3.5</v>
      </c>
      <c r="J195">
        <v>20</v>
      </c>
      <c r="K195">
        <v>5</v>
      </c>
    </row>
    <row r="196" spans="1:11" x14ac:dyDescent="0.35">
      <c r="A196">
        <v>195</v>
      </c>
      <c r="B196">
        <v>36</v>
      </c>
      <c r="C196" t="s">
        <v>16</v>
      </c>
      <c r="D196" t="s">
        <v>20</v>
      </c>
      <c r="E196" t="s">
        <v>36</v>
      </c>
      <c r="F196">
        <v>153.11000000000001</v>
      </c>
      <c r="G196" t="s">
        <v>31</v>
      </c>
      <c r="H196" t="s">
        <v>15</v>
      </c>
      <c r="I196">
        <v>4</v>
      </c>
      <c r="J196">
        <v>6</v>
      </c>
      <c r="K196">
        <v>3</v>
      </c>
    </row>
    <row r="197" spans="1:11" x14ac:dyDescent="0.35">
      <c r="A197">
        <v>196</v>
      </c>
      <c r="B197">
        <v>46</v>
      </c>
      <c r="C197" t="s">
        <v>16</v>
      </c>
      <c r="D197" t="s">
        <v>17</v>
      </c>
      <c r="E197" t="s">
        <v>18</v>
      </c>
      <c r="F197">
        <v>107.94</v>
      </c>
      <c r="G197" t="s">
        <v>19</v>
      </c>
      <c r="H197" t="s">
        <v>15</v>
      </c>
      <c r="I197">
        <v>3.8</v>
      </c>
      <c r="J197">
        <v>6</v>
      </c>
      <c r="K197">
        <v>3</v>
      </c>
    </row>
    <row r="198" spans="1:11" x14ac:dyDescent="0.35">
      <c r="A198">
        <v>197</v>
      </c>
      <c r="B198">
        <v>31</v>
      </c>
      <c r="C198" t="s">
        <v>11</v>
      </c>
      <c r="D198" t="s">
        <v>20</v>
      </c>
      <c r="E198" t="s">
        <v>36</v>
      </c>
      <c r="F198">
        <v>245.72</v>
      </c>
      <c r="G198" t="s">
        <v>24</v>
      </c>
      <c r="H198" t="s">
        <v>15</v>
      </c>
      <c r="I198">
        <v>4.0999999999999996</v>
      </c>
      <c r="J198">
        <v>20</v>
      </c>
      <c r="K198">
        <v>5</v>
      </c>
    </row>
    <row r="199" spans="1:11" x14ac:dyDescent="0.35">
      <c r="A199">
        <v>198</v>
      </c>
      <c r="B199">
        <v>70</v>
      </c>
      <c r="C199" t="s">
        <v>11</v>
      </c>
      <c r="D199" t="s">
        <v>29</v>
      </c>
      <c r="E199" t="s">
        <v>51</v>
      </c>
      <c r="F199">
        <v>79.28</v>
      </c>
      <c r="G199" t="s">
        <v>24</v>
      </c>
      <c r="H199" t="s">
        <v>15</v>
      </c>
      <c r="I199">
        <v>2</v>
      </c>
      <c r="J199">
        <v>12</v>
      </c>
      <c r="K199">
        <v>6</v>
      </c>
    </row>
    <row r="200" spans="1:11" x14ac:dyDescent="0.35">
      <c r="A200">
        <v>199</v>
      </c>
      <c r="B200">
        <v>68</v>
      </c>
      <c r="C200" t="s">
        <v>16</v>
      </c>
      <c r="D200" t="s">
        <v>33</v>
      </c>
      <c r="E200" t="s">
        <v>38</v>
      </c>
      <c r="F200">
        <v>225.53</v>
      </c>
      <c r="G200" t="s">
        <v>19</v>
      </c>
      <c r="H200" t="s">
        <v>15</v>
      </c>
      <c r="I200">
        <v>4.5</v>
      </c>
      <c r="J200">
        <v>13</v>
      </c>
      <c r="K200">
        <v>4</v>
      </c>
    </row>
    <row r="201" spans="1:11" x14ac:dyDescent="0.35">
      <c r="A201">
        <v>200</v>
      </c>
      <c r="B201">
        <v>29</v>
      </c>
      <c r="C201" t="s">
        <v>11</v>
      </c>
      <c r="D201" t="s">
        <v>29</v>
      </c>
      <c r="E201" t="s">
        <v>51</v>
      </c>
      <c r="F201">
        <v>63.34</v>
      </c>
      <c r="G201" t="s">
        <v>31</v>
      </c>
      <c r="H201" t="s">
        <v>15</v>
      </c>
      <c r="I201">
        <v>4.5</v>
      </c>
      <c r="J201">
        <v>17</v>
      </c>
      <c r="K201">
        <v>6</v>
      </c>
    </row>
    <row r="202" spans="1:11" x14ac:dyDescent="0.35">
      <c r="A202">
        <v>201</v>
      </c>
      <c r="B202">
        <v>20</v>
      </c>
      <c r="C202" t="s">
        <v>11</v>
      </c>
      <c r="D202" t="s">
        <v>29</v>
      </c>
      <c r="E202" t="s">
        <v>30</v>
      </c>
      <c r="F202">
        <v>38.57</v>
      </c>
      <c r="G202" t="s">
        <v>19</v>
      </c>
      <c r="H202" t="s">
        <v>15</v>
      </c>
      <c r="I202">
        <v>4.5999999999999996</v>
      </c>
      <c r="J202">
        <v>19</v>
      </c>
      <c r="K202">
        <v>7</v>
      </c>
    </row>
    <row r="203" spans="1:11" x14ac:dyDescent="0.35">
      <c r="A203">
        <v>202</v>
      </c>
      <c r="B203">
        <v>30</v>
      </c>
      <c r="C203" t="s">
        <v>16</v>
      </c>
      <c r="D203" t="s">
        <v>17</v>
      </c>
      <c r="E203" t="s">
        <v>35</v>
      </c>
      <c r="F203">
        <v>128.1</v>
      </c>
      <c r="G203" t="s">
        <v>31</v>
      </c>
      <c r="H203" t="s">
        <v>15</v>
      </c>
      <c r="I203">
        <v>3</v>
      </c>
      <c r="J203">
        <v>12</v>
      </c>
      <c r="K203">
        <v>1</v>
      </c>
    </row>
    <row r="204" spans="1:11" x14ac:dyDescent="0.35">
      <c r="A204">
        <v>203</v>
      </c>
      <c r="B204">
        <v>57</v>
      </c>
      <c r="C204" t="s">
        <v>11</v>
      </c>
      <c r="D204" t="s">
        <v>29</v>
      </c>
      <c r="E204" t="s">
        <v>30</v>
      </c>
      <c r="F204">
        <v>129.47</v>
      </c>
      <c r="G204" t="s">
        <v>19</v>
      </c>
      <c r="H204" t="s">
        <v>15</v>
      </c>
      <c r="I204">
        <v>4.4000000000000004</v>
      </c>
      <c r="J204">
        <v>15</v>
      </c>
      <c r="K204">
        <v>5</v>
      </c>
    </row>
    <row r="205" spans="1:11" x14ac:dyDescent="0.35">
      <c r="A205">
        <v>204</v>
      </c>
      <c r="B205">
        <v>46</v>
      </c>
      <c r="C205" t="s">
        <v>11</v>
      </c>
      <c r="D205" t="s">
        <v>29</v>
      </c>
      <c r="E205" t="s">
        <v>30</v>
      </c>
      <c r="F205">
        <v>49.38</v>
      </c>
      <c r="G205" t="s">
        <v>19</v>
      </c>
      <c r="H205" t="s">
        <v>37</v>
      </c>
      <c r="I205">
        <v>3.4</v>
      </c>
      <c r="J205">
        <v>19</v>
      </c>
      <c r="K205">
        <v>7</v>
      </c>
    </row>
    <row r="206" spans="1:11" x14ac:dyDescent="0.35">
      <c r="A206">
        <v>205</v>
      </c>
      <c r="B206">
        <v>55</v>
      </c>
      <c r="C206" t="s">
        <v>11</v>
      </c>
      <c r="D206" t="s">
        <v>33</v>
      </c>
      <c r="E206" t="s">
        <v>34</v>
      </c>
      <c r="F206">
        <v>90.81</v>
      </c>
      <c r="G206" t="s">
        <v>14</v>
      </c>
      <c r="H206" t="s">
        <v>15</v>
      </c>
      <c r="I206">
        <v>4.4000000000000004</v>
      </c>
      <c r="J206">
        <v>24</v>
      </c>
      <c r="K206">
        <v>7</v>
      </c>
    </row>
    <row r="207" spans="1:11" x14ac:dyDescent="0.35">
      <c r="A207">
        <v>206</v>
      </c>
      <c r="B207">
        <v>68</v>
      </c>
      <c r="C207" t="s">
        <v>16</v>
      </c>
      <c r="D207" t="s">
        <v>25</v>
      </c>
      <c r="E207" t="s">
        <v>54</v>
      </c>
      <c r="F207">
        <v>63.73</v>
      </c>
      <c r="G207" t="s">
        <v>24</v>
      </c>
      <c r="H207" t="s">
        <v>15</v>
      </c>
      <c r="I207">
        <v>4.5</v>
      </c>
      <c r="J207">
        <v>24</v>
      </c>
      <c r="K207">
        <v>7</v>
      </c>
    </row>
    <row r="208" spans="1:11" x14ac:dyDescent="0.35">
      <c r="A208">
        <v>207</v>
      </c>
      <c r="B208">
        <v>62</v>
      </c>
      <c r="C208" t="s">
        <v>16</v>
      </c>
      <c r="D208" t="s">
        <v>17</v>
      </c>
      <c r="E208" t="s">
        <v>35</v>
      </c>
      <c r="F208">
        <v>127.21</v>
      </c>
      <c r="G208" t="s">
        <v>14</v>
      </c>
      <c r="H208" t="s">
        <v>15</v>
      </c>
      <c r="I208">
        <v>4.9000000000000004</v>
      </c>
      <c r="J208">
        <v>14</v>
      </c>
      <c r="K208">
        <v>7</v>
      </c>
    </row>
    <row r="209" spans="1:11" x14ac:dyDescent="0.35">
      <c r="A209">
        <v>208</v>
      </c>
      <c r="B209">
        <v>29</v>
      </c>
      <c r="C209" t="s">
        <v>16</v>
      </c>
      <c r="D209" t="s">
        <v>25</v>
      </c>
      <c r="E209" t="s">
        <v>26</v>
      </c>
      <c r="F209">
        <v>54.98</v>
      </c>
      <c r="G209" t="s">
        <v>14</v>
      </c>
      <c r="H209" t="s">
        <v>37</v>
      </c>
      <c r="I209">
        <v>2.9</v>
      </c>
      <c r="J209">
        <v>16</v>
      </c>
      <c r="K209">
        <v>8</v>
      </c>
    </row>
    <row r="210" spans="1:11" x14ac:dyDescent="0.35">
      <c r="A210">
        <v>209</v>
      </c>
      <c r="B210">
        <v>58</v>
      </c>
      <c r="C210" t="s">
        <v>11</v>
      </c>
      <c r="D210" t="s">
        <v>12</v>
      </c>
      <c r="E210" t="s">
        <v>50</v>
      </c>
      <c r="F210">
        <v>37.76</v>
      </c>
      <c r="G210" t="s">
        <v>14</v>
      </c>
      <c r="H210" t="s">
        <v>15</v>
      </c>
      <c r="I210">
        <v>3.5</v>
      </c>
      <c r="J210">
        <v>14</v>
      </c>
      <c r="K210">
        <v>2</v>
      </c>
    </row>
    <row r="211" spans="1:11" x14ac:dyDescent="0.35">
      <c r="A211">
        <v>210</v>
      </c>
      <c r="B211">
        <v>50</v>
      </c>
      <c r="C211" t="s">
        <v>11</v>
      </c>
      <c r="D211" t="s">
        <v>29</v>
      </c>
      <c r="E211" t="s">
        <v>51</v>
      </c>
      <c r="F211">
        <v>81.400000000000006</v>
      </c>
      <c r="G211" t="s">
        <v>19</v>
      </c>
      <c r="H211" t="s">
        <v>37</v>
      </c>
      <c r="I211">
        <v>4.9000000000000004</v>
      </c>
      <c r="J211">
        <v>20</v>
      </c>
      <c r="K211">
        <v>5</v>
      </c>
    </row>
    <row r="212" spans="1:11" x14ac:dyDescent="0.35">
      <c r="A212">
        <v>211</v>
      </c>
      <c r="B212">
        <v>22</v>
      </c>
      <c r="C212" t="s">
        <v>11</v>
      </c>
      <c r="D212" t="s">
        <v>33</v>
      </c>
      <c r="E212" t="s">
        <v>40</v>
      </c>
      <c r="F212">
        <v>183.26</v>
      </c>
      <c r="G212" t="s">
        <v>24</v>
      </c>
      <c r="H212" t="s">
        <v>15</v>
      </c>
      <c r="I212">
        <v>2.4</v>
      </c>
      <c r="J212">
        <v>6</v>
      </c>
      <c r="K212">
        <v>3</v>
      </c>
    </row>
    <row r="213" spans="1:11" x14ac:dyDescent="0.35">
      <c r="A213">
        <v>212</v>
      </c>
      <c r="B213">
        <v>29</v>
      </c>
      <c r="C213" t="s">
        <v>11</v>
      </c>
      <c r="D213" t="s">
        <v>41</v>
      </c>
      <c r="E213" t="s">
        <v>42</v>
      </c>
      <c r="F213">
        <v>172.51</v>
      </c>
      <c r="G213" t="s">
        <v>14</v>
      </c>
      <c r="H213" t="s">
        <v>15</v>
      </c>
      <c r="I213">
        <v>3.8</v>
      </c>
      <c r="J213">
        <v>13</v>
      </c>
      <c r="K213">
        <v>4</v>
      </c>
    </row>
    <row r="214" spans="1:11" x14ac:dyDescent="0.35">
      <c r="A214">
        <v>213</v>
      </c>
      <c r="B214">
        <v>43</v>
      </c>
      <c r="C214" t="s">
        <v>16</v>
      </c>
      <c r="D214" t="s">
        <v>20</v>
      </c>
      <c r="E214" t="s">
        <v>36</v>
      </c>
      <c r="F214">
        <v>141.78</v>
      </c>
      <c r="G214" t="s">
        <v>24</v>
      </c>
      <c r="H214" t="s">
        <v>15</v>
      </c>
      <c r="I214">
        <v>2.9</v>
      </c>
      <c r="J214">
        <v>24</v>
      </c>
      <c r="K214">
        <v>7</v>
      </c>
    </row>
    <row r="215" spans="1:11" x14ac:dyDescent="0.35">
      <c r="A215">
        <v>214</v>
      </c>
      <c r="B215">
        <v>25</v>
      </c>
      <c r="C215" t="s">
        <v>16</v>
      </c>
      <c r="D215" t="s">
        <v>25</v>
      </c>
      <c r="E215" t="s">
        <v>47</v>
      </c>
      <c r="F215">
        <v>62.99</v>
      </c>
      <c r="G215" t="s">
        <v>14</v>
      </c>
      <c r="H215" t="s">
        <v>15</v>
      </c>
      <c r="I215">
        <v>2.9</v>
      </c>
      <c r="J215">
        <v>16</v>
      </c>
      <c r="K215">
        <v>3</v>
      </c>
    </row>
    <row r="216" spans="1:11" x14ac:dyDescent="0.35">
      <c r="A216">
        <v>215</v>
      </c>
      <c r="B216">
        <v>32</v>
      </c>
      <c r="C216" t="s">
        <v>16</v>
      </c>
      <c r="D216" t="s">
        <v>33</v>
      </c>
      <c r="E216" t="s">
        <v>40</v>
      </c>
      <c r="F216">
        <v>154.86000000000001</v>
      </c>
      <c r="G216" t="s">
        <v>19</v>
      </c>
      <c r="H216" t="s">
        <v>15</v>
      </c>
      <c r="I216">
        <v>4.0999999999999996</v>
      </c>
      <c r="J216">
        <v>18</v>
      </c>
      <c r="K216">
        <v>4</v>
      </c>
    </row>
    <row r="217" spans="1:11" x14ac:dyDescent="0.35">
      <c r="A217">
        <v>216</v>
      </c>
      <c r="B217">
        <v>47</v>
      </c>
      <c r="C217" t="s">
        <v>16</v>
      </c>
      <c r="D217" t="s">
        <v>33</v>
      </c>
      <c r="E217" t="s">
        <v>34</v>
      </c>
      <c r="F217">
        <v>162.26</v>
      </c>
      <c r="G217" t="s">
        <v>14</v>
      </c>
      <c r="H217" t="s">
        <v>15</v>
      </c>
      <c r="I217">
        <v>4</v>
      </c>
      <c r="J217">
        <v>19</v>
      </c>
      <c r="K217">
        <v>7</v>
      </c>
    </row>
    <row r="218" spans="1:11" x14ac:dyDescent="0.35">
      <c r="A218">
        <v>217</v>
      </c>
      <c r="B218">
        <v>26</v>
      </c>
      <c r="C218" t="s">
        <v>11</v>
      </c>
      <c r="D218" t="s">
        <v>29</v>
      </c>
      <c r="E218" t="s">
        <v>51</v>
      </c>
      <c r="F218">
        <v>60.97</v>
      </c>
      <c r="G218" t="s">
        <v>19</v>
      </c>
      <c r="H218" t="s">
        <v>15</v>
      </c>
      <c r="I218">
        <v>4.5999999999999996</v>
      </c>
      <c r="J218">
        <v>21</v>
      </c>
      <c r="K218">
        <v>8</v>
      </c>
    </row>
    <row r="219" spans="1:11" x14ac:dyDescent="0.35">
      <c r="A219">
        <v>218</v>
      </c>
      <c r="B219">
        <v>69</v>
      </c>
      <c r="C219" t="s">
        <v>11</v>
      </c>
      <c r="D219" t="s">
        <v>25</v>
      </c>
      <c r="E219" t="s">
        <v>57</v>
      </c>
      <c r="F219">
        <v>52.32</v>
      </c>
      <c r="G219" t="s">
        <v>24</v>
      </c>
      <c r="H219" t="s">
        <v>37</v>
      </c>
      <c r="I219">
        <v>3.6</v>
      </c>
      <c r="J219">
        <v>10</v>
      </c>
      <c r="K219">
        <v>5</v>
      </c>
    </row>
    <row r="220" spans="1:11" x14ac:dyDescent="0.35">
      <c r="A220">
        <v>219</v>
      </c>
      <c r="B220">
        <v>25</v>
      </c>
      <c r="C220" t="s">
        <v>11</v>
      </c>
      <c r="D220" t="s">
        <v>41</v>
      </c>
      <c r="E220" t="s">
        <v>45</v>
      </c>
      <c r="F220">
        <v>122.97</v>
      </c>
      <c r="G220" t="s">
        <v>14</v>
      </c>
      <c r="H220" t="s">
        <v>15</v>
      </c>
      <c r="I220">
        <v>4.3</v>
      </c>
      <c r="J220">
        <v>24</v>
      </c>
      <c r="K220">
        <v>7</v>
      </c>
    </row>
    <row r="221" spans="1:11" x14ac:dyDescent="0.35">
      <c r="A221">
        <v>220</v>
      </c>
      <c r="B221">
        <v>63</v>
      </c>
      <c r="C221" t="s">
        <v>11</v>
      </c>
      <c r="D221" t="s">
        <v>20</v>
      </c>
      <c r="E221" t="s">
        <v>39</v>
      </c>
      <c r="F221">
        <v>245.76</v>
      </c>
      <c r="G221" t="s">
        <v>19</v>
      </c>
      <c r="H221" t="s">
        <v>15</v>
      </c>
      <c r="I221">
        <v>4</v>
      </c>
      <c r="J221">
        <v>13</v>
      </c>
      <c r="K221">
        <v>4</v>
      </c>
    </row>
    <row r="222" spans="1:11" x14ac:dyDescent="0.35">
      <c r="A222">
        <v>221</v>
      </c>
      <c r="B222">
        <v>45</v>
      </c>
      <c r="C222" t="s">
        <v>11</v>
      </c>
      <c r="D222" t="s">
        <v>20</v>
      </c>
      <c r="E222" t="s">
        <v>21</v>
      </c>
      <c r="F222">
        <v>229.28</v>
      </c>
      <c r="G222" t="s">
        <v>14</v>
      </c>
      <c r="H222" t="s">
        <v>15</v>
      </c>
      <c r="I222">
        <v>4.9000000000000004</v>
      </c>
      <c r="J222">
        <v>16</v>
      </c>
      <c r="K222">
        <v>8</v>
      </c>
    </row>
    <row r="223" spans="1:11" x14ac:dyDescent="0.35">
      <c r="A223">
        <v>222</v>
      </c>
      <c r="B223">
        <v>43</v>
      </c>
      <c r="C223" t="s">
        <v>11</v>
      </c>
      <c r="D223" t="s">
        <v>41</v>
      </c>
      <c r="E223" t="s">
        <v>42</v>
      </c>
      <c r="F223">
        <v>32.06</v>
      </c>
      <c r="G223" t="s">
        <v>31</v>
      </c>
      <c r="H223" t="s">
        <v>15</v>
      </c>
      <c r="I223">
        <v>3.5</v>
      </c>
      <c r="J223">
        <v>7</v>
      </c>
      <c r="K223">
        <v>1</v>
      </c>
    </row>
    <row r="224" spans="1:11" x14ac:dyDescent="0.35">
      <c r="A224">
        <v>223</v>
      </c>
      <c r="B224">
        <v>40</v>
      </c>
      <c r="C224" t="s">
        <v>11</v>
      </c>
      <c r="D224" t="s">
        <v>33</v>
      </c>
      <c r="E224" t="s">
        <v>34</v>
      </c>
      <c r="F224">
        <v>148.08000000000001</v>
      </c>
      <c r="G224" t="s">
        <v>24</v>
      </c>
      <c r="H224" t="s">
        <v>15</v>
      </c>
      <c r="I224">
        <v>3.7</v>
      </c>
      <c r="J224">
        <v>10</v>
      </c>
      <c r="K224">
        <v>5</v>
      </c>
    </row>
    <row r="225" spans="1:11" x14ac:dyDescent="0.35">
      <c r="A225">
        <v>224</v>
      </c>
      <c r="B225">
        <v>48</v>
      </c>
      <c r="C225" t="s">
        <v>16</v>
      </c>
      <c r="D225" t="s">
        <v>20</v>
      </c>
      <c r="E225" t="s">
        <v>21</v>
      </c>
      <c r="F225">
        <v>32.340000000000003</v>
      </c>
      <c r="G225" t="s">
        <v>24</v>
      </c>
      <c r="H225" t="s">
        <v>37</v>
      </c>
      <c r="I225">
        <v>4.0999999999999996</v>
      </c>
      <c r="J225">
        <v>6</v>
      </c>
      <c r="K225">
        <v>3</v>
      </c>
    </row>
    <row r="226" spans="1:11" x14ac:dyDescent="0.35">
      <c r="A226">
        <v>225</v>
      </c>
      <c r="B226">
        <v>39</v>
      </c>
      <c r="C226" t="s">
        <v>16</v>
      </c>
      <c r="D226" t="s">
        <v>20</v>
      </c>
      <c r="E226" t="s">
        <v>21</v>
      </c>
      <c r="F226">
        <v>79.09</v>
      </c>
      <c r="G226" t="s">
        <v>24</v>
      </c>
      <c r="H226" t="s">
        <v>15</v>
      </c>
      <c r="I226">
        <v>4</v>
      </c>
      <c r="J226">
        <v>8</v>
      </c>
      <c r="K226">
        <v>4</v>
      </c>
    </row>
    <row r="227" spans="1:11" x14ac:dyDescent="0.35">
      <c r="A227">
        <v>226</v>
      </c>
      <c r="B227">
        <v>23</v>
      </c>
      <c r="C227" t="s">
        <v>16</v>
      </c>
      <c r="D227" t="s">
        <v>20</v>
      </c>
      <c r="E227" t="s">
        <v>39</v>
      </c>
      <c r="F227">
        <v>121.19</v>
      </c>
      <c r="G227" t="s">
        <v>14</v>
      </c>
      <c r="H227" t="s">
        <v>15</v>
      </c>
      <c r="I227">
        <v>3.2</v>
      </c>
      <c r="J227">
        <v>17</v>
      </c>
      <c r="K227">
        <v>6</v>
      </c>
    </row>
    <row r="228" spans="1:11" x14ac:dyDescent="0.35">
      <c r="A228">
        <v>227</v>
      </c>
      <c r="B228">
        <v>42</v>
      </c>
      <c r="C228" t="s">
        <v>11</v>
      </c>
      <c r="D228" t="s">
        <v>41</v>
      </c>
      <c r="E228" t="s">
        <v>42</v>
      </c>
      <c r="F228">
        <v>64.760000000000005</v>
      </c>
      <c r="G228" t="s">
        <v>31</v>
      </c>
      <c r="H228" t="s">
        <v>15</v>
      </c>
      <c r="I228">
        <v>3.7</v>
      </c>
      <c r="J228">
        <v>11</v>
      </c>
      <c r="K228">
        <v>3</v>
      </c>
    </row>
    <row r="229" spans="1:11" x14ac:dyDescent="0.35">
      <c r="A229">
        <v>228</v>
      </c>
      <c r="B229">
        <v>43</v>
      </c>
      <c r="C229" t="s">
        <v>16</v>
      </c>
      <c r="D229" t="s">
        <v>27</v>
      </c>
      <c r="E229" t="s">
        <v>32</v>
      </c>
      <c r="F229">
        <v>2234.0500000000002</v>
      </c>
      <c r="G229" t="s">
        <v>31</v>
      </c>
      <c r="H229" t="s">
        <v>15</v>
      </c>
      <c r="I229">
        <v>4.2</v>
      </c>
      <c r="J229">
        <v>12</v>
      </c>
      <c r="K229">
        <v>6</v>
      </c>
    </row>
    <row r="230" spans="1:11" x14ac:dyDescent="0.35">
      <c r="A230">
        <v>229</v>
      </c>
      <c r="B230">
        <v>60</v>
      </c>
      <c r="C230" t="s">
        <v>16</v>
      </c>
      <c r="D230" t="s">
        <v>20</v>
      </c>
      <c r="E230" t="s">
        <v>36</v>
      </c>
      <c r="F230">
        <v>106.49</v>
      </c>
      <c r="G230" t="s">
        <v>31</v>
      </c>
      <c r="H230" t="s">
        <v>15</v>
      </c>
      <c r="I230">
        <v>3.4</v>
      </c>
      <c r="J230">
        <v>16</v>
      </c>
      <c r="K230">
        <v>3</v>
      </c>
    </row>
    <row r="231" spans="1:11" x14ac:dyDescent="0.35">
      <c r="A231">
        <v>230</v>
      </c>
      <c r="B231">
        <v>55</v>
      </c>
      <c r="C231" t="s">
        <v>16</v>
      </c>
      <c r="D231" t="s">
        <v>27</v>
      </c>
      <c r="E231" t="s">
        <v>53</v>
      </c>
      <c r="F231">
        <v>2024.08</v>
      </c>
      <c r="G231" t="s">
        <v>31</v>
      </c>
      <c r="H231" t="s">
        <v>15</v>
      </c>
      <c r="I231">
        <v>3.2</v>
      </c>
      <c r="J231">
        <v>18</v>
      </c>
      <c r="K231">
        <v>4</v>
      </c>
    </row>
    <row r="232" spans="1:11" x14ac:dyDescent="0.35">
      <c r="A232">
        <v>231</v>
      </c>
      <c r="B232">
        <v>55</v>
      </c>
      <c r="C232" t="s">
        <v>16</v>
      </c>
      <c r="D232" t="s">
        <v>17</v>
      </c>
      <c r="E232" t="s">
        <v>18</v>
      </c>
      <c r="F232">
        <v>122.22</v>
      </c>
      <c r="G232" t="s">
        <v>31</v>
      </c>
      <c r="H232" t="s">
        <v>15</v>
      </c>
      <c r="I232">
        <v>4.0999999999999996</v>
      </c>
      <c r="J232">
        <v>13</v>
      </c>
      <c r="K232">
        <v>4</v>
      </c>
    </row>
    <row r="233" spans="1:11" x14ac:dyDescent="0.35">
      <c r="A233">
        <v>232</v>
      </c>
      <c r="B233">
        <v>51</v>
      </c>
      <c r="C233" t="s">
        <v>11</v>
      </c>
      <c r="D233" t="s">
        <v>29</v>
      </c>
      <c r="E233" t="s">
        <v>30</v>
      </c>
      <c r="F233">
        <v>112.88</v>
      </c>
      <c r="G233" t="s">
        <v>14</v>
      </c>
      <c r="H233" t="s">
        <v>15</v>
      </c>
      <c r="I233">
        <v>4.9000000000000004</v>
      </c>
      <c r="J233">
        <v>22</v>
      </c>
      <c r="K233">
        <v>6</v>
      </c>
    </row>
    <row r="234" spans="1:11" x14ac:dyDescent="0.35">
      <c r="A234">
        <v>233</v>
      </c>
      <c r="B234">
        <v>58</v>
      </c>
      <c r="C234" t="s">
        <v>16</v>
      </c>
      <c r="D234" t="s">
        <v>33</v>
      </c>
      <c r="E234" t="s">
        <v>38</v>
      </c>
      <c r="F234">
        <v>66.28</v>
      </c>
      <c r="G234" t="s">
        <v>24</v>
      </c>
      <c r="H234" t="s">
        <v>37</v>
      </c>
      <c r="I234">
        <v>2.7</v>
      </c>
      <c r="J234">
        <v>6</v>
      </c>
      <c r="K234">
        <v>3</v>
      </c>
    </row>
    <row r="235" spans="1:11" x14ac:dyDescent="0.35">
      <c r="A235">
        <v>234</v>
      </c>
      <c r="B235">
        <v>22</v>
      </c>
      <c r="C235" t="s">
        <v>16</v>
      </c>
      <c r="D235" t="s">
        <v>20</v>
      </c>
      <c r="E235" t="s">
        <v>39</v>
      </c>
      <c r="F235">
        <v>122.95</v>
      </c>
      <c r="G235" t="s">
        <v>14</v>
      </c>
      <c r="H235" t="s">
        <v>15</v>
      </c>
      <c r="I235">
        <v>3.1</v>
      </c>
      <c r="J235">
        <v>22</v>
      </c>
      <c r="K235">
        <v>6</v>
      </c>
    </row>
    <row r="236" spans="1:11" x14ac:dyDescent="0.35">
      <c r="A236">
        <v>235</v>
      </c>
      <c r="B236">
        <v>54</v>
      </c>
      <c r="C236" t="s">
        <v>11</v>
      </c>
      <c r="D236" t="s">
        <v>29</v>
      </c>
      <c r="E236" t="s">
        <v>51</v>
      </c>
      <c r="F236">
        <v>129.63</v>
      </c>
      <c r="G236" t="s">
        <v>19</v>
      </c>
      <c r="H236" t="s">
        <v>15</v>
      </c>
      <c r="I236">
        <v>5</v>
      </c>
      <c r="J236">
        <v>10</v>
      </c>
      <c r="K236">
        <v>5</v>
      </c>
    </row>
    <row r="237" spans="1:11" x14ac:dyDescent="0.35">
      <c r="A237">
        <v>236</v>
      </c>
      <c r="B237">
        <v>59</v>
      </c>
      <c r="C237" t="s">
        <v>16</v>
      </c>
      <c r="D237" t="s">
        <v>17</v>
      </c>
      <c r="E237" t="s">
        <v>48</v>
      </c>
      <c r="F237">
        <v>191.92</v>
      </c>
      <c r="G237" t="s">
        <v>14</v>
      </c>
      <c r="H237" t="s">
        <v>15</v>
      </c>
      <c r="I237">
        <v>3.9</v>
      </c>
      <c r="J237">
        <v>21</v>
      </c>
      <c r="K237">
        <v>8</v>
      </c>
    </row>
    <row r="238" spans="1:11" x14ac:dyDescent="0.35">
      <c r="A238">
        <v>237</v>
      </c>
      <c r="B238">
        <v>22</v>
      </c>
      <c r="C238" t="s">
        <v>11</v>
      </c>
      <c r="D238" t="s">
        <v>12</v>
      </c>
      <c r="E238" t="s">
        <v>50</v>
      </c>
      <c r="F238">
        <v>21.95</v>
      </c>
      <c r="G238" t="s">
        <v>24</v>
      </c>
      <c r="H238" t="s">
        <v>37</v>
      </c>
      <c r="I238">
        <v>3.6</v>
      </c>
      <c r="J238">
        <v>16</v>
      </c>
      <c r="K238">
        <v>3</v>
      </c>
    </row>
    <row r="239" spans="1:11" x14ac:dyDescent="0.35">
      <c r="A239">
        <v>238</v>
      </c>
      <c r="B239">
        <v>24</v>
      </c>
      <c r="C239" t="s">
        <v>16</v>
      </c>
      <c r="D239" t="s">
        <v>27</v>
      </c>
      <c r="E239" t="s">
        <v>28</v>
      </c>
      <c r="F239">
        <v>1117.83</v>
      </c>
      <c r="G239" t="s">
        <v>31</v>
      </c>
      <c r="H239" t="s">
        <v>15</v>
      </c>
      <c r="I239">
        <v>2.9</v>
      </c>
      <c r="J239">
        <v>13</v>
      </c>
      <c r="K239">
        <v>4</v>
      </c>
    </row>
    <row r="240" spans="1:11" x14ac:dyDescent="0.35">
      <c r="A240">
        <v>239</v>
      </c>
      <c r="B240">
        <v>58</v>
      </c>
      <c r="C240" t="s">
        <v>11</v>
      </c>
      <c r="D240" t="s">
        <v>33</v>
      </c>
      <c r="E240" t="s">
        <v>34</v>
      </c>
      <c r="F240">
        <v>194.03</v>
      </c>
      <c r="G240" t="s">
        <v>19</v>
      </c>
      <c r="H240" t="s">
        <v>15</v>
      </c>
      <c r="I240">
        <v>3</v>
      </c>
      <c r="J240">
        <v>21</v>
      </c>
      <c r="K240">
        <v>8</v>
      </c>
    </row>
    <row r="241" spans="1:11" x14ac:dyDescent="0.35">
      <c r="A241">
        <v>240</v>
      </c>
      <c r="B241">
        <v>24</v>
      </c>
      <c r="C241" t="s">
        <v>11</v>
      </c>
      <c r="D241" t="s">
        <v>29</v>
      </c>
      <c r="E241" t="s">
        <v>51</v>
      </c>
      <c r="F241">
        <v>111.59</v>
      </c>
      <c r="G241" t="s">
        <v>31</v>
      </c>
      <c r="H241" t="s">
        <v>15</v>
      </c>
      <c r="I241">
        <v>3.7</v>
      </c>
      <c r="J241">
        <v>8</v>
      </c>
      <c r="K241">
        <v>4</v>
      </c>
    </row>
    <row r="242" spans="1:11" x14ac:dyDescent="0.35">
      <c r="A242">
        <v>241</v>
      </c>
      <c r="B242">
        <v>35</v>
      </c>
      <c r="C242" t="s">
        <v>11</v>
      </c>
      <c r="D242" t="s">
        <v>41</v>
      </c>
      <c r="E242" t="s">
        <v>45</v>
      </c>
      <c r="F242">
        <v>194.65</v>
      </c>
      <c r="G242" t="s">
        <v>14</v>
      </c>
      <c r="H242" t="s">
        <v>15</v>
      </c>
      <c r="I242">
        <v>3.6</v>
      </c>
      <c r="J242">
        <v>9</v>
      </c>
      <c r="K242">
        <v>2</v>
      </c>
    </row>
    <row r="243" spans="1:11" x14ac:dyDescent="0.35">
      <c r="A243">
        <v>242</v>
      </c>
      <c r="B243">
        <v>63</v>
      </c>
      <c r="C243" t="s">
        <v>16</v>
      </c>
      <c r="D243" t="s">
        <v>33</v>
      </c>
      <c r="E243" t="s">
        <v>34</v>
      </c>
      <c r="F243">
        <v>96.15</v>
      </c>
      <c r="G243" t="s">
        <v>24</v>
      </c>
      <c r="H243" t="s">
        <v>15</v>
      </c>
      <c r="I243">
        <v>3.2</v>
      </c>
      <c r="J243">
        <v>9</v>
      </c>
      <c r="K243">
        <v>2</v>
      </c>
    </row>
    <row r="244" spans="1:11" x14ac:dyDescent="0.35">
      <c r="A244">
        <v>243</v>
      </c>
      <c r="B244">
        <v>51</v>
      </c>
      <c r="C244" t="s">
        <v>11</v>
      </c>
      <c r="D244" t="s">
        <v>12</v>
      </c>
      <c r="E244" t="s">
        <v>50</v>
      </c>
      <c r="F244">
        <v>115.63</v>
      </c>
      <c r="G244" t="s">
        <v>24</v>
      </c>
      <c r="H244" t="s">
        <v>15</v>
      </c>
      <c r="I244">
        <v>2.9</v>
      </c>
      <c r="J244">
        <v>19</v>
      </c>
      <c r="K244">
        <v>7</v>
      </c>
    </row>
    <row r="245" spans="1:11" x14ac:dyDescent="0.35">
      <c r="A245">
        <v>244</v>
      </c>
      <c r="B245">
        <v>47</v>
      </c>
      <c r="C245" t="s">
        <v>16</v>
      </c>
      <c r="D245" t="s">
        <v>20</v>
      </c>
      <c r="E245" t="s">
        <v>21</v>
      </c>
      <c r="F245">
        <v>146.94999999999999</v>
      </c>
      <c r="G245" t="s">
        <v>19</v>
      </c>
      <c r="H245" t="s">
        <v>15</v>
      </c>
      <c r="I245">
        <v>5</v>
      </c>
      <c r="J245">
        <v>24</v>
      </c>
      <c r="K245">
        <v>7</v>
      </c>
    </row>
    <row r="246" spans="1:11" x14ac:dyDescent="0.35">
      <c r="A246">
        <v>245</v>
      </c>
      <c r="B246">
        <v>69</v>
      </c>
      <c r="C246" t="s">
        <v>16</v>
      </c>
      <c r="D246" t="s">
        <v>27</v>
      </c>
      <c r="E246" t="s">
        <v>53</v>
      </c>
      <c r="F246">
        <v>2517.9699999999998</v>
      </c>
      <c r="G246" t="s">
        <v>14</v>
      </c>
      <c r="H246" t="s">
        <v>15</v>
      </c>
      <c r="I246">
        <v>4.3</v>
      </c>
      <c r="J246">
        <v>28</v>
      </c>
      <c r="K246">
        <v>9</v>
      </c>
    </row>
    <row r="247" spans="1:11" x14ac:dyDescent="0.35">
      <c r="A247">
        <v>246</v>
      </c>
      <c r="B247">
        <v>66</v>
      </c>
      <c r="C247" t="s">
        <v>11</v>
      </c>
      <c r="D247" t="s">
        <v>29</v>
      </c>
      <c r="E247" t="s">
        <v>51</v>
      </c>
      <c r="F247">
        <v>55.2</v>
      </c>
      <c r="G247" t="s">
        <v>31</v>
      </c>
      <c r="H247" t="s">
        <v>15</v>
      </c>
      <c r="I247">
        <v>3.6</v>
      </c>
      <c r="J247">
        <v>11</v>
      </c>
      <c r="K247">
        <v>3</v>
      </c>
    </row>
    <row r="248" spans="1:11" x14ac:dyDescent="0.35">
      <c r="A248">
        <v>247</v>
      </c>
      <c r="B248">
        <v>35</v>
      </c>
      <c r="C248" t="s">
        <v>11</v>
      </c>
      <c r="D248" t="s">
        <v>12</v>
      </c>
      <c r="E248" t="s">
        <v>56</v>
      </c>
      <c r="F248">
        <v>161.59</v>
      </c>
      <c r="G248" t="s">
        <v>19</v>
      </c>
      <c r="H248" t="s">
        <v>15</v>
      </c>
      <c r="I248">
        <v>3.4</v>
      </c>
      <c r="J248">
        <v>22</v>
      </c>
      <c r="K248">
        <v>6</v>
      </c>
    </row>
    <row r="249" spans="1:11" x14ac:dyDescent="0.35">
      <c r="A249">
        <v>248</v>
      </c>
      <c r="B249">
        <v>36</v>
      </c>
      <c r="C249" t="s">
        <v>16</v>
      </c>
      <c r="D249" t="s">
        <v>33</v>
      </c>
      <c r="E249" t="s">
        <v>40</v>
      </c>
      <c r="F249">
        <v>110.06</v>
      </c>
      <c r="G249" t="s">
        <v>19</v>
      </c>
      <c r="H249" t="s">
        <v>15</v>
      </c>
      <c r="I249">
        <v>3.9</v>
      </c>
      <c r="J249">
        <v>19</v>
      </c>
      <c r="K249">
        <v>7</v>
      </c>
    </row>
    <row r="250" spans="1:11" x14ac:dyDescent="0.35">
      <c r="A250">
        <v>249</v>
      </c>
      <c r="B250">
        <v>59</v>
      </c>
      <c r="C250" t="s">
        <v>11</v>
      </c>
      <c r="D250" t="s">
        <v>12</v>
      </c>
      <c r="E250" t="s">
        <v>13</v>
      </c>
      <c r="F250">
        <v>145.44</v>
      </c>
      <c r="G250" t="s">
        <v>31</v>
      </c>
      <c r="H250" t="s">
        <v>15</v>
      </c>
      <c r="I250">
        <v>4.5</v>
      </c>
      <c r="J250">
        <v>22</v>
      </c>
      <c r="K250">
        <v>6</v>
      </c>
    </row>
    <row r="251" spans="1:11" x14ac:dyDescent="0.35">
      <c r="A251">
        <v>250</v>
      </c>
      <c r="B251">
        <v>20</v>
      </c>
      <c r="C251" t="s">
        <v>16</v>
      </c>
      <c r="D251" t="s">
        <v>17</v>
      </c>
      <c r="E251" t="s">
        <v>42</v>
      </c>
      <c r="F251">
        <v>99.49</v>
      </c>
      <c r="G251" t="s">
        <v>14</v>
      </c>
      <c r="H251" t="s">
        <v>37</v>
      </c>
      <c r="I251">
        <v>3.8</v>
      </c>
      <c r="J251">
        <v>18</v>
      </c>
      <c r="K251">
        <v>9</v>
      </c>
    </row>
    <row r="252" spans="1:11" x14ac:dyDescent="0.35">
      <c r="A252">
        <v>251</v>
      </c>
      <c r="B252">
        <v>46</v>
      </c>
      <c r="C252" t="s">
        <v>11</v>
      </c>
      <c r="D252" t="s">
        <v>29</v>
      </c>
      <c r="E252" t="s">
        <v>55</v>
      </c>
      <c r="F252">
        <v>116.53</v>
      </c>
      <c r="G252" t="s">
        <v>24</v>
      </c>
      <c r="H252" t="s">
        <v>15</v>
      </c>
      <c r="I252">
        <v>4.2</v>
      </c>
      <c r="J252">
        <v>12</v>
      </c>
      <c r="K252">
        <v>6</v>
      </c>
    </row>
    <row r="253" spans="1:11" x14ac:dyDescent="0.35">
      <c r="A253">
        <v>252</v>
      </c>
      <c r="B253">
        <v>68</v>
      </c>
      <c r="C253" t="s">
        <v>16</v>
      </c>
      <c r="D253" t="s">
        <v>17</v>
      </c>
      <c r="E253" t="s">
        <v>48</v>
      </c>
      <c r="F253">
        <v>170.91</v>
      </c>
      <c r="G253" t="s">
        <v>24</v>
      </c>
      <c r="H253" t="s">
        <v>15</v>
      </c>
      <c r="I253">
        <v>3.8</v>
      </c>
      <c r="J253">
        <v>14</v>
      </c>
      <c r="K253">
        <v>7</v>
      </c>
    </row>
    <row r="254" spans="1:11" x14ac:dyDescent="0.35">
      <c r="A254">
        <v>253</v>
      </c>
      <c r="B254">
        <v>66</v>
      </c>
      <c r="C254" t="s">
        <v>16</v>
      </c>
      <c r="D254" t="s">
        <v>20</v>
      </c>
      <c r="E254" t="s">
        <v>36</v>
      </c>
      <c r="F254">
        <v>111.58</v>
      </c>
      <c r="G254" t="s">
        <v>14</v>
      </c>
      <c r="H254" t="s">
        <v>15</v>
      </c>
      <c r="I254">
        <v>3.4</v>
      </c>
      <c r="J254">
        <v>21</v>
      </c>
      <c r="K254">
        <v>8</v>
      </c>
    </row>
    <row r="255" spans="1:11" x14ac:dyDescent="0.35">
      <c r="A255">
        <v>254</v>
      </c>
      <c r="B255">
        <v>70</v>
      </c>
      <c r="C255" t="s">
        <v>11</v>
      </c>
      <c r="D255" t="s">
        <v>22</v>
      </c>
      <c r="E255" t="s">
        <v>52</v>
      </c>
      <c r="F255">
        <v>96.25</v>
      </c>
      <c r="G255" t="s">
        <v>14</v>
      </c>
      <c r="H255" t="s">
        <v>37</v>
      </c>
      <c r="I255">
        <v>2.9</v>
      </c>
      <c r="J255">
        <v>14</v>
      </c>
      <c r="K255">
        <v>2</v>
      </c>
    </row>
    <row r="256" spans="1:11" x14ac:dyDescent="0.35">
      <c r="A256">
        <v>255</v>
      </c>
      <c r="B256">
        <v>43</v>
      </c>
      <c r="C256" t="s">
        <v>11</v>
      </c>
      <c r="D256" t="s">
        <v>29</v>
      </c>
      <c r="E256" t="s">
        <v>30</v>
      </c>
      <c r="F256">
        <v>118</v>
      </c>
      <c r="G256" t="s">
        <v>24</v>
      </c>
      <c r="H256" t="s">
        <v>15</v>
      </c>
      <c r="I256">
        <v>4.0999999999999996</v>
      </c>
      <c r="J256">
        <v>12</v>
      </c>
      <c r="K256">
        <v>6</v>
      </c>
    </row>
    <row r="257" spans="1:11" x14ac:dyDescent="0.35">
      <c r="A257">
        <v>256</v>
      </c>
      <c r="B257">
        <v>67</v>
      </c>
      <c r="C257" t="s">
        <v>16</v>
      </c>
      <c r="D257" t="s">
        <v>27</v>
      </c>
      <c r="E257" t="s">
        <v>49</v>
      </c>
      <c r="F257">
        <v>1597.74</v>
      </c>
      <c r="G257" t="s">
        <v>31</v>
      </c>
      <c r="H257" t="s">
        <v>15</v>
      </c>
      <c r="I257">
        <v>5</v>
      </c>
      <c r="J257">
        <v>30</v>
      </c>
      <c r="K257">
        <v>10</v>
      </c>
    </row>
    <row r="258" spans="1:11" x14ac:dyDescent="0.35">
      <c r="A258">
        <v>257</v>
      </c>
      <c r="B258">
        <v>48</v>
      </c>
      <c r="C258" t="s">
        <v>16</v>
      </c>
      <c r="D258" t="s">
        <v>17</v>
      </c>
      <c r="E258" t="s">
        <v>35</v>
      </c>
      <c r="F258">
        <v>179.87</v>
      </c>
      <c r="G258" t="s">
        <v>31</v>
      </c>
      <c r="H258" t="s">
        <v>15</v>
      </c>
      <c r="I258">
        <v>3.7</v>
      </c>
      <c r="J258">
        <v>17</v>
      </c>
      <c r="K258">
        <v>6</v>
      </c>
    </row>
    <row r="259" spans="1:11" x14ac:dyDescent="0.35">
      <c r="A259">
        <v>258</v>
      </c>
      <c r="B259">
        <v>38</v>
      </c>
      <c r="C259" t="s">
        <v>11</v>
      </c>
      <c r="D259" t="s">
        <v>12</v>
      </c>
      <c r="E259" t="s">
        <v>50</v>
      </c>
      <c r="F259">
        <v>22.14</v>
      </c>
      <c r="G259" t="s">
        <v>14</v>
      </c>
      <c r="H259" t="s">
        <v>37</v>
      </c>
      <c r="I259">
        <v>4.7</v>
      </c>
      <c r="J259">
        <v>9</v>
      </c>
      <c r="K259">
        <v>2</v>
      </c>
    </row>
    <row r="260" spans="1:11" x14ac:dyDescent="0.35">
      <c r="A260">
        <v>259</v>
      </c>
      <c r="B260">
        <v>41</v>
      </c>
      <c r="C260" t="s">
        <v>11</v>
      </c>
      <c r="D260" t="s">
        <v>29</v>
      </c>
      <c r="E260" t="s">
        <v>30</v>
      </c>
      <c r="F260">
        <v>28.65</v>
      </c>
      <c r="G260" t="s">
        <v>31</v>
      </c>
      <c r="H260" t="s">
        <v>15</v>
      </c>
      <c r="I260">
        <v>2.2999999999999998</v>
      </c>
      <c r="J260">
        <v>8</v>
      </c>
      <c r="K260">
        <v>4</v>
      </c>
    </row>
    <row r="261" spans="1:11" x14ac:dyDescent="0.35">
      <c r="A261">
        <v>260</v>
      </c>
      <c r="B261">
        <v>33</v>
      </c>
      <c r="C261" t="s">
        <v>11</v>
      </c>
      <c r="D261" t="s">
        <v>12</v>
      </c>
      <c r="E261" t="s">
        <v>56</v>
      </c>
      <c r="F261">
        <v>79.92</v>
      </c>
      <c r="G261" t="s">
        <v>31</v>
      </c>
      <c r="H261" t="s">
        <v>37</v>
      </c>
      <c r="I261">
        <v>4.2</v>
      </c>
      <c r="J261">
        <v>14</v>
      </c>
      <c r="K261">
        <v>2</v>
      </c>
    </row>
    <row r="262" spans="1:11" x14ac:dyDescent="0.35">
      <c r="A262">
        <v>261</v>
      </c>
      <c r="B262">
        <v>21</v>
      </c>
      <c r="C262" t="s">
        <v>11</v>
      </c>
      <c r="D262" t="s">
        <v>29</v>
      </c>
      <c r="E262" t="s">
        <v>30</v>
      </c>
      <c r="F262">
        <v>124.58</v>
      </c>
      <c r="G262" t="s">
        <v>31</v>
      </c>
      <c r="H262" t="s">
        <v>15</v>
      </c>
      <c r="I262">
        <v>4.3</v>
      </c>
      <c r="J262">
        <v>19</v>
      </c>
      <c r="K262">
        <v>7</v>
      </c>
    </row>
    <row r="263" spans="1:11" x14ac:dyDescent="0.35">
      <c r="A263">
        <v>262</v>
      </c>
      <c r="B263">
        <v>26</v>
      </c>
      <c r="C263" t="s">
        <v>11</v>
      </c>
      <c r="D263" t="s">
        <v>22</v>
      </c>
      <c r="E263" t="s">
        <v>43</v>
      </c>
      <c r="F263">
        <v>72.84</v>
      </c>
      <c r="G263" t="s">
        <v>31</v>
      </c>
      <c r="H263" t="s">
        <v>15</v>
      </c>
      <c r="I263">
        <v>3.1</v>
      </c>
      <c r="J263">
        <v>14</v>
      </c>
      <c r="K263">
        <v>7</v>
      </c>
    </row>
    <row r="264" spans="1:11" x14ac:dyDescent="0.35">
      <c r="A264">
        <v>263</v>
      </c>
      <c r="B264">
        <v>35</v>
      </c>
      <c r="C264" t="s">
        <v>11</v>
      </c>
      <c r="D264" t="s">
        <v>29</v>
      </c>
      <c r="E264" t="s">
        <v>55</v>
      </c>
      <c r="F264">
        <v>47.94</v>
      </c>
      <c r="G264" t="s">
        <v>19</v>
      </c>
      <c r="H264" t="s">
        <v>15</v>
      </c>
      <c r="I264">
        <v>3.6</v>
      </c>
      <c r="J264">
        <v>13</v>
      </c>
      <c r="K264">
        <v>4</v>
      </c>
    </row>
    <row r="265" spans="1:11" x14ac:dyDescent="0.35">
      <c r="A265">
        <v>264</v>
      </c>
      <c r="B265">
        <v>51</v>
      </c>
      <c r="C265" t="s">
        <v>16</v>
      </c>
      <c r="D265" t="s">
        <v>17</v>
      </c>
      <c r="E265" t="s">
        <v>18</v>
      </c>
      <c r="F265">
        <v>74.89</v>
      </c>
      <c r="G265" t="s">
        <v>19</v>
      </c>
      <c r="H265" t="s">
        <v>37</v>
      </c>
      <c r="I265">
        <v>3.2</v>
      </c>
      <c r="J265">
        <v>22</v>
      </c>
      <c r="K265">
        <v>6</v>
      </c>
    </row>
    <row r="266" spans="1:11" x14ac:dyDescent="0.35">
      <c r="A266">
        <v>265</v>
      </c>
      <c r="B266">
        <v>58</v>
      </c>
      <c r="C266" t="s">
        <v>16</v>
      </c>
      <c r="D266" t="s">
        <v>20</v>
      </c>
      <c r="E266" t="s">
        <v>39</v>
      </c>
      <c r="F266">
        <v>246.24</v>
      </c>
      <c r="G266" t="s">
        <v>24</v>
      </c>
      <c r="H266" t="s">
        <v>15</v>
      </c>
      <c r="I266">
        <v>3.5</v>
      </c>
      <c r="J266">
        <v>12</v>
      </c>
      <c r="K266">
        <v>6</v>
      </c>
    </row>
    <row r="267" spans="1:11" x14ac:dyDescent="0.35">
      <c r="A267">
        <v>266</v>
      </c>
      <c r="B267">
        <v>65</v>
      </c>
      <c r="C267" t="s">
        <v>11</v>
      </c>
      <c r="D267" t="s">
        <v>29</v>
      </c>
      <c r="E267" t="s">
        <v>51</v>
      </c>
      <c r="F267">
        <v>135.46</v>
      </c>
      <c r="G267" t="s">
        <v>14</v>
      </c>
      <c r="H267" t="s">
        <v>15</v>
      </c>
      <c r="I267">
        <v>4.3</v>
      </c>
      <c r="J267">
        <v>24</v>
      </c>
      <c r="K267">
        <v>7</v>
      </c>
    </row>
    <row r="268" spans="1:11" x14ac:dyDescent="0.35">
      <c r="A268">
        <v>267</v>
      </c>
      <c r="B268">
        <v>31</v>
      </c>
      <c r="C268" t="s">
        <v>16</v>
      </c>
      <c r="D268" t="s">
        <v>33</v>
      </c>
      <c r="E268" t="s">
        <v>40</v>
      </c>
      <c r="F268">
        <v>220.18</v>
      </c>
      <c r="G268" t="s">
        <v>19</v>
      </c>
      <c r="H268" t="s">
        <v>15</v>
      </c>
      <c r="I268">
        <v>3.4</v>
      </c>
      <c r="J268">
        <v>6</v>
      </c>
      <c r="K268">
        <v>3</v>
      </c>
    </row>
    <row r="269" spans="1:11" x14ac:dyDescent="0.35">
      <c r="A269">
        <v>268</v>
      </c>
      <c r="B269">
        <v>67</v>
      </c>
      <c r="C269" t="s">
        <v>16</v>
      </c>
      <c r="D269" t="s">
        <v>17</v>
      </c>
      <c r="E269" t="s">
        <v>48</v>
      </c>
      <c r="F269">
        <v>159.94</v>
      </c>
      <c r="G269" t="s">
        <v>24</v>
      </c>
      <c r="H269" t="s">
        <v>15</v>
      </c>
      <c r="I269">
        <v>4.5</v>
      </c>
      <c r="J269">
        <v>10</v>
      </c>
      <c r="K269">
        <v>5</v>
      </c>
    </row>
    <row r="270" spans="1:11" x14ac:dyDescent="0.35">
      <c r="A270">
        <v>269</v>
      </c>
      <c r="B270">
        <v>29</v>
      </c>
      <c r="C270" t="s">
        <v>16</v>
      </c>
      <c r="D270" t="s">
        <v>27</v>
      </c>
      <c r="E270" t="s">
        <v>49</v>
      </c>
      <c r="F270">
        <v>2391.83</v>
      </c>
      <c r="G270" t="s">
        <v>24</v>
      </c>
      <c r="H270" t="s">
        <v>15</v>
      </c>
      <c r="I270">
        <v>3.4</v>
      </c>
      <c r="J270">
        <v>14</v>
      </c>
      <c r="K270">
        <v>7</v>
      </c>
    </row>
    <row r="271" spans="1:11" x14ac:dyDescent="0.35">
      <c r="A271">
        <v>270</v>
      </c>
      <c r="B271">
        <v>31</v>
      </c>
      <c r="C271" t="s">
        <v>11</v>
      </c>
      <c r="D271" t="s">
        <v>29</v>
      </c>
      <c r="E271" t="s">
        <v>51</v>
      </c>
      <c r="F271">
        <v>112.96</v>
      </c>
      <c r="G271" t="s">
        <v>14</v>
      </c>
      <c r="H271" t="s">
        <v>15</v>
      </c>
      <c r="I271">
        <v>5</v>
      </c>
      <c r="J271">
        <v>13</v>
      </c>
      <c r="K271">
        <v>4</v>
      </c>
    </row>
    <row r="272" spans="1:11" x14ac:dyDescent="0.35">
      <c r="A272">
        <v>271</v>
      </c>
      <c r="B272">
        <v>42</v>
      </c>
      <c r="C272" t="s">
        <v>16</v>
      </c>
      <c r="D272" t="s">
        <v>25</v>
      </c>
      <c r="E272" t="s">
        <v>26</v>
      </c>
      <c r="F272">
        <v>56.82</v>
      </c>
      <c r="G272" t="s">
        <v>19</v>
      </c>
      <c r="H272" t="s">
        <v>15</v>
      </c>
      <c r="I272">
        <v>5</v>
      </c>
      <c r="J272">
        <v>17</v>
      </c>
      <c r="K272">
        <v>6</v>
      </c>
    </row>
    <row r="273" spans="1:11" x14ac:dyDescent="0.35">
      <c r="A273">
        <v>272</v>
      </c>
      <c r="B273">
        <v>33</v>
      </c>
      <c r="C273" t="s">
        <v>11</v>
      </c>
      <c r="D273" t="s">
        <v>25</v>
      </c>
      <c r="E273" t="s">
        <v>26</v>
      </c>
      <c r="F273">
        <v>17.86</v>
      </c>
      <c r="G273" t="s">
        <v>14</v>
      </c>
      <c r="H273" t="s">
        <v>37</v>
      </c>
      <c r="I273">
        <v>3.7</v>
      </c>
      <c r="J273">
        <v>30</v>
      </c>
      <c r="K273">
        <v>10</v>
      </c>
    </row>
    <row r="274" spans="1:11" x14ac:dyDescent="0.35">
      <c r="A274">
        <v>273</v>
      </c>
      <c r="B274">
        <v>59</v>
      </c>
      <c r="C274" t="s">
        <v>16</v>
      </c>
      <c r="D274" t="s">
        <v>25</v>
      </c>
      <c r="E274" t="s">
        <v>57</v>
      </c>
      <c r="F274">
        <v>22.31</v>
      </c>
      <c r="G274" t="s">
        <v>19</v>
      </c>
      <c r="H274" t="s">
        <v>15</v>
      </c>
      <c r="I274">
        <v>3.9</v>
      </c>
      <c r="J274">
        <v>28</v>
      </c>
      <c r="K274">
        <v>9</v>
      </c>
    </row>
    <row r="275" spans="1:11" x14ac:dyDescent="0.35">
      <c r="A275">
        <v>274</v>
      </c>
      <c r="B275">
        <v>36</v>
      </c>
      <c r="C275" t="s">
        <v>16</v>
      </c>
      <c r="D275" t="s">
        <v>27</v>
      </c>
      <c r="E275" t="s">
        <v>32</v>
      </c>
      <c r="F275">
        <v>2851.93</v>
      </c>
      <c r="G275" t="s">
        <v>14</v>
      </c>
      <c r="H275" t="s">
        <v>15</v>
      </c>
      <c r="I275">
        <v>3.4</v>
      </c>
      <c r="J275">
        <v>8</v>
      </c>
      <c r="K275">
        <v>4</v>
      </c>
    </row>
    <row r="276" spans="1:11" x14ac:dyDescent="0.35">
      <c r="A276">
        <v>275</v>
      </c>
      <c r="B276">
        <v>61</v>
      </c>
      <c r="C276" t="s">
        <v>11</v>
      </c>
      <c r="D276" t="s">
        <v>41</v>
      </c>
      <c r="E276" t="s">
        <v>44</v>
      </c>
      <c r="F276">
        <v>164.2</v>
      </c>
      <c r="G276" t="s">
        <v>14</v>
      </c>
      <c r="H276" t="s">
        <v>15</v>
      </c>
      <c r="I276">
        <v>3.6</v>
      </c>
      <c r="J276">
        <v>11</v>
      </c>
      <c r="K276">
        <v>3</v>
      </c>
    </row>
    <row r="277" spans="1:11" x14ac:dyDescent="0.35">
      <c r="A277">
        <v>276</v>
      </c>
      <c r="B277">
        <v>22</v>
      </c>
      <c r="C277" t="s">
        <v>16</v>
      </c>
      <c r="D277" t="s">
        <v>20</v>
      </c>
      <c r="E277" t="s">
        <v>39</v>
      </c>
      <c r="F277">
        <v>204.62</v>
      </c>
      <c r="G277" t="s">
        <v>14</v>
      </c>
      <c r="H277" t="s">
        <v>15</v>
      </c>
      <c r="I277">
        <v>3.3</v>
      </c>
      <c r="J277">
        <v>16</v>
      </c>
      <c r="K277">
        <v>3</v>
      </c>
    </row>
    <row r="278" spans="1:11" x14ac:dyDescent="0.35">
      <c r="A278">
        <v>277</v>
      </c>
      <c r="B278">
        <v>68</v>
      </c>
      <c r="C278" t="s">
        <v>11</v>
      </c>
      <c r="D278" t="s">
        <v>33</v>
      </c>
      <c r="E278" t="s">
        <v>40</v>
      </c>
      <c r="F278">
        <v>75.72</v>
      </c>
      <c r="G278" t="s">
        <v>19</v>
      </c>
      <c r="H278" t="s">
        <v>37</v>
      </c>
      <c r="I278">
        <v>4.3</v>
      </c>
      <c r="J278">
        <v>20</v>
      </c>
      <c r="K278">
        <v>5</v>
      </c>
    </row>
    <row r="279" spans="1:11" x14ac:dyDescent="0.35">
      <c r="A279">
        <v>278</v>
      </c>
      <c r="B279">
        <v>24</v>
      </c>
      <c r="C279" t="s">
        <v>11</v>
      </c>
      <c r="D279" t="s">
        <v>33</v>
      </c>
      <c r="E279" t="s">
        <v>34</v>
      </c>
      <c r="F279">
        <v>105.45</v>
      </c>
      <c r="G279" t="s">
        <v>31</v>
      </c>
      <c r="H279" t="s">
        <v>15</v>
      </c>
      <c r="I279">
        <v>2.2999999999999998</v>
      </c>
      <c r="J279">
        <v>5</v>
      </c>
      <c r="K279">
        <v>0</v>
      </c>
    </row>
    <row r="280" spans="1:11" x14ac:dyDescent="0.35">
      <c r="A280">
        <v>279</v>
      </c>
      <c r="B280">
        <v>36</v>
      </c>
      <c r="C280" t="s">
        <v>16</v>
      </c>
      <c r="D280" t="s">
        <v>33</v>
      </c>
      <c r="E280" t="s">
        <v>34</v>
      </c>
      <c r="F280">
        <v>212.7</v>
      </c>
      <c r="G280" t="s">
        <v>14</v>
      </c>
      <c r="H280" t="s">
        <v>15</v>
      </c>
      <c r="I280">
        <v>4</v>
      </c>
      <c r="J280">
        <v>18</v>
      </c>
      <c r="K280">
        <v>4</v>
      </c>
    </row>
    <row r="281" spans="1:11" x14ac:dyDescent="0.35">
      <c r="A281">
        <v>280</v>
      </c>
      <c r="B281">
        <v>28</v>
      </c>
      <c r="C281" t="s">
        <v>11</v>
      </c>
      <c r="D281" t="s">
        <v>12</v>
      </c>
      <c r="E281" t="s">
        <v>13</v>
      </c>
      <c r="F281">
        <v>98.3</v>
      </c>
      <c r="G281" t="s">
        <v>14</v>
      </c>
      <c r="H281" t="s">
        <v>15</v>
      </c>
      <c r="I281">
        <v>3.3</v>
      </c>
      <c r="J281">
        <v>24</v>
      </c>
      <c r="K281">
        <v>7</v>
      </c>
    </row>
    <row r="282" spans="1:11" x14ac:dyDescent="0.35">
      <c r="A282">
        <v>281</v>
      </c>
      <c r="B282">
        <v>59</v>
      </c>
      <c r="C282" t="s">
        <v>16</v>
      </c>
      <c r="D282" t="s">
        <v>27</v>
      </c>
      <c r="E282" t="s">
        <v>49</v>
      </c>
      <c r="F282">
        <v>1775.37</v>
      </c>
      <c r="G282" t="s">
        <v>24</v>
      </c>
      <c r="H282" t="s">
        <v>15</v>
      </c>
      <c r="I282">
        <v>3.2</v>
      </c>
      <c r="J282">
        <v>16</v>
      </c>
      <c r="K282">
        <v>8</v>
      </c>
    </row>
    <row r="283" spans="1:11" x14ac:dyDescent="0.35">
      <c r="A283">
        <v>282</v>
      </c>
      <c r="B283">
        <v>53</v>
      </c>
      <c r="C283" t="s">
        <v>11</v>
      </c>
      <c r="D283" t="s">
        <v>29</v>
      </c>
      <c r="E283" t="s">
        <v>51</v>
      </c>
      <c r="F283">
        <v>146.09</v>
      </c>
      <c r="G283" t="s">
        <v>31</v>
      </c>
      <c r="H283" t="s">
        <v>15</v>
      </c>
      <c r="I283">
        <v>3.2</v>
      </c>
      <c r="J283">
        <v>10</v>
      </c>
      <c r="K283">
        <v>5</v>
      </c>
    </row>
    <row r="284" spans="1:11" x14ac:dyDescent="0.35">
      <c r="A284">
        <v>283</v>
      </c>
      <c r="B284">
        <v>50</v>
      </c>
      <c r="C284" t="s">
        <v>16</v>
      </c>
      <c r="D284" t="s">
        <v>17</v>
      </c>
      <c r="E284" t="s">
        <v>35</v>
      </c>
      <c r="F284">
        <v>144.37</v>
      </c>
      <c r="G284" t="s">
        <v>24</v>
      </c>
      <c r="H284" t="s">
        <v>15</v>
      </c>
      <c r="I284">
        <v>4.5999999999999996</v>
      </c>
      <c r="J284">
        <v>8</v>
      </c>
      <c r="K284">
        <v>4</v>
      </c>
    </row>
    <row r="285" spans="1:11" x14ac:dyDescent="0.35">
      <c r="A285">
        <v>284</v>
      </c>
      <c r="B285">
        <v>39</v>
      </c>
      <c r="C285" t="s">
        <v>11</v>
      </c>
      <c r="D285" t="s">
        <v>41</v>
      </c>
      <c r="E285" t="s">
        <v>42</v>
      </c>
      <c r="F285">
        <v>107.92</v>
      </c>
      <c r="G285" t="s">
        <v>14</v>
      </c>
      <c r="H285" t="s">
        <v>15</v>
      </c>
      <c r="I285">
        <v>4.9000000000000004</v>
      </c>
      <c r="J285">
        <v>13</v>
      </c>
      <c r="K285">
        <v>4</v>
      </c>
    </row>
    <row r="286" spans="1:11" x14ac:dyDescent="0.35">
      <c r="A286">
        <v>285</v>
      </c>
      <c r="B286">
        <v>27</v>
      </c>
      <c r="C286" t="s">
        <v>16</v>
      </c>
      <c r="D286" t="s">
        <v>33</v>
      </c>
      <c r="E286" t="s">
        <v>40</v>
      </c>
      <c r="F286">
        <v>138.29</v>
      </c>
      <c r="G286" t="s">
        <v>31</v>
      </c>
      <c r="H286" t="s">
        <v>15</v>
      </c>
      <c r="I286">
        <v>3.6</v>
      </c>
      <c r="J286">
        <v>14</v>
      </c>
      <c r="K286">
        <v>7</v>
      </c>
    </row>
    <row r="287" spans="1:11" x14ac:dyDescent="0.35">
      <c r="A287">
        <v>286</v>
      </c>
      <c r="B287">
        <v>40</v>
      </c>
      <c r="C287" t="s">
        <v>11</v>
      </c>
      <c r="D287" t="s">
        <v>12</v>
      </c>
      <c r="E287" t="s">
        <v>13</v>
      </c>
      <c r="F287">
        <v>101.69</v>
      </c>
      <c r="G287" t="s">
        <v>24</v>
      </c>
      <c r="H287" t="s">
        <v>15</v>
      </c>
      <c r="I287">
        <v>5</v>
      </c>
      <c r="J287">
        <v>10</v>
      </c>
      <c r="K287">
        <v>5</v>
      </c>
    </row>
    <row r="288" spans="1:11" x14ac:dyDescent="0.35">
      <c r="A288">
        <v>287</v>
      </c>
      <c r="B288">
        <v>28</v>
      </c>
      <c r="C288" t="s">
        <v>11</v>
      </c>
      <c r="D288" t="s">
        <v>33</v>
      </c>
      <c r="E288" t="s">
        <v>38</v>
      </c>
      <c r="F288">
        <v>198.28</v>
      </c>
      <c r="G288" t="s">
        <v>14</v>
      </c>
      <c r="H288" t="s">
        <v>15</v>
      </c>
      <c r="I288">
        <v>3.6</v>
      </c>
      <c r="J288">
        <v>20</v>
      </c>
      <c r="K288">
        <v>5</v>
      </c>
    </row>
    <row r="289" spans="1:11" x14ac:dyDescent="0.35">
      <c r="A289">
        <v>288</v>
      </c>
      <c r="B289">
        <v>61</v>
      </c>
      <c r="C289" t="s">
        <v>11</v>
      </c>
      <c r="D289" t="s">
        <v>20</v>
      </c>
      <c r="E289" t="s">
        <v>39</v>
      </c>
      <c r="F289">
        <v>171.59</v>
      </c>
      <c r="G289" t="s">
        <v>24</v>
      </c>
      <c r="H289" t="s">
        <v>15</v>
      </c>
      <c r="I289">
        <v>3</v>
      </c>
      <c r="J289">
        <v>16</v>
      </c>
      <c r="K289">
        <v>8</v>
      </c>
    </row>
    <row r="290" spans="1:11" x14ac:dyDescent="0.35">
      <c r="A290">
        <v>289</v>
      </c>
      <c r="B290">
        <v>54</v>
      </c>
      <c r="C290" t="s">
        <v>16</v>
      </c>
      <c r="D290" t="s">
        <v>27</v>
      </c>
      <c r="E290" t="s">
        <v>49</v>
      </c>
      <c r="F290">
        <v>2903.73</v>
      </c>
      <c r="G290" t="s">
        <v>19</v>
      </c>
      <c r="H290" t="s">
        <v>15</v>
      </c>
      <c r="I290">
        <v>3.7</v>
      </c>
      <c r="J290">
        <v>30</v>
      </c>
      <c r="K290">
        <v>10</v>
      </c>
    </row>
    <row r="291" spans="1:11" x14ac:dyDescent="0.35">
      <c r="A291">
        <v>290</v>
      </c>
      <c r="B291">
        <v>51</v>
      </c>
      <c r="C291" t="s">
        <v>16</v>
      </c>
      <c r="D291" t="s">
        <v>33</v>
      </c>
      <c r="E291" t="s">
        <v>34</v>
      </c>
      <c r="F291">
        <v>206.84</v>
      </c>
      <c r="G291" t="s">
        <v>31</v>
      </c>
      <c r="H291" t="s">
        <v>15</v>
      </c>
      <c r="I291">
        <v>2.2000000000000002</v>
      </c>
      <c r="J291">
        <v>8</v>
      </c>
      <c r="K291">
        <v>4</v>
      </c>
    </row>
    <row r="292" spans="1:11" x14ac:dyDescent="0.35">
      <c r="A292">
        <v>291</v>
      </c>
      <c r="B292">
        <v>31</v>
      </c>
      <c r="C292" t="s">
        <v>11</v>
      </c>
      <c r="D292" t="s">
        <v>41</v>
      </c>
      <c r="E292" t="s">
        <v>42</v>
      </c>
      <c r="F292">
        <v>63.74</v>
      </c>
      <c r="G292" t="s">
        <v>14</v>
      </c>
      <c r="H292" t="s">
        <v>37</v>
      </c>
      <c r="I292">
        <v>3.7</v>
      </c>
      <c r="J292">
        <v>8</v>
      </c>
      <c r="K292">
        <v>4</v>
      </c>
    </row>
    <row r="293" spans="1:11" x14ac:dyDescent="0.35">
      <c r="A293">
        <v>292</v>
      </c>
      <c r="B293">
        <v>61</v>
      </c>
      <c r="C293" t="s">
        <v>16</v>
      </c>
      <c r="D293" t="s">
        <v>20</v>
      </c>
      <c r="E293" t="s">
        <v>36</v>
      </c>
      <c r="F293">
        <v>64.87</v>
      </c>
      <c r="G293" t="s">
        <v>31</v>
      </c>
      <c r="H293" t="s">
        <v>37</v>
      </c>
      <c r="I293">
        <v>1.8</v>
      </c>
      <c r="J293">
        <v>22</v>
      </c>
      <c r="K293">
        <v>6</v>
      </c>
    </row>
    <row r="294" spans="1:11" x14ac:dyDescent="0.35">
      <c r="A294">
        <v>293</v>
      </c>
      <c r="B294">
        <v>50</v>
      </c>
      <c r="C294" t="s">
        <v>11</v>
      </c>
      <c r="D294" t="s">
        <v>12</v>
      </c>
      <c r="E294" t="s">
        <v>50</v>
      </c>
      <c r="F294">
        <v>67.819999999999993</v>
      </c>
      <c r="G294" t="s">
        <v>19</v>
      </c>
      <c r="H294" t="s">
        <v>15</v>
      </c>
      <c r="I294">
        <v>2.5</v>
      </c>
      <c r="J294">
        <v>14</v>
      </c>
      <c r="K294">
        <v>7</v>
      </c>
    </row>
    <row r="295" spans="1:11" x14ac:dyDescent="0.35">
      <c r="A295">
        <v>294</v>
      </c>
      <c r="B295">
        <v>65</v>
      </c>
      <c r="C295" t="s">
        <v>11</v>
      </c>
      <c r="D295" t="s">
        <v>29</v>
      </c>
      <c r="E295" t="s">
        <v>55</v>
      </c>
      <c r="F295">
        <v>95.87</v>
      </c>
      <c r="G295" t="s">
        <v>14</v>
      </c>
      <c r="H295" t="s">
        <v>15</v>
      </c>
      <c r="I295">
        <v>4</v>
      </c>
      <c r="J295">
        <v>14</v>
      </c>
      <c r="K295">
        <v>2</v>
      </c>
    </row>
    <row r="296" spans="1:11" x14ac:dyDescent="0.35">
      <c r="A296">
        <v>295</v>
      </c>
      <c r="B296">
        <v>46</v>
      </c>
      <c r="C296" t="s">
        <v>11</v>
      </c>
      <c r="D296" t="s">
        <v>20</v>
      </c>
      <c r="E296" t="s">
        <v>36</v>
      </c>
      <c r="F296">
        <v>142.71</v>
      </c>
      <c r="G296" t="s">
        <v>19</v>
      </c>
      <c r="H296" t="s">
        <v>15</v>
      </c>
      <c r="I296">
        <v>3.2</v>
      </c>
      <c r="J296">
        <v>10</v>
      </c>
      <c r="K296">
        <v>5</v>
      </c>
    </row>
    <row r="297" spans="1:11" x14ac:dyDescent="0.35">
      <c r="A297">
        <v>296</v>
      </c>
      <c r="B297">
        <v>48</v>
      </c>
      <c r="C297" t="s">
        <v>16</v>
      </c>
      <c r="D297" t="s">
        <v>22</v>
      </c>
      <c r="E297" t="s">
        <v>43</v>
      </c>
      <c r="F297">
        <v>218.92</v>
      </c>
      <c r="G297" t="s">
        <v>24</v>
      </c>
      <c r="H297" t="s">
        <v>15</v>
      </c>
      <c r="I297">
        <v>3.7</v>
      </c>
      <c r="J297">
        <v>21</v>
      </c>
      <c r="K297">
        <v>8</v>
      </c>
    </row>
    <row r="298" spans="1:11" x14ac:dyDescent="0.35">
      <c r="A298">
        <v>297</v>
      </c>
      <c r="B298">
        <v>58</v>
      </c>
      <c r="C298" t="s">
        <v>16</v>
      </c>
      <c r="D298" t="s">
        <v>20</v>
      </c>
      <c r="E298" t="s">
        <v>39</v>
      </c>
      <c r="F298">
        <v>57.47</v>
      </c>
      <c r="G298" t="s">
        <v>24</v>
      </c>
      <c r="H298" t="s">
        <v>15</v>
      </c>
      <c r="I298">
        <v>2.5</v>
      </c>
      <c r="J298">
        <v>2</v>
      </c>
      <c r="K298">
        <v>1</v>
      </c>
    </row>
    <row r="299" spans="1:11" x14ac:dyDescent="0.35">
      <c r="A299">
        <v>298</v>
      </c>
      <c r="B299">
        <v>20</v>
      </c>
      <c r="C299" t="s">
        <v>16</v>
      </c>
      <c r="D299" t="s">
        <v>17</v>
      </c>
      <c r="E299" t="s">
        <v>42</v>
      </c>
      <c r="F299">
        <v>170</v>
      </c>
      <c r="G299" t="s">
        <v>19</v>
      </c>
      <c r="H299" t="s">
        <v>15</v>
      </c>
      <c r="I299">
        <v>3.6</v>
      </c>
      <c r="J299">
        <v>12</v>
      </c>
      <c r="K299">
        <v>6</v>
      </c>
    </row>
    <row r="300" spans="1:11" x14ac:dyDescent="0.35">
      <c r="A300">
        <v>299</v>
      </c>
      <c r="B300">
        <v>36</v>
      </c>
      <c r="C300" t="s">
        <v>11</v>
      </c>
      <c r="D300" t="s">
        <v>41</v>
      </c>
      <c r="E300" t="s">
        <v>44</v>
      </c>
      <c r="F300">
        <v>67.61</v>
      </c>
      <c r="G300" t="s">
        <v>19</v>
      </c>
      <c r="H300" t="s">
        <v>37</v>
      </c>
      <c r="I300">
        <v>3.8</v>
      </c>
      <c r="J300">
        <v>19</v>
      </c>
      <c r="K300">
        <v>7</v>
      </c>
    </row>
    <row r="301" spans="1:11" x14ac:dyDescent="0.35">
      <c r="A301">
        <v>300</v>
      </c>
      <c r="B301">
        <v>66</v>
      </c>
      <c r="C301" t="s">
        <v>16</v>
      </c>
      <c r="D301" t="s">
        <v>17</v>
      </c>
      <c r="E301" t="s">
        <v>42</v>
      </c>
      <c r="F301">
        <v>141.21</v>
      </c>
      <c r="G301" t="s">
        <v>31</v>
      </c>
      <c r="H301" t="s">
        <v>15</v>
      </c>
      <c r="I301">
        <v>3.4</v>
      </c>
      <c r="J301">
        <v>22</v>
      </c>
      <c r="K301">
        <v>6</v>
      </c>
    </row>
    <row r="302" spans="1:11" x14ac:dyDescent="0.35">
      <c r="A302">
        <v>301</v>
      </c>
      <c r="B302">
        <v>66</v>
      </c>
      <c r="C302" t="s">
        <v>11</v>
      </c>
      <c r="D302" t="s">
        <v>12</v>
      </c>
      <c r="E302" t="s">
        <v>50</v>
      </c>
      <c r="F302">
        <v>57.04</v>
      </c>
      <c r="G302" t="s">
        <v>14</v>
      </c>
      <c r="H302" t="s">
        <v>37</v>
      </c>
      <c r="I302">
        <v>3.5</v>
      </c>
      <c r="J302">
        <v>18</v>
      </c>
      <c r="K302">
        <v>4</v>
      </c>
    </row>
    <row r="303" spans="1:11" x14ac:dyDescent="0.35">
      <c r="A303">
        <v>302</v>
      </c>
      <c r="B303">
        <v>32</v>
      </c>
      <c r="C303" t="s">
        <v>11</v>
      </c>
      <c r="D303" t="s">
        <v>41</v>
      </c>
      <c r="E303" t="s">
        <v>46</v>
      </c>
      <c r="F303">
        <v>41.92</v>
      </c>
      <c r="G303" t="s">
        <v>14</v>
      </c>
      <c r="H303" t="s">
        <v>37</v>
      </c>
      <c r="I303">
        <v>3.5</v>
      </c>
      <c r="J303">
        <v>8</v>
      </c>
      <c r="K303">
        <v>4</v>
      </c>
    </row>
    <row r="304" spans="1:11" x14ac:dyDescent="0.35">
      <c r="A304">
        <v>303</v>
      </c>
      <c r="B304">
        <v>51</v>
      </c>
      <c r="C304" t="s">
        <v>16</v>
      </c>
      <c r="D304" t="s">
        <v>33</v>
      </c>
      <c r="E304" t="s">
        <v>34</v>
      </c>
      <c r="F304">
        <v>106.72</v>
      </c>
      <c r="G304" t="s">
        <v>14</v>
      </c>
      <c r="H304" t="s">
        <v>15</v>
      </c>
      <c r="I304">
        <v>2.8</v>
      </c>
      <c r="J304">
        <v>18</v>
      </c>
      <c r="K304">
        <v>4</v>
      </c>
    </row>
    <row r="305" spans="1:11" x14ac:dyDescent="0.35">
      <c r="A305">
        <v>304</v>
      </c>
      <c r="B305">
        <v>54</v>
      </c>
      <c r="C305" t="s">
        <v>11</v>
      </c>
      <c r="D305" t="s">
        <v>41</v>
      </c>
      <c r="E305" t="s">
        <v>45</v>
      </c>
      <c r="F305">
        <v>145.16</v>
      </c>
      <c r="G305" t="s">
        <v>31</v>
      </c>
      <c r="H305" t="s">
        <v>15</v>
      </c>
      <c r="I305">
        <v>3.1</v>
      </c>
      <c r="J305">
        <v>14</v>
      </c>
      <c r="K305">
        <v>7</v>
      </c>
    </row>
    <row r="306" spans="1:11" x14ac:dyDescent="0.35">
      <c r="A306">
        <v>305</v>
      </c>
      <c r="B306">
        <v>25</v>
      </c>
      <c r="C306" t="s">
        <v>11</v>
      </c>
      <c r="D306" t="s">
        <v>12</v>
      </c>
      <c r="E306" t="s">
        <v>56</v>
      </c>
      <c r="F306">
        <v>102.26</v>
      </c>
      <c r="G306" t="s">
        <v>14</v>
      </c>
      <c r="H306" t="s">
        <v>15</v>
      </c>
      <c r="I306">
        <v>4.2</v>
      </c>
      <c r="J306">
        <v>16</v>
      </c>
      <c r="K306">
        <v>3</v>
      </c>
    </row>
    <row r="307" spans="1:11" x14ac:dyDescent="0.35">
      <c r="A307">
        <v>306</v>
      </c>
      <c r="B307">
        <v>23</v>
      </c>
      <c r="C307" t="s">
        <v>16</v>
      </c>
      <c r="D307" t="s">
        <v>27</v>
      </c>
      <c r="E307" t="s">
        <v>53</v>
      </c>
      <c r="F307">
        <v>1364.52</v>
      </c>
      <c r="G307" t="s">
        <v>19</v>
      </c>
      <c r="H307" t="s">
        <v>15</v>
      </c>
      <c r="I307">
        <v>4.5999999999999996</v>
      </c>
      <c r="J307">
        <v>24</v>
      </c>
      <c r="K307">
        <v>7</v>
      </c>
    </row>
    <row r="308" spans="1:11" x14ac:dyDescent="0.35">
      <c r="A308">
        <v>307</v>
      </c>
      <c r="B308">
        <v>52</v>
      </c>
      <c r="C308" t="s">
        <v>11</v>
      </c>
      <c r="D308" t="s">
        <v>25</v>
      </c>
      <c r="E308" t="s">
        <v>47</v>
      </c>
      <c r="F308">
        <v>18.59</v>
      </c>
      <c r="G308" t="s">
        <v>19</v>
      </c>
      <c r="H308" t="s">
        <v>37</v>
      </c>
      <c r="I308">
        <v>2.5</v>
      </c>
      <c r="J308">
        <v>10</v>
      </c>
      <c r="K308">
        <v>5</v>
      </c>
    </row>
    <row r="309" spans="1:11" x14ac:dyDescent="0.35">
      <c r="A309">
        <v>308</v>
      </c>
      <c r="B309">
        <v>61</v>
      </c>
      <c r="C309" t="s">
        <v>16</v>
      </c>
      <c r="D309" t="s">
        <v>17</v>
      </c>
      <c r="E309" t="s">
        <v>48</v>
      </c>
      <c r="F309">
        <v>166.84</v>
      </c>
      <c r="G309" t="s">
        <v>31</v>
      </c>
      <c r="H309" t="s">
        <v>15</v>
      </c>
      <c r="I309">
        <v>5</v>
      </c>
      <c r="J309">
        <v>9</v>
      </c>
      <c r="K309">
        <v>2</v>
      </c>
    </row>
    <row r="310" spans="1:11" x14ac:dyDescent="0.35">
      <c r="A310">
        <v>309</v>
      </c>
      <c r="B310">
        <v>30</v>
      </c>
      <c r="C310" t="s">
        <v>16</v>
      </c>
      <c r="D310" t="s">
        <v>17</v>
      </c>
      <c r="E310" t="s">
        <v>18</v>
      </c>
      <c r="F310">
        <v>81.78</v>
      </c>
      <c r="G310" t="s">
        <v>31</v>
      </c>
      <c r="H310" t="s">
        <v>15</v>
      </c>
      <c r="I310">
        <v>2.4</v>
      </c>
      <c r="J310">
        <v>11</v>
      </c>
      <c r="K310">
        <v>3</v>
      </c>
    </row>
    <row r="311" spans="1:11" x14ac:dyDescent="0.35">
      <c r="A311">
        <v>310</v>
      </c>
      <c r="B311">
        <v>45</v>
      </c>
      <c r="C311" t="s">
        <v>11</v>
      </c>
      <c r="D311" t="s">
        <v>20</v>
      </c>
      <c r="E311" t="s">
        <v>39</v>
      </c>
      <c r="F311">
        <v>80.77</v>
      </c>
      <c r="G311" t="s">
        <v>31</v>
      </c>
      <c r="H311" t="s">
        <v>15</v>
      </c>
      <c r="I311">
        <v>4.5999999999999996</v>
      </c>
      <c r="J311">
        <v>11</v>
      </c>
      <c r="K311">
        <v>3</v>
      </c>
    </row>
    <row r="312" spans="1:11" x14ac:dyDescent="0.35">
      <c r="A312">
        <v>311</v>
      </c>
      <c r="B312">
        <v>46</v>
      </c>
      <c r="C312" t="s">
        <v>16</v>
      </c>
      <c r="D312" t="s">
        <v>33</v>
      </c>
      <c r="E312" t="s">
        <v>38</v>
      </c>
      <c r="F312">
        <v>118.69</v>
      </c>
      <c r="G312" t="s">
        <v>31</v>
      </c>
      <c r="H312" t="s">
        <v>15</v>
      </c>
      <c r="I312">
        <v>2.7</v>
      </c>
      <c r="J312">
        <v>10</v>
      </c>
      <c r="K312">
        <v>5</v>
      </c>
    </row>
    <row r="313" spans="1:11" x14ac:dyDescent="0.35">
      <c r="A313">
        <v>312</v>
      </c>
      <c r="B313">
        <v>35</v>
      </c>
      <c r="C313" t="s">
        <v>11</v>
      </c>
      <c r="D313" t="s">
        <v>29</v>
      </c>
      <c r="E313" t="s">
        <v>55</v>
      </c>
      <c r="F313">
        <v>77.47</v>
      </c>
      <c r="G313" t="s">
        <v>31</v>
      </c>
      <c r="H313" t="s">
        <v>15</v>
      </c>
      <c r="I313">
        <v>4.3</v>
      </c>
      <c r="J313">
        <v>8</v>
      </c>
      <c r="K313">
        <v>4</v>
      </c>
    </row>
    <row r="314" spans="1:11" x14ac:dyDescent="0.35">
      <c r="A314">
        <v>313</v>
      </c>
      <c r="B314">
        <v>48</v>
      </c>
      <c r="C314" t="s">
        <v>11</v>
      </c>
      <c r="D314" t="s">
        <v>12</v>
      </c>
      <c r="E314" t="s">
        <v>56</v>
      </c>
      <c r="F314">
        <v>85.35</v>
      </c>
      <c r="G314" t="s">
        <v>19</v>
      </c>
      <c r="H314" t="s">
        <v>15</v>
      </c>
      <c r="I314">
        <v>4.3</v>
      </c>
      <c r="J314">
        <v>4</v>
      </c>
      <c r="K314">
        <v>2</v>
      </c>
    </row>
    <row r="315" spans="1:11" x14ac:dyDescent="0.35">
      <c r="A315">
        <v>314</v>
      </c>
      <c r="B315">
        <v>48</v>
      </c>
      <c r="C315" t="s">
        <v>11</v>
      </c>
      <c r="D315" t="s">
        <v>33</v>
      </c>
      <c r="E315" t="s">
        <v>38</v>
      </c>
      <c r="F315">
        <v>102.43</v>
      </c>
      <c r="G315" t="s">
        <v>19</v>
      </c>
      <c r="H315" t="s">
        <v>15</v>
      </c>
      <c r="I315">
        <v>3.6</v>
      </c>
      <c r="J315">
        <v>24</v>
      </c>
      <c r="K315">
        <v>7</v>
      </c>
    </row>
    <row r="316" spans="1:11" x14ac:dyDescent="0.35">
      <c r="A316">
        <v>315</v>
      </c>
      <c r="B316">
        <v>30</v>
      </c>
      <c r="C316" t="s">
        <v>16</v>
      </c>
      <c r="D316" t="s">
        <v>25</v>
      </c>
      <c r="E316" t="s">
        <v>57</v>
      </c>
      <c r="F316">
        <v>11.09</v>
      </c>
      <c r="G316" t="s">
        <v>14</v>
      </c>
      <c r="H316" t="s">
        <v>37</v>
      </c>
      <c r="I316">
        <v>2.8</v>
      </c>
      <c r="J316">
        <v>23</v>
      </c>
      <c r="K316">
        <v>9</v>
      </c>
    </row>
    <row r="317" spans="1:11" x14ac:dyDescent="0.35">
      <c r="A317">
        <v>316</v>
      </c>
      <c r="B317">
        <v>43</v>
      </c>
      <c r="C317" t="s">
        <v>16</v>
      </c>
      <c r="D317" t="s">
        <v>20</v>
      </c>
      <c r="E317" t="s">
        <v>36</v>
      </c>
      <c r="F317">
        <v>30.29</v>
      </c>
      <c r="G317" t="s">
        <v>31</v>
      </c>
      <c r="H317" t="s">
        <v>37</v>
      </c>
      <c r="I317">
        <v>2.4</v>
      </c>
      <c r="J317">
        <v>16</v>
      </c>
      <c r="K317">
        <v>3</v>
      </c>
    </row>
    <row r="318" spans="1:11" x14ac:dyDescent="0.35">
      <c r="A318">
        <v>317</v>
      </c>
      <c r="B318">
        <v>69</v>
      </c>
      <c r="C318" t="s">
        <v>11</v>
      </c>
      <c r="D318" t="s">
        <v>25</v>
      </c>
      <c r="E318" t="s">
        <v>26</v>
      </c>
      <c r="F318">
        <v>79.400000000000006</v>
      </c>
      <c r="G318" t="s">
        <v>24</v>
      </c>
      <c r="H318" t="s">
        <v>15</v>
      </c>
      <c r="I318">
        <v>3.4</v>
      </c>
      <c r="J318">
        <v>15</v>
      </c>
      <c r="K318">
        <v>5</v>
      </c>
    </row>
    <row r="319" spans="1:11" x14ac:dyDescent="0.35">
      <c r="A319">
        <v>318</v>
      </c>
      <c r="B319">
        <v>22</v>
      </c>
      <c r="C319" t="s">
        <v>11</v>
      </c>
      <c r="D319" t="s">
        <v>20</v>
      </c>
      <c r="E319" t="s">
        <v>21</v>
      </c>
      <c r="F319">
        <v>237.38</v>
      </c>
      <c r="G319" t="s">
        <v>19</v>
      </c>
      <c r="H319" t="s">
        <v>15</v>
      </c>
      <c r="I319">
        <v>3.4</v>
      </c>
      <c r="J319">
        <v>7</v>
      </c>
      <c r="K319">
        <v>1</v>
      </c>
    </row>
    <row r="320" spans="1:11" x14ac:dyDescent="0.35">
      <c r="A320">
        <v>319</v>
      </c>
      <c r="B320">
        <v>39</v>
      </c>
      <c r="C320" t="s">
        <v>11</v>
      </c>
      <c r="D320" t="s">
        <v>25</v>
      </c>
      <c r="E320" t="s">
        <v>54</v>
      </c>
      <c r="F320">
        <v>56.93</v>
      </c>
      <c r="G320" t="s">
        <v>31</v>
      </c>
      <c r="H320" t="s">
        <v>15</v>
      </c>
      <c r="I320">
        <v>4.4000000000000004</v>
      </c>
      <c r="J320">
        <v>8</v>
      </c>
      <c r="K320">
        <v>4</v>
      </c>
    </row>
    <row r="321" spans="1:11" x14ac:dyDescent="0.35">
      <c r="A321">
        <v>320</v>
      </c>
      <c r="B321">
        <v>60</v>
      </c>
      <c r="C321" t="s">
        <v>11</v>
      </c>
      <c r="D321" t="s">
        <v>41</v>
      </c>
      <c r="E321" t="s">
        <v>46</v>
      </c>
      <c r="F321">
        <v>187.91</v>
      </c>
      <c r="G321" t="s">
        <v>19</v>
      </c>
      <c r="H321" t="s">
        <v>15</v>
      </c>
      <c r="I321">
        <v>3.8</v>
      </c>
      <c r="J321">
        <v>4</v>
      </c>
      <c r="K321">
        <v>2</v>
      </c>
    </row>
    <row r="322" spans="1:11" x14ac:dyDescent="0.35">
      <c r="A322">
        <v>321</v>
      </c>
      <c r="B322">
        <v>67</v>
      </c>
      <c r="C322" t="s">
        <v>11</v>
      </c>
      <c r="D322" t="s">
        <v>41</v>
      </c>
      <c r="E322" t="s">
        <v>46</v>
      </c>
      <c r="F322">
        <v>144.38</v>
      </c>
      <c r="G322" t="s">
        <v>19</v>
      </c>
      <c r="H322" t="s">
        <v>15</v>
      </c>
      <c r="I322">
        <v>3.4</v>
      </c>
      <c r="J322">
        <v>24</v>
      </c>
      <c r="K322">
        <v>7</v>
      </c>
    </row>
    <row r="323" spans="1:11" x14ac:dyDescent="0.35">
      <c r="A323">
        <v>322</v>
      </c>
      <c r="B323">
        <v>56</v>
      </c>
      <c r="C323" t="s">
        <v>11</v>
      </c>
      <c r="D323" t="s">
        <v>22</v>
      </c>
      <c r="E323" t="s">
        <v>23</v>
      </c>
      <c r="F323">
        <v>139.78</v>
      </c>
      <c r="G323" t="s">
        <v>19</v>
      </c>
      <c r="H323" t="s">
        <v>15</v>
      </c>
      <c r="I323">
        <v>3.9</v>
      </c>
      <c r="J323">
        <v>19</v>
      </c>
      <c r="K323">
        <v>7</v>
      </c>
    </row>
    <row r="324" spans="1:11" x14ac:dyDescent="0.35">
      <c r="A324">
        <v>323</v>
      </c>
      <c r="B324">
        <v>22</v>
      </c>
      <c r="C324" t="s">
        <v>16</v>
      </c>
      <c r="D324" t="s">
        <v>20</v>
      </c>
      <c r="E324" t="s">
        <v>39</v>
      </c>
      <c r="F324">
        <v>232.96</v>
      </c>
      <c r="G324" t="s">
        <v>31</v>
      </c>
      <c r="H324" t="s">
        <v>15</v>
      </c>
      <c r="I324">
        <v>4.0999999999999996</v>
      </c>
      <c r="J324">
        <v>6</v>
      </c>
      <c r="K324">
        <v>3</v>
      </c>
    </row>
    <row r="325" spans="1:11" x14ac:dyDescent="0.35">
      <c r="A325">
        <v>324</v>
      </c>
      <c r="B325">
        <v>65</v>
      </c>
      <c r="C325" t="s">
        <v>11</v>
      </c>
      <c r="D325" t="s">
        <v>29</v>
      </c>
      <c r="E325" t="s">
        <v>55</v>
      </c>
      <c r="F325">
        <v>79.89</v>
      </c>
      <c r="G325" t="s">
        <v>14</v>
      </c>
      <c r="H325" t="s">
        <v>15</v>
      </c>
      <c r="I325">
        <v>5</v>
      </c>
      <c r="J325">
        <v>24</v>
      </c>
      <c r="K325">
        <v>7</v>
      </c>
    </row>
    <row r="326" spans="1:11" x14ac:dyDescent="0.35">
      <c r="A326">
        <v>325</v>
      </c>
      <c r="B326">
        <v>38</v>
      </c>
      <c r="C326" t="s">
        <v>11</v>
      </c>
      <c r="D326" t="s">
        <v>20</v>
      </c>
      <c r="E326" t="s">
        <v>21</v>
      </c>
      <c r="F326">
        <v>240.47</v>
      </c>
      <c r="G326" t="s">
        <v>14</v>
      </c>
      <c r="H326" t="s">
        <v>15</v>
      </c>
      <c r="I326">
        <v>3.4</v>
      </c>
      <c r="J326">
        <v>8</v>
      </c>
      <c r="K326">
        <v>4</v>
      </c>
    </row>
    <row r="327" spans="1:11" x14ac:dyDescent="0.35">
      <c r="A327">
        <v>326</v>
      </c>
      <c r="B327">
        <v>42</v>
      </c>
      <c r="C327" t="s">
        <v>11</v>
      </c>
      <c r="D327" t="s">
        <v>20</v>
      </c>
      <c r="E327" t="s">
        <v>36</v>
      </c>
      <c r="F327">
        <v>124.92</v>
      </c>
      <c r="G327" t="s">
        <v>14</v>
      </c>
      <c r="H327" t="s">
        <v>15</v>
      </c>
      <c r="I327">
        <v>2.2000000000000002</v>
      </c>
      <c r="J327">
        <v>21</v>
      </c>
      <c r="K327">
        <v>8</v>
      </c>
    </row>
    <row r="328" spans="1:11" x14ac:dyDescent="0.35">
      <c r="A328">
        <v>327</v>
      </c>
      <c r="B328">
        <v>48</v>
      </c>
      <c r="C328" t="s">
        <v>11</v>
      </c>
      <c r="D328" t="s">
        <v>20</v>
      </c>
      <c r="E328" t="s">
        <v>39</v>
      </c>
      <c r="F328">
        <v>174.99</v>
      </c>
      <c r="G328" t="s">
        <v>24</v>
      </c>
      <c r="H328" t="s">
        <v>15</v>
      </c>
      <c r="I328">
        <v>4.4000000000000004</v>
      </c>
      <c r="J328">
        <v>18</v>
      </c>
      <c r="K328">
        <v>4</v>
      </c>
    </row>
    <row r="329" spans="1:11" x14ac:dyDescent="0.35">
      <c r="A329">
        <v>328</v>
      </c>
      <c r="B329">
        <v>32</v>
      </c>
      <c r="C329" t="s">
        <v>11</v>
      </c>
      <c r="D329" t="s">
        <v>33</v>
      </c>
      <c r="E329" t="s">
        <v>38</v>
      </c>
      <c r="F329">
        <v>169.59</v>
      </c>
      <c r="G329" t="s">
        <v>31</v>
      </c>
      <c r="H329" t="s">
        <v>15</v>
      </c>
      <c r="I329">
        <v>4.8</v>
      </c>
      <c r="J329">
        <v>13</v>
      </c>
      <c r="K329">
        <v>4</v>
      </c>
    </row>
    <row r="330" spans="1:11" x14ac:dyDescent="0.35">
      <c r="A330">
        <v>329</v>
      </c>
      <c r="B330">
        <v>62</v>
      </c>
      <c r="C330" t="s">
        <v>16</v>
      </c>
      <c r="D330" t="s">
        <v>20</v>
      </c>
      <c r="E330" t="s">
        <v>39</v>
      </c>
      <c r="F330">
        <v>212.29</v>
      </c>
      <c r="G330" t="s">
        <v>19</v>
      </c>
      <c r="H330" t="s">
        <v>15</v>
      </c>
      <c r="I330">
        <v>5</v>
      </c>
      <c r="J330">
        <v>11</v>
      </c>
      <c r="K330">
        <v>3</v>
      </c>
    </row>
    <row r="331" spans="1:11" x14ac:dyDescent="0.35">
      <c r="A331">
        <v>330</v>
      </c>
      <c r="B331">
        <v>57</v>
      </c>
      <c r="C331" t="s">
        <v>16</v>
      </c>
      <c r="D331" t="s">
        <v>27</v>
      </c>
      <c r="E331" t="s">
        <v>53</v>
      </c>
      <c r="F331">
        <v>2524.81</v>
      </c>
      <c r="G331" t="s">
        <v>14</v>
      </c>
      <c r="H331" t="s">
        <v>15</v>
      </c>
      <c r="I331">
        <v>3.8</v>
      </c>
      <c r="J331">
        <v>17</v>
      </c>
      <c r="K331">
        <v>6</v>
      </c>
    </row>
    <row r="332" spans="1:11" x14ac:dyDescent="0.35">
      <c r="A332">
        <v>331</v>
      </c>
      <c r="B332">
        <v>62</v>
      </c>
      <c r="C332" t="s">
        <v>16</v>
      </c>
      <c r="D332" t="s">
        <v>17</v>
      </c>
      <c r="E332" t="s">
        <v>18</v>
      </c>
      <c r="F332">
        <v>83.68</v>
      </c>
      <c r="G332" t="s">
        <v>19</v>
      </c>
      <c r="H332" t="s">
        <v>37</v>
      </c>
      <c r="I332">
        <v>2.9</v>
      </c>
      <c r="J332">
        <v>10</v>
      </c>
      <c r="K332">
        <v>5</v>
      </c>
    </row>
    <row r="333" spans="1:11" x14ac:dyDescent="0.35">
      <c r="A333">
        <v>332</v>
      </c>
      <c r="B333">
        <v>60</v>
      </c>
      <c r="C333" t="s">
        <v>16</v>
      </c>
      <c r="D333" t="s">
        <v>17</v>
      </c>
      <c r="E333" t="s">
        <v>35</v>
      </c>
      <c r="F333">
        <v>128.55000000000001</v>
      </c>
      <c r="G333" t="s">
        <v>19</v>
      </c>
      <c r="H333" t="s">
        <v>15</v>
      </c>
      <c r="I333">
        <v>4.5999999999999996</v>
      </c>
      <c r="J333">
        <v>18</v>
      </c>
      <c r="K333">
        <v>4</v>
      </c>
    </row>
    <row r="334" spans="1:11" x14ac:dyDescent="0.35">
      <c r="A334">
        <v>333</v>
      </c>
      <c r="B334">
        <v>47</v>
      </c>
      <c r="C334" t="s">
        <v>16</v>
      </c>
      <c r="D334" t="s">
        <v>22</v>
      </c>
      <c r="E334" t="s">
        <v>23</v>
      </c>
      <c r="F334">
        <v>284.08</v>
      </c>
      <c r="G334" t="s">
        <v>14</v>
      </c>
      <c r="H334" t="s">
        <v>15</v>
      </c>
      <c r="I334">
        <v>3.3</v>
      </c>
      <c r="J334">
        <v>16</v>
      </c>
      <c r="K334">
        <v>3</v>
      </c>
    </row>
    <row r="335" spans="1:11" x14ac:dyDescent="0.35">
      <c r="A335">
        <v>334</v>
      </c>
      <c r="B335">
        <v>57</v>
      </c>
      <c r="C335" t="s">
        <v>11</v>
      </c>
      <c r="D335" t="s">
        <v>41</v>
      </c>
      <c r="E335" t="s">
        <v>44</v>
      </c>
      <c r="F335">
        <v>140.29</v>
      </c>
      <c r="G335" t="s">
        <v>14</v>
      </c>
      <c r="H335" t="s">
        <v>15</v>
      </c>
      <c r="I335">
        <v>5</v>
      </c>
      <c r="J335">
        <v>12</v>
      </c>
      <c r="K335">
        <v>6</v>
      </c>
    </row>
    <row r="336" spans="1:11" x14ac:dyDescent="0.35">
      <c r="A336">
        <v>335</v>
      </c>
      <c r="B336">
        <v>53</v>
      </c>
      <c r="C336" t="s">
        <v>11</v>
      </c>
      <c r="D336" t="s">
        <v>12</v>
      </c>
      <c r="E336" t="s">
        <v>56</v>
      </c>
      <c r="F336">
        <v>29.37</v>
      </c>
      <c r="G336" t="s">
        <v>14</v>
      </c>
      <c r="H336" t="s">
        <v>37</v>
      </c>
      <c r="I336">
        <v>3.2</v>
      </c>
      <c r="J336">
        <v>24</v>
      </c>
      <c r="K336">
        <v>7</v>
      </c>
    </row>
    <row r="337" spans="1:11" x14ac:dyDescent="0.35">
      <c r="A337">
        <v>336</v>
      </c>
      <c r="B337">
        <v>48</v>
      </c>
      <c r="C337" t="s">
        <v>11</v>
      </c>
      <c r="D337" t="s">
        <v>12</v>
      </c>
      <c r="E337" t="s">
        <v>50</v>
      </c>
      <c r="F337">
        <v>79.45</v>
      </c>
      <c r="G337" t="s">
        <v>19</v>
      </c>
      <c r="H337" t="s">
        <v>15</v>
      </c>
      <c r="I337">
        <v>4</v>
      </c>
      <c r="J337">
        <v>15</v>
      </c>
      <c r="K337">
        <v>5</v>
      </c>
    </row>
    <row r="338" spans="1:11" x14ac:dyDescent="0.35">
      <c r="A338">
        <v>337</v>
      </c>
      <c r="B338">
        <v>63</v>
      </c>
      <c r="C338" t="s">
        <v>11</v>
      </c>
      <c r="D338" t="s">
        <v>41</v>
      </c>
      <c r="E338" t="s">
        <v>45</v>
      </c>
      <c r="F338">
        <v>77.099999999999994</v>
      </c>
      <c r="G338" t="s">
        <v>24</v>
      </c>
      <c r="H338" t="s">
        <v>37</v>
      </c>
      <c r="I338">
        <v>2.1</v>
      </c>
      <c r="J338">
        <v>17</v>
      </c>
      <c r="K338">
        <v>6</v>
      </c>
    </row>
    <row r="339" spans="1:11" x14ac:dyDescent="0.35">
      <c r="A339">
        <v>338</v>
      </c>
      <c r="B339">
        <v>49</v>
      </c>
      <c r="C339" t="s">
        <v>16</v>
      </c>
      <c r="D339" t="s">
        <v>17</v>
      </c>
      <c r="E339" t="s">
        <v>18</v>
      </c>
      <c r="F339">
        <v>163.61000000000001</v>
      </c>
      <c r="G339" t="s">
        <v>24</v>
      </c>
      <c r="H339" t="s">
        <v>15</v>
      </c>
      <c r="I339">
        <v>2.9</v>
      </c>
      <c r="J339">
        <v>6</v>
      </c>
      <c r="K339">
        <v>3</v>
      </c>
    </row>
    <row r="340" spans="1:11" x14ac:dyDescent="0.35">
      <c r="A340">
        <v>339</v>
      </c>
      <c r="B340">
        <v>62</v>
      </c>
      <c r="C340" t="s">
        <v>11</v>
      </c>
      <c r="D340" t="s">
        <v>41</v>
      </c>
      <c r="E340" t="s">
        <v>42</v>
      </c>
      <c r="F340">
        <v>34.1</v>
      </c>
      <c r="G340" t="s">
        <v>14</v>
      </c>
      <c r="H340" t="s">
        <v>15</v>
      </c>
      <c r="I340">
        <v>2.8</v>
      </c>
      <c r="J340">
        <v>9</v>
      </c>
      <c r="K340">
        <v>2</v>
      </c>
    </row>
    <row r="341" spans="1:11" x14ac:dyDescent="0.35">
      <c r="A341">
        <v>340</v>
      </c>
      <c r="B341">
        <v>50</v>
      </c>
      <c r="C341" t="s">
        <v>11</v>
      </c>
      <c r="D341" t="s">
        <v>12</v>
      </c>
      <c r="E341" t="s">
        <v>56</v>
      </c>
      <c r="F341">
        <v>62.32</v>
      </c>
      <c r="G341" t="s">
        <v>24</v>
      </c>
      <c r="H341" t="s">
        <v>15</v>
      </c>
      <c r="I341">
        <v>3.5</v>
      </c>
      <c r="J341">
        <v>18</v>
      </c>
      <c r="K341">
        <v>4</v>
      </c>
    </row>
    <row r="342" spans="1:11" x14ac:dyDescent="0.35">
      <c r="A342">
        <v>341</v>
      </c>
      <c r="B342">
        <v>35</v>
      </c>
      <c r="C342" t="s">
        <v>16</v>
      </c>
      <c r="D342" t="s">
        <v>20</v>
      </c>
      <c r="E342" t="s">
        <v>39</v>
      </c>
      <c r="F342">
        <v>165.77</v>
      </c>
      <c r="G342" t="s">
        <v>31</v>
      </c>
      <c r="H342" t="s">
        <v>15</v>
      </c>
      <c r="I342">
        <v>3.3</v>
      </c>
      <c r="J342">
        <v>14</v>
      </c>
      <c r="K342">
        <v>2</v>
      </c>
    </row>
    <row r="343" spans="1:11" x14ac:dyDescent="0.35">
      <c r="A343">
        <v>342</v>
      </c>
      <c r="B343">
        <v>29</v>
      </c>
      <c r="C343" t="s">
        <v>16</v>
      </c>
      <c r="D343" t="s">
        <v>33</v>
      </c>
      <c r="E343" t="s">
        <v>38</v>
      </c>
      <c r="F343">
        <v>132.79</v>
      </c>
      <c r="G343" t="s">
        <v>31</v>
      </c>
      <c r="H343" t="s">
        <v>15</v>
      </c>
      <c r="I343">
        <v>4.4000000000000004</v>
      </c>
      <c r="J343">
        <v>14</v>
      </c>
      <c r="K343">
        <v>2</v>
      </c>
    </row>
    <row r="344" spans="1:11" x14ac:dyDescent="0.35">
      <c r="A344">
        <v>343</v>
      </c>
      <c r="B344">
        <v>25</v>
      </c>
      <c r="C344" t="s">
        <v>11</v>
      </c>
      <c r="D344" t="s">
        <v>29</v>
      </c>
      <c r="E344" t="s">
        <v>55</v>
      </c>
      <c r="F344">
        <v>82.83</v>
      </c>
      <c r="G344" t="s">
        <v>14</v>
      </c>
      <c r="H344" t="s">
        <v>15</v>
      </c>
      <c r="I344">
        <v>4.4000000000000004</v>
      </c>
      <c r="J344">
        <v>8</v>
      </c>
      <c r="K344">
        <v>4</v>
      </c>
    </row>
    <row r="345" spans="1:11" x14ac:dyDescent="0.35">
      <c r="A345">
        <v>344</v>
      </c>
      <c r="B345">
        <v>28</v>
      </c>
      <c r="C345" t="s">
        <v>11</v>
      </c>
      <c r="D345" t="s">
        <v>29</v>
      </c>
      <c r="E345" t="s">
        <v>55</v>
      </c>
      <c r="F345">
        <v>139.28</v>
      </c>
      <c r="G345" t="s">
        <v>14</v>
      </c>
      <c r="H345" t="s">
        <v>15</v>
      </c>
      <c r="I345">
        <v>5</v>
      </c>
      <c r="J345">
        <v>21</v>
      </c>
      <c r="K345">
        <v>8</v>
      </c>
    </row>
    <row r="346" spans="1:11" x14ac:dyDescent="0.35">
      <c r="A346">
        <v>345</v>
      </c>
      <c r="B346">
        <v>44</v>
      </c>
      <c r="C346" t="s">
        <v>16</v>
      </c>
      <c r="D346" t="s">
        <v>17</v>
      </c>
      <c r="E346" t="s">
        <v>35</v>
      </c>
      <c r="F346">
        <v>145.69</v>
      </c>
      <c r="G346" t="s">
        <v>19</v>
      </c>
      <c r="H346" t="s">
        <v>15</v>
      </c>
      <c r="I346">
        <v>3.4</v>
      </c>
      <c r="J346">
        <v>6</v>
      </c>
      <c r="K346">
        <v>3</v>
      </c>
    </row>
    <row r="347" spans="1:11" x14ac:dyDescent="0.35">
      <c r="A347">
        <v>346</v>
      </c>
      <c r="B347">
        <v>47</v>
      </c>
      <c r="C347" t="s">
        <v>11</v>
      </c>
      <c r="D347" t="s">
        <v>12</v>
      </c>
      <c r="E347" t="s">
        <v>13</v>
      </c>
      <c r="F347">
        <v>28.87</v>
      </c>
      <c r="G347" t="s">
        <v>14</v>
      </c>
      <c r="H347" t="s">
        <v>37</v>
      </c>
      <c r="I347">
        <v>3</v>
      </c>
      <c r="J347">
        <v>10</v>
      </c>
      <c r="K347">
        <v>5</v>
      </c>
    </row>
    <row r="348" spans="1:11" x14ac:dyDescent="0.35">
      <c r="A348">
        <v>347</v>
      </c>
      <c r="B348">
        <v>22</v>
      </c>
      <c r="C348" t="s">
        <v>11</v>
      </c>
      <c r="D348" t="s">
        <v>33</v>
      </c>
      <c r="E348" t="s">
        <v>38</v>
      </c>
      <c r="F348">
        <v>122.56</v>
      </c>
      <c r="G348" t="s">
        <v>24</v>
      </c>
      <c r="H348" t="s">
        <v>15</v>
      </c>
      <c r="I348">
        <v>4.0999999999999996</v>
      </c>
      <c r="J348">
        <v>14</v>
      </c>
      <c r="K348">
        <v>2</v>
      </c>
    </row>
    <row r="349" spans="1:11" x14ac:dyDescent="0.35">
      <c r="A349">
        <v>348</v>
      </c>
      <c r="B349">
        <v>69</v>
      </c>
      <c r="C349" t="s">
        <v>16</v>
      </c>
      <c r="D349" t="s">
        <v>33</v>
      </c>
      <c r="E349" t="s">
        <v>40</v>
      </c>
      <c r="F349">
        <v>98.93</v>
      </c>
      <c r="G349" t="s">
        <v>31</v>
      </c>
      <c r="H349" t="s">
        <v>15</v>
      </c>
      <c r="I349">
        <v>3</v>
      </c>
      <c r="J349">
        <v>24</v>
      </c>
      <c r="K349">
        <v>7</v>
      </c>
    </row>
    <row r="350" spans="1:11" x14ac:dyDescent="0.35">
      <c r="A350">
        <v>349</v>
      </c>
      <c r="B350">
        <v>41</v>
      </c>
      <c r="C350" t="s">
        <v>16</v>
      </c>
      <c r="D350" t="s">
        <v>20</v>
      </c>
      <c r="E350" t="s">
        <v>36</v>
      </c>
      <c r="F350">
        <v>207.36</v>
      </c>
      <c r="G350" t="s">
        <v>19</v>
      </c>
      <c r="H350" t="s">
        <v>15</v>
      </c>
      <c r="I350">
        <v>3.9</v>
      </c>
      <c r="J350">
        <v>13</v>
      </c>
      <c r="K350">
        <v>4</v>
      </c>
    </row>
    <row r="351" spans="1:11" x14ac:dyDescent="0.35">
      <c r="A351">
        <v>350</v>
      </c>
      <c r="B351">
        <v>54</v>
      </c>
      <c r="C351" t="s">
        <v>11</v>
      </c>
      <c r="D351" t="s">
        <v>29</v>
      </c>
      <c r="E351" t="s">
        <v>51</v>
      </c>
      <c r="F351">
        <v>87.55</v>
      </c>
      <c r="G351" t="s">
        <v>19</v>
      </c>
      <c r="H351" t="s">
        <v>15</v>
      </c>
      <c r="I351">
        <v>3.6</v>
      </c>
      <c r="J351">
        <v>18</v>
      </c>
      <c r="K351">
        <v>4</v>
      </c>
    </row>
    <row r="352" spans="1:11" x14ac:dyDescent="0.35">
      <c r="A352">
        <v>351</v>
      </c>
      <c r="B352">
        <v>40</v>
      </c>
      <c r="C352" t="s">
        <v>11</v>
      </c>
      <c r="D352" t="s">
        <v>29</v>
      </c>
      <c r="E352" t="s">
        <v>55</v>
      </c>
      <c r="F352">
        <v>47.08</v>
      </c>
      <c r="G352" t="s">
        <v>24</v>
      </c>
      <c r="H352" t="s">
        <v>15</v>
      </c>
      <c r="I352">
        <v>3</v>
      </c>
      <c r="J352">
        <v>12</v>
      </c>
      <c r="K352">
        <v>6</v>
      </c>
    </row>
    <row r="353" spans="1:11" x14ac:dyDescent="0.35">
      <c r="A353">
        <v>352</v>
      </c>
      <c r="B353">
        <v>63</v>
      </c>
      <c r="C353" t="s">
        <v>11</v>
      </c>
      <c r="D353" t="s">
        <v>20</v>
      </c>
      <c r="E353" t="s">
        <v>39</v>
      </c>
      <c r="F353">
        <v>104.84</v>
      </c>
      <c r="G353" t="s">
        <v>19</v>
      </c>
      <c r="H353" t="s">
        <v>15</v>
      </c>
      <c r="I353">
        <v>4.3</v>
      </c>
      <c r="J353">
        <v>18</v>
      </c>
      <c r="K353">
        <v>9</v>
      </c>
    </row>
    <row r="354" spans="1:11" x14ac:dyDescent="0.35">
      <c r="A354">
        <v>353</v>
      </c>
      <c r="B354">
        <v>47</v>
      </c>
      <c r="C354" t="s">
        <v>16</v>
      </c>
      <c r="D354" t="s">
        <v>17</v>
      </c>
      <c r="E354" t="s">
        <v>18</v>
      </c>
      <c r="F354">
        <v>84.24</v>
      </c>
      <c r="G354" t="s">
        <v>14</v>
      </c>
      <c r="H354" t="s">
        <v>37</v>
      </c>
      <c r="I354">
        <v>3.1</v>
      </c>
      <c r="J354">
        <v>13</v>
      </c>
      <c r="K354">
        <v>4</v>
      </c>
    </row>
    <row r="355" spans="1:11" x14ac:dyDescent="0.35">
      <c r="A355">
        <v>354</v>
      </c>
      <c r="B355">
        <v>68</v>
      </c>
      <c r="C355" t="s">
        <v>11</v>
      </c>
      <c r="D355" t="s">
        <v>29</v>
      </c>
      <c r="E355" t="s">
        <v>30</v>
      </c>
      <c r="F355">
        <v>136.55000000000001</v>
      </c>
      <c r="G355" t="s">
        <v>31</v>
      </c>
      <c r="H355" t="s">
        <v>15</v>
      </c>
      <c r="I355">
        <v>3.6</v>
      </c>
      <c r="J355">
        <v>7</v>
      </c>
      <c r="K355">
        <v>1</v>
      </c>
    </row>
    <row r="356" spans="1:11" x14ac:dyDescent="0.35">
      <c r="A356">
        <v>355</v>
      </c>
      <c r="B356">
        <v>53</v>
      </c>
      <c r="C356" t="s">
        <v>16</v>
      </c>
      <c r="D356" t="s">
        <v>27</v>
      </c>
      <c r="E356" t="s">
        <v>53</v>
      </c>
      <c r="F356">
        <v>2520.9899999999998</v>
      </c>
      <c r="G356" t="s">
        <v>24</v>
      </c>
      <c r="H356" t="s">
        <v>15</v>
      </c>
      <c r="I356">
        <v>3.1</v>
      </c>
      <c r="J356">
        <v>18</v>
      </c>
      <c r="K356">
        <v>4</v>
      </c>
    </row>
    <row r="357" spans="1:11" x14ac:dyDescent="0.35">
      <c r="A357">
        <v>356</v>
      </c>
      <c r="B357">
        <v>25</v>
      </c>
      <c r="C357" t="s">
        <v>16</v>
      </c>
      <c r="D357" t="s">
        <v>20</v>
      </c>
      <c r="E357" t="s">
        <v>21</v>
      </c>
      <c r="F357">
        <v>43.35</v>
      </c>
      <c r="G357" t="s">
        <v>31</v>
      </c>
      <c r="H357" t="s">
        <v>15</v>
      </c>
      <c r="I357">
        <v>2.2000000000000002</v>
      </c>
      <c r="J357">
        <v>6</v>
      </c>
      <c r="K357">
        <v>3</v>
      </c>
    </row>
    <row r="358" spans="1:11" x14ac:dyDescent="0.35">
      <c r="A358">
        <v>357</v>
      </c>
      <c r="B358">
        <v>34</v>
      </c>
      <c r="C358" t="s">
        <v>11</v>
      </c>
      <c r="D358" t="s">
        <v>29</v>
      </c>
      <c r="E358" t="s">
        <v>55</v>
      </c>
      <c r="F358">
        <v>123.83</v>
      </c>
      <c r="G358" t="s">
        <v>19</v>
      </c>
      <c r="H358" t="s">
        <v>15</v>
      </c>
      <c r="I358">
        <v>5</v>
      </c>
      <c r="J358">
        <v>4</v>
      </c>
      <c r="K358">
        <v>2</v>
      </c>
    </row>
    <row r="359" spans="1:11" x14ac:dyDescent="0.35">
      <c r="A359">
        <v>358</v>
      </c>
      <c r="B359">
        <v>66</v>
      </c>
      <c r="C359" t="s">
        <v>11</v>
      </c>
      <c r="D359" t="s">
        <v>33</v>
      </c>
      <c r="E359" t="s">
        <v>34</v>
      </c>
      <c r="F359">
        <v>194.54</v>
      </c>
      <c r="G359" t="s">
        <v>19</v>
      </c>
      <c r="H359" t="s">
        <v>15</v>
      </c>
      <c r="I359">
        <v>2.6</v>
      </c>
      <c r="J359">
        <v>6</v>
      </c>
      <c r="K359">
        <v>3</v>
      </c>
    </row>
    <row r="360" spans="1:11" x14ac:dyDescent="0.35">
      <c r="A360">
        <v>359</v>
      </c>
      <c r="B360">
        <v>30</v>
      </c>
      <c r="C360" t="s">
        <v>16</v>
      </c>
      <c r="D360" t="s">
        <v>17</v>
      </c>
      <c r="E360" t="s">
        <v>18</v>
      </c>
      <c r="F360">
        <v>65.61</v>
      </c>
      <c r="G360" t="s">
        <v>31</v>
      </c>
      <c r="H360" t="s">
        <v>15</v>
      </c>
      <c r="I360">
        <v>3.3</v>
      </c>
      <c r="J360">
        <v>16</v>
      </c>
      <c r="K360">
        <v>3</v>
      </c>
    </row>
    <row r="361" spans="1:11" x14ac:dyDescent="0.35">
      <c r="A361">
        <v>360</v>
      </c>
      <c r="B361">
        <v>59</v>
      </c>
      <c r="C361" t="s">
        <v>11</v>
      </c>
      <c r="D361" t="s">
        <v>12</v>
      </c>
      <c r="E361" t="s">
        <v>13</v>
      </c>
      <c r="F361">
        <v>68.540000000000006</v>
      </c>
      <c r="G361" t="s">
        <v>19</v>
      </c>
      <c r="H361" t="s">
        <v>15</v>
      </c>
      <c r="I361">
        <v>2.7</v>
      </c>
      <c r="J361">
        <v>21</v>
      </c>
      <c r="K361">
        <v>8</v>
      </c>
    </row>
    <row r="362" spans="1:11" x14ac:dyDescent="0.35">
      <c r="A362">
        <v>361</v>
      </c>
      <c r="B362">
        <v>22</v>
      </c>
      <c r="C362" t="s">
        <v>11</v>
      </c>
      <c r="D362" t="s">
        <v>20</v>
      </c>
      <c r="E362" t="s">
        <v>36</v>
      </c>
      <c r="F362">
        <v>95.48</v>
      </c>
      <c r="G362" t="s">
        <v>24</v>
      </c>
      <c r="H362" t="s">
        <v>37</v>
      </c>
      <c r="I362">
        <v>4.0999999999999996</v>
      </c>
      <c r="J362">
        <v>9</v>
      </c>
      <c r="K362">
        <v>2</v>
      </c>
    </row>
    <row r="363" spans="1:11" x14ac:dyDescent="0.35">
      <c r="A363">
        <v>362</v>
      </c>
      <c r="B363">
        <v>23</v>
      </c>
      <c r="C363" t="s">
        <v>16</v>
      </c>
      <c r="D363" t="s">
        <v>33</v>
      </c>
      <c r="E363" t="s">
        <v>38</v>
      </c>
      <c r="F363">
        <v>217.69</v>
      </c>
      <c r="G363" t="s">
        <v>19</v>
      </c>
      <c r="H363" t="s">
        <v>15</v>
      </c>
      <c r="I363">
        <v>3.4</v>
      </c>
      <c r="J363">
        <v>18</v>
      </c>
      <c r="K363">
        <v>4</v>
      </c>
    </row>
    <row r="364" spans="1:11" x14ac:dyDescent="0.35">
      <c r="A364">
        <v>363</v>
      </c>
      <c r="B364">
        <v>59</v>
      </c>
      <c r="C364" t="s">
        <v>16</v>
      </c>
      <c r="D364" t="s">
        <v>20</v>
      </c>
      <c r="E364" t="s">
        <v>39</v>
      </c>
      <c r="F364">
        <v>221.98</v>
      </c>
      <c r="G364" t="s">
        <v>31</v>
      </c>
      <c r="H364" t="s">
        <v>15</v>
      </c>
      <c r="I364">
        <v>3</v>
      </c>
      <c r="J364">
        <v>16</v>
      </c>
      <c r="K364">
        <v>8</v>
      </c>
    </row>
    <row r="365" spans="1:11" x14ac:dyDescent="0.35">
      <c r="A365">
        <v>364</v>
      </c>
      <c r="B365">
        <v>70</v>
      </c>
      <c r="C365" t="s">
        <v>11</v>
      </c>
      <c r="D365" t="s">
        <v>12</v>
      </c>
      <c r="E365" t="s">
        <v>50</v>
      </c>
      <c r="F365">
        <v>157.83000000000001</v>
      </c>
      <c r="G365" t="s">
        <v>31</v>
      </c>
      <c r="H365" t="s">
        <v>15</v>
      </c>
      <c r="I365">
        <v>4.5</v>
      </c>
      <c r="J365">
        <v>24</v>
      </c>
      <c r="K365">
        <v>7</v>
      </c>
    </row>
    <row r="366" spans="1:11" x14ac:dyDescent="0.35">
      <c r="A366">
        <v>365</v>
      </c>
      <c r="B366">
        <v>28</v>
      </c>
      <c r="C366" t="s">
        <v>16</v>
      </c>
      <c r="D366" t="s">
        <v>33</v>
      </c>
      <c r="E366" t="s">
        <v>34</v>
      </c>
      <c r="F366">
        <v>92.99</v>
      </c>
      <c r="G366" t="s">
        <v>24</v>
      </c>
      <c r="H366" t="s">
        <v>15</v>
      </c>
      <c r="I366">
        <v>3.8</v>
      </c>
      <c r="J366">
        <v>16</v>
      </c>
      <c r="K366">
        <v>3</v>
      </c>
    </row>
    <row r="367" spans="1:11" x14ac:dyDescent="0.35">
      <c r="A367">
        <v>366</v>
      </c>
      <c r="B367">
        <v>30</v>
      </c>
      <c r="C367" t="s">
        <v>11</v>
      </c>
      <c r="D367" t="s">
        <v>41</v>
      </c>
      <c r="E367" t="s">
        <v>44</v>
      </c>
      <c r="F367">
        <v>152.47</v>
      </c>
      <c r="G367" t="s">
        <v>14</v>
      </c>
      <c r="H367" t="s">
        <v>15</v>
      </c>
      <c r="I367">
        <v>4</v>
      </c>
      <c r="J367">
        <v>24</v>
      </c>
      <c r="K367">
        <v>7</v>
      </c>
    </row>
    <row r="368" spans="1:11" x14ac:dyDescent="0.35">
      <c r="A368">
        <v>367</v>
      </c>
      <c r="B368">
        <v>50</v>
      </c>
      <c r="C368" t="s">
        <v>16</v>
      </c>
      <c r="D368" t="s">
        <v>20</v>
      </c>
      <c r="E368" t="s">
        <v>39</v>
      </c>
      <c r="F368">
        <v>162.69999999999999</v>
      </c>
      <c r="G368" t="s">
        <v>31</v>
      </c>
      <c r="H368" t="s">
        <v>15</v>
      </c>
      <c r="I368">
        <v>2.8</v>
      </c>
      <c r="J368">
        <v>11</v>
      </c>
      <c r="K368">
        <v>3</v>
      </c>
    </row>
    <row r="369" spans="1:11" x14ac:dyDescent="0.35">
      <c r="A369">
        <v>368</v>
      </c>
      <c r="B369">
        <v>66</v>
      </c>
      <c r="C369" t="s">
        <v>16</v>
      </c>
      <c r="D369" t="s">
        <v>20</v>
      </c>
      <c r="E369" t="s">
        <v>21</v>
      </c>
      <c r="F369">
        <v>56.33</v>
      </c>
      <c r="G369" t="s">
        <v>19</v>
      </c>
      <c r="H369" t="s">
        <v>37</v>
      </c>
      <c r="I369">
        <v>4.0999999999999996</v>
      </c>
      <c r="J369">
        <v>2</v>
      </c>
      <c r="K369">
        <v>1</v>
      </c>
    </row>
    <row r="370" spans="1:11" x14ac:dyDescent="0.35">
      <c r="A370">
        <v>369</v>
      </c>
      <c r="B370">
        <v>34</v>
      </c>
      <c r="C370" t="s">
        <v>11</v>
      </c>
      <c r="D370" t="s">
        <v>29</v>
      </c>
      <c r="E370" t="s">
        <v>51</v>
      </c>
      <c r="F370">
        <v>41.77</v>
      </c>
      <c r="G370" t="s">
        <v>24</v>
      </c>
      <c r="H370" t="s">
        <v>37</v>
      </c>
      <c r="I370">
        <v>3.5</v>
      </c>
      <c r="J370">
        <v>4</v>
      </c>
      <c r="K370">
        <v>2</v>
      </c>
    </row>
    <row r="371" spans="1:11" x14ac:dyDescent="0.35">
      <c r="A371">
        <v>370</v>
      </c>
      <c r="B371">
        <v>49</v>
      </c>
      <c r="C371" t="s">
        <v>16</v>
      </c>
      <c r="D371" t="s">
        <v>27</v>
      </c>
      <c r="E371" t="s">
        <v>49</v>
      </c>
      <c r="F371">
        <v>2544.06</v>
      </c>
      <c r="G371" t="s">
        <v>31</v>
      </c>
      <c r="H371" t="s">
        <v>15</v>
      </c>
      <c r="I371">
        <v>3.6</v>
      </c>
      <c r="J371">
        <v>10</v>
      </c>
      <c r="K371">
        <v>5</v>
      </c>
    </row>
    <row r="372" spans="1:11" x14ac:dyDescent="0.35">
      <c r="A372">
        <v>371</v>
      </c>
      <c r="B372">
        <v>53</v>
      </c>
      <c r="C372" t="s">
        <v>11</v>
      </c>
      <c r="D372" t="s">
        <v>12</v>
      </c>
      <c r="E372" t="s">
        <v>13</v>
      </c>
      <c r="F372">
        <v>89.64</v>
      </c>
      <c r="G372" t="s">
        <v>19</v>
      </c>
      <c r="H372" t="s">
        <v>37</v>
      </c>
      <c r="I372">
        <v>4.0999999999999996</v>
      </c>
      <c r="J372">
        <v>6</v>
      </c>
      <c r="K372">
        <v>3</v>
      </c>
    </row>
    <row r="373" spans="1:11" x14ac:dyDescent="0.35">
      <c r="A373">
        <v>372</v>
      </c>
      <c r="B373">
        <v>53</v>
      </c>
      <c r="C373" t="s">
        <v>16</v>
      </c>
      <c r="D373" t="s">
        <v>33</v>
      </c>
      <c r="E373" t="s">
        <v>34</v>
      </c>
      <c r="F373">
        <v>224</v>
      </c>
      <c r="G373" t="s">
        <v>14</v>
      </c>
      <c r="H373" t="s">
        <v>15</v>
      </c>
      <c r="I373">
        <v>5</v>
      </c>
      <c r="J373">
        <v>20</v>
      </c>
      <c r="K373">
        <v>5</v>
      </c>
    </row>
    <row r="374" spans="1:11" x14ac:dyDescent="0.35">
      <c r="A374">
        <v>373</v>
      </c>
      <c r="B374">
        <v>52</v>
      </c>
      <c r="C374" t="s">
        <v>11</v>
      </c>
      <c r="D374" t="s">
        <v>12</v>
      </c>
      <c r="E374" t="s">
        <v>56</v>
      </c>
      <c r="F374">
        <v>37.28</v>
      </c>
      <c r="G374" t="s">
        <v>24</v>
      </c>
      <c r="H374" t="s">
        <v>15</v>
      </c>
      <c r="I374">
        <v>3.3</v>
      </c>
      <c r="J374">
        <v>13</v>
      </c>
      <c r="K374">
        <v>4</v>
      </c>
    </row>
    <row r="375" spans="1:11" x14ac:dyDescent="0.35">
      <c r="A375">
        <v>374</v>
      </c>
      <c r="B375">
        <v>61</v>
      </c>
      <c r="C375" t="s">
        <v>16</v>
      </c>
      <c r="D375" t="s">
        <v>33</v>
      </c>
      <c r="E375" t="s">
        <v>34</v>
      </c>
      <c r="F375">
        <v>42.08</v>
      </c>
      <c r="G375" t="s">
        <v>19</v>
      </c>
      <c r="H375" t="s">
        <v>37</v>
      </c>
      <c r="I375">
        <v>2.5</v>
      </c>
      <c r="J375">
        <v>20</v>
      </c>
      <c r="K375">
        <v>10</v>
      </c>
    </row>
    <row r="376" spans="1:11" x14ac:dyDescent="0.35">
      <c r="A376">
        <v>375</v>
      </c>
      <c r="B376">
        <v>28</v>
      </c>
      <c r="C376" t="s">
        <v>16</v>
      </c>
      <c r="D376" t="s">
        <v>17</v>
      </c>
      <c r="E376" t="s">
        <v>48</v>
      </c>
      <c r="F376">
        <v>50.72</v>
      </c>
      <c r="G376" t="s">
        <v>31</v>
      </c>
      <c r="H376" t="s">
        <v>37</v>
      </c>
      <c r="I376">
        <v>2.6</v>
      </c>
      <c r="J376">
        <v>4</v>
      </c>
      <c r="K376">
        <v>2</v>
      </c>
    </row>
    <row r="377" spans="1:11" x14ac:dyDescent="0.35">
      <c r="A377">
        <v>376</v>
      </c>
      <c r="B377">
        <v>54</v>
      </c>
      <c r="C377" t="s">
        <v>11</v>
      </c>
      <c r="D377" t="s">
        <v>41</v>
      </c>
      <c r="E377" t="s">
        <v>44</v>
      </c>
      <c r="F377">
        <v>183.9</v>
      </c>
      <c r="G377" t="s">
        <v>19</v>
      </c>
      <c r="H377" t="s">
        <v>15</v>
      </c>
      <c r="I377">
        <v>4</v>
      </c>
      <c r="J377">
        <v>18</v>
      </c>
      <c r="K377">
        <v>4</v>
      </c>
    </row>
    <row r="378" spans="1:11" x14ac:dyDescent="0.35">
      <c r="A378">
        <v>377</v>
      </c>
      <c r="B378">
        <v>36</v>
      </c>
      <c r="C378" t="s">
        <v>11</v>
      </c>
      <c r="D378" t="s">
        <v>29</v>
      </c>
      <c r="E378" t="s">
        <v>30</v>
      </c>
      <c r="F378">
        <v>121.81</v>
      </c>
      <c r="G378" t="s">
        <v>24</v>
      </c>
      <c r="H378" t="s">
        <v>15</v>
      </c>
      <c r="I378">
        <v>3.8</v>
      </c>
      <c r="J378">
        <v>16</v>
      </c>
      <c r="K378">
        <v>3</v>
      </c>
    </row>
    <row r="379" spans="1:11" x14ac:dyDescent="0.35">
      <c r="A379">
        <v>378</v>
      </c>
      <c r="B379">
        <v>35</v>
      </c>
      <c r="C379" t="s">
        <v>11</v>
      </c>
      <c r="D379" t="s">
        <v>41</v>
      </c>
      <c r="E379" t="s">
        <v>42</v>
      </c>
      <c r="F379">
        <v>66.09</v>
      </c>
      <c r="G379" t="s">
        <v>31</v>
      </c>
      <c r="H379" t="s">
        <v>15</v>
      </c>
      <c r="I379">
        <v>2.9</v>
      </c>
      <c r="J379">
        <v>16</v>
      </c>
      <c r="K379">
        <v>3</v>
      </c>
    </row>
    <row r="380" spans="1:11" x14ac:dyDescent="0.35">
      <c r="A380">
        <v>379</v>
      </c>
      <c r="B380">
        <v>63</v>
      </c>
      <c r="C380" t="s">
        <v>16</v>
      </c>
      <c r="D380" t="s">
        <v>33</v>
      </c>
      <c r="E380" t="s">
        <v>34</v>
      </c>
      <c r="F380">
        <v>119.18</v>
      </c>
      <c r="G380" t="s">
        <v>19</v>
      </c>
      <c r="H380" t="s">
        <v>15</v>
      </c>
      <c r="I380">
        <v>4.5</v>
      </c>
      <c r="J380">
        <v>8</v>
      </c>
      <c r="K380">
        <v>4</v>
      </c>
    </row>
    <row r="381" spans="1:11" x14ac:dyDescent="0.35">
      <c r="A381">
        <v>380</v>
      </c>
      <c r="B381">
        <v>51</v>
      </c>
      <c r="C381" t="s">
        <v>16</v>
      </c>
      <c r="D381" t="s">
        <v>17</v>
      </c>
      <c r="E381" t="s">
        <v>48</v>
      </c>
      <c r="F381">
        <v>123</v>
      </c>
      <c r="G381" t="s">
        <v>24</v>
      </c>
      <c r="H381" t="s">
        <v>15</v>
      </c>
      <c r="I381">
        <v>3.6</v>
      </c>
      <c r="J381">
        <v>11</v>
      </c>
      <c r="K381">
        <v>3</v>
      </c>
    </row>
    <row r="382" spans="1:11" x14ac:dyDescent="0.35">
      <c r="A382">
        <v>381</v>
      </c>
      <c r="B382">
        <v>26</v>
      </c>
      <c r="C382" t="s">
        <v>16</v>
      </c>
      <c r="D382" t="s">
        <v>17</v>
      </c>
      <c r="E382" t="s">
        <v>18</v>
      </c>
      <c r="F382">
        <v>37.33</v>
      </c>
      <c r="G382" t="s">
        <v>19</v>
      </c>
      <c r="H382" t="s">
        <v>15</v>
      </c>
      <c r="I382">
        <v>3.6</v>
      </c>
      <c r="J382">
        <v>20</v>
      </c>
      <c r="K382">
        <v>5</v>
      </c>
    </row>
    <row r="383" spans="1:11" x14ac:dyDescent="0.35">
      <c r="A383">
        <v>382</v>
      </c>
      <c r="B383">
        <v>54</v>
      </c>
      <c r="C383" t="s">
        <v>16</v>
      </c>
      <c r="D383" t="s">
        <v>27</v>
      </c>
      <c r="E383" t="s">
        <v>28</v>
      </c>
      <c r="F383">
        <v>1625.71</v>
      </c>
      <c r="G383" t="s">
        <v>19</v>
      </c>
      <c r="H383" t="s">
        <v>15</v>
      </c>
      <c r="I383">
        <v>5</v>
      </c>
      <c r="J383">
        <v>26</v>
      </c>
      <c r="K383">
        <v>13</v>
      </c>
    </row>
    <row r="384" spans="1:11" x14ac:dyDescent="0.35">
      <c r="A384">
        <v>383</v>
      </c>
      <c r="B384">
        <v>70</v>
      </c>
      <c r="C384" t="s">
        <v>16</v>
      </c>
      <c r="D384" t="s">
        <v>33</v>
      </c>
      <c r="E384" t="s">
        <v>40</v>
      </c>
      <c r="F384">
        <v>150.47999999999999</v>
      </c>
      <c r="G384" t="s">
        <v>19</v>
      </c>
      <c r="H384" t="s">
        <v>15</v>
      </c>
      <c r="I384">
        <v>4.5999999999999996</v>
      </c>
      <c r="J384">
        <v>12</v>
      </c>
      <c r="K384">
        <v>6</v>
      </c>
    </row>
    <row r="385" spans="1:11" x14ac:dyDescent="0.35">
      <c r="A385">
        <v>384</v>
      </c>
      <c r="B385">
        <v>45</v>
      </c>
      <c r="C385" t="s">
        <v>16</v>
      </c>
      <c r="D385" t="s">
        <v>27</v>
      </c>
      <c r="E385" t="s">
        <v>49</v>
      </c>
      <c r="F385">
        <v>1400.99</v>
      </c>
      <c r="G385" t="s">
        <v>24</v>
      </c>
      <c r="H385" t="s">
        <v>15</v>
      </c>
      <c r="I385">
        <v>2.8</v>
      </c>
      <c r="J385">
        <v>6</v>
      </c>
      <c r="K385">
        <v>3</v>
      </c>
    </row>
    <row r="386" spans="1:11" x14ac:dyDescent="0.35">
      <c r="A386">
        <v>385</v>
      </c>
      <c r="B386">
        <v>43</v>
      </c>
      <c r="C386" t="s">
        <v>16</v>
      </c>
      <c r="D386" t="s">
        <v>20</v>
      </c>
      <c r="E386" t="s">
        <v>21</v>
      </c>
      <c r="F386">
        <v>80.25</v>
      </c>
      <c r="G386" t="s">
        <v>24</v>
      </c>
      <c r="H386" t="s">
        <v>15</v>
      </c>
      <c r="I386">
        <v>3.9</v>
      </c>
      <c r="J386">
        <v>17</v>
      </c>
      <c r="K386">
        <v>6</v>
      </c>
    </row>
    <row r="387" spans="1:11" x14ac:dyDescent="0.35">
      <c r="A387">
        <v>386</v>
      </c>
      <c r="B387">
        <v>37</v>
      </c>
      <c r="C387" t="s">
        <v>11</v>
      </c>
      <c r="D387" t="s">
        <v>25</v>
      </c>
      <c r="E387" t="s">
        <v>47</v>
      </c>
      <c r="F387">
        <v>29.59</v>
      </c>
      <c r="G387" t="s">
        <v>31</v>
      </c>
      <c r="H387" t="s">
        <v>15</v>
      </c>
      <c r="I387">
        <v>4.7</v>
      </c>
      <c r="J387">
        <v>24</v>
      </c>
      <c r="K387">
        <v>7</v>
      </c>
    </row>
    <row r="388" spans="1:11" x14ac:dyDescent="0.35">
      <c r="A388">
        <v>387</v>
      </c>
      <c r="B388">
        <v>47</v>
      </c>
      <c r="C388" t="s">
        <v>16</v>
      </c>
      <c r="D388" t="s">
        <v>17</v>
      </c>
      <c r="E388" t="s">
        <v>35</v>
      </c>
      <c r="F388">
        <v>112.86</v>
      </c>
      <c r="G388" t="s">
        <v>24</v>
      </c>
      <c r="H388" t="s">
        <v>15</v>
      </c>
      <c r="I388">
        <v>4.5999999999999996</v>
      </c>
      <c r="J388">
        <v>14</v>
      </c>
      <c r="K388">
        <v>7</v>
      </c>
    </row>
    <row r="389" spans="1:11" x14ac:dyDescent="0.35">
      <c r="A389">
        <v>388</v>
      </c>
      <c r="B389">
        <v>45</v>
      </c>
      <c r="C389" t="s">
        <v>16</v>
      </c>
      <c r="D389" t="s">
        <v>20</v>
      </c>
      <c r="E389" t="s">
        <v>21</v>
      </c>
      <c r="F389">
        <v>160.31</v>
      </c>
      <c r="G389" t="s">
        <v>24</v>
      </c>
      <c r="H389" t="s">
        <v>15</v>
      </c>
      <c r="I389">
        <v>3</v>
      </c>
      <c r="J389">
        <v>6</v>
      </c>
      <c r="K389">
        <v>3</v>
      </c>
    </row>
    <row r="390" spans="1:11" x14ac:dyDescent="0.35">
      <c r="A390">
        <v>389</v>
      </c>
      <c r="B390">
        <v>44</v>
      </c>
      <c r="C390" t="s">
        <v>11</v>
      </c>
      <c r="D390" t="s">
        <v>22</v>
      </c>
      <c r="E390" t="s">
        <v>43</v>
      </c>
      <c r="F390">
        <v>155.34</v>
      </c>
      <c r="G390" t="s">
        <v>24</v>
      </c>
      <c r="H390" t="s">
        <v>15</v>
      </c>
      <c r="I390">
        <v>4.5</v>
      </c>
      <c r="J390">
        <v>13</v>
      </c>
      <c r="K390">
        <v>4</v>
      </c>
    </row>
    <row r="391" spans="1:11" x14ac:dyDescent="0.35">
      <c r="A391">
        <v>390</v>
      </c>
      <c r="B391">
        <v>39</v>
      </c>
      <c r="C391" t="s">
        <v>16</v>
      </c>
      <c r="D391" t="s">
        <v>25</v>
      </c>
      <c r="E391" t="s">
        <v>54</v>
      </c>
      <c r="F391">
        <v>76.790000000000006</v>
      </c>
      <c r="G391" t="s">
        <v>24</v>
      </c>
      <c r="H391" t="s">
        <v>37</v>
      </c>
      <c r="I391">
        <v>3.3</v>
      </c>
      <c r="J391">
        <v>19</v>
      </c>
      <c r="K391">
        <v>7</v>
      </c>
    </row>
    <row r="392" spans="1:11" x14ac:dyDescent="0.35">
      <c r="A392">
        <v>391</v>
      </c>
      <c r="B392">
        <v>42</v>
      </c>
      <c r="C392" t="s">
        <v>16</v>
      </c>
      <c r="D392" t="s">
        <v>27</v>
      </c>
      <c r="E392" t="s">
        <v>28</v>
      </c>
      <c r="F392">
        <v>845.92</v>
      </c>
      <c r="G392" t="s">
        <v>14</v>
      </c>
      <c r="H392" t="s">
        <v>15</v>
      </c>
      <c r="I392">
        <v>2.9</v>
      </c>
      <c r="J392">
        <v>25</v>
      </c>
      <c r="K392">
        <v>10</v>
      </c>
    </row>
    <row r="393" spans="1:11" x14ac:dyDescent="0.35">
      <c r="A393">
        <v>392</v>
      </c>
      <c r="B393">
        <v>26</v>
      </c>
      <c r="C393" t="s">
        <v>11</v>
      </c>
      <c r="D393" t="s">
        <v>41</v>
      </c>
      <c r="E393" t="s">
        <v>42</v>
      </c>
      <c r="F393">
        <v>177.84</v>
      </c>
      <c r="G393" t="s">
        <v>24</v>
      </c>
      <c r="H393" t="s">
        <v>15</v>
      </c>
      <c r="I393">
        <v>4.5</v>
      </c>
      <c r="J393">
        <v>13</v>
      </c>
      <c r="K393">
        <v>4</v>
      </c>
    </row>
    <row r="394" spans="1:11" x14ac:dyDescent="0.35">
      <c r="A394">
        <v>393</v>
      </c>
      <c r="B394">
        <v>42</v>
      </c>
      <c r="C394" t="s">
        <v>16</v>
      </c>
      <c r="D394" t="s">
        <v>33</v>
      </c>
      <c r="E394" t="s">
        <v>38</v>
      </c>
      <c r="F394">
        <v>81.260000000000005</v>
      </c>
      <c r="G394" t="s">
        <v>31</v>
      </c>
      <c r="H394" t="s">
        <v>15</v>
      </c>
      <c r="I394">
        <v>4.0999999999999996</v>
      </c>
      <c r="J394">
        <v>14</v>
      </c>
      <c r="K394">
        <v>2</v>
      </c>
    </row>
    <row r="395" spans="1:11" x14ac:dyDescent="0.35">
      <c r="A395">
        <v>394</v>
      </c>
      <c r="B395">
        <v>33</v>
      </c>
      <c r="C395" t="s">
        <v>16</v>
      </c>
      <c r="D395" t="s">
        <v>20</v>
      </c>
      <c r="E395" t="s">
        <v>36</v>
      </c>
      <c r="F395">
        <v>143.71</v>
      </c>
      <c r="G395" t="s">
        <v>31</v>
      </c>
      <c r="H395" t="s">
        <v>15</v>
      </c>
      <c r="I395">
        <v>3.9</v>
      </c>
      <c r="J395">
        <v>11</v>
      </c>
      <c r="K395">
        <v>3</v>
      </c>
    </row>
    <row r="396" spans="1:11" x14ac:dyDescent="0.35">
      <c r="A396">
        <v>395</v>
      </c>
      <c r="B396">
        <v>70</v>
      </c>
      <c r="C396" t="s">
        <v>16</v>
      </c>
      <c r="D396" t="s">
        <v>20</v>
      </c>
      <c r="E396" t="s">
        <v>36</v>
      </c>
      <c r="F396">
        <v>62.41</v>
      </c>
      <c r="G396" t="s">
        <v>31</v>
      </c>
      <c r="H396" t="s">
        <v>37</v>
      </c>
      <c r="I396">
        <v>3.7</v>
      </c>
      <c r="J396">
        <v>28</v>
      </c>
      <c r="K396">
        <v>9</v>
      </c>
    </row>
    <row r="397" spans="1:11" x14ac:dyDescent="0.35">
      <c r="A397">
        <v>396</v>
      </c>
      <c r="B397">
        <v>55</v>
      </c>
      <c r="C397" t="s">
        <v>11</v>
      </c>
      <c r="D397" t="s">
        <v>33</v>
      </c>
      <c r="E397" t="s">
        <v>40</v>
      </c>
      <c r="F397">
        <v>120.97</v>
      </c>
      <c r="G397" t="s">
        <v>31</v>
      </c>
      <c r="H397" t="s">
        <v>15</v>
      </c>
      <c r="I397">
        <v>2.9</v>
      </c>
      <c r="J397">
        <v>20</v>
      </c>
      <c r="K397">
        <v>5</v>
      </c>
    </row>
    <row r="398" spans="1:11" x14ac:dyDescent="0.35">
      <c r="A398">
        <v>397</v>
      </c>
      <c r="B398">
        <v>28</v>
      </c>
      <c r="C398" t="s">
        <v>16</v>
      </c>
      <c r="D398" t="s">
        <v>17</v>
      </c>
      <c r="E398" t="s">
        <v>42</v>
      </c>
      <c r="F398">
        <v>176.62</v>
      </c>
      <c r="G398" t="s">
        <v>19</v>
      </c>
      <c r="H398" t="s">
        <v>15</v>
      </c>
      <c r="I398">
        <v>3.7</v>
      </c>
      <c r="J398">
        <v>16</v>
      </c>
      <c r="K398">
        <v>3</v>
      </c>
    </row>
    <row r="399" spans="1:11" x14ac:dyDescent="0.35">
      <c r="A399">
        <v>398</v>
      </c>
      <c r="B399">
        <v>27</v>
      </c>
      <c r="C399" t="s">
        <v>16</v>
      </c>
      <c r="D399" t="s">
        <v>27</v>
      </c>
      <c r="E399" t="s">
        <v>49</v>
      </c>
      <c r="F399">
        <v>1091.52</v>
      </c>
      <c r="G399" t="s">
        <v>31</v>
      </c>
      <c r="H399" t="s">
        <v>15</v>
      </c>
      <c r="I399">
        <v>4.9000000000000004</v>
      </c>
      <c r="J399">
        <v>11</v>
      </c>
      <c r="K399">
        <v>3</v>
      </c>
    </row>
    <row r="400" spans="1:11" x14ac:dyDescent="0.35">
      <c r="A400">
        <v>399</v>
      </c>
      <c r="B400">
        <v>29</v>
      </c>
      <c r="C400" t="s">
        <v>11</v>
      </c>
      <c r="D400" t="s">
        <v>41</v>
      </c>
      <c r="E400" t="s">
        <v>42</v>
      </c>
      <c r="F400">
        <v>196.8</v>
      </c>
      <c r="G400" t="s">
        <v>31</v>
      </c>
      <c r="H400" t="s">
        <v>15</v>
      </c>
      <c r="I400">
        <v>3.7</v>
      </c>
      <c r="J400">
        <v>26</v>
      </c>
      <c r="K400">
        <v>8</v>
      </c>
    </row>
    <row r="401" spans="1:11" x14ac:dyDescent="0.35">
      <c r="A401">
        <v>400</v>
      </c>
      <c r="B401">
        <v>70</v>
      </c>
      <c r="C401" t="s">
        <v>11</v>
      </c>
      <c r="D401" t="s">
        <v>41</v>
      </c>
      <c r="E401" t="s">
        <v>45</v>
      </c>
      <c r="F401">
        <v>89.53</v>
      </c>
      <c r="G401" t="s">
        <v>19</v>
      </c>
      <c r="H401" t="s">
        <v>37</v>
      </c>
      <c r="I401">
        <v>3.8</v>
      </c>
      <c r="J401">
        <v>16</v>
      </c>
      <c r="K401">
        <v>8</v>
      </c>
    </row>
    <row r="402" spans="1:11" x14ac:dyDescent="0.35">
      <c r="A402">
        <v>401</v>
      </c>
      <c r="B402">
        <v>38</v>
      </c>
      <c r="C402" t="s">
        <v>11</v>
      </c>
      <c r="D402" t="s">
        <v>12</v>
      </c>
      <c r="E402" t="s">
        <v>56</v>
      </c>
      <c r="F402">
        <v>141.24</v>
      </c>
      <c r="G402" t="s">
        <v>19</v>
      </c>
      <c r="H402" t="s">
        <v>15</v>
      </c>
      <c r="I402">
        <v>3.9</v>
      </c>
      <c r="J402">
        <v>11</v>
      </c>
      <c r="K402">
        <v>3</v>
      </c>
    </row>
    <row r="403" spans="1:11" x14ac:dyDescent="0.35">
      <c r="A403">
        <v>402</v>
      </c>
      <c r="B403">
        <v>32</v>
      </c>
      <c r="C403" t="s">
        <v>16</v>
      </c>
      <c r="D403" t="s">
        <v>17</v>
      </c>
      <c r="E403" t="s">
        <v>35</v>
      </c>
      <c r="F403">
        <v>125.07</v>
      </c>
      <c r="G403" t="s">
        <v>24</v>
      </c>
      <c r="H403" t="s">
        <v>15</v>
      </c>
      <c r="I403">
        <v>4.2</v>
      </c>
      <c r="J403">
        <v>9</v>
      </c>
      <c r="K403">
        <v>2</v>
      </c>
    </row>
    <row r="404" spans="1:11" x14ac:dyDescent="0.35">
      <c r="A404">
        <v>403</v>
      </c>
      <c r="B404">
        <v>56</v>
      </c>
      <c r="C404" t="s">
        <v>11</v>
      </c>
      <c r="D404" t="s">
        <v>12</v>
      </c>
      <c r="E404" t="s">
        <v>13</v>
      </c>
      <c r="F404">
        <v>83.05</v>
      </c>
      <c r="G404" t="s">
        <v>14</v>
      </c>
      <c r="H404" t="s">
        <v>37</v>
      </c>
      <c r="I404">
        <v>4.0999999999999996</v>
      </c>
      <c r="J404">
        <v>18</v>
      </c>
      <c r="K404">
        <v>4</v>
      </c>
    </row>
    <row r="405" spans="1:11" x14ac:dyDescent="0.35">
      <c r="A405">
        <v>404</v>
      </c>
      <c r="B405">
        <v>32</v>
      </c>
      <c r="C405" t="s">
        <v>16</v>
      </c>
      <c r="D405" t="s">
        <v>22</v>
      </c>
      <c r="E405" t="s">
        <v>52</v>
      </c>
      <c r="F405">
        <v>84.48</v>
      </c>
      <c r="G405" t="s">
        <v>24</v>
      </c>
      <c r="H405" t="s">
        <v>15</v>
      </c>
      <c r="I405">
        <v>4.5</v>
      </c>
      <c r="J405">
        <v>19</v>
      </c>
      <c r="K405">
        <v>7</v>
      </c>
    </row>
    <row r="406" spans="1:11" x14ac:dyDescent="0.35">
      <c r="A406">
        <v>405</v>
      </c>
      <c r="B406">
        <v>42</v>
      </c>
      <c r="C406" t="s">
        <v>16</v>
      </c>
      <c r="D406" t="s">
        <v>27</v>
      </c>
      <c r="E406" t="s">
        <v>49</v>
      </c>
      <c r="F406">
        <v>1607.07</v>
      </c>
      <c r="G406" t="s">
        <v>14</v>
      </c>
      <c r="H406" t="s">
        <v>15</v>
      </c>
      <c r="I406">
        <v>4</v>
      </c>
      <c r="J406">
        <v>21</v>
      </c>
      <c r="K406">
        <v>8</v>
      </c>
    </row>
    <row r="407" spans="1:11" x14ac:dyDescent="0.35">
      <c r="A407">
        <v>406</v>
      </c>
      <c r="B407">
        <v>28</v>
      </c>
      <c r="C407" t="s">
        <v>11</v>
      </c>
      <c r="D407" t="s">
        <v>33</v>
      </c>
      <c r="E407" t="s">
        <v>34</v>
      </c>
      <c r="F407">
        <v>170.45</v>
      </c>
      <c r="G407" t="s">
        <v>19</v>
      </c>
      <c r="H407" t="s">
        <v>15</v>
      </c>
      <c r="I407">
        <v>3.8</v>
      </c>
      <c r="J407">
        <v>13</v>
      </c>
      <c r="K407">
        <v>4</v>
      </c>
    </row>
    <row r="408" spans="1:11" x14ac:dyDescent="0.35">
      <c r="A408">
        <v>407</v>
      </c>
      <c r="B408">
        <v>30</v>
      </c>
      <c r="C408" t="s">
        <v>11</v>
      </c>
      <c r="D408" t="s">
        <v>29</v>
      </c>
      <c r="E408" t="s">
        <v>55</v>
      </c>
      <c r="F408">
        <v>47.97</v>
      </c>
      <c r="G408" t="s">
        <v>19</v>
      </c>
      <c r="H408" t="s">
        <v>15</v>
      </c>
      <c r="I408">
        <v>3.7</v>
      </c>
      <c r="J408">
        <v>18</v>
      </c>
      <c r="K408">
        <v>4</v>
      </c>
    </row>
    <row r="409" spans="1:11" x14ac:dyDescent="0.35">
      <c r="A409">
        <v>408</v>
      </c>
      <c r="B409">
        <v>31</v>
      </c>
      <c r="C409" t="s">
        <v>11</v>
      </c>
      <c r="D409" t="s">
        <v>41</v>
      </c>
      <c r="E409" t="s">
        <v>42</v>
      </c>
      <c r="F409">
        <v>152</v>
      </c>
      <c r="G409" t="s">
        <v>19</v>
      </c>
      <c r="H409" t="s">
        <v>15</v>
      </c>
      <c r="I409">
        <v>3.5</v>
      </c>
      <c r="J409">
        <v>24</v>
      </c>
      <c r="K409">
        <v>7</v>
      </c>
    </row>
    <row r="410" spans="1:11" x14ac:dyDescent="0.35">
      <c r="A410">
        <v>409</v>
      </c>
      <c r="B410">
        <v>60</v>
      </c>
      <c r="C410" t="s">
        <v>11</v>
      </c>
      <c r="D410" t="s">
        <v>29</v>
      </c>
      <c r="E410" t="s">
        <v>30</v>
      </c>
      <c r="F410">
        <v>77.790000000000006</v>
      </c>
      <c r="G410" t="s">
        <v>14</v>
      </c>
      <c r="H410" t="s">
        <v>15</v>
      </c>
      <c r="I410">
        <v>4.7</v>
      </c>
      <c r="J410">
        <v>11</v>
      </c>
      <c r="K410">
        <v>3</v>
      </c>
    </row>
    <row r="411" spans="1:11" x14ac:dyDescent="0.35">
      <c r="A411">
        <v>410</v>
      </c>
      <c r="B411">
        <v>46</v>
      </c>
      <c r="C411" t="s">
        <v>11</v>
      </c>
      <c r="D411" t="s">
        <v>41</v>
      </c>
      <c r="E411" t="s">
        <v>45</v>
      </c>
      <c r="F411">
        <v>55.8</v>
      </c>
      <c r="G411" t="s">
        <v>31</v>
      </c>
      <c r="H411" t="s">
        <v>37</v>
      </c>
      <c r="I411">
        <v>3.1</v>
      </c>
      <c r="J411">
        <v>22</v>
      </c>
      <c r="K411">
        <v>6</v>
      </c>
    </row>
    <row r="412" spans="1:11" x14ac:dyDescent="0.35">
      <c r="A412">
        <v>411</v>
      </c>
      <c r="B412">
        <v>66</v>
      </c>
      <c r="C412" t="s">
        <v>16</v>
      </c>
      <c r="D412" t="s">
        <v>20</v>
      </c>
      <c r="E412" t="s">
        <v>39</v>
      </c>
      <c r="F412">
        <v>140.76</v>
      </c>
      <c r="G412" t="s">
        <v>24</v>
      </c>
      <c r="H412" t="s">
        <v>15</v>
      </c>
      <c r="I412">
        <v>3.7</v>
      </c>
      <c r="J412">
        <v>26</v>
      </c>
      <c r="K412">
        <v>8</v>
      </c>
    </row>
    <row r="413" spans="1:11" x14ac:dyDescent="0.35">
      <c r="A413">
        <v>412</v>
      </c>
      <c r="B413">
        <v>69</v>
      </c>
      <c r="C413" t="s">
        <v>16</v>
      </c>
      <c r="D413" t="s">
        <v>20</v>
      </c>
      <c r="E413" t="s">
        <v>39</v>
      </c>
      <c r="F413">
        <v>31.84</v>
      </c>
      <c r="G413" t="s">
        <v>14</v>
      </c>
      <c r="H413" t="s">
        <v>37</v>
      </c>
      <c r="I413">
        <v>4</v>
      </c>
      <c r="J413">
        <v>18</v>
      </c>
      <c r="K413">
        <v>4</v>
      </c>
    </row>
    <row r="414" spans="1:11" x14ac:dyDescent="0.35">
      <c r="A414">
        <v>413</v>
      </c>
      <c r="B414">
        <v>56</v>
      </c>
      <c r="C414" t="s">
        <v>16</v>
      </c>
      <c r="D414" t="s">
        <v>17</v>
      </c>
      <c r="E414" t="s">
        <v>18</v>
      </c>
      <c r="F414">
        <v>175.84</v>
      </c>
      <c r="G414" t="s">
        <v>14</v>
      </c>
      <c r="H414" t="s">
        <v>15</v>
      </c>
      <c r="I414">
        <v>2.7</v>
      </c>
      <c r="J414">
        <v>16</v>
      </c>
      <c r="K414">
        <v>3</v>
      </c>
    </row>
    <row r="415" spans="1:11" x14ac:dyDescent="0.35">
      <c r="A415">
        <v>414</v>
      </c>
      <c r="B415">
        <v>23</v>
      </c>
      <c r="C415" t="s">
        <v>16</v>
      </c>
      <c r="D415" t="s">
        <v>27</v>
      </c>
      <c r="E415" t="s">
        <v>53</v>
      </c>
      <c r="F415">
        <v>2970.31</v>
      </c>
      <c r="G415" t="s">
        <v>14</v>
      </c>
      <c r="H415" t="s">
        <v>15</v>
      </c>
      <c r="I415">
        <v>3.6</v>
      </c>
      <c r="J415">
        <v>12</v>
      </c>
      <c r="K415">
        <v>6</v>
      </c>
    </row>
    <row r="416" spans="1:11" x14ac:dyDescent="0.35">
      <c r="A416">
        <v>415</v>
      </c>
      <c r="B416">
        <v>68</v>
      </c>
      <c r="C416" t="s">
        <v>16</v>
      </c>
      <c r="D416" t="s">
        <v>17</v>
      </c>
      <c r="E416" t="s">
        <v>18</v>
      </c>
      <c r="F416">
        <v>43.47</v>
      </c>
      <c r="G416" t="s">
        <v>31</v>
      </c>
      <c r="H416" t="s">
        <v>37</v>
      </c>
      <c r="I416">
        <v>5</v>
      </c>
      <c r="J416">
        <v>7</v>
      </c>
      <c r="K416">
        <v>1</v>
      </c>
    </row>
    <row r="417" spans="1:11" x14ac:dyDescent="0.35">
      <c r="A417">
        <v>416</v>
      </c>
      <c r="B417">
        <v>38</v>
      </c>
      <c r="C417" t="s">
        <v>11</v>
      </c>
      <c r="D417" t="s">
        <v>29</v>
      </c>
      <c r="E417" t="s">
        <v>51</v>
      </c>
      <c r="F417">
        <v>99.24</v>
      </c>
      <c r="G417" t="s">
        <v>14</v>
      </c>
      <c r="H417" t="s">
        <v>15</v>
      </c>
      <c r="I417">
        <v>3.5</v>
      </c>
      <c r="J417">
        <v>23</v>
      </c>
      <c r="K417">
        <v>9</v>
      </c>
    </row>
    <row r="418" spans="1:11" x14ac:dyDescent="0.35">
      <c r="A418">
        <v>417</v>
      </c>
      <c r="B418">
        <v>39</v>
      </c>
      <c r="C418" t="s">
        <v>11</v>
      </c>
      <c r="D418" t="s">
        <v>33</v>
      </c>
      <c r="E418" t="s">
        <v>40</v>
      </c>
      <c r="F418">
        <v>69.989999999999995</v>
      </c>
      <c r="G418" t="s">
        <v>31</v>
      </c>
      <c r="H418" t="s">
        <v>15</v>
      </c>
      <c r="I418">
        <v>3</v>
      </c>
      <c r="J418">
        <v>10</v>
      </c>
      <c r="K418">
        <v>5</v>
      </c>
    </row>
    <row r="419" spans="1:11" x14ac:dyDescent="0.35">
      <c r="A419">
        <v>418</v>
      </c>
      <c r="B419">
        <v>64</v>
      </c>
      <c r="C419" t="s">
        <v>11</v>
      </c>
      <c r="D419" t="s">
        <v>25</v>
      </c>
      <c r="E419" t="s">
        <v>54</v>
      </c>
      <c r="F419">
        <v>27.74</v>
      </c>
      <c r="G419" t="s">
        <v>31</v>
      </c>
      <c r="H419" t="s">
        <v>15</v>
      </c>
      <c r="I419">
        <v>2.2999999999999998</v>
      </c>
      <c r="J419">
        <v>15</v>
      </c>
      <c r="K419">
        <v>5</v>
      </c>
    </row>
    <row r="420" spans="1:11" x14ac:dyDescent="0.35">
      <c r="A420">
        <v>419</v>
      </c>
      <c r="B420">
        <v>26</v>
      </c>
      <c r="C420" t="s">
        <v>11</v>
      </c>
      <c r="D420" t="s">
        <v>22</v>
      </c>
      <c r="E420" t="s">
        <v>52</v>
      </c>
      <c r="F420">
        <v>175.14</v>
      </c>
      <c r="G420" t="s">
        <v>24</v>
      </c>
      <c r="H420" t="s">
        <v>15</v>
      </c>
      <c r="I420">
        <v>4.5</v>
      </c>
      <c r="J420">
        <v>12</v>
      </c>
      <c r="K420">
        <v>1</v>
      </c>
    </row>
    <row r="421" spans="1:11" x14ac:dyDescent="0.35">
      <c r="A421">
        <v>420</v>
      </c>
      <c r="B421">
        <v>58</v>
      </c>
      <c r="C421" t="s">
        <v>11</v>
      </c>
      <c r="D421" t="s">
        <v>12</v>
      </c>
      <c r="E421" t="s">
        <v>50</v>
      </c>
      <c r="F421">
        <v>105.33</v>
      </c>
      <c r="G421" t="s">
        <v>14</v>
      </c>
      <c r="H421" t="s">
        <v>15</v>
      </c>
      <c r="I421">
        <v>4.5</v>
      </c>
      <c r="J421">
        <v>22</v>
      </c>
      <c r="K421">
        <v>6</v>
      </c>
    </row>
    <row r="422" spans="1:11" x14ac:dyDescent="0.35">
      <c r="A422">
        <v>421</v>
      </c>
      <c r="B422">
        <v>33</v>
      </c>
      <c r="C422" t="s">
        <v>16</v>
      </c>
      <c r="D422" t="s">
        <v>27</v>
      </c>
      <c r="E422" t="s">
        <v>53</v>
      </c>
      <c r="F422">
        <v>2028.35</v>
      </c>
      <c r="G422" t="s">
        <v>24</v>
      </c>
      <c r="H422" t="s">
        <v>15</v>
      </c>
      <c r="I422">
        <v>3.6</v>
      </c>
      <c r="J422">
        <v>8</v>
      </c>
      <c r="K422">
        <v>4</v>
      </c>
    </row>
    <row r="423" spans="1:11" x14ac:dyDescent="0.35">
      <c r="A423">
        <v>422</v>
      </c>
      <c r="B423">
        <v>54</v>
      </c>
      <c r="C423" t="s">
        <v>11</v>
      </c>
      <c r="D423" t="s">
        <v>29</v>
      </c>
      <c r="E423" t="s">
        <v>55</v>
      </c>
      <c r="F423">
        <v>44.38</v>
      </c>
      <c r="G423" t="s">
        <v>19</v>
      </c>
      <c r="H423" t="s">
        <v>37</v>
      </c>
      <c r="I423">
        <v>4.9000000000000004</v>
      </c>
      <c r="J423">
        <v>16</v>
      </c>
      <c r="K423">
        <v>3</v>
      </c>
    </row>
    <row r="424" spans="1:11" x14ac:dyDescent="0.35">
      <c r="A424">
        <v>423</v>
      </c>
      <c r="B424">
        <v>37</v>
      </c>
      <c r="C424" t="s">
        <v>11</v>
      </c>
      <c r="D424" t="s">
        <v>12</v>
      </c>
      <c r="E424" t="s">
        <v>56</v>
      </c>
      <c r="F424">
        <v>124.7</v>
      </c>
      <c r="G424" t="s">
        <v>19</v>
      </c>
      <c r="H424" t="s">
        <v>15</v>
      </c>
      <c r="I424">
        <v>4.5999999999999996</v>
      </c>
      <c r="J424">
        <v>22</v>
      </c>
      <c r="K424">
        <v>6</v>
      </c>
    </row>
    <row r="425" spans="1:11" x14ac:dyDescent="0.35">
      <c r="A425">
        <v>424</v>
      </c>
      <c r="B425">
        <v>27</v>
      </c>
      <c r="C425" t="s">
        <v>16</v>
      </c>
      <c r="D425" t="s">
        <v>17</v>
      </c>
      <c r="E425" t="s">
        <v>18</v>
      </c>
      <c r="F425">
        <v>117.37</v>
      </c>
      <c r="G425" t="s">
        <v>31</v>
      </c>
      <c r="H425" t="s">
        <v>15</v>
      </c>
      <c r="I425">
        <v>3.7</v>
      </c>
      <c r="J425">
        <v>20</v>
      </c>
      <c r="K425">
        <v>5</v>
      </c>
    </row>
    <row r="426" spans="1:11" x14ac:dyDescent="0.35">
      <c r="A426">
        <v>425</v>
      </c>
      <c r="B426">
        <v>67</v>
      </c>
      <c r="C426" t="s">
        <v>11</v>
      </c>
      <c r="D426" t="s">
        <v>12</v>
      </c>
      <c r="E426" t="s">
        <v>50</v>
      </c>
      <c r="F426">
        <v>81.81</v>
      </c>
      <c r="G426" t="s">
        <v>19</v>
      </c>
      <c r="H426" t="s">
        <v>37</v>
      </c>
      <c r="I426">
        <v>3.8</v>
      </c>
      <c r="J426">
        <v>13</v>
      </c>
      <c r="K426">
        <v>4</v>
      </c>
    </row>
    <row r="427" spans="1:11" x14ac:dyDescent="0.35">
      <c r="A427">
        <v>426</v>
      </c>
      <c r="B427">
        <v>34</v>
      </c>
      <c r="C427" t="s">
        <v>11</v>
      </c>
      <c r="D427" t="s">
        <v>29</v>
      </c>
      <c r="E427" t="s">
        <v>30</v>
      </c>
      <c r="F427">
        <v>108.57</v>
      </c>
      <c r="G427" t="s">
        <v>24</v>
      </c>
      <c r="H427" t="s">
        <v>15</v>
      </c>
      <c r="I427">
        <v>4.9000000000000004</v>
      </c>
      <c r="J427">
        <v>13</v>
      </c>
      <c r="K427">
        <v>4</v>
      </c>
    </row>
    <row r="428" spans="1:11" x14ac:dyDescent="0.35">
      <c r="A428">
        <v>427</v>
      </c>
      <c r="B428">
        <v>70</v>
      </c>
      <c r="C428" t="s">
        <v>11</v>
      </c>
      <c r="D428" t="s">
        <v>12</v>
      </c>
      <c r="E428" t="s">
        <v>56</v>
      </c>
      <c r="F428">
        <v>150.37</v>
      </c>
      <c r="G428" t="s">
        <v>14</v>
      </c>
      <c r="H428" t="s">
        <v>15</v>
      </c>
      <c r="I428">
        <v>4.5</v>
      </c>
      <c r="J428">
        <v>10</v>
      </c>
      <c r="K428">
        <v>5</v>
      </c>
    </row>
    <row r="429" spans="1:11" x14ac:dyDescent="0.35">
      <c r="A429">
        <v>428</v>
      </c>
      <c r="B429">
        <v>21</v>
      </c>
      <c r="C429" t="s">
        <v>11</v>
      </c>
      <c r="D429" t="s">
        <v>25</v>
      </c>
      <c r="E429" t="s">
        <v>57</v>
      </c>
      <c r="F429">
        <v>21.02</v>
      </c>
      <c r="G429" t="s">
        <v>14</v>
      </c>
      <c r="H429" t="s">
        <v>15</v>
      </c>
      <c r="I429">
        <v>2.7</v>
      </c>
      <c r="J429">
        <v>14</v>
      </c>
      <c r="K429">
        <v>7</v>
      </c>
    </row>
    <row r="430" spans="1:11" x14ac:dyDescent="0.35">
      <c r="A430">
        <v>429</v>
      </c>
      <c r="B430">
        <v>67</v>
      </c>
      <c r="C430" t="s">
        <v>11</v>
      </c>
      <c r="D430" t="s">
        <v>33</v>
      </c>
      <c r="E430" t="s">
        <v>40</v>
      </c>
      <c r="F430">
        <v>203.32</v>
      </c>
      <c r="G430" t="s">
        <v>31</v>
      </c>
      <c r="H430" t="s">
        <v>15</v>
      </c>
      <c r="I430">
        <v>3.3</v>
      </c>
      <c r="J430">
        <v>10</v>
      </c>
      <c r="K430">
        <v>5</v>
      </c>
    </row>
    <row r="431" spans="1:11" x14ac:dyDescent="0.35">
      <c r="A431">
        <v>430</v>
      </c>
      <c r="B431">
        <v>45</v>
      </c>
      <c r="C431" t="s">
        <v>11</v>
      </c>
      <c r="D431" t="s">
        <v>12</v>
      </c>
      <c r="E431" t="s">
        <v>50</v>
      </c>
      <c r="F431">
        <v>67.03</v>
      </c>
      <c r="G431" t="s">
        <v>14</v>
      </c>
      <c r="H431" t="s">
        <v>37</v>
      </c>
      <c r="I431">
        <v>3.6</v>
      </c>
      <c r="J431">
        <v>21</v>
      </c>
      <c r="K431">
        <v>8</v>
      </c>
    </row>
    <row r="432" spans="1:11" x14ac:dyDescent="0.35">
      <c r="A432">
        <v>431</v>
      </c>
      <c r="B432">
        <v>64</v>
      </c>
      <c r="C432" t="s">
        <v>16</v>
      </c>
      <c r="D432" t="s">
        <v>27</v>
      </c>
      <c r="E432" t="s">
        <v>28</v>
      </c>
      <c r="F432">
        <v>1948.28</v>
      </c>
      <c r="G432" t="s">
        <v>31</v>
      </c>
      <c r="H432" t="s">
        <v>15</v>
      </c>
      <c r="I432">
        <v>4.2</v>
      </c>
      <c r="J432">
        <v>20</v>
      </c>
      <c r="K432">
        <v>5</v>
      </c>
    </row>
    <row r="433" spans="1:11" x14ac:dyDescent="0.35">
      <c r="A433">
        <v>432</v>
      </c>
      <c r="B433">
        <v>51</v>
      </c>
      <c r="C433" t="s">
        <v>11</v>
      </c>
      <c r="D433" t="s">
        <v>41</v>
      </c>
      <c r="E433" t="s">
        <v>42</v>
      </c>
      <c r="F433">
        <v>108.88</v>
      </c>
      <c r="G433" t="s">
        <v>14</v>
      </c>
      <c r="H433" t="s">
        <v>15</v>
      </c>
      <c r="I433">
        <v>3.7</v>
      </c>
      <c r="J433">
        <v>15</v>
      </c>
      <c r="K433">
        <v>5</v>
      </c>
    </row>
    <row r="434" spans="1:11" x14ac:dyDescent="0.35">
      <c r="A434">
        <v>433</v>
      </c>
      <c r="B434">
        <v>41</v>
      </c>
      <c r="C434" t="s">
        <v>11</v>
      </c>
      <c r="D434" t="s">
        <v>25</v>
      </c>
      <c r="E434" t="s">
        <v>47</v>
      </c>
      <c r="F434">
        <v>42.47</v>
      </c>
      <c r="G434" t="s">
        <v>31</v>
      </c>
      <c r="H434" t="s">
        <v>37</v>
      </c>
      <c r="I434">
        <v>2.5</v>
      </c>
      <c r="J434">
        <v>10</v>
      </c>
      <c r="K434">
        <v>5</v>
      </c>
    </row>
    <row r="435" spans="1:11" x14ac:dyDescent="0.35">
      <c r="A435">
        <v>434</v>
      </c>
      <c r="B435">
        <v>61</v>
      </c>
      <c r="C435" t="s">
        <v>16</v>
      </c>
      <c r="D435" t="s">
        <v>17</v>
      </c>
      <c r="E435" t="s">
        <v>48</v>
      </c>
      <c r="F435">
        <v>57.77</v>
      </c>
      <c r="G435" t="s">
        <v>31</v>
      </c>
      <c r="H435" t="s">
        <v>15</v>
      </c>
      <c r="I435">
        <v>3.5</v>
      </c>
      <c r="J435">
        <v>18</v>
      </c>
      <c r="K435">
        <v>4</v>
      </c>
    </row>
    <row r="436" spans="1:11" x14ac:dyDescent="0.35">
      <c r="A436">
        <v>435</v>
      </c>
      <c r="B436">
        <v>47</v>
      </c>
      <c r="C436" t="s">
        <v>16</v>
      </c>
      <c r="D436" t="s">
        <v>25</v>
      </c>
      <c r="E436" t="s">
        <v>26</v>
      </c>
      <c r="F436">
        <v>28.68</v>
      </c>
      <c r="G436" t="s">
        <v>31</v>
      </c>
      <c r="H436" t="s">
        <v>37</v>
      </c>
      <c r="I436">
        <v>3.8</v>
      </c>
      <c r="J436">
        <v>15</v>
      </c>
      <c r="K436">
        <v>5</v>
      </c>
    </row>
    <row r="437" spans="1:11" x14ac:dyDescent="0.35">
      <c r="A437">
        <v>436</v>
      </c>
      <c r="B437">
        <v>38</v>
      </c>
      <c r="C437" t="s">
        <v>16</v>
      </c>
      <c r="D437" t="s">
        <v>17</v>
      </c>
      <c r="E437" t="s">
        <v>18</v>
      </c>
      <c r="F437">
        <v>59</v>
      </c>
      <c r="G437" t="s">
        <v>31</v>
      </c>
      <c r="H437" t="s">
        <v>15</v>
      </c>
      <c r="I437">
        <v>4.0999999999999996</v>
      </c>
      <c r="J437">
        <v>12</v>
      </c>
      <c r="K437">
        <v>6</v>
      </c>
    </row>
    <row r="438" spans="1:11" x14ac:dyDescent="0.35">
      <c r="A438">
        <v>437</v>
      </c>
      <c r="B438">
        <v>50</v>
      </c>
      <c r="C438" t="s">
        <v>11</v>
      </c>
      <c r="D438" t="s">
        <v>12</v>
      </c>
      <c r="E438" t="s">
        <v>50</v>
      </c>
      <c r="F438">
        <v>128.94999999999999</v>
      </c>
      <c r="G438" t="s">
        <v>14</v>
      </c>
      <c r="H438" t="s">
        <v>15</v>
      </c>
      <c r="I438">
        <v>4.3</v>
      </c>
      <c r="J438">
        <v>19</v>
      </c>
      <c r="K438">
        <v>7</v>
      </c>
    </row>
    <row r="439" spans="1:11" x14ac:dyDescent="0.35">
      <c r="A439">
        <v>438</v>
      </c>
      <c r="B439">
        <v>29</v>
      </c>
      <c r="C439" t="s">
        <v>16</v>
      </c>
      <c r="D439" t="s">
        <v>17</v>
      </c>
      <c r="E439" t="s">
        <v>35</v>
      </c>
      <c r="F439">
        <v>163.33000000000001</v>
      </c>
      <c r="G439" t="s">
        <v>14</v>
      </c>
      <c r="H439" t="s">
        <v>15</v>
      </c>
      <c r="I439">
        <v>4.7</v>
      </c>
      <c r="J439">
        <v>27</v>
      </c>
      <c r="K439">
        <v>11</v>
      </c>
    </row>
    <row r="440" spans="1:11" x14ac:dyDescent="0.35">
      <c r="A440">
        <v>439</v>
      </c>
      <c r="B440">
        <v>24</v>
      </c>
      <c r="C440" t="s">
        <v>11</v>
      </c>
      <c r="D440" t="s">
        <v>33</v>
      </c>
      <c r="E440" t="s">
        <v>40</v>
      </c>
      <c r="F440">
        <v>42.5</v>
      </c>
      <c r="G440" t="s">
        <v>31</v>
      </c>
      <c r="H440" t="s">
        <v>15</v>
      </c>
      <c r="I440">
        <v>3.6</v>
      </c>
      <c r="J440">
        <v>18</v>
      </c>
      <c r="K440">
        <v>9</v>
      </c>
    </row>
    <row r="441" spans="1:11" x14ac:dyDescent="0.35">
      <c r="A441">
        <v>440</v>
      </c>
      <c r="B441">
        <v>57</v>
      </c>
      <c r="C441" t="s">
        <v>16</v>
      </c>
      <c r="D441" t="s">
        <v>17</v>
      </c>
      <c r="E441" t="s">
        <v>48</v>
      </c>
      <c r="F441">
        <v>34.25</v>
      </c>
      <c r="G441" t="s">
        <v>31</v>
      </c>
      <c r="H441" t="s">
        <v>37</v>
      </c>
      <c r="I441">
        <v>4.3</v>
      </c>
      <c r="J441">
        <v>20</v>
      </c>
      <c r="K441">
        <v>10</v>
      </c>
    </row>
    <row r="442" spans="1:11" x14ac:dyDescent="0.35">
      <c r="A442">
        <v>441</v>
      </c>
      <c r="B442">
        <v>42</v>
      </c>
      <c r="C442" t="s">
        <v>16</v>
      </c>
      <c r="D442" t="s">
        <v>20</v>
      </c>
      <c r="E442" t="s">
        <v>36</v>
      </c>
      <c r="F442">
        <v>36.03</v>
      </c>
      <c r="G442" t="s">
        <v>31</v>
      </c>
      <c r="H442" t="s">
        <v>37</v>
      </c>
      <c r="I442">
        <v>4.4000000000000004</v>
      </c>
      <c r="J442">
        <v>22</v>
      </c>
      <c r="K442">
        <v>6</v>
      </c>
    </row>
    <row r="443" spans="1:11" x14ac:dyDescent="0.35">
      <c r="A443">
        <v>442</v>
      </c>
      <c r="B443">
        <v>48</v>
      </c>
      <c r="C443" t="s">
        <v>16</v>
      </c>
      <c r="D443" t="s">
        <v>17</v>
      </c>
      <c r="E443" t="s">
        <v>35</v>
      </c>
      <c r="F443">
        <v>78.25</v>
      </c>
      <c r="G443" t="s">
        <v>24</v>
      </c>
      <c r="H443" t="s">
        <v>37</v>
      </c>
      <c r="I443">
        <v>3.3</v>
      </c>
      <c r="J443">
        <v>10</v>
      </c>
      <c r="K443">
        <v>5</v>
      </c>
    </row>
    <row r="444" spans="1:11" x14ac:dyDescent="0.35">
      <c r="A444">
        <v>443</v>
      </c>
      <c r="B444">
        <v>22</v>
      </c>
      <c r="C444" t="s">
        <v>11</v>
      </c>
      <c r="D444" t="s">
        <v>41</v>
      </c>
      <c r="E444" t="s">
        <v>46</v>
      </c>
      <c r="F444">
        <v>162.85</v>
      </c>
      <c r="G444" t="s">
        <v>24</v>
      </c>
      <c r="H444" t="s">
        <v>15</v>
      </c>
      <c r="I444">
        <v>3.7</v>
      </c>
      <c r="J444">
        <v>10</v>
      </c>
      <c r="K444">
        <v>5</v>
      </c>
    </row>
    <row r="445" spans="1:11" x14ac:dyDescent="0.35">
      <c r="A445">
        <v>444</v>
      </c>
      <c r="B445">
        <v>64</v>
      </c>
      <c r="C445" t="s">
        <v>11</v>
      </c>
      <c r="D445" t="s">
        <v>12</v>
      </c>
      <c r="E445" t="s">
        <v>56</v>
      </c>
      <c r="F445">
        <v>143.93</v>
      </c>
      <c r="G445" t="s">
        <v>24</v>
      </c>
      <c r="H445" t="s">
        <v>15</v>
      </c>
      <c r="I445">
        <v>3.3</v>
      </c>
      <c r="J445">
        <v>4</v>
      </c>
      <c r="K445">
        <v>2</v>
      </c>
    </row>
    <row r="446" spans="1:11" x14ac:dyDescent="0.35">
      <c r="A446">
        <v>445</v>
      </c>
      <c r="B446">
        <v>43</v>
      </c>
      <c r="C446" t="s">
        <v>16</v>
      </c>
      <c r="D446" t="s">
        <v>20</v>
      </c>
      <c r="E446" t="s">
        <v>39</v>
      </c>
      <c r="F446">
        <v>170.33</v>
      </c>
      <c r="G446" t="s">
        <v>14</v>
      </c>
      <c r="H446" t="s">
        <v>15</v>
      </c>
      <c r="I446">
        <v>3.8</v>
      </c>
      <c r="J446">
        <v>20</v>
      </c>
      <c r="K446">
        <v>5</v>
      </c>
    </row>
    <row r="447" spans="1:11" x14ac:dyDescent="0.35">
      <c r="A447">
        <v>446</v>
      </c>
      <c r="B447">
        <v>26</v>
      </c>
      <c r="C447" t="s">
        <v>16</v>
      </c>
      <c r="D447" t="s">
        <v>27</v>
      </c>
      <c r="E447" t="s">
        <v>32</v>
      </c>
      <c r="F447">
        <v>2141.41</v>
      </c>
      <c r="G447" t="s">
        <v>19</v>
      </c>
      <c r="H447" t="s">
        <v>15</v>
      </c>
      <c r="I447">
        <v>4.8</v>
      </c>
      <c r="J447">
        <v>19</v>
      </c>
      <c r="K447">
        <v>7</v>
      </c>
    </row>
    <row r="448" spans="1:11" x14ac:dyDescent="0.35">
      <c r="A448">
        <v>447</v>
      </c>
      <c r="B448">
        <v>55</v>
      </c>
      <c r="C448" t="s">
        <v>16</v>
      </c>
      <c r="D448" t="s">
        <v>20</v>
      </c>
      <c r="E448" t="s">
        <v>36</v>
      </c>
      <c r="F448">
        <v>140.47999999999999</v>
      </c>
      <c r="G448" t="s">
        <v>14</v>
      </c>
      <c r="H448" t="s">
        <v>15</v>
      </c>
      <c r="I448">
        <v>2.8</v>
      </c>
      <c r="J448">
        <v>12</v>
      </c>
      <c r="K448">
        <v>6</v>
      </c>
    </row>
    <row r="449" spans="1:11" x14ac:dyDescent="0.35">
      <c r="A449">
        <v>448</v>
      </c>
      <c r="B449">
        <v>63</v>
      </c>
      <c r="C449" t="s">
        <v>16</v>
      </c>
      <c r="D449" t="s">
        <v>25</v>
      </c>
      <c r="E449" t="s">
        <v>54</v>
      </c>
      <c r="F449">
        <v>17.91</v>
      </c>
      <c r="G449" t="s">
        <v>14</v>
      </c>
      <c r="H449" t="s">
        <v>37</v>
      </c>
      <c r="I449">
        <v>3.3</v>
      </c>
      <c r="J449">
        <v>13</v>
      </c>
      <c r="K449">
        <v>4</v>
      </c>
    </row>
    <row r="450" spans="1:11" x14ac:dyDescent="0.35">
      <c r="A450">
        <v>449</v>
      </c>
      <c r="B450">
        <v>65</v>
      </c>
      <c r="C450" t="s">
        <v>11</v>
      </c>
      <c r="D450" t="s">
        <v>12</v>
      </c>
      <c r="E450" t="s">
        <v>56</v>
      </c>
      <c r="F450">
        <v>129.87</v>
      </c>
      <c r="G450" t="s">
        <v>31</v>
      </c>
      <c r="H450" t="s">
        <v>15</v>
      </c>
      <c r="I450">
        <v>2.5</v>
      </c>
      <c r="J450">
        <v>10</v>
      </c>
      <c r="K450">
        <v>5</v>
      </c>
    </row>
    <row r="451" spans="1:11" x14ac:dyDescent="0.35">
      <c r="A451">
        <v>450</v>
      </c>
      <c r="B451">
        <v>24</v>
      </c>
      <c r="C451" t="s">
        <v>16</v>
      </c>
      <c r="D451" t="s">
        <v>22</v>
      </c>
      <c r="E451" t="s">
        <v>52</v>
      </c>
      <c r="F451">
        <v>77.19</v>
      </c>
      <c r="G451" t="s">
        <v>24</v>
      </c>
      <c r="H451" t="s">
        <v>15</v>
      </c>
      <c r="I451">
        <v>2.2999999999999998</v>
      </c>
      <c r="J451">
        <v>8</v>
      </c>
      <c r="K451">
        <v>4</v>
      </c>
    </row>
    <row r="452" spans="1:11" x14ac:dyDescent="0.35">
      <c r="A452">
        <v>451</v>
      </c>
      <c r="B452">
        <v>69</v>
      </c>
      <c r="C452" t="s">
        <v>11</v>
      </c>
      <c r="D452" t="s">
        <v>41</v>
      </c>
      <c r="E452" t="s">
        <v>42</v>
      </c>
      <c r="F452">
        <v>164.53</v>
      </c>
      <c r="G452" t="s">
        <v>19</v>
      </c>
      <c r="H452" t="s">
        <v>15</v>
      </c>
      <c r="I452">
        <v>3.7</v>
      </c>
      <c r="J452">
        <v>19</v>
      </c>
      <c r="K452">
        <v>7</v>
      </c>
    </row>
    <row r="453" spans="1:11" x14ac:dyDescent="0.35">
      <c r="A453">
        <v>452</v>
      </c>
      <c r="B453">
        <v>67</v>
      </c>
      <c r="C453" t="s">
        <v>16</v>
      </c>
      <c r="D453" t="s">
        <v>27</v>
      </c>
      <c r="E453" t="s">
        <v>32</v>
      </c>
      <c r="F453">
        <v>1534.27</v>
      </c>
      <c r="G453" t="s">
        <v>31</v>
      </c>
      <c r="H453" t="s">
        <v>15</v>
      </c>
      <c r="I453">
        <v>4</v>
      </c>
      <c r="J453">
        <v>8</v>
      </c>
      <c r="K453">
        <v>4</v>
      </c>
    </row>
    <row r="454" spans="1:11" x14ac:dyDescent="0.35">
      <c r="A454">
        <v>453</v>
      </c>
      <c r="B454">
        <v>64</v>
      </c>
      <c r="C454" t="s">
        <v>16</v>
      </c>
      <c r="D454" t="s">
        <v>25</v>
      </c>
      <c r="E454" t="s">
        <v>54</v>
      </c>
      <c r="F454">
        <v>44.13</v>
      </c>
      <c r="G454" t="s">
        <v>31</v>
      </c>
      <c r="H454" t="s">
        <v>15</v>
      </c>
      <c r="I454">
        <v>3.8</v>
      </c>
      <c r="J454">
        <v>13</v>
      </c>
      <c r="K454">
        <v>4</v>
      </c>
    </row>
    <row r="455" spans="1:11" x14ac:dyDescent="0.35">
      <c r="A455">
        <v>454</v>
      </c>
      <c r="B455">
        <v>32</v>
      </c>
      <c r="C455" t="s">
        <v>16</v>
      </c>
      <c r="D455" t="s">
        <v>33</v>
      </c>
      <c r="E455" t="s">
        <v>38</v>
      </c>
      <c r="F455">
        <v>99.11</v>
      </c>
      <c r="G455" t="s">
        <v>31</v>
      </c>
      <c r="H455" t="s">
        <v>37</v>
      </c>
      <c r="I455">
        <v>3.8</v>
      </c>
      <c r="J455">
        <v>12</v>
      </c>
      <c r="K455">
        <v>1</v>
      </c>
    </row>
    <row r="456" spans="1:11" x14ac:dyDescent="0.35">
      <c r="A456">
        <v>455</v>
      </c>
      <c r="B456">
        <v>21</v>
      </c>
      <c r="C456" t="s">
        <v>11</v>
      </c>
      <c r="D456" t="s">
        <v>41</v>
      </c>
      <c r="E456" t="s">
        <v>46</v>
      </c>
      <c r="F456">
        <v>105.8</v>
      </c>
      <c r="G456" t="s">
        <v>31</v>
      </c>
      <c r="H456" t="s">
        <v>15</v>
      </c>
      <c r="I456">
        <v>2.6</v>
      </c>
      <c r="J456">
        <v>15</v>
      </c>
      <c r="K456">
        <v>5</v>
      </c>
    </row>
    <row r="457" spans="1:11" x14ac:dyDescent="0.35">
      <c r="A457">
        <v>456</v>
      </c>
      <c r="B457">
        <v>45</v>
      </c>
      <c r="C457" t="s">
        <v>16</v>
      </c>
      <c r="D457" t="s">
        <v>27</v>
      </c>
      <c r="E457" t="s">
        <v>28</v>
      </c>
      <c r="F457">
        <v>2490.98</v>
      </c>
      <c r="G457" t="s">
        <v>14</v>
      </c>
      <c r="H457" t="s">
        <v>15</v>
      </c>
      <c r="I457">
        <v>4.3</v>
      </c>
      <c r="J457">
        <v>17</v>
      </c>
      <c r="K457">
        <v>6</v>
      </c>
    </row>
    <row r="458" spans="1:11" x14ac:dyDescent="0.35">
      <c r="A458">
        <v>457</v>
      </c>
      <c r="B458">
        <v>41</v>
      </c>
      <c r="C458" t="s">
        <v>16</v>
      </c>
      <c r="D458" t="s">
        <v>17</v>
      </c>
      <c r="E458" t="s">
        <v>48</v>
      </c>
      <c r="F458">
        <v>155.13</v>
      </c>
      <c r="G458" t="s">
        <v>14</v>
      </c>
      <c r="H458" t="s">
        <v>15</v>
      </c>
      <c r="I458">
        <v>3.2</v>
      </c>
      <c r="J458">
        <v>24</v>
      </c>
      <c r="K458">
        <v>7</v>
      </c>
    </row>
    <row r="459" spans="1:11" x14ac:dyDescent="0.35">
      <c r="A459">
        <v>458</v>
      </c>
      <c r="B459">
        <v>69</v>
      </c>
      <c r="C459" t="s">
        <v>11</v>
      </c>
      <c r="D459" t="s">
        <v>33</v>
      </c>
      <c r="E459" t="s">
        <v>40</v>
      </c>
      <c r="F459">
        <v>70.56</v>
      </c>
      <c r="G459" t="s">
        <v>24</v>
      </c>
      <c r="H459" t="s">
        <v>37</v>
      </c>
      <c r="I459">
        <v>5</v>
      </c>
      <c r="J459">
        <v>15</v>
      </c>
      <c r="K459">
        <v>5</v>
      </c>
    </row>
    <row r="460" spans="1:11" x14ac:dyDescent="0.35">
      <c r="A460">
        <v>459</v>
      </c>
      <c r="B460">
        <v>24</v>
      </c>
      <c r="C460" t="s">
        <v>16</v>
      </c>
      <c r="D460" t="s">
        <v>17</v>
      </c>
      <c r="E460" t="s">
        <v>48</v>
      </c>
      <c r="F460">
        <v>177.39</v>
      </c>
      <c r="G460" t="s">
        <v>24</v>
      </c>
      <c r="H460" t="s">
        <v>15</v>
      </c>
      <c r="I460">
        <v>1.9</v>
      </c>
      <c r="J460">
        <v>20</v>
      </c>
      <c r="K460">
        <v>5</v>
      </c>
    </row>
    <row r="461" spans="1:11" x14ac:dyDescent="0.35">
      <c r="A461">
        <v>460</v>
      </c>
      <c r="B461">
        <v>57</v>
      </c>
      <c r="C461" t="s">
        <v>11</v>
      </c>
      <c r="D461" t="s">
        <v>41</v>
      </c>
      <c r="E461" t="s">
        <v>45</v>
      </c>
      <c r="F461">
        <v>106.69</v>
      </c>
      <c r="G461" t="s">
        <v>19</v>
      </c>
      <c r="H461" t="s">
        <v>15</v>
      </c>
      <c r="I461">
        <v>4.0999999999999996</v>
      </c>
      <c r="J461">
        <v>15</v>
      </c>
      <c r="K461">
        <v>5</v>
      </c>
    </row>
    <row r="462" spans="1:11" x14ac:dyDescent="0.35">
      <c r="A462">
        <v>461</v>
      </c>
      <c r="B462">
        <v>41</v>
      </c>
      <c r="C462" t="s">
        <v>11</v>
      </c>
      <c r="D462" t="s">
        <v>12</v>
      </c>
      <c r="E462" t="s">
        <v>50</v>
      </c>
      <c r="F462">
        <v>121.93</v>
      </c>
      <c r="G462" t="s">
        <v>19</v>
      </c>
      <c r="H462" t="s">
        <v>15</v>
      </c>
      <c r="I462">
        <v>3.5</v>
      </c>
      <c r="J462">
        <v>20</v>
      </c>
      <c r="K462">
        <v>5</v>
      </c>
    </row>
    <row r="463" spans="1:11" x14ac:dyDescent="0.35">
      <c r="A463">
        <v>462</v>
      </c>
      <c r="B463">
        <v>44</v>
      </c>
      <c r="C463" t="s">
        <v>16</v>
      </c>
      <c r="D463" t="s">
        <v>17</v>
      </c>
      <c r="E463" t="s">
        <v>42</v>
      </c>
      <c r="F463">
        <v>51.29</v>
      </c>
      <c r="G463" t="s">
        <v>31</v>
      </c>
      <c r="H463" t="s">
        <v>15</v>
      </c>
      <c r="I463">
        <v>3.3</v>
      </c>
      <c r="J463">
        <v>6</v>
      </c>
      <c r="K463">
        <v>3</v>
      </c>
    </row>
    <row r="464" spans="1:11" x14ac:dyDescent="0.35">
      <c r="A464">
        <v>463</v>
      </c>
      <c r="B464">
        <v>37</v>
      </c>
      <c r="C464" t="s">
        <v>16</v>
      </c>
      <c r="D464" t="s">
        <v>20</v>
      </c>
      <c r="E464" t="s">
        <v>21</v>
      </c>
      <c r="F464">
        <v>242.01</v>
      </c>
      <c r="G464" t="s">
        <v>14</v>
      </c>
      <c r="H464" t="s">
        <v>15</v>
      </c>
      <c r="I464">
        <v>2.8</v>
      </c>
      <c r="J464">
        <v>6</v>
      </c>
      <c r="K464">
        <v>3</v>
      </c>
    </row>
    <row r="465" spans="1:11" x14ac:dyDescent="0.35">
      <c r="A465">
        <v>464</v>
      </c>
      <c r="B465">
        <v>43</v>
      </c>
      <c r="C465" t="s">
        <v>16</v>
      </c>
      <c r="D465" t="s">
        <v>33</v>
      </c>
      <c r="E465" t="s">
        <v>38</v>
      </c>
      <c r="F465">
        <v>208.11</v>
      </c>
      <c r="G465" t="s">
        <v>31</v>
      </c>
      <c r="H465" t="s">
        <v>15</v>
      </c>
      <c r="I465">
        <v>3.1</v>
      </c>
      <c r="J465">
        <v>6</v>
      </c>
      <c r="K465">
        <v>3</v>
      </c>
    </row>
    <row r="466" spans="1:11" x14ac:dyDescent="0.35">
      <c r="A466">
        <v>465</v>
      </c>
      <c r="B466">
        <v>35</v>
      </c>
      <c r="C466" t="s">
        <v>11</v>
      </c>
      <c r="D466" t="s">
        <v>20</v>
      </c>
      <c r="E466" t="s">
        <v>36</v>
      </c>
      <c r="F466">
        <v>85.49</v>
      </c>
      <c r="G466" t="s">
        <v>19</v>
      </c>
      <c r="H466" t="s">
        <v>15</v>
      </c>
      <c r="I466">
        <v>2.7</v>
      </c>
      <c r="J466">
        <v>12</v>
      </c>
      <c r="K466">
        <v>6</v>
      </c>
    </row>
    <row r="467" spans="1:11" x14ac:dyDescent="0.35">
      <c r="A467">
        <v>466</v>
      </c>
      <c r="B467">
        <v>42</v>
      </c>
      <c r="C467" t="s">
        <v>16</v>
      </c>
      <c r="D467" t="s">
        <v>27</v>
      </c>
      <c r="E467" t="s">
        <v>53</v>
      </c>
      <c r="F467">
        <v>2867.88</v>
      </c>
      <c r="G467" t="s">
        <v>19</v>
      </c>
      <c r="H467" t="s">
        <v>15</v>
      </c>
      <c r="I467">
        <v>4.5999999999999996</v>
      </c>
      <c r="J467">
        <v>21</v>
      </c>
      <c r="K467">
        <v>8</v>
      </c>
    </row>
    <row r="468" spans="1:11" x14ac:dyDescent="0.35">
      <c r="A468">
        <v>467</v>
      </c>
      <c r="B468">
        <v>42</v>
      </c>
      <c r="C468" t="s">
        <v>11</v>
      </c>
      <c r="D468" t="s">
        <v>25</v>
      </c>
      <c r="E468" t="s">
        <v>26</v>
      </c>
      <c r="F468">
        <v>18.72</v>
      </c>
      <c r="G468" t="s">
        <v>19</v>
      </c>
      <c r="H468" t="s">
        <v>15</v>
      </c>
      <c r="I468">
        <v>3.8</v>
      </c>
      <c r="J468">
        <v>14</v>
      </c>
      <c r="K468">
        <v>7</v>
      </c>
    </row>
    <row r="469" spans="1:11" x14ac:dyDescent="0.35">
      <c r="A469">
        <v>468</v>
      </c>
      <c r="B469">
        <v>58</v>
      </c>
      <c r="C469" t="s">
        <v>16</v>
      </c>
      <c r="D469" t="s">
        <v>27</v>
      </c>
      <c r="E469" t="s">
        <v>32</v>
      </c>
      <c r="F469">
        <v>1855.04</v>
      </c>
      <c r="G469" t="s">
        <v>19</v>
      </c>
      <c r="H469" t="s">
        <v>15</v>
      </c>
      <c r="I469">
        <v>3.6</v>
      </c>
      <c r="J469">
        <v>13</v>
      </c>
      <c r="K469">
        <v>4</v>
      </c>
    </row>
    <row r="470" spans="1:11" x14ac:dyDescent="0.35">
      <c r="A470">
        <v>469</v>
      </c>
      <c r="B470">
        <v>60</v>
      </c>
      <c r="C470" t="s">
        <v>16</v>
      </c>
      <c r="D470" t="s">
        <v>27</v>
      </c>
      <c r="E470" t="s">
        <v>53</v>
      </c>
      <c r="F470">
        <v>2649.85</v>
      </c>
      <c r="G470" t="s">
        <v>31</v>
      </c>
      <c r="H470" t="s">
        <v>15</v>
      </c>
      <c r="I470">
        <v>2.8</v>
      </c>
      <c r="J470">
        <v>13</v>
      </c>
      <c r="K470">
        <v>4</v>
      </c>
    </row>
    <row r="471" spans="1:11" x14ac:dyDescent="0.35">
      <c r="A471">
        <v>470</v>
      </c>
      <c r="B471">
        <v>22</v>
      </c>
      <c r="C471" t="s">
        <v>11</v>
      </c>
      <c r="D471" t="s">
        <v>12</v>
      </c>
      <c r="E471" t="s">
        <v>13</v>
      </c>
      <c r="F471">
        <v>92.79</v>
      </c>
      <c r="G471" t="s">
        <v>19</v>
      </c>
      <c r="H471" t="s">
        <v>15</v>
      </c>
      <c r="I471">
        <v>4.2</v>
      </c>
      <c r="J471">
        <v>8</v>
      </c>
      <c r="K471">
        <v>4</v>
      </c>
    </row>
    <row r="472" spans="1:11" x14ac:dyDescent="0.35">
      <c r="A472">
        <v>471</v>
      </c>
      <c r="B472">
        <v>58</v>
      </c>
      <c r="C472" t="s">
        <v>16</v>
      </c>
      <c r="D472" t="s">
        <v>22</v>
      </c>
      <c r="E472" t="s">
        <v>52</v>
      </c>
      <c r="F472">
        <v>150.83000000000001</v>
      </c>
      <c r="G472" t="s">
        <v>19</v>
      </c>
      <c r="H472" t="s">
        <v>15</v>
      </c>
      <c r="I472">
        <v>2.6</v>
      </c>
      <c r="J472">
        <v>7</v>
      </c>
      <c r="K472">
        <v>1</v>
      </c>
    </row>
    <row r="473" spans="1:11" x14ac:dyDescent="0.35">
      <c r="A473">
        <v>472</v>
      </c>
      <c r="B473">
        <v>34</v>
      </c>
      <c r="C473" t="s">
        <v>11</v>
      </c>
      <c r="D473" t="s">
        <v>25</v>
      </c>
      <c r="E473" t="s">
        <v>54</v>
      </c>
      <c r="F473">
        <v>29</v>
      </c>
      <c r="G473" t="s">
        <v>31</v>
      </c>
      <c r="H473" t="s">
        <v>37</v>
      </c>
      <c r="I473">
        <v>4.8</v>
      </c>
      <c r="J473">
        <v>18</v>
      </c>
      <c r="K473">
        <v>4</v>
      </c>
    </row>
    <row r="474" spans="1:11" x14ac:dyDescent="0.35">
      <c r="A474">
        <v>473</v>
      </c>
      <c r="B474">
        <v>45</v>
      </c>
      <c r="C474" t="s">
        <v>11</v>
      </c>
      <c r="D474" t="s">
        <v>29</v>
      </c>
      <c r="E474" t="s">
        <v>51</v>
      </c>
      <c r="F474">
        <v>95.57</v>
      </c>
      <c r="G474" t="s">
        <v>24</v>
      </c>
      <c r="H474" t="s">
        <v>15</v>
      </c>
      <c r="I474">
        <v>2.1</v>
      </c>
      <c r="J474">
        <v>11</v>
      </c>
      <c r="K474">
        <v>3</v>
      </c>
    </row>
    <row r="475" spans="1:11" x14ac:dyDescent="0.35">
      <c r="A475">
        <v>474</v>
      </c>
      <c r="B475">
        <v>58</v>
      </c>
      <c r="C475" t="s">
        <v>11</v>
      </c>
      <c r="D475" t="s">
        <v>12</v>
      </c>
      <c r="E475" t="s">
        <v>56</v>
      </c>
      <c r="F475">
        <v>155.49</v>
      </c>
      <c r="G475" t="s">
        <v>19</v>
      </c>
      <c r="H475" t="s">
        <v>15</v>
      </c>
      <c r="I475">
        <v>4.3</v>
      </c>
      <c r="J475">
        <v>12</v>
      </c>
      <c r="K475">
        <v>6</v>
      </c>
    </row>
    <row r="476" spans="1:11" x14ac:dyDescent="0.35">
      <c r="A476">
        <v>475</v>
      </c>
      <c r="B476">
        <v>39</v>
      </c>
      <c r="C476" t="s">
        <v>16</v>
      </c>
      <c r="D476" t="s">
        <v>22</v>
      </c>
      <c r="E476" t="s">
        <v>43</v>
      </c>
      <c r="F476">
        <v>58.69</v>
      </c>
      <c r="G476" t="s">
        <v>31</v>
      </c>
      <c r="H476" t="s">
        <v>37</v>
      </c>
      <c r="I476">
        <v>3.3</v>
      </c>
      <c r="J476">
        <v>17</v>
      </c>
      <c r="K476">
        <v>6</v>
      </c>
    </row>
    <row r="477" spans="1:11" x14ac:dyDescent="0.35">
      <c r="A477">
        <v>476</v>
      </c>
      <c r="B477">
        <v>55</v>
      </c>
      <c r="C477" t="s">
        <v>11</v>
      </c>
      <c r="D477" t="s">
        <v>29</v>
      </c>
      <c r="E477" t="s">
        <v>51</v>
      </c>
      <c r="F477">
        <v>79.510000000000005</v>
      </c>
      <c r="G477" t="s">
        <v>19</v>
      </c>
      <c r="H477" t="s">
        <v>37</v>
      </c>
      <c r="I477">
        <v>2.4</v>
      </c>
      <c r="J477">
        <v>16</v>
      </c>
      <c r="K477">
        <v>3</v>
      </c>
    </row>
    <row r="478" spans="1:11" x14ac:dyDescent="0.35">
      <c r="A478">
        <v>477</v>
      </c>
      <c r="B478">
        <v>58</v>
      </c>
      <c r="C478" t="s">
        <v>16</v>
      </c>
      <c r="D478" t="s">
        <v>27</v>
      </c>
      <c r="E478" t="s">
        <v>28</v>
      </c>
      <c r="F478">
        <v>2792.69</v>
      </c>
      <c r="G478" t="s">
        <v>14</v>
      </c>
      <c r="H478" t="s">
        <v>15</v>
      </c>
      <c r="I478">
        <v>3.7</v>
      </c>
      <c r="J478">
        <v>14</v>
      </c>
      <c r="K478">
        <v>7</v>
      </c>
    </row>
    <row r="479" spans="1:11" x14ac:dyDescent="0.35">
      <c r="A479">
        <v>478</v>
      </c>
      <c r="B479">
        <v>55</v>
      </c>
      <c r="C479" t="s">
        <v>11</v>
      </c>
      <c r="D479" t="s">
        <v>25</v>
      </c>
      <c r="E479" t="s">
        <v>26</v>
      </c>
      <c r="F479">
        <v>78.239999999999995</v>
      </c>
      <c r="G479" t="s">
        <v>31</v>
      </c>
      <c r="H479" t="s">
        <v>37</v>
      </c>
      <c r="I479">
        <v>3.8</v>
      </c>
      <c r="J479">
        <v>19</v>
      </c>
      <c r="K479">
        <v>7</v>
      </c>
    </row>
    <row r="480" spans="1:11" x14ac:dyDescent="0.35">
      <c r="A480">
        <v>479</v>
      </c>
      <c r="B480">
        <v>49</v>
      </c>
      <c r="C480" t="s">
        <v>16</v>
      </c>
      <c r="D480" t="s">
        <v>20</v>
      </c>
      <c r="E480" t="s">
        <v>39</v>
      </c>
      <c r="F480">
        <v>213.36</v>
      </c>
      <c r="G480" t="s">
        <v>19</v>
      </c>
      <c r="H480" t="s">
        <v>15</v>
      </c>
      <c r="I480">
        <v>3.2</v>
      </c>
      <c r="J480">
        <v>12</v>
      </c>
      <c r="K480">
        <v>6</v>
      </c>
    </row>
    <row r="481" spans="1:11" x14ac:dyDescent="0.35">
      <c r="A481">
        <v>480</v>
      </c>
      <c r="B481">
        <v>39</v>
      </c>
      <c r="C481" t="s">
        <v>16</v>
      </c>
      <c r="D481" t="s">
        <v>17</v>
      </c>
      <c r="E481" t="s">
        <v>42</v>
      </c>
      <c r="F481">
        <v>49.04</v>
      </c>
      <c r="G481" t="s">
        <v>19</v>
      </c>
      <c r="H481" t="s">
        <v>37</v>
      </c>
      <c r="I481">
        <v>3.9</v>
      </c>
      <c r="J481">
        <v>19</v>
      </c>
      <c r="K481">
        <v>7</v>
      </c>
    </row>
    <row r="482" spans="1:11" x14ac:dyDescent="0.35">
      <c r="A482">
        <v>481</v>
      </c>
      <c r="B482">
        <v>54</v>
      </c>
      <c r="C482" t="s">
        <v>16</v>
      </c>
      <c r="D482" t="s">
        <v>33</v>
      </c>
      <c r="E482" t="s">
        <v>38</v>
      </c>
      <c r="F482">
        <v>50.57</v>
      </c>
      <c r="G482" t="s">
        <v>14</v>
      </c>
      <c r="H482" t="s">
        <v>37</v>
      </c>
      <c r="I482">
        <v>3.5</v>
      </c>
      <c r="J482">
        <v>4</v>
      </c>
      <c r="K482">
        <v>2</v>
      </c>
    </row>
    <row r="483" spans="1:11" x14ac:dyDescent="0.35">
      <c r="A483">
        <v>482</v>
      </c>
      <c r="B483">
        <v>51</v>
      </c>
      <c r="C483" t="s">
        <v>11</v>
      </c>
      <c r="D483" t="s">
        <v>29</v>
      </c>
      <c r="E483" t="s">
        <v>51</v>
      </c>
      <c r="F483">
        <v>78.510000000000005</v>
      </c>
      <c r="G483" t="s">
        <v>31</v>
      </c>
      <c r="H483" t="s">
        <v>15</v>
      </c>
      <c r="I483">
        <v>5</v>
      </c>
      <c r="J483">
        <v>10</v>
      </c>
      <c r="K483">
        <v>5</v>
      </c>
    </row>
    <row r="484" spans="1:11" x14ac:dyDescent="0.35">
      <c r="A484">
        <v>483</v>
      </c>
      <c r="B484">
        <v>53</v>
      </c>
      <c r="C484" t="s">
        <v>11</v>
      </c>
      <c r="D484" t="s">
        <v>12</v>
      </c>
      <c r="E484" t="s">
        <v>13</v>
      </c>
      <c r="F484">
        <v>73.069999999999993</v>
      </c>
      <c r="G484" t="s">
        <v>19</v>
      </c>
      <c r="H484" t="s">
        <v>15</v>
      </c>
      <c r="I484">
        <v>3.3</v>
      </c>
      <c r="J484">
        <v>15</v>
      </c>
      <c r="K484">
        <v>5</v>
      </c>
    </row>
    <row r="485" spans="1:11" x14ac:dyDescent="0.35">
      <c r="A485">
        <v>484</v>
      </c>
      <c r="B485">
        <v>43</v>
      </c>
      <c r="C485" t="s">
        <v>16</v>
      </c>
      <c r="D485" t="s">
        <v>22</v>
      </c>
      <c r="E485" t="s">
        <v>23</v>
      </c>
      <c r="F485">
        <v>299.95999999999998</v>
      </c>
      <c r="G485" t="s">
        <v>19</v>
      </c>
      <c r="H485" t="s">
        <v>15</v>
      </c>
      <c r="I485">
        <v>3.4</v>
      </c>
      <c r="J485">
        <v>5</v>
      </c>
      <c r="K485">
        <v>0</v>
      </c>
    </row>
    <row r="486" spans="1:11" x14ac:dyDescent="0.35">
      <c r="A486">
        <v>485</v>
      </c>
      <c r="B486">
        <v>43</v>
      </c>
      <c r="C486" t="s">
        <v>16</v>
      </c>
      <c r="D486" t="s">
        <v>20</v>
      </c>
      <c r="E486" t="s">
        <v>21</v>
      </c>
      <c r="F486">
        <v>239.89</v>
      </c>
      <c r="G486" t="s">
        <v>31</v>
      </c>
      <c r="H486" t="s">
        <v>15</v>
      </c>
      <c r="I486">
        <v>3.7</v>
      </c>
      <c r="J486">
        <v>2</v>
      </c>
      <c r="K486">
        <v>1</v>
      </c>
    </row>
    <row r="487" spans="1:11" x14ac:dyDescent="0.35">
      <c r="A487">
        <v>486</v>
      </c>
      <c r="B487">
        <v>48</v>
      </c>
      <c r="C487" t="s">
        <v>11</v>
      </c>
      <c r="D487" t="s">
        <v>41</v>
      </c>
      <c r="E487" t="s">
        <v>45</v>
      </c>
      <c r="F487">
        <v>98.38</v>
      </c>
      <c r="G487" t="s">
        <v>24</v>
      </c>
      <c r="H487" t="s">
        <v>37</v>
      </c>
      <c r="I487">
        <v>4.2</v>
      </c>
      <c r="J487">
        <v>14</v>
      </c>
      <c r="K487">
        <v>2</v>
      </c>
    </row>
    <row r="488" spans="1:11" x14ac:dyDescent="0.35">
      <c r="A488">
        <v>487</v>
      </c>
      <c r="B488">
        <v>52</v>
      </c>
      <c r="C488" t="s">
        <v>16</v>
      </c>
      <c r="D488" t="s">
        <v>20</v>
      </c>
      <c r="E488" t="s">
        <v>39</v>
      </c>
      <c r="F488">
        <v>152.29</v>
      </c>
      <c r="G488" t="s">
        <v>19</v>
      </c>
      <c r="H488" t="s">
        <v>15</v>
      </c>
      <c r="I488">
        <v>3.2</v>
      </c>
      <c r="J488">
        <v>14</v>
      </c>
      <c r="K488">
        <v>2</v>
      </c>
    </row>
    <row r="489" spans="1:11" x14ac:dyDescent="0.35">
      <c r="A489">
        <v>488</v>
      </c>
      <c r="B489">
        <v>69</v>
      </c>
      <c r="C489" t="s">
        <v>11</v>
      </c>
      <c r="D489" t="s">
        <v>41</v>
      </c>
      <c r="E489" t="s">
        <v>42</v>
      </c>
      <c r="F489">
        <v>96.34</v>
      </c>
      <c r="G489" t="s">
        <v>24</v>
      </c>
      <c r="H489" t="s">
        <v>15</v>
      </c>
      <c r="I489">
        <v>3.8</v>
      </c>
      <c r="J489">
        <v>26</v>
      </c>
      <c r="K489">
        <v>8</v>
      </c>
    </row>
    <row r="490" spans="1:11" x14ac:dyDescent="0.35">
      <c r="A490">
        <v>489</v>
      </c>
      <c r="B490">
        <v>26</v>
      </c>
      <c r="C490" t="s">
        <v>11</v>
      </c>
      <c r="D490" t="s">
        <v>12</v>
      </c>
      <c r="E490" t="s">
        <v>56</v>
      </c>
      <c r="F490">
        <v>100.05</v>
      </c>
      <c r="G490" t="s">
        <v>31</v>
      </c>
      <c r="H490" t="s">
        <v>15</v>
      </c>
      <c r="I490">
        <v>3.7</v>
      </c>
      <c r="J490">
        <v>11</v>
      </c>
      <c r="K490">
        <v>3</v>
      </c>
    </row>
    <row r="491" spans="1:11" x14ac:dyDescent="0.35">
      <c r="A491">
        <v>490</v>
      </c>
      <c r="B491">
        <v>34</v>
      </c>
      <c r="C491" t="s">
        <v>11</v>
      </c>
      <c r="D491" t="s">
        <v>41</v>
      </c>
      <c r="E491" t="s">
        <v>44</v>
      </c>
      <c r="F491">
        <v>96.07</v>
      </c>
      <c r="G491" t="s">
        <v>19</v>
      </c>
      <c r="H491" t="s">
        <v>15</v>
      </c>
      <c r="I491">
        <v>3.1</v>
      </c>
      <c r="J491">
        <v>12</v>
      </c>
      <c r="K491">
        <v>6</v>
      </c>
    </row>
    <row r="492" spans="1:11" x14ac:dyDescent="0.35">
      <c r="A492">
        <v>491</v>
      </c>
      <c r="B492">
        <v>30</v>
      </c>
      <c r="C492" t="s">
        <v>11</v>
      </c>
      <c r="D492" t="s">
        <v>41</v>
      </c>
      <c r="E492" t="s">
        <v>45</v>
      </c>
      <c r="F492">
        <v>46.55</v>
      </c>
      <c r="G492" t="s">
        <v>31</v>
      </c>
      <c r="H492" t="s">
        <v>15</v>
      </c>
      <c r="I492">
        <v>4.0999999999999996</v>
      </c>
      <c r="J492">
        <v>8</v>
      </c>
      <c r="K492">
        <v>4</v>
      </c>
    </row>
    <row r="493" spans="1:11" x14ac:dyDescent="0.35">
      <c r="A493">
        <v>492</v>
      </c>
      <c r="B493">
        <v>25</v>
      </c>
      <c r="C493" t="s">
        <v>11</v>
      </c>
      <c r="D493" t="s">
        <v>29</v>
      </c>
      <c r="E493" t="s">
        <v>30</v>
      </c>
      <c r="F493">
        <v>86.16</v>
      </c>
      <c r="G493" t="s">
        <v>14</v>
      </c>
      <c r="H493" t="s">
        <v>37</v>
      </c>
      <c r="I493">
        <v>4.5</v>
      </c>
      <c r="J493">
        <v>6</v>
      </c>
      <c r="K493">
        <v>3</v>
      </c>
    </row>
    <row r="494" spans="1:11" x14ac:dyDescent="0.35">
      <c r="A494">
        <v>493</v>
      </c>
      <c r="B494">
        <v>61</v>
      </c>
      <c r="C494" t="s">
        <v>11</v>
      </c>
      <c r="D494" t="s">
        <v>12</v>
      </c>
      <c r="E494" t="s">
        <v>50</v>
      </c>
      <c r="F494">
        <v>174.31</v>
      </c>
      <c r="G494" t="s">
        <v>19</v>
      </c>
      <c r="H494" t="s">
        <v>15</v>
      </c>
      <c r="I494">
        <v>5</v>
      </c>
      <c r="J494">
        <v>24</v>
      </c>
      <c r="K494">
        <v>7</v>
      </c>
    </row>
    <row r="495" spans="1:11" x14ac:dyDescent="0.35">
      <c r="A495">
        <v>494</v>
      </c>
      <c r="B495">
        <v>27</v>
      </c>
      <c r="C495" t="s">
        <v>11</v>
      </c>
      <c r="D495" t="s">
        <v>33</v>
      </c>
      <c r="E495" t="s">
        <v>34</v>
      </c>
      <c r="F495">
        <v>150.44999999999999</v>
      </c>
      <c r="G495" t="s">
        <v>19</v>
      </c>
      <c r="H495" t="s">
        <v>15</v>
      </c>
      <c r="I495">
        <v>3.7</v>
      </c>
      <c r="J495">
        <v>14</v>
      </c>
      <c r="K495">
        <v>7</v>
      </c>
    </row>
    <row r="496" spans="1:11" x14ac:dyDescent="0.35">
      <c r="A496">
        <v>495</v>
      </c>
      <c r="B496">
        <v>40</v>
      </c>
      <c r="C496" t="s">
        <v>16</v>
      </c>
      <c r="D496" t="s">
        <v>20</v>
      </c>
      <c r="E496" t="s">
        <v>21</v>
      </c>
      <c r="F496">
        <v>106</v>
      </c>
      <c r="G496" t="s">
        <v>24</v>
      </c>
      <c r="H496" t="s">
        <v>15</v>
      </c>
      <c r="I496">
        <v>3.4</v>
      </c>
      <c r="J496">
        <v>18</v>
      </c>
      <c r="K496">
        <v>4</v>
      </c>
    </row>
    <row r="497" spans="1:11" x14ac:dyDescent="0.35">
      <c r="A497">
        <v>496</v>
      </c>
      <c r="B497">
        <v>44</v>
      </c>
      <c r="C497" t="s">
        <v>16</v>
      </c>
      <c r="D497" t="s">
        <v>20</v>
      </c>
      <c r="E497" t="s">
        <v>39</v>
      </c>
      <c r="F497">
        <v>119.84</v>
      </c>
      <c r="G497" t="s">
        <v>14</v>
      </c>
      <c r="H497" t="s">
        <v>15</v>
      </c>
      <c r="I497">
        <v>3.6</v>
      </c>
      <c r="J497">
        <v>9</v>
      </c>
      <c r="K497">
        <v>2</v>
      </c>
    </row>
    <row r="498" spans="1:11" x14ac:dyDescent="0.35">
      <c r="A498">
        <v>497</v>
      </c>
      <c r="B498">
        <v>49</v>
      </c>
      <c r="C498" t="s">
        <v>11</v>
      </c>
      <c r="D498" t="s">
        <v>29</v>
      </c>
      <c r="E498" t="s">
        <v>30</v>
      </c>
      <c r="F498">
        <v>102.61</v>
      </c>
      <c r="G498" t="s">
        <v>14</v>
      </c>
      <c r="H498" t="s">
        <v>15</v>
      </c>
      <c r="I498">
        <v>4.5999999999999996</v>
      </c>
      <c r="J498">
        <v>26</v>
      </c>
      <c r="K498">
        <v>8</v>
      </c>
    </row>
    <row r="499" spans="1:11" x14ac:dyDescent="0.35">
      <c r="A499">
        <v>498</v>
      </c>
      <c r="B499">
        <v>45</v>
      </c>
      <c r="C499" t="s">
        <v>11</v>
      </c>
      <c r="D499" t="s">
        <v>41</v>
      </c>
      <c r="E499" t="s">
        <v>46</v>
      </c>
      <c r="F499">
        <v>82.9</v>
      </c>
      <c r="G499" t="s">
        <v>19</v>
      </c>
      <c r="H499" t="s">
        <v>37</v>
      </c>
      <c r="I499">
        <v>3.9</v>
      </c>
      <c r="J499">
        <v>16</v>
      </c>
      <c r="K499">
        <v>8</v>
      </c>
    </row>
    <row r="500" spans="1:11" x14ac:dyDescent="0.35">
      <c r="A500">
        <v>499</v>
      </c>
      <c r="B500">
        <v>31</v>
      </c>
      <c r="C500" t="s">
        <v>16</v>
      </c>
      <c r="D500" t="s">
        <v>20</v>
      </c>
      <c r="E500" t="s">
        <v>36</v>
      </c>
      <c r="F500">
        <v>72.099999999999994</v>
      </c>
      <c r="G500" t="s">
        <v>19</v>
      </c>
      <c r="H500" t="s">
        <v>15</v>
      </c>
      <c r="I500">
        <v>4.3</v>
      </c>
      <c r="J500">
        <v>12</v>
      </c>
      <c r="K500">
        <v>6</v>
      </c>
    </row>
    <row r="501" spans="1:11" x14ac:dyDescent="0.35">
      <c r="A501">
        <v>500</v>
      </c>
      <c r="B501">
        <v>51</v>
      </c>
      <c r="C501" t="s">
        <v>16</v>
      </c>
      <c r="D501" t="s">
        <v>33</v>
      </c>
      <c r="E501" t="s">
        <v>40</v>
      </c>
      <c r="F501">
        <v>214.97</v>
      </c>
      <c r="G501" t="s">
        <v>14</v>
      </c>
      <c r="H501" t="s">
        <v>15</v>
      </c>
      <c r="I501">
        <v>4.0999999999999996</v>
      </c>
      <c r="J501">
        <v>22</v>
      </c>
      <c r="K501">
        <v>6</v>
      </c>
    </row>
    <row r="502" spans="1:11" x14ac:dyDescent="0.35">
      <c r="A502">
        <v>501</v>
      </c>
      <c r="B502">
        <v>27</v>
      </c>
      <c r="C502" t="s">
        <v>16</v>
      </c>
      <c r="D502" t="s">
        <v>27</v>
      </c>
      <c r="E502" t="s">
        <v>49</v>
      </c>
      <c r="F502">
        <v>1871.95</v>
      </c>
      <c r="G502" t="s">
        <v>19</v>
      </c>
      <c r="H502" t="s">
        <v>15</v>
      </c>
      <c r="I502">
        <v>4.3</v>
      </c>
      <c r="J502">
        <v>15</v>
      </c>
      <c r="K502">
        <v>5</v>
      </c>
    </row>
    <row r="503" spans="1:11" x14ac:dyDescent="0.35">
      <c r="A503">
        <v>502</v>
      </c>
      <c r="B503">
        <v>50</v>
      </c>
      <c r="C503" t="s">
        <v>11</v>
      </c>
      <c r="D503" t="s">
        <v>12</v>
      </c>
      <c r="E503" t="s">
        <v>13</v>
      </c>
      <c r="F503">
        <v>40.1</v>
      </c>
      <c r="G503" t="s">
        <v>14</v>
      </c>
      <c r="H503" t="s">
        <v>37</v>
      </c>
      <c r="I503">
        <v>3.9</v>
      </c>
      <c r="J503">
        <v>19</v>
      </c>
      <c r="K503">
        <v>7</v>
      </c>
    </row>
    <row r="504" spans="1:11" x14ac:dyDescent="0.35">
      <c r="A504">
        <v>503</v>
      </c>
      <c r="B504">
        <v>24</v>
      </c>
      <c r="C504" t="s">
        <v>11</v>
      </c>
      <c r="D504" t="s">
        <v>29</v>
      </c>
      <c r="E504" t="s">
        <v>51</v>
      </c>
      <c r="F504">
        <v>96.8</v>
      </c>
      <c r="G504" t="s">
        <v>19</v>
      </c>
      <c r="H504" t="s">
        <v>15</v>
      </c>
      <c r="I504">
        <v>4.5999999999999996</v>
      </c>
      <c r="J504">
        <v>21</v>
      </c>
      <c r="K504">
        <v>8</v>
      </c>
    </row>
    <row r="505" spans="1:11" x14ac:dyDescent="0.35">
      <c r="A505">
        <v>504</v>
      </c>
      <c r="B505">
        <v>59</v>
      </c>
      <c r="C505" t="s">
        <v>16</v>
      </c>
      <c r="D505" t="s">
        <v>22</v>
      </c>
      <c r="E505" t="s">
        <v>23</v>
      </c>
      <c r="F505">
        <v>43.39</v>
      </c>
      <c r="G505" t="s">
        <v>14</v>
      </c>
      <c r="H505" t="s">
        <v>37</v>
      </c>
      <c r="I505">
        <v>5</v>
      </c>
      <c r="J505">
        <v>12</v>
      </c>
      <c r="K505">
        <v>1</v>
      </c>
    </row>
    <row r="506" spans="1:11" x14ac:dyDescent="0.35">
      <c r="A506">
        <v>505</v>
      </c>
      <c r="B506">
        <v>26</v>
      </c>
      <c r="C506" t="s">
        <v>11</v>
      </c>
      <c r="D506" t="s">
        <v>12</v>
      </c>
      <c r="E506" t="s">
        <v>50</v>
      </c>
      <c r="F506">
        <v>26.57</v>
      </c>
      <c r="G506" t="s">
        <v>31</v>
      </c>
      <c r="H506" t="s">
        <v>37</v>
      </c>
      <c r="I506">
        <v>4.4000000000000004</v>
      </c>
      <c r="J506">
        <v>22</v>
      </c>
      <c r="K506">
        <v>6</v>
      </c>
    </row>
    <row r="507" spans="1:11" x14ac:dyDescent="0.35">
      <c r="A507">
        <v>506</v>
      </c>
      <c r="B507">
        <v>57</v>
      </c>
      <c r="C507" t="s">
        <v>11</v>
      </c>
      <c r="D507" t="s">
        <v>41</v>
      </c>
      <c r="E507" t="s">
        <v>44</v>
      </c>
      <c r="F507">
        <v>187.19</v>
      </c>
      <c r="G507" t="s">
        <v>31</v>
      </c>
      <c r="H507" t="s">
        <v>15</v>
      </c>
      <c r="I507">
        <v>4.7</v>
      </c>
      <c r="J507">
        <v>16</v>
      </c>
      <c r="K507">
        <v>3</v>
      </c>
    </row>
    <row r="508" spans="1:11" x14ac:dyDescent="0.35">
      <c r="A508">
        <v>507</v>
      </c>
      <c r="B508">
        <v>37</v>
      </c>
      <c r="C508" t="s">
        <v>16</v>
      </c>
      <c r="D508" t="s">
        <v>33</v>
      </c>
      <c r="E508" t="s">
        <v>38</v>
      </c>
      <c r="F508">
        <v>80.92</v>
      </c>
      <c r="G508" t="s">
        <v>14</v>
      </c>
      <c r="H508" t="s">
        <v>37</v>
      </c>
      <c r="I508">
        <v>3</v>
      </c>
      <c r="J508">
        <v>14</v>
      </c>
      <c r="K508">
        <v>7</v>
      </c>
    </row>
    <row r="509" spans="1:11" x14ac:dyDescent="0.35">
      <c r="A509">
        <v>508</v>
      </c>
      <c r="B509">
        <v>44</v>
      </c>
      <c r="C509" t="s">
        <v>16</v>
      </c>
      <c r="D509" t="s">
        <v>27</v>
      </c>
      <c r="E509" t="s">
        <v>49</v>
      </c>
      <c r="F509">
        <v>1002.94</v>
      </c>
      <c r="G509" t="s">
        <v>31</v>
      </c>
      <c r="H509" t="s">
        <v>15</v>
      </c>
      <c r="I509">
        <v>2.2999999999999998</v>
      </c>
      <c r="J509">
        <v>14</v>
      </c>
      <c r="K509">
        <v>2</v>
      </c>
    </row>
    <row r="510" spans="1:11" x14ac:dyDescent="0.35">
      <c r="A510">
        <v>509</v>
      </c>
      <c r="B510">
        <v>23</v>
      </c>
      <c r="C510" t="s">
        <v>11</v>
      </c>
      <c r="D510" t="s">
        <v>29</v>
      </c>
      <c r="E510" t="s">
        <v>30</v>
      </c>
      <c r="F510">
        <v>65.349999999999994</v>
      </c>
      <c r="G510" t="s">
        <v>31</v>
      </c>
      <c r="H510" t="s">
        <v>15</v>
      </c>
      <c r="I510">
        <v>2.7</v>
      </c>
      <c r="J510">
        <v>16</v>
      </c>
      <c r="K510">
        <v>3</v>
      </c>
    </row>
    <row r="511" spans="1:11" x14ac:dyDescent="0.35">
      <c r="A511">
        <v>510</v>
      </c>
      <c r="B511">
        <v>21</v>
      </c>
      <c r="C511" t="s">
        <v>16</v>
      </c>
      <c r="D511" t="s">
        <v>33</v>
      </c>
      <c r="E511" t="s">
        <v>34</v>
      </c>
      <c r="F511">
        <v>87.39</v>
      </c>
      <c r="G511" t="s">
        <v>14</v>
      </c>
      <c r="H511" t="s">
        <v>15</v>
      </c>
      <c r="I511">
        <v>3.7</v>
      </c>
      <c r="J511">
        <v>6</v>
      </c>
      <c r="K511">
        <v>3</v>
      </c>
    </row>
    <row r="512" spans="1:11" x14ac:dyDescent="0.35">
      <c r="A512">
        <v>511</v>
      </c>
      <c r="B512">
        <v>38</v>
      </c>
      <c r="C512" t="s">
        <v>16</v>
      </c>
      <c r="D512" t="s">
        <v>27</v>
      </c>
      <c r="E512" t="s">
        <v>49</v>
      </c>
      <c r="F512">
        <v>1886.55</v>
      </c>
      <c r="G512" t="s">
        <v>31</v>
      </c>
      <c r="H512" t="s">
        <v>15</v>
      </c>
      <c r="I512">
        <v>3.8</v>
      </c>
      <c r="J512">
        <v>16</v>
      </c>
      <c r="K512">
        <v>3</v>
      </c>
    </row>
    <row r="513" spans="1:11" x14ac:dyDescent="0.35">
      <c r="A513">
        <v>512</v>
      </c>
      <c r="B513">
        <v>58</v>
      </c>
      <c r="C513" t="s">
        <v>11</v>
      </c>
      <c r="D513" t="s">
        <v>41</v>
      </c>
      <c r="E513" t="s">
        <v>45</v>
      </c>
      <c r="F513">
        <v>166.84</v>
      </c>
      <c r="G513" t="s">
        <v>19</v>
      </c>
      <c r="H513" t="s">
        <v>15</v>
      </c>
      <c r="I513">
        <v>4.5999999999999996</v>
      </c>
      <c r="J513">
        <v>18</v>
      </c>
      <c r="K513">
        <v>4</v>
      </c>
    </row>
    <row r="514" spans="1:11" x14ac:dyDescent="0.35">
      <c r="A514">
        <v>513</v>
      </c>
      <c r="B514">
        <v>37</v>
      </c>
      <c r="C514" t="s">
        <v>11</v>
      </c>
      <c r="D514" t="s">
        <v>29</v>
      </c>
      <c r="E514" t="s">
        <v>55</v>
      </c>
      <c r="F514">
        <v>87.84</v>
      </c>
      <c r="G514" t="s">
        <v>19</v>
      </c>
      <c r="H514" t="s">
        <v>15</v>
      </c>
      <c r="I514">
        <v>4.0999999999999996</v>
      </c>
      <c r="J514">
        <v>7</v>
      </c>
      <c r="K514">
        <v>1</v>
      </c>
    </row>
    <row r="515" spans="1:11" x14ac:dyDescent="0.35">
      <c r="A515">
        <v>514</v>
      </c>
      <c r="B515">
        <v>44</v>
      </c>
      <c r="C515" t="s">
        <v>11</v>
      </c>
      <c r="D515" t="s">
        <v>29</v>
      </c>
      <c r="E515" t="s">
        <v>51</v>
      </c>
      <c r="F515">
        <v>110.61</v>
      </c>
      <c r="G515" t="s">
        <v>14</v>
      </c>
      <c r="H515" t="s">
        <v>15</v>
      </c>
      <c r="I515">
        <v>3.5</v>
      </c>
      <c r="J515">
        <v>13</v>
      </c>
      <c r="K515">
        <v>4</v>
      </c>
    </row>
    <row r="516" spans="1:11" x14ac:dyDescent="0.35">
      <c r="A516">
        <v>515</v>
      </c>
      <c r="B516">
        <v>55</v>
      </c>
      <c r="C516" t="s">
        <v>16</v>
      </c>
      <c r="D516" t="s">
        <v>22</v>
      </c>
      <c r="E516" t="s">
        <v>43</v>
      </c>
      <c r="F516">
        <v>130.03</v>
      </c>
      <c r="G516" t="s">
        <v>24</v>
      </c>
      <c r="H516" t="s">
        <v>15</v>
      </c>
      <c r="I516">
        <v>3.1</v>
      </c>
      <c r="J516">
        <v>14</v>
      </c>
      <c r="K516">
        <v>7</v>
      </c>
    </row>
    <row r="517" spans="1:11" x14ac:dyDescent="0.35">
      <c r="A517">
        <v>516</v>
      </c>
      <c r="B517">
        <v>33</v>
      </c>
      <c r="C517" t="s">
        <v>11</v>
      </c>
      <c r="D517" t="s">
        <v>12</v>
      </c>
      <c r="E517" t="s">
        <v>50</v>
      </c>
      <c r="F517">
        <v>97.26</v>
      </c>
      <c r="G517" t="s">
        <v>31</v>
      </c>
      <c r="H517" t="s">
        <v>15</v>
      </c>
      <c r="I517">
        <v>3.1</v>
      </c>
      <c r="J517">
        <v>10</v>
      </c>
      <c r="K517">
        <v>5</v>
      </c>
    </row>
    <row r="518" spans="1:11" x14ac:dyDescent="0.35">
      <c r="A518">
        <v>517</v>
      </c>
      <c r="B518">
        <v>39</v>
      </c>
      <c r="C518" t="s">
        <v>11</v>
      </c>
      <c r="D518" t="s">
        <v>29</v>
      </c>
      <c r="E518" t="s">
        <v>51</v>
      </c>
      <c r="F518">
        <v>35.18</v>
      </c>
      <c r="G518" t="s">
        <v>14</v>
      </c>
      <c r="H518" t="s">
        <v>15</v>
      </c>
      <c r="I518">
        <v>4.0999999999999996</v>
      </c>
      <c r="J518">
        <v>17</v>
      </c>
      <c r="K518">
        <v>6</v>
      </c>
    </row>
    <row r="519" spans="1:11" x14ac:dyDescent="0.35">
      <c r="A519">
        <v>518</v>
      </c>
      <c r="B519">
        <v>44</v>
      </c>
      <c r="C519" t="s">
        <v>16</v>
      </c>
      <c r="D519" t="s">
        <v>20</v>
      </c>
      <c r="E519" t="s">
        <v>39</v>
      </c>
      <c r="F519">
        <v>93.78</v>
      </c>
      <c r="G519" t="s">
        <v>31</v>
      </c>
      <c r="H519" t="s">
        <v>37</v>
      </c>
      <c r="I519">
        <v>5</v>
      </c>
      <c r="J519">
        <v>17</v>
      </c>
      <c r="K519">
        <v>6</v>
      </c>
    </row>
    <row r="520" spans="1:11" x14ac:dyDescent="0.35">
      <c r="A520">
        <v>519</v>
      </c>
      <c r="B520">
        <v>26</v>
      </c>
      <c r="C520" t="s">
        <v>16</v>
      </c>
      <c r="D520" t="s">
        <v>33</v>
      </c>
      <c r="E520" t="s">
        <v>40</v>
      </c>
      <c r="F520">
        <v>235.26</v>
      </c>
      <c r="G520" t="s">
        <v>31</v>
      </c>
      <c r="H520" t="s">
        <v>15</v>
      </c>
      <c r="I520">
        <v>4.9000000000000004</v>
      </c>
      <c r="J520">
        <v>13</v>
      </c>
      <c r="K520">
        <v>4</v>
      </c>
    </row>
    <row r="521" spans="1:11" x14ac:dyDescent="0.35">
      <c r="A521">
        <v>520</v>
      </c>
      <c r="B521">
        <v>62</v>
      </c>
      <c r="C521" t="s">
        <v>16</v>
      </c>
      <c r="D521" t="s">
        <v>20</v>
      </c>
      <c r="E521" t="s">
        <v>39</v>
      </c>
      <c r="F521">
        <v>136.94</v>
      </c>
      <c r="G521" t="s">
        <v>14</v>
      </c>
      <c r="H521" t="s">
        <v>15</v>
      </c>
      <c r="I521">
        <v>3.6</v>
      </c>
      <c r="J521">
        <v>15</v>
      </c>
      <c r="K521">
        <v>5</v>
      </c>
    </row>
    <row r="522" spans="1:11" x14ac:dyDescent="0.35">
      <c r="A522">
        <v>521</v>
      </c>
      <c r="B522">
        <v>60</v>
      </c>
      <c r="C522" t="s">
        <v>11</v>
      </c>
      <c r="D522" t="s">
        <v>33</v>
      </c>
      <c r="E522" t="s">
        <v>34</v>
      </c>
      <c r="F522">
        <v>149.44999999999999</v>
      </c>
      <c r="G522" t="s">
        <v>24</v>
      </c>
      <c r="H522" t="s">
        <v>15</v>
      </c>
      <c r="I522">
        <v>3.3</v>
      </c>
      <c r="J522">
        <v>6</v>
      </c>
      <c r="K522">
        <v>3</v>
      </c>
    </row>
    <row r="523" spans="1:11" x14ac:dyDescent="0.35">
      <c r="A523">
        <v>522</v>
      </c>
      <c r="B523">
        <v>42</v>
      </c>
      <c r="C523" t="s">
        <v>16</v>
      </c>
      <c r="D523" t="s">
        <v>33</v>
      </c>
      <c r="E523" t="s">
        <v>34</v>
      </c>
      <c r="F523">
        <v>122.86</v>
      </c>
      <c r="G523" t="s">
        <v>31</v>
      </c>
      <c r="H523" t="s">
        <v>15</v>
      </c>
      <c r="I523">
        <v>4.7</v>
      </c>
      <c r="J523">
        <v>18</v>
      </c>
      <c r="K523">
        <v>4</v>
      </c>
    </row>
    <row r="524" spans="1:11" x14ac:dyDescent="0.35">
      <c r="A524">
        <v>523</v>
      </c>
      <c r="B524">
        <v>32</v>
      </c>
      <c r="C524" t="s">
        <v>11</v>
      </c>
      <c r="D524" t="s">
        <v>33</v>
      </c>
      <c r="E524" t="s">
        <v>34</v>
      </c>
      <c r="F524">
        <v>156.61000000000001</v>
      </c>
      <c r="G524" t="s">
        <v>31</v>
      </c>
      <c r="H524" t="s">
        <v>15</v>
      </c>
      <c r="I524">
        <v>4.7</v>
      </c>
      <c r="J524">
        <v>22</v>
      </c>
      <c r="K524">
        <v>6</v>
      </c>
    </row>
    <row r="525" spans="1:11" x14ac:dyDescent="0.35">
      <c r="A525">
        <v>524</v>
      </c>
      <c r="B525">
        <v>29</v>
      </c>
      <c r="C525" t="s">
        <v>16</v>
      </c>
      <c r="D525" t="s">
        <v>20</v>
      </c>
      <c r="E525" t="s">
        <v>39</v>
      </c>
      <c r="F525">
        <v>88.8</v>
      </c>
      <c r="G525" t="s">
        <v>14</v>
      </c>
      <c r="H525" t="s">
        <v>15</v>
      </c>
      <c r="I525">
        <v>3.1</v>
      </c>
      <c r="J525">
        <v>22</v>
      </c>
      <c r="K525">
        <v>6</v>
      </c>
    </row>
    <row r="526" spans="1:11" x14ac:dyDescent="0.35">
      <c r="A526">
        <v>525</v>
      </c>
      <c r="B526">
        <v>46</v>
      </c>
      <c r="C526" t="s">
        <v>16</v>
      </c>
      <c r="D526" t="s">
        <v>17</v>
      </c>
      <c r="E526" t="s">
        <v>18</v>
      </c>
      <c r="F526">
        <v>165.74</v>
      </c>
      <c r="G526" t="s">
        <v>14</v>
      </c>
      <c r="H526" t="s">
        <v>15</v>
      </c>
      <c r="I526">
        <v>4.2</v>
      </c>
      <c r="J526">
        <v>6</v>
      </c>
      <c r="K526">
        <v>3</v>
      </c>
    </row>
    <row r="527" spans="1:11" x14ac:dyDescent="0.35">
      <c r="A527">
        <v>526</v>
      </c>
      <c r="B527">
        <v>61</v>
      </c>
      <c r="C527" t="s">
        <v>16</v>
      </c>
      <c r="D527" t="s">
        <v>22</v>
      </c>
      <c r="E527" t="s">
        <v>52</v>
      </c>
      <c r="F527">
        <v>220.45</v>
      </c>
      <c r="G527" t="s">
        <v>19</v>
      </c>
      <c r="H527" t="s">
        <v>15</v>
      </c>
      <c r="I527">
        <v>3.2</v>
      </c>
      <c r="J527">
        <v>17</v>
      </c>
      <c r="K527">
        <v>6</v>
      </c>
    </row>
    <row r="528" spans="1:11" x14ac:dyDescent="0.35">
      <c r="A528">
        <v>527</v>
      </c>
      <c r="B528">
        <v>27</v>
      </c>
      <c r="C528" t="s">
        <v>16</v>
      </c>
      <c r="D528" t="s">
        <v>17</v>
      </c>
      <c r="E528" t="s">
        <v>42</v>
      </c>
      <c r="F528">
        <v>110.6</v>
      </c>
      <c r="G528" t="s">
        <v>14</v>
      </c>
      <c r="H528" t="s">
        <v>15</v>
      </c>
      <c r="I528">
        <v>3.6</v>
      </c>
      <c r="J528">
        <v>10</v>
      </c>
      <c r="K528">
        <v>0</v>
      </c>
    </row>
    <row r="529" spans="1:11" x14ac:dyDescent="0.35">
      <c r="A529">
        <v>528</v>
      </c>
      <c r="B529">
        <v>56</v>
      </c>
      <c r="C529" t="s">
        <v>11</v>
      </c>
      <c r="D529" t="s">
        <v>29</v>
      </c>
      <c r="E529" t="s">
        <v>51</v>
      </c>
      <c r="F529">
        <v>135.51</v>
      </c>
      <c r="G529" t="s">
        <v>31</v>
      </c>
      <c r="H529" t="s">
        <v>15</v>
      </c>
      <c r="I529">
        <v>4.4000000000000004</v>
      </c>
      <c r="J529">
        <v>26</v>
      </c>
      <c r="K529">
        <v>8</v>
      </c>
    </row>
    <row r="530" spans="1:11" x14ac:dyDescent="0.35">
      <c r="A530">
        <v>529</v>
      </c>
      <c r="B530">
        <v>54</v>
      </c>
      <c r="C530" t="s">
        <v>16</v>
      </c>
      <c r="D530" t="s">
        <v>17</v>
      </c>
      <c r="E530" t="s">
        <v>42</v>
      </c>
      <c r="F530">
        <v>118.11</v>
      </c>
      <c r="G530" t="s">
        <v>19</v>
      </c>
      <c r="H530" t="s">
        <v>15</v>
      </c>
      <c r="I530">
        <v>3.2</v>
      </c>
      <c r="J530">
        <v>13</v>
      </c>
      <c r="K530">
        <v>4</v>
      </c>
    </row>
    <row r="531" spans="1:11" x14ac:dyDescent="0.35">
      <c r="A531">
        <v>530</v>
      </c>
      <c r="B531">
        <v>56</v>
      </c>
      <c r="C531" t="s">
        <v>16</v>
      </c>
      <c r="D531" t="s">
        <v>17</v>
      </c>
      <c r="E531" t="s">
        <v>18</v>
      </c>
      <c r="F531">
        <v>125.17</v>
      </c>
      <c r="G531" t="s">
        <v>14</v>
      </c>
      <c r="H531" t="s">
        <v>15</v>
      </c>
      <c r="I531">
        <v>3.6</v>
      </c>
      <c r="J531">
        <v>22</v>
      </c>
      <c r="K531">
        <v>6</v>
      </c>
    </row>
    <row r="532" spans="1:11" x14ac:dyDescent="0.35">
      <c r="A532">
        <v>531</v>
      </c>
      <c r="B532">
        <v>57</v>
      </c>
      <c r="C532" t="s">
        <v>11</v>
      </c>
      <c r="D532" t="s">
        <v>20</v>
      </c>
      <c r="E532" t="s">
        <v>36</v>
      </c>
      <c r="F532">
        <v>157.33000000000001</v>
      </c>
      <c r="G532" t="s">
        <v>31</v>
      </c>
      <c r="H532" t="s">
        <v>15</v>
      </c>
      <c r="I532">
        <v>3.9</v>
      </c>
      <c r="J532">
        <v>13</v>
      </c>
      <c r="K532">
        <v>4</v>
      </c>
    </row>
    <row r="533" spans="1:11" x14ac:dyDescent="0.35">
      <c r="A533">
        <v>532</v>
      </c>
      <c r="B533">
        <v>29</v>
      </c>
      <c r="C533" t="s">
        <v>11</v>
      </c>
      <c r="D533" t="s">
        <v>25</v>
      </c>
      <c r="E533" t="s">
        <v>47</v>
      </c>
      <c r="F533">
        <v>56.63</v>
      </c>
      <c r="G533" t="s">
        <v>19</v>
      </c>
      <c r="H533" t="s">
        <v>15</v>
      </c>
      <c r="I533">
        <v>4.5</v>
      </c>
      <c r="J533">
        <v>13</v>
      </c>
      <c r="K533">
        <v>4</v>
      </c>
    </row>
    <row r="534" spans="1:11" x14ac:dyDescent="0.35">
      <c r="A534">
        <v>533</v>
      </c>
      <c r="B534">
        <v>30</v>
      </c>
      <c r="C534" t="s">
        <v>11</v>
      </c>
      <c r="D534" t="s">
        <v>12</v>
      </c>
      <c r="E534" t="s">
        <v>13</v>
      </c>
      <c r="F534">
        <v>89.32</v>
      </c>
      <c r="G534" t="s">
        <v>24</v>
      </c>
      <c r="H534" t="s">
        <v>37</v>
      </c>
      <c r="I534">
        <v>4.5</v>
      </c>
      <c r="J534">
        <v>12</v>
      </c>
      <c r="K534">
        <v>6</v>
      </c>
    </row>
    <row r="535" spans="1:11" x14ac:dyDescent="0.35">
      <c r="A535">
        <v>534</v>
      </c>
      <c r="B535">
        <v>20</v>
      </c>
      <c r="C535" t="s">
        <v>11</v>
      </c>
      <c r="D535" t="s">
        <v>41</v>
      </c>
      <c r="E535" t="s">
        <v>46</v>
      </c>
      <c r="F535">
        <v>131.59</v>
      </c>
      <c r="G535" t="s">
        <v>14</v>
      </c>
      <c r="H535" t="s">
        <v>15</v>
      </c>
      <c r="I535">
        <v>4.2</v>
      </c>
      <c r="J535">
        <v>17</v>
      </c>
      <c r="K535">
        <v>6</v>
      </c>
    </row>
    <row r="536" spans="1:11" x14ac:dyDescent="0.35">
      <c r="A536">
        <v>535</v>
      </c>
      <c r="B536">
        <v>31</v>
      </c>
      <c r="C536" t="s">
        <v>16</v>
      </c>
      <c r="D536" t="s">
        <v>20</v>
      </c>
      <c r="E536" t="s">
        <v>36</v>
      </c>
      <c r="F536">
        <v>45.03</v>
      </c>
      <c r="G536" t="s">
        <v>19</v>
      </c>
      <c r="H536" t="s">
        <v>37</v>
      </c>
      <c r="I536">
        <v>4.9000000000000004</v>
      </c>
      <c r="J536">
        <v>12</v>
      </c>
      <c r="K536">
        <v>6</v>
      </c>
    </row>
    <row r="537" spans="1:11" x14ac:dyDescent="0.35">
      <c r="A537">
        <v>536</v>
      </c>
      <c r="B537">
        <v>49</v>
      </c>
      <c r="C537" t="s">
        <v>16</v>
      </c>
      <c r="D537" t="s">
        <v>33</v>
      </c>
      <c r="E537" t="s">
        <v>34</v>
      </c>
      <c r="F537">
        <v>105.07</v>
      </c>
      <c r="G537" t="s">
        <v>31</v>
      </c>
      <c r="H537" t="s">
        <v>15</v>
      </c>
      <c r="I537">
        <v>4.2</v>
      </c>
      <c r="J537">
        <v>14</v>
      </c>
      <c r="K537">
        <v>7</v>
      </c>
    </row>
    <row r="538" spans="1:11" x14ac:dyDescent="0.35">
      <c r="A538">
        <v>537</v>
      </c>
      <c r="B538">
        <v>35</v>
      </c>
      <c r="C538" t="s">
        <v>11</v>
      </c>
      <c r="D538" t="s">
        <v>12</v>
      </c>
      <c r="E538" t="s">
        <v>50</v>
      </c>
      <c r="F538">
        <v>31.51</v>
      </c>
      <c r="G538" t="s">
        <v>31</v>
      </c>
      <c r="H538" t="s">
        <v>15</v>
      </c>
      <c r="I538">
        <v>3.2</v>
      </c>
      <c r="J538">
        <v>15</v>
      </c>
      <c r="K538">
        <v>5</v>
      </c>
    </row>
    <row r="539" spans="1:11" x14ac:dyDescent="0.35">
      <c r="A539">
        <v>538</v>
      </c>
      <c r="B539">
        <v>60</v>
      </c>
      <c r="C539" t="s">
        <v>16</v>
      </c>
      <c r="D539" t="s">
        <v>20</v>
      </c>
      <c r="E539" t="s">
        <v>36</v>
      </c>
      <c r="F539">
        <v>98.94</v>
      </c>
      <c r="G539" t="s">
        <v>19</v>
      </c>
      <c r="H539" t="s">
        <v>15</v>
      </c>
      <c r="I539">
        <v>3.4</v>
      </c>
      <c r="J539">
        <v>10</v>
      </c>
      <c r="K539">
        <v>5</v>
      </c>
    </row>
    <row r="540" spans="1:11" x14ac:dyDescent="0.35">
      <c r="A540">
        <v>539</v>
      </c>
      <c r="B540">
        <v>23</v>
      </c>
      <c r="C540" t="s">
        <v>16</v>
      </c>
      <c r="D540" t="s">
        <v>33</v>
      </c>
      <c r="E540" t="s">
        <v>38</v>
      </c>
      <c r="F540">
        <v>236.7</v>
      </c>
      <c r="G540" t="s">
        <v>19</v>
      </c>
      <c r="H540" t="s">
        <v>15</v>
      </c>
      <c r="I540">
        <v>4.5</v>
      </c>
      <c r="J540">
        <v>17</v>
      </c>
      <c r="K540">
        <v>6</v>
      </c>
    </row>
    <row r="541" spans="1:11" x14ac:dyDescent="0.35">
      <c r="A541">
        <v>540</v>
      </c>
      <c r="B541">
        <v>59</v>
      </c>
      <c r="C541" t="s">
        <v>11</v>
      </c>
      <c r="D541" t="s">
        <v>41</v>
      </c>
      <c r="E541" t="s">
        <v>45</v>
      </c>
      <c r="F541">
        <v>111.87</v>
      </c>
      <c r="G541" t="s">
        <v>24</v>
      </c>
      <c r="H541" t="s">
        <v>15</v>
      </c>
      <c r="I541">
        <v>3.9</v>
      </c>
      <c r="J541">
        <v>21</v>
      </c>
      <c r="K541">
        <v>8</v>
      </c>
    </row>
    <row r="542" spans="1:11" x14ac:dyDescent="0.35">
      <c r="A542">
        <v>541</v>
      </c>
      <c r="B542">
        <v>31</v>
      </c>
      <c r="C542" t="s">
        <v>16</v>
      </c>
      <c r="D542" t="s">
        <v>20</v>
      </c>
      <c r="E542" t="s">
        <v>21</v>
      </c>
      <c r="F542">
        <v>90.67</v>
      </c>
      <c r="G542" t="s">
        <v>14</v>
      </c>
      <c r="H542" t="s">
        <v>37</v>
      </c>
      <c r="I542">
        <v>5</v>
      </c>
      <c r="J542">
        <v>12</v>
      </c>
      <c r="K542">
        <v>6</v>
      </c>
    </row>
    <row r="543" spans="1:11" x14ac:dyDescent="0.35">
      <c r="A543">
        <v>542</v>
      </c>
      <c r="B543">
        <v>28</v>
      </c>
      <c r="C543" t="s">
        <v>16</v>
      </c>
      <c r="D543" t="s">
        <v>17</v>
      </c>
      <c r="E543" t="s">
        <v>42</v>
      </c>
      <c r="F543">
        <v>141.19</v>
      </c>
      <c r="G543" t="s">
        <v>24</v>
      </c>
      <c r="H543" t="s">
        <v>15</v>
      </c>
      <c r="I543">
        <v>4</v>
      </c>
      <c r="J543">
        <v>4</v>
      </c>
      <c r="K543">
        <v>2</v>
      </c>
    </row>
    <row r="544" spans="1:11" x14ac:dyDescent="0.35">
      <c r="A544">
        <v>543</v>
      </c>
      <c r="B544">
        <v>32</v>
      </c>
      <c r="C544" t="s">
        <v>11</v>
      </c>
      <c r="D544" t="s">
        <v>41</v>
      </c>
      <c r="E544" t="s">
        <v>45</v>
      </c>
      <c r="F544">
        <v>158.72</v>
      </c>
      <c r="G544" t="s">
        <v>19</v>
      </c>
      <c r="H544" t="s">
        <v>15</v>
      </c>
      <c r="I544">
        <v>4.9000000000000004</v>
      </c>
      <c r="J544">
        <v>16</v>
      </c>
      <c r="K544">
        <v>3</v>
      </c>
    </row>
    <row r="545" spans="1:11" x14ac:dyDescent="0.35">
      <c r="A545">
        <v>544</v>
      </c>
      <c r="B545">
        <v>32</v>
      </c>
      <c r="C545" t="s">
        <v>11</v>
      </c>
      <c r="D545" t="s">
        <v>33</v>
      </c>
      <c r="E545" t="s">
        <v>34</v>
      </c>
      <c r="F545">
        <v>91.02</v>
      </c>
      <c r="G545" t="s">
        <v>24</v>
      </c>
      <c r="H545" t="s">
        <v>15</v>
      </c>
      <c r="I545">
        <v>4.0999999999999996</v>
      </c>
      <c r="J545">
        <v>17</v>
      </c>
      <c r="K545">
        <v>6</v>
      </c>
    </row>
    <row r="546" spans="1:11" x14ac:dyDescent="0.35">
      <c r="A546">
        <v>545</v>
      </c>
      <c r="B546">
        <v>70</v>
      </c>
      <c r="C546" t="s">
        <v>11</v>
      </c>
      <c r="D546" t="s">
        <v>12</v>
      </c>
      <c r="E546" t="s">
        <v>50</v>
      </c>
      <c r="F546">
        <v>159.31</v>
      </c>
      <c r="G546" t="s">
        <v>14</v>
      </c>
      <c r="H546" t="s">
        <v>15</v>
      </c>
      <c r="I546">
        <v>4.5</v>
      </c>
      <c r="J546">
        <v>17</v>
      </c>
      <c r="K546">
        <v>6</v>
      </c>
    </row>
    <row r="547" spans="1:11" x14ac:dyDescent="0.35">
      <c r="A547">
        <v>546</v>
      </c>
      <c r="B547">
        <v>30</v>
      </c>
      <c r="C547" t="s">
        <v>16</v>
      </c>
      <c r="D547" t="s">
        <v>27</v>
      </c>
      <c r="E547" t="s">
        <v>32</v>
      </c>
      <c r="F547">
        <v>2428.11</v>
      </c>
      <c r="G547" t="s">
        <v>19</v>
      </c>
      <c r="H547" t="s">
        <v>15</v>
      </c>
      <c r="I547">
        <v>3.9</v>
      </c>
      <c r="J547">
        <v>4</v>
      </c>
      <c r="K547">
        <v>2</v>
      </c>
    </row>
    <row r="548" spans="1:11" x14ac:dyDescent="0.35">
      <c r="A548">
        <v>547</v>
      </c>
      <c r="B548">
        <v>28</v>
      </c>
      <c r="C548" t="s">
        <v>11</v>
      </c>
      <c r="D548" t="s">
        <v>29</v>
      </c>
      <c r="E548" t="s">
        <v>30</v>
      </c>
      <c r="F548">
        <v>25.24</v>
      </c>
      <c r="G548" t="s">
        <v>24</v>
      </c>
      <c r="H548" t="s">
        <v>15</v>
      </c>
      <c r="I548">
        <v>3.7</v>
      </c>
      <c r="J548">
        <v>21</v>
      </c>
      <c r="K548">
        <v>8</v>
      </c>
    </row>
    <row r="549" spans="1:11" x14ac:dyDescent="0.35">
      <c r="A549">
        <v>548</v>
      </c>
      <c r="B549">
        <v>46</v>
      </c>
      <c r="C549" t="s">
        <v>16</v>
      </c>
      <c r="D549" t="s">
        <v>25</v>
      </c>
      <c r="E549" t="s">
        <v>47</v>
      </c>
      <c r="F549">
        <v>62.51</v>
      </c>
      <c r="G549" t="s">
        <v>24</v>
      </c>
      <c r="H549" t="s">
        <v>37</v>
      </c>
      <c r="I549">
        <v>4.2</v>
      </c>
      <c r="J549">
        <v>11</v>
      </c>
      <c r="K549">
        <v>3</v>
      </c>
    </row>
    <row r="550" spans="1:11" x14ac:dyDescent="0.35">
      <c r="A550">
        <v>549</v>
      </c>
      <c r="B550">
        <v>22</v>
      </c>
      <c r="C550" t="s">
        <v>16</v>
      </c>
      <c r="D550" t="s">
        <v>33</v>
      </c>
      <c r="E550" t="s">
        <v>34</v>
      </c>
      <c r="F550">
        <v>80.22</v>
      </c>
      <c r="G550" t="s">
        <v>31</v>
      </c>
      <c r="H550" t="s">
        <v>15</v>
      </c>
      <c r="I550">
        <v>4.5999999999999996</v>
      </c>
      <c r="J550">
        <v>8</v>
      </c>
      <c r="K550">
        <v>4</v>
      </c>
    </row>
    <row r="551" spans="1:11" x14ac:dyDescent="0.35">
      <c r="A551">
        <v>550</v>
      </c>
      <c r="B551">
        <v>28</v>
      </c>
      <c r="C551" t="s">
        <v>16</v>
      </c>
      <c r="D551" t="s">
        <v>27</v>
      </c>
      <c r="E551" t="s">
        <v>53</v>
      </c>
      <c r="F551">
        <v>600.16999999999996</v>
      </c>
      <c r="G551" t="s">
        <v>24</v>
      </c>
      <c r="H551" t="s">
        <v>15</v>
      </c>
      <c r="I551">
        <v>3.8</v>
      </c>
      <c r="J551">
        <v>10</v>
      </c>
      <c r="K551">
        <v>5</v>
      </c>
    </row>
    <row r="552" spans="1:11" x14ac:dyDescent="0.35">
      <c r="A552">
        <v>551</v>
      </c>
      <c r="B552">
        <v>63</v>
      </c>
      <c r="C552" t="s">
        <v>16</v>
      </c>
      <c r="D552" t="s">
        <v>17</v>
      </c>
      <c r="E552" t="s">
        <v>42</v>
      </c>
      <c r="F552">
        <v>106.27</v>
      </c>
      <c r="G552" t="s">
        <v>31</v>
      </c>
      <c r="H552" t="s">
        <v>15</v>
      </c>
      <c r="I552">
        <v>3.5</v>
      </c>
      <c r="J552">
        <v>14</v>
      </c>
      <c r="K552">
        <v>7</v>
      </c>
    </row>
    <row r="553" spans="1:11" x14ac:dyDescent="0.35">
      <c r="A553">
        <v>552</v>
      </c>
      <c r="B553">
        <v>27</v>
      </c>
      <c r="C553" t="s">
        <v>16</v>
      </c>
      <c r="D553" t="s">
        <v>33</v>
      </c>
      <c r="E553" t="s">
        <v>38</v>
      </c>
      <c r="F553">
        <v>141.6</v>
      </c>
      <c r="G553" t="s">
        <v>24</v>
      </c>
      <c r="H553" t="s">
        <v>15</v>
      </c>
      <c r="I553">
        <v>4.0999999999999996</v>
      </c>
      <c r="J553">
        <v>19</v>
      </c>
      <c r="K553">
        <v>7</v>
      </c>
    </row>
    <row r="554" spans="1:11" x14ac:dyDescent="0.35">
      <c r="A554">
        <v>553</v>
      </c>
      <c r="B554">
        <v>43</v>
      </c>
      <c r="C554" t="s">
        <v>16</v>
      </c>
      <c r="D554" t="s">
        <v>33</v>
      </c>
      <c r="E554" t="s">
        <v>34</v>
      </c>
      <c r="F554">
        <v>90.88</v>
      </c>
      <c r="G554" t="s">
        <v>24</v>
      </c>
      <c r="H554" t="s">
        <v>37</v>
      </c>
      <c r="I554">
        <v>3.3</v>
      </c>
      <c r="J554">
        <v>14</v>
      </c>
      <c r="K554">
        <v>2</v>
      </c>
    </row>
    <row r="555" spans="1:11" x14ac:dyDescent="0.35">
      <c r="A555">
        <v>554</v>
      </c>
      <c r="B555">
        <v>20</v>
      </c>
      <c r="C555" t="s">
        <v>11</v>
      </c>
      <c r="D555" t="s">
        <v>33</v>
      </c>
      <c r="E555" t="s">
        <v>40</v>
      </c>
      <c r="F555">
        <v>156.91</v>
      </c>
      <c r="G555" t="s">
        <v>31</v>
      </c>
      <c r="H555" t="s">
        <v>15</v>
      </c>
      <c r="I555">
        <v>4.0999999999999996</v>
      </c>
      <c r="J555">
        <v>22</v>
      </c>
      <c r="K555">
        <v>6</v>
      </c>
    </row>
    <row r="556" spans="1:11" x14ac:dyDescent="0.35">
      <c r="A556">
        <v>555</v>
      </c>
      <c r="B556">
        <v>41</v>
      </c>
      <c r="C556" t="s">
        <v>16</v>
      </c>
      <c r="D556" t="s">
        <v>20</v>
      </c>
      <c r="E556" t="s">
        <v>21</v>
      </c>
      <c r="F556">
        <v>232.73</v>
      </c>
      <c r="G556" t="s">
        <v>24</v>
      </c>
      <c r="H556" t="s">
        <v>15</v>
      </c>
      <c r="I556">
        <v>3.7</v>
      </c>
      <c r="J556">
        <v>15</v>
      </c>
      <c r="K556">
        <v>5</v>
      </c>
    </row>
    <row r="557" spans="1:11" x14ac:dyDescent="0.35">
      <c r="A557">
        <v>556</v>
      </c>
      <c r="B557">
        <v>29</v>
      </c>
      <c r="C557" t="s">
        <v>11</v>
      </c>
      <c r="D557" t="s">
        <v>12</v>
      </c>
      <c r="E557" t="s">
        <v>56</v>
      </c>
      <c r="F557">
        <v>53.93</v>
      </c>
      <c r="G557" t="s">
        <v>31</v>
      </c>
      <c r="H557" t="s">
        <v>15</v>
      </c>
      <c r="I557">
        <v>2.5</v>
      </c>
      <c r="J557">
        <v>18</v>
      </c>
      <c r="K557">
        <v>4</v>
      </c>
    </row>
    <row r="558" spans="1:11" x14ac:dyDescent="0.35">
      <c r="A558">
        <v>557</v>
      </c>
      <c r="B558">
        <v>61</v>
      </c>
      <c r="C558" t="s">
        <v>16</v>
      </c>
      <c r="D558" t="s">
        <v>33</v>
      </c>
      <c r="E558" t="s">
        <v>40</v>
      </c>
      <c r="F558">
        <v>65.72</v>
      </c>
      <c r="G558" t="s">
        <v>31</v>
      </c>
      <c r="H558" t="s">
        <v>37</v>
      </c>
      <c r="I558">
        <v>2.8</v>
      </c>
      <c r="J558">
        <v>8</v>
      </c>
      <c r="K558">
        <v>4</v>
      </c>
    </row>
    <row r="559" spans="1:11" x14ac:dyDescent="0.35">
      <c r="A559">
        <v>558</v>
      </c>
      <c r="B559">
        <v>69</v>
      </c>
      <c r="C559" t="s">
        <v>11</v>
      </c>
      <c r="D559" t="s">
        <v>41</v>
      </c>
      <c r="E559" t="s">
        <v>44</v>
      </c>
      <c r="F559">
        <v>159.87</v>
      </c>
      <c r="G559" t="s">
        <v>24</v>
      </c>
      <c r="H559" t="s">
        <v>15</v>
      </c>
      <c r="I559">
        <v>3.6</v>
      </c>
      <c r="J559">
        <v>10</v>
      </c>
      <c r="K559">
        <v>0</v>
      </c>
    </row>
    <row r="560" spans="1:11" x14ac:dyDescent="0.35">
      <c r="A560">
        <v>559</v>
      </c>
      <c r="B560">
        <v>64</v>
      </c>
      <c r="C560" t="s">
        <v>16</v>
      </c>
      <c r="D560" t="s">
        <v>27</v>
      </c>
      <c r="E560" t="s">
        <v>49</v>
      </c>
      <c r="F560">
        <v>2435.63</v>
      </c>
      <c r="G560" t="s">
        <v>24</v>
      </c>
      <c r="H560" t="s">
        <v>15</v>
      </c>
      <c r="I560">
        <v>3.3</v>
      </c>
      <c r="J560">
        <v>18</v>
      </c>
      <c r="K560">
        <v>4</v>
      </c>
    </row>
    <row r="561" spans="1:11" x14ac:dyDescent="0.35">
      <c r="A561">
        <v>560</v>
      </c>
      <c r="B561">
        <v>40</v>
      </c>
      <c r="C561" t="s">
        <v>16</v>
      </c>
      <c r="D561" t="s">
        <v>33</v>
      </c>
      <c r="E561" t="s">
        <v>40</v>
      </c>
      <c r="F561">
        <v>90.24</v>
      </c>
      <c r="G561" t="s">
        <v>19</v>
      </c>
      <c r="H561" t="s">
        <v>37</v>
      </c>
      <c r="I561">
        <v>4.3</v>
      </c>
      <c r="J561">
        <v>17</v>
      </c>
      <c r="K561">
        <v>6</v>
      </c>
    </row>
    <row r="562" spans="1:11" x14ac:dyDescent="0.35">
      <c r="A562">
        <v>561</v>
      </c>
      <c r="B562">
        <v>37</v>
      </c>
      <c r="C562" t="s">
        <v>11</v>
      </c>
      <c r="D562" t="s">
        <v>12</v>
      </c>
      <c r="E562" t="s">
        <v>13</v>
      </c>
      <c r="F562">
        <v>117.76</v>
      </c>
      <c r="G562" t="s">
        <v>19</v>
      </c>
      <c r="H562" t="s">
        <v>15</v>
      </c>
      <c r="I562">
        <v>3.5</v>
      </c>
      <c r="J562">
        <v>12</v>
      </c>
      <c r="K562">
        <v>6</v>
      </c>
    </row>
    <row r="563" spans="1:11" x14ac:dyDescent="0.35">
      <c r="A563">
        <v>562</v>
      </c>
      <c r="B563">
        <v>64</v>
      </c>
      <c r="C563" t="s">
        <v>11</v>
      </c>
      <c r="D563" t="s">
        <v>41</v>
      </c>
      <c r="E563" t="s">
        <v>42</v>
      </c>
      <c r="F563">
        <v>97.62</v>
      </c>
      <c r="G563" t="s">
        <v>31</v>
      </c>
      <c r="H563" t="s">
        <v>15</v>
      </c>
      <c r="I563">
        <v>3.8</v>
      </c>
      <c r="J563">
        <v>8</v>
      </c>
      <c r="K563">
        <v>4</v>
      </c>
    </row>
    <row r="564" spans="1:11" x14ac:dyDescent="0.35">
      <c r="A564">
        <v>563</v>
      </c>
      <c r="B564">
        <v>66</v>
      </c>
      <c r="C564" t="s">
        <v>11</v>
      </c>
      <c r="D564" t="s">
        <v>29</v>
      </c>
      <c r="E564" t="s">
        <v>51</v>
      </c>
      <c r="F564">
        <v>98.66</v>
      </c>
      <c r="G564" t="s">
        <v>14</v>
      </c>
      <c r="H564" t="s">
        <v>15</v>
      </c>
      <c r="I564">
        <v>2.7</v>
      </c>
      <c r="J564">
        <v>22</v>
      </c>
      <c r="K564">
        <v>6</v>
      </c>
    </row>
    <row r="565" spans="1:11" x14ac:dyDescent="0.35">
      <c r="A565">
        <v>564</v>
      </c>
      <c r="B565">
        <v>66</v>
      </c>
      <c r="C565" t="s">
        <v>11</v>
      </c>
      <c r="D565" t="s">
        <v>41</v>
      </c>
      <c r="E565" t="s">
        <v>45</v>
      </c>
      <c r="F565">
        <v>185.56</v>
      </c>
      <c r="G565" t="s">
        <v>19</v>
      </c>
      <c r="H565" t="s">
        <v>15</v>
      </c>
      <c r="I565">
        <v>3.7</v>
      </c>
      <c r="J565">
        <v>21</v>
      </c>
      <c r="K565">
        <v>8</v>
      </c>
    </row>
    <row r="566" spans="1:11" x14ac:dyDescent="0.35">
      <c r="A566">
        <v>565</v>
      </c>
      <c r="B566">
        <v>60</v>
      </c>
      <c r="C566" t="s">
        <v>11</v>
      </c>
      <c r="D566" t="s">
        <v>25</v>
      </c>
      <c r="E566" t="s">
        <v>47</v>
      </c>
      <c r="F566">
        <v>12.59</v>
      </c>
      <c r="G566" t="s">
        <v>19</v>
      </c>
      <c r="H566" t="s">
        <v>15</v>
      </c>
      <c r="I566">
        <v>3.4</v>
      </c>
      <c r="J566">
        <v>12</v>
      </c>
      <c r="K566">
        <v>1</v>
      </c>
    </row>
    <row r="567" spans="1:11" x14ac:dyDescent="0.35">
      <c r="A567">
        <v>566</v>
      </c>
      <c r="B567">
        <v>41</v>
      </c>
      <c r="C567" t="s">
        <v>11</v>
      </c>
      <c r="D567" t="s">
        <v>29</v>
      </c>
      <c r="E567" t="s">
        <v>51</v>
      </c>
      <c r="F567">
        <v>34.299999999999997</v>
      </c>
      <c r="G567" t="s">
        <v>14</v>
      </c>
      <c r="H567" t="s">
        <v>15</v>
      </c>
      <c r="I567">
        <v>3.3</v>
      </c>
      <c r="J567">
        <v>4</v>
      </c>
      <c r="K567">
        <v>2</v>
      </c>
    </row>
    <row r="568" spans="1:11" x14ac:dyDescent="0.35">
      <c r="A568">
        <v>567</v>
      </c>
      <c r="B568">
        <v>29</v>
      </c>
      <c r="C568" t="s">
        <v>16</v>
      </c>
      <c r="D568" t="s">
        <v>20</v>
      </c>
      <c r="E568" t="s">
        <v>21</v>
      </c>
      <c r="F568">
        <v>162.96</v>
      </c>
      <c r="G568" t="s">
        <v>31</v>
      </c>
      <c r="H568" t="s">
        <v>15</v>
      </c>
      <c r="I568">
        <v>3.9</v>
      </c>
      <c r="J568">
        <v>19</v>
      </c>
      <c r="K568">
        <v>7</v>
      </c>
    </row>
    <row r="569" spans="1:11" x14ac:dyDescent="0.35">
      <c r="A569">
        <v>568</v>
      </c>
      <c r="B569">
        <v>45</v>
      </c>
      <c r="C569" t="s">
        <v>16</v>
      </c>
      <c r="D569" t="s">
        <v>27</v>
      </c>
      <c r="E569" t="s">
        <v>49</v>
      </c>
      <c r="F569">
        <v>2785.85</v>
      </c>
      <c r="G569" t="s">
        <v>19</v>
      </c>
      <c r="H569" t="s">
        <v>15</v>
      </c>
      <c r="I569">
        <v>3.4</v>
      </c>
      <c r="J569">
        <v>18</v>
      </c>
      <c r="K569">
        <v>4</v>
      </c>
    </row>
    <row r="570" spans="1:11" x14ac:dyDescent="0.35">
      <c r="A570">
        <v>569</v>
      </c>
      <c r="B570">
        <v>67</v>
      </c>
      <c r="C570" t="s">
        <v>16</v>
      </c>
      <c r="D570" t="s">
        <v>33</v>
      </c>
      <c r="E570" t="s">
        <v>38</v>
      </c>
      <c r="F570">
        <v>79.989999999999995</v>
      </c>
      <c r="G570" t="s">
        <v>19</v>
      </c>
      <c r="H570" t="s">
        <v>15</v>
      </c>
      <c r="I570">
        <v>3.5</v>
      </c>
      <c r="J570">
        <v>12</v>
      </c>
      <c r="K570">
        <v>1</v>
      </c>
    </row>
    <row r="571" spans="1:11" x14ac:dyDescent="0.35">
      <c r="A571">
        <v>570</v>
      </c>
      <c r="B571">
        <v>24</v>
      </c>
      <c r="C571" t="s">
        <v>11</v>
      </c>
      <c r="D571" t="s">
        <v>41</v>
      </c>
      <c r="E571" t="s">
        <v>42</v>
      </c>
      <c r="F571">
        <v>33.979999999999997</v>
      </c>
      <c r="G571" t="s">
        <v>19</v>
      </c>
      <c r="H571" t="s">
        <v>15</v>
      </c>
      <c r="I571">
        <v>2.1</v>
      </c>
      <c r="J571">
        <v>15</v>
      </c>
      <c r="K571">
        <v>5</v>
      </c>
    </row>
    <row r="572" spans="1:11" x14ac:dyDescent="0.35">
      <c r="A572">
        <v>571</v>
      </c>
      <c r="B572">
        <v>32</v>
      </c>
      <c r="C572" t="s">
        <v>16</v>
      </c>
      <c r="D572" t="s">
        <v>27</v>
      </c>
      <c r="E572" t="s">
        <v>53</v>
      </c>
      <c r="F572">
        <v>2562.09</v>
      </c>
      <c r="G572" t="s">
        <v>24</v>
      </c>
      <c r="H572" t="s">
        <v>15</v>
      </c>
      <c r="I572">
        <v>3.7</v>
      </c>
      <c r="J572">
        <v>14</v>
      </c>
      <c r="K572">
        <v>7</v>
      </c>
    </row>
    <row r="573" spans="1:11" x14ac:dyDescent="0.35">
      <c r="A573">
        <v>572</v>
      </c>
      <c r="B573">
        <v>69</v>
      </c>
      <c r="C573" t="s">
        <v>11</v>
      </c>
      <c r="D573" t="s">
        <v>29</v>
      </c>
      <c r="E573" t="s">
        <v>51</v>
      </c>
      <c r="F573">
        <v>55.71</v>
      </c>
      <c r="G573" t="s">
        <v>19</v>
      </c>
      <c r="H573" t="s">
        <v>15</v>
      </c>
      <c r="I573">
        <v>2.9</v>
      </c>
      <c r="J573">
        <v>15</v>
      </c>
      <c r="K573">
        <v>5</v>
      </c>
    </row>
    <row r="574" spans="1:11" x14ac:dyDescent="0.35">
      <c r="A574">
        <v>573</v>
      </c>
      <c r="B574">
        <v>61</v>
      </c>
      <c r="C574" t="s">
        <v>16</v>
      </c>
      <c r="D574" t="s">
        <v>33</v>
      </c>
      <c r="E574" t="s">
        <v>38</v>
      </c>
      <c r="F574">
        <v>41.13</v>
      </c>
      <c r="G574" t="s">
        <v>31</v>
      </c>
      <c r="H574" t="s">
        <v>37</v>
      </c>
      <c r="I574">
        <v>5</v>
      </c>
      <c r="J574">
        <v>17</v>
      </c>
      <c r="K574">
        <v>6</v>
      </c>
    </row>
    <row r="575" spans="1:11" x14ac:dyDescent="0.35">
      <c r="A575">
        <v>574</v>
      </c>
      <c r="B575">
        <v>46</v>
      </c>
      <c r="C575" t="s">
        <v>11</v>
      </c>
      <c r="D575" t="s">
        <v>41</v>
      </c>
      <c r="E575" t="s">
        <v>44</v>
      </c>
      <c r="F575">
        <v>62.15</v>
      </c>
      <c r="G575" t="s">
        <v>31</v>
      </c>
      <c r="H575" t="s">
        <v>37</v>
      </c>
      <c r="I575">
        <v>3.8</v>
      </c>
      <c r="J575">
        <v>22</v>
      </c>
      <c r="K575">
        <v>6</v>
      </c>
    </row>
    <row r="576" spans="1:11" x14ac:dyDescent="0.35">
      <c r="A576">
        <v>575</v>
      </c>
      <c r="B576">
        <v>44</v>
      </c>
      <c r="C576" t="s">
        <v>16</v>
      </c>
      <c r="D576" t="s">
        <v>22</v>
      </c>
      <c r="E576" t="s">
        <v>23</v>
      </c>
      <c r="F576">
        <v>124.45</v>
      </c>
      <c r="G576" t="s">
        <v>31</v>
      </c>
      <c r="H576" t="s">
        <v>15</v>
      </c>
      <c r="I576">
        <v>5</v>
      </c>
      <c r="J576">
        <v>9</v>
      </c>
      <c r="K576">
        <v>2</v>
      </c>
    </row>
    <row r="577" spans="1:11" x14ac:dyDescent="0.35">
      <c r="A577">
        <v>576</v>
      </c>
      <c r="B577">
        <v>46</v>
      </c>
      <c r="C577" t="s">
        <v>16</v>
      </c>
      <c r="D577" t="s">
        <v>33</v>
      </c>
      <c r="E577" t="s">
        <v>40</v>
      </c>
      <c r="F577">
        <v>75.37</v>
      </c>
      <c r="G577" t="s">
        <v>24</v>
      </c>
      <c r="H577" t="s">
        <v>15</v>
      </c>
      <c r="I577">
        <v>3.7</v>
      </c>
      <c r="J577">
        <v>20</v>
      </c>
      <c r="K577">
        <v>10</v>
      </c>
    </row>
    <row r="578" spans="1:11" x14ac:dyDescent="0.35">
      <c r="A578">
        <v>577</v>
      </c>
      <c r="B578">
        <v>30</v>
      </c>
      <c r="C578" t="s">
        <v>16</v>
      </c>
      <c r="D578" t="s">
        <v>20</v>
      </c>
      <c r="E578" t="s">
        <v>36</v>
      </c>
      <c r="F578">
        <v>141.81</v>
      </c>
      <c r="G578" t="s">
        <v>24</v>
      </c>
      <c r="H578" t="s">
        <v>15</v>
      </c>
      <c r="I578">
        <v>4.9000000000000004</v>
      </c>
      <c r="J578">
        <v>13</v>
      </c>
      <c r="K578">
        <v>4</v>
      </c>
    </row>
    <row r="579" spans="1:11" x14ac:dyDescent="0.35">
      <c r="A579">
        <v>578</v>
      </c>
      <c r="B579">
        <v>38</v>
      </c>
      <c r="C579" t="s">
        <v>16</v>
      </c>
      <c r="D579" t="s">
        <v>17</v>
      </c>
      <c r="E579" t="s">
        <v>42</v>
      </c>
      <c r="F579">
        <v>173.03</v>
      </c>
      <c r="G579" t="s">
        <v>14</v>
      </c>
      <c r="H579" t="s">
        <v>15</v>
      </c>
      <c r="I579">
        <v>2.6</v>
      </c>
      <c r="J579">
        <v>13</v>
      </c>
      <c r="K579">
        <v>4</v>
      </c>
    </row>
    <row r="580" spans="1:11" x14ac:dyDescent="0.35">
      <c r="A580">
        <v>579</v>
      </c>
      <c r="B580">
        <v>26</v>
      </c>
      <c r="C580" t="s">
        <v>11</v>
      </c>
      <c r="D580" t="s">
        <v>22</v>
      </c>
      <c r="E580" t="s">
        <v>23</v>
      </c>
      <c r="F580">
        <v>174.88</v>
      </c>
      <c r="G580" t="s">
        <v>14</v>
      </c>
      <c r="H580" t="s">
        <v>15</v>
      </c>
      <c r="I580">
        <v>4.4000000000000004</v>
      </c>
      <c r="J580">
        <v>14</v>
      </c>
      <c r="K580">
        <v>2</v>
      </c>
    </row>
    <row r="581" spans="1:11" x14ac:dyDescent="0.35">
      <c r="A581">
        <v>580</v>
      </c>
      <c r="B581">
        <v>42</v>
      </c>
      <c r="C581" t="s">
        <v>11</v>
      </c>
      <c r="D581" t="s">
        <v>29</v>
      </c>
      <c r="E581" t="s">
        <v>30</v>
      </c>
      <c r="F581">
        <v>48.19</v>
      </c>
      <c r="G581" t="s">
        <v>24</v>
      </c>
      <c r="H581" t="s">
        <v>15</v>
      </c>
      <c r="I581">
        <v>2.7</v>
      </c>
      <c r="J581">
        <v>12</v>
      </c>
      <c r="K581">
        <v>6</v>
      </c>
    </row>
    <row r="582" spans="1:11" x14ac:dyDescent="0.35">
      <c r="A582">
        <v>581</v>
      </c>
      <c r="B582">
        <v>37</v>
      </c>
      <c r="C582" t="s">
        <v>16</v>
      </c>
      <c r="D582" t="s">
        <v>27</v>
      </c>
      <c r="E582" t="s">
        <v>49</v>
      </c>
      <c r="F582">
        <v>714.78</v>
      </c>
      <c r="G582" t="s">
        <v>24</v>
      </c>
      <c r="H582" t="s">
        <v>15</v>
      </c>
      <c r="I582">
        <v>4</v>
      </c>
      <c r="J582">
        <v>12</v>
      </c>
      <c r="K582">
        <v>6</v>
      </c>
    </row>
    <row r="583" spans="1:11" x14ac:dyDescent="0.35">
      <c r="A583">
        <v>582</v>
      </c>
      <c r="B583">
        <v>54</v>
      </c>
      <c r="C583" t="s">
        <v>11</v>
      </c>
      <c r="D583" t="s">
        <v>20</v>
      </c>
      <c r="E583" t="s">
        <v>39</v>
      </c>
      <c r="F583">
        <v>30.19</v>
      </c>
      <c r="G583" t="s">
        <v>14</v>
      </c>
      <c r="H583" t="s">
        <v>37</v>
      </c>
      <c r="I583">
        <v>4.2</v>
      </c>
      <c r="J583">
        <v>13</v>
      </c>
      <c r="K583">
        <v>4</v>
      </c>
    </row>
    <row r="584" spans="1:11" x14ac:dyDescent="0.35">
      <c r="A584">
        <v>583</v>
      </c>
      <c r="B584">
        <v>68</v>
      </c>
      <c r="C584" t="s">
        <v>11</v>
      </c>
      <c r="D584" t="s">
        <v>29</v>
      </c>
      <c r="E584" t="s">
        <v>51</v>
      </c>
      <c r="F584">
        <v>120.37</v>
      </c>
      <c r="G584" t="s">
        <v>24</v>
      </c>
      <c r="H584" t="s">
        <v>15</v>
      </c>
      <c r="I584">
        <v>2.9</v>
      </c>
      <c r="J584">
        <v>24</v>
      </c>
      <c r="K584">
        <v>7</v>
      </c>
    </row>
    <row r="585" spans="1:11" x14ac:dyDescent="0.35">
      <c r="A585">
        <v>584</v>
      </c>
      <c r="B585">
        <v>38</v>
      </c>
      <c r="C585" t="s">
        <v>11</v>
      </c>
      <c r="D585" t="s">
        <v>41</v>
      </c>
      <c r="E585" t="s">
        <v>46</v>
      </c>
      <c r="F585">
        <v>185.35</v>
      </c>
      <c r="G585" t="s">
        <v>24</v>
      </c>
      <c r="H585" t="s">
        <v>15</v>
      </c>
      <c r="I585">
        <v>4.9000000000000004</v>
      </c>
      <c r="J585">
        <v>12</v>
      </c>
      <c r="K585">
        <v>6</v>
      </c>
    </row>
    <row r="586" spans="1:11" x14ac:dyDescent="0.35">
      <c r="A586">
        <v>585</v>
      </c>
      <c r="B586">
        <v>25</v>
      </c>
      <c r="C586" t="s">
        <v>16</v>
      </c>
      <c r="D586" t="s">
        <v>27</v>
      </c>
      <c r="E586" t="s">
        <v>32</v>
      </c>
      <c r="F586">
        <v>1495.63</v>
      </c>
      <c r="G586" t="s">
        <v>31</v>
      </c>
      <c r="H586" t="s">
        <v>15</v>
      </c>
      <c r="I586">
        <v>3.8</v>
      </c>
      <c r="J586">
        <v>14</v>
      </c>
      <c r="K586">
        <v>2</v>
      </c>
    </row>
    <row r="587" spans="1:11" x14ac:dyDescent="0.35">
      <c r="A587">
        <v>586</v>
      </c>
      <c r="B587">
        <v>42</v>
      </c>
      <c r="C587" t="s">
        <v>16</v>
      </c>
      <c r="D587" t="s">
        <v>27</v>
      </c>
      <c r="E587" t="s">
        <v>28</v>
      </c>
      <c r="F587">
        <v>1552.24</v>
      </c>
      <c r="G587" t="s">
        <v>14</v>
      </c>
      <c r="H587" t="s">
        <v>15</v>
      </c>
      <c r="I587">
        <v>3.8</v>
      </c>
      <c r="J587">
        <v>17</v>
      </c>
      <c r="K587">
        <v>6</v>
      </c>
    </row>
    <row r="588" spans="1:11" x14ac:dyDescent="0.35">
      <c r="A588">
        <v>587</v>
      </c>
      <c r="B588">
        <v>26</v>
      </c>
      <c r="C588" t="s">
        <v>16</v>
      </c>
      <c r="D588" t="s">
        <v>20</v>
      </c>
      <c r="E588" t="s">
        <v>21</v>
      </c>
      <c r="F588">
        <v>175.47</v>
      </c>
      <c r="G588" t="s">
        <v>14</v>
      </c>
      <c r="H588" t="s">
        <v>15</v>
      </c>
      <c r="I588">
        <v>3</v>
      </c>
      <c r="J588">
        <v>13</v>
      </c>
      <c r="K588">
        <v>4</v>
      </c>
    </row>
    <row r="589" spans="1:11" x14ac:dyDescent="0.35">
      <c r="A589">
        <v>588</v>
      </c>
      <c r="B589">
        <v>45</v>
      </c>
      <c r="C589" t="s">
        <v>16</v>
      </c>
      <c r="D589" t="s">
        <v>20</v>
      </c>
      <c r="E589" t="s">
        <v>21</v>
      </c>
      <c r="F589">
        <v>136.12</v>
      </c>
      <c r="G589" t="s">
        <v>19</v>
      </c>
      <c r="H589" t="s">
        <v>15</v>
      </c>
      <c r="I589">
        <v>4.5</v>
      </c>
      <c r="J589">
        <v>23</v>
      </c>
      <c r="K589">
        <v>9</v>
      </c>
    </row>
    <row r="590" spans="1:11" x14ac:dyDescent="0.35">
      <c r="A590">
        <v>589</v>
      </c>
      <c r="B590">
        <v>22</v>
      </c>
      <c r="C590" t="s">
        <v>11</v>
      </c>
      <c r="D590" t="s">
        <v>33</v>
      </c>
      <c r="E590" t="s">
        <v>40</v>
      </c>
      <c r="F590">
        <v>174.5</v>
      </c>
      <c r="G590" t="s">
        <v>14</v>
      </c>
      <c r="H590" t="s">
        <v>15</v>
      </c>
      <c r="I590">
        <v>3.7</v>
      </c>
      <c r="J590">
        <v>14</v>
      </c>
      <c r="K590">
        <v>2</v>
      </c>
    </row>
    <row r="591" spans="1:11" x14ac:dyDescent="0.35">
      <c r="A591">
        <v>590</v>
      </c>
      <c r="B591">
        <v>40</v>
      </c>
      <c r="C591" t="s">
        <v>16</v>
      </c>
      <c r="D591" t="s">
        <v>22</v>
      </c>
      <c r="E591" t="s">
        <v>43</v>
      </c>
      <c r="F591">
        <v>136.29</v>
      </c>
      <c r="G591" t="s">
        <v>24</v>
      </c>
      <c r="H591" t="s">
        <v>15</v>
      </c>
      <c r="I591">
        <v>2.9</v>
      </c>
      <c r="J591">
        <v>13</v>
      </c>
      <c r="K591">
        <v>4</v>
      </c>
    </row>
    <row r="592" spans="1:11" x14ac:dyDescent="0.35">
      <c r="A592">
        <v>591</v>
      </c>
      <c r="B592">
        <v>44</v>
      </c>
      <c r="C592" t="s">
        <v>11</v>
      </c>
      <c r="D592" t="s">
        <v>33</v>
      </c>
      <c r="E592" t="s">
        <v>38</v>
      </c>
      <c r="F592">
        <v>62.11</v>
      </c>
      <c r="G592" t="s">
        <v>31</v>
      </c>
      <c r="H592" t="s">
        <v>15</v>
      </c>
      <c r="I592">
        <v>2.9</v>
      </c>
      <c r="J592">
        <v>19</v>
      </c>
      <c r="K592">
        <v>7</v>
      </c>
    </row>
    <row r="593" spans="1:11" x14ac:dyDescent="0.35">
      <c r="A593">
        <v>592</v>
      </c>
      <c r="B593">
        <v>31</v>
      </c>
      <c r="C593" t="s">
        <v>16</v>
      </c>
      <c r="D593" t="s">
        <v>20</v>
      </c>
      <c r="E593" t="s">
        <v>21</v>
      </c>
      <c r="F593">
        <v>209.64</v>
      </c>
      <c r="G593" t="s">
        <v>14</v>
      </c>
      <c r="H593" t="s">
        <v>15</v>
      </c>
      <c r="I593">
        <v>4.5999999999999996</v>
      </c>
      <c r="J593">
        <v>11</v>
      </c>
      <c r="K593">
        <v>3</v>
      </c>
    </row>
    <row r="594" spans="1:11" x14ac:dyDescent="0.35">
      <c r="A594">
        <v>593</v>
      </c>
      <c r="B594">
        <v>23</v>
      </c>
      <c r="C594" t="s">
        <v>16</v>
      </c>
      <c r="D594" t="s">
        <v>33</v>
      </c>
      <c r="E594" t="s">
        <v>38</v>
      </c>
      <c r="F594">
        <v>188.15</v>
      </c>
      <c r="G594" t="s">
        <v>24</v>
      </c>
      <c r="H594" t="s">
        <v>15</v>
      </c>
      <c r="I594">
        <v>3.5</v>
      </c>
      <c r="J594">
        <v>4</v>
      </c>
      <c r="K594">
        <v>2</v>
      </c>
    </row>
    <row r="595" spans="1:11" x14ac:dyDescent="0.35">
      <c r="A595">
        <v>594</v>
      </c>
      <c r="B595">
        <v>27</v>
      </c>
      <c r="C595" t="s">
        <v>11</v>
      </c>
      <c r="D595" t="s">
        <v>12</v>
      </c>
      <c r="E595" t="s">
        <v>13</v>
      </c>
      <c r="F595">
        <v>31.87</v>
      </c>
      <c r="G595" t="s">
        <v>24</v>
      </c>
      <c r="H595" t="s">
        <v>37</v>
      </c>
      <c r="I595">
        <v>5</v>
      </c>
      <c r="J595">
        <v>22</v>
      </c>
      <c r="K595">
        <v>6</v>
      </c>
    </row>
    <row r="596" spans="1:11" x14ac:dyDescent="0.35">
      <c r="A596">
        <v>595</v>
      </c>
      <c r="B596">
        <v>24</v>
      </c>
      <c r="C596" t="s">
        <v>16</v>
      </c>
      <c r="D596" t="s">
        <v>17</v>
      </c>
      <c r="E596" t="s">
        <v>42</v>
      </c>
      <c r="F596">
        <v>128.63999999999999</v>
      </c>
      <c r="G596" t="s">
        <v>14</v>
      </c>
      <c r="H596" t="s">
        <v>15</v>
      </c>
      <c r="I596">
        <v>4.4000000000000004</v>
      </c>
      <c r="J596">
        <v>22</v>
      </c>
      <c r="K596">
        <v>6</v>
      </c>
    </row>
    <row r="597" spans="1:11" x14ac:dyDescent="0.35">
      <c r="A597">
        <v>596</v>
      </c>
      <c r="B597">
        <v>57</v>
      </c>
      <c r="C597" t="s">
        <v>11</v>
      </c>
      <c r="D597" t="s">
        <v>33</v>
      </c>
      <c r="E597" t="s">
        <v>40</v>
      </c>
      <c r="F597">
        <v>107.31</v>
      </c>
      <c r="G597" t="s">
        <v>24</v>
      </c>
      <c r="H597" t="s">
        <v>15</v>
      </c>
      <c r="I597">
        <v>3.6</v>
      </c>
      <c r="J597">
        <v>16</v>
      </c>
      <c r="K597">
        <v>8</v>
      </c>
    </row>
    <row r="598" spans="1:11" x14ac:dyDescent="0.35">
      <c r="A598">
        <v>597</v>
      </c>
      <c r="B598">
        <v>37</v>
      </c>
      <c r="C598" t="s">
        <v>11</v>
      </c>
      <c r="D598" t="s">
        <v>20</v>
      </c>
      <c r="E598" t="s">
        <v>21</v>
      </c>
      <c r="F598">
        <v>160.72</v>
      </c>
      <c r="G598" t="s">
        <v>19</v>
      </c>
      <c r="H598" t="s">
        <v>15</v>
      </c>
      <c r="I598">
        <v>3.8</v>
      </c>
      <c r="J598">
        <v>8</v>
      </c>
      <c r="K598">
        <v>4</v>
      </c>
    </row>
    <row r="599" spans="1:11" x14ac:dyDescent="0.35">
      <c r="A599">
        <v>598</v>
      </c>
      <c r="B599">
        <v>44</v>
      </c>
      <c r="C599" t="s">
        <v>16</v>
      </c>
      <c r="D599" t="s">
        <v>17</v>
      </c>
      <c r="E599" t="s">
        <v>48</v>
      </c>
      <c r="F599">
        <v>74.66</v>
      </c>
      <c r="G599" t="s">
        <v>14</v>
      </c>
      <c r="H599" t="s">
        <v>37</v>
      </c>
      <c r="I599">
        <v>3</v>
      </c>
      <c r="J599">
        <v>13</v>
      </c>
      <c r="K599">
        <v>4</v>
      </c>
    </row>
    <row r="600" spans="1:11" x14ac:dyDescent="0.35">
      <c r="A600">
        <v>599</v>
      </c>
      <c r="B600">
        <v>69</v>
      </c>
      <c r="C600" t="s">
        <v>16</v>
      </c>
      <c r="D600" t="s">
        <v>33</v>
      </c>
      <c r="E600" t="s">
        <v>40</v>
      </c>
      <c r="F600">
        <v>210.5</v>
      </c>
      <c r="G600" t="s">
        <v>24</v>
      </c>
      <c r="H600" t="s">
        <v>15</v>
      </c>
      <c r="I600">
        <v>3.8</v>
      </c>
      <c r="J600">
        <v>13</v>
      </c>
      <c r="K600">
        <v>4</v>
      </c>
    </row>
    <row r="601" spans="1:11" x14ac:dyDescent="0.35">
      <c r="A601">
        <v>600</v>
      </c>
      <c r="B601">
        <v>24</v>
      </c>
      <c r="C601" t="s">
        <v>16</v>
      </c>
      <c r="D601" t="s">
        <v>17</v>
      </c>
      <c r="E601" t="s">
        <v>18</v>
      </c>
      <c r="F601">
        <v>35.35</v>
      </c>
      <c r="G601" t="s">
        <v>24</v>
      </c>
      <c r="H601" t="s">
        <v>15</v>
      </c>
      <c r="I601">
        <v>3.6</v>
      </c>
      <c r="J601">
        <v>21</v>
      </c>
      <c r="K601">
        <v>8</v>
      </c>
    </row>
    <row r="602" spans="1:11" x14ac:dyDescent="0.35">
      <c r="A602">
        <v>601</v>
      </c>
      <c r="B602">
        <v>48</v>
      </c>
      <c r="C602" t="s">
        <v>16</v>
      </c>
      <c r="D602" t="s">
        <v>20</v>
      </c>
      <c r="E602" t="s">
        <v>39</v>
      </c>
      <c r="F602">
        <v>63.8</v>
      </c>
      <c r="G602" t="s">
        <v>24</v>
      </c>
      <c r="H602" t="s">
        <v>37</v>
      </c>
      <c r="I602">
        <v>4.2</v>
      </c>
      <c r="J602">
        <v>15</v>
      </c>
      <c r="K602">
        <v>5</v>
      </c>
    </row>
    <row r="603" spans="1:11" x14ac:dyDescent="0.35">
      <c r="A603">
        <v>602</v>
      </c>
      <c r="B603">
        <v>50</v>
      </c>
      <c r="C603" t="s">
        <v>16</v>
      </c>
      <c r="D603" t="s">
        <v>33</v>
      </c>
      <c r="E603" t="s">
        <v>38</v>
      </c>
      <c r="F603">
        <v>66.64</v>
      </c>
      <c r="G603" t="s">
        <v>31</v>
      </c>
      <c r="H603" t="s">
        <v>15</v>
      </c>
      <c r="I603">
        <v>5</v>
      </c>
      <c r="J603">
        <v>15</v>
      </c>
      <c r="K603">
        <v>5</v>
      </c>
    </row>
    <row r="604" spans="1:11" x14ac:dyDescent="0.35">
      <c r="A604">
        <v>603</v>
      </c>
      <c r="B604">
        <v>33</v>
      </c>
      <c r="C604" t="s">
        <v>11</v>
      </c>
      <c r="D604" t="s">
        <v>20</v>
      </c>
      <c r="E604" t="s">
        <v>39</v>
      </c>
      <c r="F604">
        <v>26.47</v>
      </c>
      <c r="G604" t="s">
        <v>19</v>
      </c>
      <c r="H604" t="s">
        <v>37</v>
      </c>
      <c r="I604">
        <v>2.7</v>
      </c>
      <c r="J604">
        <v>4</v>
      </c>
      <c r="K604">
        <v>2</v>
      </c>
    </row>
    <row r="605" spans="1:11" x14ac:dyDescent="0.35">
      <c r="A605">
        <v>604</v>
      </c>
      <c r="B605">
        <v>67</v>
      </c>
      <c r="C605" t="s">
        <v>16</v>
      </c>
      <c r="D605" t="s">
        <v>33</v>
      </c>
      <c r="E605" t="s">
        <v>34</v>
      </c>
      <c r="F605">
        <v>233.68</v>
      </c>
      <c r="G605" t="s">
        <v>14</v>
      </c>
      <c r="H605" t="s">
        <v>15</v>
      </c>
      <c r="I605">
        <v>3.3</v>
      </c>
      <c r="J605">
        <v>13</v>
      </c>
      <c r="K605">
        <v>4</v>
      </c>
    </row>
    <row r="606" spans="1:11" x14ac:dyDescent="0.35">
      <c r="A606">
        <v>605</v>
      </c>
      <c r="B606">
        <v>48</v>
      </c>
      <c r="C606" t="s">
        <v>11</v>
      </c>
      <c r="D606" t="s">
        <v>20</v>
      </c>
      <c r="E606" t="s">
        <v>39</v>
      </c>
      <c r="F606">
        <v>184.2</v>
      </c>
      <c r="G606" t="s">
        <v>19</v>
      </c>
      <c r="H606" t="s">
        <v>15</v>
      </c>
      <c r="I606">
        <v>4.3</v>
      </c>
      <c r="J606">
        <v>19</v>
      </c>
      <c r="K606">
        <v>7</v>
      </c>
    </row>
    <row r="607" spans="1:11" x14ac:dyDescent="0.35">
      <c r="A607">
        <v>606</v>
      </c>
      <c r="B607">
        <v>43</v>
      </c>
      <c r="C607" t="s">
        <v>11</v>
      </c>
      <c r="D607" t="s">
        <v>33</v>
      </c>
      <c r="E607" t="s">
        <v>34</v>
      </c>
      <c r="F607">
        <v>209.23</v>
      </c>
      <c r="G607" t="s">
        <v>24</v>
      </c>
      <c r="H607" t="s">
        <v>15</v>
      </c>
      <c r="I607">
        <v>3</v>
      </c>
      <c r="J607">
        <v>13</v>
      </c>
      <c r="K607">
        <v>4</v>
      </c>
    </row>
    <row r="608" spans="1:11" x14ac:dyDescent="0.35">
      <c r="A608">
        <v>607</v>
      </c>
      <c r="B608">
        <v>55</v>
      </c>
      <c r="C608" t="s">
        <v>16</v>
      </c>
      <c r="D608" t="s">
        <v>20</v>
      </c>
      <c r="E608" t="s">
        <v>21</v>
      </c>
      <c r="F608">
        <v>225.1</v>
      </c>
      <c r="G608" t="s">
        <v>24</v>
      </c>
      <c r="H608" t="s">
        <v>15</v>
      </c>
      <c r="I608">
        <v>4.8</v>
      </c>
      <c r="J608">
        <v>12</v>
      </c>
      <c r="K608">
        <v>6</v>
      </c>
    </row>
    <row r="609" spans="1:11" x14ac:dyDescent="0.35">
      <c r="A609">
        <v>608</v>
      </c>
      <c r="B609">
        <v>26</v>
      </c>
      <c r="C609" t="s">
        <v>16</v>
      </c>
      <c r="D609" t="s">
        <v>17</v>
      </c>
      <c r="E609" t="s">
        <v>48</v>
      </c>
      <c r="F609">
        <v>172.87</v>
      </c>
      <c r="G609" t="s">
        <v>31</v>
      </c>
      <c r="H609" t="s">
        <v>15</v>
      </c>
      <c r="I609">
        <v>3.3</v>
      </c>
      <c r="J609">
        <v>17</v>
      </c>
      <c r="K609">
        <v>6</v>
      </c>
    </row>
    <row r="610" spans="1:11" x14ac:dyDescent="0.35">
      <c r="A610">
        <v>609</v>
      </c>
      <c r="B610">
        <v>56</v>
      </c>
      <c r="C610" t="s">
        <v>16</v>
      </c>
      <c r="D610" t="s">
        <v>27</v>
      </c>
      <c r="E610" t="s">
        <v>49</v>
      </c>
      <c r="F610">
        <v>2831.6</v>
      </c>
      <c r="G610" t="s">
        <v>14</v>
      </c>
      <c r="H610" t="s">
        <v>15</v>
      </c>
      <c r="I610">
        <v>4.7</v>
      </c>
      <c r="J610">
        <v>15</v>
      </c>
      <c r="K610">
        <v>5</v>
      </c>
    </row>
    <row r="611" spans="1:11" x14ac:dyDescent="0.35">
      <c r="A611">
        <v>610</v>
      </c>
      <c r="B611">
        <v>52</v>
      </c>
      <c r="C611" t="s">
        <v>11</v>
      </c>
      <c r="D611" t="s">
        <v>12</v>
      </c>
      <c r="E611" t="s">
        <v>13</v>
      </c>
      <c r="F611">
        <v>20.11</v>
      </c>
      <c r="G611" t="s">
        <v>19</v>
      </c>
      <c r="H611" t="s">
        <v>15</v>
      </c>
      <c r="I611">
        <v>5</v>
      </c>
      <c r="J611">
        <v>8</v>
      </c>
      <c r="K611">
        <v>4</v>
      </c>
    </row>
    <row r="612" spans="1:11" x14ac:dyDescent="0.35">
      <c r="A612">
        <v>611</v>
      </c>
      <c r="B612">
        <v>32</v>
      </c>
      <c r="C612" t="s">
        <v>16</v>
      </c>
      <c r="D612" t="s">
        <v>25</v>
      </c>
      <c r="E612" t="s">
        <v>26</v>
      </c>
      <c r="F612">
        <v>58.96</v>
      </c>
      <c r="G612" t="s">
        <v>24</v>
      </c>
      <c r="H612" t="s">
        <v>37</v>
      </c>
      <c r="I612">
        <v>4.8</v>
      </c>
      <c r="J612">
        <v>4</v>
      </c>
      <c r="K612">
        <v>2</v>
      </c>
    </row>
    <row r="613" spans="1:11" x14ac:dyDescent="0.35">
      <c r="A613">
        <v>612</v>
      </c>
      <c r="B613">
        <v>44</v>
      </c>
      <c r="C613" t="s">
        <v>11</v>
      </c>
      <c r="D613" t="s">
        <v>12</v>
      </c>
      <c r="E613" t="s">
        <v>56</v>
      </c>
      <c r="F613">
        <v>170.49</v>
      </c>
      <c r="G613" t="s">
        <v>14</v>
      </c>
      <c r="H613" t="s">
        <v>15</v>
      </c>
      <c r="I613">
        <v>2.9</v>
      </c>
      <c r="J613">
        <v>18</v>
      </c>
      <c r="K613">
        <v>9</v>
      </c>
    </row>
    <row r="614" spans="1:11" x14ac:dyDescent="0.35">
      <c r="A614">
        <v>613</v>
      </c>
      <c r="B614">
        <v>44</v>
      </c>
      <c r="C614" t="s">
        <v>11</v>
      </c>
      <c r="D614" t="s">
        <v>41</v>
      </c>
      <c r="E614" t="s">
        <v>44</v>
      </c>
      <c r="F614">
        <v>65.05</v>
      </c>
      <c r="G614" t="s">
        <v>31</v>
      </c>
      <c r="H614" t="s">
        <v>37</v>
      </c>
      <c r="I614">
        <v>3.4</v>
      </c>
      <c r="J614">
        <v>19</v>
      </c>
      <c r="K614">
        <v>7</v>
      </c>
    </row>
    <row r="615" spans="1:11" x14ac:dyDescent="0.35">
      <c r="A615">
        <v>614</v>
      </c>
      <c r="B615">
        <v>32</v>
      </c>
      <c r="C615" t="s">
        <v>11</v>
      </c>
      <c r="D615" t="s">
        <v>41</v>
      </c>
      <c r="E615" t="s">
        <v>42</v>
      </c>
      <c r="F615">
        <v>35.659999999999997</v>
      </c>
      <c r="G615" t="s">
        <v>31</v>
      </c>
      <c r="H615" t="s">
        <v>37</v>
      </c>
      <c r="I615">
        <v>4.0999999999999996</v>
      </c>
      <c r="J615">
        <v>17</v>
      </c>
      <c r="K615">
        <v>6</v>
      </c>
    </row>
    <row r="616" spans="1:11" x14ac:dyDescent="0.35">
      <c r="A616">
        <v>615</v>
      </c>
      <c r="B616">
        <v>32</v>
      </c>
      <c r="C616" t="s">
        <v>11</v>
      </c>
      <c r="D616" t="s">
        <v>20</v>
      </c>
      <c r="E616" t="s">
        <v>39</v>
      </c>
      <c r="F616">
        <v>37.450000000000003</v>
      </c>
      <c r="G616" t="s">
        <v>24</v>
      </c>
      <c r="H616" t="s">
        <v>15</v>
      </c>
      <c r="I616">
        <v>3.2</v>
      </c>
      <c r="J616">
        <v>2</v>
      </c>
      <c r="K616">
        <v>1</v>
      </c>
    </row>
    <row r="617" spans="1:11" x14ac:dyDescent="0.35">
      <c r="A617">
        <v>616</v>
      </c>
      <c r="B617">
        <v>26</v>
      </c>
      <c r="C617" t="s">
        <v>11</v>
      </c>
      <c r="D617" t="s">
        <v>12</v>
      </c>
      <c r="E617" t="s">
        <v>50</v>
      </c>
      <c r="F617">
        <v>170.43</v>
      </c>
      <c r="G617" t="s">
        <v>19</v>
      </c>
      <c r="H617" t="s">
        <v>15</v>
      </c>
      <c r="I617">
        <v>3.1</v>
      </c>
      <c r="J617">
        <v>17</v>
      </c>
      <c r="K617">
        <v>6</v>
      </c>
    </row>
    <row r="618" spans="1:11" x14ac:dyDescent="0.35">
      <c r="A618">
        <v>617</v>
      </c>
      <c r="B618">
        <v>30</v>
      </c>
      <c r="C618" t="s">
        <v>11</v>
      </c>
      <c r="D618" t="s">
        <v>33</v>
      </c>
      <c r="E618" t="s">
        <v>38</v>
      </c>
      <c r="F618">
        <v>61.98</v>
      </c>
      <c r="G618" t="s">
        <v>19</v>
      </c>
      <c r="H618" t="s">
        <v>15</v>
      </c>
      <c r="I618">
        <v>3.5</v>
      </c>
      <c r="J618">
        <v>10</v>
      </c>
      <c r="K618">
        <v>5</v>
      </c>
    </row>
    <row r="619" spans="1:11" x14ac:dyDescent="0.35">
      <c r="A619">
        <v>618</v>
      </c>
      <c r="B619">
        <v>54</v>
      </c>
      <c r="C619" t="s">
        <v>11</v>
      </c>
      <c r="D619" t="s">
        <v>41</v>
      </c>
      <c r="E619" t="s">
        <v>46</v>
      </c>
      <c r="F619">
        <v>97.85</v>
      </c>
      <c r="G619" t="s">
        <v>14</v>
      </c>
      <c r="H619" t="s">
        <v>37</v>
      </c>
      <c r="I619">
        <v>3.6</v>
      </c>
      <c r="J619">
        <v>12</v>
      </c>
      <c r="K619">
        <v>6</v>
      </c>
    </row>
    <row r="620" spans="1:11" x14ac:dyDescent="0.35">
      <c r="A620">
        <v>619</v>
      </c>
      <c r="B620">
        <v>44</v>
      </c>
      <c r="C620" t="s">
        <v>16</v>
      </c>
      <c r="D620" t="s">
        <v>33</v>
      </c>
      <c r="E620" t="s">
        <v>38</v>
      </c>
      <c r="F620">
        <v>180.53</v>
      </c>
      <c r="G620" t="s">
        <v>14</v>
      </c>
      <c r="H620" t="s">
        <v>15</v>
      </c>
      <c r="I620">
        <v>3.4</v>
      </c>
      <c r="J620">
        <v>26</v>
      </c>
      <c r="K620">
        <v>8</v>
      </c>
    </row>
    <row r="621" spans="1:11" x14ac:dyDescent="0.35">
      <c r="A621">
        <v>620</v>
      </c>
      <c r="B621">
        <v>70</v>
      </c>
      <c r="C621" t="s">
        <v>16</v>
      </c>
      <c r="D621" t="s">
        <v>27</v>
      </c>
      <c r="E621" t="s">
        <v>28</v>
      </c>
      <c r="F621">
        <v>2658.73</v>
      </c>
      <c r="G621" t="s">
        <v>31</v>
      </c>
      <c r="H621" t="s">
        <v>15</v>
      </c>
      <c r="I621">
        <v>4.3</v>
      </c>
      <c r="J621">
        <v>22</v>
      </c>
      <c r="K621">
        <v>6</v>
      </c>
    </row>
    <row r="622" spans="1:11" x14ac:dyDescent="0.35">
      <c r="A622">
        <v>621</v>
      </c>
      <c r="B622">
        <v>32</v>
      </c>
      <c r="C622" t="s">
        <v>16</v>
      </c>
      <c r="D622" t="s">
        <v>33</v>
      </c>
      <c r="E622" t="s">
        <v>38</v>
      </c>
      <c r="F622">
        <v>158.28</v>
      </c>
      <c r="G622" t="s">
        <v>14</v>
      </c>
      <c r="H622" t="s">
        <v>15</v>
      </c>
      <c r="I622">
        <v>4.0999999999999996</v>
      </c>
      <c r="J622">
        <v>26</v>
      </c>
      <c r="K622">
        <v>8</v>
      </c>
    </row>
    <row r="623" spans="1:11" x14ac:dyDescent="0.35">
      <c r="A623">
        <v>622</v>
      </c>
      <c r="B623">
        <v>57</v>
      </c>
      <c r="C623" t="s">
        <v>16</v>
      </c>
      <c r="D623" t="s">
        <v>20</v>
      </c>
      <c r="E623" t="s">
        <v>36</v>
      </c>
      <c r="F623">
        <v>222.98</v>
      </c>
      <c r="G623" t="s">
        <v>24</v>
      </c>
      <c r="H623" t="s">
        <v>15</v>
      </c>
      <c r="I623">
        <v>3.5</v>
      </c>
      <c r="J623">
        <v>24</v>
      </c>
      <c r="K623">
        <v>7</v>
      </c>
    </row>
    <row r="624" spans="1:11" x14ac:dyDescent="0.35">
      <c r="A624">
        <v>623</v>
      </c>
      <c r="B624">
        <v>49</v>
      </c>
      <c r="C624" t="s">
        <v>16</v>
      </c>
      <c r="D624" t="s">
        <v>17</v>
      </c>
      <c r="E624" t="s">
        <v>18</v>
      </c>
      <c r="F624">
        <v>197.05</v>
      </c>
      <c r="G624" t="s">
        <v>24</v>
      </c>
      <c r="H624" t="s">
        <v>15</v>
      </c>
      <c r="I624">
        <v>4.4000000000000004</v>
      </c>
      <c r="J624">
        <v>17</v>
      </c>
      <c r="K624">
        <v>6</v>
      </c>
    </row>
    <row r="625" spans="1:11" x14ac:dyDescent="0.35">
      <c r="A625">
        <v>624</v>
      </c>
      <c r="B625">
        <v>48</v>
      </c>
      <c r="C625" t="s">
        <v>16</v>
      </c>
      <c r="D625" t="s">
        <v>20</v>
      </c>
      <c r="E625" t="s">
        <v>36</v>
      </c>
      <c r="F625">
        <v>97.69</v>
      </c>
      <c r="G625" t="s">
        <v>31</v>
      </c>
      <c r="H625" t="s">
        <v>37</v>
      </c>
      <c r="I625">
        <v>3.4</v>
      </c>
      <c r="J625">
        <v>19</v>
      </c>
      <c r="K625">
        <v>7</v>
      </c>
    </row>
    <row r="626" spans="1:11" x14ac:dyDescent="0.35">
      <c r="A626">
        <v>625</v>
      </c>
      <c r="B626">
        <v>35</v>
      </c>
      <c r="C626" t="s">
        <v>16</v>
      </c>
      <c r="D626" t="s">
        <v>27</v>
      </c>
      <c r="E626" t="s">
        <v>28</v>
      </c>
      <c r="F626">
        <v>761.2</v>
      </c>
      <c r="G626" t="s">
        <v>31</v>
      </c>
      <c r="H626" t="s">
        <v>15</v>
      </c>
      <c r="I626">
        <v>5</v>
      </c>
      <c r="J626">
        <v>24</v>
      </c>
      <c r="K626">
        <v>7</v>
      </c>
    </row>
    <row r="627" spans="1:11" x14ac:dyDescent="0.35">
      <c r="A627">
        <v>626</v>
      </c>
      <c r="B627">
        <v>63</v>
      </c>
      <c r="C627" t="s">
        <v>11</v>
      </c>
      <c r="D627" t="s">
        <v>33</v>
      </c>
      <c r="E627" t="s">
        <v>34</v>
      </c>
      <c r="F627">
        <v>208.69</v>
      </c>
      <c r="G627" t="s">
        <v>24</v>
      </c>
      <c r="H627" t="s">
        <v>15</v>
      </c>
      <c r="I627">
        <v>3.2</v>
      </c>
      <c r="J627">
        <v>13</v>
      </c>
      <c r="K627">
        <v>4</v>
      </c>
    </row>
    <row r="628" spans="1:11" x14ac:dyDescent="0.35">
      <c r="A628">
        <v>627</v>
      </c>
      <c r="B628">
        <v>60</v>
      </c>
      <c r="C628" t="s">
        <v>11</v>
      </c>
      <c r="D628" t="s">
        <v>41</v>
      </c>
      <c r="E628" t="s">
        <v>46</v>
      </c>
      <c r="F628">
        <v>31.81</v>
      </c>
      <c r="G628" t="s">
        <v>19</v>
      </c>
      <c r="H628" t="s">
        <v>15</v>
      </c>
      <c r="I628">
        <v>3.5</v>
      </c>
      <c r="J628">
        <v>12</v>
      </c>
      <c r="K628">
        <v>6</v>
      </c>
    </row>
    <row r="629" spans="1:11" x14ac:dyDescent="0.35">
      <c r="A629">
        <v>628</v>
      </c>
      <c r="B629">
        <v>29</v>
      </c>
      <c r="C629" t="s">
        <v>16</v>
      </c>
      <c r="D629" t="s">
        <v>27</v>
      </c>
      <c r="E629" t="s">
        <v>49</v>
      </c>
      <c r="F629">
        <v>1170.69</v>
      </c>
      <c r="G629" t="s">
        <v>31</v>
      </c>
      <c r="H629" t="s">
        <v>15</v>
      </c>
      <c r="I629">
        <v>3.5</v>
      </c>
      <c r="J629">
        <v>16</v>
      </c>
      <c r="K629">
        <v>3</v>
      </c>
    </row>
    <row r="630" spans="1:11" x14ac:dyDescent="0.35">
      <c r="A630">
        <v>629</v>
      </c>
      <c r="B630">
        <v>54</v>
      </c>
      <c r="C630" t="s">
        <v>16</v>
      </c>
      <c r="D630" t="s">
        <v>33</v>
      </c>
      <c r="E630" t="s">
        <v>34</v>
      </c>
      <c r="F630">
        <v>66.739999999999995</v>
      </c>
      <c r="G630" t="s">
        <v>14</v>
      </c>
      <c r="H630" t="s">
        <v>37</v>
      </c>
      <c r="I630">
        <v>4.3</v>
      </c>
      <c r="J630">
        <v>12</v>
      </c>
      <c r="K630">
        <v>6</v>
      </c>
    </row>
    <row r="631" spans="1:11" x14ac:dyDescent="0.35">
      <c r="A631">
        <v>630</v>
      </c>
      <c r="B631">
        <v>23</v>
      </c>
      <c r="C631" t="s">
        <v>11</v>
      </c>
      <c r="D631" t="s">
        <v>29</v>
      </c>
      <c r="E631" t="s">
        <v>55</v>
      </c>
      <c r="F631">
        <v>39.909999999999997</v>
      </c>
      <c r="G631" t="s">
        <v>19</v>
      </c>
      <c r="H631" t="s">
        <v>37</v>
      </c>
      <c r="I631">
        <v>3.3</v>
      </c>
      <c r="J631">
        <v>2</v>
      </c>
      <c r="K631">
        <v>1</v>
      </c>
    </row>
    <row r="632" spans="1:11" x14ac:dyDescent="0.35">
      <c r="A632">
        <v>631</v>
      </c>
      <c r="B632">
        <v>42</v>
      </c>
      <c r="C632" t="s">
        <v>11</v>
      </c>
      <c r="D632" t="s">
        <v>25</v>
      </c>
      <c r="E632" t="s">
        <v>54</v>
      </c>
      <c r="F632">
        <v>10.19</v>
      </c>
      <c r="G632" t="s">
        <v>14</v>
      </c>
      <c r="H632" t="s">
        <v>37</v>
      </c>
      <c r="I632">
        <v>4.0999999999999996</v>
      </c>
      <c r="J632">
        <v>14</v>
      </c>
      <c r="K632">
        <v>7</v>
      </c>
    </row>
    <row r="633" spans="1:11" x14ac:dyDescent="0.35">
      <c r="A633">
        <v>632</v>
      </c>
      <c r="B633">
        <v>70</v>
      </c>
      <c r="C633" t="s">
        <v>16</v>
      </c>
      <c r="D633" t="s">
        <v>17</v>
      </c>
      <c r="E633" t="s">
        <v>42</v>
      </c>
      <c r="F633">
        <v>69.05</v>
      </c>
      <c r="G633" t="s">
        <v>14</v>
      </c>
      <c r="H633" t="s">
        <v>15</v>
      </c>
      <c r="I633">
        <v>3.9</v>
      </c>
      <c r="J633">
        <v>8</v>
      </c>
      <c r="K633">
        <v>4</v>
      </c>
    </row>
    <row r="634" spans="1:11" x14ac:dyDescent="0.35">
      <c r="A634">
        <v>633</v>
      </c>
      <c r="B634">
        <v>29</v>
      </c>
      <c r="C634" t="s">
        <v>16</v>
      </c>
      <c r="D634" t="s">
        <v>33</v>
      </c>
      <c r="E634" t="s">
        <v>40</v>
      </c>
      <c r="F634">
        <v>91.99</v>
      </c>
      <c r="G634" t="s">
        <v>24</v>
      </c>
      <c r="H634" t="s">
        <v>15</v>
      </c>
      <c r="I634">
        <v>2.9</v>
      </c>
      <c r="J634">
        <v>25</v>
      </c>
      <c r="K634">
        <v>10</v>
      </c>
    </row>
    <row r="635" spans="1:11" x14ac:dyDescent="0.35">
      <c r="A635">
        <v>634</v>
      </c>
      <c r="B635">
        <v>38</v>
      </c>
      <c r="C635" t="s">
        <v>11</v>
      </c>
      <c r="D635" t="s">
        <v>33</v>
      </c>
      <c r="E635" t="s">
        <v>34</v>
      </c>
      <c r="F635">
        <v>247.76</v>
      </c>
      <c r="G635" t="s">
        <v>24</v>
      </c>
      <c r="H635" t="s">
        <v>15</v>
      </c>
      <c r="I635">
        <v>3.3</v>
      </c>
      <c r="J635">
        <v>11</v>
      </c>
      <c r="K635">
        <v>3</v>
      </c>
    </row>
    <row r="636" spans="1:11" x14ac:dyDescent="0.35">
      <c r="A636">
        <v>635</v>
      </c>
      <c r="B636">
        <v>45</v>
      </c>
      <c r="C636" t="s">
        <v>16</v>
      </c>
      <c r="D636" t="s">
        <v>33</v>
      </c>
      <c r="E636" t="s">
        <v>34</v>
      </c>
      <c r="F636">
        <v>203.46</v>
      </c>
      <c r="G636" t="s">
        <v>14</v>
      </c>
      <c r="H636" t="s">
        <v>15</v>
      </c>
      <c r="I636">
        <v>3.1</v>
      </c>
      <c r="J636">
        <v>10</v>
      </c>
      <c r="K636">
        <v>5</v>
      </c>
    </row>
    <row r="637" spans="1:11" x14ac:dyDescent="0.35">
      <c r="A637">
        <v>636</v>
      </c>
      <c r="B637">
        <v>61</v>
      </c>
      <c r="C637" t="s">
        <v>16</v>
      </c>
      <c r="D637" t="s">
        <v>33</v>
      </c>
      <c r="E637" t="s">
        <v>34</v>
      </c>
      <c r="F637">
        <v>118.53</v>
      </c>
      <c r="G637" t="s">
        <v>31</v>
      </c>
      <c r="H637" t="s">
        <v>15</v>
      </c>
      <c r="I637">
        <v>4.9000000000000004</v>
      </c>
      <c r="J637">
        <v>14</v>
      </c>
      <c r="K637">
        <v>2</v>
      </c>
    </row>
    <row r="638" spans="1:11" x14ac:dyDescent="0.35">
      <c r="A638">
        <v>637</v>
      </c>
      <c r="B638">
        <v>66</v>
      </c>
      <c r="C638" t="s">
        <v>16</v>
      </c>
      <c r="D638" t="s">
        <v>17</v>
      </c>
      <c r="E638" t="s">
        <v>18</v>
      </c>
      <c r="F638">
        <v>63.45</v>
      </c>
      <c r="G638" t="s">
        <v>24</v>
      </c>
      <c r="H638" t="s">
        <v>15</v>
      </c>
      <c r="I638">
        <v>3.6</v>
      </c>
      <c r="J638">
        <v>15</v>
      </c>
      <c r="K638">
        <v>5</v>
      </c>
    </row>
    <row r="639" spans="1:11" x14ac:dyDescent="0.35">
      <c r="A639">
        <v>638</v>
      </c>
      <c r="B639">
        <v>66</v>
      </c>
      <c r="C639" t="s">
        <v>11</v>
      </c>
      <c r="D639" t="s">
        <v>12</v>
      </c>
      <c r="E639" t="s">
        <v>50</v>
      </c>
      <c r="F639">
        <v>129.69</v>
      </c>
      <c r="G639" t="s">
        <v>24</v>
      </c>
      <c r="H639" t="s">
        <v>15</v>
      </c>
      <c r="I639">
        <v>3.1</v>
      </c>
      <c r="J639">
        <v>17</v>
      </c>
      <c r="K639">
        <v>6</v>
      </c>
    </row>
    <row r="640" spans="1:11" x14ac:dyDescent="0.35">
      <c r="A640">
        <v>639</v>
      </c>
      <c r="B640">
        <v>27</v>
      </c>
      <c r="C640" t="s">
        <v>16</v>
      </c>
      <c r="D640" t="s">
        <v>27</v>
      </c>
      <c r="E640" t="s">
        <v>32</v>
      </c>
      <c r="F640">
        <v>736.92</v>
      </c>
      <c r="G640" t="s">
        <v>14</v>
      </c>
      <c r="H640" t="s">
        <v>15</v>
      </c>
      <c r="I640">
        <v>3.3</v>
      </c>
      <c r="J640">
        <v>12</v>
      </c>
      <c r="K640">
        <v>1</v>
      </c>
    </row>
    <row r="641" spans="1:11" x14ac:dyDescent="0.35">
      <c r="A641">
        <v>640</v>
      </c>
      <c r="B641">
        <v>52</v>
      </c>
      <c r="C641" t="s">
        <v>11</v>
      </c>
      <c r="D641" t="s">
        <v>29</v>
      </c>
      <c r="E641" t="s">
        <v>55</v>
      </c>
      <c r="F641">
        <v>87.62</v>
      </c>
      <c r="G641" t="s">
        <v>14</v>
      </c>
      <c r="H641" t="s">
        <v>15</v>
      </c>
      <c r="I641">
        <v>2.9</v>
      </c>
      <c r="J641">
        <v>10</v>
      </c>
      <c r="K641">
        <v>5</v>
      </c>
    </row>
    <row r="642" spans="1:11" x14ac:dyDescent="0.35">
      <c r="A642">
        <v>641</v>
      </c>
      <c r="B642">
        <v>43</v>
      </c>
      <c r="C642" t="s">
        <v>11</v>
      </c>
      <c r="D642" t="s">
        <v>22</v>
      </c>
      <c r="E642" t="s">
        <v>52</v>
      </c>
      <c r="F642">
        <v>140</v>
      </c>
      <c r="G642" t="s">
        <v>31</v>
      </c>
      <c r="H642" t="s">
        <v>15</v>
      </c>
      <c r="I642">
        <v>3.9</v>
      </c>
      <c r="J642">
        <v>15</v>
      </c>
      <c r="K642">
        <v>5</v>
      </c>
    </row>
    <row r="643" spans="1:11" x14ac:dyDescent="0.35">
      <c r="A643">
        <v>642</v>
      </c>
      <c r="B643">
        <v>35</v>
      </c>
      <c r="C643" t="s">
        <v>16</v>
      </c>
      <c r="D643" t="s">
        <v>20</v>
      </c>
      <c r="E643" t="s">
        <v>21</v>
      </c>
      <c r="F643">
        <v>107.57</v>
      </c>
      <c r="G643" t="s">
        <v>31</v>
      </c>
      <c r="H643" t="s">
        <v>15</v>
      </c>
      <c r="I643">
        <v>3.9</v>
      </c>
      <c r="J643">
        <v>12</v>
      </c>
      <c r="K643">
        <v>6</v>
      </c>
    </row>
    <row r="644" spans="1:11" x14ac:dyDescent="0.35">
      <c r="A644">
        <v>643</v>
      </c>
      <c r="B644">
        <v>34</v>
      </c>
      <c r="C644" t="s">
        <v>16</v>
      </c>
      <c r="D644" t="s">
        <v>25</v>
      </c>
      <c r="E644" t="s">
        <v>54</v>
      </c>
      <c r="F644">
        <v>78.16</v>
      </c>
      <c r="G644" t="s">
        <v>19</v>
      </c>
      <c r="H644" t="s">
        <v>37</v>
      </c>
      <c r="I644">
        <v>2.2000000000000002</v>
      </c>
      <c r="J644">
        <v>4</v>
      </c>
      <c r="K644">
        <v>2</v>
      </c>
    </row>
    <row r="645" spans="1:11" x14ac:dyDescent="0.35">
      <c r="A645">
        <v>644</v>
      </c>
      <c r="B645">
        <v>51</v>
      </c>
      <c r="C645" t="s">
        <v>11</v>
      </c>
      <c r="D645" t="s">
        <v>41</v>
      </c>
      <c r="E645" t="s">
        <v>46</v>
      </c>
      <c r="F645">
        <v>47.3</v>
      </c>
      <c r="G645" t="s">
        <v>14</v>
      </c>
      <c r="H645" t="s">
        <v>37</v>
      </c>
      <c r="I645">
        <v>3.9</v>
      </c>
      <c r="J645">
        <v>7</v>
      </c>
      <c r="K645">
        <v>1</v>
      </c>
    </row>
    <row r="646" spans="1:11" x14ac:dyDescent="0.35">
      <c r="A646">
        <v>645</v>
      </c>
      <c r="B646">
        <v>43</v>
      </c>
      <c r="C646" t="s">
        <v>11</v>
      </c>
      <c r="D646" t="s">
        <v>41</v>
      </c>
      <c r="E646" t="s">
        <v>44</v>
      </c>
      <c r="F646">
        <v>143.80000000000001</v>
      </c>
      <c r="G646" t="s">
        <v>14</v>
      </c>
      <c r="H646" t="s">
        <v>15</v>
      </c>
      <c r="I646">
        <v>3.6</v>
      </c>
      <c r="J646">
        <v>12</v>
      </c>
      <c r="K646">
        <v>6</v>
      </c>
    </row>
    <row r="647" spans="1:11" x14ac:dyDescent="0.35">
      <c r="A647">
        <v>646</v>
      </c>
      <c r="B647">
        <v>50</v>
      </c>
      <c r="C647" t="s">
        <v>16</v>
      </c>
      <c r="D647" t="s">
        <v>20</v>
      </c>
      <c r="E647" t="s">
        <v>39</v>
      </c>
      <c r="F647">
        <v>208.8</v>
      </c>
      <c r="G647" t="s">
        <v>31</v>
      </c>
      <c r="H647" t="s">
        <v>15</v>
      </c>
      <c r="I647">
        <v>3.4</v>
      </c>
      <c r="J647">
        <v>4</v>
      </c>
      <c r="K647">
        <v>2</v>
      </c>
    </row>
    <row r="648" spans="1:11" x14ac:dyDescent="0.35">
      <c r="A648">
        <v>647</v>
      </c>
      <c r="B648">
        <v>33</v>
      </c>
      <c r="C648" t="s">
        <v>16</v>
      </c>
      <c r="D648" t="s">
        <v>22</v>
      </c>
      <c r="E648" t="s">
        <v>43</v>
      </c>
      <c r="F648">
        <v>170.58</v>
      </c>
      <c r="G648" t="s">
        <v>31</v>
      </c>
      <c r="H648" t="s">
        <v>15</v>
      </c>
      <c r="I648">
        <v>4.2</v>
      </c>
      <c r="J648">
        <v>8</v>
      </c>
      <c r="K648">
        <v>4</v>
      </c>
    </row>
    <row r="649" spans="1:11" x14ac:dyDescent="0.35">
      <c r="A649">
        <v>648</v>
      </c>
      <c r="B649">
        <v>30</v>
      </c>
      <c r="C649" t="s">
        <v>16</v>
      </c>
      <c r="D649" t="s">
        <v>17</v>
      </c>
      <c r="E649" t="s">
        <v>42</v>
      </c>
      <c r="F649">
        <v>42.67</v>
      </c>
      <c r="G649" t="s">
        <v>14</v>
      </c>
      <c r="H649" t="s">
        <v>37</v>
      </c>
      <c r="I649">
        <v>4.0999999999999996</v>
      </c>
      <c r="J649">
        <v>8</v>
      </c>
      <c r="K649">
        <v>4</v>
      </c>
    </row>
    <row r="650" spans="1:11" x14ac:dyDescent="0.35">
      <c r="A650">
        <v>649</v>
      </c>
      <c r="B650">
        <v>54</v>
      </c>
      <c r="C650" t="s">
        <v>16</v>
      </c>
      <c r="D650" t="s">
        <v>17</v>
      </c>
      <c r="E650" t="s">
        <v>42</v>
      </c>
      <c r="F650">
        <v>170.85</v>
      </c>
      <c r="G650" t="s">
        <v>31</v>
      </c>
      <c r="H650" t="s">
        <v>15</v>
      </c>
      <c r="I650">
        <v>3.4</v>
      </c>
      <c r="J650">
        <v>13</v>
      </c>
      <c r="K650">
        <v>4</v>
      </c>
    </row>
    <row r="651" spans="1:11" x14ac:dyDescent="0.35">
      <c r="A651">
        <v>650</v>
      </c>
      <c r="B651">
        <v>70</v>
      </c>
      <c r="C651" t="s">
        <v>16</v>
      </c>
      <c r="D651" t="s">
        <v>33</v>
      </c>
      <c r="E651" t="s">
        <v>34</v>
      </c>
      <c r="F651">
        <v>174.39</v>
      </c>
      <c r="G651" t="s">
        <v>31</v>
      </c>
      <c r="H651" t="s">
        <v>15</v>
      </c>
      <c r="I651">
        <v>3.2</v>
      </c>
      <c r="J651">
        <v>20</v>
      </c>
      <c r="K651">
        <v>5</v>
      </c>
    </row>
    <row r="652" spans="1:11" x14ac:dyDescent="0.35">
      <c r="A652">
        <v>651</v>
      </c>
      <c r="B652">
        <v>58</v>
      </c>
      <c r="C652" t="s">
        <v>16</v>
      </c>
      <c r="D652" t="s">
        <v>20</v>
      </c>
      <c r="E652" t="s">
        <v>21</v>
      </c>
      <c r="F652">
        <v>124.28</v>
      </c>
      <c r="G652" t="s">
        <v>19</v>
      </c>
      <c r="H652" t="s">
        <v>15</v>
      </c>
      <c r="I652">
        <v>3.1</v>
      </c>
      <c r="J652">
        <v>16</v>
      </c>
      <c r="K652">
        <v>3</v>
      </c>
    </row>
    <row r="653" spans="1:11" x14ac:dyDescent="0.35">
      <c r="A653">
        <v>652</v>
      </c>
      <c r="B653">
        <v>69</v>
      </c>
      <c r="C653" t="s">
        <v>16</v>
      </c>
      <c r="D653" t="s">
        <v>20</v>
      </c>
      <c r="E653" t="s">
        <v>39</v>
      </c>
      <c r="F653">
        <v>100.45</v>
      </c>
      <c r="G653" t="s">
        <v>24</v>
      </c>
      <c r="H653" t="s">
        <v>15</v>
      </c>
      <c r="I653">
        <v>3.6</v>
      </c>
      <c r="J653">
        <v>13</v>
      </c>
      <c r="K653">
        <v>4</v>
      </c>
    </row>
    <row r="654" spans="1:11" x14ac:dyDescent="0.35">
      <c r="A654">
        <v>653</v>
      </c>
      <c r="B654">
        <v>52</v>
      </c>
      <c r="C654" t="s">
        <v>16</v>
      </c>
      <c r="D654" t="s">
        <v>22</v>
      </c>
      <c r="E654" t="s">
        <v>52</v>
      </c>
      <c r="F654">
        <v>56.48</v>
      </c>
      <c r="G654" t="s">
        <v>19</v>
      </c>
      <c r="H654" t="s">
        <v>37</v>
      </c>
      <c r="I654">
        <v>5</v>
      </c>
      <c r="J654">
        <v>29</v>
      </c>
      <c r="K654">
        <v>12</v>
      </c>
    </row>
    <row r="655" spans="1:11" x14ac:dyDescent="0.35">
      <c r="A655">
        <v>654</v>
      </c>
      <c r="B655">
        <v>60</v>
      </c>
      <c r="C655" t="s">
        <v>11</v>
      </c>
      <c r="D655" t="s">
        <v>12</v>
      </c>
      <c r="E655" t="s">
        <v>56</v>
      </c>
      <c r="F655">
        <v>30.06</v>
      </c>
      <c r="G655" t="s">
        <v>14</v>
      </c>
      <c r="H655" t="s">
        <v>15</v>
      </c>
      <c r="I655">
        <v>4.5999999999999996</v>
      </c>
      <c r="J655">
        <v>22</v>
      </c>
      <c r="K655">
        <v>6</v>
      </c>
    </row>
    <row r="656" spans="1:11" x14ac:dyDescent="0.35">
      <c r="A656">
        <v>655</v>
      </c>
      <c r="B656">
        <v>70</v>
      </c>
      <c r="C656" t="s">
        <v>11</v>
      </c>
      <c r="D656" t="s">
        <v>33</v>
      </c>
      <c r="E656" t="s">
        <v>38</v>
      </c>
      <c r="F656">
        <v>54</v>
      </c>
      <c r="G656" t="s">
        <v>14</v>
      </c>
      <c r="H656" t="s">
        <v>15</v>
      </c>
      <c r="I656">
        <v>2.8</v>
      </c>
      <c r="J656">
        <v>30</v>
      </c>
      <c r="K656">
        <v>10</v>
      </c>
    </row>
    <row r="657" spans="1:11" x14ac:dyDescent="0.35">
      <c r="A657">
        <v>656</v>
      </c>
      <c r="B657">
        <v>67</v>
      </c>
      <c r="C657" t="s">
        <v>16</v>
      </c>
      <c r="D657" t="s">
        <v>17</v>
      </c>
      <c r="E657" t="s">
        <v>42</v>
      </c>
      <c r="F657">
        <v>174.5</v>
      </c>
      <c r="G657" t="s">
        <v>31</v>
      </c>
      <c r="H657" t="s">
        <v>15</v>
      </c>
      <c r="I657">
        <v>4.5</v>
      </c>
      <c r="J657">
        <v>15</v>
      </c>
      <c r="K657">
        <v>5</v>
      </c>
    </row>
    <row r="658" spans="1:11" x14ac:dyDescent="0.35">
      <c r="A658">
        <v>657</v>
      </c>
      <c r="B658">
        <v>20</v>
      </c>
      <c r="C658" t="s">
        <v>11</v>
      </c>
      <c r="D658" t="s">
        <v>12</v>
      </c>
      <c r="E658" t="s">
        <v>50</v>
      </c>
      <c r="F658">
        <v>92.35</v>
      </c>
      <c r="G658" t="s">
        <v>14</v>
      </c>
      <c r="H658" t="s">
        <v>15</v>
      </c>
      <c r="I658">
        <v>3.3</v>
      </c>
      <c r="J658">
        <v>12</v>
      </c>
      <c r="K658">
        <v>1</v>
      </c>
    </row>
    <row r="659" spans="1:11" x14ac:dyDescent="0.35">
      <c r="A659">
        <v>658</v>
      </c>
      <c r="B659">
        <v>33</v>
      </c>
      <c r="C659" t="s">
        <v>11</v>
      </c>
      <c r="D659" t="s">
        <v>12</v>
      </c>
      <c r="E659" t="s">
        <v>56</v>
      </c>
      <c r="F659">
        <v>40.85</v>
      </c>
      <c r="G659" t="s">
        <v>31</v>
      </c>
      <c r="H659" t="s">
        <v>37</v>
      </c>
      <c r="I659">
        <v>4.2</v>
      </c>
      <c r="J659">
        <v>18</v>
      </c>
      <c r="K659">
        <v>4</v>
      </c>
    </row>
    <row r="660" spans="1:11" x14ac:dyDescent="0.35">
      <c r="A660">
        <v>659</v>
      </c>
      <c r="B660">
        <v>27</v>
      </c>
      <c r="C660" t="s">
        <v>16</v>
      </c>
      <c r="D660" t="s">
        <v>20</v>
      </c>
      <c r="E660" t="s">
        <v>36</v>
      </c>
      <c r="F660">
        <v>68.16</v>
      </c>
      <c r="G660" t="s">
        <v>19</v>
      </c>
      <c r="H660" t="s">
        <v>15</v>
      </c>
      <c r="I660">
        <v>4.0999999999999996</v>
      </c>
      <c r="J660">
        <v>10</v>
      </c>
      <c r="K660">
        <v>5</v>
      </c>
    </row>
    <row r="661" spans="1:11" x14ac:dyDescent="0.35">
      <c r="A661">
        <v>660</v>
      </c>
      <c r="B661">
        <v>33</v>
      </c>
      <c r="C661" t="s">
        <v>11</v>
      </c>
      <c r="D661" t="s">
        <v>29</v>
      </c>
      <c r="E661" t="s">
        <v>51</v>
      </c>
      <c r="F661">
        <v>107.56</v>
      </c>
      <c r="G661" t="s">
        <v>19</v>
      </c>
      <c r="H661" t="s">
        <v>15</v>
      </c>
      <c r="I661">
        <v>2.6</v>
      </c>
      <c r="J661">
        <v>8</v>
      </c>
      <c r="K661">
        <v>4</v>
      </c>
    </row>
    <row r="662" spans="1:11" x14ac:dyDescent="0.35">
      <c r="A662">
        <v>661</v>
      </c>
      <c r="B662">
        <v>54</v>
      </c>
      <c r="C662" t="s">
        <v>11</v>
      </c>
      <c r="D662" t="s">
        <v>33</v>
      </c>
      <c r="E662" t="s">
        <v>40</v>
      </c>
      <c r="F662">
        <v>242.06</v>
      </c>
      <c r="G662" t="s">
        <v>19</v>
      </c>
      <c r="H662" t="s">
        <v>15</v>
      </c>
      <c r="I662">
        <v>4.0999999999999996</v>
      </c>
      <c r="J662">
        <v>19</v>
      </c>
      <c r="K662">
        <v>7</v>
      </c>
    </row>
    <row r="663" spans="1:11" x14ac:dyDescent="0.35">
      <c r="A663">
        <v>662</v>
      </c>
      <c r="B663">
        <v>45</v>
      </c>
      <c r="C663" t="s">
        <v>11</v>
      </c>
      <c r="D663" t="s">
        <v>29</v>
      </c>
      <c r="E663" t="s">
        <v>30</v>
      </c>
      <c r="F663">
        <v>144.31</v>
      </c>
      <c r="G663" t="s">
        <v>14</v>
      </c>
      <c r="H663" t="s">
        <v>15</v>
      </c>
      <c r="I663">
        <v>3.8</v>
      </c>
      <c r="J663">
        <v>0</v>
      </c>
      <c r="K663">
        <v>0</v>
      </c>
    </row>
    <row r="664" spans="1:11" x14ac:dyDescent="0.35">
      <c r="A664">
        <v>663</v>
      </c>
      <c r="B664">
        <v>28</v>
      </c>
      <c r="C664" t="s">
        <v>11</v>
      </c>
      <c r="D664" t="s">
        <v>29</v>
      </c>
      <c r="E664" t="s">
        <v>30</v>
      </c>
      <c r="F664">
        <v>119.55</v>
      </c>
      <c r="G664" t="s">
        <v>24</v>
      </c>
      <c r="H664" t="s">
        <v>15</v>
      </c>
      <c r="I664">
        <v>3.6</v>
      </c>
      <c r="J664">
        <v>6</v>
      </c>
      <c r="K664">
        <v>3</v>
      </c>
    </row>
    <row r="665" spans="1:11" x14ac:dyDescent="0.35">
      <c r="A665">
        <v>664</v>
      </c>
      <c r="B665">
        <v>46</v>
      </c>
      <c r="C665" t="s">
        <v>16</v>
      </c>
      <c r="D665" t="s">
        <v>20</v>
      </c>
      <c r="E665" t="s">
        <v>21</v>
      </c>
      <c r="F665">
        <v>56.34</v>
      </c>
      <c r="G665" t="s">
        <v>24</v>
      </c>
      <c r="H665" t="s">
        <v>37</v>
      </c>
      <c r="I665">
        <v>2.9</v>
      </c>
      <c r="J665">
        <v>11</v>
      </c>
      <c r="K665">
        <v>3</v>
      </c>
    </row>
    <row r="666" spans="1:11" x14ac:dyDescent="0.35">
      <c r="A666">
        <v>665</v>
      </c>
      <c r="B666">
        <v>25</v>
      </c>
      <c r="C666" t="s">
        <v>16</v>
      </c>
      <c r="D666" t="s">
        <v>22</v>
      </c>
      <c r="E666" t="s">
        <v>43</v>
      </c>
      <c r="F666">
        <v>279.19</v>
      </c>
      <c r="G666" t="s">
        <v>31</v>
      </c>
      <c r="H666" t="s">
        <v>15</v>
      </c>
      <c r="I666">
        <v>4.5</v>
      </c>
      <c r="J666">
        <v>8</v>
      </c>
      <c r="K666">
        <v>4</v>
      </c>
    </row>
    <row r="667" spans="1:11" x14ac:dyDescent="0.35">
      <c r="A667">
        <v>666</v>
      </c>
      <c r="B667">
        <v>31</v>
      </c>
      <c r="C667" t="s">
        <v>11</v>
      </c>
      <c r="D667" t="s">
        <v>29</v>
      </c>
      <c r="E667" t="s">
        <v>51</v>
      </c>
      <c r="F667">
        <v>34.01</v>
      </c>
      <c r="G667" t="s">
        <v>31</v>
      </c>
      <c r="H667" t="s">
        <v>15</v>
      </c>
      <c r="I667">
        <v>3.8</v>
      </c>
      <c r="J667">
        <v>22</v>
      </c>
      <c r="K667">
        <v>6</v>
      </c>
    </row>
    <row r="668" spans="1:11" x14ac:dyDescent="0.35">
      <c r="A668">
        <v>667</v>
      </c>
      <c r="B668">
        <v>60</v>
      </c>
      <c r="C668" t="s">
        <v>16</v>
      </c>
      <c r="D668" t="s">
        <v>33</v>
      </c>
      <c r="E668" t="s">
        <v>40</v>
      </c>
      <c r="F668">
        <v>99.93</v>
      </c>
      <c r="G668" t="s">
        <v>24</v>
      </c>
      <c r="H668" t="s">
        <v>15</v>
      </c>
      <c r="I668">
        <v>3.5</v>
      </c>
      <c r="J668">
        <v>28</v>
      </c>
      <c r="K668">
        <v>9</v>
      </c>
    </row>
    <row r="669" spans="1:11" x14ac:dyDescent="0.35">
      <c r="A669">
        <v>668</v>
      </c>
      <c r="B669">
        <v>64</v>
      </c>
      <c r="C669" t="s">
        <v>16</v>
      </c>
      <c r="D669" t="s">
        <v>27</v>
      </c>
      <c r="E669" t="s">
        <v>53</v>
      </c>
      <c r="F669">
        <v>1514.05</v>
      </c>
      <c r="G669" t="s">
        <v>24</v>
      </c>
      <c r="H669" t="s">
        <v>15</v>
      </c>
      <c r="I669">
        <v>3.7</v>
      </c>
      <c r="J669">
        <v>20</v>
      </c>
      <c r="K669">
        <v>5</v>
      </c>
    </row>
    <row r="670" spans="1:11" x14ac:dyDescent="0.35">
      <c r="A670">
        <v>669</v>
      </c>
      <c r="B670">
        <v>62</v>
      </c>
      <c r="C670" t="s">
        <v>16</v>
      </c>
      <c r="D670" t="s">
        <v>17</v>
      </c>
      <c r="E670" t="s">
        <v>35</v>
      </c>
      <c r="F670">
        <v>182.98</v>
      </c>
      <c r="G670" t="s">
        <v>14</v>
      </c>
      <c r="H670" t="s">
        <v>15</v>
      </c>
      <c r="I670">
        <v>3.1</v>
      </c>
      <c r="J670">
        <v>13</v>
      </c>
      <c r="K670">
        <v>4</v>
      </c>
    </row>
    <row r="671" spans="1:11" x14ac:dyDescent="0.35">
      <c r="A671">
        <v>670</v>
      </c>
      <c r="B671">
        <v>24</v>
      </c>
      <c r="C671" t="s">
        <v>16</v>
      </c>
      <c r="D671" t="s">
        <v>22</v>
      </c>
      <c r="E671" t="s">
        <v>23</v>
      </c>
      <c r="F671">
        <v>237.47</v>
      </c>
      <c r="G671" t="s">
        <v>24</v>
      </c>
      <c r="H671" t="s">
        <v>15</v>
      </c>
      <c r="I671">
        <v>3.2</v>
      </c>
      <c r="J671">
        <v>28</v>
      </c>
      <c r="K671">
        <v>9</v>
      </c>
    </row>
    <row r="672" spans="1:11" x14ac:dyDescent="0.35">
      <c r="A672">
        <v>671</v>
      </c>
      <c r="B672">
        <v>64</v>
      </c>
      <c r="C672" t="s">
        <v>16</v>
      </c>
      <c r="D672" t="s">
        <v>27</v>
      </c>
      <c r="E672" t="s">
        <v>49</v>
      </c>
      <c r="F672">
        <v>1417.01</v>
      </c>
      <c r="G672" t="s">
        <v>19</v>
      </c>
      <c r="H672" t="s">
        <v>15</v>
      </c>
      <c r="I672">
        <v>4</v>
      </c>
      <c r="J672">
        <v>2</v>
      </c>
      <c r="K672">
        <v>1</v>
      </c>
    </row>
    <row r="673" spans="1:11" x14ac:dyDescent="0.35">
      <c r="A673">
        <v>672</v>
      </c>
      <c r="B673">
        <v>27</v>
      </c>
      <c r="C673" t="s">
        <v>11</v>
      </c>
      <c r="D673" t="s">
        <v>41</v>
      </c>
      <c r="E673" t="s">
        <v>44</v>
      </c>
      <c r="F673">
        <v>43.52</v>
      </c>
      <c r="G673" t="s">
        <v>31</v>
      </c>
      <c r="H673" t="s">
        <v>37</v>
      </c>
      <c r="I673">
        <v>4.0999999999999996</v>
      </c>
      <c r="J673">
        <v>13</v>
      </c>
      <c r="K673">
        <v>4</v>
      </c>
    </row>
    <row r="674" spans="1:11" x14ac:dyDescent="0.35">
      <c r="A674">
        <v>673</v>
      </c>
      <c r="B674">
        <v>33</v>
      </c>
      <c r="C674" t="s">
        <v>11</v>
      </c>
      <c r="D674" t="s">
        <v>41</v>
      </c>
      <c r="E674" t="s">
        <v>44</v>
      </c>
      <c r="F674">
        <v>116.95</v>
      </c>
      <c r="G674" t="s">
        <v>31</v>
      </c>
      <c r="H674" t="s">
        <v>15</v>
      </c>
      <c r="I674">
        <v>4.5999999999999996</v>
      </c>
      <c r="J674">
        <v>21</v>
      </c>
      <c r="K674">
        <v>8</v>
      </c>
    </row>
    <row r="675" spans="1:11" x14ac:dyDescent="0.35">
      <c r="A675">
        <v>674</v>
      </c>
      <c r="B675">
        <v>61</v>
      </c>
      <c r="C675" t="s">
        <v>11</v>
      </c>
      <c r="D675" t="s">
        <v>41</v>
      </c>
      <c r="E675" t="s">
        <v>42</v>
      </c>
      <c r="F675">
        <v>196.34</v>
      </c>
      <c r="G675" t="s">
        <v>24</v>
      </c>
      <c r="H675" t="s">
        <v>15</v>
      </c>
      <c r="I675">
        <v>3</v>
      </c>
      <c r="J675">
        <v>16</v>
      </c>
      <c r="K675">
        <v>8</v>
      </c>
    </row>
    <row r="676" spans="1:11" x14ac:dyDescent="0.35">
      <c r="A676">
        <v>675</v>
      </c>
      <c r="B676">
        <v>68</v>
      </c>
      <c r="C676" t="s">
        <v>11</v>
      </c>
      <c r="D676" t="s">
        <v>33</v>
      </c>
      <c r="E676" t="s">
        <v>38</v>
      </c>
      <c r="F676">
        <v>163.6</v>
      </c>
      <c r="G676" t="s">
        <v>19</v>
      </c>
      <c r="H676" t="s">
        <v>15</v>
      </c>
      <c r="I676">
        <v>4.3</v>
      </c>
      <c r="J676">
        <v>22</v>
      </c>
      <c r="K676">
        <v>6</v>
      </c>
    </row>
    <row r="677" spans="1:11" x14ac:dyDescent="0.35">
      <c r="A677">
        <v>676</v>
      </c>
      <c r="B677">
        <v>54</v>
      </c>
      <c r="C677" t="s">
        <v>16</v>
      </c>
      <c r="D677" t="s">
        <v>33</v>
      </c>
      <c r="E677" t="s">
        <v>40</v>
      </c>
      <c r="F677">
        <v>144.58000000000001</v>
      </c>
      <c r="G677" t="s">
        <v>19</v>
      </c>
      <c r="H677" t="s">
        <v>15</v>
      </c>
      <c r="I677">
        <v>3.9</v>
      </c>
      <c r="J677">
        <v>24</v>
      </c>
      <c r="K677">
        <v>7</v>
      </c>
    </row>
    <row r="678" spans="1:11" x14ac:dyDescent="0.35">
      <c r="A678">
        <v>677</v>
      </c>
      <c r="B678">
        <v>22</v>
      </c>
      <c r="C678" t="s">
        <v>16</v>
      </c>
      <c r="D678" t="s">
        <v>20</v>
      </c>
      <c r="E678" t="s">
        <v>36</v>
      </c>
      <c r="F678">
        <v>158.63999999999999</v>
      </c>
      <c r="G678" t="s">
        <v>19</v>
      </c>
      <c r="H678" t="s">
        <v>15</v>
      </c>
      <c r="I678">
        <v>3.9</v>
      </c>
      <c r="J678">
        <v>21</v>
      </c>
      <c r="K678">
        <v>8</v>
      </c>
    </row>
    <row r="679" spans="1:11" x14ac:dyDescent="0.35">
      <c r="A679">
        <v>678</v>
      </c>
      <c r="B679">
        <v>52</v>
      </c>
      <c r="C679" t="s">
        <v>11</v>
      </c>
      <c r="D679" t="s">
        <v>25</v>
      </c>
      <c r="E679" t="s">
        <v>57</v>
      </c>
      <c r="F679">
        <v>5.89</v>
      </c>
      <c r="G679" t="s">
        <v>31</v>
      </c>
      <c r="H679" t="s">
        <v>15</v>
      </c>
      <c r="I679">
        <v>3.6</v>
      </c>
      <c r="J679">
        <v>7</v>
      </c>
      <c r="K679">
        <v>1</v>
      </c>
    </row>
    <row r="680" spans="1:11" x14ac:dyDescent="0.35">
      <c r="A680">
        <v>679</v>
      </c>
      <c r="B680">
        <v>63</v>
      </c>
      <c r="C680" t="s">
        <v>11</v>
      </c>
      <c r="D680" t="s">
        <v>12</v>
      </c>
      <c r="E680" t="s">
        <v>13</v>
      </c>
      <c r="F680">
        <v>168.46</v>
      </c>
      <c r="G680" t="s">
        <v>24</v>
      </c>
      <c r="H680" t="s">
        <v>15</v>
      </c>
      <c r="I680">
        <v>3.1</v>
      </c>
      <c r="J680">
        <v>20</v>
      </c>
      <c r="K680">
        <v>5</v>
      </c>
    </row>
    <row r="681" spans="1:11" x14ac:dyDescent="0.35">
      <c r="A681">
        <v>680</v>
      </c>
      <c r="B681">
        <v>53</v>
      </c>
      <c r="C681" t="s">
        <v>11</v>
      </c>
      <c r="D681" t="s">
        <v>41</v>
      </c>
      <c r="E681" t="s">
        <v>42</v>
      </c>
      <c r="F681">
        <v>102.52</v>
      </c>
      <c r="G681" t="s">
        <v>19</v>
      </c>
      <c r="H681" t="s">
        <v>15</v>
      </c>
      <c r="I681">
        <v>4.3</v>
      </c>
      <c r="J681">
        <v>16</v>
      </c>
      <c r="K681">
        <v>8</v>
      </c>
    </row>
    <row r="682" spans="1:11" x14ac:dyDescent="0.35">
      <c r="A682">
        <v>681</v>
      </c>
      <c r="B682">
        <v>31</v>
      </c>
      <c r="C682" t="s">
        <v>11</v>
      </c>
      <c r="D682" t="s">
        <v>29</v>
      </c>
      <c r="E682" t="s">
        <v>55</v>
      </c>
      <c r="F682">
        <v>47.92</v>
      </c>
      <c r="G682" t="s">
        <v>31</v>
      </c>
      <c r="H682" t="s">
        <v>15</v>
      </c>
      <c r="I682">
        <v>3.6</v>
      </c>
      <c r="J682">
        <v>8</v>
      </c>
      <c r="K682">
        <v>4</v>
      </c>
    </row>
    <row r="683" spans="1:11" x14ac:dyDescent="0.35">
      <c r="A683">
        <v>682</v>
      </c>
      <c r="B683">
        <v>27</v>
      </c>
      <c r="C683" t="s">
        <v>16</v>
      </c>
      <c r="D683" t="s">
        <v>20</v>
      </c>
      <c r="E683" t="s">
        <v>39</v>
      </c>
      <c r="F683">
        <v>119.22</v>
      </c>
      <c r="G683" t="s">
        <v>24</v>
      </c>
      <c r="H683" t="s">
        <v>15</v>
      </c>
      <c r="I683">
        <v>4</v>
      </c>
      <c r="J683">
        <v>16</v>
      </c>
      <c r="K683">
        <v>3</v>
      </c>
    </row>
    <row r="684" spans="1:11" x14ac:dyDescent="0.35">
      <c r="A684">
        <v>683</v>
      </c>
      <c r="B684">
        <v>22</v>
      </c>
      <c r="C684" t="s">
        <v>16</v>
      </c>
      <c r="D684" t="s">
        <v>22</v>
      </c>
      <c r="E684" t="s">
        <v>43</v>
      </c>
      <c r="F684">
        <v>83.17</v>
      </c>
      <c r="G684" t="s">
        <v>31</v>
      </c>
      <c r="H684" t="s">
        <v>37</v>
      </c>
      <c r="I684">
        <v>4.5999999999999996</v>
      </c>
      <c r="J684">
        <v>22</v>
      </c>
      <c r="K684">
        <v>6</v>
      </c>
    </row>
    <row r="685" spans="1:11" x14ac:dyDescent="0.35">
      <c r="A685">
        <v>684</v>
      </c>
      <c r="B685">
        <v>41</v>
      </c>
      <c r="C685" t="s">
        <v>16</v>
      </c>
      <c r="D685" t="s">
        <v>27</v>
      </c>
      <c r="E685" t="s">
        <v>49</v>
      </c>
      <c r="F685">
        <v>1496.4</v>
      </c>
      <c r="G685" t="s">
        <v>19</v>
      </c>
      <c r="H685" t="s">
        <v>15</v>
      </c>
      <c r="I685">
        <v>3.9</v>
      </c>
      <c r="J685">
        <v>16</v>
      </c>
      <c r="K685">
        <v>3</v>
      </c>
    </row>
    <row r="686" spans="1:11" x14ac:dyDescent="0.35">
      <c r="A686">
        <v>685</v>
      </c>
      <c r="B686">
        <v>35</v>
      </c>
      <c r="C686" t="s">
        <v>11</v>
      </c>
      <c r="D686" t="s">
        <v>22</v>
      </c>
      <c r="E686" t="s">
        <v>23</v>
      </c>
      <c r="F686">
        <v>121.52</v>
      </c>
      <c r="G686" t="s">
        <v>31</v>
      </c>
      <c r="H686" t="s">
        <v>15</v>
      </c>
      <c r="I686">
        <v>3.6</v>
      </c>
      <c r="J686">
        <v>10</v>
      </c>
      <c r="K686">
        <v>5</v>
      </c>
    </row>
    <row r="687" spans="1:11" x14ac:dyDescent="0.35">
      <c r="A687">
        <v>686</v>
      </c>
      <c r="B687">
        <v>51</v>
      </c>
      <c r="C687" t="s">
        <v>11</v>
      </c>
      <c r="D687" t="s">
        <v>29</v>
      </c>
      <c r="E687" t="s">
        <v>51</v>
      </c>
      <c r="F687">
        <v>101.58</v>
      </c>
      <c r="G687" t="s">
        <v>19</v>
      </c>
      <c r="H687" t="s">
        <v>15</v>
      </c>
      <c r="I687">
        <v>3.7</v>
      </c>
      <c r="J687">
        <v>14</v>
      </c>
      <c r="K687">
        <v>2</v>
      </c>
    </row>
    <row r="688" spans="1:11" x14ac:dyDescent="0.35">
      <c r="A688">
        <v>687</v>
      </c>
      <c r="B688">
        <v>20</v>
      </c>
      <c r="C688" t="s">
        <v>11</v>
      </c>
      <c r="D688" t="s">
        <v>12</v>
      </c>
      <c r="E688" t="s">
        <v>56</v>
      </c>
      <c r="F688">
        <v>96.93</v>
      </c>
      <c r="G688" t="s">
        <v>19</v>
      </c>
      <c r="H688" t="s">
        <v>37</v>
      </c>
      <c r="I688">
        <v>3.2</v>
      </c>
      <c r="J688">
        <v>12</v>
      </c>
      <c r="K688">
        <v>6</v>
      </c>
    </row>
    <row r="689" spans="1:11" x14ac:dyDescent="0.35">
      <c r="A689">
        <v>688</v>
      </c>
      <c r="B689">
        <v>63</v>
      </c>
      <c r="C689" t="s">
        <v>16</v>
      </c>
      <c r="D689" t="s">
        <v>20</v>
      </c>
      <c r="E689" t="s">
        <v>21</v>
      </c>
      <c r="F689">
        <v>195.87</v>
      </c>
      <c r="G689" t="s">
        <v>19</v>
      </c>
      <c r="H689" t="s">
        <v>15</v>
      </c>
      <c r="I689">
        <v>4</v>
      </c>
      <c r="J689">
        <v>18</v>
      </c>
      <c r="K689">
        <v>4</v>
      </c>
    </row>
    <row r="690" spans="1:11" x14ac:dyDescent="0.35">
      <c r="A690">
        <v>689</v>
      </c>
      <c r="B690">
        <v>57</v>
      </c>
      <c r="C690" t="s">
        <v>11</v>
      </c>
      <c r="D690" t="s">
        <v>33</v>
      </c>
      <c r="E690" t="s">
        <v>40</v>
      </c>
      <c r="F690">
        <v>152.19</v>
      </c>
      <c r="G690" t="s">
        <v>19</v>
      </c>
      <c r="H690" t="s">
        <v>15</v>
      </c>
      <c r="I690">
        <v>5</v>
      </c>
      <c r="J690">
        <v>13</v>
      </c>
      <c r="K690">
        <v>4</v>
      </c>
    </row>
    <row r="691" spans="1:11" x14ac:dyDescent="0.35">
      <c r="A691">
        <v>690</v>
      </c>
      <c r="B691">
        <v>68</v>
      </c>
      <c r="C691" t="s">
        <v>16</v>
      </c>
      <c r="D691" t="s">
        <v>17</v>
      </c>
      <c r="E691" t="s">
        <v>35</v>
      </c>
      <c r="F691">
        <v>71.13</v>
      </c>
      <c r="G691" t="s">
        <v>24</v>
      </c>
      <c r="H691" t="s">
        <v>37</v>
      </c>
      <c r="I691">
        <v>3.8</v>
      </c>
      <c r="J691">
        <v>10</v>
      </c>
      <c r="K691">
        <v>5</v>
      </c>
    </row>
    <row r="692" spans="1:11" x14ac:dyDescent="0.35">
      <c r="A692">
        <v>691</v>
      </c>
      <c r="B692">
        <v>68</v>
      </c>
      <c r="C692" t="s">
        <v>11</v>
      </c>
      <c r="D692" t="s">
        <v>29</v>
      </c>
      <c r="E692" t="s">
        <v>55</v>
      </c>
      <c r="F692">
        <v>139.63999999999999</v>
      </c>
      <c r="G692" t="s">
        <v>19</v>
      </c>
      <c r="H692" t="s">
        <v>15</v>
      </c>
      <c r="I692">
        <v>4.0999999999999996</v>
      </c>
      <c r="J692">
        <v>20</v>
      </c>
      <c r="K692">
        <v>5</v>
      </c>
    </row>
    <row r="693" spans="1:11" x14ac:dyDescent="0.35">
      <c r="A693">
        <v>692</v>
      </c>
      <c r="B693">
        <v>65</v>
      </c>
      <c r="C693" t="s">
        <v>16</v>
      </c>
      <c r="D693" t="s">
        <v>33</v>
      </c>
      <c r="E693" t="s">
        <v>38</v>
      </c>
      <c r="F693">
        <v>134.93</v>
      </c>
      <c r="G693" t="s">
        <v>31</v>
      </c>
      <c r="H693" t="s">
        <v>15</v>
      </c>
      <c r="I693">
        <v>4</v>
      </c>
      <c r="J693">
        <v>15</v>
      </c>
      <c r="K693">
        <v>5</v>
      </c>
    </row>
    <row r="694" spans="1:11" x14ac:dyDescent="0.35">
      <c r="A694">
        <v>693</v>
      </c>
      <c r="B694">
        <v>30</v>
      </c>
      <c r="C694" t="s">
        <v>16</v>
      </c>
      <c r="D694" t="s">
        <v>33</v>
      </c>
      <c r="E694" t="s">
        <v>38</v>
      </c>
      <c r="F694">
        <v>75.61</v>
      </c>
      <c r="G694" t="s">
        <v>14</v>
      </c>
      <c r="H694" t="s">
        <v>37</v>
      </c>
      <c r="I694">
        <v>3.1</v>
      </c>
      <c r="J694">
        <v>17</v>
      </c>
      <c r="K694">
        <v>6</v>
      </c>
    </row>
    <row r="695" spans="1:11" x14ac:dyDescent="0.35">
      <c r="A695">
        <v>694</v>
      </c>
      <c r="B695">
        <v>23</v>
      </c>
      <c r="C695" t="s">
        <v>11</v>
      </c>
      <c r="D695" t="s">
        <v>12</v>
      </c>
      <c r="E695" t="s">
        <v>50</v>
      </c>
      <c r="F695">
        <v>115.77</v>
      </c>
      <c r="G695" t="s">
        <v>24</v>
      </c>
      <c r="H695" t="s">
        <v>15</v>
      </c>
      <c r="I695">
        <v>4.5</v>
      </c>
      <c r="J695">
        <v>13</v>
      </c>
      <c r="K695">
        <v>4</v>
      </c>
    </row>
    <row r="696" spans="1:11" x14ac:dyDescent="0.35">
      <c r="A696">
        <v>695</v>
      </c>
      <c r="B696">
        <v>23</v>
      </c>
      <c r="C696" t="s">
        <v>11</v>
      </c>
      <c r="D696" t="s">
        <v>33</v>
      </c>
      <c r="E696" t="s">
        <v>38</v>
      </c>
      <c r="F696">
        <v>223.09</v>
      </c>
      <c r="G696" t="s">
        <v>19</v>
      </c>
      <c r="H696" t="s">
        <v>15</v>
      </c>
      <c r="I696">
        <v>4.0999999999999996</v>
      </c>
      <c r="J696">
        <v>16</v>
      </c>
      <c r="K696">
        <v>3</v>
      </c>
    </row>
    <row r="697" spans="1:11" x14ac:dyDescent="0.35">
      <c r="A697">
        <v>696</v>
      </c>
      <c r="B697">
        <v>59</v>
      </c>
      <c r="C697" t="s">
        <v>11</v>
      </c>
      <c r="D697" t="s">
        <v>29</v>
      </c>
      <c r="E697" t="s">
        <v>55</v>
      </c>
      <c r="F697">
        <v>127.79</v>
      </c>
      <c r="G697" t="s">
        <v>24</v>
      </c>
      <c r="H697" t="s">
        <v>15</v>
      </c>
      <c r="I697">
        <v>3.8</v>
      </c>
      <c r="J697">
        <v>6</v>
      </c>
      <c r="K697">
        <v>3</v>
      </c>
    </row>
    <row r="698" spans="1:11" x14ac:dyDescent="0.35">
      <c r="A698">
        <v>697</v>
      </c>
      <c r="B698">
        <v>35</v>
      </c>
      <c r="C698" t="s">
        <v>16</v>
      </c>
      <c r="D698" t="s">
        <v>25</v>
      </c>
      <c r="E698" t="s">
        <v>54</v>
      </c>
      <c r="F698">
        <v>49.52</v>
      </c>
      <c r="G698" t="s">
        <v>19</v>
      </c>
      <c r="H698" t="s">
        <v>37</v>
      </c>
      <c r="I698">
        <v>3.6</v>
      </c>
      <c r="J698">
        <v>13</v>
      </c>
      <c r="K698">
        <v>4</v>
      </c>
    </row>
    <row r="699" spans="1:11" x14ac:dyDescent="0.35">
      <c r="A699">
        <v>698</v>
      </c>
      <c r="B699">
        <v>59</v>
      </c>
      <c r="C699" t="s">
        <v>11</v>
      </c>
      <c r="D699" t="s">
        <v>33</v>
      </c>
      <c r="E699" t="s">
        <v>40</v>
      </c>
      <c r="F699">
        <v>105.81</v>
      </c>
      <c r="G699" t="s">
        <v>24</v>
      </c>
      <c r="H699" t="s">
        <v>15</v>
      </c>
      <c r="I699">
        <v>3.8</v>
      </c>
      <c r="J699">
        <v>23</v>
      </c>
      <c r="K699">
        <v>9</v>
      </c>
    </row>
    <row r="700" spans="1:11" x14ac:dyDescent="0.35">
      <c r="A700">
        <v>699</v>
      </c>
      <c r="B700">
        <v>42</v>
      </c>
      <c r="C700" t="s">
        <v>11</v>
      </c>
      <c r="D700" t="s">
        <v>41</v>
      </c>
      <c r="E700" t="s">
        <v>46</v>
      </c>
      <c r="F700">
        <v>178.77</v>
      </c>
      <c r="G700" t="s">
        <v>31</v>
      </c>
      <c r="H700" t="s">
        <v>15</v>
      </c>
      <c r="I700">
        <v>3.4</v>
      </c>
      <c r="J700">
        <v>9</v>
      </c>
      <c r="K700">
        <v>2</v>
      </c>
    </row>
    <row r="701" spans="1:11" x14ac:dyDescent="0.35">
      <c r="A701">
        <v>700</v>
      </c>
      <c r="B701">
        <v>28</v>
      </c>
      <c r="C701" t="s">
        <v>16</v>
      </c>
      <c r="D701" t="s">
        <v>25</v>
      </c>
      <c r="E701" t="s">
        <v>47</v>
      </c>
      <c r="F701">
        <v>54.61</v>
      </c>
      <c r="G701" t="s">
        <v>24</v>
      </c>
      <c r="H701" t="s">
        <v>15</v>
      </c>
      <c r="I701">
        <v>4.0999999999999996</v>
      </c>
      <c r="J701">
        <v>8</v>
      </c>
      <c r="K701">
        <v>4</v>
      </c>
    </row>
    <row r="702" spans="1:11" x14ac:dyDescent="0.35">
      <c r="A702">
        <v>701</v>
      </c>
      <c r="B702">
        <v>49</v>
      </c>
      <c r="C702" t="s">
        <v>16</v>
      </c>
      <c r="D702" t="s">
        <v>27</v>
      </c>
      <c r="E702" t="s">
        <v>32</v>
      </c>
      <c r="F702">
        <v>1321.86</v>
      </c>
      <c r="G702" t="s">
        <v>19</v>
      </c>
      <c r="H702" t="s">
        <v>15</v>
      </c>
      <c r="I702">
        <v>4.4000000000000004</v>
      </c>
      <c r="J702">
        <v>24</v>
      </c>
      <c r="K702">
        <v>7</v>
      </c>
    </row>
    <row r="703" spans="1:11" x14ac:dyDescent="0.35">
      <c r="A703">
        <v>702</v>
      </c>
      <c r="B703">
        <v>36</v>
      </c>
      <c r="C703" t="s">
        <v>16</v>
      </c>
      <c r="D703" t="s">
        <v>33</v>
      </c>
      <c r="E703" t="s">
        <v>40</v>
      </c>
      <c r="F703">
        <v>157.33000000000001</v>
      </c>
      <c r="G703" t="s">
        <v>31</v>
      </c>
      <c r="H703" t="s">
        <v>15</v>
      </c>
      <c r="I703">
        <v>3.7</v>
      </c>
      <c r="J703">
        <v>17</v>
      </c>
      <c r="K703">
        <v>6</v>
      </c>
    </row>
    <row r="704" spans="1:11" x14ac:dyDescent="0.35">
      <c r="A704">
        <v>703</v>
      </c>
      <c r="B704">
        <v>31</v>
      </c>
      <c r="C704" t="s">
        <v>16</v>
      </c>
      <c r="D704" t="s">
        <v>33</v>
      </c>
      <c r="E704" t="s">
        <v>34</v>
      </c>
      <c r="F704">
        <v>157.43</v>
      </c>
      <c r="G704" t="s">
        <v>24</v>
      </c>
      <c r="H704" t="s">
        <v>15</v>
      </c>
      <c r="I704">
        <v>3</v>
      </c>
      <c r="J704">
        <v>6</v>
      </c>
      <c r="K704">
        <v>3</v>
      </c>
    </row>
    <row r="705" spans="1:11" x14ac:dyDescent="0.35">
      <c r="A705">
        <v>704</v>
      </c>
      <c r="B705">
        <v>38</v>
      </c>
      <c r="C705" t="s">
        <v>16</v>
      </c>
      <c r="D705" t="s">
        <v>17</v>
      </c>
      <c r="E705" t="s">
        <v>48</v>
      </c>
      <c r="F705">
        <v>160.97999999999999</v>
      </c>
      <c r="G705" t="s">
        <v>19</v>
      </c>
      <c r="H705" t="s">
        <v>15</v>
      </c>
      <c r="I705">
        <v>2.9</v>
      </c>
      <c r="J705">
        <v>20</v>
      </c>
      <c r="K705">
        <v>5</v>
      </c>
    </row>
    <row r="706" spans="1:11" x14ac:dyDescent="0.35">
      <c r="A706">
        <v>705</v>
      </c>
      <c r="B706">
        <v>46</v>
      </c>
      <c r="C706" t="s">
        <v>16</v>
      </c>
      <c r="D706" t="s">
        <v>20</v>
      </c>
      <c r="E706" t="s">
        <v>36</v>
      </c>
      <c r="F706">
        <v>107.82</v>
      </c>
      <c r="G706" t="s">
        <v>24</v>
      </c>
      <c r="H706" t="s">
        <v>15</v>
      </c>
      <c r="I706">
        <v>3.9</v>
      </c>
      <c r="J706">
        <v>7</v>
      </c>
      <c r="K706">
        <v>1</v>
      </c>
    </row>
    <row r="707" spans="1:11" x14ac:dyDescent="0.35">
      <c r="A707">
        <v>706</v>
      </c>
      <c r="B707">
        <v>39</v>
      </c>
      <c r="C707" t="s">
        <v>11</v>
      </c>
      <c r="D707" t="s">
        <v>33</v>
      </c>
      <c r="E707" t="s">
        <v>34</v>
      </c>
      <c r="F707">
        <v>217.69</v>
      </c>
      <c r="G707" t="s">
        <v>31</v>
      </c>
      <c r="H707" t="s">
        <v>15</v>
      </c>
      <c r="I707">
        <v>2.6</v>
      </c>
      <c r="J707">
        <v>10</v>
      </c>
      <c r="K707">
        <v>5</v>
      </c>
    </row>
    <row r="708" spans="1:11" x14ac:dyDescent="0.35">
      <c r="A708">
        <v>707</v>
      </c>
      <c r="B708">
        <v>45</v>
      </c>
      <c r="C708" t="s">
        <v>16</v>
      </c>
      <c r="D708" t="s">
        <v>20</v>
      </c>
      <c r="E708" t="s">
        <v>36</v>
      </c>
      <c r="F708">
        <v>141.27000000000001</v>
      </c>
      <c r="G708" t="s">
        <v>14</v>
      </c>
      <c r="H708" t="s">
        <v>15</v>
      </c>
      <c r="I708">
        <v>3.2</v>
      </c>
      <c r="J708">
        <v>16</v>
      </c>
      <c r="K708">
        <v>3</v>
      </c>
    </row>
    <row r="709" spans="1:11" x14ac:dyDescent="0.35">
      <c r="A709">
        <v>708</v>
      </c>
      <c r="B709">
        <v>57</v>
      </c>
      <c r="C709" t="s">
        <v>16</v>
      </c>
      <c r="D709" t="s">
        <v>33</v>
      </c>
      <c r="E709" t="s">
        <v>38</v>
      </c>
      <c r="F709">
        <v>233.72</v>
      </c>
      <c r="G709" t="s">
        <v>31</v>
      </c>
      <c r="H709" t="s">
        <v>15</v>
      </c>
      <c r="I709">
        <v>2.8</v>
      </c>
      <c r="J709">
        <v>14</v>
      </c>
      <c r="K709">
        <v>7</v>
      </c>
    </row>
    <row r="710" spans="1:11" x14ac:dyDescent="0.35">
      <c r="A710">
        <v>709</v>
      </c>
      <c r="B710">
        <v>53</v>
      </c>
      <c r="C710" t="s">
        <v>16</v>
      </c>
      <c r="D710" t="s">
        <v>27</v>
      </c>
      <c r="E710" t="s">
        <v>53</v>
      </c>
      <c r="F710">
        <v>1792.88</v>
      </c>
      <c r="G710" t="s">
        <v>24</v>
      </c>
      <c r="H710" t="s">
        <v>15</v>
      </c>
      <c r="I710">
        <v>3.6</v>
      </c>
      <c r="J710">
        <v>19</v>
      </c>
      <c r="K710">
        <v>7</v>
      </c>
    </row>
    <row r="711" spans="1:11" x14ac:dyDescent="0.35">
      <c r="A711">
        <v>710</v>
      </c>
      <c r="B711">
        <v>24</v>
      </c>
      <c r="C711" t="s">
        <v>16</v>
      </c>
      <c r="D711" t="s">
        <v>27</v>
      </c>
      <c r="E711" t="s">
        <v>32</v>
      </c>
      <c r="F711">
        <v>1064.7</v>
      </c>
      <c r="G711" t="s">
        <v>24</v>
      </c>
      <c r="H711" t="s">
        <v>15</v>
      </c>
      <c r="I711">
        <v>5</v>
      </c>
      <c r="J711">
        <v>18</v>
      </c>
      <c r="K711">
        <v>4</v>
      </c>
    </row>
    <row r="712" spans="1:11" x14ac:dyDescent="0.35">
      <c r="A712">
        <v>711</v>
      </c>
      <c r="B712">
        <v>44</v>
      </c>
      <c r="C712" t="s">
        <v>11</v>
      </c>
      <c r="D712" t="s">
        <v>12</v>
      </c>
      <c r="E712" t="s">
        <v>50</v>
      </c>
      <c r="F712">
        <v>103.15</v>
      </c>
      <c r="G712" t="s">
        <v>14</v>
      </c>
      <c r="H712" t="s">
        <v>15</v>
      </c>
      <c r="I712">
        <v>3.6</v>
      </c>
      <c r="J712">
        <v>13</v>
      </c>
      <c r="K712">
        <v>4</v>
      </c>
    </row>
    <row r="713" spans="1:11" x14ac:dyDescent="0.35">
      <c r="A713">
        <v>712</v>
      </c>
      <c r="B713">
        <v>69</v>
      </c>
      <c r="C713" t="s">
        <v>16</v>
      </c>
      <c r="D713" t="s">
        <v>33</v>
      </c>
      <c r="E713" t="s">
        <v>38</v>
      </c>
      <c r="F713">
        <v>48.78</v>
      </c>
      <c r="G713" t="s">
        <v>31</v>
      </c>
      <c r="H713" t="s">
        <v>15</v>
      </c>
      <c r="I713">
        <v>1.9</v>
      </c>
      <c r="J713">
        <v>17</v>
      </c>
      <c r="K713">
        <v>6</v>
      </c>
    </row>
    <row r="714" spans="1:11" x14ac:dyDescent="0.35">
      <c r="A714">
        <v>713</v>
      </c>
      <c r="B714">
        <v>64</v>
      </c>
      <c r="C714" t="s">
        <v>11</v>
      </c>
      <c r="D714" t="s">
        <v>29</v>
      </c>
      <c r="E714" t="s">
        <v>30</v>
      </c>
      <c r="F714">
        <v>74.05</v>
      </c>
      <c r="G714" t="s">
        <v>19</v>
      </c>
      <c r="H714" t="s">
        <v>15</v>
      </c>
      <c r="I714">
        <v>4.9000000000000004</v>
      </c>
      <c r="J714">
        <v>21</v>
      </c>
      <c r="K714">
        <v>8</v>
      </c>
    </row>
    <row r="715" spans="1:11" x14ac:dyDescent="0.35">
      <c r="A715">
        <v>714</v>
      </c>
      <c r="B715">
        <v>59</v>
      </c>
      <c r="C715" t="s">
        <v>11</v>
      </c>
      <c r="D715" t="s">
        <v>41</v>
      </c>
      <c r="E715" t="s">
        <v>46</v>
      </c>
      <c r="F715">
        <v>35.33</v>
      </c>
      <c r="G715" t="s">
        <v>31</v>
      </c>
      <c r="H715" t="s">
        <v>37</v>
      </c>
      <c r="I715">
        <v>3.7</v>
      </c>
      <c r="J715">
        <v>13</v>
      </c>
      <c r="K715">
        <v>4</v>
      </c>
    </row>
    <row r="716" spans="1:11" x14ac:dyDescent="0.35">
      <c r="A716">
        <v>715</v>
      </c>
      <c r="B716">
        <v>68</v>
      </c>
      <c r="C716" t="s">
        <v>11</v>
      </c>
      <c r="D716" t="s">
        <v>41</v>
      </c>
      <c r="E716" t="s">
        <v>42</v>
      </c>
      <c r="F716">
        <v>114.33</v>
      </c>
      <c r="G716" t="s">
        <v>31</v>
      </c>
      <c r="H716" t="s">
        <v>15</v>
      </c>
      <c r="I716">
        <v>2.9</v>
      </c>
      <c r="J716">
        <v>10</v>
      </c>
      <c r="K716">
        <v>5</v>
      </c>
    </row>
    <row r="717" spans="1:11" x14ac:dyDescent="0.35">
      <c r="A717">
        <v>716</v>
      </c>
      <c r="B717">
        <v>48</v>
      </c>
      <c r="C717" t="s">
        <v>11</v>
      </c>
      <c r="D717" t="s">
        <v>12</v>
      </c>
      <c r="E717" t="s">
        <v>13</v>
      </c>
      <c r="F717">
        <v>41.13</v>
      </c>
      <c r="G717" t="s">
        <v>24</v>
      </c>
      <c r="H717" t="s">
        <v>15</v>
      </c>
      <c r="I717">
        <v>3.2</v>
      </c>
      <c r="J717">
        <v>9</v>
      </c>
      <c r="K717">
        <v>2</v>
      </c>
    </row>
    <row r="718" spans="1:11" x14ac:dyDescent="0.35">
      <c r="A718">
        <v>717</v>
      </c>
      <c r="B718">
        <v>56</v>
      </c>
      <c r="C718" t="s">
        <v>11</v>
      </c>
      <c r="D718" t="s">
        <v>22</v>
      </c>
      <c r="E718" t="s">
        <v>52</v>
      </c>
      <c r="F718">
        <v>245.44</v>
      </c>
      <c r="G718" t="s">
        <v>19</v>
      </c>
      <c r="H718" t="s">
        <v>15</v>
      </c>
      <c r="I718">
        <v>3.2</v>
      </c>
      <c r="J718">
        <v>2</v>
      </c>
      <c r="K718">
        <v>1</v>
      </c>
    </row>
    <row r="719" spans="1:11" x14ac:dyDescent="0.35">
      <c r="A719">
        <v>718</v>
      </c>
      <c r="B719">
        <v>36</v>
      </c>
      <c r="C719" t="s">
        <v>11</v>
      </c>
      <c r="D719" t="s">
        <v>41</v>
      </c>
      <c r="E719" t="s">
        <v>42</v>
      </c>
      <c r="F719">
        <v>153.84</v>
      </c>
      <c r="G719" t="s">
        <v>24</v>
      </c>
      <c r="H719" t="s">
        <v>15</v>
      </c>
      <c r="I719">
        <v>3.2</v>
      </c>
      <c r="J719">
        <v>0</v>
      </c>
      <c r="K719">
        <v>0</v>
      </c>
    </row>
    <row r="720" spans="1:11" x14ac:dyDescent="0.35">
      <c r="A720">
        <v>719</v>
      </c>
      <c r="B720">
        <v>44</v>
      </c>
      <c r="C720" t="s">
        <v>11</v>
      </c>
      <c r="D720" t="s">
        <v>33</v>
      </c>
      <c r="E720" t="s">
        <v>38</v>
      </c>
      <c r="F720">
        <v>236.11</v>
      </c>
      <c r="G720" t="s">
        <v>31</v>
      </c>
      <c r="H720" t="s">
        <v>15</v>
      </c>
      <c r="I720">
        <v>5</v>
      </c>
      <c r="J720">
        <v>23</v>
      </c>
      <c r="K720">
        <v>9</v>
      </c>
    </row>
    <row r="721" spans="1:11" x14ac:dyDescent="0.35">
      <c r="A721">
        <v>720</v>
      </c>
      <c r="B721">
        <v>54</v>
      </c>
      <c r="C721" t="s">
        <v>11</v>
      </c>
      <c r="D721" t="s">
        <v>41</v>
      </c>
      <c r="E721" t="s">
        <v>46</v>
      </c>
      <c r="F721">
        <v>165.35</v>
      </c>
      <c r="G721" t="s">
        <v>14</v>
      </c>
      <c r="H721" t="s">
        <v>15</v>
      </c>
      <c r="I721">
        <v>3.7</v>
      </c>
      <c r="J721">
        <v>10</v>
      </c>
      <c r="K721">
        <v>0</v>
      </c>
    </row>
    <row r="722" spans="1:11" x14ac:dyDescent="0.35">
      <c r="A722">
        <v>721</v>
      </c>
      <c r="B722">
        <v>30</v>
      </c>
      <c r="C722" t="s">
        <v>11</v>
      </c>
      <c r="D722" t="s">
        <v>12</v>
      </c>
      <c r="E722" t="s">
        <v>50</v>
      </c>
      <c r="F722">
        <v>59.51</v>
      </c>
      <c r="G722" t="s">
        <v>24</v>
      </c>
      <c r="H722" t="s">
        <v>15</v>
      </c>
      <c r="I722">
        <v>3.8</v>
      </c>
      <c r="J722">
        <v>24</v>
      </c>
      <c r="K722">
        <v>7</v>
      </c>
    </row>
    <row r="723" spans="1:11" x14ac:dyDescent="0.35">
      <c r="A723">
        <v>722</v>
      </c>
      <c r="B723">
        <v>61</v>
      </c>
      <c r="C723" t="s">
        <v>16</v>
      </c>
      <c r="D723" t="s">
        <v>20</v>
      </c>
      <c r="E723" t="s">
        <v>39</v>
      </c>
      <c r="F723">
        <v>190.26</v>
      </c>
      <c r="G723" t="s">
        <v>24</v>
      </c>
      <c r="H723" t="s">
        <v>15</v>
      </c>
      <c r="I723">
        <v>4.4000000000000004</v>
      </c>
      <c r="J723">
        <v>14</v>
      </c>
      <c r="K723">
        <v>2</v>
      </c>
    </row>
    <row r="724" spans="1:11" x14ac:dyDescent="0.35">
      <c r="A724">
        <v>723</v>
      </c>
      <c r="B724">
        <v>63</v>
      </c>
      <c r="C724" t="s">
        <v>11</v>
      </c>
      <c r="D724" t="s">
        <v>22</v>
      </c>
      <c r="E724" t="s">
        <v>52</v>
      </c>
      <c r="F724">
        <v>168.64</v>
      </c>
      <c r="G724" t="s">
        <v>14</v>
      </c>
      <c r="H724" t="s">
        <v>15</v>
      </c>
      <c r="I724">
        <v>3.2</v>
      </c>
      <c r="J724">
        <v>6</v>
      </c>
      <c r="K724">
        <v>3</v>
      </c>
    </row>
    <row r="725" spans="1:11" x14ac:dyDescent="0.35">
      <c r="A725">
        <v>724</v>
      </c>
      <c r="B725">
        <v>42</v>
      </c>
      <c r="C725" t="s">
        <v>16</v>
      </c>
      <c r="D725" t="s">
        <v>27</v>
      </c>
      <c r="E725" t="s">
        <v>53</v>
      </c>
      <c r="F725">
        <v>2517.98</v>
      </c>
      <c r="G725" t="s">
        <v>31</v>
      </c>
      <c r="H725" t="s">
        <v>15</v>
      </c>
      <c r="I725">
        <v>3.2</v>
      </c>
      <c r="J725">
        <v>17</v>
      </c>
      <c r="K725">
        <v>6</v>
      </c>
    </row>
    <row r="726" spans="1:11" x14ac:dyDescent="0.35">
      <c r="A726">
        <v>725</v>
      </c>
      <c r="B726">
        <v>35</v>
      </c>
      <c r="C726" t="s">
        <v>16</v>
      </c>
      <c r="D726" t="s">
        <v>20</v>
      </c>
      <c r="E726" t="s">
        <v>21</v>
      </c>
      <c r="F726">
        <v>240.4</v>
      </c>
      <c r="G726" t="s">
        <v>24</v>
      </c>
      <c r="H726" t="s">
        <v>15</v>
      </c>
      <c r="I726">
        <v>3.7</v>
      </c>
      <c r="J726">
        <v>10</v>
      </c>
      <c r="K726">
        <v>5</v>
      </c>
    </row>
    <row r="727" spans="1:11" x14ac:dyDescent="0.35">
      <c r="A727">
        <v>726</v>
      </c>
      <c r="B727">
        <v>66</v>
      </c>
      <c r="C727" t="s">
        <v>11</v>
      </c>
      <c r="D727" t="s">
        <v>25</v>
      </c>
      <c r="E727" t="s">
        <v>57</v>
      </c>
      <c r="F727">
        <v>75.72</v>
      </c>
      <c r="G727" t="s">
        <v>19</v>
      </c>
      <c r="H727" t="s">
        <v>15</v>
      </c>
      <c r="I727">
        <v>3.9</v>
      </c>
      <c r="J727">
        <v>14</v>
      </c>
      <c r="K727">
        <v>7</v>
      </c>
    </row>
    <row r="728" spans="1:11" x14ac:dyDescent="0.35">
      <c r="A728">
        <v>727</v>
      </c>
      <c r="B728">
        <v>37</v>
      </c>
      <c r="C728" t="s">
        <v>16</v>
      </c>
      <c r="D728" t="s">
        <v>33</v>
      </c>
      <c r="E728" t="s">
        <v>34</v>
      </c>
      <c r="F728">
        <v>229.47</v>
      </c>
      <c r="G728" t="s">
        <v>19</v>
      </c>
      <c r="H728" t="s">
        <v>15</v>
      </c>
      <c r="I728">
        <v>4.2</v>
      </c>
      <c r="J728">
        <v>14</v>
      </c>
      <c r="K728">
        <v>7</v>
      </c>
    </row>
    <row r="729" spans="1:11" x14ac:dyDescent="0.35">
      <c r="A729">
        <v>728</v>
      </c>
      <c r="B729">
        <v>31</v>
      </c>
      <c r="C729" t="s">
        <v>11</v>
      </c>
      <c r="D729" t="s">
        <v>20</v>
      </c>
      <c r="E729" t="s">
        <v>21</v>
      </c>
      <c r="F729">
        <v>103.72</v>
      </c>
      <c r="G729" t="s">
        <v>24</v>
      </c>
      <c r="H729" t="s">
        <v>15</v>
      </c>
      <c r="I729">
        <v>3.4</v>
      </c>
      <c r="J729">
        <v>20</v>
      </c>
      <c r="K729">
        <v>5</v>
      </c>
    </row>
    <row r="730" spans="1:11" x14ac:dyDescent="0.35">
      <c r="A730">
        <v>729</v>
      </c>
      <c r="B730">
        <v>46</v>
      </c>
      <c r="C730" t="s">
        <v>11</v>
      </c>
      <c r="D730" t="s">
        <v>41</v>
      </c>
      <c r="E730" t="s">
        <v>42</v>
      </c>
      <c r="F730">
        <v>134.76</v>
      </c>
      <c r="G730" t="s">
        <v>31</v>
      </c>
      <c r="H730" t="s">
        <v>15</v>
      </c>
      <c r="I730">
        <v>4.5999999999999996</v>
      </c>
      <c r="J730">
        <v>20</v>
      </c>
      <c r="K730">
        <v>5</v>
      </c>
    </row>
    <row r="731" spans="1:11" x14ac:dyDescent="0.35">
      <c r="A731">
        <v>730</v>
      </c>
      <c r="B731">
        <v>46</v>
      </c>
      <c r="C731" t="s">
        <v>16</v>
      </c>
      <c r="D731" t="s">
        <v>25</v>
      </c>
      <c r="E731" t="s">
        <v>47</v>
      </c>
      <c r="F731">
        <v>59.16</v>
      </c>
      <c r="G731" t="s">
        <v>14</v>
      </c>
      <c r="H731" t="s">
        <v>15</v>
      </c>
      <c r="I731">
        <v>4.5</v>
      </c>
      <c r="J731">
        <v>24</v>
      </c>
      <c r="K731">
        <v>7</v>
      </c>
    </row>
    <row r="732" spans="1:11" x14ac:dyDescent="0.35">
      <c r="A732">
        <v>731</v>
      </c>
      <c r="B732">
        <v>51</v>
      </c>
      <c r="C732" t="s">
        <v>16</v>
      </c>
      <c r="D732" t="s">
        <v>17</v>
      </c>
      <c r="E732" t="s">
        <v>35</v>
      </c>
      <c r="F732">
        <v>99.13</v>
      </c>
      <c r="G732" t="s">
        <v>31</v>
      </c>
      <c r="H732" t="s">
        <v>15</v>
      </c>
      <c r="I732">
        <v>4.0999999999999996</v>
      </c>
      <c r="J732">
        <v>17</v>
      </c>
      <c r="K732">
        <v>6</v>
      </c>
    </row>
    <row r="733" spans="1:11" x14ac:dyDescent="0.35">
      <c r="A733">
        <v>732</v>
      </c>
      <c r="B733">
        <v>38</v>
      </c>
      <c r="C733" t="s">
        <v>16</v>
      </c>
      <c r="D733" t="s">
        <v>20</v>
      </c>
      <c r="E733" t="s">
        <v>39</v>
      </c>
      <c r="F733">
        <v>205.6</v>
      </c>
      <c r="G733" t="s">
        <v>19</v>
      </c>
      <c r="H733" t="s">
        <v>15</v>
      </c>
      <c r="I733">
        <v>4.5</v>
      </c>
      <c r="J733">
        <v>22</v>
      </c>
      <c r="K733">
        <v>6</v>
      </c>
    </row>
    <row r="734" spans="1:11" x14ac:dyDescent="0.35">
      <c r="A734">
        <v>733</v>
      </c>
      <c r="B734">
        <v>31</v>
      </c>
      <c r="C734" t="s">
        <v>16</v>
      </c>
      <c r="D734" t="s">
        <v>33</v>
      </c>
      <c r="E734" t="s">
        <v>34</v>
      </c>
      <c r="F734">
        <v>51.91</v>
      </c>
      <c r="G734" t="s">
        <v>31</v>
      </c>
      <c r="H734" t="s">
        <v>37</v>
      </c>
      <c r="I734">
        <v>2.2000000000000002</v>
      </c>
      <c r="J734">
        <v>2</v>
      </c>
      <c r="K734">
        <v>1</v>
      </c>
    </row>
    <row r="735" spans="1:11" x14ac:dyDescent="0.35">
      <c r="A735">
        <v>734</v>
      </c>
      <c r="B735">
        <v>26</v>
      </c>
      <c r="C735" t="s">
        <v>11</v>
      </c>
      <c r="D735" t="s">
        <v>29</v>
      </c>
      <c r="E735" t="s">
        <v>51</v>
      </c>
      <c r="F735">
        <v>64.09</v>
      </c>
      <c r="G735" t="s">
        <v>24</v>
      </c>
      <c r="H735" t="s">
        <v>15</v>
      </c>
      <c r="I735">
        <v>4.5</v>
      </c>
      <c r="J735">
        <v>11</v>
      </c>
      <c r="K735">
        <v>3</v>
      </c>
    </row>
    <row r="736" spans="1:11" x14ac:dyDescent="0.35">
      <c r="A736">
        <v>735</v>
      </c>
      <c r="B736">
        <v>46</v>
      </c>
      <c r="C736" t="s">
        <v>11</v>
      </c>
      <c r="D736" t="s">
        <v>33</v>
      </c>
      <c r="E736" t="s">
        <v>38</v>
      </c>
      <c r="F736">
        <v>44.74</v>
      </c>
      <c r="G736" t="s">
        <v>24</v>
      </c>
      <c r="H736" t="s">
        <v>37</v>
      </c>
      <c r="I736">
        <v>3.6</v>
      </c>
      <c r="J736">
        <v>13</v>
      </c>
      <c r="K736">
        <v>4</v>
      </c>
    </row>
    <row r="737" spans="1:11" x14ac:dyDescent="0.35">
      <c r="A737">
        <v>736</v>
      </c>
      <c r="B737">
        <v>42</v>
      </c>
      <c r="C737" t="s">
        <v>11</v>
      </c>
      <c r="D737" t="s">
        <v>22</v>
      </c>
      <c r="E737" t="s">
        <v>43</v>
      </c>
      <c r="F737">
        <v>44.21</v>
      </c>
      <c r="G737" t="s">
        <v>31</v>
      </c>
      <c r="H737" t="s">
        <v>15</v>
      </c>
      <c r="I737">
        <v>3.4</v>
      </c>
      <c r="J737">
        <v>15</v>
      </c>
      <c r="K737">
        <v>5</v>
      </c>
    </row>
    <row r="738" spans="1:11" x14ac:dyDescent="0.35">
      <c r="A738">
        <v>737</v>
      </c>
      <c r="B738">
        <v>24</v>
      </c>
      <c r="C738" t="s">
        <v>11</v>
      </c>
      <c r="D738" t="s">
        <v>12</v>
      </c>
      <c r="E738" t="s">
        <v>13</v>
      </c>
      <c r="F738">
        <v>177.47</v>
      </c>
      <c r="G738" t="s">
        <v>24</v>
      </c>
      <c r="H738" t="s">
        <v>15</v>
      </c>
      <c r="I738">
        <v>3.3</v>
      </c>
      <c r="J738">
        <v>8</v>
      </c>
      <c r="K738">
        <v>4</v>
      </c>
    </row>
    <row r="739" spans="1:11" x14ac:dyDescent="0.35">
      <c r="A739">
        <v>738</v>
      </c>
      <c r="B739">
        <v>30</v>
      </c>
      <c r="C739" t="s">
        <v>11</v>
      </c>
      <c r="D739" t="s">
        <v>29</v>
      </c>
      <c r="E739" t="s">
        <v>51</v>
      </c>
      <c r="F739">
        <v>114.32</v>
      </c>
      <c r="G739" t="s">
        <v>19</v>
      </c>
      <c r="H739" t="s">
        <v>15</v>
      </c>
      <c r="I739">
        <v>4</v>
      </c>
      <c r="J739">
        <v>7</v>
      </c>
      <c r="K739">
        <v>1</v>
      </c>
    </row>
    <row r="740" spans="1:11" x14ac:dyDescent="0.35">
      <c r="A740">
        <v>739</v>
      </c>
      <c r="B740">
        <v>53</v>
      </c>
      <c r="C740" t="s">
        <v>16</v>
      </c>
      <c r="D740" t="s">
        <v>33</v>
      </c>
      <c r="E740" t="s">
        <v>34</v>
      </c>
      <c r="F740">
        <v>139.94</v>
      </c>
      <c r="G740" t="s">
        <v>14</v>
      </c>
      <c r="H740" t="s">
        <v>15</v>
      </c>
      <c r="I740">
        <v>3.5</v>
      </c>
      <c r="J740">
        <v>13</v>
      </c>
      <c r="K740">
        <v>4</v>
      </c>
    </row>
    <row r="741" spans="1:11" x14ac:dyDescent="0.35">
      <c r="A741">
        <v>740</v>
      </c>
      <c r="B741">
        <v>29</v>
      </c>
      <c r="C741" t="s">
        <v>16</v>
      </c>
      <c r="D741" t="s">
        <v>33</v>
      </c>
      <c r="E741" t="s">
        <v>40</v>
      </c>
      <c r="F741">
        <v>247.94</v>
      </c>
      <c r="G741" t="s">
        <v>24</v>
      </c>
      <c r="H741" t="s">
        <v>15</v>
      </c>
      <c r="I741">
        <v>3.4</v>
      </c>
      <c r="J741">
        <v>8</v>
      </c>
      <c r="K741">
        <v>4</v>
      </c>
    </row>
    <row r="742" spans="1:11" x14ac:dyDescent="0.35">
      <c r="A742">
        <v>741</v>
      </c>
      <c r="B742">
        <v>49</v>
      </c>
      <c r="C742" t="s">
        <v>16</v>
      </c>
      <c r="D742" t="s">
        <v>27</v>
      </c>
      <c r="E742" t="s">
        <v>49</v>
      </c>
      <c r="F742">
        <v>2588.27</v>
      </c>
      <c r="G742" t="s">
        <v>31</v>
      </c>
      <c r="H742" t="s">
        <v>15</v>
      </c>
      <c r="I742">
        <v>4.9000000000000004</v>
      </c>
      <c r="J742">
        <v>11</v>
      </c>
      <c r="K742">
        <v>3</v>
      </c>
    </row>
    <row r="743" spans="1:11" x14ac:dyDescent="0.35">
      <c r="A743">
        <v>742</v>
      </c>
      <c r="B743">
        <v>70</v>
      </c>
      <c r="C743" t="s">
        <v>16</v>
      </c>
      <c r="D743" t="s">
        <v>27</v>
      </c>
      <c r="E743" t="s">
        <v>28</v>
      </c>
      <c r="F743">
        <v>780.6</v>
      </c>
      <c r="G743" t="s">
        <v>14</v>
      </c>
      <c r="H743" t="s">
        <v>15</v>
      </c>
      <c r="I743">
        <v>4.7</v>
      </c>
      <c r="J743">
        <v>20</v>
      </c>
      <c r="K743">
        <v>5</v>
      </c>
    </row>
    <row r="744" spans="1:11" x14ac:dyDescent="0.35">
      <c r="A744">
        <v>743</v>
      </c>
      <c r="B744">
        <v>35</v>
      </c>
      <c r="C744" t="s">
        <v>16</v>
      </c>
      <c r="D744" t="s">
        <v>33</v>
      </c>
      <c r="E744" t="s">
        <v>38</v>
      </c>
      <c r="F744">
        <v>113.18</v>
      </c>
      <c r="G744" t="s">
        <v>19</v>
      </c>
      <c r="H744" t="s">
        <v>15</v>
      </c>
      <c r="I744">
        <v>3.8</v>
      </c>
      <c r="J744">
        <v>12</v>
      </c>
      <c r="K744">
        <v>6</v>
      </c>
    </row>
    <row r="745" spans="1:11" x14ac:dyDescent="0.35">
      <c r="A745">
        <v>744</v>
      </c>
      <c r="B745">
        <v>57</v>
      </c>
      <c r="C745" t="s">
        <v>16</v>
      </c>
      <c r="D745" t="s">
        <v>22</v>
      </c>
      <c r="E745" t="s">
        <v>43</v>
      </c>
      <c r="F745">
        <v>107.82</v>
      </c>
      <c r="G745" t="s">
        <v>24</v>
      </c>
      <c r="H745" t="s">
        <v>15</v>
      </c>
      <c r="I745">
        <v>4.0999999999999996</v>
      </c>
      <c r="J745">
        <v>16</v>
      </c>
      <c r="K745">
        <v>3</v>
      </c>
    </row>
    <row r="746" spans="1:11" x14ac:dyDescent="0.35">
      <c r="A746">
        <v>745</v>
      </c>
      <c r="B746">
        <v>36</v>
      </c>
      <c r="C746" t="s">
        <v>16</v>
      </c>
      <c r="D746" t="s">
        <v>22</v>
      </c>
      <c r="E746" t="s">
        <v>43</v>
      </c>
      <c r="F746">
        <v>224.49</v>
      </c>
      <c r="G746" t="s">
        <v>14</v>
      </c>
      <c r="H746" t="s">
        <v>15</v>
      </c>
      <c r="I746">
        <v>4.5</v>
      </c>
      <c r="J746">
        <v>12</v>
      </c>
      <c r="K746">
        <v>6</v>
      </c>
    </row>
    <row r="747" spans="1:11" x14ac:dyDescent="0.35">
      <c r="A747">
        <v>746</v>
      </c>
      <c r="B747">
        <v>52</v>
      </c>
      <c r="C747" t="s">
        <v>16</v>
      </c>
      <c r="D747" t="s">
        <v>17</v>
      </c>
      <c r="E747" t="s">
        <v>48</v>
      </c>
      <c r="F747">
        <v>132.43</v>
      </c>
      <c r="G747" t="s">
        <v>31</v>
      </c>
      <c r="H747" t="s">
        <v>15</v>
      </c>
      <c r="I747">
        <v>3.5</v>
      </c>
      <c r="J747">
        <v>12</v>
      </c>
      <c r="K747">
        <v>1</v>
      </c>
    </row>
    <row r="748" spans="1:11" x14ac:dyDescent="0.35">
      <c r="A748">
        <v>747</v>
      </c>
      <c r="B748">
        <v>47</v>
      </c>
      <c r="C748" t="s">
        <v>11</v>
      </c>
      <c r="D748" t="s">
        <v>20</v>
      </c>
      <c r="E748" t="s">
        <v>21</v>
      </c>
      <c r="F748">
        <v>57.77</v>
      </c>
      <c r="G748" t="s">
        <v>19</v>
      </c>
      <c r="H748" t="s">
        <v>37</v>
      </c>
      <c r="I748">
        <v>2.9</v>
      </c>
      <c r="J748">
        <v>16</v>
      </c>
      <c r="K748">
        <v>3</v>
      </c>
    </row>
    <row r="749" spans="1:11" x14ac:dyDescent="0.35">
      <c r="A749">
        <v>748</v>
      </c>
      <c r="B749">
        <v>24</v>
      </c>
      <c r="C749" t="s">
        <v>16</v>
      </c>
      <c r="D749" t="s">
        <v>20</v>
      </c>
      <c r="E749" t="s">
        <v>36</v>
      </c>
      <c r="F749">
        <v>139.11000000000001</v>
      </c>
      <c r="G749" t="s">
        <v>19</v>
      </c>
      <c r="H749" t="s">
        <v>15</v>
      </c>
      <c r="I749">
        <v>3.1</v>
      </c>
      <c r="J749">
        <v>19</v>
      </c>
      <c r="K749">
        <v>7</v>
      </c>
    </row>
    <row r="750" spans="1:11" x14ac:dyDescent="0.35">
      <c r="A750">
        <v>749</v>
      </c>
      <c r="B750">
        <v>55</v>
      </c>
      <c r="C750" t="s">
        <v>11</v>
      </c>
      <c r="D750" t="s">
        <v>12</v>
      </c>
      <c r="E750" t="s">
        <v>56</v>
      </c>
      <c r="F750">
        <v>159.49</v>
      </c>
      <c r="G750" t="s">
        <v>19</v>
      </c>
      <c r="H750" t="s">
        <v>15</v>
      </c>
      <c r="I750">
        <v>3.4</v>
      </c>
      <c r="J750">
        <v>18</v>
      </c>
      <c r="K750">
        <v>4</v>
      </c>
    </row>
    <row r="751" spans="1:11" x14ac:dyDescent="0.35">
      <c r="A751">
        <v>750</v>
      </c>
      <c r="B751">
        <v>22</v>
      </c>
      <c r="C751" t="s">
        <v>16</v>
      </c>
      <c r="D751" t="s">
        <v>25</v>
      </c>
      <c r="E751" t="s">
        <v>54</v>
      </c>
      <c r="F751">
        <v>36.590000000000003</v>
      </c>
      <c r="G751" t="s">
        <v>19</v>
      </c>
      <c r="H751" t="s">
        <v>37</v>
      </c>
      <c r="I751">
        <v>3.2</v>
      </c>
      <c r="J751">
        <v>15</v>
      </c>
      <c r="K751">
        <v>5</v>
      </c>
    </row>
    <row r="752" spans="1:11" x14ac:dyDescent="0.35">
      <c r="A752">
        <v>751</v>
      </c>
      <c r="B752">
        <v>36</v>
      </c>
      <c r="C752" t="s">
        <v>11</v>
      </c>
      <c r="D752" t="s">
        <v>41</v>
      </c>
      <c r="E752" t="s">
        <v>45</v>
      </c>
      <c r="F752">
        <v>114.62</v>
      </c>
      <c r="G752" t="s">
        <v>31</v>
      </c>
      <c r="H752" t="s">
        <v>15</v>
      </c>
      <c r="I752">
        <v>3.4</v>
      </c>
      <c r="J752">
        <v>16</v>
      </c>
      <c r="K752">
        <v>3</v>
      </c>
    </row>
    <row r="753" spans="1:11" x14ac:dyDescent="0.35">
      <c r="A753">
        <v>752</v>
      </c>
      <c r="B753">
        <v>60</v>
      </c>
      <c r="C753" t="s">
        <v>16</v>
      </c>
      <c r="D753" t="s">
        <v>20</v>
      </c>
      <c r="E753" t="s">
        <v>39</v>
      </c>
      <c r="F753">
        <v>79.86</v>
      </c>
      <c r="G753" t="s">
        <v>19</v>
      </c>
      <c r="H753" t="s">
        <v>37</v>
      </c>
      <c r="I753">
        <v>4.4000000000000004</v>
      </c>
      <c r="J753">
        <v>19</v>
      </c>
      <c r="K753">
        <v>7</v>
      </c>
    </row>
    <row r="754" spans="1:11" x14ac:dyDescent="0.35">
      <c r="A754">
        <v>753</v>
      </c>
      <c r="B754">
        <v>43</v>
      </c>
      <c r="C754" t="s">
        <v>16</v>
      </c>
      <c r="D754" t="s">
        <v>17</v>
      </c>
      <c r="E754" t="s">
        <v>48</v>
      </c>
      <c r="F754">
        <v>110.06</v>
      </c>
      <c r="G754" t="s">
        <v>31</v>
      </c>
      <c r="H754" t="s">
        <v>15</v>
      </c>
      <c r="I754">
        <v>3.3</v>
      </c>
      <c r="J754">
        <v>20</v>
      </c>
      <c r="K754">
        <v>10</v>
      </c>
    </row>
    <row r="755" spans="1:11" x14ac:dyDescent="0.35">
      <c r="A755">
        <v>754</v>
      </c>
      <c r="B755">
        <v>57</v>
      </c>
      <c r="C755" t="s">
        <v>16</v>
      </c>
      <c r="D755" t="s">
        <v>20</v>
      </c>
      <c r="E755" t="s">
        <v>36</v>
      </c>
      <c r="F755">
        <v>203.13</v>
      </c>
      <c r="G755" t="s">
        <v>24</v>
      </c>
      <c r="H755" t="s">
        <v>15</v>
      </c>
      <c r="I755">
        <v>3.3</v>
      </c>
      <c r="J755">
        <v>11</v>
      </c>
      <c r="K755">
        <v>3</v>
      </c>
    </row>
    <row r="756" spans="1:11" x14ac:dyDescent="0.35">
      <c r="A756">
        <v>755</v>
      </c>
      <c r="B756">
        <v>54</v>
      </c>
      <c r="C756" t="s">
        <v>16</v>
      </c>
      <c r="D756" t="s">
        <v>27</v>
      </c>
      <c r="E756" t="s">
        <v>49</v>
      </c>
      <c r="F756">
        <v>1829.89</v>
      </c>
      <c r="G756" t="s">
        <v>24</v>
      </c>
      <c r="H756" t="s">
        <v>15</v>
      </c>
      <c r="I756">
        <v>4.9000000000000004</v>
      </c>
      <c r="J756">
        <v>30</v>
      </c>
      <c r="K756">
        <v>10</v>
      </c>
    </row>
    <row r="757" spans="1:11" x14ac:dyDescent="0.35">
      <c r="A757">
        <v>756</v>
      </c>
      <c r="B757">
        <v>33</v>
      </c>
      <c r="C757" t="s">
        <v>11</v>
      </c>
      <c r="D757" t="s">
        <v>20</v>
      </c>
      <c r="E757" t="s">
        <v>21</v>
      </c>
      <c r="F757">
        <v>183.9</v>
      </c>
      <c r="G757" t="s">
        <v>31</v>
      </c>
      <c r="H757" t="s">
        <v>15</v>
      </c>
      <c r="I757">
        <v>2.6</v>
      </c>
      <c r="J757">
        <v>15</v>
      </c>
      <c r="K757">
        <v>5</v>
      </c>
    </row>
    <row r="758" spans="1:11" x14ac:dyDescent="0.35">
      <c r="A758">
        <v>757</v>
      </c>
      <c r="B758">
        <v>63</v>
      </c>
      <c r="C758" t="s">
        <v>11</v>
      </c>
      <c r="D758" t="s">
        <v>33</v>
      </c>
      <c r="E758" t="s">
        <v>34</v>
      </c>
      <c r="F758">
        <v>108.4</v>
      </c>
      <c r="G758" t="s">
        <v>19</v>
      </c>
      <c r="H758" t="s">
        <v>15</v>
      </c>
      <c r="I758">
        <v>2.6</v>
      </c>
      <c r="J758">
        <v>16</v>
      </c>
      <c r="K758">
        <v>3</v>
      </c>
    </row>
    <row r="759" spans="1:11" x14ac:dyDescent="0.35">
      <c r="A759">
        <v>758</v>
      </c>
      <c r="B759">
        <v>66</v>
      </c>
      <c r="C759" t="s">
        <v>16</v>
      </c>
      <c r="D759" t="s">
        <v>25</v>
      </c>
      <c r="E759" t="s">
        <v>26</v>
      </c>
      <c r="F759">
        <v>37.9</v>
      </c>
      <c r="G759" t="s">
        <v>24</v>
      </c>
      <c r="H759" t="s">
        <v>15</v>
      </c>
      <c r="I759">
        <v>3.5</v>
      </c>
      <c r="J759">
        <v>14</v>
      </c>
      <c r="K759">
        <v>7</v>
      </c>
    </row>
    <row r="760" spans="1:11" x14ac:dyDescent="0.35">
      <c r="A760">
        <v>759</v>
      </c>
      <c r="B760">
        <v>30</v>
      </c>
      <c r="C760" t="s">
        <v>16</v>
      </c>
      <c r="D760" t="s">
        <v>17</v>
      </c>
      <c r="E760" t="s">
        <v>35</v>
      </c>
      <c r="F760">
        <v>30.45</v>
      </c>
      <c r="G760" t="s">
        <v>31</v>
      </c>
      <c r="H760" t="s">
        <v>15</v>
      </c>
      <c r="I760">
        <v>3.6</v>
      </c>
      <c r="J760">
        <v>15</v>
      </c>
      <c r="K760">
        <v>5</v>
      </c>
    </row>
    <row r="761" spans="1:11" x14ac:dyDescent="0.35">
      <c r="A761">
        <v>760</v>
      </c>
      <c r="B761">
        <v>55</v>
      </c>
      <c r="C761" t="s">
        <v>16</v>
      </c>
      <c r="D761" t="s">
        <v>20</v>
      </c>
      <c r="E761" t="s">
        <v>36</v>
      </c>
      <c r="F761">
        <v>54.84</v>
      </c>
      <c r="G761" t="s">
        <v>19</v>
      </c>
      <c r="H761" t="s">
        <v>37</v>
      </c>
      <c r="I761">
        <v>1.1000000000000001</v>
      </c>
      <c r="J761">
        <v>8</v>
      </c>
      <c r="K761">
        <v>4</v>
      </c>
    </row>
    <row r="762" spans="1:11" x14ac:dyDescent="0.35">
      <c r="A762">
        <v>761</v>
      </c>
      <c r="B762">
        <v>35</v>
      </c>
      <c r="C762" t="s">
        <v>11</v>
      </c>
      <c r="D762" t="s">
        <v>12</v>
      </c>
      <c r="E762" t="s">
        <v>50</v>
      </c>
      <c r="F762">
        <v>154.72</v>
      </c>
      <c r="G762" t="s">
        <v>19</v>
      </c>
      <c r="H762" t="s">
        <v>15</v>
      </c>
      <c r="I762">
        <v>3.2</v>
      </c>
      <c r="J762">
        <v>26</v>
      </c>
      <c r="K762">
        <v>8</v>
      </c>
    </row>
    <row r="763" spans="1:11" x14ac:dyDescent="0.35">
      <c r="A763">
        <v>762</v>
      </c>
      <c r="B763">
        <v>33</v>
      </c>
      <c r="C763" t="s">
        <v>16</v>
      </c>
      <c r="D763" t="s">
        <v>27</v>
      </c>
      <c r="E763" t="s">
        <v>53</v>
      </c>
      <c r="F763">
        <v>2603.54</v>
      </c>
      <c r="G763" t="s">
        <v>14</v>
      </c>
      <c r="H763" t="s">
        <v>15</v>
      </c>
      <c r="I763">
        <v>4.4000000000000004</v>
      </c>
      <c r="J763">
        <v>12</v>
      </c>
      <c r="K763">
        <v>6</v>
      </c>
    </row>
    <row r="764" spans="1:11" x14ac:dyDescent="0.35">
      <c r="A764">
        <v>763</v>
      </c>
      <c r="B764">
        <v>28</v>
      </c>
      <c r="C764" t="s">
        <v>16</v>
      </c>
      <c r="D764" t="s">
        <v>33</v>
      </c>
      <c r="E764" t="s">
        <v>38</v>
      </c>
      <c r="F764">
        <v>192.41</v>
      </c>
      <c r="G764" t="s">
        <v>24</v>
      </c>
      <c r="H764" t="s">
        <v>15</v>
      </c>
      <c r="I764">
        <v>3.2</v>
      </c>
      <c r="J764">
        <v>8</v>
      </c>
      <c r="K764">
        <v>4</v>
      </c>
    </row>
    <row r="765" spans="1:11" x14ac:dyDescent="0.35">
      <c r="A765">
        <v>764</v>
      </c>
      <c r="B765">
        <v>38</v>
      </c>
      <c r="C765" t="s">
        <v>16</v>
      </c>
      <c r="D765" t="s">
        <v>20</v>
      </c>
      <c r="E765" t="s">
        <v>36</v>
      </c>
      <c r="F765">
        <v>248.91</v>
      </c>
      <c r="G765" t="s">
        <v>14</v>
      </c>
      <c r="H765" t="s">
        <v>15</v>
      </c>
      <c r="I765">
        <v>4.8</v>
      </c>
      <c r="J765">
        <v>26</v>
      </c>
      <c r="K765">
        <v>8</v>
      </c>
    </row>
    <row r="766" spans="1:11" x14ac:dyDescent="0.35">
      <c r="A766">
        <v>765</v>
      </c>
      <c r="B766">
        <v>51</v>
      </c>
      <c r="C766" t="s">
        <v>16</v>
      </c>
      <c r="D766" t="s">
        <v>25</v>
      </c>
      <c r="E766" t="s">
        <v>57</v>
      </c>
      <c r="F766">
        <v>43.81</v>
      </c>
      <c r="G766" t="s">
        <v>24</v>
      </c>
      <c r="H766" t="s">
        <v>37</v>
      </c>
      <c r="I766">
        <v>4.0999999999999996</v>
      </c>
      <c r="J766">
        <v>7</v>
      </c>
      <c r="K766">
        <v>1</v>
      </c>
    </row>
    <row r="767" spans="1:11" x14ac:dyDescent="0.35">
      <c r="A767">
        <v>766</v>
      </c>
      <c r="B767">
        <v>24</v>
      </c>
      <c r="C767" t="s">
        <v>16</v>
      </c>
      <c r="D767" t="s">
        <v>25</v>
      </c>
      <c r="E767" t="s">
        <v>54</v>
      </c>
      <c r="F767">
        <v>63.21</v>
      </c>
      <c r="G767" t="s">
        <v>19</v>
      </c>
      <c r="H767" t="s">
        <v>37</v>
      </c>
      <c r="I767">
        <v>4</v>
      </c>
      <c r="J767">
        <v>10</v>
      </c>
      <c r="K767">
        <v>5</v>
      </c>
    </row>
    <row r="768" spans="1:11" x14ac:dyDescent="0.35">
      <c r="A768">
        <v>767</v>
      </c>
      <c r="B768">
        <v>62</v>
      </c>
      <c r="C768" t="s">
        <v>16</v>
      </c>
      <c r="D768" t="s">
        <v>22</v>
      </c>
      <c r="E768" t="s">
        <v>23</v>
      </c>
      <c r="F768">
        <v>98</v>
      </c>
      <c r="G768" t="s">
        <v>19</v>
      </c>
      <c r="H768" t="s">
        <v>37</v>
      </c>
      <c r="I768">
        <v>5</v>
      </c>
      <c r="J768">
        <v>28</v>
      </c>
      <c r="K768">
        <v>9</v>
      </c>
    </row>
    <row r="769" spans="1:11" x14ac:dyDescent="0.35">
      <c r="A769">
        <v>768</v>
      </c>
      <c r="B769">
        <v>63</v>
      </c>
      <c r="C769" t="s">
        <v>16</v>
      </c>
      <c r="D769" t="s">
        <v>20</v>
      </c>
      <c r="E769" t="s">
        <v>36</v>
      </c>
      <c r="F769">
        <v>117.1</v>
      </c>
      <c r="G769" t="s">
        <v>14</v>
      </c>
      <c r="H769" t="s">
        <v>15</v>
      </c>
      <c r="I769">
        <v>3.6</v>
      </c>
      <c r="J769">
        <v>8</v>
      </c>
      <c r="K769">
        <v>4</v>
      </c>
    </row>
    <row r="770" spans="1:11" x14ac:dyDescent="0.35">
      <c r="A770">
        <v>769</v>
      </c>
      <c r="B770">
        <v>60</v>
      </c>
      <c r="C770" t="s">
        <v>11</v>
      </c>
      <c r="D770" t="s">
        <v>20</v>
      </c>
      <c r="E770" t="s">
        <v>39</v>
      </c>
      <c r="F770">
        <v>248.11</v>
      </c>
      <c r="G770" t="s">
        <v>14</v>
      </c>
      <c r="H770" t="s">
        <v>15</v>
      </c>
      <c r="I770">
        <v>3.9</v>
      </c>
      <c r="J770">
        <v>20</v>
      </c>
      <c r="K770">
        <v>5</v>
      </c>
    </row>
    <row r="771" spans="1:11" x14ac:dyDescent="0.35">
      <c r="A771">
        <v>770</v>
      </c>
      <c r="B771">
        <v>26</v>
      </c>
      <c r="C771" t="s">
        <v>11</v>
      </c>
      <c r="D771" t="s">
        <v>41</v>
      </c>
      <c r="E771" t="s">
        <v>46</v>
      </c>
      <c r="F771">
        <v>43.35</v>
      </c>
      <c r="G771" t="s">
        <v>19</v>
      </c>
      <c r="H771" t="s">
        <v>15</v>
      </c>
      <c r="I771">
        <v>4.4000000000000004</v>
      </c>
      <c r="J771">
        <v>14</v>
      </c>
      <c r="K771">
        <v>7</v>
      </c>
    </row>
    <row r="772" spans="1:11" x14ac:dyDescent="0.35">
      <c r="A772">
        <v>771</v>
      </c>
      <c r="B772">
        <v>56</v>
      </c>
      <c r="C772" t="s">
        <v>11</v>
      </c>
      <c r="D772" t="s">
        <v>25</v>
      </c>
      <c r="E772" t="s">
        <v>57</v>
      </c>
      <c r="F772">
        <v>62.63</v>
      </c>
      <c r="G772" t="s">
        <v>14</v>
      </c>
      <c r="H772" t="s">
        <v>15</v>
      </c>
      <c r="I772">
        <v>3.7</v>
      </c>
      <c r="J772">
        <v>18</v>
      </c>
      <c r="K772">
        <v>4</v>
      </c>
    </row>
    <row r="773" spans="1:11" x14ac:dyDescent="0.35">
      <c r="A773">
        <v>772</v>
      </c>
      <c r="B773">
        <v>21</v>
      </c>
      <c r="C773" t="s">
        <v>11</v>
      </c>
      <c r="D773" t="s">
        <v>41</v>
      </c>
      <c r="E773" t="s">
        <v>45</v>
      </c>
      <c r="F773">
        <v>92.13</v>
      </c>
      <c r="G773" t="s">
        <v>24</v>
      </c>
      <c r="H773" t="s">
        <v>37</v>
      </c>
      <c r="I773">
        <v>3.5</v>
      </c>
      <c r="J773">
        <v>20</v>
      </c>
      <c r="K773">
        <v>5</v>
      </c>
    </row>
    <row r="774" spans="1:11" x14ac:dyDescent="0.35">
      <c r="A774">
        <v>773</v>
      </c>
      <c r="B774">
        <v>31</v>
      </c>
      <c r="C774" t="s">
        <v>11</v>
      </c>
      <c r="D774" t="s">
        <v>12</v>
      </c>
      <c r="E774" t="s">
        <v>56</v>
      </c>
      <c r="F774">
        <v>136.74</v>
      </c>
      <c r="G774" t="s">
        <v>24</v>
      </c>
      <c r="H774" t="s">
        <v>15</v>
      </c>
      <c r="I774">
        <v>2.9</v>
      </c>
      <c r="J774">
        <v>8</v>
      </c>
      <c r="K774">
        <v>4</v>
      </c>
    </row>
    <row r="775" spans="1:11" x14ac:dyDescent="0.35">
      <c r="A775">
        <v>774</v>
      </c>
      <c r="B775">
        <v>51</v>
      </c>
      <c r="C775" t="s">
        <v>11</v>
      </c>
      <c r="D775" t="s">
        <v>29</v>
      </c>
      <c r="E775" t="s">
        <v>51</v>
      </c>
      <c r="F775">
        <v>101.97</v>
      </c>
      <c r="G775" t="s">
        <v>14</v>
      </c>
      <c r="H775" t="s">
        <v>15</v>
      </c>
      <c r="I775">
        <v>3.4</v>
      </c>
      <c r="J775">
        <v>9</v>
      </c>
      <c r="K775">
        <v>2</v>
      </c>
    </row>
    <row r="776" spans="1:11" x14ac:dyDescent="0.35">
      <c r="A776">
        <v>775</v>
      </c>
      <c r="B776">
        <v>38</v>
      </c>
      <c r="C776" t="s">
        <v>11</v>
      </c>
      <c r="D776" t="s">
        <v>41</v>
      </c>
      <c r="E776" t="s">
        <v>45</v>
      </c>
      <c r="F776">
        <v>50.83</v>
      </c>
      <c r="G776" t="s">
        <v>14</v>
      </c>
      <c r="H776" t="s">
        <v>15</v>
      </c>
      <c r="I776">
        <v>3.9</v>
      </c>
      <c r="J776">
        <v>7</v>
      </c>
      <c r="K776">
        <v>1</v>
      </c>
    </row>
    <row r="777" spans="1:11" x14ac:dyDescent="0.35">
      <c r="A777">
        <v>776</v>
      </c>
      <c r="B777">
        <v>52</v>
      </c>
      <c r="C777" t="s">
        <v>16</v>
      </c>
      <c r="D777" t="s">
        <v>33</v>
      </c>
      <c r="E777" t="s">
        <v>38</v>
      </c>
      <c r="F777">
        <v>161.58000000000001</v>
      </c>
      <c r="G777" t="s">
        <v>19</v>
      </c>
      <c r="H777" t="s">
        <v>15</v>
      </c>
      <c r="I777">
        <v>2.6</v>
      </c>
      <c r="J777">
        <v>22</v>
      </c>
      <c r="K777">
        <v>11</v>
      </c>
    </row>
    <row r="778" spans="1:11" x14ac:dyDescent="0.35">
      <c r="A778">
        <v>777</v>
      </c>
      <c r="B778">
        <v>36</v>
      </c>
      <c r="C778" t="s">
        <v>11</v>
      </c>
      <c r="D778" t="s">
        <v>25</v>
      </c>
      <c r="E778" t="s">
        <v>57</v>
      </c>
      <c r="F778">
        <v>11.85</v>
      </c>
      <c r="G778" t="s">
        <v>19</v>
      </c>
      <c r="H778" t="s">
        <v>37</v>
      </c>
      <c r="I778">
        <v>3.6</v>
      </c>
      <c r="J778">
        <v>19</v>
      </c>
      <c r="K778">
        <v>7</v>
      </c>
    </row>
    <row r="779" spans="1:11" x14ac:dyDescent="0.35">
      <c r="A779">
        <v>778</v>
      </c>
      <c r="B779">
        <v>42</v>
      </c>
      <c r="C779" t="s">
        <v>16</v>
      </c>
      <c r="D779" t="s">
        <v>33</v>
      </c>
      <c r="E779" t="s">
        <v>40</v>
      </c>
      <c r="F779">
        <v>205.2</v>
      </c>
      <c r="G779" t="s">
        <v>24</v>
      </c>
      <c r="H779" t="s">
        <v>15</v>
      </c>
      <c r="I779">
        <v>2.9</v>
      </c>
      <c r="J779">
        <v>4</v>
      </c>
      <c r="K779">
        <v>2</v>
      </c>
    </row>
    <row r="780" spans="1:11" x14ac:dyDescent="0.35">
      <c r="A780">
        <v>779</v>
      </c>
      <c r="B780">
        <v>69</v>
      </c>
      <c r="C780" t="s">
        <v>16</v>
      </c>
      <c r="D780" t="s">
        <v>22</v>
      </c>
      <c r="E780" t="s">
        <v>43</v>
      </c>
      <c r="F780">
        <v>120.93</v>
      </c>
      <c r="G780" t="s">
        <v>31</v>
      </c>
      <c r="H780" t="s">
        <v>15</v>
      </c>
      <c r="I780">
        <v>4.5</v>
      </c>
      <c r="J780">
        <v>28</v>
      </c>
      <c r="K780">
        <v>9</v>
      </c>
    </row>
    <row r="781" spans="1:11" x14ac:dyDescent="0.35">
      <c r="A781">
        <v>780</v>
      </c>
      <c r="B781">
        <v>67</v>
      </c>
      <c r="C781" t="s">
        <v>16</v>
      </c>
      <c r="D781" t="s">
        <v>17</v>
      </c>
      <c r="E781" t="s">
        <v>48</v>
      </c>
      <c r="F781">
        <v>35.68</v>
      </c>
      <c r="G781" t="s">
        <v>14</v>
      </c>
      <c r="H781" t="s">
        <v>37</v>
      </c>
      <c r="I781">
        <v>3.5</v>
      </c>
      <c r="J781">
        <v>10</v>
      </c>
      <c r="K781">
        <v>5</v>
      </c>
    </row>
    <row r="782" spans="1:11" x14ac:dyDescent="0.35">
      <c r="A782">
        <v>781</v>
      </c>
      <c r="B782">
        <v>69</v>
      </c>
      <c r="C782" t="s">
        <v>16</v>
      </c>
      <c r="D782" t="s">
        <v>20</v>
      </c>
      <c r="E782" t="s">
        <v>39</v>
      </c>
      <c r="F782">
        <v>109.07</v>
      </c>
      <c r="G782" t="s">
        <v>24</v>
      </c>
      <c r="H782" t="s">
        <v>15</v>
      </c>
      <c r="I782">
        <v>3.3</v>
      </c>
      <c r="J782">
        <v>10</v>
      </c>
      <c r="K782">
        <v>5</v>
      </c>
    </row>
    <row r="783" spans="1:11" x14ac:dyDescent="0.35">
      <c r="A783">
        <v>782</v>
      </c>
      <c r="B783">
        <v>30</v>
      </c>
      <c r="C783" t="s">
        <v>11</v>
      </c>
      <c r="D783" t="s">
        <v>33</v>
      </c>
      <c r="E783" t="s">
        <v>34</v>
      </c>
      <c r="F783">
        <v>109.86</v>
      </c>
      <c r="G783" t="s">
        <v>24</v>
      </c>
      <c r="H783" t="s">
        <v>15</v>
      </c>
      <c r="I783">
        <v>3.6</v>
      </c>
      <c r="J783">
        <v>9</v>
      </c>
      <c r="K783">
        <v>2</v>
      </c>
    </row>
    <row r="784" spans="1:11" x14ac:dyDescent="0.35">
      <c r="A784">
        <v>783</v>
      </c>
      <c r="B784">
        <v>40</v>
      </c>
      <c r="C784" t="s">
        <v>11</v>
      </c>
      <c r="D784" t="s">
        <v>41</v>
      </c>
      <c r="E784" t="s">
        <v>44</v>
      </c>
      <c r="F784">
        <v>34.85</v>
      </c>
      <c r="G784" t="s">
        <v>31</v>
      </c>
      <c r="H784" t="s">
        <v>37</v>
      </c>
      <c r="I784">
        <v>3</v>
      </c>
      <c r="J784">
        <v>14</v>
      </c>
      <c r="K784">
        <v>2</v>
      </c>
    </row>
    <row r="785" spans="1:11" x14ac:dyDescent="0.35">
      <c r="A785">
        <v>784</v>
      </c>
      <c r="B785">
        <v>41</v>
      </c>
      <c r="C785" t="s">
        <v>11</v>
      </c>
      <c r="D785" t="s">
        <v>25</v>
      </c>
      <c r="E785" t="s">
        <v>26</v>
      </c>
      <c r="F785">
        <v>70.84</v>
      </c>
      <c r="G785" t="s">
        <v>14</v>
      </c>
      <c r="H785" t="s">
        <v>15</v>
      </c>
      <c r="I785">
        <v>4.4000000000000004</v>
      </c>
      <c r="J785">
        <v>12</v>
      </c>
      <c r="K785">
        <v>6</v>
      </c>
    </row>
    <row r="786" spans="1:11" x14ac:dyDescent="0.35">
      <c r="A786">
        <v>785</v>
      </c>
      <c r="B786">
        <v>20</v>
      </c>
      <c r="C786" t="s">
        <v>16</v>
      </c>
      <c r="D786" t="s">
        <v>33</v>
      </c>
      <c r="E786" t="s">
        <v>38</v>
      </c>
      <c r="F786">
        <v>170.06</v>
      </c>
      <c r="G786" t="s">
        <v>24</v>
      </c>
      <c r="H786" t="s">
        <v>15</v>
      </c>
      <c r="I786">
        <v>4.4000000000000004</v>
      </c>
      <c r="J786">
        <v>12</v>
      </c>
      <c r="K786">
        <v>1</v>
      </c>
    </row>
    <row r="787" spans="1:11" x14ac:dyDescent="0.35">
      <c r="A787">
        <v>786</v>
      </c>
      <c r="B787">
        <v>39</v>
      </c>
      <c r="C787" t="s">
        <v>11</v>
      </c>
      <c r="D787" t="s">
        <v>22</v>
      </c>
      <c r="E787" t="s">
        <v>43</v>
      </c>
      <c r="F787">
        <v>80.69</v>
      </c>
      <c r="G787" t="s">
        <v>19</v>
      </c>
      <c r="H787" t="s">
        <v>37</v>
      </c>
      <c r="I787">
        <v>3.8</v>
      </c>
      <c r="J787">
        <v>16</v>
      </c>
      <c r="K787">
        <v>8</v>
      </c>
    </row>
    <row r="788" spans="1:11" x14ac:dyDescent="0.35">
      <c r="A788">
        <v>787</v>
      </c>
      <c r="B788">
        <v>54</v>
      </c>
      <c r="C788" t="s">
        <v>16</v>
      </c>
      <c r="D788" t="s">
        <v>27</v>
      </c>
      <c r="E788" t="s">
        <v>49</v>
      </c>
      <c r="F788">
        <v>980.43</v>
      </c>
      <c r="G788" t="s">
        <v>31</v>
      </c>
      <c r="H788" t="s">
        <v>15</v>
      </c>
      <c r="I788">
        <v>3.6</v>
      </c>
      <c r="J788">
        <v>14</v>
      </c>
      <c r="K788">
        <v>2</v>
      </c>
    </row>
    <row r="789" spans="1:11" x14ac:dyDescent="0.35">
      <c r="A789">
        <v>788</v>
      </c>
      <c r="B789">
        <v>66</v>
      </c>
      <c r="C789" t="s">
        <v>16</v>
      </c>
      <c r="D789" t="s">
        <v>20</v>
      </c>
      <c r="E789" t="s">
        <v>21</v>
      </c>
      <c r="F789">
        <v>103.3</v>
      </c>
      <c r="G789" t="s">
        <v>19</v>
      </c>
      <c r="H789" t="s">
        <v>15</v>
      </c>
      <c r="I789">
        <v>2.6</v>
      </c>
      <c r="J789">
        <v>6</v>
      </c>
      <c r="K789">
        <v>3</v>
      </c>
    </row>
    <row r="790" spans="1:11" x14ac:dyDescent="0.35">
      <c r="A790">
        <v>789</v>
      </c>
      <c r="B790">
        <v>39</v>
      </c>
      <c r="C790" t="s">
        <v>16</v>
      </c>
      <c r="D790" t="s">
        <v>20</v>
      </c>
      <c r="E790" t="s">
        <v>21</v>
      </c>
      <c r="F790">
        <v>245.18</v>
      </c>
      <c r="G790" t="s">
        <v>24</v>
      </c>
      <c r="H790" t="s">
        <v>15</v>
      </c>
      <c r="I790">
        <v>4</v>
      </c>
      <c r="J790">
        <v>20</v>
      </c>
      <c r="K790">
        <v>5</v>
      </c>
    </row>
    <row r="791" spans="1:11" x14ac:dyDescent="0.35">
      <c r="A791">
        <v>790</v>
      </c>
      <c r="B791">
        <v>39</v>
      </c>
      <c r="C791" t="s">
        <v>11</v>
      </c>
      <c r="D791" t="s">
        <v>12</v>
      </c>
      <c r="E791" t="s">
        <v>13</v>
      </c>
      <c r="F791">
        <v>128.03</v>
      </c>
      <c r="G791" t="s">
        <v>19</v>
      </c>
      <c r="H791" t="s">
        <v>15</v>
      </c>
      <c r="I791">
        <v>3.7</v>
      </c>
      <c r="J791">
        <v>8</v>
      </c>
      <c r="K791">
        <v>4</v>
      </c>
    </row>
    <row r="792" spans="1:11" x14ac:dyDescent="0.35">
      <c r="A792">
        <v>791</v>
      </c>
      <c r="B792">
        <v>21</v>
      </c>
      <c r="C792" t="s">
        <v>16</v>
      </c>
      <c r="D792" t="s">
        <v>20</v>
      </c>
      <c r="E792" t="s">
        <v>36</v>
      </c>
      <c r="F792">
        <v>231.08</v>
      </c>
      <c r="G792" t="s">
        <v>19</v>
      </c>
      <c r="H792" t="s">
        <v>15</v>
      </c>
      <c r="I792">
        <v>4.7</v>
      </c>
      <c r="J792">
        <v>18</v>
      </c>
      <c r="K792">
        <v>4</v>
      </c>
    </row>
    <row r="793" spans="1:11" x14ac:dyDescent="0.35">
      <c r="A793">
        <v>792</v>
      </c>
      <c r="B793">
        <v>60</v>
      </c>
      <c r="C793" t="s">
        <v>11</v>
      </c>
      <c r="D793" t="s">
        <v>41</v>
      </c>
      <c r="E793" t="s">
        <v>42</v>
      </c>
      <c r="F793">
        <v>48.29</v>
      </c>
      <c r="G793" t="s">
        <v>24</v>
      </c>
      <c r="H793" t="s">
        <v>37</v>
      </c>
      <c r="I793">
        <v>3.9</v>
      </c>
      <c r="J793">
        <v>22</v>
      </c>
      <c r="K793">
        <v>6</v>
      </c>
    </row>
    <row r="794" spans="1:11" x14ac:dyDescent="0.35">
      <c r="A794">
        <v>793</v>
      </c>
      <c r="B794">
        <v>27</v>
      </c>
      <c r="C794" t="s">
        <v>16</v>
      </c>
      <c r="D794" t="s">
        <v>27</v>
      </c>
      <c r="E794" t="s">
        <v>49</v>
      </c>
      <c r="F794">
        <v>677.89</v>
      </c>
      <c r="G794" t="s">
        <v>31</v>
      </c>
      <c r="H794" t="s">
        <v>15</v>
      </c>
      <c r="I794">
        <v>3.3</v>
      </c>
      <c r="J794">
        <v>16</v>
      </c>
      <c r="K794">
        <v>8</v>
      </c>
    </row>
    <row r="795" spans="1:11" x14ac:dyDescent="0.35">
      <c r="A795">
        <v>794</v>
      </c>
      <c r="B795">
        <v>36</v>
      </c>
      <c r="C795" t="s">
        <v>16</v>
      </c>
      <c r="D795" t="s">
        <v>20</v>
      </c>
      <c r="E795" t="s">
        <v>21</v>
      </c>
      <c r="F795">
        <v>163.62</v>
      </c>
      <c r="G795" t="s">
        <v>24</v>
      </c>
      <c r="H795" t="s">
        <v>15</v>
      </c>
      <c r="I795">
        <v>2.9</v>
      </c>
      <c r="J795">
        <v>15</v>
      </c>
      <c r="K795">
        <v>5</v>
      </c>
    </row>
    <row r="796" spans="1:11" x14ac:dyDescent="0.35">
      <c r="A796">
        <v>795</v>
      </c>
      <c r="B796">
        <v>21</v>
      </c>
      <c r="C796" t="s">
        <v>11</v>
      </c>
      <c r="D796" t="s">
        <v>25</v>
      </c>
      <c r="E796" t="s">
        <v>47</v>
      </c>
      <c r="F796">
        <v>23.18</v>
      </c>
      <c r="G796" t="s">
        <v>19</v>
      </c>
      <c r="H796" t="s">
        <v>15</v>
      </c>
      <c r="I796">
        <v>4.4000000000000004</v>
      </c>
      <c r="J796">
        <v>11</v>
      </c>
      <c r="K796">
        <v>3</v>
      </c>
    </row>
    <row r="797" spans="1:11" x14ac:dyDescent="0.35">
      <c r="A797">
        <v>796</v>
      </c>
      <c r="B797">
        <v>63</v>
      </c>
      <c r="C797" t="s">
        <v>16</v>
      </c>
      <c r="D797" t="s">
        <v>20</v>
      </c>
      <c r="E797" t="s">
        <v>39</v>
      </c>
      <c r="F797">
        <v>136.33000000000001</v>
      </c>
      <c r="G797" t="s">
        <v>14</v>
      </c>
      <c r="H797" t="s">
        <v>15</v>
      </c>
      <c r="I797">
        <v>4.5999999999999996</v>
      </c>
      <c r="J797">
        <v>15</v>
      </c>
      <c r="K797">
        <v>5</v>
      </c>
    </row>
    <row r="798" spans="1:11" x14ac:dyDescent="0.35">
      <c r="A798">
        <v>797</v>
      </c>
      <c r="B798">
        <v>67</v>
      </c>
      <c r="C798" t="s">
        <v>16</v>
      </c>
      <c r="D798" t="s">
        <v>27</v>
      </c>
      <c r="E798" t="s">
        <v>49</v>
      </c>
      <c r="F798">
        <v>2406.63</v>
      </c>
      <c r="G798" t="s">
        <v>24</v>
      </c>
      <c r="H798" t="s">
        <v>15</v>
      </c>
      <c r="I798">
        <v>3.2</v>
      </c>
      <c r="J798">
        <v>16</v>
      </c>
      <c r="K798">
        <v>3</v>
      </c>
    </row>
    <row r="799" spans="1:11" x14ac:dyDescent="0.35">
      <c r="A799">
        <v>798</v>
      </c>
      <c r="B799">
        <v>27</v>
      </c>
      <c r="C799" t="s">
        <v>16</v>
      </c>
      <c r="D799" t="s">
        <v>33</v>
      </c>
      <c r="E799" t="s">
        <v>40</v>
      </c>
      <c r="F799">
        <v>172.16</v>
      </c>
      <c r="G799" t="s">
        <v>24</v>
      </c>
      <c r="H799" t="s">
        <v>15</v>
      </c>
      <c r="I799">
        <v>3.4</v>
      </c>
      <c r="J799">
        <v>14</v>
      </c>
      <c r="K799">
        <v>7</v>
      </c>
    </row>
    <row r="800" spans="1:11" x14ac:dyDescent="0.35">
      <c r="A800">
        <v>799</v>
      </c>
      <c r="B800">
        <v>69</v>
      </c>
      <c r="C800" t="s">
        <v>16</v>
      </c>
      <c r="D800" t="s">
        <v>33</v>
      </c>
      <c r="E800" t="s">
        <v>40</v>
      </c>
      <c r="F800">
        <v>242.66</v>
      </c>
      <c r="G800" t="s">
        <v>19</v>
      </c>
      <c r="H800" t="s">
        <v>15</v>
      </c>
      <c r="I800">
        <v>5</v>
      </c>
      <c r="J800">
        <v>2</v>
      </c>
      <c r="K800">
        <v>1</v>
      </c>
    </row>
    <row r="801" spans="1:11" x14ac:dyDescent="0.35">
      <c r="A801">
        <v>800</v>
      </c>
      <c r="B801">
        <v>64</v>
      </c>
      <c r="C801" t="s">
        <v>16</v>
      </c>
      <c r="D801" t="s">
        <v>20</v>
      </c>
      <c r="E801" t="s">
        <v>21</v>
      </c>
      <c r="F801">
        <v>99.39</v>
      </c>
      <c r="G801" t="s">
        <v>14</v>
      </c>
      <c r="H801" t="s">
        <v>15</v>
      </c>
      <c r="I801">
        <v>3.6</v>
      </c>
      <c r="J801">
        <v>16</v>
      </c>
      <c r="K801">
        <v>8</v>
      </c>
    </row>
    <row r="802" spans="1:11" x14ac:dyDescent="0.35">
      <c r="A802">
        <v>801</v>
      </c>
      <c r="B802">
        <v>62</v>
      </c>
      <c r="C802" t="s">
        <v>11</v>
      </c>
      <c r="D802" t="s">
        <v>29</v>
      </c>
      <c r="E802" t="s">
        <v>30</v>
      </c>
      <c r="F802">
        <v>36.869999999999997</v>
      </c>
      <c r="G802" t="s">
        <v>24</v>
      </c>
      <c r="H802" t="s">
        <v>15</v>
      </c>
      <c r="I802">
        <v>4.7</v>
      </c>
      <c r="J802">
        <v>23</v>
      </c>
      <c r="K802">
        <v>9</v>
      </c>
    </row>
    <row r="803" spans="1:11" x14ac:dyDescent="0.35">
      <c r="A803">
        <v>802</v>
      </c>
      <c r="B803">
        <v>55</v>
      </c>
      <c r="C803" t="s">
        <v>16</v>
      </c>
      <c r="D803" t="s">
        <v>27</v>
      </c>
      <c r="E803" t="s">
        <v>49</v>
      </c>
      <c r="F803">
        <v>2855.84</v>
      </c>
      <c r="G803" t="s">
        <v>14</v>
      </c>
      <c r="H803" t="s">
        <v>15</v>
      </c>
      <c r="I803">
        <v>3.7</v>
      </c>
      <c r="J803">
        <v>11</v>
      </c>
      <c r="K803">
        <v>3</v>
      </c>
    </row>
    <row r="804" spans="1:11" x14ac:dyDescent="0.35">
      <c r="A804">
        <v>803</v>
      </c>
      <c r="B804">
        <v>49</v>
      </c>
      <c r="C804" t="s">
        <v>11</v>
      </c>
      <c r="D804" t="s">
        <v>12</v>
      </c>
      <c r="E804" t="s">
        <v>13</v>
      </c>
      <c r="F804">
        <v>135.05000000000001</v>
      </c>
      <c r="G804" t="s">
        <v>19</v>
      </c>
      <c r="H804" t="s">
        <v>15</v>
      </c>
      <c r="I804">
        <v>2.9</v>
      </c>
      <c r="J804">
        <v>6</v>
      </c>
      <c r="K804">
        <v>3</v>
      </c>
    </row>
    <row r="805" spans="1:11" x14ac:dyDescent="0.35">
      <c r="A805">
        <v>804</v>
      </c>
      <c r="B805">
        <v>34</v>
      </c>
      <c r="C805" t="s">
        <v>16</v>
      </c>
      <c r="D805" t="s">
        <v>20</v>
      </c>
      <c r="E805" t="s">
        <v>21</v>
      </c>
      <c r="F805">
        <v>49.52</v>
      </c>
      <c r="G805" t="s">
        <v>19</v>
      </c>
      <c r="H805" t="s">
        <v>37</v>
      </c>
      <c r="I805">
        <v>2.2999999999999998</v>
      </c>
      <c r="J805">
        <v>9</v>
      </c>
      <c r="K805">
        <v>2</v>
      </c>
    </row>
    <row r="806" spans="1:11" x14ac:dyDescent="0.35">
      <c r="A806">
        <v>805</v>
      </c>
      <c r="B806">
        <v>42</v>
      </c>
      <c r="C806" t="s">
        <v>16</v>
      </c>
      <c r="D806" t="s">
        <v>33</v>
      </c>
      <c r="E806" t="s">
        <v>40</v>
      </c>
      <c r="F806">
        <v>161.18</v>
      </c>
      <c r="G806" t="s">
        <v>19</v>
      </c>
      <c r="H806" t="s">
        <v>15</v>
      </c>
      <c r="I806">
        <v>4.5</v>
      </c>
      <c r="J806">
        <v>20</v>
      </c>
      <c r="K806">
        <v>5</v>
      </c>
    </row>
    <row r="807" spans="1:11" x14ac:dyDescent="0.35">
      <c r="A807">
        <v>806</v>
      </c>
      <c r="B807">
        <v>70</v>
      </c>
      <c r="C807" t="s">
        <v>11</v>
      </c>
      <c r="D807" t="s">
        <v>25</v>
      </c>
      <c r="E807" t="s">
        <v>54</v>
      </c>
      <c r="F807">
        <v>36.299999999999997</v>
      </c>
      <c r="G807" t="s">
        <v>24</v>
      </c>
      <c r="H807" t="s">
        <v>15</v>
      </c>
      <c r="I807">
        <v>3.1</v>
      </c>
      <c r="J807">
        <v>12</v>
      </c>
      <c r="K807">
        <v>6</v>
      </c>
    </row>
    <row r="808" spans="1:11" x14ac:dyDescent="0.35">
      <c r="A808">
        <v>807</v>
      </c>
      <c r="B808">
        <v>42</v>
      </c>
      <c r="C808" t="s">
        <v>16</v>
      </c>
      <c r="D808" t="s">
        <v>27</v>
      </c>
      <c r="E808" t="s">
        <v>28</v>
      </c>
      <c r="F808">
        <v>2889.05</v>
      </c>
      <c r="G808" t="s">
        <v>19</v>
      </c>
      <c r="H808" t="s">
        <v>15</v>
      </c>
      <c r="I808">
        <v>4.0999999999999996</v>
      </c>
      <c r="J808">
        <v>12</v>
      </c>
      <c r="K808">
        <v>1</v>
      </c>
    </row>
    <row r="809" spans="1:11" x14ac:dyDescent="0.35">
      <c r="A809">
        <v>808</v>
      </c>
      <c r="B809">
        <v>49</v>
      </c>
      <c r="C809" t="s">
        <v>11</v>
      </c>
      <c r="D809" t="s">
        <v>33</v>
      </c>
      <c r="E809" t="s">
        <v>34</v>
      </c>
      <c r="F809">
        <v>185.74</v>
      </c>
      <c r="G809" t="s">
        <v>19</v>
      </c>
      <c r="H809" t="s">
        <v>15</v>
      </c>
      <c r="I809">
        <v>2.5</v>
      </c>
      <c r="J809">
        <v>13</v>
      </c>
      <c r="K809">
        <v>4</v>
      </c>
    </row>
    <row r="810" spans="1:11" x14ac:dyDescent="0.35">
      <c r="A810">
        <v>809</v>
      </c>
      <c r="B810">
        <v>57</v>
      </c>
      <c r="C810" t="s">
        <v>11</v>
      </c>
      <c r="D810" t="s">
        <v>41</v>
      </c>
      <c r="E810" t="s">
        <v>46</v>
      </c>
      <c r="F810">
        <v>149.82</v>
      </c>
      <c r="G810" t="s">
        <v>19</v>
      </c>
      <c r="H810" t="s">
        <v>15</v>
      </c>
      <c r="I810">
        <v>3.3</v>
      </c>
      <c r="J810">
        <v>16</v>
      </c>
      <c r="K810">
        <v>8</v>
      </c>
    </row>
    <row r="811" spans="1:11" x14ac:dyDescent="0.35">
      <c r="A811">
        <v>810</v>
      </c>
      <c r="B811">
        <v>45</v>
      </c>
      <c r="C811" t="s">
        <v>11</v>
      </c>
      <c r="D811" t="s">
        <v>20</v>
      </c>
      <c r="E811" t="s">
        <v>36</v>
      </c>
      <c r="F811">
        <v>159.87</v>
      </c>
      <c r="G811" t="s">
        <v>24</v>
      </c>
      <c r="H811" t="s">
        <v>15</v>
      </c>
      <c r="I811">
        <v>3.6</v>
      </c>
      <c r="J811">
        <v>11</v>
      </c>
      <c r="K811">
        <v>3</v>
      </c>
    </row>
    <row r="812" spans="1:11" x14ac:dyDescent="0.35">
      <c r="A812">
        <v>811</v>
      </c>
      <c r="B812">
        <v>47</v>
      </c>
      <c r="C812" t="s">
        <v>11</v>
      </c>
      <c r="D812" t="s">
        <v>33</v>
      </c>
      <c r="E812" t="s">
        <v>40</v>
      </c>
      <c r="F812">
        <v>116.66</v>
      </c>
      <c r="G812" t="s">
        <v>19</v>
      </c>
      <c r="H812" t="s">
        <v>15</v>
      </c>
      <c r="I812">
        <v>4.0999999999999996</v>
      </c>
      <c r="J812">
        <v>16</v>
      </c>
      <c r="K812">
        <v>8</v>
      </c>
    </row>
    <row r="813" spans="1:11" x14ac:dyDescent="0.35">
      <c r="A813">
        <v>812</v>
      </c>
      <c r="B813">
        <v>60</v>
      </c>
      <c r="C813" t="s">
        <v>16</v>
      </c>
      <c r="D813" t="s">
        <v>33</v>
      </c>
      <c r="E813" t="s">
        <v>34</v>
      </c>
      <c r="F813">
        <v>69.97</v>
      </c>
      <c r="G813" t="s">
        <v>24</v>
      </c>
      <c r="H813" t="s">
        <v>15</v>
      </c>
      <c r="I813">
        <v>4.5999999999999996</v>
      </c>
      <c r="J813">
        <v>24</v>
      </c>
      <c r="K813">
        <v>7</v>
      </c>
    </row>
    <row r="814" spans="1:11" x14ac:dyDescent="0.35">
      <c r="A814">
        <v>813</v>
      </c>
      <c r="B814">
        <v>43</v>
      </c>
      <c r="C814" t="s">
        <v>11</v>
      </c>
      <c r="D814" t="s">
        <v>33</v>
      </c>
      <c r="E814" t="s">
        <v>40</v>
      </c>
      <c r="F814">
        <v>243.54</v>
      </c>
      <c r="G814" t="s">
        <v>24</v>
      </c>
      <c r="H814" t="s">
        <v>15</v>
      </c>
      <c r="I814">
        <v>4.0999999999999996</v>
      </c>
      <c r="J814">
        <v>22</v>
      </c>
      <c r="K814">
        <v>6</v>
      </c>
    </row>
    <row r="815" spans="1:11" x14ac:dyDescent="0.35">
      <c r="A815">
        <v>814</v>
      </c>
      <c r="B815">
        <v>64</v>
      </c>
      <c r="C815" t="s">
        <v>16</v>
      </c>
      <c r="D815" t="s">
        <v>20</v>
      </c>
      <c r="E815" t="s">
        <v>21</v>
      </c>
      <c r="F815">
        <v>182</v>
      </c>
      <c r="G815" t="s">
        <v>31</v>
      </c>
      <c r="H815" t="s">
        <v>15</v>
      </c>
      <c r="I815">
        <v>4.5</v>
      </c>
      <c r="J815">
        <v>11</v>
      </c>
      <c r="K815">
        <v>3</v>
      </c>
    </row>
    <row r="816" spans="1:11" x14ac:dyDescent="0.35">
      <c r="A816">
        <v>815</v>
      </c>
      <c r="B816">
        <v>55</v>
      </c>
      <c r="C816" t="s">
        <v>11</v>
      </c>
      <c r="D816" t="s">
        <v>29</v>
      </c>
      <c r="E816" t="s">
        <v>51</v>
      </c>
      <c r="F816">
        <v>129.26</v>
      </c>
      <c r="G816" t="s">
        <v>19</v>
      </c>
      <c r="H816" t="s">
        <v>15</v>
      </c>
      <c r="I816">
        <v>3.2</v>
      </c>
      <c r="J816">
        <v>8</v>
      </c>
      <c r="K816">
        <v>4</v>
      </c>
    </row>
    <row r="817" spans="1:11" x14ac:dyDescent="0.35">
      <c r="A817">
        <v>816</v>
      </c>
      <c r="B817">
        <v>62</v>
      </c>
      <c r="C817" t="s">
        <v>11</v>
      </c>
      <c r="D817" t="s">
        <v>33</v>
      </c>
      <c r="E817" t="s">
        <v>34</v>
      </c>
      <c r="F817">
        <v>199.51</v>
      </c>
      <c r="G817" t="s">
        <v>19</v>
      </c>
      <c r="H817" t="s">
        <v>15</v>
      </c>
      <c r="I817">
        <v>5</v>
      </c>
      <c r="J817">
        <v>26</v>
      </c>
      <c r="K817">
        <v>13</v>
      </c>
    </row>
    <row r="818" spans="1:11" x14ac:dyDescent="0.35">
      <c r="A818">
        <v>817</v>
      </c>
      <c r="B818">
        <v>48</v>
      </c>
      <c r="C818" t="s">
        <v>11</v>
      </c>
      <c r="D818" t="s">
        <v>25</v>
      </c>
      <c r="E818" t="s">
        <v>26</v>
      </c>
      <c r="F818">
        <v>42.88</v>
      </c>
      <c r="G818" t="s">
        <v>31</v>
      </c>
      <c r="H818" t="s">
        <v>37</v>
      </c>
      <c r="I818">
        <v>3.9</v>
      </c>
      <c r="J818">
        <v>22</v>
      </c>
      <c r="K818">
        <v>6</v>
      </c>
    </row>
    <row r="819" spans="1:11" x14ac:dyDescent="0.35">
      <c r="A819">
        <v>818</v>
      </c>
      <c r="B819">
        <v>65</v>
      </c>
      <c r="C819" t="s">
        <v>11</v>
      </c>
      <c r="D819" t="s">
        <v>41</v>
      </c>
      <c r="E819" t="s">
        <v>44</v>
      </c>
      <c r="F819">
        <v>108.5</v>
      </c>
      <c r="G819" t="s">
        <v>31</v>
      </c>
      <c r="H819" t="s">
        <v>15</v>
      </c>
      <c r="I819">
        <v>3.4</v>
      </c>
      <c r="J819">
        <v>16</v>
      </c>
      <c r="K819">
        <v>8</v>
      </c>
    </row>
    <row r="820" spans="1:11" x14ac:dyDescent="0.35">
      <c r="A820">
        <v>819</v>
      </c>
      <c r="B820">
        <v>27</v>
      </c>
      <c r="C820" t="s">
        <v>11</v>
      </c>
      <c r="D820" t="s">
        <v>29</v>
      </c>
      <c r="E820" t="s">
        <v>51</v>
      </c>
      <c r="F820">
        <v>38.35</v>
      </c>
      <c r="G820" t="s">
        <v>31</v>
      </c>
      <c r="H820" t="s">
        <v>37</v>
      </c>
      <c r="I820">
        <v>5</v>
      </c>
      <c r="J820">
        <v>13</v>
      </c>
      <c r="K820">
        <v>4</v>
      </c>
    </row>
    <row r="821" spans="1:11" x14ac:dyDescent="0.35">
      <c r="A821">
        <v>820</v>
      </c>
      <c r="B821">
        <v>68</v>
      </c>
      <c r="C821" t="s">
        <v>11</v>
      </c>
      <c r="D821" t="s">
        <v>25</v>
      </c>
      <c r="E821" t="s">
        <v>47</v>
      </c>
      <c r="F821">
        <v>28.85</v>
      </c>
      <c r="G821" t="s">
        <v>31</v>
      </c>
      <c r="H821" t="s">
        <v>15</v>
      </c>
      <c r="I821">
        <v>4.4000000000000004</v>
      </c>
      <c r="J821">
        <v>17</v>
      </c>
      <c r="K821">
        <v>6</v>
      </c>
    </row>
    <row r="822" spans="1:11" x14ac:dyDescent="0.35">
      <c r="A822">
        <v>821</v>
      </c>
      <c r="B822">
        <v>64</v>
      </c>
      <c r="C822" t="s">
        <v>16</v>
      </c>
      <c r="D822" t="s">
        <v>27</v>
      </c>
      <c r="E822" t="s">
        <v>49</v>
      </c>
      <c r="F822">
        <v>1305.74</v>
      </c>
      <c r="G822" t="s">
        <v>31</v>
      </c>
      <c r="H822" t="s">
        <v>15</v>
      </c>
      <c r="I822">
        <v>4.8</v>
      </c>
      <c r="J822">
        <v>12</v>
      </c>
      <c r="K822">
        <v>6</v>
      </c>
    </row>
    <row r="823" spans="1:11" x14ac:dyDescent="0.35">
      <c r="A823">
        <v>822</v>
      </c>
      <c r="B823">
        <v>31</v>
      </c>
      <c r="C823" t="s">
        <v>16</v>
      </c>
      <c r="D823" t="s">
        <v>27</v>
      </c>
      <c r="E823" t="s">
        <v>28</v>
      </c>
      <c r="F823">
        <v>2370.9899999999998</v>
      </c>
      <c r="G823" t="s">
        <v>19</v>
      </c>
      <c r="H823" t="s">
        <v>15</v>
      </c>
      <c r="I823">
        <v>3.6</v>
      </c>
      <c r="J823">
        <v>20</v>
      </c>
      <c r="K823">
        <v>5</v>
      </c>
    </row>
    <row r="824" spans="1:11" x14ac:dyDescent="0.35">
      <c r="A824">
        <v>823</v>
      </c>
      <c r="B824">
        <v>56</v>
      </c>
      <c r="C824" t="s">
        <v>11</v>
      </c>
      <c r="D824" t="s">
        <v>20</v>
      </c>
      <c r="E824" t="s">
        <v>21</v>
      </c>
      <c r="F824">
        <v>197.64</v>
      </c>
      <c r="G824" t="s">
        <v>31</v>
      </c>
      <c r="H824" t="s">
        <v>15</v>
      </c>
      <c r="I824">
        <v>5</v>
      </c>
      <c r="J824">
        <v>22</v>
      </c>
      <c r="K824">
        <v>6</v>
      </c>
    </row>
    <row r="825" spans="1:11" x14ac:dyDescent="0.35">
      <c r="A825">
        <v>824</v>
      </c>
      <c r="B825">
        <v>55</v>
      </c>
      <c r="C825" t="s">
        <v>11</v>
      </c>
      <c r="D825" t="s">
        <v>41</v>
      </c>
      <c r="E825" t="s">
        <v>45</v>
      </c>
      <c r="F825">
        <v>33.4</v>
      </c>
      <c r="G825" t="s">
        <v>31</v>
      </c>
      <c r="H825" t="s">
        <v>37</v>
      </c>
      <c r="I825">
        <v>4.9000000000000004</v>
      </c>
      <c r="J825">
        <v>14</v>
      </c>
      <c r="K825">
        <v>2</v>
      </c>
    </row>
    <row r="826" spans="1:11" x14ac:dyDescent="0.35">
      <c r="A826">
        <v>825</v>
      </c>
      <c r="B826">
        <v>57</v>
      </c>
      <c r="C826" t="s">
        <v>11</v>
      </c>
      <c r="D826" t="s">
        <v>25</v>
      </c>
      <c r="E826" t="s">
        <v>57</v>
      </c>
      <c r="F826">
        <v>68.77</v>
      </c>
      <c r="G826" t="s">
        <v>19</v>
      </c>
      <c r="H826" t="s">
        <v>15</v>
      </c>
      <c r="I826">
        <v>4.2</v>
      </c>
      <c r="J826">
        <v>32</v>
      </c>
      <c r="K826">
        <v>11</v>
      </c>
    </row>
    <row r="827" spans="1:11" x14ac:dyDescent="0.35">
      <c r="A827">
        <v>826</v>
      </c>
      <c r="B827">
        <v>36</v>
      </c>
      <c r="C827" t="s">
        <v>11</v>
      </c>
      <c r="D827" t="s">
        <v>41</v>
      </c>
      <c r="E827" t="s">
        <v>42</v>
      </c>
      <c r="F827">
        <v>42.75</v>
      </c>
      <c r="G827" t="s">
        <v>31</v>
      </c>
      <c r="H827" t="s">
        <v>15</v>
      </c>
      <c r="I827">
        <v>3.8</v>
      </c>
      <c r="J827">
        <v>17</v>
      </c>
      <c r="K827">
        <v>6</v>
      </c>
    </row>
    <row r="828" spans="1:11" x14ac:dyDescent="0.35">
      <c r="A828">
        <v>827</v>
      </c>
      <c r="B828">
        <v>41</v>
      </c>
      <c r="C828" t="s">
        <v>11</v>
      </c>
      <c r="D828" t="s">
        <v>22</v>
      </c>
      <c r="E828" t="s">
        <v>23</v>
      </c>
      <c r="F828">
        <v>157.96</v>
      </c>
      <c r="G828" t="s">
        <v>31</v>
      </c>
      <c r="H828" t="s">
        <v>15</v>
      </c>
      <c r="I828">
        <v>4.4000000000000004</v>
      </c>
      <c r="J828">
        <v>10</v>
      </c>
      <c r="K828">
        <v>5</v>
      </c>
    </row>
    <row r="829" spans="1:11" x14ac:dyDescent="0.35">
      <c r="A829">
        <v>828</v>
      </c>
      <c r="B829">
        <v>38</v>
      </c>
      <c r="C829" t="s">
        <v>16</v>
      </c>
      <c r="D829" t="s">
        <v>27</v>
      </c>
      <c r="E829" t="s">
        <v>53</v>
      </c>
      <c r="F829">
        <v>2502.52</v>
      </c>
      <c r="G829" t="s">
        <v>14</v>
      </c>
      <c r="H829" t="s">
        <v>15</v>
      </c>
      <c r="I829">
        <v>2.9</v>
      </c>
      <c r="J829">
        <v>15</v>
      </c>
      <c r="K829">
        <v>5</v>
      </c>
    </row>
    <row r="830" spans="1:11" x14ac:dyDescent="0.35">
      <c r="A830">
        <v>829</v>
      </c>
      <c r="B830">
        <v>43</v>
      </c>
      <c r="C830" t="s">
        <v>11</v>
      </c>
      <c r="D830" t="s">
        <v>20</v>
      </c>
      <c r="E830" t="s">
        <v>36</v>
      </c>
      <c r="F830">
        <v>93.26</v>
      </c>
      <c r="G830" t="s">
        <v>24</v>
      </c>
      <c r="H830" t="s">
        <v>15</v>
      </c>
      <c r="I830">
        <v>4.3</v>
      </c>
      <c r="J830">
        <v>10</v>
      </c>
      <c r="K830">
        <v>5</v>
      </c>
    </row>
    <row r="831" spans="1:11" x14ac:dyDescent="0.35">
      <c r="A831">
        <v>830</v>
      </c>
      <c r="B831">
        <v>46</v>
      </c>
      <c r="C831" t="s">
        <v>16</v>
      </c>
      <c r="D831" t="s">
        <v>33</v>
      </c>
      <c r="E831" t="s">
        <v>38</v>
      </c>
      <c r="F831">
        <v>160.09</v>
      </c>
      <c r="G831" t="s">
        <v>14</v>
      </c>
      <c r="H831" t="s">
        <v>15</v>
      </c>
      <c r="I831">
        <v>4</v>
      </c>
      <c r="J831">
        <v>8</v>
      </c>
      <c r="K831">
        <v>4</v>
      </c>
    </row>
    <row r="832" spans="1:11" x14ac:dyDescent="0.35">
      <c r="A832">
        <v>831</v>
      </c>
      <c r="B832">
        <v>38</v>
      </c>
      <c r="C832" t="s">
        <v>16</v>
      </c>
      <c r="D832" t="s">
        <v>27</v>
      </c>
      <c r="E832" t="s">
        <v>53</v>
      </c>
      <c r="F832">
        <v>2841.72</v>
      </c>
      <c r="G832" t="s">
        <v>14</v>
      </c>
      <c r="H832" t="s">
        <v>15</v>
      </c>
      <c r="I832">
        <v>4</v>
      </c>
      <c r="J832">
        <v>23</v>
      </c>
      <c r="K832">
        <v>9</v>
      </c>
    </row>
    <row r="833" spans="1:11" x14ac:dyDescent="0.35">
      <c r="A833">
        <v>832</v>
      </c>
      <c r="B833">
        <v>32</v>
      </c>
      <c r="C833" t="s">
        <v>16</v>
      </c>
      <c r="D833" t="s">
        <v>22</v>
      </c>
      <c r="E833" t="s">
        <v>23</v>
      </c>
      <c r="F833">
        <v>220.24</v>
      </c>
      <c r="G833" t="s">
        <v>31</v>
      </c>
      <c r="H833" t="s">
        <v>15</v>
      </c>
      <c r="I833">
        <v>5</v>
      </c>
      <c r="J833">
        <v>16</v>
      </c>
      <c r="K833">
        <v>3</v>
      </c>
    </row>
    <row r="834" spans="1:11" x14ac:dyDescent="0.35">
      <c r="A834">
        <v>833</v>
      </c>
      <c r="B834">
        <v>59</v>
      </c>
      <c r="C834" t="s">
        <v>16</v>
      </c>
      <c r="D834" t="s">
        <v>33</v>
      </c>
      <c r="E834" t="s">
        <v>38</v>
      </c>
      <c r="F834">
        <v>239.65</v>
      </c>
      <c r="G834" t="s">
        <v>24</v>
      </c>
      <c r="H834" t="s">
        <v>15</v>
      </c>
      <c r="I834">
        <v>2.7</v>
      </c>
      <c r="J834">
        <v>9</v>
      </c>
      <c r="K834">
        <v>2</v>
      </c>
    </row>
    <row r="835" spans="1:11" x14ac:dyDescent="0.35">
      <c r="A835">
        <v>834</v>
      </c>
      <c r="B835">
        <v>37</v>
      </c>
      <c r="C835" t="s">
        <v>11</v>
      </c>
      <c r="D835" t="s">
        <v>41</v>
      </c>
      <c r="E835" t="s">
        <v>42</v>
      </c>
      <c r="F835">
        <v>41.62</v>
      </c>
      <c r="G835" t="s">
        <v>24</v>
      </c>
      <c r="H835" t="s">
        <v>15</v>
      </c>
      <c r="I835">
        <v>3.5</v>
      </c>
      <c r="J835">
        <v>21</v>
      </c>
      <c r="K835">
        <v>8</v>
      </c>
    </row>
    <row r="836" spans="1:11" x14ac:dyDescent="0.35">
      <c r="A836">
        <v>835</v>
      </c>
      <c r="B836">
        <v>36</v>
      </c>
      <c r="C836" t="s">
        <v>16</v>
      </c>
      <c r="D836" t="s">
        <v>22</v>
      </c>
      <c r="E836" t="s">
        <v>43</v>
      </c>
      <c r="F836">
        <v>254.85</v>
      </c>
      <c r="G836" t="s">
        <v>31</v>
      </c>
      <c r="H836" t="s">
        <v>15</v>
      </c>
      <c r="I836">
        <v>3</v>
      </c>
      <c r="J836">
        <v>8</v>
      </c>
      <c r="K836">
        <v>4</v>
      </c>
    </row>
    <row r="837" spans="1:11" x14ac:dyDescent="0.35">
      <c r="A837">
        <v>836</v>
      </c>
      <c r="B837">
        <v>34</v>
      </c>
      <c r="C837" t="s">
        <v>11</v>
      </c>
      <c r="D837" t="s">
        <v>41</v>
      </c>
      <c r="E837" t="s">
        <v>46</v>
      </c>
      <c r="F837">
        <v>46.13</v>
      </c>
      <c r="G837" t="s">
        <v>31</v>
      </c>
      <c r="H837" t="s">
        <v>37</v>
      </c>
      <c r="I837">
        <v>3.5</v>
      </c>
      <c r="J837">
        <v>21</v>
      </c>
      <c r="K837">
        <v>8</v>
      </c>
    </row>
    <row r="838" spans="1:11" x14ac:dyDescent="0.35">
      <c r="A838">
        <v>837</v>
      </c>
      <c r="B838">
        <v>62</v>
      </c>
      <c r="C838" t="s">
        <v>11</v>
      </c>
      <c r="D838" t="s">
        <v>12</v>
      </c>
      <c r="E838" t="s">
        <v>13</v>
      </c>
      <c r="F838">
        <v>144.18</v>
      </c>
      <c r="G838" t="s">
        <v>24</v>
      </c>
      <c r="H838" t="s">
        <v>15</v>
      </c>
      <c r="I838">
        <v>3.7</v>
      </c>
      <c r="J838">
        <v>6</v>
      </c>
      <c r="K838">
        <v>3</v>
      </c>
    </row>
    <row r="839" spans="1:11" x14ac:dyDescent="0.35">
      <c r="A839">
        <v>838</v>
      </c>
      <c r="B839">
        <v>59</v>
      </c>
      <c r="C839" t="s">
        <v>16</v>
      </c>
      <c r="D839" t="s">
        <v>20</v>
      </c>
      <c r="E839" t="s">
        <v>21</v>
      </c>
      <c r="F839">
        <v>140.99</v>
      </c>
      <c r="G839" t="s">
        <v>19</v>
      </c>
      <c r="H839" t="s">
        <v>15</v>
      </c>
      <c r="I839">
        <v>2.7</v>
      </c>
      <c r="J839">
        <v>12</v>
      </c>
      <c r="K839">
        <v>6</v>
      </c>
    </row>
    <row r="840" spans="1:11" x14ac:dyDescent="0.35">
      <c r="A840">
        <v>839</v>
      </c>
      <c r="B840">
        <v>38</v>
      </c>
      <c r="C840" t="s">
        <v>16</v>
      </c>
      <c r="D840" t="s">
        <v>22</v>
      </c>
      <c r="E840" t="s">
        <v>43</v>
      </c>
      <c r="F840">
        <v>140.12</v>
      </c>
      <c r="G840" t="s">
        <v>31</v>
      </c>
      <c r="H840" t="s">
        <v>15</v>
      </c>
      <c r="I840">
        <v>4.9000000000000004</v>
      </c>
      <c r="J840">
        <v>14</v>
      </c>
      <c r="K840">
        <v>7</v>
      </c>
    </row>
    <row r="841" spans="1:11" x14ac:dyDescent="0.35">
      <c r="A841">
        <v>840</v>
      </c>
      <c r="B841">
        <v>31</v>
      </c>
      <c r="C841" t="s">
        <v>16</v>
      </c>
      <c r="D841" t="s">
        <v>17</v>
      </c>
      <c r="E841" t="s">
        <v>48</v>
      </c>
      <c r="F841">
        <v>81.16</v>
      </c>
      <c r="G841" t="s">
        <v>14</v>
      </c>
      <c r="H841" t="s">
        <v>15</v>
      </c>
      <c r="I841">
        <v>3.9</v>
      </c>
      <c r="J841">
        <v>21</v>
      </c>
      <c r="K841">
        <v>8</v>
      </c>
    </row>
    <row r="842" spans="1:11" x14ac:dyDescent="0.35">
      <c r="A842">
        <v>841</v>
      </c>
      <c r="B842">
        <v>40</v>
      </c>
      <c r="C842" t="s">
        <v>11</v>
      </c>
      <c r="D842" t="s">
        <v>12</v>
      </c>
      <c r="E842" t="s">
        <v>13</v>
      </c>
      <c r="F842">
        <v>74.23</v>
      </c>
      <c r="G842" t="s">
        <v>19</v>
      </c>
      <c r="H842" t="s">
        <v>15</v>
      </c>
      <c r="I842">
        <v>4.4000000000000004</v>
      </c>
      <c r="J842">
        <v>11</v>
      </c>
      <c r="K842">
        <v>3</v>
      </c>
    </row>
    <row r="843" spans="1:11" x14ac:dyDescent="0.35">
      <c r="A843">
        <v>842</v>
      </c>
      <c r="B843">
        <v>51</v>
      </c>
      <c r="C843" t="s">
        <v>11</v>
      </c>
      <c r="D843" t="s">
        <v>12</v>
      </c>
      <c r="E843" t="s">
        <v>50</v>
      </c>
      <c r="F843">
        <v>125.26</v>
      </c>
      <c r="G843" t="s">
        <v>19</v>
      </c>
      <c r="H843" t="s">
        <v>15</v>
      </c>
      <c r="I843">
        <v>4.7</v>
      </c>
      <c r="J843">
        <v>14</v>
      </c>
      <c r="K843">
        <v>2</v>
      </c>
    </row>
    <row r="844" spans="1:11" x14ac:dyDescent="0.35">
      <c r="A844">
        <v>843</v>
      </c>
      <c r="B844">
        <v>24</v>
      </c>
      <c r="C844" t="s">
        <v>16</v>
      </c>
      <c r="D844" t="s">
        <v>33</v>
      </c>
      <c r="E844" t="s">
        <v>38</v>
      </c>
      <c r="F844">
        <v>214.97</v>
      </c>
      <c r="G844" t="s">
        <v>24</v>
      </c>
      <c r="H844" t="s">
        <v>15</v>
      </c>
      <c r="I844">
        <v>4.2</v>
      </c>
      <c r="J844">
        <v>19</v>
      </c>
      <c r="K844">
        <v>7</v>
      </c>
    </row>
    <row r="845" spans="1:11" x14ac:dyDescent="0.35">
      <c r="A845">
        <v>844</v>
      </c>
      <c r="B845">
        <v>23</v>
      </c>
      <c r="C845" t="s">
        <v>16</v>
      </c>
      <c r="D845" t="s">
        <v>27</v>
      </c>
      <c r="E845" t="s">
        <v>28</v>
      </c>
      <c r="F845">
        <v>1810.64</v>
      </c>
      <c r="G845" t="s">
        <v>14</v>
      </c>
      <c r="H845" t="s">
        <v>15</v>
      </c>
      <c r="I845">
        <v>4.5</v>
      </c>
      <c r="J845">
        <v>11</v>
      </c>
      <c r="K845">
        <v>3</v>
      </c>
    </row>
    <row r="846" spans="1:11" x14ac:dyDescent="0.35">
      <c r="A846">
        <v>845</v>
      </c>
      <c r="B846">
        <v>33</v>
      </c>
      <c r="C846" t="s">
        <v>16</v>
      </c>
      <c r="D846" t="s">
        <v>17</v>
      </c>
      <c r="E846" t="s">
        <v>42</v>
      </c>
      <c r="F846">
        <v>140.65</v>
      </c>
      <c r="G846" t="s">
        <v>31</v>
      </c>
      <c r="H846" t="s">
        <v>15</v>
      </c>
      <c r="I846">
        <v>4.7</v>
      </c>
      <c r="J846">
        <v>20</v>
      </c>
      <c r="K846">
        <v>5</v>
      </c>
    </row>
    <row r="847" spans="1:11" x14ac:dyDescent="0.35">
      <c r="A847">
        <v>846</v>
      </c>
      <c r="B847">
        <v>33</v>
      </c>
      <c r="C847" t="s">
        <v>16</v>
      </c>
      <c r="D847" t="s">
        <v>27</v>
      </c>
      <c r="E847" t="s">
        <v>28</v>
      </c>
      <c r="F847">
        <v>2064.65</v>
      </c>
      <c r="G847" t="s">
        <v>14</v>
      </c>
      <c r="H847" t="s">
        <v>15</v>
      </c>
      <c r="I847">
        <v>4.7</v>
      </c>
      <c r="J847">
        <v>17</v>
      </c>
      <c r="K847">
        <v>6</v>
      </c>
    </row>
    <row r="848" spans="1:11" x14ac:dyDescent="0.35">
      <c r="A848">
        <v>847</v>
      </c>
      <c r="B848">
        <v>36</v>
      </c>
      <c r="C848" t="s">
        <v>11</v>
      </c>
      <c r="D848" t="s">
        <v>25</v>
      </c>
      <c r="E848" t="s">
        <v>54</v>
      </c>
      <c r="F848">
        <v>11.44</v>
      </c>
      <c r="G848" t="s">
        <v>14</v>
      </c>
      <c r="H848" t="s">
        <v>15</v>
      </c>
      <c r="I848">
        <v>3.1</v>
      </c>
      <c r="J848">
        <v>13</v>
      </c>
      <c r="K848">
        <v>4</v>
      </c>
    </row>
    <row r="849" spans="1:11" x14ac:dyDescent="0.35">
      <c r="A849">
        <v>848</v>
      </c>
      <c r="B849">
        <v>54</v>
      </c>
      <c r="C849" t="s">
        <v>11</v>
      </c>
      <c r="D849" t="s">
        <v>29</v>
      </c>
      <c r="E849" t="s">
        <v>30</v>
      </c>
      <c r="F849">
        <v>76.66</v>
      </c>
      <c r="G849" t="s">
        <v>19</v>
      </c>
      <c r="H849" t="s">
        <v>37</v>
      </c>
      <c r="I849">
        <v>4.3</v>
      </c>
      <c r="J849">
        <v>12</v>
      </c>
      <c r="K849">
        <v>6</v>
      </c>
    </row>
    <row r="850" spans="1:11" x14ac:dyDescent="0.35">
      <c r="A850">
        <v>849</v>
      </c>
      <c r="B850">
        <v>64</v>
      </c>
      <c r="C850" t="s">
        <v>11</v>
      </c>
      <c r="D850" t="s">
        <v>12</v>
      </c>
      <c r="E850" t="s">
        <v>56</v>
      </c>
      <c r="F850">
        <v>97.05</v>
      </c>
      <c r="G850" t="s">
        <v>14</v>
      </c>
      <c r="H850" t="s">
        <v>37</v>
      </c>
      <c r="I850">
        <v>4.3</v>
      </c>
      <c r="J850">
        <v>17</v>
      </c>
      <c r="K850">
        <v>6</v>
      </c>
    </row>
    <row r="851" spans="1:11" x14ac:dyDescent="0.35">
      <c r="A851">
        <v>850</v>
      </c>
      <c r="B851">
        <v>24</v>
      </c>
      <c r="C851" t="s">
        <v>16</v>
      </c>
      <c r="D851" t="s">
        <v>20</v>
      </c>
      <c r="E851" t="s">
        <v>21</v>
      </c>
      <c r="F851">
        <v>214.49</v>
      </c>
      <c r="G851" t="s">
        <v>14</v>
      </c>
      <c r="H851" t="s">
        <v>15</v>
      </c>
      <c r="I851">
        <v>4.4000000000000004</v>
      </c>
      <c r="J851">
        <v>7</v>
      </c>
      <c r="K851">
        <v>1</v>
      </c>
    </row>
    <row r="852" spans="1:11" x14ac:dyDescent="0.35">
      <c r="A852">
        <v>851</v>
      </c>
      <c r="B852">
        <v>27</v>
      </c>
      <c r="C852" t="s">
        <v>16</v>
      </c>
      <c r="D852" t="s">
        <v>17</v>
      </c>
      <c r="E852" t="s">
        <v>48</v>
      </c>
      <c r="F852">
        <v>43.04</v>
      </c>
      <c r="G852" t="s">
        <v>31</v>
      </c>
      <c r="H852" t="s">
        <v>37</v>
      </c>
      <c r="I852">
        <v>2</v>
      </c>
      <c r="J852">
        <v>13</v>
      </c>
      <c r="K852">
        <v>4</v>
      </c>
    </row>
    <row r="853" spans="1:11" x14ac:dyDescent="0.35">
      <c r="A853">
        <v>852</v>
      </c>
      <c r="B853">
        <v>42</v>
      </c>
      <c r="C853" t="s">
        <v>11</v>
      </c>
      <c r="D853" t="s">
        <v>12</v>
      </c>
      <c r="E853" t="s">
        <v>50</v>
      </c>
      <c r="F853">
        <v>60.96</v>
      </c>
      <c r="G853" t="s">
        <v>19</v>
      </c>
      <c r="H853" t="s">
        <v>15</v>
      </c>
      <c r="I853">
        <v>3.2</v>
      </c>
      <c r="J853">
        <v>4</v>
      </c>
      <c r="K853">
        <v>2</v>
      </c>
    </row>
    <row r="854" spans="1:11" x14ac:dyDescent="0.35">
      <c r="A854">
        <v>853</v>
      </c>
      <c r="B854">
        <v>40</v>
      </c>
      <c r="C854" t="s">
        <v>11</v>
      </c>
      <c r="D854" t="s">
        <v>22</v>
      </c>
      <c r="E854" t="s">
        <v>43</v>
      </c>
      <c r="F854">
        <v>198.03</v>
      </c>
      <c r="G854" t="s">
        <v>14</v>
      </c>
      <c r="H854" t="s">
        <v>15</v>
      </c>
      <c r="I854">
        <v>3</v>
      </c>
      <c r="J854">
        <v>20</v>
      </c>
      <c r="K854">
        <v>5</v>
      </c>
    </row>
    <row r="855" spans="1:11" x14ac:dyDescent="0.35">
      <c r="A855">
        <v>854</v>
      </c>
      <c r="B855">
        <v>44</v>
      </c>
      <c r="C855" t="s">
        <v>11</v>
      </c>
      <c r="D855" t="s">
        <v>20</v>
      </c>
      <c r="E855" t="s">
        <v>39</v>
      </c>
      <c r="F855">
        <v>218.22</v>
      </c>
      <c r="G855" t="s">
        <v>19</v>
      </c>
      <c r="H855" t="s">
        <v>15</v>
      </c>
      <c r="I855">
        <v>3.3</v>
      </c>
      <c r="J855">
        <v>19</v>
      </c>
      <c r="K855">
        <v>7</v>
      </c>
    </row>
    <row r="856" spans="1:11" x14ac:dyDescent="0.35">
      <c r="A856">
        <v>855</v>
      </c>
      <c r="B856">
        <v>51</v>
      </c>
      <c r="C856" t="s">
        <v>11</v>
      </c>
      <c r="D856" t="s">
        <v>22</v>
      </c>
      <c r="E856" t="s">
        <v>23</v>
      </c>
      <c r="F856">
        <v>207.52</v>
      </c>
      <c r="G856" t="s">
        <v>19</v>
      </c>
      <c r="H856" t="s">
        <v>15</v>
      </c>
      <c r="I856">
        <v>3.6</v>
      </c>
      <c r="J856">
        <v>17</v>
      </c>
      <c r="K856">
        <v>6</v>
      </c>
    </row>
    <row r="857" spans="1:11" x14ac:dyDescent="0.35">
      <c r="A857">
        <v>856</v>
      </c>
      <c r="B857">
        <v>55</v>
      </c>
      <c r="C857" t="s">
        <v>11</v>
      </c>
      <c r="D857" t="s">
        <v>29</v>
      </c>
      <c r="E857" t="s">
        <v>55</v>
      </c>
      <c r="F857">
        <v>72.03</v>
      </c>
      <c r="G857" t="s">
        <v>14</v>
      </c>
      <c r="H857" t="s">
        <v>15</v>
      </c>
      <c r="I857">
        <v>4.2</v>
      </c>
      <c r="J857">
        <v>12</v>
      </c>
      <c r="K857">
        <v>6</v>
      </c>
    </row>
    <row r="858" spans="1:11" x14ac:dyDescent="0.35">
      <c r="A858">
        <v>857</v>
      </c>
      <c r="B858">
        <v>60</v>
      </c>
      <c r="C858" t="s">
        <v>16</v>
      </c>
      <c r="D858" t="s">
        <v>33</v>
      </c>
      <c r="E858" t="s">
        <v>38</v>
      </c>
      <c r="F858">
        <v>186.72</v>
      </c>
      <c r="G858" t="s">
        <v>19</v>
      </c>
      <c r="H858" t="s">
        <v>15</v>
      </c>
      <c r="I858">
        <v>4</v>
      </c>
      <c r="J858">
        <v>18</v>
      </c>
      <c r="K858">
        <v>4</v>
      </c>
    </row>
    <row r="859" spans="1:11" x14ac:dyDescent="0.35">
      <c r="A859">
        <v>858</v>
      </c>
      <c r="B859">
        <v>62</v>
      </c>
      <c r="C859" t="s">
        <v>16</v>
      </c>
      <c r="D859" t="s">
        <v>33</v>
      </c>
      <c r="E859" t="s">
        <v>34</v>
      </c>
      <c r="F859">
        <v>114.97</v>
      </c>
      <c r="G859" t="s">
        <v>14</v>
      </c>
      <c r="H859" t="s">
        <v>15</v>
      </c>
      <c r="I859">
        <v>2.9</v>
      </c>
      <c r="J859">
        <v>22</v>
      </c>
      <c r="K859">
        <v>11</v>
      </c>
    </row>
    <row r="860" spans="1:11" x14ac:dyDescent="0.35">
      <c r="A860">
        <v>859</v>
      </c>
      <c r="B860">
        <v>22</v>
      </c>
      <c r="C860" t="s">
        <v>16</v>
      </c>
      <c r="D860" t="s">
        <v>25</v>
      </c>
      <c r="E860" t="s">
        <v>26</v>
      </c>
      <c r="F860">
        <v>40.19</v>
      </c>
      <c r="G860" t="s">
        <v>19</v>
      </c>
      <c r="H860" t="s">
        <v>37</v>
      </c>
      <c r="I860">
        <v>3.7</v>
      </c>
      <c r="J860">
        <v>14</v>
      </c>
      <c r="K860">
        <v>2</v>
      </c>
    </row>
    <row r="861" spans="1:11" x14ac:dyDescent="0.35">
      <c r="A861">
        <v>860</v>
      </c>
      <c r="B861">
        <v>32</v>
      </c>
      <c r="C861" t="s">
        <v>11</v>
      </c>
      <c r="D861" t="s">
        <v>41</v>
      </c>
      <c r="E861" t="s">
        <v>42</v>
      </c>
      <c r="F861">
        <v>120.08</v>
      </c>
      <c r="G861" t="s">
        <v>19</v>
      </c>
      <c r="H861" t="s">
        <v>15</v>
      </c>
      <c r="I861">
        <v>3.5</v>
      </c>
      <c r="J861">
        <v>8</v>
      </c>
      <c r="K861">
        <v>4</v>
      </c>
    </row>
    <row r="862" spans="1:11" x14ac:dyDescent="0.35">
      <c r="A862">
        <v>861</v>
      </c>
      <c r="B862">
        <v>58</v>
      </c>
      <c r="C862" t="s">
        <v>16</v>
      </c>
      <c r="D862" t="s">
        <v>27</v>
      </c>
      <c r="E862" t="s">
        <v>49</v>
      </c>
      <c r="F862">
        <v>2431.86</v>
      </c>
      <c r="G862" t="s">
        <v>31</v>
      </c>
      <c r="H862" t="s">
        <v>15</v>
      </c>
      <c r="I862">
        <v>4.5999999999999996</v>
      </c>
      <c r="J862">
        <v>15</v>
      </c>
      <c r="K862">
        <v>5</v>
      </c>
    </row>
    <row r="863" spans="1:11" x14ac:dyDescent="0.35">
      <c r="A863">
        <v>862</v>
      </c>
      <c r="B863">
        <v>59</v>
      </c>
      <c r="C863" t="s">
        <v>16</v>
      </c>
      <c r="D863" t="s">
        <v>27</v>
      </c>
      <c r="E863" t="s">
        <v>53</v>
      </c>
      <c r="F863">
        <v>1129</v>
      </c>
      <c r="G863" t="s">
        <v>24</v>
      </c>
      <c r="H863" t="s">
        <v>15</v>
      </c>
      <c r="I863">
        <v>2.5</v>
      </c>
      <c r="J863">
        <v>11</v>
      </c>
      <c r="K863">
        <v>3</v>
      </c>
    </row>
    <row r="864" spans="1:11" x14ac:dyDescent="0.35">
      <c r="A864">
        <v>863</v>
      </c>
      <c r="B864">
        <v>40</v>
      </c>
      <c r="C864" t="s">
        <v>16</v>
      </c>
      <c r="D864" t="s">
        <v>33</v>
      </c>
      <c r="E864" t="s">
        <v>40</v>
      </c>
      <c r="F864">
        <v>96.21</v>
      </c>
      <c r="G864" t="s">
        <v>24</v>
      </c>
      <c r="H864" t="s">
        <v>37</v>
      </c>
      <c r="I864">
        <v>2.6</v>
      </c>
      <c r="J864">
        <v>11</v>
      </c>
      <c r="K864">
        <v>3</v>
      </c>
    </row>
    <row r="865" spans="1:11" x14ac:dyDescent="0.35">
      <c r="A865">
        <v>864</v>
      </c>
      <c r="B865">
        <v>46</v>
      </c>
      <c r="C865" t="s">
        <v>16</v>
      </c>
      <c r="D865" t="s">
        <v>27</v>
      </c>
      <c r="E865" t="s">
        <v>53</v>
      </c>
      <c r="F865">
        <v>1454.05</v>
      </c>
      <c r="G865" t="s">
        <v>31</v>
      </c>
      <c r="H865" t="s">
        <v>15</v>
      </c>
      <c r="I865">
        <v>3.5</v>
      </c>
      <c r="J865">
        <v>23</v>
      </c>
      <c r="K865">
        <v>9</v>
      </c>
    </row>
    <row r="866" spans="1:11" x14ac:dyDescent="0.35">
      <c r="A866">
        <v>865</v>
      </c>
      <c r="B866">
        <v>22</v>
      </c>
      <c r="C866" t="s">
        <v>16</v>
      </c>
      <c r="D866" t="s">
        <v>20</v>
      </c>
      <c r="E866" t="s">
        <v>36</v>
      </c>
      <c r="F866">
        <v>210.91</v>
      </c>
      <c r="G866" t="s">
        <v>19</v>
      </c>
      <c r="H866" t="s">
        <v>15</v>
      </c>
      <c r="I866">
        <v>3.8</v>
      </c>
      <c r="J866">
        <v>24</v>
      </c>
      <c r="K866">
        <v>7</v>
      </c>
    </row>
    <row r="867" spans="1:11" x14ac:dyDescent="0.35">
      <c r="A867">
        <v>866</v>
      </c>
      <c r="B867">
        <v>52</v>
      </c>
      <c r="C867" t="s">
        <v>11</v>
      </c>
      <c r="D867" t="s">
        <v>41</v>
      </c>
      <c r="E867" t="s">
        <v>46</v>
      </c>
      <c r="F867">
        <v>35.17</v>
      </c>
      <c r="G867" t="s">
        <v>14</v>
      </c>
      <c r="H867" t="s">
        <v>15</v>
      </c>
      <c r="I867">
        <v>4.0999999999999996</v>
      </c>
      <c r="J867">
        <v>26</v>
      </c>
      <c r="K867">
        <v>8</v>
      </c>
    </row>
    <row r="868" spans="1:11" x14ac:dyDescent="0.35">
      <c r="A868">
        <v>867</v>
      </c>
      <c r="B868">
        <v>70</v>
      </c>
      <c r="C868" t="s">
        <v>16</v>
      </c>
      <c r="D868" t="s">
        <v>27</v>
      </c>
      <c r="E868" t="s">
        <v>28</v>
      </c>
      <c r="F868">
        <v>2108.89</v>
      </c>
      <c r="G868" t="s">
        <v>24</v>
      </c>
      <c r="H868" t="s">
        <v>15</v>
      </c>
      <c r="I868">
        <v>4.4000000000000004</v>
      </c>
      <c r="J868">
        <v>23</v>
      </c>
      <c r="K868">
        <v>9</v>
      </c>
    </row>
    <row r="869" spans="1:11" x14ac:dyDescent="0.35">
      <c r="A869">
        <v>868</v>
      </c>
      <c r="B869">
        <v>51</v>
      </c>
      <c r="C869" t="s">
        <v>16</v>
      </c>
      <c r="D869" t="s">
        <v>20</v>
      </c>
      <c r="E869" t="s">
        <v>39</v>
      </c>
      <c r="F869">
        <v>219.04</v>
      </c>
      <c r="G869" t="s">
        <v>31</v>
      </c>
      <c r="H869" t="s">
        <v>15</v>
      </c>
      <c r="I869">
        <v>3.2</v>
      </c>
      <c r="J869">
        <v>11</v>
      </c>
      <c r="K869">
        <v>3</v>
      </c>
    </row>
    <row r="870" spans="1:11" x14ac:dyDescent="0.35">
      <c r="A870">
        <v>869</v>
      </c>
      <c r="B870">
        <v>67</v>
      </c>
      <c r="C870" t="s">
        <v>11</v>
      </c>
      <c r="D870" t="s">
        <v>12</v>
      </c>
      <c r="E870" t="s">
        <v>50</v>
      </c>
      <c r="F870">
        <v>48.74</v>
      </c>
      <c r="G870" t="s">
        <v>14</v>
      </c>
      <c r="H870" t="s">
        <v>15</v>
      </c>
      <c r="I870">
        <v>3.1</v>
      </c>
      <c r="J870">
        <v>24</v>
      </c>
      <c r="K870">
        <v>7</v>
      </c>
    </row>
    <row r="871" spans="1:11" x14ac:dyDescent="0.35">
      <c r="A871">
        <v>870</v>
      </c>
      <c r="B871">
        <v>31</v>
      </c>
      <c r="C871" t="s">
        <v>11</v>
      </c>
      <c r="D871" t="s">
        <v>41</v>
      </c>
      <c r="E871" t="s">
        <v>42</v>
      </c>
      <c r="F871">
        <v>93.29</v>
      </c>
      <c r="G871" t="s">
        <v>14</v>
      </c>
      <c r="H871" t="s">
        <v>15</v>
      </c>
      <c r="I871">
        <v>5</v>
      </c>
      <c r="J871">
        <v>16</v>
      </c>
      <c r="K871">
        <v>3</v>
      </c>
    </row>
    <row r="872" spans="1:11" x14ac:dyDescent="0.35">
      <c r="A872">
        <v>871</v>
      </c>
      <c r="B872">
        <v>58</v>
      </c>
      <c r="C872" t="s">
        <v>11</v>
      </c>
      <c r="D872" t="s">
        <v>33</v>
      </c>
      <c r="E872" t="s">
        <v>38</v>
      </c>
      <c r="F872">
        <v>59.04</v>
      </c>
      <c r="G872" t="s">
        <v>14</v>
      </c>
      <c r="H872" t="s">
        <v>15</v>
      </c>
      <c r="I872">
        <v>2.9</v>
      </c>
      <c r="J872">
        <v>10</v>
      </c>
      <c r="K872">
        <v>5</v>
      </c>
    </row>
    <row r="873" spans="1:11" x14ac:dyDescent="0.35">
      <c r="A873">
        <v>872</v>
      </c>
      <c r="B873">
        <v>30</v>
      </c>
      <c r="C873" t="s">
        <v>16</v>
      </c>
      <c r="D873" t="s">
        <v>33</v>
      </c>
      <c r="E873" t="s">
        <v>34</v>
      </c>
      <c r="F873">
        <v>87.7</v>
      </c>
      <c r="G873" t="s">
        <v>14</v>
      </c>
      <c r="H873" t="s">
        <v>15</v>
      </c>
      <c r="I873">
        <v>4.2</v>
      </c>
      <c r="J873">
        <v>19</v>
      </c>
      <c r="K873">
        <v>7</v>
      </c>
    </row>
    <row r="874" spans="1:11" x14ac:dyDescent="0.35">
      <c r="A874">
        <v>873</v>
      </c>
      <c r="B874">
        <v>39</v>
      </c>
      <c r="C874" t="s">
        <v>11</v>
      </c>
      <c r="D874" t="s">
        <v>29</v>
      </c>
      <c r="E874" t="s">
        <v>30</v>
      </c>
      <c r="F874">
        <v>58.21</v>
      </c>
      <c r="G874" t="s">
        <v>24</v>
      </c>
      <c r="H874" t="s">
        <v>15</v>
      </c>
      <c r="I874">
        <v>2.5</v>
      </c>
      <c r="J874">
        <v>7</v>
      </c>
      <c r="K874">
        <v>1</v>
      </c>
    </row>
    <row r="875" spans="1:11" x14ac:dyDescent="0.35">
      <c r="A875">
        <v>874</v>
      </c>
      <c r="B875">
        <v>69</v>
      </c>
      <c r="C875" t="s">
        <v>11</v>
      </c>
      <c r="D875" t="s">
        <v>41</v>
      </c>
      <c r="E875" t="s">
        <v>42</v>
      </c>
      <c r="F875">
        <v>100.29</v>
      </c>
      <c r="G875" t="s">
        <v>24</v>
      </c>
      <c r="H875" t="s">
        <v>15</v>
      </c>
      <c r="I875">
        <v>2.6</v>
      </c>
      <c r="J875">
        <v>24</v>
      </c>
      <c r="K875">
        <v>7</v>
      </c>
    </row>
    <row r="876" spans="1:11" x14ac:dyDescent="0.35">
      <c r="A876">
        <v>875</v>
      </c>
      <c r="B876">
        <v>22</v>
      </c>
      <c r="C876" t="s">
        <v>16</v>
      </c>
      <c r="D876" t="s">
        <v>33</v>
      </c>
      <c r="E876" t="s">
        <v>38</v>
      </c>
      <c r="F876">
        <v>154.19999999999999</v>
      </c>
      <c r="G876" t="s">
        <v>31</v>
      </c>
      <c r="H876" t="s">
        <v>15</v>
      </c>
      <c r="I876">
        <v>3.4</v>
      </c>
      <c r="J876">
        <v>4</v>
      </c>
      <c r="K876">
        <v>2</v>
      </c>
    </row>
    <row r="877" spans="1:11" x14ac:dyDescent="0.35">
      <c r="A877">
        <v>876</v>
      </c>
      <c r="B877">
        <v>32</v>
      </c>
      <c r="C877" t="s">
        <v>16</v>
      </c>
      <c r="D877" t="s">
        <v>27</v>
      </c>
      <c r="E877" t="s">
        <v>49</v>
      </c>
      <c r="F877">
        <v>1370.18</v>
      </c>
      <c r="G877" t="s">
        <v>19</v>
      </c>
      <c r="H877" t="s">
        <v>15</v>
      </c>
      <c r="I877">
        <v>3</v>
      </c>
      <c r="J877">
        <v>20</v>
      </c>
      <c r="K877">
        <v>5</v>
      </c>
    </row>
    <row r="878" spans="1:11" x14ac:dyDescent="0.35">
      <c r="A878">
        <v>877</v>
      </c>
      <c r="B878">
        <v>40</v>
      </c>
      <c r="C878" t="s">
        <v>16</v>
      </c>
      <c r="D878" t="s">
        <v>33</v>
      </c>
      <c r="E878" t="s">
        <v>40</v>
      </c>
      <c r="F878">
        <v>123.96</v>
      </c>
      <c r="G878" t="s">
        <v>31</v>
      </c>
      <c r="H878" t="s">
        <v>15</v>
      </c>
      <c r="I878">
        <v>4.0999999999999996</v>
      </c>
      <c r="J878">
        <v>11</v>
      </c>
      <c r="K878">
        <v>3</v>
      </c>
    </row>
    <row r="879" spans="1:11" x14ac:dyDescent="0.35">
      <c r="A879">
        <v>878</v>
      </c>
      <c r="B879">
        <v>32</v>
      </c>
      <c r="C879" t="s">
        <v>11</v>
      </c>
      <c r="D879" t="s">
        <v>33</v>
      </c>
      <c r="E879" t="s">
        <v>34</v>
      </c>
      <c r="F879">
        <v>151.91</v>
      </c>
      <c r="G879" t="s">
        <v>31</v>
      </c>
      <c r="H879" t="s">
        <v>15</v>
      </c>
      <c r="I879">
        <v>4.2</v>
      </c>
      <c r="J879">
        <v>22</v>
      </c>
      <c r="K879">
        <v>6</v>
      </c>
    </row>
    <row r="880" spans="1:11" x14ac:dyDescent="0.35">
      <c r="A880">
        <v>879</v>
      </c>
      <c r="B880">
        <v>69</v>
      </c>
      <c r="C880" t="s">
        <v>11</v>
      </c>
      <c r="D880" t="s">
        <v>22</v>
      </c>
      <c r="E880" t="s">
        <v>23</v>
      </c>
      <c r="F880">
        <v>201.11</v>
      </c>
      <c r="G880" t="s">
        <v>19</v>
      </c>
      <c r="H880" t="s">
        <v>15</v>
      </c>
      <c r="I880">
        <v>3.9</v>
      </c>
      <c r="J880">
        <v>11</v>
      </c>
      <c r="K880">
        <v>3</v>
      </c>
    </row>
    <row r="881" spans="1:11" x14ac:dyDescent="0.35">
      <c r="A881">
        <v>880</v>
      </c>
      <c r="B881">
        <v>59</v>
      </c>
      <c r="C881" t="s">
        <v>16</v>
      </c>
      <c r="D881" t="s">
        <v>33</v>
      </c>
      <c r="E881" t="s">
        <v>40</v>
      </c>
      <c r="F881">
        <v>42.35</v>
      </c>
      <c r="G881" t="s">
        <v>19</v>
      </c>
      <c r="H881" t="s">
        <v>37</v>
      </c>
      <c r="I881">
        <v>3.6</v>
      </c>
      <c r="J881">
        <v>13</v>
      </c>
      <c r="K881">
        <v>4</v>
      </c>
    </row>
    <row r="882" spans="1:11" x14ac:dyDescent="0.35">
      <c r="A882">
        <v>881</v>
      </c>
      <c r="B882">
        <v>70</v>
      </c>
      <c r="C882" t="s">
        <v>11</v>
      </c>
      <c r="D882" t="s">
        <v>29</v>
      </c>
      <c r="E882" t="s">
        <v>51</v>
      </c>
      <c r="F882">
        <v>142.85</v>
      </c>
      <c r="G882" t="s">
        <v>24</v>
      </c>
      <c r="H882" t="s">
        <v>15</v>
      </c>
      <c r="I882">
        <v>3.2</v>
      </c>
      <c r="J882">
        <v>20</v>
      </c>
      <c r="K882">
        <v>5</v>
      </c>
    </row>
    <row r="883" spans="1:11" x14ac:dyDescent="0.35">
      <c r="A883">
        <v>882</v>
      </c>
      <c r="B883">
        <v>46</v>
      </c>
      <c r="C883" t="s">
        <v>16</v>
      </c>
      <c r="D883" t="s">
        <v>27</v>
      </c>
      <c r="E883" t="s">
        <v>28</v>
      </c>
      <c r="F883">
        <v>533.08000000000004</v>
      </c>
      <c r="G883" t="s">
        <v>31</v>
      </c>
      <c r="H883" t="s">
        <v>15</v>
      </c>
      <c r="I883">
        <v>5</v>
      </c>
      <c r="J883">
        <v>16</v>
      </c>
      <c r="K883">
        <v>3</v>
      </c>
    </row>
    <row r="884" spans="1:11" x14ac:dyDescent="0.35">
      <c r="A884">
        <v>883</v>
      </c>
      <c r="B884">
        <v>36</v>
      </c>
      <c r="C884" t="s">
        <v>11</v>
      </c>
      <c r="D884" t="s">
        <v>22</v>
      </c>
      <c r="E884" t="s">
        <v>52</v>
      </c>
      <c r="F884">
        <v>100.72</v>
      </c>
      <c r="G884" t="s">
        <v>14</v>
      </c>
      <c r="H884" t="s">
        <v>15</v>
      </c>
      <c r="I884">
        <v>2.8</v>
      </c>
      <c r="J884">
        <v>22</v>
      </c>
      <c r="K884">
        <v>6</v>
      </c>
    </row>
    <row r="885" spans="1:11" x14ac:dyDescent="0.35">
      <c r="A885">
        <v>884</v>
      </c>
      <c r="B885">
        <v>31</v>
      </c>
      <c r="C885" t="s">
        <v>11</v>
      </c>
      <c r="D885" t="s">
        <v>12</v>
      </c>
      <c r="E885" t="s">
        <v>50</v>
      </c>
      <c r="F885">
        <v>172.26</v>
      </c>
      <c r="G885" t="s">
        <v>31</v>
      </c>
      <c r="H885" t="s">
        <v>15</v>
      </c>
      <c r="I885">
        <v>2.8</v>
      </c>
      <c r="J885">
        <v>20</v>
      </c>
      <c r="K885">
        <v>5</v>
      </c>
    </row>
    <row r="886" spans="1:11" x14ac:dyDescent="0.35">
      <c r="A886">
        <v>885</v>
      </c>
      <c r="B886">
        <v>46</v>
      </c>
      <c r="C886" t="s">
        <v>11</v>
      </c>
      <c r="D886" t="s">
        <v>20</v>
      </c>
      <c r="E886" t="s">
        <v>39</v>
      </c>
      <c r="F886">
        <v>200.96</v>
      </c>
      <c r="G886" t="s">
        <v>31</v>
      </c>
      <c r="H886" t="s">
        <v>15</v>
      </c>
      <c r="I886">
        <v>4.2</v>
      </c>
      <c r="J886">
        <v>16</v>
      </c>
      <c r="K886">
        <v>3</v>
      </c>
    </row>
    <row r="887" spans="1:11" x14ac:dyDescent="0.35">
      <c r="A887">
        <v>886</v>
      </c>
      <c r="B887">
        <v>66</v>
      </c>
      <c r="C887" t="s">
        <v>11</v>
      </c>
      <c r="D887" t="s">
        <v>33</v>
      </c>
      <c r="E887" t="s">
        <v>40</v>
      </c>
      <c r="F887">
        <v>113.39</v>
      </c>
      <c r="G887" t="s">
        <v>19</v>
      </c>
      <c r="H887" t="s">
        <v>15</v>
      </c>
      <c r="I887">
        <v>3.4</v>
      </c>
      <c r="J887">
        <v>23</v>
      </c>
      <c r="K887">
        <v>9</v>
      </c>
    </row>
    <row r="888" spans="1:11" x14ac:dyDescent="0.35">
      <c r="A888">
        <v>887</v>
      </c>
      <c r="B888">
        <v>36</v>
      </c>
      <c r="C888" t="s">
        <v>11</v>
      </c>
      <c r="D888" t="s">
        <v>12</v>
      </c>
      <c r="E888" t="s">
        <v>56</v>
      </c>
      <c r="F888">
        <v>65.17</v>
      </c>
      <c r="G888" t="s">
        <v>31</v>
      </c>
      <c r="H888" t="s">
        <v>37</v>
      </c>
      <c r="I888">
        <v>4.5999999999999996</v>
      </c>
      <c r="J888">
        <v>15</v>
      </c>
      <c r="K888">
        <v>5</v>
      </c>
    </row>
    <row r="889" spans="1:11" x14ac:dyDescent="0.35">
      <c r="A889">
        <v>888</v>
      </c>
      <c r="B889">
        <v>42</v>
      </c>
      <c r="C889" t="s">
        <v>16</v>
      </c>
      <c r="D889" t="s">
        <v>33</v>
      </c>
      <c r="E889" t="s">
        <v>40</v>
      </c>
      <c r="F889">
        <v>154.55000000000001</v>
      </c>
      <c r="G889" t="s">
        <v>24</v>
      </c>
      <c r="H889" t="s">
        <v>15</v>
      </c>
      <c r="I889">
        <v>5</v>
      </c>
      <c r="J889">
        <v>17</v>
      </c>
      <c r="K889">
        <v>6</v>
      </c>
    </row>
    <row r="890" spans="1:11" x14ac:dyDescent="0.35">
      <c r="A890">
        <v>889</v>
      </c>
      <c r="B890">
        <v>26</v>
      </c>
      <c r="C890" t="s">
        <v>16</v>
      </c>
      <c r="D890" t="s">
        <v>17</v>
      </c>
      <c r="E890" t="s">
        <v>42</v>
      </c>
      <c r="F890">
        <v>100.84</v>
      </c>
      <c r="G890" t="s">
        <v>19</v>
      </c>
      <c r="H890" t="s">
        <v>15</v>
      </c>
      <c r="I890">
        <v>3.6</v>
      </c>
      <c r="J890">
        <v>14</v>
      </c>
      <c r="K890">
        <v>2</v>
      </c>
    </row>
    <row r="891" spans="1:11" x14ac:dyDescent="0.35">
      <c r="A891">
        <v>890</v>
      </c>
      <c r="B891">
        <v>31</v>
      </c>
      <c r="C891" t="s">
        <v>16</v>
      </c>
      <c r="D891" t="s">
        <v>27</v>
      </c>
      <c r="E891" t="s">
        <v>28</v>
      </c>
      <c r="F891">
        <v>1142.03</v>
      </c>
      <c r="G891" t="s">
        <v>24</v>
      </c>
      <c r="H891" t="s">
        <v>15</v>
      </c>
      <c r="I891">
        <v>4.2</v>
      </c>
      <c r="J891">
        <v>10</v>
      </c>
      <c r="K891">
        <v>5</v>
      </c>
    </row>
    <row r="892" spans="1:11" x14ac:dyDescent="0.35">
      <c r="A892">
        <v>891</v>
      </c>
      <c r="B892">
        <v>39</v>
      </c>
      <c r="C892" t="s">
        <v>16</v>
      </c>
      <c r="D892" t="s">
        <v>17</v>
      </c>
      <c r="E892" t="s">
        <v>18</v>
      </c>
      <c r="F892">
        <v>168.97</v>
      </c>
      <c r="G892" t="s">
        <v>31</v>
      </c>
      <c r="H892" t="s">
        <v>15</v>
      </c>
      <c r="I892">
        <v>4.5999999999999996</v>
      </c>
      <c r="J892">
        <v>24</v>
      </c>
      <c r="K892">
        <v>7</v>
      </c>
    </row>
    <row r="893" spans="1:11" x14ac:dyDescent="0.35">
      <c r="A893">
        <v>892</v>
      </c>
      <c r="B893">
        <v>64</v>
      </c>
      <c r="C893" t="s">
        <v>16</v>
      </c>
      <c r="D893" t="s">
        <v>33</v>
      </c>
      <c r="E893" t="s">
        <v>38</v>
      </c>
      <c r="F893">
        <v>220.97</v>
      </c>
      <c r="G893" t="s">
        <v>14</v>
      </c>
      <c r="H893" t="s">
        <v>15</v>
      </c>
      <c r="I893">
        <v>5</v>
      </c>
      <c r="J893">
        <v>4</v>
      </c>
      <c r="K893">
        <v>2</v>
      </c>
    </row>
    <row r="894" spans="1:11" x14ac:dyDescent="0.35">
      <c r="A894">
        <v>893</v>
      </c>
      <c r="B894">
        <v>59</v>
      </c>
      <c r="C894" t="s">
        <v>11</v>
      </c>
      <c r="D894" t="s">
        <v>22</v>
      </c>
      <c r="E894" t="s">
        <v>23</v>
      </c>
      <c r="F894">
        <v>181.46</v>
      </c>
      <c r="G894" t="s">
        <v>14</v>
      </c>
      <c r="H894" t="s">
        <v>15</v>
      </c>
      <c r="I894">
        <v>3.1</v>
      </c>
      <c r="J894">
        <v>18</v>
      </c>
      <c r="K894">
        <v>4</v>
      </c>
    </row>
    <row r="895" spans="1:11" x14ac:dyDescent="0.35">
      <c r="A895">
        <v>894</v>
      </c>
      <c r="B895">
        <v>30</v>
      </c>
      <c r="C895" t="s">
        <v>11</v>
      </c>
      <c r="D895" t="s">
        <v>33</v>
      </c>
      <c r="E895" t="s">
        <v>40</v>
      </c>
      <c r="F895">
        <v>212.78</v>
      </c>
      <c r="G895" t="s">
        <v>19</v>
      </c>
      <c r="H895" t="s">
        <v>15</v>
      </c>
      <c r="I895">
        <v>4.4000000000000004</v>
      </c>
      <c r="J895">
        <v>22</v>
      </c>
      <c r="K895">
        <v>6</v>
      </c>
    </row>
    <row r="896" spans="1:11" x14ac:dyDescent="0.35">
      <c r="A896">
        <v>895</v>
      </c>
      <c r="B896">
        <v>30</v>
      </c>
      <c r="C896" t="s">
        <v>11</v>
      </c>
      <c r="D896" t="s">
        <v>20</v>
      </c>
      <c r="E896" t="s">
        <v>36</v>
      </c>
      <c r="F896">
        <v>102.27</v>
      </c>
      <c r="G896" t="s">
        <v>19</v>
      </c>
      <c r="H896" t="s">
        <v>15</v>
      </c>
      <c r="I896">
        <v>3.1</v>
      </c>
      <c r="J896">
        <v>16</v>
      </c>
      <c r="K896">
        <v>8</v>
      </c>
    </row>
    <row r="897" spans="1:11" x14ac:dyDescent="0.35">
      <c r="A897">
        <v>896</v>
      </c>
      <c r="B897">
        <v>40</v>
      </c>
      <c r="C897" t="s">
        <v>16</v>
      </c>
      <c r="D897" t="s">
        <v>20</v>
      </c>
      <c r="E897" t="s">
        <v>39</v>
      </c>
      <c r="F897">
        <v>101.71</v>
      </c>
      <c r="G897" t="s">
        <v>19</v>
      </c>
      <c r="H897" t="s">
        <v>15</v>
      </c>
      <c r="I897">
        <v>3.8</v>
      </c>
      <c r="J897">
        <v>17</v>
      </c>
      <c r="K897">
        <v>6</v>
      </c>
    </row>
    <row r="898" spans="1:11" x14ac:dyDescent="0.35">
      <c r="A898">
        <v>897</v>
      </c>
      <c r="B898">
        <v>57</v>
      </c>
      <c r="C898" t="s">
        <v>16</v>
      </c>
      <c r="D898" t="s">
        <v>20</v>
      </c>
      <c r="E898" t="s">
        <v>36</v>
      </c>
      <c r="F898">
        <v>166.23</v>
      </c>
      <c r="G898" t="s">
        <v>19</v>
      </c>
      <c r="H898" t="s">
        <v>15</v>
      </c>
      <c r="I898">
        <v>4</v>
      </c>
      <c r="J898">
        <v>20</v>
      </c>
      <c r="K898">
        <v>5</v>
      </c>
    </row>
    <row r="899" spans="1:11" x14ac:dyDescent="0.35">
      <c r="A899">
        <v>898</v>
      </c>
      <c r="B899">
        <v>59</v>
      </c>
      <c r="C899" t="s">
        <v>16</v>
      </c>
      <c r="D899" t="s">
        <v>33</v>
      </c>
      <c r="E899" t="s">
        <v>40</v>
      </c>
      <c r="F899">
        <v>82.01</v>
      </c>
      <c r="G899" t="s">
        <v>19</v>
      </c>
      <c r="H899" t="s">
        <v>37</v>
      </c>
      <c r="I899">
        <v>3.3</v>
      </c>
      <c r="J899">
        <v>16</v>
      </c>
      <c r="K899">
        <v>3</v>
      </c>
    </row>
    <row r="900" spans="1:11" x14ac:dyDescent="0.35">
      <c r="A900">
        <v>899</v>
      </c>
      <c r="B900">
        <v>23</v>
      </c>
      <c r="C900" t="s">
        <v>11</v>
      </c>
      <c r="D900" t="s">
        <v>33</v>
      </c>
      <c r="E900" t="s">
        <v>38</v>
      </c>
      <c r="F900">
        <v>214.88</v>
      </c>
      <c r="G900" t="s">
        <v>24</v>
      </c>
      <c r="H900" t="s">
        <v>15</v>
      </c>
      <c r="I900">
        <v>5</v>
      </c>
      <c r="J900">
        <v>20</v>
      </c>
      <c r="K900">
        <v>5</v>
      </c>
    </row>
    <row r="901" spans="1:11" x14ac:dyDescent="0.35">
      <c r="A901">
        <v>900</v>
      </c>
      <c r="B901">
        <v>64</v>
      </c>
      <c r="C901" t="s">
        <v>11</v>
      </c>
      <c r="D901" t="s">
        <v>12</v>
      </c>
      <c r="E901" t="s">
        <v>13</v>
      </c>
      <c r="F901">
        <v>110.37</v>
      </c>
      <c r="G901" t="s">
        <v>19</v>
      </c>
      <c r="H901" t="s">
        <v>15</v>
      </c>
      <c r="I901">
        <v>4.2</v>
      </c>
      <c r="J901">
        <v>17</v>
      </c>
      <c r="K901">
        <v>6</v>
      </c>
    </row>
    <row r="902" spans="1:11" x14ac:dyDescent="0.35">
      <c r="A902">
        <v>901</v>
      </c>
      <c r="B902">
        <v>23</v>
      </c>
      <c r="C902" t="s">
        <v>16</v>
      </c>
      <c r="D902" t="s">
        <v>33</v>
      </c>
      <c r="E902" t="s">
        <v>40</v>
      </c>
      <c r="F902">
        <v>144.05000000000001</v>
      </c>
      <c r="G902" t="s">
        <v>31</v>
      </c>
      <c r="H902" t="s">
        <v>15</v>
      </c>
      <c r="I902">
        <v>2.6</v>
      </c>
      <c r="J902">
        <v>18</v>
      </c>
      <c r="K902">
        <v>4</v>
      </c>
    </row>
    <row r="903" spans="1:11" x14ac:dyDescent="0.35">
      <c r="A903">
        <v>902</v>
      </c>
      <c r="B903">
        <v>47</v>
      </c>
      <c r="C903" t="s">
        <v>11</v>
      </c>
      <c r="D903" t="s">
        <v>12</v>
      </c>
      <c r="E903" t="s">
        <v>50</v>
      </c>
      <c r="F903">
        <v>134.41999999999999</v>
      </c>
      <c r="G903" t="s">
        <v>24</v>
      </c>
      <c r="H903" t="s">
        <v>15</v>
      </c>
      <c r="I903">
        <v>4.0999999999999996</v>
      </c>
      <c r="J903">
        <v>8</v>
      </c>
      <c r="K903">
        <v>4</v>
      </c>
    </row>
    <row r="904" spans="1:11" x14ac:dyDescent="0.35">
      <c r="A904">
        <v>903</v>
      </c>
      <c r="B904">
        <v>64</v>
      </c>
      <c r="C904" t="s">
        <v>11</v>
      </c>
      <c r="D904" t="s">
        <v>29</v>
      </c>
      <c r="E904" t="s">
        <v>55</v>
      </c>
      <c r="F904">
        <v>133.46</v>
      </c>
      <c r="G904" t="s">
        <v>24</v>
      </c>
      <c r="H904" t="s">
        <v>15</v>
      </c>
      <c r="I904">
        <v>4.5999999999999996</v>
      </c>
      <c r="J904">
        <v>10</v>
      </c>
      <c r="K904">
        <v>5</v>
      </c>
    </row>
    <row r="905" spans="1:11" x14ac:dyDescent="0.35">
      <c r="A905">
        <v>904</v>
      </c>
      <c r="B905">
        <v>70</v>
      </c>
      <c r="C905" t="s">
        <v>11</v>
      </c>
      <c r="D905" t="s">
        <v>22</v>
      </c>
      <c r="E905" t="s">
        <v>43</v>
      </c>
      <c r="F905">
        <v>256.37</v>
      </c>
      <c r="G905" t="s">
        <v>31</v>
      </c>
      <c r="H905" t="s">
        <v>15</v>
      </c>
      <c r="I905">
        <v>3.6</v>
      </c>
      <c r="J905">
        <v>24</v>
      </c>
      <c r="K905">
        <v>7</v>
      </c>
    </row>
    <row r="906" spans="1:11" x14ac:dyDescent="0.35">
      <c r="A906">
        <v>905</v>
      </c>
      <c r="B906">
        <v>59</v>
      </c>
      <c r="C906" t="s">
        <v>16</v>
      </c>
      <c r="D906" t="s">
        <v>20</v>
      </c>
      <c r="E906" t="s">
        <v>39</v>
      </c>
      <c r="F906">
        <v>160.41999999999999</v>
      </c>
      <c r="G906" t="s">
        <v>19</v>
      </c>
      <c r="H906" t="s">
        <v>15</v>
      </c>
      <c r="I906">
        <v>4.3</v>
      </c>
      <c r="J906">
        <v>22</v>
      </c>
      <c r="K906">
        <v>6</v>
      </c>
    </row>
    <row r="907" spans="1:11" x14ac:dyDescent="0.35">
      <c r="A907">
        <v>906</v>
      </c>
      <c r="B907">
        <v>31</v>
      </c>
      <c r="C907" t="s">
        <v>16</v>
      </c>
      <c r="D907" t="s">
        <v>27</v>
      </c>
      <c r="E907" t="s">
        <v>28</v>
      </c>
      <c r="F907">
        <v>1501.64</v>
      </c>
      <c r="G907" t="s">
        <v>14</v>
      </c>
      <c r="H907" t="s">
        <v>15</v>
      </c>
      <c r="I907">
        <v>3.2</v>
      </c>
      <c r="J907">
        <v>12</v>
      </c>
      <c r="K907">
        <v>6</v>
      </c>
    </row>
    <row r="908" spans="1:11" x14ac:dyDescent="0.35">
      <c r="A908">
        <v>907</v>
      </c>
      <c r="B908">
        <v>69</v>
      </c>
      <c r="C908" t="s">
        <v>16</v>
      </c>
      <c r="D908" t="s">
        <v>33</v>
      </c>
      <c r="E908" t="s">
        <v>34</v>
      </c>
      <c r="F908">
        <v>145.19999999999999</v>
      </c>
      <c r="G908" t="s">
        <v>14</v>
      </c>
      <c r="H908" t="s">
        <v>15</v>
      </c>
      <c r="I908">
        <v>2.8</v>
      </c>
      <c r="J908">
        <v>18</v>
      </c>
      <c r="K908">
        <v>4</v>
      </c>
    </row>
    <row r="909" spans="1:11" x14ac:dyDescent="0.35">
      <c r="A909">
        <v>908</v>
      </c>
      <c r="B909">
        <v>50</v>
      </c>
      <c r="C909" t="s">
        <v>16</v>
      </c>
      <c r="D909" t="s">
        <v>17</v>
      </c>
      <c r="E909" t="s">
        <v>18</v>
      </c>
      <c r="F909">
        <v>66.680000000000007</v>
      </c>
      <c r="G909" t="s">
        <v>24</v>
      </c>
      <c r="H909" t="s">
        <v>15</v>
      </c>
      <c r="I909">
        <v>3.1</v>
      </c>
      <c r="J909">
        <v>13</v>
      </c>
      <c r="K909">
        <v>4</v>
      </c>
    </row>
    <row r="910" spans="1:11" x14ac:dyDescent="0.35">
      <c r="A910">
        <v>909</v>
      </c>
      <c r="B910">
        <v>60</v>
      </c>
      <c r="C910" t="s">
        <v>16</v>
      </c>
      <c r="D910" t="s">
        <v>27</v>
      </c>
      <c r="E910" t="s">
        <v>32</v>
      </c>
      <c r="F910">
        <v>592.23</v>
      </c>
      <c r="G910" t="s">
        <v>19</v>
      </c>
      <c r="H910" t="s">
        <v>15</v>
      </c>
      <c r="I910">
        <v>3.6</v>
      </c>
      <c r="J910">
        <v>13</v>
      </c>
      <c r="K910">
        <v>4</v>
      </c>
    </row>
    <row r="911" spans="1:11" x14ac:dyDescent="0.35">
      <c r="A911">
        <v>910</v>
      </c>
      <c r="B911">
        <v>39</v>
      </c>
      <c r="C911" t="s">
        <v>16</v>
      </c>
      <c r="D911" t="s">
        <v>27</v>
      </c>
      <c r="E911" t="s">
        <v>28</v>
      </c>
      <c r="F911">
        <v>646.99</v>
      </c>
      <c r="G911" t="s">
        <v>24</v>
      </c>
      <c r="H911" t="s">
        <v>15</v>
      </c>
      <c r="I911">
        <v>4.0999999999999996</v>
      </c>
      <c r="J911">
        <v>24</v>
      </c>
      <c r="K911">
        <v>7</v>
      </c>
    </row>
    <row r="912" spans="1:11" x14ac:dyDescent="0.35">
      <c r="A912">
        <v>911</v>
      </c>
      <c r="B912">
        <v>50</v>
      </c>
      <c r="C912" t="s">
        <v>16</v>
      </c>
      <c r="D912" t="s">
        <v>33</v>
      </c>
      <c r="E912" t="s">
        <v>38</v>
      </c>
      <c r="F912">
        <v>58.87</v>
      </c>
      <c r="G912" t="s">
        <v>19</v>
      </c>
      <c r="H912" t="s">
        <v>37</v>
      </c>
      <c r="I912">
        <v>3.1</v>
      </c>
      <c r="J912">
        <v>16</v>
      </c>
      <c r="K912">
        <v>3</v>
      </c>
    </row>
    <row r="913" spans="1:11" x14ac:dyDescent="0.35">
      <c r="A913">
        <v>912</v>
      </c>
      <c r="B913">
        <v>42</v>
      </c>
      <c r="C913" t="s">
        <v>16</v>
      </c>
      <c r="D913" t="s">
        <v>20</v>
      </c>
      <c r="E913" t="s">
        <v>39</v>
      </c>
      <c r="F913">
        <v>51.43</v>
      </c>
      <c r="G913" t="s">
        <v>24</v>
      </c>
      <c r="H913" t="s">
        <v>15</v>
      </c>
      <c r="I913">
        <v>2.7</v>
      </c>
      <c r="J913">
        <v>13</v>
      </c>
      <c r="K913">
        <v>4</v>
      </c>
    </row>
    <row r="914" spans="1:11" x14ac:dyDescent="0.35">
      <c r="A914">
        <v>913</v>
      </c>
      <c r="B914">
        <v>56</v>
      </c>
      <c r="C914" t="s">
        <v>11</v>
      </c>
      <c r="D914" t="s">
        <v>22</v>
      </c>
      <c r="E914" t="s">
        <v>43</v>
      </c>
      <c r="F914">
        <v>235.41</v>
      </c>
      <c r="G914" t="s">
        <v>31</v>
      </c>
      <c r="H914" t="s">
        <v>15</v>
      </c>
      <c r="I914">
        <v>2.6</v>
      </c>
      <c r="J914">
        <v>2</v>
      </c>
      <c r="K914">
        <v>1</v>
      </c>
    </row>
    <row r="915" spans="1:11" x14ac:dyDescent="0.35">
      <c r="A915">
        <v>914</v>
      </c>
      <c r="B915">
        <v>46</v>
      </c>
      <c r="C915" t="s">
        <v>11</v>
      </c>
      <c r="D915" t="s">
        <v>12</v>
      </c>
      <c r="E915" t="s">
        <v>56</v>
      </c>
      <c r="F915">
        <v>99.47</v>
      </c>
      <c r="G915" t="s">
        <v>24</v>
      </c>
      <c r="H915" t="s">
        <v>37</v>
      </c>
      <c r="I915">
        <v>3.7</v>
      </c>
      <c r="J915">
        <v>22</v>
      </c>
      <c r="K915">
        <v>11</v>
      </c>
    </row>
    <row r="916" spans="1:11" x14ac:dyDescent="0.35">
      <c r="A916">
        <v>915</v>
      </c>
      <c r="B916">
        <v>40</v>
      </c>
      <c r="C916" t="s">
        <v>11</v>
      </c>
      <c r="D916" t="s">
        <v>12</v>
      </c>
      <c r="E916" t="s">
        <v>50</v>
      </c>
      <c r="F916">
        <v>38.29</v>
      </c>
      <c r="G916" t="s">
        <v>14</v>
      </c>
      <c r="H916" t="s">
        <v>15</v>
      </c>
      <c r="I916">
        <v>4.0999999999999996</v>
      </c>
      <c r="J916">
        <v>18</v>
      </c>
      <c r="K916">
        <v>9</v>
      </c>
    </row>
    <row r="917" spans="1:11" x14ac:dyDescent="0.35">
      <c r="A917">
        <v>916</v>
      </c>
      <c r="B917">
        <v>54</v>
      </c>
      <c r="C917" t="s">
        <v>16</v>
      </c>
      <c r="D917" t="s">
        <v>33</v>
      </c>
      <c r="E917" t="s">
        <v>38</v>
      </c>
      <c r="F917">
        <v>240.73</v>
      </c>
      <c r="G917" t="s">
        <v>19</v>
      </c>
      <c r="H917" t="s">
        <v>15</v>
      </c>
      <c r="I917">
        <v>4.5</v>
      </c>
      <c r="J917">
        <v>18</v>
      </c>
      <c r="K917">
        <v>4</v>
      </c>
    </row>
    <row r="918" spans="1:11" x14ac:dyDescent="0.35">
      <c r="A918">
        <v>917</v>
      </c>
      <c r="B918">
        <v>24</v>
      </c>
      <c r="C918" t="s">
        <v>11</v>
      </c>
      <c r="D918" t="s">
        <v>41</v>
      </c>
      <c r="E918" t="s">
        <v>45</v>
      </c>
      <c r="F918">
        <v>145.27000000000001</v>
      </c>
      <c r="G918" t="s">
        <v>31</v>
      </c>
      <c r="H918" t="s">
        <v>15</v>
      </c>
      <c r="I918">
        <v>4.7</v>
      </c>
      <c r="J918">
        <v>20</v>
      </c>
      <c r="K918">
        <v>10</v>
      </c>
    </row>
    <row r="919" spans="1:11" x14ac:dyDescent="0.35">
      <c r="A919">
        <v>918</v>
      </c>
      <c r="B919">
        <v>22</v>
      </c>
      <c r="C919" t="s">
        <v>16</v>
      </c>
      <c r="D919" t="s">
        <v>33</v>
      </c>
      <c r="E919" t="s">
        <v>38</v>
      </c>
      <c r="F919">
        <v>140.13</v>
      </c>
      <c r="G919" t="s">
        <v>19</v>
      </c>
      <c r="H919" t="s">
        <v>15</v>
      </c>
      <c r="I919">
        <v>4.4000000000000004</v>
      </c>
      <c r="J919">
        <v>16</v>
      </c>
      <c r="K919">
        <v>3</v>
      </c>
    </row>
    <row r="920" spans="1:11" x14ac:dyDescent="0.35">
      <c r="A920">
        <v>919</v>
      </c>
      <c r="B920">
        <v>43</v>
      </c>
      <c r="C920" t="s">
        <v>16</v>
      </c>
      <c r="D920" t="s">
        <v>33</v>
      </c>
      <c r="E920" t="s">
        <v>40</v>
      </c>
      <c r="F920">
        <v>192.45</v>
      </c>
      <c r="G920" t="s">
        <v>14</v>
      </c>
      <c r="H920" t="s">
        <v>15</v>
      </c>
      <c r="I920">
        <v>3.3</v>
      </c>
      <c r="J920">
        <v>7</v>
      </c>
      <c r="K920">
        <v>1</v>
      </c>
    </row>
    <row r="921" spans="1:11" x14ac:dyDescent="0.35">
      <c r="A921">
        <v>920</v>
      </c>
      <c r="B921">
        <v>21</v>
      </c>
      <c r="C921" t="s">
        <v>16</v>
      </c>
      <c r="D921" t="s">
        <v>27</v>
      </c>
      <c r="E921" t="s">
        <v>53</v>
      </c>
      <c r="F921">
        <v>2391.56</v>
      </c>
      <c r="G921" t="s">
        <v>19</v>
      </c>
      <c r="H921" t="s">
        <v>15</v>
      </c>
      <c r="I921">
        <v>3.7</v>
      </c>
      <c r="J921">
        <v>24</v>
      </c>
      <c r="K921">
        <v>7</v>
      </c>
    </row>
    <row r="922" spans="1:11" x14ac:dyDescent="0.35">
      <c r="A922">
        <v>921</v>
      </c>
      <c r="B922">
        <v>58</v>
      </c>
      <c r="C922" t="s">
        <v>11</v>
      </c>
      <c r="D922" t="s">
        <v>22</v>
      </c>
      <c r="E922" t="s">
        <v>23</v>
      </c>
      <c r="F922">
        <v>246.33</v>
      </c>
      <c r="G922" t="s">
        <v>24</v>
      </c>
      <c r="H922" t="s">
        <v>15</v>
      </c>
      <c r="I922">
        <v>3.9</v>
      </c>
      <c r="J922">
        <v>12</v>
      </c>
      <c r="K922">
        <v>6</v>
      </c>
    </row>
    <row r="923" spans="1:11" x14ac:dyDescent="0.35">
      <c r="A923">
        <v>922</v>
      </c>
      <c r="B923">
        <v>57</v>
      </c>
      <c r="C923" t="s">
        <v>16</v>
      </c>
      <c r="D923" t="s">
        <v>20</v>
      </c>
      <c r="E923" t="s">
        <v>39</v>
      </c>
      <c r="F923">
        <v>39.18</v>
      </c>
      <c r="G923" t="s">
        <v>31</v>
      </c>
      <c r="H923" t="s">
        <v>37</v>
      </c>
      <c r="I923">
        <v>3.4</v>
      </c>
      <c r="J923">
        <v>23</v>
      </c>
      <c r="K923">
        <v>9</v>
      </c>
    </row>
    <row r="924" spans="1:11" x14ac:dyDescent="0.35">
      <c r="A924">
        <v>923</v>
      </c>
      <c r="B924">
        <v>25</v>
      </c>
      <c r="C924" t="s">
        <v>11</v>
      </c>
      <c r="D924" t="s">
        <v>29</v>
      </c>
      <c r="E924" t="s">
        <v>55</v>
      </c>
      <c r="F924">
        <v>21.93</v>
      </c>
      <c r="G924" t="s">
        <v>14</v>
      </c>
      <c r="H924" t="s">
        <v>37</v>
      </c>
      <c r="I924">
        <v>4.5</v>
      </c>
      <c r="J924">
        <v>18</v>
      </c>
      <c r="K924">
        <v>4</v>
      </c>
    </row>
    <row r="925" spans="1:11" x14ac:dyDescent="0.35">
      <c r="A925">
        <v>924</v>
      </c>
      <c r="B925">
        <v>35</v>
      </c>
      <c r="C925" t="s">
        <v>16</v>
      </c>
      <c r="D925" t="s">
        <v>17</v>
      </c>
      <c r="E925" t="s">
        <v>35</v>
      </c>
      <c r="F925">
        <v>35.65</v>
      </c>
      <c r="G925" t="s">
        <v>14</v>
      </c>
      <c r="H925" t="s">
        <v>15</v>
      </c>
      <c r="I925">
        <v>4.5</v>
      </c>
      <c r="J925">
        <v>13</v>
      </c>
      <c r="K925">
        <v>4</v>
      </c>
    </row>
    <row r="926" spans="1:11" x14ac:dyDescent="0.35">
      <c r="A926">
        <v>925</v>
      </c>
      <c r="B926">
        <v>23</v>
      </c>
      <c r="C926" t="s">
        <v>16</v>
      </c>
      <c r="D926" t="s">
        <v>17</v>
      </c>
      <c r="E926" t="s">
        <v>48</v>
      </c>
      <c r="F926">
        <v>174.44</v>
      </c>
      <c r="G926" t="s">
        <v>31</v>
      </c>
      <c r="H926" t="s">
        <v>15</v>
      </c>
      <c r="I926">
        <v>2.9</v>
      </c>
      <c r="J926">
        <v>14</v>
      </c>
      <c r="K926">
        <v>7</v>
      </c>
    </row>
    <row r="927" spans="1:11" x14ac:dyDescent="0.35">
      <c r="A927">
        <v>926</v>
      </c>
      <c r="B927">
        <v>23</v>
      </c>
      <c r="C927" t="s">
        <v>11</v>
      </c>
      <c r="D927" t="s">
        <v>12</v>
      </c>
      <c r="E927" t="s">
        <v>56</v>
      </c>
      <c r="F927">
        <v>130.69999999999999</v>
      </c>
      <c r="G927" t="s">
        <v>19</v>
      </c>
      <c r="H927" t="s">
        <v>15</v>
      </c>
      <c r="I927">
        <v>3.2</v>
      </c>
      <c r="J927">
        <v>19</v>
      </c>
      <c r="K927">
        <v>7</v>
      </c>
    </row>
    <row r="928" spans="1:11" x14ac:dyDescent="0.35">
      <c r="A928">
        <v>927</v>
      </c>
      <c r="B928">
        <v>31</v>
      </c>
      <c r="C928" t="s">
        <v>16</v>
      </c>
      <c r="D928" t="s">
        <v>20</v>
      </c>
      <c r="E928" t="s">
        <v>21</v>
      </c>
      <c r="F928">
        <v>231.91</v>
      </c>
      <c r="G928" t="s">
        <v>24</v>
      </c>
      <c r="H928" t="s">
        <v>15</v>
      </c>
      <c r="I928">
        <v>4.4000000000000004</v>
      </c>
      <c r="J928">
        <v>21</v>
      </c>
      <c r="K928">
        <v>8</v>
      </c>
    </row>
    <row r="929" spans="1:11" x14ac:dyDescent="0.35">
      <c r="A929">
        <v>928</v>
      </c>
      <c r="B929">
        <v>33</v>
      </c>
      <c r="C929" t="s">
        <v>11</v>
      </c>
      <c r="D929" t="s">
        <v>12</v>
      </c>
      <c r="E929" t="s">
        <v>56</v>
      </c>
      <c r="F929">
        <v>130.37</v>
      </c>
      <c r="G929" t="s">
        <v>14</v>
      </c>
      <c r="H929" t="s">
        <v>15</v>
      </c>
      <c r="I929">
        <v>3.3</v>
      </c>
      <c r="J929">
        <v>6</v>
      </c>
      <c r="K929">
        <v>3</v>
      </c>
    </row>
    <row r="930" spans="1:11" x14ac:dyDescent="0.35">
      <c r="A930">
        <v>929</v>
      </c>
      <c r="B930">
        <v>45</v>
      </c>
      <c r="C930" t="s">
        <v>11</v>
      </c>
      <c r="D930" t="s">
        <v>41</v>
      </c>
      <c r="E930" t="s">
        <v>45</v>
      </c>
      <c r="F930">
        <v>185.7</v>
      </c>
      <c r="G930" t="s">
        <v>14</v>
      </c>
      <c r="H930" t="s">
        <v>15</v>
      </c>
      <c r="I930">
        <v>2.8</v>
      </c>
      <c r="J930">
        <v>8</v>
      </c>
      <c r="K930">
        <v>4</v>
      </c>
    </row>
    <row r="931" spans="1:11" x14ac:dyDescent="0.35">
      <c r="A931">
        <v>930</v>
      </c>
      <c r="B931">
        <v>59</v>
      </c>
      <c r="C931" t="s">
        <v>16</v>
      </c>
      <c r="D931" t="s">
        <v>25</v>
      </c>
      <c r="E931" t="s">
        <v>26</v>
      </c>
      <c r="F931">
        <v>8.6999999999999993</v>
      </c>
      <c r="G931" t="s">
        <v>14</v>
      </c>
      <c r="H931" t="s">
        <v>37</v>
      </c>
      <c r="I931">
        <v>3.5</v>
      </c>
      <c r="J931">
        <v>32</v>
      </c>
      <c r="K931">
        <v>11</v>
      </c>
    </row>
    <row r="932" spans="1:11" x14ac:dyDescent="0.35">
      <c r="A932">
        <v>931</v>
      </c>
      <c r="B932">
        <v>43</v>
      </c>
      <c r="C932" t="s">
        <v>16</v>
      </c>
      <c r="D932" t="s">
        <v>27</v>
      </c>
      <c r="E932" t="s">
        <v>49</v>
      </c>
      <c r="F932">
        <v>2197.9899999999998</v>
      </c>
      <c r="G932" t="s">
        <v>31</v>
      </c>
      <c r="H932" t="s">
        <v>15</v>
      </c>
      <c r="I932">
        <v>4.0999999999999996</v>
      </c>
      <c r="J932">
        <v>10</v>
      </c>
      <c r="K932">
        <v>5</v>
      </c>
    </row>
    <row r="933" spans="1:11" x14ac:dyDescent="0.35">
      <c r="A933">
        <v>932</v>
      </c>
      <c r="B933">
        <v>27</v>
      </c>
      <c r="C933" t="s">
        <v>16</v>
      </c>
      <c r="D933" t="s">
        <v>20</v>
      </c>
      <c r="E933" t="s">
        <v>36</v>
      </c>
      <c r="F933">
        <v>113.14</v>
      </c>
      <c r="G933" t="s">
        <v>31</v>
      </c>
      <c r="H933" t="s">
        <v>15</v>
      </c>
      <c r="I933">
        <v>4.4000000000000004</v>
      </c>
      <c r="J933">
        <v>10</v>
      </c>
      <c r="K933">
        <v>5</v>
      </c>
    </row>
    <row r="934" spans="1:11" x14ac:dyDescent="0.35">
      <c r="A934">
        <v>933</v>
      </c>
      <c r="B934">
        <v>53</v>
      </c>
      <c r="C934" t="s">
        <v>16</v>
      </c>
      <c r="D934" t="s">
        <v>33</v>
      </c>
      <c r="E934" t="s">
        <v>34</v>
      </c>
      <c r="F934">
        <v>223.47</v>
      </c>
      <c r="G934" t="s">
        <v>14</v>
      </c>
      <c r="H934" t="s">
        <v>15</v>
      </c>
      <c r="I934">
        <v>3.4</v>
      </c>
      <c r="J934">
        <v>8</v>
      </c>
      <c r="K934">
        <v>4</v>
      </c>
    </row>
    <row r="935" spans="1:11" x14ac:dyDescent="0.35">
      <c r="A935">
        <v>934</v>
      </c>
      <c r="B935">
        <v>60</v>
      </c>
      <c r="C935" t="s">
        <v>16</v>
      </c>
      <c r="D935" t="s">
        <v>20</v>
      </c>
      <c r="E935" t="s">
        <v>21</v>
      </c>
      <c r="F935">
        <v>203.1</v>
      </c>
      <c r="G935" t="s">
        <v>14</v>
      </c>
      <c r="H935" t="s">
        <v>15</v>
      </c>
      <c r="I935">
        <v>3.9</v>
      </c>
      <c r="J935">
        <v>10</v>
      </c>
      <c r="K935">
        <v>5</v>
      </c>
    </row>
    <row r="936" spans="1:11" x14ac:dyDescent="0.35">
      <c r="A936">
        <v>935</v>
      </c>
      <c r="B936">
        <v>42</v>
      </c>
      <c r="C936" t="s">
        <v>16</v>
      </c>
      <c r="D936" t="s">
        <v>17</v>
      </c>
      <c r="E936" t="s">
        <v>42</v>
      </c>
      <c r="F936">
        <v>85.93</v>
      </c>
      <c r="G936" t="s">
        <v>24</v>
      </c>
      <c r="H936" t="s">
        <v>15</v>
      </c>
      <c r="I936">
        <v>2.6</v>
      </c>
      <c r="J936">
        <v>22</v>
      </c>
      <c r="K936">
        <v>6</v>
      </c>
    </row>
    <row r="937" spans="1:11" x14ac:dyDescent="0.35">
      <c r="A937">
        <v>936</v>
      </c>
      <c r="B937">
        <v>43</v>
      </c>
      <c r="C937" t="s">
        <v>16</v>
      </c>
      <c r="D937" t="s">
        <v>27</v>
      </c>
      <c r="E937" t="s">
        <v>53</v>
      </c>
      <c r="F937">
        <v>622.05999999999995</v>
      </c>
      <c r="G937" t="s">
        <v>14</v>
      </c>
      <c r="H937" t="s">
        <v>15</v>
      </c>
      <c r="I937">
        <v>3.5</v>
      </c>
      <c r="J937">
        <v>20</v>
      </c>
      <c r="K937">
        <v>5</v>
      </c>
    </row>
    <row r="938" spans="1:11" x14ac:dyDescent="0.35">
      <c r="A938">
        <v>937</v>
      </c>
      <c r="B938">
        <v>62</v>
      </c>
      <c r="C938" t="s">
        <v>16</v>
      </c>
      <c r="D938" t="s">
        <v>22</v>
      </c>
      <c r="E938" t="s">
        <v>52</v>
      </c>
      <c r="F938">
        <v>136.93</v>
      </c>
      <c r="G938" t="s">
        <v>14</v>
      </c>
      <c r="H938" t="s">
        <v>15</v>
      </c>
      <c r="I938">
        <v>2</v>
      </c>
      <c r="J938">
        <v>12</v>
      </c>
      <c r="K938">
        <v>6</v>
      </c>
    </row>
    <row r="939" spans="1:11" x14ac:dyDescent="0.35">
      <c r="A939">
        <v>938</v>
      </c>
      <c r="B939">
        <v>52</v>
      </c>
      <c r="C939" t="s">
        <v>11</v>
      </c>
      <c r="D939" t="s">
        <v>22</v>
      </c>
      <c r="E939" t="s">
        <v>23</v>
      </c>
      <c r="F939">
        <v>287.12</v>
      </c>
      <c r="G939" t="s">
        <v>19</v>
      </c>
      <c r="H939" t="s">
        <v>15</v>
      </c>
      <c r="I939">
        <v>4.2</v>
      </c>
      <c r="J939">
        <v>28</v>
      </c>
      <c r="K939">
        <v>9</v>
      </c>
    </row>
    <row r="940" spans="1:11" x14ac:dyDescent="0.35">
      <c r="A940">
        <v>939</v>
      </c>
      <c r="B940">
        <v>70</v>
      </c>
      <c r="C940" t="s">
        <v>16</v>
      </c>
      <c r="D940" t="s">
        <v>33</v>
      </c>
      <c r="E940" t="s">
        <v>38</v>
      </c>
      <c r="F940">
        <v>223.82</v>
      </c>
      <c r="G940" t="s">
        <v>31</v>
      </c>
      <c r="H940" t="s">
        <v>15</v>
      </c>
      <c r="I940">
        <v>5</v>
      </c>
      <c r="J940">
        <v>9</v>
      </c>
      <c r="K940">
        <v>2</v>
      </c>
    </row>
    <row r="941" spans="1:11" x14ac:dyDescent="0.35">
      <c r="A941">
        <v>940</v>
      </c>
      <c r="B941">
        <v>69</v>
      </c>
      <c r="C941" t="s">
        <v>11</v>
      </c>
      <c r="D941" t="s">
        <v>25</v>
      </c>
      <c r="E941" t="s">
        <v>57</v>
      </c>
      <c r="F941">
        <v>52.06</v>
      </c>
      <c r="G941" t="s">
        <v>19</v>
      </c>
      <c r="H941" t="s">
        <v>15</v>
      </c>
      <c r="I941">
        <v>4.7</v>
      </c>
      <c r="J941">
        <v>20</v>
      </c>
      <c r="K941">
        <v>5</v>
      </c>
    </row>
    <row r="942" spans="1:11" x14ac:dyDescent="0.35">
      <c r="A942">
        <v>941</v>
      </c>
      <c r="B942">
        <v>38</v>
      </c>
      <c r="C942" t="s">
        <v>16</v>
      </c>
      <c r="D942" t="s">
        <v>22</v>
      </c>
      <c r="E942" t="s">
        <v>43</v>
      </c>
      <c r="F942">
        <v>230.54</v>
      </c>
      <c r="G942" t="s">
        <v>19</v>
      </c>
      <c r="H942" t="s">
        <v>15</v>
      </c>
      <c r="I942">
        <v>4.2</v>
      </c>
      <c r="J942">
        <v>16</v>
      </c>
      <c r="K942">
        <v>8</v>
      </c>
    </row>
    <row r="943" spans="1:11" x14ac:dyDescent="0.35">
      <c r="A943">
        <v>942</v>
      </c>
      <c r="B943">
        <v>64</v>
      </c>
      <c r="C943" t="s">
        <v>11</v>
      </c>
      <c r="D943" t="s">
        <v>12</v>
      </c>
      <c r="E943" t="s">
        <v>56</v>
      </c>
      <c r="F943">
        <v>146.22999999999999</v>
      </c>
      <c r="G943" t="s">
        <v>31</v>
      </c>
      <c r="H943" t="s">
        <v>15</v>
      </c>
      <c r="I943">
        <v>4</v>
      </c>
      <c r="J943">
        <v>14</v>
      </c>
      <c r="K943">
        <v>7</v>
      </c>
    </row>
    <row r="944" spans="1:11" x14ac:dyDescent="0.35">
      <c r="A944">
        <v>943</v>
      </c>
      <c r="B944">
        <v>43</v>
      </c>
      <c r="C944" t="s">
        <v>11</v>
      </c>
      <c r="D944" t="s">
        <v>41</v>
      </c>
      <c r="E944" t="s">
        <v>42</v>
      </c>
      <c r="F944">
        <v>84.02</v>
      </c>
      <c r="G944" t="s">
        <v>19</v>
      </c>
      <c r="H944" t="s">
        <v>37</v>
      </c>
      <c r="I944">
        <v>4</v>
      </c>
      <c r="J944">
        <v>8</v>
      </c>
      <c r="K944">
        <v>4</v>
      </c>
    </row>
    <row r="945" spans="1:11" x14ac:dyDescent="0.35">
      <c r="A945">
        <v>944</v>
      </c>
      <c r="B945">
        <v>40</v>
      </c>
      <c r="C945" t="s">
        <v>16</v>
      </c>
      <c r="D945" t="s">
        <v>27</v>
      </c>
      <c r="E945" t="s">
        <v>49</v>
      </c>
      <c r="F945">
        <v>570.66</v>
      </c>
      <c r="G945" t="s">
        <v>24</v>
      </c>
      <c r="H945" t="s">
        <v>15</v>
      </c>
      <c r="I945">
        <v>3.7</v>
      </c>
      <c r="J945">
        <v>7</v>
      </c>
      <c r="K945">
        <v>1</v>
      </c>
    </row>
    <row r="946" spans="1:11" x14ac:dyDescent="0.35">
      <c r="A946">
        <v>945</v>
      </c>
      <c r="B946">
        <v>59</v>
      </c>
      <c r="C946" t="s">
        <v>16</v>
      </c>
      <c r="D946" t="s">
        <v>33</v>
      </c>
      <c r="E946" t="s">
        <v>38</v>
      </c>
      <c r="F946">
        <v>208.68</v>
      </c>
      <c r="G946" t="s">
        <v>24</v>
      </c>
      <c r="H946" t="s">
        <v>15</v>
      </c>
      <c r="I946">
        <v>2.9</v>
      </c>
      <c r="J946">
        <v>22</v>
      </c>
      <c r="K946">
        <v>6</v>
      </c>
    </row>
    <row r="947" spans="1:11" x14ac:dyDescent="0.35">
      <c r="A947">
        <v>946</v>
      </c>
      <c r="B947">
        <v>55</v>
      </c>
      <c r="C947" t="s">
        <v>16</v>
      </c>
      <c r="D947" t="s">
        <v>17</v>
      </c>
      <c r="E947" t="s">
        <v>18</v>
      </c>
      <c r="F947">
        <v>105.92</v>
      </c>
      <c r="G947" t="s">
        <v>19</v>
      </c>
      <c r="H947" t="s">
        <v>15</v>
      </c>
      <c r="I947">
        <v>4</v>
      </c>
      <c r="J947">
        <v>14</v>
      </c>
      <c r="K947">
        <v>2</v>
      </c>
    </row>
    <row r="948" spans="1:11" x14ac:dyDescent="0.35">
      <c r="A948">
        <v>947</v>
      </c>
      <c r="B948">
        <v>67</v>
      </c>
      <c r="C948" t="s">
        <v>16</v>
      </c>
      <c r="D948" t="s">
        <v>27</v>
      </c>
      <c r="E948" t="s">
        <v>32</v>
      </c>
      <c r="F948">
        <v>594.99</v>
      </c>
      <c r="G948" t="s">
        <v>24</v>
      </c>
      <c r="H948" t="s">
        <v>15</v>
      </c>
      <c r="I948">
        <v>4.7</v>
      </c>
      <c r="J948">
        <v>15</v>
      </c>
      <c r="K948">
        <v>5</v>
      </c>
    </row>
    <row r="949" spans="1:11" x14ac:dyDescent="0.35">
      <c r="A949">
        <v>948</v>
      </c>
      <c r="B949">
        <v>48</v>
      </c>
      <c r="C949" t="s">
        <v>16</v>
      </c>
      <c r="D949" t="s">
        <v>20</v>
      </c>
      <c r="E949" t="s">
        <v>21</v>
      </c>
      <c r="F949">
        <v>122.6</v>
      </c>
      <c r="G949" t="s">
        <v>19</v>
      </c>
      <c r="H949" t="s">
        <v>15</v>
      </c>
      <c r="I949">
        <v>3.6</v>
      </c>
      <c r="J949">
        <v>14</v>
      </c>
      <c r="K949">
        <v>7</v>
      </c>
    </row>
    <row r="950" spans="1:11" x14ac:dyDescent="0.35">
      <c r="A950">
        <v>949</v>
      </c>
      <c r="B950">
        <v>62</v>
      </c>
      <c r="C950" t="s">
        <v>11</v>
      </c>
      <c r="D950" t="s">
        <v>29</v>
      </c>
      <c r="E950" t="s">
        <v>55</v>
      </c>
      <c r="F950">
        <v>105.62</v>
      </c>
      <c r="G950" t="s">
        <v>24</v>
      </c>
      <c r="H950" t="s">
        <v>15</v>
      </c>
      <c r="I950">
        <v>3.6</v>
      </c>
      <c r="J950">
        <v>29</v>
      </c>
      <c r="K950">
        <v>12</v>
      </c>
    </row>
    <row r="951" spans="1:11" x14ac:dyDescent="0.35">
      <c r="A951">
        <v>950</v>
      </c>
      <c r="B951">
        <v>57</v>
      </c>
      <c r="C951" t="s">
        <v>11</v>
      </c>
      <c r="D951" t="s">
        <v>22</v>
      </c>
      <c r="E951" t="s">
        <v>23</v>
      </c>
      <c r="F951">
        <v>57.08</v>
      </c>
      <c r="G951" t="s">
        <v>24</v>
      </c>
      <c r="H951" t="s">
        <v>37</v>
      </c>
      <c r="I951">
        <v>3.9</v>
      </c>
      <c r="J951">
        <v>10</v>
      </c>
      <c r="K951">
        <v>5</v>
      </c>
    </row>
    <row r="952" spans="1:11" x14ac:dyDescent="0.35">
      <c r="A952">
        <v>951</v>
      </c>
      <c r="B952">
        <v>44</v>
      </c>
      <c r="C952" t="s">
        <v>16</v>
      </c>
      <c r="D952" t="s">
        <v>22</v>
      </c>
      <c r="E952" t="s">
        <v>43</v>
      </c>
      <c r="F952">
        <v>157.74</v>
      </c>
      <c r="G952" t="s">
        <v>24</v>
      </c>
      <c r="H952" t="s">
        <v>15</v>
      </c>
      <c r="I952">
        <v>3.3</v>
      </c>
      <c r="J952">
        <v>17</v>
      </c>
      <c r="K952">
        <v>6</v>
      </c>
    </row>
    <row r="953" spans="1:11" x14ac:dyDescent="0.35">
      <c r="A953">
        <v>952</v>
      </c>
      <c r="B953">
        <v>25</v>
      </c>
      <c r="C953" t="s">
        <v>16</v>
      </c>
      <c r="D953" t="s">
        <v>25</v>
      </c>
      <c r="E953" t="s">
        <v>26</v>
      </c>
      <c r="F953">
        <v>77.760000000000005</v>
      </c>
      <c r="G953" t="s">
        <v>31</v>
      </c>
      <c r="H953" t="s">
        <v>15</v>
      </c>
      <c r="I953">
        <v>4.3</v>
      </c>
      <c r="J953">
        <v>27</v>
      </c>
      <c r="K953">
        <v>11</v>
      </c>
    </row>
    <row r="954" spans="1:11" x14ac:dyDescent="0.35">
      <c r="A954">
        <v>953</v>
      </c>
      <c r="B954">
        <v>48</v>
      </c>
      <c r="C954" t="s">
        <v>11</v>
      </c>
      <c r="D954" t="s">
        <v>22</v>
      </c>
      <c r="E954" t="s">
        <v>23</v>
      </c>
      <c r="F954">
        <v>243.65</v>
      </c>
      <c r="G954" t="s">
        <v>14</v>
      </c>
      <c r="H954" t="s">
        <v>15</v>
      </c>
      <c r="I954">
        <v>4.8</v>
      </c>
      <c r="J954">
        <v>15</v>
      </c>
      <c r="K954">
        <v>5</v>
      </c>
    </row>
    <row r="955" spans="1:11" x14ac:dyDescent="0.35">
      <c r="A955">
        <v>954</v>
      </c>
      <c r="B955">
        <v>28</v>
      </c>
      <c r="C955" t="s">
        <v>16</v>
      </c>
      <c r="D955" t="s">
        <v>20</v>
      </c>
      <c r="E955" t="s">
        <v>39</v>
      </c>
      <c r="F955">
        <v>73.599999999999994</v>
      </c>
      <c r="G955" t="s">
        <v>19</v>
      </c>
      <c r="H955" t="s">
        <v>15</v>
      </c>
      <c r="I955">
        <v>3.3</v>
      </c>
      <c r="J955">
        <v>14</v>
      </c>
      <c r="K955">
        <v>7</v>
      </c>
    </row>
    <row r="956" spans="1:11" x14ac:dyDescent="0.35">
      <c r="A956">
        <v>955</v>
      </c>
      <c r="B956">
        <v>51</v>
      </c>
      <c r="C956" t="s">
        <v>11</v>
      </c>
      <c r="D956" t="s">
        <v>33</v>
      </c>
      <c r="E956" t="s">
        <v>34</v>
      </c>
      <c r="F956">
        <v>187.41</v>
      </c>
      <c r="G956" t="s">
        <v>19</v>
      </c>
      <c r="H956" t="s">
        <v>15</v>
      </c>
      <c r="I956">
        <v>4.4000000000000004</v>
      </c>
      <c r="J956">
        <v>20</v>
      </c>
      <c r="K956">
        <v>5</v>
      </c>
    </row>
    <row r="957" spans="1:11" x14ac:dyDescent="0.35">
      <c r="A957">
        <v>956</v>
      </c>
      <c r="B957">
        <v>46</v>
      </c>
      <c r="C957" t="s">
        <v>11</v>
      </c>
      <c r="D957" t="s">
        <v>33</v>
      </c>
      <c r="E957" t="s">
        <v>40</v>
      </c>
      <c r="F957">
        <v>191.13</v>
      </c>
      <c r="G957" t="s">
        <v>19</v>
      </c>
      <c r="H957" t="s">
        <v>15</v>
      </c>
      <c r="I957">
        <v>3.9</v>
      </c>
      <c r="J957">
        <v>12</v>
      </c>
      <c r="K957">
        <v>6</v>
      </c>
    </row>
    <row r="958" spans="1:11" x14ac:dyDescent="0.35">
      <c r="A958">
        <v>957</v>
      </c>
      <c r="B958">
        <v>24</v>
      </c>
      <c r="C958" t="s">
        <v>16</v>
      </c>
      <c r="D958" t="s">
        <v>27</v>
      </c>
      <c r="E958" t="s">
        <v>32</v>
      </c>
      <c r="F958">
        <v>2923.37</v>
      </c>
      <c r="G958" t="s">
        <v>24</v>
      </c>
      <c r="H958" t="s">
        <v>15</v>
      </c>
      <c r="I958">
        <v>3.5</v>
      </c>
      <c r="J958">
        <v>15</v>
      </c>
      <c r="K958">
        <v>5</v>
      </c>
    </row>
    <row r="959" spans="1:11" x14ac:dyDescent="0.35">
      <c r="A959">
        <v>958</v>
      </c>
      <c r="B959">
        <v>66</v>
      </c>
      <c r="C959" t="s">
        <v>11</v>
      </c>
      <c r="D959" t="s">
        <v>25</v>
      </c>
      <c r="E959" t="s">
        <v>26</v>
      </c>
      <c r="F959">
        <v>56.64</v>
      </c>
      <c r="G959" t="s">
        <v>31</v>
      </c>
      <c r="H959" t="s">
        <v>37</v>
      </c>
      <c r="I959">
        <v>4</v>
      </c>
      <c r="J959">
        <v>18</v>
      </c>
      <c r="K959">
        <v>9</v>
      </c>
    </row>
    <row r="960" spans="1:11" x14ac:dyDescent="0.35">
      <c r="A960">
        <v>959</v>
      </c>
      <c r="B960">
        <v>47</v>
      </c>
      <c r="C960" t="s">
        <v>16</v>
      </c>
      <c r="D960" t="s">
        <v>25</v>
      </c>
      <c r="E960" t="s">
        <v>54</v>
      </c>
      <c r="F960">
        <v>54.21</v>
      </c>
      <c r="G960" t="s">
        <v>31</v>
      </c>
      <c r="H960" t="s">
        <v>37</v>
      </c>
      <c r="I960">
        <v>3.7</v>
      </c>
      <c r="J960">
        <v>15</v>
      </c>
      <c r="K960">
        <v>5</v>
      </c>
    </row>
    <row r="961" spans="1:11" x14ac:dyDescent="0.35">
      <c r="A961">
        <v>960</v>
      </c>
      <c r="B961">
        <v>60</v>
      </c>
      <c r="C961" t="s">
        <v>11</v>
      </c>
      <c r="D961" t="s">
        <v>12</v>
      </c>
      <c r="E961" t="s">
        <v>13</v>
      </c>
      <c r="F961">
        <v>117.39</v>
      </c>
      <c r="G961" t="s">
        <v>31</v>
      </c>
      <c r="H961" t="s">
        <v>15</v>
      </c>
      <c r="I961">
        <v>2.9</v>
      </c>
      <c r="J961">
        <v>10</v>
      </c>
      <c r="K961">
        <v>5</v>
      </c>
    </row>
    <row r="962" spans="1:11" x14ac:dyDescent="0.35">
      <c r="A962">
        <v>961</v>
      </c>
      <c r="B962">
        <v>40</v>
      </c>
      <c r="C962" t="s">
        <v>11</v>
      </c>
      <c r="D962" t="s">
        <v>33</v>
      </c>
      <c r="E962" t="s">
        <v>40</v>
      </c>
      <c r="F962">
        <v>197.69</v>
      </c>
      <c r="G962" t="s">
        <v>24</v>
      </c>
      <c r="H962" t="s">
        <v>15</v>
      </c>
      <c r="I962">
        <v>1.8</v>
      </c>
      <c r="J962">
        <v>20</v>
      </c>
      <c r="K962">
        <v>5</v>
      </c>
    </row>
    <row r="963" spans="1:11" x14ac:dyDescent="0.35">
      <c r="A963">
        <v>962</v>
      </c>
      <c r="B963">
        <v>47</v>
      </c>
      <c r="C963" t="s">
        <v>16</v>
      </c>
      <c r="D963" t="s">
        <v>20</v>
      </c>
      <c r="E963" t="s">
        <v>21</v>
      </c>
      <c r="F963">
        <v>178.62</v>
      </c>
      <c r="G963" t="s">
        <v>24</v>
      </c>
      <c r="H963" t="s">
        <v>15</v>
      </c>
      <c r="I963">
        <v>3.3</v>
      </c>
      <c r="J963">
        <v>16</v>
      </c>
      <c r="K963">
        <v>8</v>
      </c>
    </row>
    <row r="964" spans="1:11" x14ac:dyDescent="0.35">
      <c r="A964">
        <v>963</v>
      </c>
      <c r="B964">
        <v>54</v>
      </c>
      <c r="C964" t="s">
        <v>16</v>
      </c>
      <c r="D964" t="s">
        <v>17</v>
      </c>
      <c r="E964" t="s">
        <v>42</v>
      </c>
      <c r="F964">
        <v>199.78</v>
      </c>
      <c r="G964" t="s">
        <v>14</v>
      </c>
      <c r="H964" t="s">
        <v>15</v>
      </c>
      <c r="I964">
        <v>3</v>
      </c>
      <c r="J964">
        <v>2</v>
      </c>
      <c r="K964">
        <v>1</v>
      </c>
    </row>
    <row r="965" spans="1:11" x14ac:dyDescent="0.35">
      <c r="A965">
        <v>964</v>
      </c>
      <c r="B965">
        <v>31</v>
      </c>
      <c r="C965" t="s">
        <v>16</v>
      </c>
      <c r="D965" t="s">
        <v>20</v>
      </c>
      <c r="E965" t="s">
        <v>36</v>
      </c>
      <c r="F965">
        <v>243.71</v>
      </c>
      <c r="G965" t="s">
        <v>24</v>
      </c>
      <c r="H965" t="s">
        <v>15</v>
      </c>
      <c r="I965">
        <v>3.8</v>
      </c>
      <c r="J965">
        <v>4</v>
      </c>
      <c r="K965">
        <v>2</v>
      </c>
    </row>
    <row r="966" spans="1:11" x14ac:dyDescent="0.35">
      <c r="A966">
        <v>965</v>
      </c>
      <c r="B966">
        <v>37</v>
      </c>
      <c r="C966" t="s">
        <v>16</v>
      </c>
      <c r="D966" t="s">
        <v>27</v>
      </c>
      <c r="E966" t="s">
        <v>49</v>
      </c>
      <c r="F966">
        <v>2839.22</v>
      </c>
      <c r="G966" t="s">
        <v>31</v>
      </c>
      <c r="H966" t="s">
        <v>15</v>
      </c>
      <c r="I966">
        <v>3.9</v>
      </c>
      <c r="J966">
        <v>16</v>
      </c>
      <c r="K966">
        <v>8</v>
      </c>
    </row>
    <row r="967" spans="1:11" x14ac:dyDescent="0.35">
      <c r="A967">
        <v>966</v>
      </c>
      <c r="B967">
        <v>55</v>
      </c>
      <c r="C967" t="s">
        <v>11</v>
      </c>
      <c r="D967" t="s">
        <v>33</v>
      </c>
      <c r="E967" t="s">
        <v>34</v>
      </c>
      <c r="F967">
        <v>103.82</v>
      </c>
      <c r="G967" t="s">
        <v>14</v>
      </c>
      <c r="H967" t="s">
        <v>15</v>
      </c>
      <c r="I967">
        <v>4.5</v>
      </c>
      <c r="J967">
        <v>16</v>
      </c>
      <c r="K967">
        <v>3</v>
      </c>
    </row>
    <row r="968" spans="1:11" x14ac:dyDescent="0.35">
      <c r="A968">
        <v>967</v>
      </c>
      <c r="B968">
        <v>60</v>
      </c>
      <c r="C968" t="s">
        <v>11</v>
      </c>
      <c r="D968" t="s">
        <v>12</v>
      </c>
      <c r="E968" t="s">
        <v>13</v>
      </c>
      <c r="F968">
        <v>131.19</v>
      </c>
      <c r="G968" t="s">
        <v>14</v>
      </c>
      <c r="H968" t="s">
        <v>15</v>
      </c>
      <c r="I968">
        <v>3.8</v>
      </c>
      <c r="J968">
        <v>6</v>
      </c>
      <c r="K968">
        <v>3</v>
      </c>
    </row>
    <row r="969" spans="1:11" x14ac:dyDescent="0.35">
      <c r="A969">
        <v>968</v>
      </c>
      <c r="B969">
        <v>52</v>
      </c>
      <c r="C969" t="s">
        <v>16</v>
      </c>
      <c r="D969" t="s">
        <v>17</v>
      </c>
      <c r="E969" t="s">
        <v>48</v>
      </c>
      <c r="F969">
        <v>194.91</v>
      </c>
      <c r="G969" t="s">
        <v>31</v>
      </c>
      <c r="H969" t="s">
        <v>15</v>
      </c>
      <c r="I969">
        <v>4.9000000000000004</v>
      </c>
      <c r="J969">
        <v>23</v>
      </c>
      <c r="K969">
        <v>9</v>
      </c>
    </row>
    <row r="970" spans="1:11" x14ac:dyDescent="0.35">
      <c r="A970">
        <v>969</v>
      </c>
      <c r="B970">
        <v>48</v>
      </c>
      <c r="C970" t="s">
        <v>16</v>
      </c>
      <c r="D970" t="s">
        <v>33</v>
      </c>
      <c r="E970" t="s">
        <v>34</v>
      </c>
      <c r="F970">
        <v>113.38</v>
      </c>
      <c r="G970" t="s">
        <v>19</v>
      </c>
      <c r="H970" t="s">
        <v>15</v>
      </c>
      <c r="I970">
        <v>2.6</v>
      </c>
      <c r="J970">
        <v>11</v>
      </c>
      <c r="K970">
        <v>3</v>
      </c>
    </row>
    <row r="971" spans="1:11" x14ac:dyDescent="0.35">
      <c r="A971">
        <v>970</v>
      </c>
      <c r="B971">
        <v>55</v>
      </c>
      <c r="C971" t="s">
        <v>11</v>
      </c>
      <c r="D971" t="s">
        <v>33</v>
      </c>
      <c r="E971" t="s">
        <v>34</v>
      </c>
      <c r="F971">
        <v>122.62</v>
      </c>
      <c r="G971" t="s">
        <v>19</v>
      </c>
      <c r="H971" t="s">
        <v>15</v>
      </c>
      <c r="I971">
        <v>2.7</v>
      </c>
      <c r="J971">
        <v>13</v>
      </c>
      <c r="K971">
        <v>4</v>
      </c>
    </row>
    <row r="972" spans="1:11" x14ac:dyDescent="0.35">
      <c r="A972">
        <v>971</v>
      </c>
      <c r="B972">
        <v>39</v>
      </c>
      <c r="C972" t="s">
        <v>11</v>
      </c>
      <c r="D972" t="s">
        <v>29</v>
      </c>
      <c r="E972" t="s">
        <v>55</v>
      </c>
      <c r="F972">
        <v>126.77</v>
      </c>
      <c r="G972" t="s">
        <v>19</v>
      </c>
      <c r="H972" t="s">
        <v>15</v>
      </c>
      <c r="I972">
        <v>3.7</v>
      </c>
      <c r="J972">
        <v>24</v>
      </c>
      <c r="K972">
        <v>7</v>
      </c>
    </row>
    <row r="973" spans="1:11" x14ac:dyDescent="0.35">
      <c r="A973">
        <v>972</v>
      </c>
      <c r="B973">
        <v>56</v>
      </c>
      <c r="C973" t="s">
        <v>16</v>
      </c>
      <c r="D973" t="s">
        <v>33</v>
      </c>
      <c r="E973" t="s">
        <v>38</v>
      </c>
      <c r="F973">
        <v>247.66</v>
      </c>
      <c r="G973" t="s">
        <v>24</v>
      </c>
      <c r="H973" t="s">
        <v>15</v>
      </c>
      <c r="I973">
        <v>4.5</v>
      </c>
      <c r="J973">
        <v>22</v>
      </c>
      <c r="K973">
        <v>6</v>
      </c>
    </row>
    <row r="974" spans="1:11" x14ac:dyDescent="0.35">
      <c r="A974">
        <v>973</v>
      </c>
      <c r="B974">
        <v>55</v>
      </c>
      <c r="C974" t="s">
        <v>16</v>
      </c>
      <c r="D974" t="s">
        <v>20</v>
      </c>
      <c r="E974" t="s">
        <v>39</v>
      </c>
      <c r="F974">
        <v>245.63</v>
      </c>
      <c r="G974" t="s">
        <v>24</v>
      </c>
      <c r="H974" t="s">
        <v>15</v>
      </c>
      <c r="I974">
        <v>4</v>
      </c>
      <c r="J974">
        <v>15</v>
      </c>
      <c r="K974">
        <v>5</v>
      </c>
    </row>
    <row r="975" spans="1:11" x14ac:dyDescent="0.35">
      <c r="A975">
        <v>974</v>
      </c>
      <c r="B975">
        <v>59</v>
      </c>
      <c r="C975" t="s">
        <v>16</v>
      </c>
      <c r="D975" t="s">
        <v>20</v>
      </c>
      <c r="E975" t="s">
        <v>21</v>
      </c>
      <c r="F975">
        <v>42.7</v>
      </c>
      <c r="G975" t="s">
        <v>24</v>
      </c>
      <c r="H975" t="s">
        <v>15</v>
      </c>
      <c r="I975">
        <v>2.9</v>
      </c>
      <c r="J975">
        <v>8</v>
      </c>
      <c r="K975">
        <v>4</v>
      </c>
    </row>
    <row r="976" spans="1:11" x14ac:dyDescent="0.35">
      <c r="A976">
        <v>975</v>
      </c>
      <c r="B976">
        <v>32</v>
      </c>
      <c r="C976" t="s">
        <v>11</v>
      </c>
      <c r="D976" t="s">
        <v>20</v>
      </c>
      <c r="E976" t="s">
        <v>21</v>
      </c>
      <c r="F976">
        <v>143.21</v>
      </c>
      <c r="G976" t="s">
        <v>24</v>
      </c>
      <c r="H976" t="s">
        <v>15</v>
      </c>
      <c r="I976">
        <v>3.4</v>
      </c>
      <c r="J976">
        <v>22</v>
      </c>
      <c r="K976">
        <v>6</v>
      </c>
    </row>
    <row r="977" spans="1:11" x14ac:dyDescent="0.35">
      <c r="A977">
        <v>976</v>
      </c>
      <c r="B977">
        <v>20</v>
      </c>
      <c r="C977" t="s">
        <v>16</v>
      </c>
      <c r="D977" t="s">
        <v>17</v>
      </c>
      <c r="E977" t="s">
        <v>35</v>
      </c>
      <c r="F977">
        <v>182.98</v>
      </c>
      <c r="G977" t="s">
        <v>14</v>
      </c>
      <c r="H977" t="s">
        <v>15</v>
      </c>
      <c r="I977">
        <v>4.5</v>
      </c>
      <c r="J977">
        <v>20</v>
      </c>
      <c r="K977">
        <v>5</v>
      </c>
    </row>
    <row r="978" spans="1:11" x14ac:dyDescent="0.35">
      <c r="A978">
        <v>977</v>
      </c>
      <c r="B978">
        <v>50</v>
      </c>
      <c r="C978" t="s">
        <v>16</v>
      </c>
      <c r="D978" t="s">
        <v>27</v>
      </c>
      <c r="E978" t="s">
        <v>49</v>
      </c>
      <c r="F978">
        <v>1854.1</v>
      </c>
      <c r="G978" t="s">
        <v>14</v>
      </c>
      <c r="H978" t="s">
        <v>15</v>
      </c>
      <c r="I978">
        <v>4.2</v>
      </c>
      <c r="J978">
        <v>12</v>
      </c>
      <c r="K978">
        <v>6</v>
      </c>
    </row>
    <row r="979" spans="1:11" x14ac:dyDescent="0.35">
      <c r="A979">
        <v>978</v>
      </c>
      <c r="B979">
        <v>32</v>
      </c>
      <c r="C979" t="s">
        <v>16</v>
      </c>
      <c r="D979" t="s">
        <v>33</v>
      </c>
      <c r="E979" t="s">
        <v>34</v>
      </c>
      <c r="F979">
        <v>122.08</v>
      </c>
      <c r="G979" t="s">
        <v>14</v>
      </c>
      <c r="H979" t="s">
        <v>15</v>
      </c>
      <c r="I979">
        <v>3.4</v>
      </c>
      <c r="J979">
        <v>18</v>
      </c>
      <c r="K979">
        <v>4</v>
      </c>
    </row>
    <row r="980" spans="1:11" x14ac:dyDescent="0.35">
      <c r="A980">
        <v>979</v>
      </c>
      <c r="B980">
        <v>52</v>
      </c>
      <c r="C980" t="s">
        <v>11</v>
      </c>
      <c r="D980" t="s">
        <v>12</v>
      </c>
      <c r="E980" t="s">
        <v>56</v>
      </c>
      <c r="F980">
        <v>81.599999999999994</v>
      </c>
      <c r="G980" t="s">
        <v>14</v>
      </c>
      <c r="H980" t="s">
        <v>15</v>
      </c>
      <c r="I980">
        <v>4.3</v>
      </c>
      <c r="J980">
        <v>22</v>
      </c>
      <c r="K980">
        <v>6</v>
      </c>
    </row>
    <row r="981" spans="1:11" x14ac:dyDescent="0.35">
      <c r="A981">
        <v>980</v>
      </c>
      <c r="B981">
        <v>20</v>
      </c>
      <c r="C981" t="s">
        <v>11</v>
      </c>
      <c r="D981" t="s">
        <v>33</v>
      </c>
      <c r="E981" t="s">
        <v>40</v>
      </c>
      <c r="F981">
        <v>191.41</v>
      </c>
      <c r="G981" t="s">
        <v>24</v>
      </c>
      <c r="H981" t="s">
        <v>15</v>
      </c>
      <c r="I981">
        <v>3.6</v>
      </c>
      <c r="J981">
        <v>15</v>
      </c>
      <c r="K981">
        <v>5</v>
      </c>
    </row>
    <row r="982" spans="1:11" x14ac:dyDescent="0.35">
      <c r="A982">
        <v>981</v>
      </c>
      <c r="B982">
        <v>24</v>
      </c>
      <c r="C982" t="s">
        <v>16</v>
      </c>
      <c r="D982" t="s">
        <v>20</v>
      </c>
      <c r="E982" t="s">
        <v>36</v>
      </c>
      <c r="F982">
        <v>31.49</v>
      </c>
      <c r="G982" t="s">
        <v>24</v>
      </c>
      <c r="H982" t="s">
        <v>15</v>
      </c>
      <c r="I982">
        <v>3.5</v>
      </c>
      <c r="J982">
        <v>16</v>
      </c>
      <c r="K982">
        <v>3</v>
      </c>
    </row>
    <row r="983" spans="1:11" x14ac:dyDescent="0.35">
      <c r="A983">
        <v>982</v>
      </c>
      <c r="B983">
        <v>28</v>
      </c>
      <c r="C983" t="s">
        <v>11</v>
      </c>
      <c r="D983" t="s">
        <v>33</v>
      </c>
      <c r="E983" t="s">
        <v>40</v>
      </c>
      <c r="F983">
        <v>50.93</v>
      </c>
      <c r="G983" t="s">
        <v>14</v>
      </c>
      <c r="H983" t="s">
        <v>37</v>
      </c>
      <c r="I983">
        <v>4.3</v>
      </c>
      <c r="J983">
        <v>11</v>
      </c>
      <c r="K983">
        <v>3</v>
      </c>
    </row>
    <row r="984" spans="1:11" x14ac:dyDescent="0.35">
      <c r="A984">
        <v>983</v>
      </c>
      <c r="B984">
        <v>52</v>
      </c>
      <c r="C984" t="s">
        <v>11</v>
      </c>
      <c r="D984" t="s">
        <v>12</v>
      </c>
      <c r="E984" t="s">
        <v>50</v>
      </c>
      <c r="F984">
        <v>167.87</v>
      </c>
      <c r="G984" t="s">
        <v>24</v>
      </c>
      <c r="H984" t="s">
        <v>15</v>
      </c>
      <c r="I984">
        <v>3.5</v>
      </c>
      <c r="J984">
        <v>26</v>
      </c>
      <c r="K984">
        <v>8</v>
      </c>
    </row>
    <row r="985" spans="1:11" x14ac:dyDescent="0.35">
      <c r="A985">
        <v>984</v>
      </c>
      <c r="B985">
        <v>50</v>
      </c>
      <c r="C985" t="s">
        <v>16</v>
      </c>
      <c r="D985" t="s">
        <v>33</v>
      </c>
      <c r="E985" t="s">
        <v>34</v>
      </c>
      <c r="F985">
        <v>119.8</v>
      </c>
      <c r="G985" t="s">
        <v>14</v>
      </c>
      <c r="H985" t="s">
        <v>15</v>
      </c>
      <c r="I985">
        <v>4.7</v>
      </c>
      <c r="J985">
        <v>22</v>
      </c>
      <c r="K985">
        <v>6</v>
      </c>
    </row>
    <row r="986" spans="1:11" x14ac:dyDescent="0.35">
      <c r="A986">
        <v>985</v>
      </c>
      <c r="B986">
        <v>34</v>
      </c>
      <c r="C986" t="s">
        <v>16</v>
      </c>
      <c r="D986" t="s">
        <v>17</v>
      </c>
      <c r="E986" t="s">
        <v>48</v>
      </c>
      <c r="F986">
        <v>93.54</v>
      </c>
      <c r="G986" t="s">
        <v>19</v>
      </c>
      <c r="H986" t="s">
        <v>37</v>
      </c>
      <c r="I986">
        <v>3.4</v>
      </c>
      <c r="J986">
        <v>16</v>
      </c>
      <c r="K986">
        <v>8</v>
      </c>
    </row>
    <row r="987" spans="1:11" x14ac:dyDescent="0.35">
      <c r="A987">
        <v>986</v>
      </c>
      <c r="B987">
        <v>47</v>
      </c>
      <c r="C987" t="s">
        <v>16</v>
      </c>
      <c r="D987" t="s">
        <v>20</v>
      </c>
      <c r="E987" t="s">
        <v>39</v>
      </c>
      <c r="F987">
        <v>194.21</v>
      </c>
      <c r="G987" t="s">
        <v>14</v>
      </c>
      <c r="H987" t="s">
        <v>15</v>
      </c>
      <c r="I987">
        <v>3.5</v>
      </c>
      <c r="J987">
        <v>16</v>
      </c>
      <c r="K987">
        <v>3</v>
      </c>
    </row>
    <row r="988" spans="1:11" x14ac:dyDescent="0.35">
      <c r="A988">
        <v>987</v>
      </c>
      <c r="B988">
        <v>46</v>
      </c>
      <c r="C988" t="s">
        <v>16</v>
      </c>
      <c r="D988" t="s">
        <v>20</v>
      </c>
      <c r="E988" t="s">
        <v>36</v>
      </c>
      <c r="F988">
        <v>96.22</v>
      </c>
      <c r="G988" t="s">
        <v>14</v>
      </c>
      <c r="H988" t="s">
        <v>37</v>
      </c>
      <c r="I988">
        <v>3.1</v>
      </c>
      <c r="J988">
        <v>20</v>
      </c>
      <c r="K988">
        <v>5</v>
      </c>
    </row>
    <row r="989" spans="1:11" x14ac:dyDescent="0.35">
      <c r="A989">
        <v>988</v>
      </c>
      <c r="B989">
        <v>60</v>
      </c>
      <c r="C989" t="s">
        <v>16</v>
      </c>
      <c r="D989" t="s">
        <v>27</v>
      </c>
      <c r="E989" t="s">
        <v>53</v>
      </c>
      <c r="F989">
        <v>802.1</v>
      </c>
      <c r="G989" t="s">
        <v>14</v>
      </c>
      <c r="H989" t="s">
        <v>15</v>
      </c>
      <c r="I989">
        <v>4.0999999999999996</v>
      </c>
      <c r="J989">
        <v>16</v>
      </c>
      <c r="K989">
        <v>3</v>
      </c>
    </row>
    <row r="990" spans="1:11" x14ac:dyDescent="0.35">
      <c r="A990">
        <v>989</v>
      </c>
      <c r="B990">
        <v>42</v>
      </c>
      <c r="C990" t="s">
        <v>11</v>
      </c>
      <c r="D990" t="s">
        <v>41</v>
      </c>
      <c r="E990" t="s">
        <v>42</v>
      </c>
      <c r="F990">
        <v>126.92</v>
      </c>
      <c r="G990" t="s">
        <v>19</v>
      </c>
      <c r="H990" t="s">
        <v>15</v>
      </c>
      <c r="I990">
        <v>3.6</v>
      </c>
      <c r="J990">
        <v>16</v>
      </c>
      <c r="K990">
        <v>3</v>
      </c>
    </row>
    <row r="991" spans="1:11" x14ac:dyDescent="0.35">
      <c r="A991">
        <v>990</v>
      </c>
      <c r="B991">
        <v>68</v>
      </c>
      <c r="C991" t="s">
        <v>16</v>
      </c>
      <c r="D991" t="s">
        <v>17</v>
      </c>
      <c r="E991" t="s">
        <v>35</v>
      </c>
      <c r="F991">
        <v>46.11</v>
      </c>
      <c r="G991" t="s">
        <v>24</v>
      </c>
      <c r="H991" t="s">
        <v>15</v>
      </c>
      <c r="I991">
        <v>5</v>
      </c>
      <c r="J991">
        <v>12</v>
      </c>
      <c r="K991">
        <v>1</v>
      </c>
    </row>
    <row r="992" spans="1:11" x14ac:dyDescent="0.35">
      <c r="A992">
        <v>991</v>
      </c>
      <c r="B992">
        <v>66</v>
      </c>
      <c r="C992" t="s">
        <v>16</v>
      </c>
      <c r="D992" t="s">
        <v>20</v>
      </c>
      <c r="E992" t="s">
        <v>21</v>
      </c>
      <c r="F992">
        <v>172.75</v>
      </c>
      <c r="G992" t="s">
        <v>14</v>
      </c>
      <c r="H992" t="s">
        <v>15</v>
      </c>
      <c r="I992">
        <v>4.2</v>
      </c>
      <c r="J992">
        <v>20</v>
      </c>
      <c r="K992">
        <v>5</v>
      </c>
    </row>
    <row r="993" spans="1:11" x14ac:dyDescent="0.35">
      <c r="A993">
        <v>992</v>
      </c>
      <c r="B993">
        <v>43</v>
      </c>
      <c r="C993" t="s">
        <v>16</v>
      </c>
      <c r="D993" t="s">
        <v>27</v>
      </c>
      <c r="E993" t="s">
        <v>53</v>
      </c>
      <c r="F993">
        <v>1247.6600000000001</v>
      </c>
      <c r="G993" t="s">
        <v>19</v>
      </c>
      <c r="H993" t="s">
        <v>15</v>
      </c>
      <c r="I993">
        <v>2.5</v>
      </c>
      <c r="J993">
        <v>15</v>
      </c>
      <c r="K993">
        <v>5</v>
      </c>
    </row>
    <row r="994" spans="1:11" x14ac:dyDescent="0.35">
      <c r="A994">
        <v>993</v>
      </c>
      <c r="B994">
        <v>61</v>
      </c>
      <c r="C994" t="s">
        <v>16</v>
      </c>
      <c r="D994" t="s">
        <v>33</v>
      </c>
      <c r="E994" t="s">
        <v>40</v>
      </c>
      <c r="F994">
        <v>70.459999999999994</v>
      </c>
      <c r="G994" t="s">
        <v>31</v>
      </c>
      <c r="H994" t="s">
        <v>15</v>
      </c>
      <c r="I994">
        <v>4.5999999999999996</v>
      </c>
      <c r="J994">
        <v>4</v>
      </c>
      <c r="K994">
        <v>2</v>
      </c>
    </row>
    <row r="995" spans="1:11" x14ac:dyDescent="0.35">
      <c r="A995">
        <v>994</v>
      </c>
      <c r="B995">
        <v>33</v>
      </c>
      <c r="C995" t="s">
        <v>16</v>
      </c>
      <c r="D995" t="s">
        <v>20</v>
      </c>
      <c r="E995" t="s">
        <v>36</v>
      </c>
      <c r="F995">
        <v>90.86</v>
      </c>
      <c r="G995" t="s">
        <v>14</v>
      </c>
      <c r="H995" t="s">
        <v>15</v>
      </c>
      <c r="I995">
        <v>4</v>
      </c>
      <c r="J995">
        <v>16</v>
      </c>
      <c r="K995">
        <v>8</v>
      </c>
    </row>
    <row r="996" spans="1:11" x14ac:dyDescent="0.35">
      <c r="A996">
        <v>995</v>
      </c>
      <c r="B996">
        <v>36</v>
      </c>
      <c r="C996" t="s">
        <v>16</v>
      </c>
      <c r="D996" t="s">
        <v>17</v>
      </c>
      <c r="E996" t="s">
        <v>35</v>
      </c>
      <c r="F996">
        <v>56.95</v>
      </c>
      <c r="G996" t="s">
        <v>24</v>
      </c>
      <c r="H996" t="s">
        <v>15</v>
      </c>
      <c r="I996">
        <v>3.9</v>
      </c>
      <c r="J996">
        <v>12</v>
      </c>
      <c r="K996">
        <v>6</v>
      </c>
    </row>
    <row r="997" spans="1:11" x14ac:dyDescent="0.35">
      <c r="A997">
        <v>996</v>
      </c>
      <c r="B997">
        <v>65</v>
      </c>
      <c r="C997" t="s">
        <v>16</v>
      </c>
      <c r="D997" t="s">
        <v>17</v>
      </c>
      <c r="E997" t="s">
        <v>48</v>
      </c>
      <c r="F997">
        <v>100.4</v>
      </c>
      <c r="G997" t="s">
        <v>14</v>
      </c>
      <c r="H997" t="s">
        <v>15</v>
      </c>
      <c r="I997">
        <v>3.8</v>
      </c>
      <c r="J997">
        <v>17</v>
      </c>
      <c r="K997">
        <v>6</v>
      </c>
    </row>
    <row r="998" spans="1:11" x14ac:dyDescent="0.35">
      <c r="A998">
        <v>997</v>
      </c>
      <c r="B998">
        <v>42</v>
      </c>
      <c r="C998" t="s">
        <v>11</v>
      </c>
      <c r="D998" t="s">
        <v>22</v>
      </c>
      <c r="E998" t="s">
        <v>43</v>
      </c>
      <c r="F998">
        <v>142.72999999999999</v>
      </c>
      <c r="G998" t="s">
        <v>14</v>
      </c>
      <c r="H998" t="s">
        <v>15</v>
      </c>
      <c r="I998">
        <v>4.0999999999999996</v>
      </c>
      <c r="J998">
        <v>15</v>
      </c>
      <c r="K998">
        <v>5</v>
      </c>
    </row>
    <row r="999" spans="1:11" x14ac:dyDescent="0.35">
      <c r="A999">
        <v>998</v>
      </c>
      <c r="B999">
        <v>34</v>
      </c>
      <c r="C999" t="s">
        <v>16</v>
      </c>
      <c r="D999" t="s">
        <v>27</v>
      </c>
      <c r="E999" t="s">
        <v>49</v>
      </c>
      <c r="F999">
        <v>2857.91</v>
      </c>
      <c r="G999" t="s">
        <v>31</v>
      </c>
      <c r="H999" t="s">
        <v>15</v>
      </c>
      <c r="I999">
        <v>3.5</v>
      </c>
      <c r="J999">
        <v>8</v>
      </c>
      <c r="K999">
        <v>4</v>
      </c>
    </row>
    <row r="1000" spans="1:11" x14ac:dyDescent="0.35">
      <c r="A1000">
        <v>999</v>
      </c>
      <c r="B1000">
        <v>62</v>
      </c>
      <c r="C1000" t="s">
        <v>16</v>
      </c>
      <c r="D1000" t="s">
        <v>17</v>
      </c>
      <c r="E1000" t="s">
        <v>48</v>
      </c>
      <c r="F1000">
        <v>79.55</v>
      </c>
      <c r="G1000" t="s">
        <v>31</v>
      </c>
      <c r="H1000" t="s">
        <v>15</v>
      </c>
      <c r="I1000">
        <v>3.9</v>
      </c>
      <c r="J1000">
        <v>12</v>
      </c>
      <c r="K1000">
        <v>6</v>
      </c>
    </row>
    <row r="1001" spans="1:11" x14ac:dyDescent="0.35">
      <c r="A1001">
        <v>1000</v>
      </c>
      <c r="B1001">
        <v>46</v>
      </c>
      <c r="C1001" t="s">
        <v>11</v>
      </c>
      <c r="D1001" t="s">
        <v>25</v>
      </c>
      <c r="E1001" t="s">
        <v>47</v>
      </c>
      <c r="F1001">
        <v>17.850000000000001</v>
      </c>
      <c r="G1001" t="s">
        <v>24</v>
      </c>
      <c r="H1001" t="s">
        <v>37</v>
      </c>
      <c r="I1001">
        <v>5</v>
      </c>
      <c r="J1001">
        <v>26</v>
      </c>
      <c r="K1001">
        <v>8</v>
      </c>
    </row>
    <row r="1002" spans="1:11" x14ac:dyDescent="0.35">
      <c r="A1002">
        <v>1001</v>
      </c>
      <c r="B1002">
        <v>21</v>
      </c>
      <c r="C1002" t="s">
        <v>16</v>
      </c>
      <c r="D1002" t="s">
        <v>22</v>
      </c>
      <c r="E1002" t="s">
        <v>43</v>
      </c>
      <c r="F1002">
        <v>113.93</v>
      </c>
      <c r="G1002" t="s">
        <v>14</v>
      </c>
      <c r="H1002" t="s">
        <v>15</v>
      </c>
      <c r="I1002">
        <v>3.7</v>
      </c>
      <c r="J1002">
        <v>19</v>
      </c>
      <c r="K1002">
        <v>7</v>
      </c>
    </row>
    <row r="1003" spans="1:11" x14ac:dyDescent="0.35">
      <c r="A1003">
        <v>1002</v>
      </c>
      <c r="B1003">
        <v>29</v>
      </c>
      <c r="C1003" t="s">
        <v>16</v>
      </c>
      <c r="D1003" t="s">
        <v>33</v>
      </c>
      <c r="E1003" t="s">
        <v>34</v>
      </c>
      <c r="F1003">
        <v>48.18</v>
      </c>
      <c r="G1003" t="s">
        <v>31</v>
      </c>
      <c r="H1003" t="s">
        <v>15</v>
      </c>
      <c r="I1003">
        <v>4.9000000000000004</v>
      </c>
      <c r="J1003">
        <v>34</v>
      </c>
      <c r="K1003">
        <v>12</v>
      </c>
    </row>
    <row r="1004" spans="1:11" x14ac:dyDescent="0.35">
      <c r="A1004">
        <v>1003</v>
      </c>
      <c r="B1004">
        <v>57</v>
      </c>
      <c r="C1004" t="s">
        <v>11</v>
      </c>
      <c r="D1004" t="s">
        <v>12</v>
      </c>
      <c r="E1004" t="s">
        <v>13</v>
      </c>
      <c r="F1004">
        <v>54.15</v>
      </c>
      <c r="G1004" t="s">
        <v>14</v>
      </c>
      <c r="H1004" t="s">
        <v>37</v>
      </c>
      <c r="I1004">
        <v>2.6</v>
      </c>
      <c r="J1004">
        <v>26</v>
      </c>
      <c r="K1004">
        <v>8</v>
      </c>
    </row>
    <row r="1005" spans="1:11" x14ac:dyDescent="0.35">
      <c r="A1005">
        <v>1004</v>
      </c>
      <c r="B1005">
        <v>41</v>
      </c>
      <c r="C1005" t="s">
        <v>11</v>
      </c>
      <c r="D1005" t="s">
        <v>41</v>
      </c>
      <c r="E1005" t="s">
        <v>42</v>
      </c>
      <c r="F1005">
        <v>58.88</v>
      </c>
      <c r="G1005" t="s">
        <v>31</v>
      </c>
      <c r="H1005" t="s">
        <v>37</v>
      </c>
      <c r="I1005">
        <v>4</v>
      </c>
      <c r="J1005">
        <v>11</v>
      </c>
      <c r="K1005">
        <v>3</v>
      </c>
    </row>
    <row r="1006" spans="1:11" x14ac:dyDescent="0.35">
      <c r="A1006">
        <v>1005</v>
      </c>
      <c r="B1006">
        <v>63</v>
      </c>
      <c r="C1006" t="s">
        <v>16</v>
      </c>
      <c r="D1006" t="s">
        <v>17</v>
      </c>
      <c r="E1006" t="s">
        <v>35</v>
      </c>
      <c r="F1006">
        <v>127.76</v>
      </c>
      <c r="G1006" t="s">
        <v>31</v>
      </c>
      <c r="H1006" t="s">
        <v>15</v>
      </c>
      <c r="I1006">
        <v>3.2</v>
      </c>
      <c r="J1006">
        <v>4</v>
      </c>
      <c r="K1006">
        <v>2</v>
      </c>
    </row>
    <row r="1007" spans="1:11" x14ac:dyDescent="0.35">
      <c r="A1007">
        <v>1006</v>
      </c>
      <c r="B1007">
        <v>45</v>
      </c>
      <c r="C1007" t="s">
        <v>16</v>
      </c>
      <c r="D1007" t="s">
        <v>17</v>
      </c>
      <c r="E1007" t="s">
        <v>48</v>
      </c>
      <c r="F1007">
        <v>88.21</v>
      </c>
      <c r="G1007" t="s">
        <v>14</v>
      </c>
      <c r="H1007" t="s">
        <v>37</v>
      </c>
      <c r="I1007">
        <v>2.2000000000000002</v>
      </c>
      <c r="J1007">
        <v>2</v>
      </c>
      <c r="K1007">
        <v>1</v>
      </c>
    </row>
    <row r="1008" spans="1:11" x14ac:dyDescent="0.35">
      <c r="A1008">
        <v>1007</v>
      </c>
      <c r="B1008">
        <v>65</v>
      </c>
      <c r="C1008" t="s">
        <v>11</v>
      </c>
      <c r="D1008" t="s">
        <v>41</v>
      </c>
      <c r="E1008" t="s">
        <v>44</v>
      </c>
      <c r="F1008">
        <v>154.19999999999999</v>
      </c>
      <c r="G1008" t="s">
        <v>31</v>
      </c>
      <c r="H1008" t="s">
        <v>15</v>
      </c>
      <c r="I1008">
        <v>3.8</v>
      </c>
      <c r="J1008">
        <v>16</v>
      </c>
      <c r="K1008">
        <v>8</v>
      </c>
    </row>
    <row r="1009" spans="1:11" x14ac:dyDescent="0.35">
      <c r="A1009">
        <v>1008</v>
      </c>
      <c r="B1009">
        <v>53</v>
      </c>
      <c r="C1009" t="s">
        <v>16</v>
      </c>
      <c r="D1009" t="s">
        <v>17</v>
      </c>
      <c r="E1009" t="s">
        <v>48</v>
      </c>
      <c r="F1009">
        <v>186.55</v>
      </c>
      <c r="G1009" t="s">
        <v>14</v>
      </c>
      <c r="H1009" t="s">
        <v>15</v>
      </c>
      <c r="I1009">
        <v>3.7</v>
      </c>
      <c r="J1009">
        <v>16</v>
      </c>
      <c r="K1009">
        <v>3</v>
      </c>
    </row>
    <row r="1010" spans="1:11" x14ac:dyDescent="0.35">
      <c r="A1010">
        <v>1009</v>
      </c>
      <c r="B1010">
        <v>63</v>
      </c>
      <c r="C1010" t="s">
        <v>16</v>
      </c>
      <c r="D1010" t="s">
        <v>33</v>
      </c>
      <c r="E1010" t="s">
        <v>34</v>
      </c>
      <c r="F1010">
        <v>55.74</v>
      </c>
      <c r="G1010" t="s">
        <v>19</v>
      </c>
      <c r="H1010" t="s">
        <v>37</v>
      </c>
      <c r="I1010">
        <v>4.8</v>
      </c>
      <c r="J1010">
        <v>22</v>
      </c>
      <c r="K1010">
        <v>6</v>
      </c>
    </row>
    <row r="1011" spans="1:11" x14ac:dyDescent="0.35">
      <c r="A1011">
        <v>1010</v>
      </c>
      <c r="B1011">
        <v>41</v>
      </c>
      <c r="C1011" t="s">
        <v>11</v>
      </c>
      <c r="D1011" t="s">
        <v>29</v>
      </c>
      <c r="E1011" t="s">
        <v>51</v>
      </c>
      <c r="F1011">
        <v>149.31</v>
      </c>
      <c r="G1011" t="s">
        <v>24</v>
      </c>
      <c r="H1011" t="s">
        <v>15</v>
      </c>
      <c r="I1011">
        <v>4</v>
      </c>
      <c r="J1011">
        <v>8</v>
      </c>
      <c r="K1011">
        <v>4</v>
      </c>
    </row>
    <row r="1012" spans="1:11" x14ac:dyDescent="0.35">
      <c r="A1012">
        <v>1011</v>
      </c>
      <c r="B1012">
        <v>65</v>
      </c>
      <c r="C1012" t="s">
        <v>16</v>
      </c>
      <c r="D1012" t="s">
        <v>17</v>
      </c>
      <c r="E1012" t="s">
        <v>48</v>
      </c>
      <c r="F1012">
        <v>71.91</v>
      </c>
      <c r="G1012" t="s">
        <v>24</v>
      </c>
      <c r="H1012" t="s">
        <v>37</v>
      </c>
      <c r="I1012">
        <v>3.5</v>
      </c>
      <c r="J1012">
        <v>19</v>
      </c>
      <c r="K1012">
        <v>7</v>
      </c>
    </row>
    <row r="1013" spans="1:11" x14ac:dyDescent="0.35">
      <c r="A1013">
        <v>1012</v>
      </c>
      <c r="B1013">
        <v>20</v>
      </c>
      <c r="C1013" t="s">
        <v>11</v>
      </c>
      <c r="D1013" t="s">
        <v>29</v>
      </c>
      <c r="E1013" t="s">
        <v>55</v>
      </c>
      <c r="F1013">
        <v>25.51</v>
      </c>
      <c r="G1013" t="s">
        <v>19</v>
      </c>
      <c r="H1013" t="s">
        <v>15</v>
      </c>
      <c r="I1013">
        <v>3.6</v>
      </c>
      <c r="J1013">
        <v>30</v>
      </c>
      <c r="K1013">
        <v>10</v>
      </c>
    </row>
    <row r="1014" spans="1:11" x14ac:dyDescent="0.35">
      <c r="A1014">
        <v>1013</v>
      </c>
      <c r="B1014">
        <v>57</v>
      </c>
      <c r="C1014" t="s">
        <v>11</v>
      </c>
      <c r="D1014" t="s">
        <v>29</v>
      </c>
      <c r="E1014" t="s">
        <v>51</v>
      </c>
      <c r="F1014">
        <v>140</v>
      </c>
      <c r="G1014" t="s">
        <v>14</v>
      </c>
      <c r="H1014" t="s">
        <v>15</v>
      </c>
      <c r="I1014">
        <v>3.5</v>
      </c>
      <c r="J1014">
        <v>20</v>
      </c>
      <c r="K1014">
        <v>5</v>
      </c>
    </row>
    <row r="1015" spans="1:11" x14ac:dyDescent="0.35">
      <c r="A1015">
        <v>1014</v>
      </c>
      <c r="B1015">
        <v>45</v>
      </c>
      <c r="C1015" t="s">
        <v>16</v>
      </c>
      <c r="D1015" t="s">
        <v>25</v>
      </c>
      <c r="E1015" t="s">
        <v>54</v>
      </c>
      <c r="F1015">
        <v>22.48</v>
      </c>
      <c r="G1015" t="s">
        <v>14</v>
      </c>
      <c r="H1015" t="s">
        <v>15</v>
      </c>
      <c r="I1015">
        <v>4.2</v>
      </c>
      <c r="J1015">
        <v>8</v>
      </c>
      <c r="K1015">
        <v>4</v>
      </c>
    </row>
    <row r="1016" spans="1:11" x14ac:dyDescent="0.35">
      <c r="A1016">
        <v>1015</v>
      </c>
      <c r="B1016">
        <v>69</v>
      </c>
      <c r="C1016" t="s">
        <v>11</v>
      </c>
      <c r="D1016" t="s">
        <v>12</v>
      </c>
      <c r="E1016" t="s">
        <v>56</v>
      </c>
      <c r="F1016">
        <v>63.27</v>
      </c>
      <c r="G1016" t="s">
        <v>14</v>
      </c>
      <c r="H1016" t="s">
        <v>37</v>
      </c>
      <c r="I1016">
        <v>2.9</v>
      </c>
      <c r="J1016">
        <v>12</v>
      </c>
      <c r="K1016">
        <v>6</v>
      </c>
    </row>
    <row r="1017" spans="1:11" x14ac:dyDescent="0.35">
      <c r="A1017">
        <v>1016</v>
      </c>
      <c r="B1017">
        <v>32</v>
      </c>
      <c r="C1017" t="s">
        <v>16</v>
      </c>
      <c r="D1017" t="s">
        <v>25</v>
      </c>
      <c r="E1017" t="s">
        <v>47</v>
      </c>
      <c r="F1017">
        <v>79.819999999999993</v>
      </c>
      <c r="G1017" t="s">
        <v>14</v>
      </c>
      <c r="H1017" t="s">
        <v>15</v>
      </c>
      <c r="I1017">
        <v>3.5</v>
      </c>
      <c r="J1017">
        <v>14</v>
      </c>
      <c r="K1017">
        <v>2</v>
      </c>
    </row>
    <row r="1018" spans="1:11" x14ac:dyDescent="0.35">
      <c r="A1018">
        <v>1017</v>
      </c>
      <c r="B1018">
        <v>69</v>
      </c>
      <c r="C1018" t="s">
        <v>11</v>
      </c>
      <c r="D1018" t="s">
        <v>29</v>
      </c>
      <c r="E1018" t="s">
        <v>30</v>
      </c>
      <c r="F1018">
        <v>68.75</v>
      </c>
      <c r="G1018" t="s">
        <v>19</v>
      </c>
      <c r="H1018" t="s">
        <v>15</v>
      </c>
      <c r="I1018">
        <v>3.8</v>
      </c>
      <c r="J1018">
        <v>8</v>
      </c>
      <c r="K1018">
        <v>4</v>
      </c>
    </row>
    <row r="1019" spans="1:11" x14ac:dyDescent="0.35">
      <c r="A1019">
        <v>1018</v>
      </c>
      <c r="B1019">
        <v>43</v>
      </c>
      <c r="C1019" t="s">
        <v>16</v>
      </c>
      <c r="D1019" t="s">
        <v>27</v>
      </c>
      <c r="E1019" t="s">
        <v>32</v>
      </c>
      <c r="F1019">
        <v>1327.27</v>
      </c>
      <c r="G1019" t="s">
        <v>31</v>
      </c>
      <c r="H1019" t="s">
        <v>15</v>
      </c>
      <c r="I1019">
        <v>2.7</v>
      </c>
      <c r="J1019">
        <v>13</v>
      </c>
      <c r="K1019">
        <v>4</v>
      </c>
    </row>
    <row r="1020" spans="1:11" x14ac:dyDescent="0.35">
      <c r="A1020">
        <v>1019</v>
      </c>
      <c r="B1020">
        <v>28</v>
      </c>
      <c r="C1020" t="s">
        <v>16</v>
      </c>
      <c r="D1020" t="s">
        <v>20</v>
      </c>
      <c r="E1020" t="s">
        <v>36</v>
      </c>
      <c r="F1020">
        <v>220.03</v>
      </c>
      <c r="G1020" t="s">
        <v>31</v>
      </c>
      <c r="H1020" t="s">
        <v>15</v>
      </c>
      <c r="I1020">
        <v>3.2</v>
      </c>
      <c r="J1020">
        <v>10</v>
      </c>
      <c r="K1020">
        <v>5</v>
      </c>
    </row>
    <row r="1021" spans="1:11" x14ac:dyDescent="0.35">
      <c r="A1021">
        <v>1020</v>
      </c>
      <c r="B1021">
        <v>53</v>
      </c>
      <c r="C1021" t="s">
        <v>11</v>
      </c>
      <c r="D1021" t="s">
        <v>20</v>
      </c>
      <c r="E1021" t="s">
        <v>21</v>
      </c>
      <c r="F1021">
        <v>233.03</v>
      </c>
      <c r="G1021" t="s">
        <v>19</v>
      </c>
      <c r="H1021" t="s">
        <v>15</v>
      </c>
      <c r="I1021">
        <v>3.7</v>
      </c>
      <c r="J1021">
        <v>18</v>
      </c>
      <c r="K1021">
        <v>4</v>
      </c>
    </row>
    <row r="1022" spans="1:11" x14ac:dyDescent="0.35">
      <c r="A1022">
        <v>1021</v>
      </c>
      <c r="B1022">
        <v>25</v>
      </c>
      <c r="C1022" t="s">
        <v>11</v>
      </c>
      <c r="D1022" t="s">
        <v>12</v>
      </c>
      <c r="E1022" t="s">
        <v>13</v>
      </c>
      <c r="F1022">
        <v>106.02</v>
      </c>
      <c r="G1022" t="s">
        <v>31</v>
      </c>
      <c r="H1022" t="s">
        <v>15</v>
      </c>
      <c r="I1022">
        <v>4.8</v>
      </c>
      <c r="J1022">
        <v>13</v>
      </c>
      <c r="K1022">
        <v>4</v>
      </c>
    </row>
    <row r="1023" spans="1:11" x14ac:dyDescent="0.35">
      <c r="A1023">
        <v>1022</v>
      </c>
      <c r="B1023">
        <v>30</v>
      </c>
      <c r="C1023" t="s">
        <v>16</v>
      </c>
      <c r="D1023" t="s">
        <v>20</v>
      </c>
      <c r="E1023" t="s">
        <v>21</v>
      </c>
      <c r="F1023">
        <v>74.36</v>
      </c>
      <c r="G1023" t="s">
        <v>24</v>
      </c>
      <c r="H1023" t="s">
        <v>15</v>
      </c>
      <c r="I1023">
        <v>5</v>
      </c>
      <c r="J1023">
        <v>15</v>
      </c>
      <c r="K1023">
        <v>5</v>
      </c>
    </row>
    <row r="1024" spans="1:11" x14ac:dyDescent="0.35">
      <c r="A1024">
        <v>1023</v>
      </c>
      <c r="B1024">
        <v>59</v>
      </c>
      <c r="C1024" t="s">
        <v>11</v>
      </c>
      <c r="D1024" t="s">
        <v>29</v>
      </c>
      <c r="E1024" t="s">
        <v>55</v>
      </c>
      <c r="F1024">
        <v>28.72</v>
      </c>
      <c r="G1024" t="s">
        <v>31</v>
      </c>
      <c r="H1024" t="s">
        <v>37</v>
      </c>
      <c r="I1024">
        <v>4.5</v>
      </c>
      <c r="J1024">
        <v>12</v>
      </c>
      <c r="K1024">
        <v>6</v>
      </c>
    </row>
    <row r="1025" spans="1:11" x14ac:dyDescent="0.35">
      <c r="A1025">
        <v>1024</v>
      </c>
      <c r="B1025">
        <v>53</v>
      </c>
      <c r="C1025" t="s">
        <v>16</v>
      </c>
      <c r="D1025" t="s">
        <v>27</v>
      </c>
      <c r="E1025" t="s">
        <v>49</v>
      </c>
      <c r="F1025">
        <v>512</v>
      </c>
      <c r="G1025" t="s">
        <v>24</v>
      </c>
      <c r="H1025" t="s">
        <v>15</v>
      </c>
      <c r="I1025">
        <v>4</v>
      </c>
      <c r="J1025">
        <v>18</v>
      </c>
      <c r="K1025">
        <v>9</v>
      </c>
    </row>
    <row r="1026" spans="1:11" x14ac:dyDescent="0.35">
      <c r="A1026">
        <v>1025</v>
      </c>
      <c r="B1026">
        <v>60</v>
      </c>
      <c r="C1026" t="s">
        <v>11</v>
      </c>
      <c r="D1026" t="s">
        <v>41</v>
      </c>
      <c r="E1026" t="s">
        <v>45</v>
      </c>
      <c r="F1026">
        <v>108.63</v>
      </c>
      <c r="G1026" t="s">
        <v>14</v>
      </c>
      <c r="H1026" t="s">
        <v>15</v>
      </c>
      <c r="I1026">
        <v>3.5</v>
      </c>
      <c r="J1026">
        <v>28</v>
      </c>
      <c r="K1026">
        <v>9</v>
      </c>
    </row>
    <row r="1027" spans="1:11" x14ac:dyDescent="0.35">
      <c r="A1027">
        <v>1026</v>
      </c>
      <c r="B1027">
        <v>25</v>
      </c>
      <c r="C1027" t="s">
        <v>16</v>
      </c>
      <c r="D1027" t="s">
        <v>17</v>
      </c>
      <c r="E1027" t="s">
        <v>42</v>
      </c>
      <c r="F1027">
        <v>34.19</v>
      </c>
      <c r="G1027" t="s">
        <v>24</v>
      </c>
      <c r="H1027" t="s">
        <v>37</v>
      </c>
      <c r="I1027">
        <v>3.1</v>
      </c>
      <c r="J1027">
        <v>19</v>
      </c>
      <c r="K1027">
        <v>7</v>
      </c>
    </row>
    <row r="1028" spans="1:11" x14ac:dyDescent="0.35">
      <c r="A1028">
        <v>1027</v>
      </c>
      <c r="B1028">
        <v>21</v>
      </c>
      <c r="C1028" t="s">
        <v>11</v>
      </c>
      <c r="D1028" t="s">
        <v>12</v>
      </c>
      <c r="E1028" t="s">
        <v>56</v>
      </c>
      <c r="F1028">
        <v>121.23</v>
      </c>
      <c r="G1028" t="s">
        <v>19</v>
      </c>
      <c r="H1028" t="s">
        <v>15</v>
      </c>
      <c r="I1028">
        <v>2.9</v>
      </c>
      <c r="J1028">
        <v>16</v>
      </c>
      <c r="K1028">
        <v>3</v>
      </c>
    </row>
    <row r="1029" spans="1:11" x14ac:dyDescent="0.35">
      <c r="A1029">
        <v>1028</v>
      </c>
      <c r="B1029">
        <v>31</v>
      </c>
      <c r="C1029" t="s">
        <v>16</v>
      </c>
      <c r="D1029" t="s">
        <v>22</v>
      </c>
      <c r="E1029" t="s">
        <v>23</v>
      </c>
      <c r="F1029">
        <v>39.869999999999997</v>
      </c>
      <c r="G1029" t="s">
        <v>14</v>
      </c>
      <c r="H1029" t="s">
        <v>37</v>
      </c>
      <c r="I1029">
        <v>3.1</v>
      </c>
      <c r="J1029">
        <v>14</v>
      </c>
      <c r="K1029">
        <v>7</v>
      </c>
    </row>
    <row r="1030" spans="1:11" x14ac:dyDescent="0.35">
      <c r="A1030">
        <v>1029</v>
      </c>
      <c r="B1030">
        <v>65</v>
      </c>
      <c r="C1030" t="s">
        <v>11</v>
      </c>
      <c r="D1030" t="s">
        <v>41</v>
      </c>
      <c r="E1030" t="s">
        <v>42</v>
      </c>
      <c r="F1030">
        <v>194.79</v>
      </c>
      <c r="G1030" t="s">
        <v>24</v>
      </c>
      <c r="H1030" t="s">
        <v>15</v>
      </c>
      <c r="I1030">
        <v>4.0999999999999996</v>
      </c>
      <c r="J1030">
        <v>15</v>
      </c>
      <c r="K1030">
        <v>5</v>
      </c>
    </row>
    <row r="1031" spans="1:11" x14ac:dyDescent="0.35">
      <c r="A1031">
        <v>1030</v>
      </c>
      <c r="B1031">
        <v>45</v>
      </c>
      <c r="C1031" t="s">
        <v>11</v>
      </c>
      <c r="D1031" t="s">
        <v>41</v>
      </c>
      <c r="E1031" t="s">
        <v>46</v>
      </c>
      <c r="F1031">
        <v>192.67</v>
      </c>
      <c r="G1031" t="s">
        <v>19</v>
      </c>
      <c r="H1031" t="s">
        <v>15</v>
      </c>
      <c r="I1031">
        <v>4.3</v>
      </c>
      <c r="J1031">
        <v>20</v>
      </c>
      <c r="K1031">
        <v>5</v>
      </c>
    </row>
    <row r="1032" spans="1:11" x14ac:dyDescent="0.35">
      <c r="A1032">
        <v>1031</v>
      </c>
      <c r="B1032">
        <v>33</v>
      </c>
      <c r="C1032" t="s">
        <v>11</v>
      </c>
      <c r="D1032" t="s">
        <v>33</v>
      </c>
      <c r="E1032" t="s">
        <v>40</v>
      </c>
      <c r="F1032">
        <v>119.68</v>
      </c>
      <c r="G1032" t="s">
        <v>14</v>
      </c>
      <c r="H1032" t="s">
        <v>15</v>
      </c>
      <c r="I1032">
        <v>2.5</v>
      </c>
      <c r="J1032">
        <v>19</v>
      </c>
      <c r="K1032">
        <v>7</v>
      </c>
    </row>
    <row r="1033" spans="1:11" x14ac:dyDescent="0.35">
      <c r="A1033">
        <v>1032</v>
      </c>
      <c r="B1033">
        <v>40</v>
      </c>
      <c r="C1033" t="s">
        <v>11</v>
      </c>
      <c r="D1033" t="s">
        <v>25</v>
      </c>
      <c r="E1033" t="s">
        <v>54</v>
      </c>
      <c r="F1033">
        <v>12.42</v>
      </c>
      <c r="G1033" t="s">
        <v>19</v>
      </c>
      <c r="H1033" t="s">
        <v>15</v>
      </c>
      <c r="I1033">
        <v>4</v>
      </c>
      <c r="J1033">
        <v>20</v>
      </c>
      <c r="K1033">
        <v>5</v>
      </c>
    </row>
    <row r="1034" spans="1:11" x14ac:dyDescent="0.35">
      <c r="A1034">
        <v>1033</v>
      </c>
      <c r="B1034">
        <v>55</v>
      </c>
      <c r="C1034" t="s">
        <v>11</v>
      </c>
      <c r="D1034" t="s">
        <v>20</v>
      </c>
      <c r="E1034" t="s">
        <v>39</v>
      </c>
      <c r="F1034">
        <v>91.6</v>
      </c>
      <c r="G1034" t="s">
        <v>31</v>
      </c>
      <c r="H1034" t="s">
        <v>37</v>
      </c>
      <c r="I1034">
        <v>3.7</v>
      </c>
      <c r="J1034">
        <v>17</v>
      </c>
      <c r="K1034">
        <v>6</v>
      </c>
    </row>
    <row r="1035" spans="1:11" x14ac:dyDescent="0.35">
      <c r="A1035">
        <v>1034</v>
      </c>
      <c r="B1035">
        <v>28</v>
      </c>
      <c r="C1035" t="s">
        <v>11</v>
      </c>
      <c r="D1035" t="s">
        <v>25</v>
      </c>
      <c r="E1035" t="s">
        <v>57</v>
      </c>
      <c r="F1035">
        <v>78.81</v>
      </c>
      <c r="G1035" t="s">
        <v>31</v>
      </c>
      <c r="H1035" t="s">
        <v>15</v>
      </c>
      <c r="I1035">
        <v>4.0999999999999996</v>
      </c>
      <c r="J1035">
        <v>15</v>
      </c>
      <c r="K1035">
        <v>5</v>
      </c>
    </row>
    <row r="1036" spans="1:11" x14ac:dyDescent="0.35">
      <c r="A1036">
        <v>1035</v>
      </c>
      <c r="B1036">
        <v>36</v>
      </c>
      <c r="C1036" t="s">
        <v>16</v>
      </c>
      <c r="D1036" t="s">
        <v>22</v>
      </c>
      <c r="E1036" t="s">
        <v>43</v>
      </c>
      <c r="F1036">
        <v>299.29000000000002</v>
      </c>
      <c r="G1036" t="s">
        <v>19</v>
      </c>
      <c r="H1036" t="s">
        <v>15</v>
      </c>
      <c r="I1036">
        <v>4.5999999999999996</v>
      </c>
      <c r="J1036">
        <v>10</v>
      </c>
      <c r="K1036">
        <v>5</v>
      </c>
    </row>
    <row r="1037" spans="1:11" x14ac:dyDescent="0.35">
      <c r="A1037">
        <v>1036</v>
      </c>
      <c r="B1037">
        <v>59</v>
      </c>
      <c r="C1037" t="s">
        <v>11</v>
      </c>
      <c r="D1037" t="s">
        <v>29</v>
      </c>
      <c r="E1037" t="s">
        <v>51</v>
      </c>
      <c r="F1037">
        <v>52.13</v>
      </c>
      <c r="G1037" t="s">
        <v>24</v>
      </c>
      <c r="H1037" t="s">
        <v>15</v>
      </c>
      <c r="I1037">
        <v>4.4000000000000004</v>
      </c>
      <c r="J1037">
        <v>14</v>
      </c>
      <c r="K1037">
        <v>2</v>
      </c>
    </row>
    <row r="1038" spans="1:11" x14ac:dyDescent="0.35">
      <c r="A1038">
        <v>1037</v>
      </c>
      <c r="B1038">
        <v>42</v>
      </c>
      <c r="C1038" t="s">
        <v>11</v>
      </c>
      <c r="D1038" t="s">
        <v>12</v>
      </c>
      <c r="E1038" t="s">
        <v>13</v>
      </c>
      <c r="F1038">
        <v>73.709999999999994</v>
      </c>
      <c r="G1038" t="s">
        <v>14</v>
      </c>
      <c r="H1038" t="s">
        <v>15</v>
      </c>
      <c r="I1038">
        <v>2.8</v>
      </c>
      <c r="J1038">
        <v>8</v>
      </c>
      <c r="K1038">
        <v>4</v>
      </c>
    </row>
    <row r="1039" spans="1:11" x14ac:dyDescent="0.35">
      <c r="A1039">
        <v>1038</v>
      </c>
      <c r="B1039">
        <v>21</v>
      </c>
      <c r="C1039" t="s">
        <v>11</v>
      </c>
      <c r="D1039" t="s">
        <v>12</v>
      </c>
      <c r="E1039" t="s">
        <v>56</v>
      </c>
      <c r="F1039">
        <v>108.59</v>
      </c>
      <c r="G1039" t="s">
        <v>24</v>
      </c>
      <c r="H1039" t="s">
        <v>15</v>
      </c>
      <c r="I1039">
        <v>4.3</v>
      </c>
      <c r="J1039">
        <v>26</v>
      </c>
      <c r="K1039">
        <v>8</v>
      </c>
    </row>
    <row r="1040" spans="1:11" x14ac:dyDescent="0.35">
      <c r="A1040">
        <v>1039</v>
      </c>
      <c r="B1040">
        <v>63</v>
      </c>
      <c r="C1040" t="s">
        <v>16</v>
      </c>
      <c r="D1040" t="s">
        <v>27</v>
      </c>
      <c r="E1040" t="s">
        <v>53</v>
      </c>
      <c r="F1040">
        <v>2738.93</v>
      </c>
      <c r="G1040" t="s">
        <v>31</v>
      </c>
      <c r="H1040" t="s">
        <v>15</v>
      </c>
      <c r="I1040">
        <v>4</v>
      </c>
      <c r="J1040">
        <v>12</v>
      </c>
      <c r="K1040">
        <v>6</v>
      </c>
    </row>
    <row r="1041" spans="1:11" x14ac:dyDescent="0.35">
      <c r="A1041">
        <v>1040</v>
      </c>
      <c r="B1041">
        <v>32</v>
      </c>
      <c r="C1041" t="s">
        <v>11</v>
      </c>
      <c r="D1041" t="s">
        <v>12</v>
      </c>
      <c r="E1041" t="s">
        <v>50</v>
      </c>
      <c r="F1041">
        <v>159.16</v>
      </c>
      <c r="G1041" t="s">
        <v>31</v>
      </c>
      <c r="H1041" t="s">
        <v>15</v>
      </c>
      <c r="I1041">
        <v>4.0999999999999996</v>
      </c>
      <c r="J1041">
        <v>10</v>
      </c>
      <c r="K1041">
        <v>5</v>
      </c>
    </row>
    <row r="1042" spans="1:11" x14ac:dyDescent="0.35">
      <c r="A1042">
        <v>1041</v>
      </c>
      <c r="B1042">
        <v>32</v>
      </c>
      <c r="C1042" t="s">
        <v>11</v>
      </c>
      <c r="D1042" t="s">
        <v>41</v>
      </c>
      <c r="E1042" t="s">
        <v>45</v>
      </c>
      <c r="F1042">
        <v>193.19</v>
      </c>
      <c r="G1042" t="s">
        <v>19</v>
      </c>
      <c r="H1042" t="s">
        <v>15</v>
      </c>
      <c r="I1042">
        <v>4.9000000000000004</v>
      </c>
      <c r="J1042">
        <v>26</v>
      </c>
      <c r="K1042">
        <v>8</v>
      </c>
    </row>
    <row r="1043" spans="1:11" x14ac:dyDescent="0.35">
      <c r="A1043">
        <v>1042</v>
      </c>
      <c r="B1043">
        <v>45</v>
      </c>
      <c r="C1043" t="s">
        <v>16</v>
      </c>
      <c r="D1043" t="s">
        <v>33</v>
      </c>
      <c r="E1043" t="s">
        <v>38</v>
      </c>
      <c r="F1043">
        <v>143.72</v>
      </c>
      <c r="G1043" t="s">
        <v>31</v>
      </c>
      <c r="H1043" t="s">
        <v>15</v>
      </c>
      <c r="I1043">
        <v>2.6</v>
      </c>
      <c r="J1043">
        <v>20</v>
      </c>
      <c r="K1043">
        <v>5</v>
      </c>
    </row>
    <row r="1044" spans="1:11" x14ac:dyDescent="0.35">
      <c r="A1044">
        <v>1043</v>
      </c>
      <c r="B1044">
        <v>24</v>
      </c>
      <c r="C1044" t="s">
        <v>11</v>
      </c>
      <c r="D1044" t="s">
        <v>41</v>
      </c>
      <c r="E1044" t="s">
        <v>46</v>
      </c>
      <c r="F1044">
        <v>141.82</v>
      </c>
      <c r="G1044" t="s">
        <v>24</v>
      </c>
      <c r="H1044" t="s">
        <v>15</v>
      </c>
      <c r="I1044">
        <v>3.8</v>
      </c>
      <c r="J1044">
        <v>10</v>
      </c>
      <c r="K1044">
        <v>5</v>
      </c>
    </row>
    <row r="1045" spans="1:11" x14ac:dyDescent="0.35">
      <c r="A1045">
        <v>1044</v>
      </c>
      <c r="B1045">
        <v>44</v>
      </c>
      <c r="C1045" t="s">
        <v>11</v>
      </c>
      <c r="D1045" t="s">
        <v>41</v>
      </c>
      <c r="E1045" t="s">
        <v>45</v>
      </c>
      <c r="F1045">
        <v>177.01</v>
      </c>
      <c r="G1045" t="s">
        <v>19</v>
      </c>
      <c r="H1045" t="s">
        <v>15</v>
      </c>
      <c r="I1045">
        <v>1.9</v>
      </c>
      <c r="J1045">
        <v>7</v>
      </c>
      <c r="K1045">
        <v>1</v>
      </c>
    </row>
    <row r="1046" spans="1:11" x14ac:dyDescent="0.35">
      <c r="A1046">
        <v>1045</v>
      </c>
      <c r="B1046">
        <v>33</v>
      </c>
      <c r="C1046" t="s">
        <v>16</v>
      </c>
      <c r="D1046" t="s">
        <v>20</v>
      </c>
      <c r="E1046" t="s">
        <v>36</v>
      </c>
      <c r="F1046">
        <v>144.52000000000001</v>
      </c>
      <c r="G1046" t="s">
        <v>14</v>
      </c>
      <c r="H1046" t="s">
        <v>15</v>
      </c>
      <c r="I1046">
        <v>4.5999999999999996</v>
      </c>
      <c r="J1046">
        <v>10</v>
      </c>
      <c r="K1046">
        <v>5</v>
      </c>
    </row>
    <row r="1047" spans="1:11" x14ac:dyDescent="0.35">
      <c r="A1047">
        <v>1046</v>
      </c>
      <c r="B1047">
        <v>40</v>
      </c>
      <c r="C1047" t="s">
        <v>16</v>
      </c>
      <c r="D1047" t="s">
        <v>17</v>
      </c>
      <c r="E1047" t="s">
        <v>35</v>
      </c>
      <c r="F1047">
        <v>141.59</v>
      </c>
      <c r="G1047" t="s">
        <v>19</v>
      </c>
      <c r="H1047" t="s">
        <v>15</v>
      </c>
      <c r="I1047">
        <v>3.3</v>
      </c>
      <c r="J1047">
        <v>4</v>
      </c>
      <c r="K1047">
        <v>2</v>
      </c>
    </row>
    <row r="1048" spans="1:11" x14ac:dyDescent="0.35">
      <c r="A1048">
        <v>1047</v>
      </c>
      <c r="B1048">
        <v>53</v>
      </c>
      <c r="C1048" t="s">
        <v>11</v>
      </c>
      <c r="D1048" t="s">
        <v>41</v>
      </c>
      <c r="E1048" t="s">
        <v>44</v>
      </c>
      <c r="F1048">
        <v>130.75</v>
      </c>
      <c r="G1048" t="s">
        <v>31</v>
      </c>
      <c r="H1048" t="s">
        <v>15</v>
      </c>
      <c r="I1048">
        <v>3.9</v>
      </c>
      <c r="J1048">
        <v>15</v>
      </c>
      <c r="K1048">
        <v>5</v>
      </c>
    </row>
    <row r="1049" spans="1:11" x14ac:dyDescent="0.35">
      <c r="A1049">
        <v>1048</v>
      </c>
      <c r="B1049">
        <v>55</v>
      </c>
      <c r="C1049" t="s">
        <v>16</v>
      </c>
      <c r="D1049" t="s">
        <v>33</v>
      </c>
      <c r="E1049" t="s">
        <v>38</v>
      </c>
      <c r="F1049">
        <v>57.48</v>
      </c>
      <c r="G1049" t="s">
        <v>31</v>
      </c>
      <c r="H1049" t="s">
        <v>15</v>
      </c>
      <c r="I1049">
        <v>4.0999999999999996</v>
      </c>
      <c r="J1049">
        <v>15</v>
      </c>
      <c r="K1049">
        <v>5</v>
      </c>
    </row>
    <row r="1050" spans="1:11" x14ac:dyDescent="0.35">
      <c r="A1050">
        <v>1049</v>
      </c>
      <c r="B1050">
        <v>40</v>
      </c>
      <c r="C1050" t="s">
        <v>11</v>
      </c>
      <c r="D1050" t="s">
        <v>41</v>
      </c>
      <c r="E1050" t="s">
        <v>46</v>
      </c>
      <c r="F1050">
        <v>75.56</v>
      </c>
      <c r="G1050" t="s">
        <v>24</v>
      </c>
      <c r="H1050" t="s">
        <v>37</v>
      </c>
      <c r="I1050">
        <v>4.0999999999999996</v>
      </c>
      <c r="J1050">
        <v>10</v>
      </c>
      <c r="K1050">
        <v>5</v>
      </c>
    </row>
    <row r="1051" spans="1:11" x14ac:dyDescent="0.35">
      <c r="A1051">
        <v>1050</v>
      </c>
      <c r="B1051">
        <v>34</v>
      </c>
      <c r="C1051" t="s">
        <v>11</v>
      </c>
      <c r="D1051" t="s">
        <v>12</v>
      </c>
      <c r="E1051" t="s">
        <v>13</v>
      </c>
      <c r="F1051">
        <v>50.23</v>
      </c>
      <c r="G1051" t="s">
        <v>19</v>
      </c>
      <c r="H1051" t="s">
        <v>37</v>
      </c>
      <c r="I1051">
        <v>2.2000000000000002</v>
      </c>
      <c r="J1051">
        <v>6</v>
      </c>
      <c r="K1051">
        <v>3</v>
      </c>
    </row>
    <row r="1052" spans="1:11" x14ac:dyDescent="0.35">
      <c r="A1052">
        <v>1051</v>
      </c>
      <c r="B1052">
        <v>45</v>
      </c>
      <c r="C1052" t="s">
        <v>11</v>
      </c>
      <c r="D1052" t="s">
        <v>12</v>
      </c>
      <c r="E1052" t="s">
        <v>13</v>
      </c>
      <c r="F1052">
        <v>56.28</v>
      </c>
      <c r="G1052" t="s">
        <v>31</v>
      </c>
      <c r="H1052" t="s">
        <v>37</v>
      </c>
      <c r="I1052">
        <v>4.5</v>
      </c>
      <c r="J1052">
        <v>18</v>
      </c>
      <c r="K1052">
        <v>4</v>
      </c>
    </row>
    <row r="1053" spans="1:11" x14ac:dyDescent="0.35">
      <c r="A1053">
        <v>1052</v>
      </c>
      <c r="B1053">
        <v>31</v>
      </c>
      <c r="C1053" t="s">
        <v>16</v>
      </c>
      <c r="D1053" t="s">
        <v>22</v>
      </c>
      <c r="E1053" t="s">
        <v>23</v>
      </c>
      <c r="F1053">
        <v>211.48</v>
      </c>
      <c r="G1053" t="s">
        <v>19</v>
      </c>
      <c r="H1053" t="s">
        <v>15</v>
      </c>
      <c r="I1053">
        <v>2.8</v>
      </c>
      <c r="J1053">
        <v>9</v>
      </c>
      <c r="K1053">
        <v>2</v>
      </c>
    </row>
    <row r="1054" spans="1:11" x14ac:dyDescent="0.35">
      <c r="A1054">
        <v>1053</v>
      </c>
      <c r="B1054">
        <v>37</v>
      </c>
      <c r="C1054" t="s">
        <v>11</v>
      </c>
      <c r="D1054" t="s">
        <v>22</v>
      </c>
      <c r="E1054" t="s">
        <v>43</v>
      </c>
      <c r="F1054">
        <v>75.819999999999993</v>
      </c>
      <c r="G1054" t="s">
        <v>24</v>
      </c>
      <c r="H1054" t="s">
        <v>15</v>
      </c>
      <c r="I1054">
        <v>4.3</v>
      </c>
      <c r="J1054">
        <v>12</v>
      </c>
      <c r="K1054">
        <v>1</v>
      </c>
    </row>
    <row r="1055" spans="1:11" x14ac:dyDescent="0.35">
      <c r="A1055">
        <v>1054</v>
      </c>
      <c r="B1055">
        <v>60</v>
      </c>
      <c r="C1055" t="s">
        <v>11</v>
      </c>
      <c r="D1055" t="s">
        <v>12</v>
      </c>
      <c r="E1055" t="s">
        <v>50</v>
      </c>
      <c r="F1055">
        <v>58.95</v>
      </c>
      <c r="G1055" t="s">
        <v>24</v>
      </c>
      <c r="H1055" t="s">
        <v>37</v>
      </c>
      <c r="I1055">
        <v>3.5</v>
      </c>
      <c r="J1055">
        <v>6</v>
      </c>
      <c r="K1055">
        <v>3</v>
      </c>
    </row>
    <row r="1056" spans="1:11" x14ac:dyDescent="0.35">
      <c r="A1056">
        <v>1055</v>
      </c>
      <c r="B1056">
        <v>38</v>
      </c>
      <c r="C1056" t="s">
        <v>16</v>
      </c>
      <c r="D1056" t="s">
        <v>27</v>
      </c>
      <c r="E1056" t="s">
        <v>53</v>
      </c>
      <c r="F1056">
        <v>1948.69</v>
      </c>
      <c r="G1056" t="s">
        <v>31</v>
      </c>
      <c r="H1056" t="s">
        <v>15</v>
      </c>
      <c r="I1056">
        <v>2.9</v>
      </c>
      <c r="J1056">
        <v>16</v>
      </c>
      <c r="K1056">
        <v>8</v>
      </c>
    </row>
    <row r="1057" spans="1:11" x14ac:dyDescent="0.35">
      <c r="A1057">
        <v>1056</v>
      </c>
      <c r="B1057">
        <v>60</v>
      </c>
      <c r="C1057" t="s">
        <v>16</v>
      </c>
      <c r="D1057" t="s">
        <v>20</v>
      </c>
      <c r="E1057" t="s">
        <v>36</v>
      </c>
      <c r="F1057">
        <v>221.58</v>
      </c>
      <c r="G1057" t="s">
        <v>31</v>
      </c>
      <c r="H1057" t="s">
        <v>15</v>
      </c>
      <c r="I1057">
        <v>3.2</v>
      </c>
      <c r="J1057">
        <v>10</v>
      </c>
      <c r="K1057">
        <v>5</v>
      </c>
    </row>
    <row r="1058" spans="1:11" x14ac:dyDescent="0.35">
      <c r="A1058">
        <v>1057</v>
      </c>
      <c r="B1058">
        <v>40</v>
      </c>
      <c r="C1058" t="s">
        <v>16</v>
      </c>
      <c r="D1058" t="s">
        <v>20</v>
      </c>
      <c r="E1058" t="s">
        <v>21</v>
      </c>
      <c r="F1058">
        <v>194.16</v>
      </c>
      <c r="G1058" t="s">
        <v>24</v>
      </c>
      <c r="H1058" t="s">
        <v>15</v>
      </c>
      <c r="I1058">
        <v>3.9</v>
      </c>
      <c r="J1058">
        <v>21</v>
      </c>
      <c r="K1058">
        <v>8</v>
      </c>
    </row>
    <row r="1059" spans="1:11" x14ac:dyDescent="0.35">
      <c r="A1059">
        <v>1058</v>
      </c>
      <c r="B1059">
        <v>33</v>
      </c>
      <c r="C1059" t="s">
        <v>11</v>
      </c>
      <c r="D1059" t="s">
        <v>33</v>
      </c>
      <c r="E1059" t="s">
        <v>40</v>
      </c>
      <c r="F1059">
        <v>40.299999999999997</v>
      </c>
      <c r="G1059" t="s">
        <v>24</v>
      </c>
      <c r="H1059" t="s">
        <v>15</v>
      </c>
      <c r="I1059">
        <v>2.5</v>
      </c>
      <c r="J1059">
        <v>22</v>
      </c>
      <c r="K1059">
        <v>6</v>
      </c>
    </row>
    <row r="1060" spans="1:11" x14ac:dyDescent="0.35">
      <c r="A1060">
        <v>1059</v>
      </c>
      <c r="B1060">
        <v>64</v>
      </c>
      <c r="C1060" t="s">
        <v>11</v>
      </c>
      <c r="D1060" t="s">
        <v>41</v>
      </c>
      <c r="E1060" t="s">
        <v>45</v>
      </c>
      <c r="F1060">
        <v>178.98</v>
      </c>
      <c r="G1060" t="s">
        <v>14</v>
      </c>
      <c r="H1060" t="s">
        <v>15</v>
      </c>
      <c r="I1060">
        <v>3.2</v>
      </c>
      <c r="J1060">
        <v>20</v>
      </c>
      <c r="K1060">
        <v>5</v>
      </c>
    </row>
    <row r="1061" spans="1:11" x14ac:dyDescent="0.35">
      <c r="A1061">
        <v>1060</v>
      </c>
      <c r="B1061">
        <v>64</v>
      </c>
      <c r="C1061" t="s">
        <v>11</v>
      </c>
      <c r="D1061" t="s">
        <v>41</v>
      </c>
      <c r="E1061" t="s">
        <v>45</v>
      </c>
      <c r="F1061">
        <v>190.01</v>
      </c>
      <c r="G1061" t="s">
        <v>19</v>
      </c>
      <c r="H1061" t="s">
        <v>15</v>
      </c>
      <c r="I1061">
        <v>4.0999999999999996</v>
      </c>
      <c r="J1061">
        <v>18</v>
      </c>
      <c r="K1061">
        <v>9</v>
      </c>
    </row>
    <row r="1062" spans="1:11" x14ac:dyDescent="0.35">
      <c r="A1062">
        <v>1061</v>
      </c>
      <c r="B1062">
        <v>66</v>
      </c>
      <c r="C1062" t="s">
        <v>11</v>
      </c>
      <c r="D1062" t="s">
        <v>41</v>
      </c>
      <c r="E1062" t="s">
        <v>44</v>
      </c>
      <c r="F1062">
        <v>114.31</v>
      </c>
      <c r="G1062" t="s">
        <v>14</v>
      </c>
      <c r="H1062" t="s">
        <v>15</v>
      </c>
      <c r="I1062">
        <v>5</v>
      </c>
      <c r="J1062">
        <v>8</v>
      </c>
      <c r="K1062">
        <v>4</v>
      </c>
    </row>
    <row r="1063" spans="1:11" x14ac:dyDescent="0.35">
      <c r="A1063">
        <v>1062</v>
      </c>
      <c r="B1063">
        <v>21</v>
      </c>
      <c r="C1063" t="s">
        <v>16</v>
      </c>
      <c r="D1063" t="s">
        <v>17</v>
      </c>
      <c r="E1063" t="s">
        <v>18</v>
      </c>
      <c r="F1063">
        <v>114.03</v>
      </c>
      <c r="G1063" t="s">
        <v>14</v>
      </c>
      <c r="H1063" t="s">
        <v>15</v>
      </c>
      <c r="I1063">
        <v>2.6</v>
      </c>
      <c r="J1063">
        <v>12</v>
      </c>
      <c r="K1063">
        <v>1</v>
      </c>
    </row>
    <row r="1064" spans="1:11" x14ac:dyDescent="0.35">
      <c r="A1064">
        <v>1063</v>
      </c>
      <c r="B1064">
        <v>49</v>
      </c>
      <c r="C1064" t="s">
        <v>16</v>
      </c>
      <c r="D1064" t="s">
        <v>33</v>
      </c>
      <c r="E1064" t="s">
        <v>34</v>
      </c>
      <c r="F1064">
        <v>106.57</v>
      </c>
      <c r="G1064" t="s">
        <v>14</v>
      </c>
      <c r="H1064" t="s">
        <v>15</v>
      </c>
      <c r="I1064">
        <v>3.2</v>
      </c>
      <c r="J1064">
        <v>8</v>
      </c>
      <c r="K1064">
        <v>4</v>
      </c>
    </row>
    <row r="1065" spans="1:11" x14ac:dyDescent="0.35">
      <c r="A1065">
        <v>1064</v>
      </c>
      <c r="B1065">
        <v>40</v>
      </c>
      <c r="C1065" t="s">
        <v>11</v>
      </c>
      <c r="D1065" t="s">
        <v>29</v>
      </c>
      <c r="E1065" t="s">
        <v>51</v>
      </c>
      <c r="F1065">
        <v>44.46</v>
      </c>
      <c r="G1065" t="s">
        <v>31</v>
      </c>
      <c r="H1065" t="s">
        <v>15</v>
      </c>
      <c r="I1065">
        <v>3.5</v>
      </c>
      <c r="J1065">
        <v>22</v>
      </c>
      <c r="K1065">
        <v>6</v>
      </c>
    </row>
    <row r="1066" spans="1:11" x14ac:dyDescent="0.35">
      <c r="A1066">
        <v>1065</v>
      </c>
      <c r="B1066">
        <v>49</v>
      </c>
      <c r="C1066" t="s">
        <v>11</v>
      </c>
      <c r="D1066" t="s">
        <v>41</v>
      </c>
      <c r="E1066" t="s">
        <v>44</v>
      </c>
      <c r="F1066">
        <v>43.75</v>
      </c>
      <c r="G1066" t="s">
        <v>19</v>
      </c>
      <c r="H1066" t="s">
        <v>15</v>
      </c>
      <c r="I1066">
        <v>3.8</v>
      </c>
      <c r="J1066">
        <v>22</v>
      </c>
      <c r="K1066">
        <v>6</v>
      </c>
    </row>
    <row r="1067" spans="1:11" x14ac:dyDescent="0.35">
      <c r="A1067">
        <v>1066</v>
      </c>
      <c r="B1067">
        <v>20</v>
      </c>
      <c r="C1067" t="s">
        <v>16</v>
      </c>
      <c r="D1067" t="s">
        <v>20</v>
      </c>
      <c r="E1067" t="s">
        <v>36</v>
      </c>
      <c r="F1067">
        <v>98.82</v>
      </c>
      <c r="G1067" t="s">
        <v>24</v>
      </c>
      <c r="H1067" t="s">
        <v>15</v>
      </c>
      <c r="I1067">
        <v>3.5</v>
      </c>
      <c r="J1067">
        <v>16</v>
      </c>
      <c r="K1067">
        <v>3</v>
      </c>
    </row>
    <row r="1068" spans="1:11" x14ac:dyDescent="0.35">
      <c r="A1068">
        <v>1067</v>
      </c>
      <c r="B1068">
        <v>53</v>
      </c>
      <c r="C1068" t="s">
        <v>16</v>
      </c>
      <c r="D1068" t="s">
        <v>17</v>
      </c>
      <c r="E1068" t="s">
        <v>42</v>
      </c>
      <c r="F1068">
        <v>176.35</v>
      </c>
      <c r="G1068" t="s">
        <v>14</v>
      </c>
      <c r="H1068" t="s">
        <v>15</v>
      </c>
      <c r="I1068">
        <v>4</v>
      </c>
      <c r="J1068">
        <v>6</v>
      </c>
      <c r="K1068">
        <v>3</v>
      </c>
    </row>
    <row r="1069" spans="1:11" x14ac:dyDescent="0.35">
      <c r="A1069">
        <v>1068</v>
      </c>
      <c r="B1069">
        <v>20</v>
      </c>
      <c r="C1069" t="s">
        <v>16</v>
      </c>
      <c r="D1069" t="s">
        <v>27</v>
      </c>
      <c r="E1069" t="s">
        <v>49</v>
      </c>
      <c r="F1069">
        <v>768.38</v>
      </c>
      <c r="G1069" t="s">
        <v>14</v>
      </c>
      <c r="H1069" t="s">
        <v>15</v>
      </c>
      <c r="I1069">
        <v>4.3</v>
      </c>
      <c r="J1069">
        <v>15</v>
      </c>
      <c r="K1069">
        <v>5</v>
      </c>
    </row>
    <row r="1070" spans="1:11" x14ac:dyDescent="0.35">
      <c r="A1070">
        <v>1069</v>
      </c>
      <c r="B1070">
        <v>58</v>
      </c>
      <c r="C1070" t="s">
        <v>16</v>
      </c>
      <c r="D1070" t="s">
        <v>27</v>
      </c>
      <c r="E1070" t="s">
        <v>49</v>
      </c>
      <c r="F1070">
        <v>2823.73</v>
      </c>
      <c r="G1070" t="s">
        <v>19</v>
      </c>
      <c r="H1070" t="s">
        <v>15</v>
      </c>
      <c r="I1070">
        <v>4.5</v>
      </c>
      <c r="J1070">
        <v>20</v>
      </c>
      <c r="K1070">
        <v>5</v>
      </c>
    </row>
    <row r="1071" spans="1:11" x14ac:dyDescent="0.35">
      <c r="A1071">
        <v>1070</v>
      </c>
      <c r="B1071">
        <v>53</v>
      </c>
      <c r="C1071" t="s">
        <v>16</v>
      </c>
      <c r="D1071" t="s">
        <v>20</v>
      </c>
      <c r="E1071" t="s">
        <v>36</v>
      </c>
      <c r="F1071">
        <v>33.24</v>
      </c>
      <c r="G1071" t="s">
        <v>14</v>
      </c>
      <c r="H1071" t="s">
        <v>37</v>
      </c>
      <c r="I1071">
        <v>4.0999999999999996</v>
      </c>
      <c r="J1071">
        <v>22</v>
      </c>
      <c r="K1071">
        <v>6</v>
      </c>
    </row>
    <row r="1072" spans="1:11" x14ac:dyDescent="0.35">
      <c r="A1072">
        <v>1071</v>
      </c>
      <c r="B1072">
        <v>38</v>
      </c>
      <c r="C1072" t="s">
        <v>11</v>
      </c>
      <c r="D1072" t="s">
        <v>12</v>
      </c>
      <c r="E1072" t="s">
        <v>56</v>
      </c>
      <c r="F1072">
        <v>150.79</v>
      </c>
      <c r="G1072" t="s">
        <v>14</v>
      </c>
      <c r="H1072" t="s">
        <v>15</v>
      </c>
      <c r="I1072">
        <v>2.7</v>
      </c>
      <c r="J1072">
        <v>10</v>
      </c>
      <c r="K1072">
        <v>5</v>
      </c>
    </row>
    <row r="1073" spans="1:11" x14ac:dyDescent="0.35">
      <c r="A1073">
        <v>1072</v>
      </c>
      <c r="B1073">
        <v>65</v>
      </c>
      <c r="C1073" t="s">
        <v>16</v>
      </c>
      <c r="D1073" t="s">
        <v>20</v>
      </c>
      <c r="E1073" t="s">
        <v>36</v>
      </c>
      <c r="F1073">
        <v>208.78</v>
      </c>
      <c r="G1073" t="s">
        <v>14</v>
      </c>
      <c r="H1073" t="s">
        <v>15</v>
      </c>
      <c r="I1073">
        <v>4.3</v>
      </c>
      <c r="J1073">
        <v>20</v>
      </c>
      <c r="K1073">
        <v>5</v>
      </c>
    </row>
    <row r="1074" spans="1:11" x14ac:dyDescent="0.35">
      <c r="A1074">
        <v>1073</v>
      </c>
      <c r="B1074">
        <v>22</v>
      </c>
      <c r="C1074" t="s">
        <v>11</v>
      </c>
      <c r="D1074" t="s">
        <v>12</v>
      </c>
      <c r="E1074" t="s">
        <v>13</v>
      </c>
      <c r="F1074">
        <v>80.5</v>
      </c>
      <c r="G1074" t="s">
        <v>31</v>
      </c>
      <c r="H1074" t="s">
        <v>15</v>
      </c>
      <c r="I1074">
        <v>4</v>
      </c>
      <c r="J1074">
        <v>16</v>
      </c>
      <c r="K1074">
        <v>3</v>
      </c>
    </row>
    <row r="1075" spans="1:11" x14ac:dyDescent="0.35">
      <c r="A1075">
        <v>1074</v>
      </c>
      <c r="B1075">
        <v>60</v>
      </c>
      <c r="C1075" t="s">
        <v>16</v>
      </c>
      <c r="D1075" t="s">
        <v>20</v>
      </c>
      <c r="E1075" t="s">
        <v>39</v>
      </c>
      <c r="F1075">
        <v>139.63999999999999</v>
      </c>
      <c r="G1075" t="s">
        <v>14</v>
      </c>
      <c r="H1075" t="s">
        <v>15</v>
      </c>
      <c r="I1075">
        <v>4</v>
      </c>
      <c r="J1075">
        <v>26</v>
      </c>
      <c r="K1075">
        <v>8</v>
      </c>
    </row>
    <row r="1076" spans="1:11" x14ac:dyDescent="0.35">
      <c r="A1076">
        <v>1075</v>
      </c>
      <c r="B1076">
        <v>32</v>
      </c>
      <c r="C1076" t="s">
        <v>11</v>
      </c>
      <c r="D1076" t="s">
        <v>29</v>
      </c>
      <c r="E1076" t="s">
        <v>55</v>
      </c>
      <c r="F1076">
        <v>105.08</v>
      </c>
      <c r="G1076" t="s">
        <v>19</v>
      </c>
      <c r="H1076" t="s">
        <v>15</v>
      </c>
      <c r="I1076">
        <v>3</v>
      </c>
      <c r="J1076">
        <v>13</v>
      </c>
      <c r="K1076">
        <v>4</v>
      </c>
    </row>
    <row r="1077" spans="1:11" x14ac:dyDescent="0.35">
      <c r="A1077">
        <v>1076</v>
      </c>
      <c r="B1077">
        <v>47</v>
      </c>
      <c r="C1077" t="s">
        <v>16</v>
      </c>
      <c r="D1077" t="s">
        <v>25</v>
      </c>
      <c r="E1077" t="s">
        <v>54</v>
      </c>
      <c r="F1077">
        <v>73.92</v>
      </c>
      <c r="G1077" t="s">
        <v>19</v>
      </c>
      <c r="H1077" t="s">
        <v>37</v>
      </c>
      <c r="I1077">
        <v>3.5</v>
      </c>
      <c r="J1077">
        <v>9</v>
      </c>
      <c r="K1077">
        <v>2</v>
      </c>
    </row>
    <row r="1078" spans="1:11" x14ac:dyDescent="0.35">
      <c r="A1078">
        <v>1077</v>
      </c>
      <c r="B1078">
        <v>48</v>
      </c>
      <c r="C1078" t="s">
        <v>16</v>
      </c>
      <c r="D1078" t="s">
        <v>27</v>
      </c>
      <c r="E1078" t="s">
        <v>32</v>
      </c>
      <c r="F1078">
        <v>2738.51</v>
      </c>
      <c r="G1078" t="s">
        <v>31</v>
      </c>
      <c r="H1078" t="s">
        <v>15</v>
      </c>
      <c r="I1078">
        <v>3.5</v>
      </c>
      <c r="J1078">
        <v>11</v>
      </c>
      <c r="K1078">
        <v>3</v>
      </c>
    </row>
    <row r="1079" spans="1:11" x14ac:dyDescent="0.35">
      <c r="A1079">
        <v>1078</v>
      </c>
      <c r="B1079">
        <v>69</v>
      </c>
      <c r="C1079" t="s">
        <v>16</v>
      </c>
      <c r="D1079" t="s">
        <v>27</v>
      </c>
      <c r="E1079" t="s">
        <v>32</v>
      </c>
      <c r="F1079">
        <v>1627.36</v>
      </c>
      <c r="G1079" t="s">
        <v>19</v>
      </c>
      <c r="H1079" t="s">
        <v>15</v>
      </c>
      <c r="I1079">
        <v>3.5</v>
      </c>
      <c r="J1079">
        <v>18</v>
      </c>
      <c r="K1079">
        <v>4</v>
      </c>
    </row>
    <row r="1080" spans="1:11" x14ac:dyDescent="0.35">
      <c r="A1080">
        <v>1079</v>
      </c>
      <c r="B1080">
        <v>64</v>
      </c>
      <c r="C1080" t="s">
        <v>16</v>
      </c>
      <c r="D1080" t="s">
        <v>25</v>
      </c>
      <c r="E1080" t="s">
        <v>26</v>
      </c>
      <c r="F1080">
        <v>44.35</v>
      </c>
      <c r="G1080" t="s">
        <v>19</v>
      </c>
      <c r="H1080" t="s">
        <v>37</v>
      </c>
      <c r="I1080">
        <v>3.4</v>
      </c>
      <c r="J1080">
        <v>15</v>
      </c>
      <c r="K1080">
        <v>5</v>
      </c>
    </row>
    <row r="1081" spans="1:11" x14ac:dyDescent="0.35">
      <c r="A1081">
        <v>1080</v>
      </c>
      <c r="B1081">
        <v>51</v>
      </c>
      <c r="C1081" t="s">
        <v>16</v>
      </c>
      <c r="D1081" t="s">
        <v>25</v>
      </c>
      <c r="E1081" t="s">
        <v>57</v>
      </c>
      <c r="F1081">
        <v>67.37</v>
      </c>
      <c r="G1081" t="s">
        <v>24</v>
      </c>
      <c r="H1081" t="s">
        <v>37</v>
      </c>
      <c r="I1081">
        <v>3.6</v>
      </c>
      <c r="J1081">
        <v>22</v>
      </c>
      <c r="K1081">
        <v>6</v>
      </c>
    </row>
    <row r="1082" spans="1:11" x14ac:dyDescent="0.35">
      <c r="A1082">
        <v>1081</v>
      </c>
      <c r="B1082">
        <v>55</v>
      </c>
      <c r="C1082" t="s">
        <v>11</v>
      </c>
      <c r="D1082" t="s">
        <v>29</v>
      </c>
      <c r="E1082" t="s">
        <v>30</v>
      </c>
      <c r="F1082">
        <v>51.63</v>
      </c>
      <c r="G1082" t="s">
        <v>14</v>
      </c>
      <c r="H1082" t="s">
        <v>15</v>
      </c>
      <c r="I1082">
        <v>4.5999999999999996</v>
      </c>
      <c r="J1082">
        <v>18</v>
      </c>
      <c r="K1082">
        <v>4</v>
      </c>
    </row>
    <row r="1083" spans="1:11" x14ac:dyDescent="0.35">
      <c r="A1083">
        <v>1082</v>
      </c>
      <c r="B1083">
        <v>62</v>
      </c>
      <c r="C1083" t="s">
        <v>16</v>
      </c>
      <c r="D1083" t="s">
        <v>20</v>
      </c>
      <c r="E1083" t="s">
        <v>21</v>
      </c>
      <c r="F1083">
        <v>202.1</v>
      </c>
      <c r="G1083" t="s">
        <v>31</v>
      </c>
      <c r="H1083" t="s">
        <v>15</v>
      </c>
      <c r="I1083">
        <v>2.2000000000000002</v>
      </c>
      <c r="J1083">
        <v>20</v>
      </c>
      <c r="K1083">
        <v>5</v>
      </c>
    </row>
    <row r="1084" spans="1:11" x14ac:dyDescent="0.35">
      <c r="A1084">
        <v>1083</v>
      </c>
      <c r="B1084">
        <v>52</v>
      </c>
      <c r="C1084" t="s">
        <v>11</v>
      </c>
      <c r="D1084" t="s">
        <v>33</v>
      </c>
      <c r="E1084" t="s">
        <v>40</v>
      </c>
      <c r="F1084">
        <v>86.78</v>
      </c>
      <c r="G1084" t="s">
        <v>19</v>
      </c>
      <c r="H1084" t="s">
        <v>37</v>
      </c>
      <c r="I1084">
        <v>4</v>
      </c>
      <c r="J1084">
        <v>20</v>
      </c>
      <c r="K1084">
        <v>5</v>
      </c>
    </row>
    <row r="1085" spans="1:11" x14ac:dyDescent="0.35">
      <c r="A1085">
        <v>1084</v>
      </c>
      <c r="B1085">
        <v>41</v>
      </c>
      <c r="C1085" t="s">
        <v>16</v>
      </c>
      <c r="D1085" t="s">
        <v>33</v>
      </c>
      <c r="E1085" t="s">
        <v>34</v>
      </c>
      <c r="F1085">
        <v>82.05</v>
      </c>
      <c r="G1085" t="s">
        <v>31</v>
      </c>
      <c r="H1085" t="s">
        <v>15</v>
      </c>
      <c r="I1085">
        <v>4.0999999999999996</v>
      </c>
      <c r="J1085">
        <v>20</v>
      </c>
      <c r="K1085">
        <v>5</v>
      </c>
    </row>
    <row r="1086" spans="1:11" x14ac:dyDescent="0.35">
      <c r="A1086">
        <v>1085</v>
      </c>
      <c r="B1086">
        <v>27</v>
      </c>
      <c r="C1086" t="s">
        <v>11</v>
      </c>
      <c r="D1086" t="s">
        <v>29</v>
      </c>
      <c r="E1086" t="s">
        <v>30</v>
      </c>
      <c r="F1086">
        <v>24.02</v>
      </c>
      <c r="G1086" t="s">
        <v>24</v>
      </c>
      <c r="H1086" t="s">
        <v>37</v>
      </c>
      <c r="I1086">
        <v>4.3</v>
      </c>
      <c r="J1086">
        <v>14</v>
      </c>
      <c r="K1086">
        <v>2</v>
      </c>
    </row>
    <row r="1087" spans="1:11" x14ac:dyDescent="0.35">
      <c r="A1087">
        <v>1086</v>
      </c>
      <c r="B1087">
        <v>29</v>
      </c>
      <c r="C1087" t="s">
        <v>11</v>
      </c>
      <c r="D1087" t="s">
        <v>41</v>
      </c>
      <c r="E1087" t="s">
        <v>45</v>
      </c>
      <c r="F1087">
        <v>45.21</v>
      </c>
      <c r="G1087" t="s">
        <v>19</v>
      </c>
      <c r="H1087" t="s">
        <v>15</v>
      </c>
      <c r="I1087">
        <v>3.9</v>
      </c>
      <c r="J1087">
        <v>25</v>
      </c>
      <c r="K1087">
        <v>10</v>
      </c>
    </row>
    <row r="1088" spans="1:11" x14ac:dyDescent="0.35">
      <c r="A1088">
        <v>1087</v>
      </c>
      <c r="B1088">
        <v>66</v>
      </c>
      <c r="C1088" t="s">
        <v>16</v>
      </c>
      <c r="D1088" t="s">
        <v>33</v>
      </c>
      <c r="E1088" t="s">
        <v>38</v>
      </c>
      <c r="F1088">
        <v>239.97</v>
      </c>
      <c r="G1088" t="s">
        <v>19</v>
      </c>
      <c r="H1088" t="s">
        <v>15</v>
      </c>
      <c r="I1088">
        <v>4.7</v>
      </c>
      <c r="J1088">
        <v>17</v>
      </c>
      <c r="K1088">
        <v>6</v>
      </c>
    </row>
    <row r="1089" spans="1:11" x14ac:dyDescent="0.35">
      <c r="A1089">
        <v>1088</v>
      </c>
      <c r="B1089">
        <v>67</v>
      </c>
      <c r="C1089" t="s">
        <v>16</v>
      </c>
      <c r="D1089" t="s">
        <v>20</v>
      </c>
      <c r="E1089" t="s">
        <v>21</v>
      </c>
      <c r="F1089">
        <v>117.03</v>
      </c>
      <c r="G1089" t="s">
        <v>19</v>
      </c>
      <c r="H1089" t="s">
        <v>15</v>
      </c>
      <c r="I1089">
        <v>3.4</v>
      </c>
      <c r="J1089">
        <v>4</v>
      </c>
      <c r="K1089">
        <v>2</v>
      </c>
    </row>
    <row r="1090" spans="1:11" x14ac:dyDescent="0.35">
      <c r="A1090">
        <v>1089</v>
      </c>
      <c r="B1090">
        <v>44</v>
      </c>
      <c r="C1090" t="s">
        <v>11</v>
      </c>
      <c r="D1090" t="s">
        <v>22</v>
      </c>
      <c r="E1090" t="s">
        <v>52</v>
      </c>
      <c r="F1090">
        <v>121.22</v>
      </c>
      <c r="G1090" t="s">
        <v>24</v>
      </c>
      <c r="H1090" t="s">
        <v>15</v>
      </c>
      <c r="I1090">
        <v>4.7</v>
      </c>
      <c r="J1090">
        <v>6</v>
      </c>
      <c r="K1090">
        <v>3</v>
      </c>
    </row>
    <row r="1091" spans="1:11" x14ac:dyDescent="0.35">
      <c r="A1091">
        <v>1090</v>
      </c>
      <c r="B1091">
        <v>26</v>
      </c>
      <c r="C1091" t="s">
        <v>16</v>
      </c>
      <c r="D1091" t="s">
        <v>22</v>
      </c>
      <c r="E1091" t="s">
        <v>52</v>
      </c>
      <c r="F1091">
        <v>155.63</v>
      </c>
      <c r="G1091" t="s">
        <v>14</v>
      </c>
      <c r="H1091" t="s">
        <v>15</v>
      </c>
      <c r="I1091">
        <v>3.2</v>
      </c>
      <c r="J1091">
        <v>20</v>
      </c>
      <c r="K1091">
        <v>5</v>
      </c>
    </row>
    <row r="1092" spans="1:11" x14ac:dyDescent="0.35">
      <c r="A1092">
        <v>1091</v>
      </c>
      <c r="B1092">
        <v>64</v>
      </c>
      <c r="C1092" t="s">
        <v>16</v>
      </c>
      <c r="D1092" t="s">
        <v>33</v>
      </c>
      <c r="E1092" t="s">
        <v>40</v>
      </c>
      <c r="F1092">
        <v>133.61000000000001</v>
      </c>
      <c r="G1092" t="s">
        <v>31</v>
      </c>
      <c r="H1092" t="s">
        <v>15</v>
      </c>
      <c r="I1092">
        <v>4.5999999999999996</v>
      </c>
      <c r="J1092">
        <v>10</v>
      </c>
      <c r="K1092">
        <v>5</v>
      </c>
    </row>
    <row r="1093" spans="1:11" x14ac:dyDescent="0.35">
      <c r="A1093">
        <v>1092</v>
      </c>
      <c r="B1093">
        <v>39</v>
      </c>
      <c r="C1093" t="s">
        <v>16</v>
      </c>
      <c r="D1093" t="s">
        <v>17</v>
      </c>
      <c r="E1093" t="s">
        <v>35</v>
      </c>
      <c r="F1093">
        <v>136.87</v>
      </c>
      <c r="G1093" t="s">
        <v>24</v>
      </c>
      <c r="H1093" t="s">
        <v>15</v>
      </c>
      <c r="I1093">
        <v>5</v>
      </c>
      <c r="J1093">
        <v>17</v>
      </c>
      <c r="K1093">
        <v>6</v>
      </c>
    </row>
    <row r="1094" spans="1:11" x14ac:dyDescent="0.35">
      <c r="A1094">
        <v>1093</v>
      </c>
      <c r="B1094">
        <v>24</v>
      </c>
      <c r="C1094" t="s">
        <v>11</v>
      </c>
      <c r="D1094" t="s">
        <v>29</v>
      </c>
      <c r="E1094" t="s">
        <v>51</v>
      </c>
      <c r="F1094">
        <v>61.18</v>
      </c>
      <c r="G1094" t="s">
        <v>19</v>
      </c>
      <c r="H1094" t="s">
        <v>37</v>
      </c>
      <c r="I1094">
        <v>3.1</v>
      </c>
      <c r="J1094">
        <v>12</v>
      </c>
      <c r="K1094">
        <v>6</v>
      </c>
    </row>
    <row r="1095" spans="1:11" x14ac:dyDescent="0.35">
      <c r="A1095">
        <v>1094</v>
      </c>
      <c r="B1095">
        <v>22</v>
      </c>
      <c r="C1095" t="s">
        <v>11</v>
      </c>
      <c r="D1095" t="s">
        <v>29</v>
      </c>
      <c r="E1095" t="s">
        <v>51</v>
      </c>
      <c r="F1095">
        <v>52.42</v>
      </c>
      <c r="G1095" t="s">
        <v>31</v>
      </c>
      <c r="H1095" t="s">
        <v>37</v>
      </c>
      <c r="I1095">
        <v>4.4000000000000004</v>
      </c>
      <c r="J1095">
        <v>10</v>
      </c>
      <c r="K1095">
        <v>5</v>
      </c>
    </row>
    <row r="1096" spans="1:11" x14ac:dyDescent="0.35">
      <c r="A1096">
        <v>1095</v>
      </c>
      <c r="B1096">
        <v>64</v>
      </c>
      <c r="C1096" t="s">
        <v>11</v>
      </c>
      <c r="D1096" t="s">
        <v>20</v>
      </c>
      <c r="E1096" t="s">
        <v>21</v>
      </c>
      <c r="F1096">
        <v>64.47</v>
      </c>
      <c r="G1096" t="s">
        <v>14</v>
      </c>
      <c r="H1096" t="s">
        <v>15</v>
      </c>
      <c r="I1096">
        <v>2.8</v>
      </c>
      <c r="J1096">
        <v>16</v>
      </c>
      <c r="K1096">
        <v>3</v>
      </c>
    </row>
    <row r="1097" spans="1:11" x14ac:dyDescent="0.35">
      <c r="A1097">
        <v>1096</v>
      </c>
      <c r="B1097">
        <v>41</v>
      </c>
      <c r="C1097" t="s">
        <v>16</v>
      </c>
      <c r="D1097" t="s">
        <v>17</v>
      </c>
      <c r="E1097" t="s">
        <v>42</v>
      </c>
      <c r="F1097">
        <v>72.23</v>
      </c>
      <c r="G1097" t="s">
        <v>14</v>
      </c>
      <c r="H1097" t="s">
        <v>37</v>
      </c>
      <c r="I1097">
        <v>3.6</v>
      </c>
      <c r="J1097">
        <v>11</v>
      </c>
      <c r="K1097">
        <v>3</v>
      </c>
    </row>
    <row r="1098" spans="1:11" x14ac:dyDescent="0.35">
      <c r="A1098">
        <v>1097</v>
      </c>
      <c r="B1098">
        <v>55</v>
      </c>
      <c r="C1098" t="s">
        <v>16</v>
      </c>
      <c r="D1098" t="s">
        <v>17</v>
      </c>
      <c r="E1098" t="s">
        <v>42</v>
      </c>
      <c r="F1098">
        <v>121.35</v>
      </c>
      <c r="G1098" t="s">
        <v>31</v>
      </c>
      <c r="H1098" t="s">
        <v>15</v>
      </c>
      <c r="I1098">
        <v>3.4</v>
      </c>
      <c r="J1098">
        <v>10</v>
      </c>
      <c r="K1098">
        <v>5</v>
      </c>
    </row>
    <row r="1099" spans="1:11" x14ac:dyDescent="0.35">
      <c r="A1099">
        <v>1098</v>
      </c>
      <c r="B1099">
        <v>23</v>
      </c>
      <c r="C1099" t="s">
        <v>11</v>
      </c>
      <c r="D1099" t="s">
        <v>12</v>
      </c>
      <c r="E1099" t="s">
        <v>50</v>
      </c>
      <c r="F1099">
        <v>117.09</v>
      </c>
      <c r="G1099" t="s">
        <v>19</v>
      </c>
      <c r="H1099" t="s">
        <v>15</v>
      </c>
      <c r="I1099">
        <v>3.4</v>
      </c>
      <c r="J1099">
        <v>4</v>
      </c>
      <c r="K1099">
        <v>2</v>
      </c>
    </row>
    <row r="1100" spans="1:11" x14ac:dyDescent="0.35">
      <c r="A1100">
        <v>1099</v>
      </c>
      <c r="B1100">
        <v>70</v>
      </c>
      <c r="C1100" t="s">
        <v>16</v>
      </c>
      <c r="D1100" t="s">
        <v>17</v>
      </c>
      <c r="E1100" t="s">
        <v>48</v>
      </c>
      <c r="F1100">
        <v>190.63</v>
      </c>
      <c r="G1100" t="s">
        <v>31</v>
      </c>
      <c r="H1100" t="s">
        <v>15</v>
      </c>
      <c r="I1100">
        <v>3.7</v>
      </c>
      <c r="J1100">
        <v>2</v>
      </c>
      <c r="K1100">
        <v>1</v>
      </c>
    </row>
    <row r="1101" spans="1:11" x14ac:dyDescent="0.35">
      <c r="A1101">
        <v>1100</v>
      </c>
      <c r="B1101">
        <v>57</v>
      </c>
      <c r="C1101" t="s">
        <v>16</v>
      </c>
      <c r="D1101" t="s">
        <v>17</v>
      </c>
      <c r="E1101" t="s">
        <v>48</v>
      </c>
      <c r="F1101">
        <v>53.94</v>
      </c>
      <c r="G1101" t="s">
        <v>31</v>
      </c>
      <c r="H1101" t="s">
        <v>37</v>
      </c>
      <c r="I1101">
        <v>3.7</v>
      </c>
      <c r="J1101">
        <v>17</v>
      </c>
      <c r="K1101">
        <v>6</v>
      </c>
    </row>
    <row r="1102" spans="1:11" x14ac:dyDescent="0.35">
      <c r="A1102">
        <v>1101</v>
      </c>
      <c r="B1102">
        <v>26</v>
      </c>
      <c r="C1102" t="s">
        <v>11</v>
      </c>
      <c r="D1102" t="s">
        <v>12</v>
      </c>
      <c r="E1102" t="s">
        <v>13</v>
      </c>
      <c r="F1102">
        <v>158.79</v>
      </c>
      <c r="G1102" t="s">
        <v>31</v>
      </c>
      <c r="H1102" t="s">
        <v>15</v>
      </c>
      <c r="I1102">
        <v>4.5999999999999996</v>
      </c>
      <c r="J1102">
        <v>7</v>
      </c>
      <c r="K1102">
        <v>1</v>
      </c>
    </row>
    <row r="1103" spans="1:11" x14ac:dyDescent="0.35">
      <c r="A1103">
        <v>1102</v>
      </c>
      <c r="B1103">
        <v>62</v>
      </c>
      <c r="C1103" t="s">
        <v>16</v>
      </c>
      <c r="D1103" t="s">
        <v>20</v>
      </c>
      <c r="E1103" t="s">
        <v>36</v>
      </c>
      <c r="F1103">
        <v>77.56</v>
      </c>
      <c r="G1103" t="s">
        <v>19</v>
      </c>
      <c r="H1103" t="s">
        <v>37</v>
      </c>
      <c r="I1103">
        <v>3.8</v>
      </c>
      <c r="J1103">
        <v>15</v>
      </c>
      <c r="K1103">
        <v>5</v>
      </c>
    </row>
    <row r="1104" spans="1:11" x14ac:dyDescent="0.35">
      <c r="A1104">
        <v>1103</v>
      </c>
      <c r="B1104">
        <v>23</v>
      </c>
      <c r="C1104" t="s">
        <v>16</v>
      </c>
      <c r="D1104" t="s">
        <v>27</v>
      </c>
      <c r="E1104" t="s">
        <v>49</v>
      </c>
      <c r="F1104">
        <v>559.52</v>
      </c>
      <c r="G1104" t="s">
        <v>14</v>
      </c>
      <c r="H1104" t="s">
        <v>15</v>
      </c>
      <c r="I1104">
        <v>4</v>
      </c>
      <c r="J1104">
        <v>18</v>
      </c>
      <c r="K1104">
        <v>4</v>
      </c>
    </row>
    <row r="1105" spans="1:11" x14ac:dyDescent="0.35">
      <c r="A1105">
        <v>1104</v>
      </c>
      <c r="B1105">
        <v>44</v>
      </c>
      <c r="C1105" t="s">
        <v>16</v>
      </c>
      <c r="D1105" t="s">
        <v>27</v>
      </c>
      <c r="E1105" t="s">
        <v>49</v>
      </c>
      <c r="F1105">
        <v>2966</v>
      </c>
      <c r="G1105" t="s">
        <v>19</v>
      </c>
      <c r="H1105" t="s">
        <v>15</v>
      </c>
      <c r="I1105">
        <v>2.9</v>
      </c>
      <c r="J1105">
        <v>10</v>
      </c>
      <c r="K1105">
        <v>5</v>
      </c>
    </row>
    <row r="1106" spans="1:11" x14ac:dyDescent="0.35">
      <c r="A1106">
        <v>1105</v>
      </c>
      <c r="B1106">
        <v>57</v>
      </c>
      <c r="C1106" t="s">
        <v>11</v>
      </c>
      <c r="D1106" t="s">
        <v>25</v>
      </c>
      <c r="E1106" t="s">
        <v>26</v>
      </c>
      <c r="F1106">
        <v>20.37</v>
      </c>
      <c r="G1106" t="s">
        <v>31</v>
      </c>
      <c r="H1106" t="s">
        <v>15</v>
      </c>
      <c r="I1106">
        <v>4</v>
      </c>
      <c r="J1106">
        <v>30</v>
      </c>
      <c r="K1106">
        <v>10</v>
      </c>
    </row>
    <row r="1107" spans="1:11" x14ac:dyDescent="0.35">
      <c r="A1107">
        <v>1106</v>
      </c>
      <c r="B1107">
        <v>26</v>
      </c>
      <c r="C1107" t="s">
        <v>11</v>
      </c>
      <c r="D1107" t="s">
        <v>41</v>
      </c>
      <c r="E1107" t="s">
        <v>44</v>
      </c>
      <c r="F1107">
        <v>175.46</v>
      </c>
      <c r="G1107" t="s">
        <v>14</v>
      </c>
      <c r="H1107" t="s">
        <v>15</v>
      </c>
      <c r="I1107">
        <v>3.4</v>
      </c>
      <c r="J1107">
        <v>24</v>
      </c>
      <c r="K1107">
        <v>7</v>
      </c>
    </row>
    <row r="1108" spans="1:11" x14ac:dyDescent="0.35">
      <c r="A1108">
        <v>1107</v>
      </c>
      <c r="B1108">
        <v>42</v>
      </c>
      <c r="C1108" t="s">
        <v>11</v>
      </c>
      <c r="D1108" t="s">
        <v>33</v>
      </c>
      <c r="E1108" t="s">
        <v>40</v>
      </c>
      <c r="F1108">
        <v>193.23</v>
      </c>
      <c r="G1108" t="s">
        <v>14</v>
      </c>
      <c r="H1108" t="s">
        <v>15</v>
      </c>
      <c r="I1108">
        <v>4.5999999999999996</v>
      </c>
      <c r="J1108">
        <v>8</v>
      </c>
      <c r="K1108">
        <v>4</v>
      </c>
    </row>
    <row r="1109" spans="1:11" x14ac:dyDescent="0.35">
      <c r="A1109">
        <v>1108</v>
      </c>
      <c r="B1109">
        <v>26</v>
      </c>
      <c r="C1109" t="s">
        <v>16</v>
      </c>
      <c r="D1109" t="s">
        <v>20</v>
      </c>
      <c r="E1109" t="s">
        <v>36</v>
      </c>
      <c r="F1109">
        <v>67.09</v>
      </c>
      <c r="G1109" t="s">
        <v>31</v>
      </c>
      <c r="H1109" t="s">
        <v>15</v>
      </c>
      <c r="I1109">
        <v>3.5</v>
      </c>
      <c r="J1109">
        <v>18</v>
      </c>
      <c r="K1109">
        <v>9</v>
      </c>
    </row>
    <row r="1110" spans="1:11" x14ac:dyDescent="0.35">
      <c r="A1110">
        <v>1109</v>
      </c>
      <c r="B1110">
        <v>28</v>
      </c>
      <c r="C1110" t="s">
        <v>11</v>
      </c>
      <c r="D1110" t="s">
        <v>12</v>
      </c>
      <c r="E1110" t="s">
        <v>56</v>
      </c>
      <c r="F1110">
        <v>57.75</v>
      </c>
      <c r="G1110" t="s">
        <v>19</v>
      </c>
      <c r="H1110" t="s">
        <v>37</v>
      </c>
      <c r="I1110">
        <v>5</v>
      </c>
      <c r="J1110">
        <v>9</v>
      </c>
      <c r="K1110">
        <v>2</v>
      </c>
    </row>
    <row r="1111" spans="1:11" x14ac:dyDescent="0.35">
      <c r="A1111">
        <v>1110</v>
      </c>
      <c r="B1111">
        <v>46</v>
      </c>
      <c r="C1111" t="s">
        <v>16</v>
      </c>
      <c r="D1111" t="s">
        <v>17</v>
      </c>
      <c r="E1111" t="s">
        <v>42</v>
      </c>
      <c r="F1111">
        <v>60.83</v>
      </c>
      <c r="G1111" t="s">
        <v>14</v>
      </c>
      <c r="H1111" t="s">
        <v>15</v>
      </c>
      <c r="I1111">
        <v>3.9</v>
      </c>
      <c r="J1111">
        <v>8</v>
      </c>
      <c r="K1111">
        <v>4</v>
      </c>
    </row>
    <row r="1112" spans="1:11" x14ac:dyDescent="0.35">
      <c r="A1112">
        <v>1111</v>
      </c>
      <c r="B1112">
        <v>28</v>
      </c>
      <c r="C1112" t="s">
        <v>16</v>
      </c>
      <c r="D1112" t="s">
        <v>17</v>
      </c>
      <c r="E1112" t="s">
        <v>42</v>
      </c>
      <c r="F1112">
        <v>153.1</v>
      </c>
      <c r="G1112" t="s">
        <v>31</v>
      </c>
      <c r="H1112" t="s">
        <v>15</v>
      </c>
      <c r="I1112">
        <v>4.5</v>
      </c>
      <c r="J1112">
        <v>8</v>
      </c>
      <c r="K1112">
        <v>4</v>
      </c>
    </row>
    <row r="1113" spans="1:11" x14ac:dyDescent="0.35">
      <c r="A1113">
        <v>1112</v>
      </c>
      <c r="B1113">
        <v>49</v>
      </c>
      <c r="C1113" t="s">
        <v>11</v>
      </c>
      <c r="D1113" t="s">
        <v>25</v>
      </c>
      <c r="E1113" t="s">
        <v>57</v>
      </c>
      <c r="F1113">
        <v>29.32</v>
      </c>
      <c r="G1113" t="s">
        <v>19</v>
      </c>
      <c r="H1113" t="s">
        <v>15</v>
      </c>
      <c r="I1113">
        <v>5</v>
      </c>
      <c r="J1113">
        <v>23</v>
      </c>
      <c r="K1113">
        <v>9</v>
      </c>
    </row>
    <row r="1114" spans="1:11" x14ac:dyDescent="0.35">
      <c r="A1114">
        <v>1113</v>
      </c>
      <c r="B1114">
        <v>67</v>
      </c>
      <c r="C1114" t="s">
        <v>11</v>
      </c>
      <c r="D1114" t="s">
        <v>12</v>
      </c>
      <c r="E1114" t="s">
        <v>50</v>
      </c>
      <c r="F1114">
        <v>133.57</v>
      </c>
      <c r="G1114" t="s">
        <v>24</v>
      </c>
      <c r="H1114" t="s">
        <v>15</v>
      </c>
      <c r="I1114">
        <v>3.9</v>
      </c>
      <c r="J1114">
        <v>26</v>
      </c>
      <c r="K1114">
        <v>8</v>
      </c>
    </row>
    <row r="1115" spans="1:11" x14ac:dyDescent="0.35">
      <c r="A1115">
        <v>1114</v>
      </c>
      <c r="B1115">
        <v>69</v>
      </c>
      <c r="C1115" t="s">
        <v>11</v>
      </c>
      <c r="D1115" t="s">
        <v>12</v>
      </c>
      <c r="E1115" t="s">
        <v>56</v>
      </c>
      <c r="F1115">
        <v>26.45</v>
      </c>
      <c r="G1115" t="s">
        <v>14</v>
      </c>
      <c r="H1115" t="s">
        <v>15</v>
      </c>
      <c r="I1115">
        <v>3.2</v>
      </c>
      <c r="J1115">
        <v>14</v>
      </c>
      <c r="K1115">
        <v>7</v>
      </c>
    </row>
    <row r="1116" spans="1:11" x14ac:dyDescent="0.35">
      <c r="A1116">
        <v>1115</v>
      </c>
      <c r="B1116">
        <v>56</v>
      </c>
      <c r="C1116" t="s">
        <v>11</v>
      </c>
      <c r="D1116" t="s">
        <v>25</v>
      </c>
      <c r="E1116" t="s">
        <v>26</v>
      </c>
      <c r="F1116">
        <v>66.52</v>
      </c>
      <c r="G1116" t="s">
        <v>24</v>
      </c>
      <c r="H1116" t="s">
        <v>15</v>
      </c>
      <c r="I1116">
        <v>3.9</v>
      </c>
      <c r="J1116">
        <v>13</v>
      </c>
      <c r="K1116">
        <v>4</v>
      </c>
    </row>
    <row r="1117" spans="1:11" x14ac:dyDescent="0.35">
      <c r="A1117">
        <v>1116</v>
      </c>
      <c r="B1117">
        <v>66</v>
      </c>
      <c r="C1117" t="s">
        <v>11</v>
      </c>
      <c r="D1117" t="s">
        <v>29</v>
      </c>
      <c r="E1117" t="s">
        <v>30</v>
      </c>
      <c r="F1117">
        <v>125.89</v>
      </c>
      <c r="G1117" t="s">
        <v>14</v>
      </c>
      <c r="H1117" t="s">
        <v>15</v>
      </c>
      <c r="I1117">
        <v>4.3</v>
      </c>
      <c r="J1117">
        <v>16</v>
      </c>
      <c r="K1117">
        <v>3</v>
      </c>
    </row>
    <row r="1118" spans="1:11" x14ac:dyDescent="0.35">
      <c r="A1118">
        <v>1117</v>
      </c>
      <c r="B1118">
        <v>26</v>
      </c>
      <c r="C1118" t="s">
        <v>11</v>
      </c>
      <c r="D1118" t="s">
        <v>12</v>
      </c>
      <c r="E1118" t="s">
        <v>13</v>
      </c>
      <c r="F1118">
        <v>177.36</v>
      </c>
      <c r="G1118" t="s">
        <v>14</v>
      </c>
      <c r="H1118" t="s">
        <v>15</v>
      </c>
      <c r="I1118">
        <v>4.8</v>
      </c>
      <c r="J1118">
        <v>20</v>
      </c>
      <c r="K1118">
        <v>5</v>
      </c>
    </row>
    <row r="1119" spans="1:11" x14ac:dyDescent="0.35">
      <c r="A1119">
        <v>1118</v>
      </c>
      <c r="B1119">
        <v>31</v>
      </c>
      <c r="C1119" t="s">
        <v>16</v>
      </c>
      <c r="D1119" t="s">
        <v>33</v>
      </c>
      <c r="E1119" t="s">
        <v>40</v>
      </c>
      <c r="F1119">
        <v>168.74</v>
      </c>
      <c r="G1119" t="s">
        <v>31</v>
      </c>
      <c r="H1119" t="s">
        <v>15</v>
      </c>
      <c r="I1119">
        <v>4.0999999999999996</v>
      </c>
      <c r="J1119">
        <v>16</v>
      </c>
      <c r="K1119">
        <v>8</v>
      </c>
    </row>
    <row r="1120" spans="1:11" x14ac:dyDescent="0.35">
      <c r="A1120">
        <v>1119</v>
      </c>
      <c r="B1120">
        <v>63</v>
      </c>
      <c r="C1120" t="s">
        <v>11</v>
      </c>
      <c r="D1120" t="s">
        <v>41</v>
      </c>
      <c r="E1120" t="s">
        <v>42</v>
      </c>
      <c r="F1120">
        <v>61.35</v>
      </c>
      <c r="G1120" t="s">
        <v>31</v>
      </c>
      <c r="H1120" t="s">
        <v>37</v>
      </c>
      <c r="I1120">
        <v>3.6</v>
      </c>
      <c r="J1120">
        <v>20</v>
      </c>
      <c r="K1120">
        <v>5</v>
      </c>
    </row>
    <row r="1121" spans="1:11" x14ac:dyDescent="0.35">
      <c r="A1121">
        <v>1120</v>
      </c>
      <c r="B1121">
        <v>44</v>
      </c>
      <c r="C1121" t="s">
        <v>11</v>
      </c>
      <c r="D1121" t="s">
        <v>29</v>
      </c>
      <c r="E1121" t="s">
        <v>30</v>
      </c>
      <c r="F1121">
        <v>128.72999999999999</v>
      </c>
      <c r="G1121" t="s">
        <v>24</v>
      </c>
      <c r="H1121" t="s">
        <v>15</v>
      </c>
      <c r="I1121">
        <v>4.9000000000000004</v>
      </c>
      <c r="J1121">
        <v>12</v>
      </c>
      <c r="K1121">
        <v>6</v>
      </c>
    </row>
    <row r="1122" spans="1:11" x14ac:dyDescent="0.35">
      <c r="A1122">
        <v>1121</v>
      </c>
      <c r="B1122">
        <v>20</v>
      </c>
      <c r="C1122" t="s">
        <v>11</v>
      </c>
      <c r="D1122" t="s">
        <v>20</v>
      </c>
      <c r="E1122" t="s">
        <v>39</v>
      </c>
      <c r="F1122">
        <v>144.69999999999999</v>
      </c>
      <c r="G1122" t="s">
        <v>31</v>
      </c>
      <c r="H1122" t="s">
        <v>15</v>
      </c>
      <c r="I1122">
        <v>4.2</v>
      </c>
      <c r="J1122">
        <v>16</v>
      </c>
      <c r="K1122">
        <v>3</v>
      </c>
    </row>
    <row r="1123" spans="1:11" x14ac:dyDescent="0.35">
      <c r="A1123">
        <v>1122</v>
      </c>
      <c r="B1123">
        <v>41</v>
      </c>
      <c r="C1123" t="s">
        <v>11</v>
      </c>
      <c r="D1123" t="s">
        <v>12</v>
      </c>
      <c r="E1123" t="s">
        <v>56</v>
      </c>
      <c r="F1123">
        <v>107.04</v>
      </c>
      <c r="G1123" t="s">
        <v>14</v>
      </c>
      <c r="H1123" t="s">
        <v>15</v>
      </c>
      <c r="I1123">
        <v>3.5</v>
      </c>
      <c r="J1123">
        <v>8</v>
      </c>
      <c r="K1123">
        <v>4</v>
      </c>
    </row>
    <row r="1124" spans="1:11" x14ac:dyDescent="0.35">
      <c r="A1124">
        <v>1123</v>
      </c>
      <c r="B1124">
        <v>36</v>
      </c>
      <c r="C1124" t="s">
        <v>11</v>
      </c>
      <c r="D1124" t="s">
        <v>12</v>
      </c>
      <c r="E1124" t="s">
        <v>50</v>
      </c>
      <c r="F1124">
        <v>31.74</v>
      </c>
      <c r="G1124" t="s">
        <v>19</v>
      </c>
      <c r="H1124" t="s">
        <v>37</v>
      </c>
      <c r="I1124">
        <v>3.9</v>
      </c>
      <c r="J1124">
        <v>6</v>
      </c>
      <c r="K1124">
        <v>3</v>
      </c>
    </row>
    <row r="1125" spans="1:11" x14ac:dyDescent="0.35">
      <c r="A1125">
        <v>1124</v>
      </c>
      <c r="B1125">
        <v>38</v>
      </c>
      <c r="C1125" t="s">
        <v>16</v>
      </c>
      <c r="D1125" t="s">
        <v>27</v>
      </c>
      <c r="E1125" t="s">
        <v>49</v>
      </c>
      <c r="F1125">
        <v>2415.1999999999998</v>
      </c>
      <c r="G1125" t="s">
        <v>31</v>
      </c>
      <c r="H1125" t="s">
        <v>15</v>
      </c>
      <c r="I1125">
        <v>4.3</v>
      </c>
      <c r="J1125">
        <v>20</v>
      </c>
      <c r="K1125">
        <v>5</v>
      </c>
    </row>
    <row r="1126" spans="1:11" x14ac:dyDescent="0.35">
      <c r="A1126">
        <v>1125</v>
      </c>
      <c r="B1126">
        <v>44</v>
      </c>
      <c r="C1126" t="s">
        <v>16</v>
      </c>
      <c r="D1126" t="s">
        <v>17</v>
      </c>
      <c r="E1126" t="s">
        <v>48</v>
      </c>
      <c r="F1126">
        <v>91.47</v>
      </c>
      <c r="G1126" t="s">
        <v>24</v>
      </c>
      <c r="H1126" t="s">
        <v>37</v>
      </c>
      <c r="I1126">
        <v>3.5</v>
      </c>
      <c r="J1126">
        <v>17</v>
      </c>
      <c r="K1126">
        <v>6</v>
      </c>
    </row>
    <row r="1127" spans="1:11" x14ac:dyDescent="0.35">
      <c r="A1127">
        <v>1126</v>
      </c>
      <c r="B1127">
        <v>40</v>
      </c>
      <c r="C1127" t="s">
        <v>11</v>
      </c>
      <c r="D1127" t="s">
        <v>33</v>
      </c>
      <c r="E1127" t="s">
        <v>38</v>
      </c>
      <c r="F1127">
        <v>118.69</v>
      </c>
      <c r="G1127" t="s">
        <v>14</v>
      </c>
      <c r="H1127" t="s">
        <v>15</v>
      </c>
      <c r="I1127">
        <v>3.5</v>
      </c>
      <c r="J1127">
        <v>14</v>
      </c>
      <c r="K1127">
        <v>7</v>
      </c>
    </row>
    <row r="1128" spans="1:11" x14ac:dyDescent="0.35">
      <c r="A1128">
        <v>1127</v>
      </c>
      <c r="B1128">
        <v>33</v>
      </c>
      <c r="C1128" t="s">
        <v>16</v>
      </c>
      <c r="D1128" t="s">
        <v>33</v>
      </c>
      <c r="E1128" t="s">
        <v>40</v>
      </c>
      <c r="F1128">
        <v>163.49</v>
      </c>
      <c r="G1128" t="s">
        <v>24</v>
      </c>
      <c r="H1128" t="s">
        <v>15</v>
      </c>
      <c r="I1128">
        <v>2.7</v>
      </c>
      <c r="J1128">
        <v>22</v>
      </c>
      <c r="K1128">
        <v>6</v>
      </c>
    </row>
    <row r="1129" spans="1:11" x14ac:dyDescent="0.35">
      <c r="A1129">
        <v>1128</v>
      </c>
      <c r="B1129">
        <v>55</v>
      </c>
      <c r="C1129" t="s">
        <v>11</v>
      </c>
      <c r="D1129" t="s">
        <v>33</v>
      </c>
      <c r="E1129" t="s">
        <v>38</v>
      </c>
      <c r="F1129">
        <v>104.63</v>
      </c>
      <c r="G1129" t="s">
        <v>19</v>
      </c>
      <c r="H1129" t="s">
        <v>15</v>
      </c>
      <c r="I1129">
        <v>3.2</v>
      </c>
      <c r="J1129">
        <v>20</v>
      </c>
      <c r="K1129">
        <v>5</v>
      </c>
    </row>
    <row r="1130" spans="1:11" x14ac:dyDescent="0.35">
      <c r="A1130">
        <v>1129</v>
      </c>
      <c r="B1130">
        <v>43</v>
      </c>
      <c r="C1130" t="s">
        <v>16</v>
      </c>
      <c r="D1130" t="s">
        <v>20</v>
      </c>
      <c r="E1130" t="s">
        <v>36</v>
      </c>
      <c r="F1130">
        <v>195.7</v>
      </c>
      <c r="G1130" t="s">
        <v>14</v>
      </c>
      <c r="H1130" t="s">
        <v>15</v>
      </c>
      <c r="I1130">
        <v>2.8</v>
      </c>
      <c r="J1130">
        <v>10</v>
      </c>
      <c r="K1130">
        <v>5</v>
      </c>
    </row>
    <row r="1131" spans="1:11" x14ac:dyDescent="0.35">
      <c r="A1131">
        <v>1130</v>
      </c>
      <c r="B1131">
        <v>67</v>
      </c>
      <c r="C1131" t="s">
        <v>11</v>
      </c>
      <c r="D1131" t="s">
        <v>12</v>
      </c>
      <c r="E1131" t="s">
        <v>56</v>
      </c>
      <c r="F1131">
        <v>42.94</v>
      </c>
      <c r="G1131" t="s">
        <v>19</v>
      </c>
      <c r="H1131" t="s">
        <v>15</v>
      </c>
      <c r="I1131">
        <v>3.4</v>
      </c>
      <c r="J1131">
        <v>9</v>
      </c>
      <c r="K1131">
        <v>2</v>
      </c>
    </row>
    <row r="1132" spans="1:11" x14ac:dyDescent="0.35">
      <c r="A1132">
        <v>1131</v>
      </c>
      <c r="B1132">
        <v>33</v>
      </c>
      <c r="C1132" t="s">
        <v>16</v>
      </c>
      <c r="D1132" t="s">
        <v>27</v>
      </c>
      <c r="E1132" t="s">
        <v>28</v>
      </c>
      <c r="F1132">
        <v>2697.97</v>
      </c>
      <c r="G1132" t="s">
        <v>31</v>
      </c>
      <c r="H1132" t="s">
        <v>15</v>
      </c>
      <c r="I1132">
        <v>3.8</v>
      </c>
      <c r="J1132">
        <v>6</v>
      </c>
      <c r="K1132">
        <v>3</v>
      </c>
    </row>
    <row r="1133" spans="1:11" x14ac:dyDescent="0.35">
      <c r="A1133">
        <v>1132</v>
      </c>
      <c r="B1133">
        <v>34</v>
      </c>
      <c r="C1133" t="s">
        <v>11</v>
      </c>
      <c r="D1133" t="s">
        <v>12</v>
      </c>
      <c r="E1133" t="s">
        <v>13</v>
      </c>
      <c r="F1133">
        <v>86.46</v>
      </c>
      <c r="G1133" t="s">
        <v>24</v>
      </c>
      <c r="H1133" t="s">
        <v>37</v>
      </c>
      <c r="I1133">
        <v>4.5</v>
      </c>
      <c r="J1133">
        <v>4</v>
      </c>
      <c r="K1133">
        <v>2</v>
      </c>
    </row>
    <row r="1134" spans="1:11" x14ac:dyDescent="0.35">
      <c r="A1134">
        <v>1133</v>
      </c>
      <c r="B1134">
        <v>50</v>
      </c>
      <c r="C1134" t="s">
        <v>16</v>
      </c>
      <c r="D1134" t="s">
        <v>20</v>
      </c>
      <c r="E1134" t="s">
        <v>39</v>
      </c>
      <c r="F1134">
        <v>166.99</v>
      </c>
      <c r="G1134" t="s">
        <v>24</v>
      </c>
      <c r="H1134" t="s">
        <v>15</v>
      </c>
      <c r="I1134">
        <v>4.5</v>
      </c>
      <c r="J1134">
        <v>23</v>
      </c>
      <c r="K1134">
        <v>9</v>
      </c>
    </row>
    <row r="1135" spans="1:11" x14ac:dyDescent="0.35">
      <c r="A1135">
        <v>1134</v>
      </c>
      <c r="B1135">
        <v>50</v>
      </c>
      <c r="C1135" t="s">
        <v>16</v>
      </c>
      <c r="D1135" t="s">
        <v>27</v>
      </c>
      <c r="E1135" t="s">
        <v>28</v>
      </c>
      <c r="F1135">
        <v>1790.31</v>
      </c>
      <c r="G1135" t="s">
        <v>31</v>
      </c>
      <c r="H1135" t="s">
        <v>15</v>
      </c>
      <c r="I1135">
        <v>2.7</v>
      </c>
      <c r="J1135">
        <v>18</v>
      </c>
      <c r="K1135">
        <v>4</v>
      </c>
    </row>
    <row r="1136" spans="1:11" x14ac:dyDescent="0.35">
      <c r="A1136">
        <v>1135</v>
      </c>
      <c r="B1136">
        <v>43</v>
      </c>
      <c r="C1136" t="s">
        <v>16</v>
      </c>
      <c r="D1136" t="s">
        <v>20</v>
      </c>
      <c r="E1136" t="s">
        <v>21</v>
      </c>
      <c r="F1136">
        <v>86.47</v>
      </c>
      <c r="G1136" t="s">
        <v>24</v>
      </c>
      <c r="H1136" t="s">
        <v>15</v>
      </c>
      <c r="I1136">
        <v>3</v>
      </c>
      <c r="J1136">
        <v>25</v>
      </c>
      <c r="K1136">
        <v>10</v>
      </c>
    </row>
    <row r="1137" spans="1:11" x14ac:dyDescent="0.35">
      <c r="A1137">
        <v>1136</v>
      </c>
      <c r="B1137">
        <v>41</v>
      </c>
      <c r="C1137" t="s">
        <v>11</v>
      </c>
      <c r="D1137" t="s">
        <v>33</v>
      </c>
      <c r="E1137" t="s">
        <v>40</v>
      </c>
      <c r="F1137">
        <v>215.58</v>
      </c>
      <c r="G1137" t="s">
        <v>14</v>
      </c>
      <c r="H1137" t="s">
        <v>15</v>
      </c>
      <c r="I1137">
        <v>4.0999999999999996</v>
      </c>
      <c r="J1137">
        <v>21</v>
      </c>
      <c r="K1137">
        <v>8</v>
      </c>
    </row>
    <row r="1138" spans="1:11" x14ac:dyDescent="0.35">
      <c r="A1138">
        <v>1137</v>
      </c>
      <c r="B1138">
        <v>52</v>
      </c>
      <c r="C1138" t="s">
        <v>11</v>
      </c>
      <c r="D1138" t="s">
        <v>12</v>
      </c>
      <c r="E1138" t="s">
        <v>50</v>
      </c>
      <c r="F1138">
        <v>51.85</v>
      </c>
      <c r="G1138" t="s">
        <v>31</v>
      </c>
      <c r="H1138" t="s">
        <v>15</v>
      </c>
      <c r="I1138">
        <v>3.5</v>
      </c>
      <c r="J1138">
        <v>20</v>
      </c>
      <c r="K1138">
        <v>5</v>
      </c>
    </row>
    <row r="1139" spans="1:11" x14ac:dyDescent="0.35">
      <c r="A1139">
        <v>1138</v>
      </c>
      <c r="B1139">
        <v>45</v>
      </c>
      <c r="C1139" t="s">
        <v>16</v>
      </c>
      <c r="D1139" t="s">
        <v>25</v>
      </c>
      <c r="E1139" t="s">
        <v>26</v>
      </c>
      <c r="F1139">
        <v>13.27</v>
      </c>
      <c r="G1139" t="s">
        <v>31</v>
      </c>
      <c r="H1139" t="s">
        <v>37</v>
      </c>
      <c r="I1139">
        <v>5</v>
      </c>
      <c r="J1139">
        <v>24</v>
      </c>
      <c r="K1139">
        <v>7</v>
      </c>
    </row>
    <row r="1140" spans="1:11" x14ac:dyDescent="0.35">
      <c r="A1140">
        <v>1139</v>
      </c>
      <c r="B1140">
        <v>66</v>
      </c>
      <c r="C1140" t="s">
        <v>16</v>
      </c>
      <c r="D1140" t="s">
        <v>27</v>
      </c>
      <c r="E1140" t="s">
        <v>32</v>
      </c>
      <c r="F1140">
        <v>1457.42</v>
      </c>
      <c r="G1140" t="s">
        <v>24</v>
      </c>
      <c r="H1140" t="s">
        <v>15</v>
      </c>
      <c r="I1140">
        <v>2.7</v>
      </c>
      <c r="J1140">
        <v>11</v>
      </c>
      <c r="K1140">
        <v>3</v>
      </c>
    </row>
    <row r="1141" spans="1:11" x14ac:dyDescent="0.35">
      <c r="A1141">
        <v>1140</v>
      </c>
      <c r="B1141">
        <v>20</v>
      </c>
      <c r="C1141" t="s">
        <v>16</v>
      </c>
      <c r="D1141" t="s">
        <v>27</v>
      </c>
      <c r="E1141" t="s">
        <v>53</v>
      </c>
      <c r="F1141">
        <v>1172.26</v>
      </c>
      <c r="G1141" t="s">
        <v>14</v>
      </c>
      <c r="H1141" t="s">
        <v>15</v>
      </c>
      <c r="I1141">
        <v>2.9</v>
      </c>
      <c r="J1141">
        <v>14</v>
      </c>
      <c r="K1141">
        <v>2</v>
      </c>
    </row>
    <row r="1142" spans="1:11" x14ac:dyDescent="0.35">
      <c r="A1142">
        <v>1141</v>
      </c>
      <c r="B1142">
        <v>48</v>
      </c>
      <c r="C1142" t="s">
        <v>11</v>
      </c>
      <c r="D1142" t="s">
        <v>41</v>
      </c>
      <c r="E1142" t="s">
        <v>46</v>
      </c>
      <c r="F1142">
        <v>188.55</v>
      </c>
      <c r="G1142" t="s">
        <v>14</v>
      </c>
      <c r="H1142" t="s">
        <v>15</v>
      </c>
      <c r="I1142">
        <v>4.7</v>
      </c>
      <c r="J1142">
        <v>13</v>
      </c>
      <c r="K1142">
        <v>4</v>
      </c>
    </row>
    <row r="1143" spans="1:11" x14ac:dyDescent="0.35">
      <c r="A1143">
        <v>1142</v>
      </c>
      <c r="B1143">
        <v>48</v>
      </c>
      <c r="C1143" t="s">
        <v>11</v>
      </c>
      <c r="D1143" t="s">
        <v>41</v>
      </c>
      <c r="E1143" t="s">
        <v>44</v>
      </c>
      <c r="F1143">
        <v>188.22</v>
      </c>
      <c r="G1143" t="s">
        <v>24</v>
      </c>
      <c r="H1143" t="s">
        <v>15</v>
      </c>
      <c r="I1143">
        <v>2.7</v>
      </c>
      <c r="J1143">
        <v>15</v>
      </c>
      <c r="K1143">
        <v>5</v>
      </c>
    </row>
    <row r="1144" spans="1:11" x14ac:dyDescent="0.35">
      <c r="A1144">
        <v>1143</v>
      </c>
      <c r="B1144">
        <v>27</v>
      </c>
      <c r="C1144" t="s">
        <v>11</v>
      </c>
      <c r="D1144" t="s">
        <v>41</v>
      </c>
      <c r="E1144" t="s">
        <v>45</v>
      </c>
      <c r="F1144">
        <v>90.74</v>
      </c>
      <c r="G1144" t="s">
        <v>24</v>
      </c>
      <c r="H1144" t="s">
        <v>37</v>
      </c>
      <c r="I1144">
        <v>2.8</v>
      </c>
      <c r="J1144">
        <v>22</v>
      </c>
      <c r="K1144">
        <v>6</v>
      </c>
    </row>
    <row r="1145" spans="1:11" x14ac:dyDescent="0.35">
      <c r="A1145">
        <v>1144</v>
      </c>
      <c r="B1145">
        <v>59</v>
      </c>
      <c r="C1145" t="s">
        <v>11</v>
      </c>
      <c r="D1145" t="s">
        <v>33</v>
      </c>
      <c r="E1145" t="s">
        <v>34</v>
      </c>
      <c r="F1145">
        <v>69.569999999999993</v>
      </c>
      <c r="G1145" t="s">
        <v>19</v>
      </c>
      <c r="H1145" t="s">
        <v>37</v>
      </c>
      <c r="I1145">
        <v>5</v>
      </c>
      <c r="J1145">
        <v>20</v>
      </c>
      <c r="K1145">
        <v>5</v>
      </c>
    </row>
    <row r="1146" spans="1:11" x14ac:dyDescent="0.35">
      <c r="A1146">
        <v>1145</v>
      </c>
      <c r="B1146">
        <v>56</v>
      </c>
      <c r="C1146" t="s">
        <v>16</v>
      </c>
      <c r="D1146" t="s">
        <v>27</v>
      </c>
      <c r="E1146" t="s">
        <v>28</v>
      </c>
      <c r="F1146">
        <v>2953.85</v>
      </c>
      <c r="G1146" t="s">
        <v>24</v>
      </c>
      <c r="H1146" t="s">
        <v>15</v>
      </c>
      <c r="I1146">
        <v>4.2</v>
      </c>
      <c r="J1146">
        <v>18</v>
      </c>
      <c r="K1146">
        <v>4</v>
      </c>
    </row>
    <row r="1147" spans="1:11" x14ac:dyDescent="0.35">
      <c r="A1147">
        <v>1146</v>
      </c>
      <c r="B1147">
        <v>23</v>
      </c>
      <c r="C1147" t="s">
        <v>16</v>
      </c>
      <c r="D1147" t="s">
        <v>33</v>
      </c>
      <c r="E1147" t="s">
        <v>40</v>
      </c>
      <c r="F1147">
        <v>224.71</v>
      </c>
      <c r="G1147" t="s">
        <v>24</v>
      </c>
      <c r="H1147" t="s">
        <v>15</v>
      </c>
      <c r="I1147">
        <v>4.5999999999999996</v>
      </c>
      <c r="J1147">
        <v>22</v>
      </c>
      <c r="K1147">
        <v>6</v>
      </c>
    </row>
    <row r="1148" spans="1:11" x14ac:dyDescent="0.35">
      <c r="A1148">
        <v>1147</v>
      </c>
      <c r="B1148">
        <v>32</v>
      </c>
      <c r="C1148" t="s">
        <v>11</v>
      </c>
      <c r="D1148" t="s">
        <v>12</v>
      </c>
      <c r="E1148" t="s">
        <v>56</v>
      </c>
      <c r="F1148">
        <v>53.71</v>
      </c>
      <c r="G1148" t="s">
        <v>14</v>
      </c>
      <c r="H1148" t="s">
        <v>37</v>
      </c>
      <c r="I1148">
        <v>3.2</v>
      </c>
      <c r="J1148">
        <v>21</v>
      </c>
      <c r="K1148">
        <v>8</v>
      </c>
    </row>
    <row r="1149" spans="1:11" x14ac:dyDescent="0.35">
      <c r="A1149">
        <v>1148</v>
      </c>
      <c r="B1149">
        <v>43</v>
      </c>
      <c r="C1149" t="s">
        <v>11</v>
      </c>
      <c r="D1149" t="s">
        <v>20</v>
      </c>
      <c r="E1149" t="s">
        <v>39</v>
      </c>
      <c r="F1149">
        <v>38.869999999999997</v>
      </c>
      <c r="G1149" t="s">
        <v>24</v>
      </c>
      <c r="H1149" t="s">
        <v>37</v>
      </c>
      <c r="I1149">
        <v>4</v>
      </c>
      <c r="J1149">
        <v>16</v>
      </c>
      <c r="K1149">
        <v>8</v>
      </c>
    </row>
    <row r="1150" spans="1:11" x14ac:dyDescent="0.35">
      <c r="A1150">
        <v>1149</v>
      </c>
      <c r="B1150">
        <v>55</v>
      </c>
      <c r="C1150" t="s">
        <v>11</v>
      </c>
      <c r="D1150" t="s">
        <v>22</v>
      </c>
      <c r="E1150" t="s">
        <v>23</v>
      </c>
      <c r="F1150">
        <v>200.15</v>
      </c>
      <c r="G1150" t="s">
        <v>31</v>
      </c>
      <c r="H1150" t="s">
        <v>15</v>
      </c>
      <c r="I1150">
        <v>4.7</v>
      </c>
      <c r="J1150">
        <v>26</v>
      </c>
      <c r="K1150">
        <v>8</v>
      </c>
    </row>
    <row r="1151" spans="1:11" x14ac:dyDescent="0.35">
      <c r="A1151">
        <v>1150</v>
      </c>
      <c r="B1151">
        <v>36</v>
      </c>
      <c r="C1151" t="s">
        <v>11</v>
      </c>
      <c r="D1151" t="s">
        <v>33</v>
      </c>
      <c r="E1151" t="s">
        <v>40</v>
      </c>
      <c r="F1151">
        <v>207.62</v>
      </c>
      <c r="G1151" t="s">
        <v>31</v>
      </c>
      <c r="H1151" t="s">
        <v>15</v>
      </c>
      <c r="I1151">
        <v>4</v>
      </c>
      <c r="J1151">
        <v>21</v>
      </c>
      <c r="K1151">
        <v>8</v>
      </c>
    </row>
    <row r="1152" spans="1:11" x14ac:dyDescent="0.35">
      <c r="A1152">
        <v>1151</v>
      </c>
      <c r="B1152">
        <v>24</v>
      </c>
      <c r="C1152" t="s">
        <v>16</v>
      </c>
      <c r="D1152" t="s">
        <v>33</v>
      </c>
      <c r="E1152" t="s">
        <v>40</v>
      </c>
      <c r="F1152">
        <v>221.11</v>
      </c>
      <c r="G1152" t="s">
        <v>31</v>
      </c>
      <c r="H1152" t="s">
        <v>15</v>
      </c>
      <c r="I1152">
        <v>3.1</v>
      </c>
      <c r="J1152">
        <v>11</v>
      </c>
      <c r="K1152">
        <v>3</v>
      </c>
    </row>
    <row r="1153" spans="1:11" x14ac:dyDescent="0.35">
      <c r="A1153">
        <v>1152</v>
      </c>
      <c r="B1153">
        <v>42</v>
      </c>
      <c r="C1153" t="s">
        <v>11</v>
      </c>
      <c r="D1153" t="s">
        <v>41</v>
      </c>
      <c r="E1153" t="s">
        <v>46</v>
      </c>
      <c r="F1153">
        <v>49.43</v>
      </c>
      <c r="G1153" t="s">
        <v>24</v>
      </c>
      <c r="H1153" t="s">
        <v>37</v>
      </c>
      <c r="I1153">
        <v>4.9000000000000004</v>
      </c>
      <c r="J1153">
        <v>8</v>
      </c>
      <c r="K1153">
        <v>4</v>
      </c>
    </row>
    <row r="1154" spans="1:11" x14ac:dyDescent="0.35">
      <c r="A1154">
        <v>1153</v>
      </c>
      <c r="B1154">
        <v>44</v>
      </c>
      <c r="C1154" t="s">
        <v>16</v>
      </c>
      <c r="D1154" t="s">
        <v>27</v>
      </c>
      <c r="E1154" t="s">
        <v>53</v>
      </c>
      <c r="F1154">
        <v>1549.6</v>
      </c>
      <c r="G1154" t="s">
        <v>24</v>
      </c>
      <c r="H1154" t="s">
        <v>15</v>
      </c>
      <c r="I1154">
        <v>3.1</v>
      </c>
      <c r="J1154">
        <v>14</v>
      </c>
      <c r="K1154">
        <v>7</v>
      </c>
    </row>
    <row r="1155" spans="1:11" x14ac:dyDescent="0.35">
      <c r="A1155">
        <v>1154</v>
      </c>
      <c r="B1155">
        <v>48</v>
      </c>
      <c r="C1155" t="s">
        <v>11</v>
      </c>
      <c r="D1155" t="s">
        <v>33</v>
      </c>
      <c r="E1155" t="s">
        <v>40</v>
      </c>
      <c r="F1155">
        <v>113.07</v>
      </c>
      <c r="G1155" t="s">
        <v>14</v>
      </c>
      <c r="H1155" t="s">
        <v>15</v>
      </c>
      <c r="I1155">
        <v>2.5</v>
      </c>
      <c r="J1155">
        <v>9</v>
      </c>
      <c r="K1155">
        <v>2</v>
      </c>
    </row>
    <row r="1156" spans="1:11" x14ac:dyDescent="0.35">
      <c r="A1156">
        <v>1155</v>
      </c>
      <c r="B1156">
        <v>52</v>
      </c>
      <c r="C1156" t="s">
        <v>11</v>
      </c>
      <c r="D1156" t="s">
        <v>29</v>
      </c>
      <c r="E1156" t="s">
        <v>51</v>
      </c>
      <c r="F1156">
        <v>53.48</v>
      </c>
      <c r="G1156" t="s">
        <v>31</v>
      </c>
      <c r="H1156" t="s">
        <v>37</v>
      </c>
      <c r="I1156">
        <v>5</v>
      </c>
      <c r="J1156">
        <v>12</v>
      </c>
      <c r="K1156">
        <v>6</v>
      </c>
    </row>
    <row r="1157" spans="1:11" x14ac:dyDescent="0.35">
      <c r="A1157">
        <v>1156</v>
      </c>
      <c r="B1157">
        <v>56</v>
      </c>
      <c r="C1157" t="s">
        <v>16</v>
      </c>
      <c r="D1157" t="s">
        <v>17</v>
      </c>
      <c r="E1157" t="s">
        <v>35</v>
      </c>
      <c r="F1157">
        <v>75.17</v>
      </c>
      <c r="G1157" t="s">
        <v>19</v>
      </c>
      <c r="H1157" t="s">
        <v>37</v>
      </c>
      <c r="I1157">
        <v>3.7</v>
      </c>
      <c r="J1157">
        <v>8</v>
      </c>
      <c r="K1157">
        <v>4</v>
      </c>
    </row>
    <row r="1158" spans="1:11" x14ac:dyDescent="0.35">
      <c r="A1158">
        <v>1157</v>
      </c>
      <c r="B1158">
        <v>33</v>
      </c>
      <c r="C1158" t="s">
        <v>11</v>
      </c>
      <c r="D1158" t="s">
        <v>12</v>
      </c>
      <c r="E1158" t="s">
        <v>56</v>
      </c>
      <c r="F1158">
        <v>166.03</v>
      </c>
      <c r="G1158" t="s">
        <v>19</v>
      </c>
      <c r="H1158" t="s">
        <v>15</v>
      </c>
      <c r="I1158">
        <v>3.8</v>
      </c>
      <c r="J1158">
        <v>16</v>
      </c>
      <c r="K1158">
        <v>8</v>
      </c>
    </row>
    <row r="1159" spans="1:11" x14ac:dyDescent="0.35">
      <c r="A1159">
        <v>1158</v>
      </c>
      <c r="B1159">
        <v>58</v>
      </c>
      <c r="C1159" t="s">
        <v>16</v>
      </c>
      <c r="D1159" t="s">
        <v>17</v>
      </c>
      <c r="E1159" t="s">
        <v>18</v>
      </c>
      <c r="F1159">
        <v>103.75</v>
      </c>
      <c r="G1159" t="s">
        <v>14</v>
      </c>
      <c r="H1159" t="s">
        <v>15</v>
      </c>
      <c r="I1159">
        <v>3.4</v>
      </c>
      <c r="J1159">
        <v>17</v>
      </c>
      <c r="K1159">
        <v>6</v>
      </c>
    </row>
    <row r="1160" spans="1:11" x14ac:dyDescent="0.35">
      <c r="A1160">
        <v>1159</v>
      </c>
      <c r="B1160">
        <v>31</v>
      </c>
      <c r="C1160" t="s">
        <v>11</v>
      </c>
      <c r="D1160" t="s">
        <v>12</v>
      </c>
      <c r="E1160" t="s">
        <v>13</v>
      </c>
      <c r="F1160">
        <v>45.34</v>
      </c>
      <c r="G1160" t="s">
        <v>31</v>
      </c>
      <c r="H1160" t="s">
        <v>37</v>
      </c>
      <c r="I1160">
        <v>3.2</v>
      </c>
      <c r="J1160">
        <v>20</v>
      </c>
      <c r="K1160">
        <v>10</v>
      </c>
    </row>
    <row r="1161" spans="1:11" x14ac:dyDescent="0.35">
      <c r="A1161">
        <v>1160</v>
      </c>
      <c r="B1161">
        <v>41</v>
      </c>
      <c r="C1161" t="s">
        <v>16</v>
      </c>
      <c r="D1161" t="s">
        <v>17</v>
      </c>
      <c r="E1161" t="s">
        <v>48</v>
      </c>
      <c r="F1161">
        <v>122.83</v>
      </c>
      <c r="G1161" t="s">
        <v>24</v>
      </c>
      <c r="H1161" t="s">
        <v>15</v>
      </c>
      <c r="I1161">
        <v>3.7</v>
      </c>
      <c r="J1161">
        <v>22</v>
      </c>
      <c r="K1161">
        <v>6</v>
      </c>
    </row>
    <row r="1162" spans="1:11" x14ac:dyDescent="0.35">
      <c r="A1162">
        <v>1161</v>
      </c>
      <c r="B1162">
        <v>65</v>
      </c>
      <c r="C1162" t="s">
        <v>16</v>
      </c>
      <c r="D1162" t="s">
        <v>33</v>
      </c>
      <c r="E1162" t="s">
        <v>34</v>
      </c>
      <c r="F1162">
        <v>77.34</v>
      </c>
      <c r="G1162" t="s">
        <v>31</v>
      </c>
      <c r="H1162" t="s">
        <v>37</v>
      </c>
      <c r="I1162">
        <v>4.8</v>
      </c>
      <c r="J1162">
        <v>6</v>
      </c>
      <c r="K1162">
        <v>3</v>
      </c>
    </row>
    <row r="1163" spans="1:11" x14ac:dyDescent="0.35">
      <c r="A1163">
        <v>1162</v>
      </c>
      <c r="B1163">
        <v>46</v>
      </c>
      <c r="C1163" t="s">
        <v>16</v>
      </c>
      <c r="D1163" t="s">
        <v>27</v>
      </c>
      <c r="E1163" t="s">
        <v>49</v>
      </c>
      <c r="F1163">
        <v>2424.09</v>
      </c>
      <c r="G1163" t="s">
        <v>24</v>
      </c>
      <c r="H1163" t="s">
        <v>15</v>
      </c>
      <c r="I1163">
        <v>3.6</v>
      </c>
      <c r="J1163">
        <v>18</v>
      </c>
      <c r="K1163">
        <v>4</v>
      </c>
    </row>
    <row r="1164" spans="1:11" x14ac:dyDescent="0.35">
      <c r="A1164">
        <v>1163</v>
      </c>
      <c r="B1164">
        <v>30</v>
      </c>
      <c r="C1164" t="s">
        <v>16</v>
      </c>
      <c r="D1164" t="s">
        <v>25</v>
      </c>
      <c r="E1164" t="s">
        <v>54</v>
      </c>
      <c r="F1164">
        <v>25.43</v>
      </c>
      <c r="G1164" t="s">
        <v>19</v>
      </c>
      <c r="H1164" t="s">
        <v>37</v>
      </c>
      <c r="I1164">
        <v>4.3</v>
      </c>
      <c r="J1164">
        <v>6</v>
      </c>
      <c r="K1164">
        <v>3</v>
      </c>
    </row>
    <row r="1165" spans="1:11" x14ac:dyDescent="0.35">
      <c r="A1165">
        <v>1164</v>
      </c>
      <c r="B1165">
        <v>62</v>
      </c>
      <c r="C1165" t="s">
        <v>16</v>
      </c>
      <c r="D1165" t="s">
        <v>27</v>
      </c>
      <c r="E1165" t="s">
        <v>53</v>
      </c>
      <c r="F1165">
        <v>603.16999999999996</v>
      </c>
      <c r="G1165" t="s">
        <v>19</v>
      </c>
      <c r="H1165" t="s">
        <v>15</v>
      </c>
      <c r="I1165">
        <v>2.9</v>
      </c>
      <c r="J1165">
        <v>16</v>
      </c>
      <c r="K1165">
        <v>8</v>
      </c>
    </row>
    <row r="1166" spans="1:11" x14ac:dyDescent="0.35">
      <c r="A1166">
        <v>1165</v>
      </c>
      <c r="B1166">
        <v>22</v>
      </c>
      <c r="C1166" t="s">
        <v>11</v>
      </c>
      <c r="D1166" t="s">
        <v>29</v>
      </c>
      <c r="E1166" t="s">
        <v>30</v>
      </c>
      <c r="F1166">
        <v>80.91</v>
      </c>
      <c r="G1166" t="s">
        <v>14</v>
      </c>
      <c r="H1166" t="s">
        <v>15</v>
      </c>
      <c r="I1166">
        <v>5</v>
      </c>
      <c r="J1166">
        <v>20</v>
      </c>
      <c r="K1166">
        <v>5</v>
      </c>
    </row>
    <row r="1167" spans="1:11" x14ac:dyDescent="0.35">
      <c r="A1167">
        <v>1166</v>
      </c>
      <c r="B1167">
        <v>22</v>
      </c>
      <c r="C1167" t="s">
        <v>16</v>
      </c>
      <c r="D1167" t="s">
        <v>27</v>
      </c>
      <c r="E1167" t="s">
        <v>28</v>
      </c>
      <c r="F1167">
        <v>542.16</v>
      </c>
      <c r="G1167" t="s">
        <v>14</v>
      </c>
      <c r="H1167" t="s">
        <v>15</v>
      </c>
      <c r="I1167">
        <v>3.5</v>
      </c>
      <c r="J1167">
        <v>9</v>
      </c>
      <c r="K1167">
        <v>2</v>
      </c>
    </row>
    <row r="1168" spans="1:11" x14ac:dyDescent="0.35">
      <c r="A1168">
        <v>1167</v>
      </c>
      <c r="B1168">
        <v>51</v>
      </c>
      <c r="C1168" t="s">
        <v>16</v>
      </c>
      <c r="D1168" t="s">
        <v>27</v>
      </c>
      <c r="E1168" t="s">
        <v>49</v>
      </c>
      <c r="F1168">
        <v>1413.04</v>
      </c>
      <c r="G1168" t="s">
        <v>14</v>
      </c>
      <c r="H1168" t="s">
        <v>15</v>
      </c>
      <c r="I1168">
        <v>3.3</v>
      </c>
      <c r="J1168">
        <v>13</v>
      </c>
      <c r="K1168">
        <v>4</v>
      </c>
    </row>
    <row r="1169" spans="1:11" x14ac:dyDescent="0.35">
      <c r="A1169">
        <v>1168</v>
      </c>
      <c r="B1169">
        <v>37</v>
      </c>
      <c r="C1169" t="s">
        <v>11</v>
      </c>
      <c r="D1169" t="s">
        <v>25</v>
      </c>
      <c r="E1169" t="s">
        <v>26</v>
      </c>
      <c r="F1169">
        <v>47.92</v>
      </c>
      <c r="G1169" t="s">
        <v>31</v>
      </c>
      <c r="H1169" t="s">
        <v>37</v>
      </c>
      <c r="I1169">
        <v>3.9</v>
      </c>
      <c r="J1169">
        <v>20</v>
      </c>
      <c r="K1169">
        <v>5</v>
      </c>
    </row>
    <row r="1170" spans="1:11" x14ac:dyDescent="0.35">
      <c r="A1170">
        <v>1169</v>
      </c>
      <c r="B1170">
        <v>59</v>
      </c>
      <c r="C1170" t="s">
        <v>11</v>
      </c>
      <c r="D1170" t="s">
        <v>12</v>
      </c>
      <c r="E1170" t="s">
        <v>56</v>
      </c>
      <c r="F1170">
        <v>93.12</v>
      </c>
      <c r="G1170" t="s">
        <v>31</v>
      </c>
      <c r="H1170" t="s">
        <v>37</v>
      </c>
      <c r="I1170">
        <v>4.2</v>
      </c>
      <c r="J1170">
        <v>22</v>
      </c>
      <c r="K1170">
        <v>6</v>
      </c>
    </row>
    <row r="1171" spans="1:11" x14ac:dyDescent="0.35">
      <c r="A1171">
        <v>1170</v>
      </c>
      <c r="B1171">
        <v>48</v>
      </c>
      <c r="C1171" t="s">
        <v>11</v>
      </c>
      <c r="D1171" t="s">
        <v>20</v>
      </c>
      <c r="E1171" t="s">
        <v>21</v>
      </c>
      <c r="F1171">
        <v>58.09</v>
      </c>
      <c r="G1171" t="s">
        <v>14</v>
      </c>
      <c r="H1171" t="s">
        <v>15</v>
      </c>
      <c r="I1171">
        <v>3.4</v>
      </c>
      <c r="J1171">
        <v>11</v>
      </c>
      <c r="K1171">
        <v>3</v>
      </c>
    </row>
    <row r="1172" spans="1:11" x14ac:dyDescent="0.35">
      <c r="A1172">
        <v>1171</v>
      </c>
      <c r="B1172">
        <v>48</v>
      </c>
      <c r="C1172" t="s">
        <v>16</v>
      </c>
      <c r="D1172" t="s">
        <v>27</v>
      </c>
      <c r="E1172" t="s">
        <v>49</v>
      </c>
      <c r="F1172">
        <v>1992.41</v>
      </c>
      <c r="G1172" t="s">
        <v>31</v>
      </c>
      <c r="H1172" t="s">
        <v>15</v>
      </c>
      <c r="I1172">
        <v>4.4000000000000004</v>
      </c>
      <c r="J1172">
        <v>16</v>
      </c>
      <c r="K1172">
        <v>3</v>
      </c>
    </row>
    <row r="1173" spans="1:11" x14ac:dyDescent="0.35">
      <c r="A1173">
        <v>1172</v>
      </c>
      <c r="B1173">
        <v>58</v>
      </c>
      <c r="C1173" t="s">
        <v>16</v>
      </c>
      <c r="D1173" t="s">
        <v>20</v>
      </c>
      <c r="E1173" t="s">
        <v>39</v>
      </c>
      <c r="F1173">
        <v>137.08000000000001</v>
      </c>
      <c r="G1173" t="s">
        <v>24</v>
      </c>
      <c r="H1173" t="s">
        <v>15</v>
      </c>
      <c r="I1173">
        <v>3.1</v>
      </c>
      <c r="J1173">
        <v>28</v>
      </c>
      <c r="K1173">
        <v>9</v>
      </c>
    </row>
    <row r="1174" spans="1:11" x14ac:dyDescent="0.35">
      <c r="A1174">
        <v>1173</v>
      </c>
      <c r="B1174">
        <v>33</v>
      </c>
      <c r="C1174" t="s">
        <v>16</v>
      </c>
      <c r="D1174" t="s">
        <v>25</v>
      </c>
      <c r="E1174" t="s">
        <v>47</v>
      </c>
      <c r="F1174">
        <v>7.64</v>
      </c>
      <c r="G1174" t="s">
        <v>19</v>
      </c>
      <c r="H1174" t="s">
        <v>15</v>
      </c>
      <c r="I1174">
        <v>3.6</v>
      </c>
      <c r="J1174">
        <v>4</v>
      </c>
      <c r="K1174">
        <v>2</v>
      </c>
    </row>
    <row r="1175" spans="1:11" x14ac:dyDescent="0.35">
      <c r="A1175">
        <v>1174</v>
      </c>
      <c r="B1175">
        <v>20</v>
      </c>
      <c r="C1175" t="s">
        <v>16</v>
      </c>
      <c r="D1175" t="s">
        <v>27</v>
      </c>
      <c r="E1175" t="s">
        <v>49</v>
      </c>
      <c r="F1175">
        <v>1333.64</v>
      </c>
      <c r="G1175" t="s">
        <v>31</v>
      </c>
      <c r="H1175" t="s">
        <v>15</v>
      </c>
      <c r="I1175">
        <v>2.7</v>
      </c>
      <c r="J1175">
        <v>10</v>
      </c>
      <c r="K1175">
        <v>5</v>
      </c>
    </row>
    <row r="1176" spans="1:11" x14ac:dyDescent="0.35">
      <c r="A1176">
        <v>1175</v>
      </c>
      <c r="B1176">
        <v>23</v>
      </c>
      <c r="C1176" t="s">
        <v>16</v>
      </c>
      <c r="D1176" t="s">
        <v>17</v>
      </c>
      <c r="E1176" t="s">
        <v>48</v>
      </c>
      <c r="F1176">
        <v>58.77</v>
      </c>
      <c r="G1176" t="s">
        <v>24</v>
      </c>
      <c r="H1176" t="s">
        <v>37</v>
      </c>
      <c r="I1176">
        <v>3.1</v>
      </c>
      <c r="J1176">
        <v>10</v>
      </c>
      <c r="K1176">
        <v>5</v>
      </c>
    </row>
    <row r="1177" spans="1:11" x14ac:dyDescent="0.35">
      <c r="A1177">
        <v>1176</v>
      </c>
      <c r="B1177">
        <v>64</v>
      </c>
      <c r="C1177" t="s">
        <v>11</v>
      </c>
      <c r="D1177" t="s">
        <v>33</v>
      </c>
      <c r="E1177" t="s">
        <v>34</v>
      </c>
      <c r="F1177">
        <v>42.22</v>
      </c>
      <c r="G1177" t="s">
        <v>19</v>
      </c>
      <c r="H1177" t="s">
        <v>15</v>
      </c>
      <c r="I1177">
        <v>3.9</v>
      </c>
      <c r="J1177">
        <v>17</v>
      </c>
      <c r="K1177">
        <v>6</v>
      </c>
    </row>
    <row r="1178" spans="1:11" x14ac:dyDescent="0.35">
      <c r="A1178">
        <v>1177</v>
      </c>
      <c r="B1178">
        <v>66</v>
      </c>
      <c r="C1178" t="s">
        <v>16</v>
      </c>
      <c r="D1178" t="s">
        <v>33</v>
      </c>
      <c r="E1178" t="s">
        <v>34</v>
      </c>
      <c r="F1178">
        <v>158.22</v>
      </c>
      <c r="G1178" t="s">
        <v>31</v>
      </c>
      <c r="H1178" t="s">
        <v>15</v>
      </c>
      <c r="I1178">
        <v>2.8</v>
      </c>
      <c r="J1178">
        <v>11</v>
      </c>
      <c r="K1178">
        <v>3</v>
      </c>
    </row>
    <row r="1179" spans="1:11" x14ac:dyDescent="0.35">
      <c r="A1179">
        <v>1178</v>
      </c>
      <c r="B1179">
        <v>55</v>
      </c>
      <c r="C1179" t="s">
        <v>16</v>
      </c>
      <c r="D1179" t="s">
        <v>33</v>
      </c>
      <c r="E1179" t="s">
        <v>40</v>
      </c>
      <c r="F1179">
        <v>77.33</v>
      </c>
      <c r="G1179" t="s">
        <v>14</v>
      </c>
      <c r="H1179" t="s">
        <v>37</v>
      </c>
      <c r="I1179">
        <v>3.6</v>
      </c>
      <c r="J1179">
        <v>15</v>
      </c>
      <c r="K1179">
        <v>5</v>
      </c>
    </row>
    <row r="1180" spans="1:11" x14ac:dyDescent="0.35">
      <c r="A1180">
        <v>1179</v>
      </c>
      <c r="B1180">
        <v>29</v>
      </c>
      <c r="C1180" t="s">
        <v>16</v>
      </c>
      <c r="D1180" t="s">
        <v>22</v>
      </c>
      <c r="E1180" t="s">
        <v>23</v>
      </c>
      <c r="F1180">
        <v>255.41</v>
      </c>
      <c r="G1180" t="s">
        <v>31</v>
      </c>
      <c r="H1180" t="s">
        <v>15</v>
      </c>
      <c r="I1180">
        <v>4.5999999999999996</v>
      </c>
      <c r="J1180">
        <v>24</v>
      </c>
      <c r="K1180">
        <v>7</v>
      </c>
    </row>
    <row r="1181" spans="1:11" x14ac:dyDescent="0.35">
      <c r="A1181">
        <v>1180</v>
      </c>
      <c r="B1181">
        <v>39</v>
      </c>
      <c r="C1181" t="s">
        <v>16</v>
      </c>
      <c r="D1181" t="s">
        <v>20</v>
      </c>
      <c r="E1181" t="s">
        <v>36</v>
      </c>
      <c r="F1181">
        <v>241.39</v>
      </c>
      <c r="G1181" t="s">
        <v>19</v>
      </c>
      <c r="H1181" t="s">
        <v>15</v>
      </c>
      <c r="I1181">
        <v>2.1</v>
      </c>
      <c r="J1181">
        <v>18</v>
      </c>
      <c r="K1181">
        <v>9</v>
      </c>
    </row>
    <row r="1182" spans="1:11" x14ac:dyDescent="0.35">
      <c r="A1182">
        <v>1181</v>
      </c>
      <c r="B1182">
        <v>67</v>
      </c>
      <c r="C1182" t="s">
        <v>16</v>
      </c>
      <c r="D1182" t="s">
        <v>20</v>
      </c>
      <c r="E1182" t="s">
        <v>39</v>
      </c>
      <c r="F1182">
        <v>141.33000000000001</v>
      </c>
      <c r="G1182" t="s">
        <v>24</v>
      </c>
      <c r="H1182" t="s">
        <v>15</v>
      </c>
      <c r="I1182">
        <v>5</v>
      </c>
      <c r="J1182">
        <v>24</v>
      </c>
      <c r="K1182">
        <v>7</v>
      </c>
    </row>
    <row r="1183" spans="1:11" x14ac:dyDescent="0.35">
      <c r="A1183">
        <v>1182</v>
      </c>
      <c r="B1183">
        <v>29</v>
      </c>
      <c r="C1183" t="s">
        <v>11</v>
      </c>
      <c r="D1183" t="s">
        <v>33</v>
      </c>
      <c r="E1183" t="s">
        <v>40</v>
      </c>
      <c r="F1183">
        <v>78.349999999999994</v>
      </c>
      <c r="G1183" t="s">
        <v>31</v>
      </c>
      <c r="H1183" t="s">
        <v>37</v>
      </c>
      <c r="I1183">
        <v>3.8</v>
      </c>
      <c r="J1183">
        <v>16</v>
      </c>
      <c r="K1183">
        <v>3</v>
      </c>
    </row>
    <row r="1184" spans="1:11" x14ac:dyDescent="0.35">
      <c r="A1184">
        <v>1183</v>
      </c>
      <c r="B1184">
        <v>30</v>
      </c>
      <c r="C1184" t="s">
        <v>11</v>
      </c>
      <c r="D1184" t="s">
        <v>33</v>
      </c>
      <c r="E1184" t="s">
        <v>34</v>
      </c>
      <c r="F1184">
        <v>170.77</v>
      </c>
      <c r="G1184" t="s">
        <v>24</v>
      </c>
      <c r="H1184" t="s">
        <v>15</v>
      </c>
      <c r="I1184">
        <v>4.9000000000000004</v>
      </c>
      <c r="J1184">
        <v>11</v>
      </c>
      <c r="K1184">
        <v>3</v>
      </c>
    </row>
    <row r="1185" spans="1:11" x14ac:dyDescent="0.35">
      <c r="A1185">
        <v>1184</v>
      </c>
      <c r="B1185">
        <v>20</v>
      </c>
      <c r="C1185" t="s">
        <v>16</v>
      </c>
      <c r="D1185" t="s">
        <v>33</v>
      </c>
      <c r="E1185" t="s">
        <v>40</v>
      </c>
      <c r="F1185">
        <v>249.56</v>
      </c>
      <c r="G1185" t="s">
        <v>31</v>
      </c>
      <c r="H1185" t="s">
        <v>15</v>
      </c>
      <c r="I1185">
        <v>2.4</v>
      </c>
      <c r="J1185">
        <v>26</v>
      </c>
      <c r="K1185">
        <v>8</v>
      </c>
    </row>
    <row r="1186" spans="1:11" x14ac:dyDescent="0.35">
      <c r="A1186">
        <v>1185</v>
      </c>
      <c r="B1186">
        <v>44</v>
      </c>
      <c r="C1186" t="s">
        <v>11</v>
      </c>
      <c r="D1186" t="s">
        <v>29</v>
      </c>
      <c r="E1186" t="s">
        <v>55</v>
      </c>
      <c r="F1186">
        <v>69.64</v>
      </c>
      <c r="G1186" t="s">
        <v>31</v>
      </c>
      <c r="H1186" t="s">
        <v>37</v>
      </c>
      <c r="I1186">
        <v>2.7</v>
      </c>
      <c r="J1186">
        <v>10</v>
      </c>
      <c r="K1186">
        <v>5</v>
      </c>
    </row>
    <row r="1187" spans="1:11" x14ac:dyDescent="0.35">
      <c r="A1187">
        <v>1186</v>
      </c>
      <c r="B1187">
        <v>61</v>
      </c>
      <c r="C1187" t="s">
        <v>16</v>
      </c>
      <c r="D1187" t="s">
        <v>20</v>
      </c>
      <c r="E1187" t="s">
        <v>39</v>
      </c>
      <c r="F1187">
        <v>31.66</v>
      </c>
      <c r="G1187" t="s">
        <v>24</v>
      </c>
      <c r="H1187" t="s">
        <v>37</v>
      </c>
      <c r="I1187">
        <v>4</v>
      </c>
      <c r="J1187">
        <v>20</v>
      </c>
      <c r="K1187">
        <v>5</v>
      </c>
    </row>
    <row r="1188" spans="1:11" x14ac:dyDescent="0.35">
      <c r="A1188">
        <v>1187</v>
      </c>
      <c r="B1188">
        <v>25</v>
      </c>
      <c r="C1188" t="s">
        <v>11</v>
      </c>
      <c r="D1188" t="s">
        <v>29</v>
      </c>
      <c r="E1188" t="s">
        <v>55</v>
      </c>
      <c r="F1188">
        <v>56.01</v>
      </c>
      <c r="G1188" t="s">
        <v>19</v>
      </c>
      <c r="H1188" t="s">
        <v>37</v>
      </c>
      <c r="I1188">
        <v>3.1</v>
      </c>
      <c r="J1188">
        <v>10</v>
      </c>
      <c r="K1188">
        <v>5</v>
      </c>
    </row>
    <row r="1189" spans="1:11" x14ac:dyDescent="0.35">
      <c r="A1189">
        <v>1188</v>
      </c>
      <c r="B1189">
        <v>57</v>
      </c>
      <c r="C1189" t="s">
        <v>16</v>
      </c>
      <c r="D1189" t="s">
        <v>33</v>
      </c>
      <c r="E1189" t="s">
        <v>34</v>
      </c>
      <c r="F1189">
        <v>191.16</v>
      </c>
      <c r="G1189" t="s">
        <v>19</v>
      </c>
      <c r="H1189" t="s">
        <v>15</v>
      </c>
      <c r="I1189">
        <v>3.8</v>
      </c>
      <c r="J1189">
        <v>15</v>
      </c>
      <c r="K1189">
        <v>5</v>
      </c>
    </row>
    <row r="1190" spans="1:11" x14ac:dyDescent="0.35">
      <c r="A1190">
        <v>1189</v>
      </c>
      <c r="B1190">
        <v>32</v>
      </c>
      <c r="C1190" t="s">
        <v>11</v>
      </c>
      <c r="D1190" t="s">
        <v>33</v>
      </c>
      <c r="E1190" t="s">
        <v>34</v>
      </c>
      <c r="F1190">
        <v>200.69</v>
      </c>
      <c r="G1190" t="s">
        <v>31</v>
      </c>
      <c r="H1190" t="s">
        <v>15</v>
      </c>
      <c r="I1190">
        <v>3.9</v>
      </c>
      <c r="J1190">
        <v>10</v>
      </c>
      <c r="K1190">
        <v>5</v>
      </c>
    </row>
    <row r="1191" spans="1:11" x14ac:dyDescent="0.35">
      <c r="A1191">
        <v>1190</v>
      </c>
      <c r="B1191">
        <v>33</v>
      </c>
      <c r="C1191" t="s">
        <v>16</v>
      </c>
      <c r="D1191" t="s">
        <v>17</v>
      </c>
      <c r="E1191" t="s">
        <v>18</v>
      </c>
      <c r="F1191">
        <v>30.68</v>
      </c>
      <c r="G1191" t="s">
        <v>19</v>
      </c>
      <c r="H1191" t="s">
        <v>15</v>
      </c>
      <c r="I1191">
        <v>3.7</v>
      </c>
      <c r="J1191">
        <v>10</v>
      </c>
      <c r="K1191">
        <v>5</v>
      </c>
    </row>
    <row r="1192" spans="1:11" x14ac:dyDescent="0.35">
      <c r="A1192">
        <v>1191</v>
      </c>
      <c r="B1192">
        <v>38</v>
      </c>
      <c r="C1192" t="s">
        <v>16</v>
      </c>
      <c r="D1192" t="s">
        <v>20</v>
      </c>
      <c r="E1192" t="s">
        <v>39</v>
      </c>
      <c r="F1192">
        <v>225</v>
      </c>
      <c r="G1192" t="s">
        <v>31</v>
      </c>
      <c r="H1192" t="s">
        <v>15</v>
      </c>
      <c r="I1192">
        <v>3.7</v>
      </c>
      <c r="J1192">
        <v>2</v>
      </c>
      <c r="K1192">
        <v>1</v>
      </c>
    </row>
    <row r="1193" spans="1:11" x14ac:dyDescent="0.35">
      <c r="A1193">
        <v>1192</v>
      </c>
      <c r="B1193">
        <v>31</v>
      </c>
      <c r="C1193" t="s">
        <v>11</v>
      </c>
      <c r="D1193" t="s">
        <v>29</v>
      </c>
      <c r="E1193" t="s">
        <v>55</v>
      </c>
      <c r="F1193">
        <v>39.450000000000003</v>
      </c>
      <c r="G1193" t="s">
        <v>31</v>
      </c>
      <c r="H1193" t="s">
        <v>37</v>
      </c>
      <c r="I1193">
        <v>4.2</v>
      </c>
      <c r="J1193">
        <v>18</v>
      </c>
      <c r="K1193">
        <v>9</v>
      </c>
    </row>
    <row r="1194" spans="1:11" x14ac:dyDescent="0.35">
      <c r="A1194">
        <v>1193</v>
      </c>
      <c r="B1194">
        <v>65</v>
      </c>
      <c r="C1194" t="s">
        <v>11</v>
      </c>
      <c r="D1194" t="s">
        <v>33</v>
      </c>
      <c r="E1194" t="s">
        <v>40</v>
      </c>
      <c r="F1194">
        <v>131.71</v>
      </c>
      <c r="G1194" t="s">
        <v>14</v>
      </c>
      <c r="H1194" t="s">
        <v>15</v>
      </c>
      <c r="I1194">
        <v>3.5</v>
      </c>
      <c r="J1194">
        <v>13</v>
      </c>
      <c r="K1194">
        <v>4</v>
      </c>
    </row>
    <row r="1195" spans="1:11" x14ac:dyDescent="0.35">
      <c r="A1195">
        <v>1194</v>
      </c>
      <c r="B1195">
        <v>43</v>
      </c>
      <c r="C1195" t="s">
        <v>16</v>
      </c>
      <c r="D1195" t="s">
        <v>33</v>
      </c>
      <c r="E1195" t="s">
        <v>34</v>
      </c>
      <c r="F1195">
        <v>141.38999999999999</v>
      </c>
      <c r="G1195" t="s">
        <v>14</v>
      </c>
      <c r="H1195" t="s">
        <v>15</v>
      </c>
      <c r="I1195">
        <v>4.3</v>
      </c>
      <c r="J1195">
        <v>17</v>
      </c>
      <c r="K1195">
        <v>6</v>
      </c>
    </row>
    <row r="1196" spans="1:11" x14ac:dyDescent="0.35">
      <c r="A1196">
        <v>1195</v>
      </c>
      <c r="B1196">
        <v>33</v>
      </c>
      <c r="C1196" t="s">
        <v>16</v>
      </c>
      <c r="D1196" t="s">
        <v>22</v>
      </c>
      <c r="E1196" t="s">
        <v>52</v>
      </c>
      <c r="F1196">
        <v>48.08</v>
      </c>
      <c r="G1196" t="s">
        <v>31</v>
      </c>
      <c r="H1196" t="s">
        <v>15</v>
      </c>
      <c r="I1196">
        <v>3.8</v>
      </c>
      <c r="J1196">
        <v>30</v>
      </c>
      <c r="K1196">
        <v>10</v>
      </c>
    </row>
    <row r="1197" spans="1:11" x14ac:dyDescent="0.35">
      <c r="A1197">
        <v>1196</v>
      </c>
      <c r="B1197">
        <v>29</v>
      </c>
      <c r="C1197" t="s">
        <v>11</v>
      </c>
      <c r="D1197" t="s">
        <v>33</v>
      </c>
      <c r="E1197" t="s">
        <v>34</v>
      </c>
      <c r="F1197">
        <v>143.49</v>
      </c>
      <c r="G1197" t="s">
        <v>19</v>
      </c>
      <c r="H1197" t="s">
        <v>15</v>
      </c>
      <c r="I1197">
        <v>2.4</v>
      </c>
      <c r="J1197">
        <v>18</v>
      </c>
      <c r="K1197">
        <v>4</v>
      </c>
    </row>
    <row r="1198" spans="1:11" x14ac:dyDescent="0.35">
      <c r="A1198">
        <v>1197</v>
      </c>
      <c r="B1198">
        <v>23</v>
      </c>
      <c r="C1198" t="s">
        <v>11</v>
      </c>
      <c r="D1198" t="s">
        <v>25</v>
      </c>
      <c r="E1198" t="s">
        <v>57</v>
      </c>
      <c r="F1198">
        <v>32.67</v>
      </c>
      <c r="G1198" t="s">
        <v>19</v>
      </c>
      <c r="H1198" t="s">
        <v>37</v>
      </c>
      <c r="I1198">
        <v>4</v>
      </c>
      <c r="J1198">
        <v>19</v>
      </c>
      <c r="K1198">
        <v>7</v>
      </c>
    </row>
    <row r="1199" spans="1:11" x14ac:dyDescent="0.35">
      <c r="A1199">
        <v>1198</v>
      </c>
      <c r="B1199">
        <v>68</v>
      </c>
      <c r="C1199" t="s">
        <v>11</v>
      </c>
      <c r="D1199" t="s">
        <v>41</v>
      </c>
      <c r="E1199" t="s">
        <v>42</v>
      </c>
      <c r="F1199">
        <v>95.87</v>
      </c>
      <c r="G1199" t="s">
        <v>14</v>
      </c>
      <c r="H1199" t="s">
        <v>37</v>
      </c>
      <c r="I1199">
        <v>3.3</v>
      </c>
      <c r="J1199">
        <v>13</v>
      </c>
      <c r="K1199">
        <v>4</v>
      </c>
    </row>
    <row r="1200" spans="1:11" x14ac:dyDescent="0.35">
      <c r="A1200">
        <v>1199</v>
      </c>
      <c r="B1200">
        <v>61</v>
      </c>
      <c r="C1200" t="s">
        <v>16</v>
      </c>
      <c r="D1200" t="s">
        <v>20</v>
      </c>
      <c r="E1200" t="s">
        <v>36</v>
      </c>
      <c r="F1200">
        <v>102.24</v>
      </c>
      <c r="G1200" t="s">
        <v>24</v>
      </c>
      <c r="H1200" t="s">
        <v>15</v>
      </c>
      <c r="I1200">
        <v>3.6</v>
      </c>
      <c r="J1200">
        <v>20</v>
      </c>
      <c r="K1200">
        <v>5</v>
      </c>
    </row>
    <row r="1201" spans="1:11" x14ac:dyDescent="0.35">
      <c r="A1201">
        <v>1200</v>
      </c>
      <c r="B1201">
        <v>64</v>
      </c>
      <c r="C1201" t="s">
        <v>16</v>
      </c>
      <c r="D1201" t="s">
        <v>33</v>
      </c>
      <c r="E1201" t="s">
        <v>40</v>
      </c>
      <c r="F1201">
        <v>55.35</v>
      </c>
      <c r="G1201" t="s">
        <v>31</v>
      </c>
      <c r="H1201" t="s">
        <v>15</v>
      </c>
      <c r="I1201">
        <v>4</v>
      </c>
      <c r="J1201">
        <v>26</v>
      </c>
      <c r="K1201">
        <v>8</v>
      </c>
    </row>
    <row r="1202" spans="1:11" x14ac:dyDescent="0.35">
      <c r="A1202">
        <v>1201</v>
      </c>
      <c r="B1202">
        <v>28</v>
      </c>
      <c r="C1202" t="s">
        <v>11</v>
      </c>
      <c r="D1202" t="s">
        <v>41</v>
      </c>
      <c r="E1202" t="s">
        <v>42</v>
      </c>
      <c r="F1202">
        <v>39.68</v>
      </c>
      <c r="G1202" t="s">
        <v>31</v>
      </c>
      <c r="H1202" t="s">
        <v>37</v>
      </c>
      <c r="I1202">
        <v>3.4</v>
      </c>
      <c r="J1202">
        <v>16</v>
      </c>
      <c r="K1202">
        <v>3</v>
      </c>
    </row>
    <row r="1203" spans="1:11" x14ac:dyDescent="0.35">
      <c r="A1203">
        <v>1202</v>
      </c>
      <c r="B1203">
        <v>34</v>
      </c>
      <c r="C1203" t="s">
        <v>16</v>
      </c>
      <c r="D1203" t="s">
        <v>17</v>
      </c>
      <c r="E1203" t="s">
        <v>48</v>
      </c>
      <c r="F1203">
        <v>188.14</v>
      </c>
      <c r="G1203" t="s">
        <v>14</v>
      </c>
      <c r="H1203" t="s">
        <v>15</v>
      </c>
      <c r="I1203">
        <v>4.2</v>
      </c>
      <c r="J1203">
        <v>8</v>
      </c>
      <c r="K1203">
        <v>4</v>
      </c>
    </row>
    <row r="1204" spans="1:11" x14ac:dyDescent="0.35">
      <c r="A1204">
        <v>1203</v>
      </c>
      <c r="B1204">
        <v>26</v>
      </c>
      <c r="C1204" t="s">
        <v>11</v>
      </c>
      <c r="D1204" t="s">
        <v>41</v>
      </c>
      <c r="E1204" t="s">
        <v>45</v>
      </c>
      <c r="F1204">
        <v>148.54</v>
      </c>
      <c r="G1204" t="s">
        <v>24</v>
      </c>
      <c r="H1204" t="s">
        <v>15</v>
      </c>
      <c r="I1204">
        <v>3.6</v>
      </c>
      <c r="J1204">
        <v>26</v>
      </c>
      <c r="K1204">
        <v>8</v>
      </c>
    </row>
    <row r="1205" spans="1:11" x14ac:dyDescent="0.35">
      <c r="A1205">
        <v>1204</v>
      </c>
      <c r="B1205">
        <v>29</v>
      </c>
      <c r="C1205" t="s">
        <v>16</v>
      </c>
      <c r="D1205" t="s">
        <v>33</v>
      </c>
      <c r="E1205" t="s">
        <v>40</v>
      </c>
      <c r="F1205">
        <v>102</v>
      </c>
      <c r="G1205" t="s">
        <v>19</v>
      </c>
      <c r="H1205" t="s">
        <v>15</v>
      </c>
      <c r="I1205">
        <v>3.5</v>
      </c>
      <c r="J1205">
        <v>10</v>
      </c>
      <c r="K1205">
        <v>5</v>
      </c>
    </row>
    <row r="1206" spans="1:11" x14ac:dyDescent="0.35">
      <c r="A1206">
        <v>1205</v>
      </c>
      <c r="B1206">
        <v>47</v>
      </c>
      <c r="C1206" t="s">
        <v>11</v>
      </c>
      <c r="D1206" t="s">
        <v>20</v>
      </c>
      <c r="E1206" t="s">
        <v>21</v>
      </c>
      <c r="F1206">
        <v>239.73</v>
      </c>
      <c r="G1206" t="s">
        <v>31</v>
      </c>
      <c r="H1206" t="s">
        <v>15</v>
      </c>
      <c r="I1206">
        <v>4.8</v>
      </c>
      <c r="J1206">
        <v>24</v>
      </c>
      <c r="K1206">
        <v>7</v>
      </c>
    </row>
    <row r="1207" spans="1:11" x14ac:dyDescent="0.35">
      <c r="A1207">
        <v>1206</v>
      </c>
      <c r="B1207">
        <v>37</v>
      </c>
      <c r="C1207" t="s">
        <v>11</v>
      </c>
      <c r="D1207" t="s">
        <v>29</v>
      </c>
      <c r="E1207" t="s">
        <v>55</v>
      </c>
      <c r="F1207">
        <v>102.4</v>
      </c>
      <c r="G1207" t="s">
        <v>19</v>
      </c>
      <c r="H1207" t="s">
        <v>15</v>
      </c>
      <c r="I1207">
        <v>4.3</v>
      </c>
      <c r="J1207">
        <v>20</v>
      </c>
      <c r="K1207">
        <v>5</v>
      </c>
    </row>
    <row r="1208" spans="1:11" x14ac:dyDescent="0.35">
      <c r="A1208">
        <v>1207</v>
      </c>
      <c r="B1208">
        <v>54</v>
      </c>
      <c r="C1208" t="s">
        <v>11</v>
      </c>
      <c r="D1208" t="s">
        <v>29</v>
      </c>
      <c r="E1208" t="s">
        <v>55</v>
      </c>
      <c r="F1208">
        <v>34.86</v>
      </c>
      <c r="G1208" t="s">
        <v>24</v>
      </c>
      <c r="H1208" t="s">
        <v>37</v>
      </c>
      <c r="I1208">
        <v>3.6</v>
      </c>
      <c r="J1208">
        <v>13</v>
      </c>
      <c r="K1208">
        <v>4</v>
      </c>
    </row>
    <row r="1209" spans="1:11" x14ac:dyDescent="0.35">
      <c r="A1209">
        <v>1208</v>
      </c>
      <c r="B1209">
        <v>67</v>
      </c>
      <c r="C1209" t="s">
        <v>11</v>
      </c>
      <c r="D1209" t="s">
        <v>33</v>
      </c>
      <c r="E1209" t="s">
        <v>34</v>
      </c>
      <c r="F1209">
        <v>184.03</v>
      </c>
      <c r="G1209" t="s">
        <v>31</v>
      </c>
      <c r="H1209" t="s">
        <v>15</v>
      </c>
      <c r="I1209">
        <v>4.0999999999999996</v>
      </c>
      <c r="J1209">
        <v>24</v>
      </c>
      <c r="K1209">
        <v>7</v>
      </c>
    </row>
    <row r="1210" spans="1:11" x14ac:dyDescent="0.35">
      <c r="A1210">
        <v>1209</v>
      </c>
      <c r="B1210">
        <v>24</v>
      </c>
      <c r="C1210" t="s">
        <v>16</v>
      </c>
      <c r="D1210" t="s">
        <v>33</v>
      </c>
      <c r="E1210" t="s">
        <v>40</v>
      </c>
      <c r="F1210">
        <v>129.9</v>
      </c>
      <c r="G1210" t="s">
        <v>24</v>
      </c>
      <c r="H1210" t="s">
        <v>15</v>
      </c>
      <c r="I1210">
        <v>3.8</v>
      </c>
      <c r="J1210">
        <v>16</v>
      </c>
      <c r="K1210">
        <v>8</v>
      </c>
    </row>
    <row r="1211" spans="1:11" x14ac:dyDescent="0.35">
      <c r="A1211">
        <v>1210</v>
      </c>
      <c r="B1211">
        <v>33</v>
      </c>
      <c r="C1211" t="s">
        <v>16</v>
      </c>
      <c r="D1211" t="s">
        <v>22</v>
      </c>
      <c r="E1211" t="s">
        <v>52</v>
      </c>
      <c r="F1211">
        <v>255.3</v>
      </c>
      <c r="G1211" t="s">
        <v>24</v>
      </c>
      <c r="H1211" t="s">
        <v>15</v>
      </c>
      <c r="I1211">
        <v>3.3</v>
      </c>
      <c r="J1211">
        <v>26</v>
      </c>
      <c r="K1211">
        <v>8</v>
      </c>
    </row>
    <row r="1212" spans="1:11" x14ac:dyDescent="0.35">
      <c r="A1212">
        <v>1211</v>
      </c>
      <c r="B1212">
        <v>31</v>
      </c>
      <c r="C1212" t="s">
        <v>16</v>
      </c>
      <c r="D1212" t="s">
        <v>25</v>
      </c>
      <c r="E1212" t="s">
        <v>47</v>
      </c>
      <c r="F1212">
        <v>63.06</v>
      </c>
      <c r="G1212" t="s">
        <v>14</v>
      </c>
      <c r="H1212" t="s">
        <v>37</v>
      </c>
      <c r="I1212">
        <v>2.5</v>
      </c>
      <c r="J1212">
        <v>15</v>
      </c>
      <c r="K1212">
        <v>5</v>
      </c>
    </row>
    <row r="1213" spans="1:11" x14ac:dyDescent="0.35">
      <c r="A1213">
        <v>1212</v>
      </c>
      <c r="B1213">
        <v>37</v>
      </c>
      <c r="C1213" t="s">
        <v>16</v>
      </c>
      <c r="D1213" t="s">
        <v>20</v>
      </c>
      <c r="E1213" t="s">
        <v>39</v>
      </c>
      <c r="F1213">
        <v>147.46</v>
      </c>
      <c r="G1213" t="s">
        <v>14</v>
      </c>
      <c r="H1213" t="s">
        <v>15</v>
      </c>
      <c r="I1213">
        <v>3.7</v>
      </c>
      <c r="J1213">
        <v>14</v>
      </c>
      <c r="K1213">
        <v>2</v>
      </c>
    </row>
    <row r="1214" spans="1:11" x14ac:dyDescent="0.35">
      <c r="A1214">
        <v>1213</v>
      </c>
      <c r="B1214">
        <v>28</v>
      </c>
      <c r="C1214" t="s">
        <v>11</v>
      </c>
      <c r="D1214" t="s">
        <v>29</v>
      </c>
      <c r="E1214" t="s">
        <v>55</v>
      </c>
      <c r="F1214">
        <v>68.680000000000007</v>
      </c>
      <c r="G1214" t="s">
        <v>14</v>
      </c>
      <c r="H1214" t="s">
        <v>37</v>
      </c>
      <c r="I1214">
        <v>3.1</v>
      </c>
      <c r="J1214">
        <v>18</v>
      </c>
      <c r="K1214">
        <v>4</v>
      </c>
    </row>
    <row r="1215" spans="1:11" x14ac:dyDescent="0.35">
      <c r="A1215">
        <v>1214</v>
      </c>
      <c r="B1215">
        <v>58</v>
      </c>
      <c r="C1215" t="s">
        <v>11</v>
      </c>
      <c r="D1215" t="s">
        <v>12</v>
      </c>
      <c r="E1215" t="s">
        <v>13</v>
      </c>
      <c r="F1215">
        <v>118.34</v>
      </c>
      <c r="G1215" t="s">
        <v>31</v>
      </c>
      <c r="H1215" t="s">
        <v>15</v>
      </c>
      <c r="I1215">
        <v>4.0999999999999996</v>
      </c>
      <c r="J1215">
        <v>19</v>
      </c>
      <c r="K1215">
        <v>7</v>
      </c>
    </row>
    <row r="1216" spans="1:11" x14ac:dyDescent="0.35">
      <c r="A1216">
        <v>1215</v>
      </c>
      <c r="B1216">
        <v>60</v>
      </c>
      <c r="C1216" t="s">
        <v>16</v>
      </c>
      <c r="D1216" t="s">
        <v>17</v>
      </c>
      <c r="E1216" t="s">
        <v>35</v>
      </c>
      <c r="F1216">
        <v>99.54</v>
      </c>
      <c r="G1216" t="s">
        <v>24</v>
      </c>
      <c r="H1216" t="s">
        <v>37</v>
      </c>
      <c r="I1216">
        <v>3.7</v>
      </c>
      <c r="J1216">
        <v>12</v>
      </c>
      <c r="K1216">
        <v>1</v>
      </c>
    </row>
    <row r="1217" spans="1:11" x14ac:dyDescent="0.35">
      <c r="A1217">
        <v>1216</v>
      </c>
      <c r="B1217">
        <v>28</v>
      </c>
      <c r="C1217" t="s">
        <v>16</v>
      </c>
      <c r="D1217" t="s">
        <v>22</v>
      </c>
      <c r="E1217" t="s">
        <v>43</v>
      </c>
      <c r="F1217">
        <v>206.37</v>
      </c>
      <c r="G1217" t="s">
        <v>31</v>
      </c>
      <c r="H1217" t="s">
        <v>15</v>
      </c>
      <c r="I1217">
        <v>3.1</v>
      </c>
      <c r="J1217">
        <v>16</v>
      </c>
      <c r="K1217">
        <v>8</v>
      </c>
    </row>
    <row r="1218" spans="1:11" x14ac:dyDescent="0.35">
      <c r="A1218">
        <v>1217</v>
      </c>
      <c r="B1218">
        <v>66</v>
      </c>
      <c r="C1218" t="s">
        <v>11</v>
      </c>
      <c r="D1218" t="s">
        <v>41</v>
      </c>
      <c r="E1218" t="s">
        <v>45</v>
      </c>
      <c r="F1218">
        <v>163.33000000000001</v>
      </c>
      <c r="G1218" t="s">
        <v>19</v>
      </c>
      <c r="H1218" t="s">
        <v>15</v>
      </c>
      <c r="I1218">
        <v>3</v>
      </c>
      <c r="J1218">
        <v>12</v>
      </c>
      <c r="K1218">
        <v>6</v>
      </c>
    </row>
    <row r="1219" spans="1:11" x14ac:dyDescent="0.35">
      <c r="A1219">
        <v>1218</v>
      </c>
      <c r="B1219">
        <v>55</v>
      </c>
      <c r="C1219" t="s">
        <v>16</v>
      </c>
      <c r="D1219" t="s">
        <v>17</v>
      </c>
      <c r="E1219" t="s">
        <v>48</v>
      </c>
      <c r="F1219">
        <v>162.46</v>
      </c>
      <c r="G1219" t="s">
        <v>24</v>
      </c>
      <c r="H1219" t="s">
        <v>15</v>
      </c>
      <c r="I1219">
        <v>3.2</v>
      </c>
      <c r="J1219">
        <v>4</v>
      </c>
      <c r="K1219">
        <v>2</v>
      </c>
    </row>
    <row r="1220" spans="1:11" x14ac:dyDescent="0.35">
      <c r="A1220">
        <v>1219</v>
      </c>
      <c r="B1220">
        <v>35</v>
      </c>
      <c r="C1220" t="s">
        <v>11</v>
      </c>
      <c r="D1220" t="s">
        <v>33</v>
      </c>
      <c r="E1220" t="s">
        <v>38</v>
      </c>
      <c r="F1220">
        <v>242.17</v>
      </c>
      <c r="G1220" t="s">
        <v>14</v>
      </c>
      <c r="H1220" t="s">
        <v>15</v>
      </c>
      <c r="I1220">
        <v>3.8</v>
      </c>
      <c r="J1220">
        <v>21</v>
      </c>
      <c r="K1220">
        <v>8</v>
      </c>
    </row>
    <row r="1221" spans="1:11" x14ac:dyDescent="0.35">
      <c r="A1221">
        <v>1220</v>
      </c>
      <c r="B1221">
        <v>65</v>
      </c>
      <c r="C1221" t="s">
        <v>16</v>
      </c>
      <c r="D1221" t="s">
        <v>20</v>
      </c>
      <c r="E1221" t="s">
        <v>36</v>
      </c>
      <c r="F1221">
        <v>108.5</v>
      </c>
      <c r="G1221" t="s">
        <v>19</v>
      </c>
      <c r="H1221" t="s">
        <v>15</v>
      </c>
      <c r="I1221">
        <v>4.4000000000000004</v>
      </c>
      <c r="J1221">
        <v>14</v>
      </c>
      <c r="K1221">
        <v>7</v>
      </c>
    </row>
    <row r="1222" spans="1:11" x14ac:dyDescent="0.35">
      <c r="A1222">
        <v>1221</v>
      </c>
      <c r="B1222">
        <v>35</v>
      </c>
      <c r="C1222" t="s">
        <v>11</v>
      </c>
      <c r="D1222" t="s">
        <v>12</v>
      </c>
      <c r="E1222" t="s">
        <v>13</v>
      </c>
      <c r="F1222">
        <v>82.93</v>
      </c>
      <c r="G1222" t="s">
        <v>14</v>
      </c>
      <c r="H1222" t="s">
        <v>15</v>
      </c>
      <c r="I1222">
        <v>3.6</v>
      </c>
      <c r="J1222">
        <v>19</v>
      </c>
      <c r="K1222">
        <v>7</v>
      </c>
    </row>
    <row r="1223" spans="1:11" x14ac:dyDescent="0.35">
      <c r="A1223">
        <v>1222</v>
      </c>
      <c r="B1223">
        <v>21</v>
      </c>
      <c r="C1223" t="s">
        <v>16</v>
      </c>
      <c r="D1223" t="s">
        <v>27</v>
      </c>
      <c r="E1223" t="s">
        <v>49</v>
      </c>
      <c r="F1223">
        <v>2122.12</v>
      </c>
      <c r="G1223" t="s">
        <v>14</v>
      </c>
      <c r="H1223" t="s">
        <v>15</v>
      </c>
      <c r="I1223">
        <v>4.0999999999999996</v>
      </c>
      <c r="J1223">
        <v>18</v>
      </c>
      <c r="K1223">
        <v>4</v>
      </c>
    </row>
    <row r="1224" spans="1:11" x14ac:dyDescent="0.35">
      <c r="A1224">
        <v>1223</v>
      </c>
      <c r="B1224">
        <v>31</v>
      </c>
      <c r="C1224" t="s">
        <v>16</v>
      </c>
      <c r="D1224" t="s">
        <v>22</v>
      </c>
      <c r="E1224" t="s">
        <v>52</v>
      </c>
      <c r="F1224">
        <v>187.38</v>
      </c>
      <c r="G1224" t="s">
        <v>19</v>
      </c>
      <c r="H1224" t="s">
        <v>15</v>
      </c>
      <c r="I1224">
        <v>4.0999999999999996</v>
      </c>
      <c r="J1224">
        <v>18</v>
      </c>
      <c r="K1224">
        <v>9</v>
      </c>
    </row>
    <row r="1225" spans="1:11" x14ac:dyDescent="0.35">
      <c r="A1225">
        <v>1224</v>
      </c>
      <c r="B1225">
        <v>42</v>
      </c>
      <c r="C1225" t="s">
        <v>16</v>
      </c>
      <c r="D1225" t="s">
        <v>20</v>
      </c>
      <c r="E1225" t="s">
        <v>36</v>
      </c>
      <c r="F1225">
        <v>157.06</v>
      </c>
      <c r="G1225" t="s">
        <v>24</v>
      </c>
      <c r="H1225" t="s">
        <v>15</v>
      </c>
      <c r="I1225">
        <v>4.2</v>
      </c>
      <c r="J1225">
        <v>20</v>
      </c>
      <c r="K1225">
        <v>5</v>
      </c>
    </row>
    <row r="1226" spans="1:11" x14ac:dyDescent="0.35">
      <c r="A1226">
        <v>1225</v>
      </c>
      <c r="B1226">
        <v>22</v>
      </c>
      <c r="C1226" t="s">
        <v>16</v>
      </c>
      <c r="D1226" t="s">
        <v>27</v>
      </c>
      <c r="E1226" t="s">
        <v>49</v>
      </c>
      <c r="F1226">
        <v>1708.09</v>
      </c>
      <c r="G1226" t="s">
        <v>19</v>
      </c>
      <c r="H1226" t="s">
        <v>15</v>
      </c>
      <c r="I1226">
        <v>3.7</v>
      </c>
      <c r="J1226">
        <v>6</v>
      </c>
      <c r="K1226">
        <v>3</v>
      </c>
    </row>
    <row r="1227" spans="1:11" x14ac:dyDescent="0.35">
      <c r="A1227">
        <v>1226</v>
      </c>
      <c r="B1227">
        <v>62</v>
      </c>
      <c r="C1227" t="s">
        <v>11</v>
      </c>
      <c r="D1227" t="s">
        <v>33</v>
      </c>
      <c r="E1227" t="s">
        <v>34</v>
      </c>
      <c r="F1227">
        <v>156.84</v>
      </c>
      <c r="G1227" t="s">
        <v>24</v>
      </c>
      <c r="H1227" t="s">
        <v>15</v>
      </c>
      <c r="I1227">
        <v>3.4</v>
      </c>
      <c r="J1227">
        <v>13</v>
      </c>
      <c r="K1227">
        <v>4</v>
      </c>
    </row>
    <row r="1228" spans="1:11" x14ac:dyDescent="0.35">
      <c r="A1228">
        <v>1227</v>
      </c>
      <c r="B1228">
        <v>28</v>
      </c>
      <c r="C1228" t="s">
        <v>11</v>
      </c>
      <c r="D1228" t="s">
        <v>41</v>
      </c>
      <c r="E1228" t="s">
        <v>44</v>
      </c>
      <c r="F1228">
        <v>189.2</v>
      </c>
      <c r="G1228" t="s">
        <v>19</v>
      </c>
      <c r="H1228" t="s">
        <v>15</v>
      </c>
      <c r="I1228">
        <v>2.9</v>
      </c>
      <c r="J1228">
        <v>13</v>
      </c>
      <c r="K1228">
        <v>4</v>
      </c>
    </row>
    <row r="1229" spans="1:11" x14ac:dyDescent="0.35">
      <c r="A1229">
        <v>1228</v>
      </c>
      <c r="B1229">
        <v>33</v>
      </c>
      <c r="C1229" t="s">
        <v>11</v>
      </c>
      <c r="D1229" t="s">
        <v>22</v>
      </c>
      <c r="E1229" t="s">
        <v>23</v>
      </c>
      <c r="F1229">
        <v>117.64</v>
      </c>
      <c r="G1229" t="s">
        <v>19</v>
      </c>
      <c r="H1229" t="s">
        <v>15</v>
      </c>
      <c r="I1229">
        <v>3</v>
      </c>
      <c r="J1229">
        <v>14</v>
      </c>
      <c r="K1229">
        <v>7</v>
      </c>
    </row>
    <row r="1230" spans="1:11" x14ac:dyDescent="0.35">
      <c r="A1230">
        <v>1229</v>
      </c>
      <c r="B1230">
        <v>36</v>
      </c>
      <c r="C1230" t="s">
        <v>16</v>
      </c>
      <c r="D1230" t="s">
        <v>33</v>
      </c>
      <c r="E1230" t="s">
        <v>38</v>
      </c>
      <c r="F1230">
        <v>147.47999999999999</v>
      </c>
      <c r="G1230" t="s">
        <v>14</v>
      </c>
      <c r="H1230" t="s">
        <v>15</v>
      </c>
      <c r="I1230">
        <v>4.3</v>
      </c>
      <c r="J1230">
        <v>15</v>
      </c>
      <c r="K1230">
        <v>5</v>
      </c>
    </row>
    <row r="1231" spans="1:11" x14ac:dyDescent="0.35">
      <c r="A1231">
        <v>1230</v>
      </c>
      <c r="B1231">
        <v>28</v>
      </c>
      <c r="C1231" t="s">
        <v>16</v>
      </c>
      <c r="D1231" t="s">
        <v>17</v>
      </c>
      <c r="E1231" t="s">
        <v>42</v>
      </c>
      <c r="F1231">
        <v>75.040000000000006</v>
      </c>
      <c r="G1231" t="s">
        <v>19</v>
      </c>
      <c r="H1231" t="s">
        <v>37</v>
      </c>
      <c r="I1231">
        <v>3.8</v>
      </c>
      <c r="J1231">
        <v>4</v>
      </c>
      <c r="K1231">
        <v>2</v>
      </c>
    </row>
    <row r="1232" spans="1:11" x14ac:dyDescent="0.35">
      <c r="A1232">
        <v>1231</v>
      </c>
      <c r="B1232">
        <v>26</v>
      </c>
      <c r="C1232" t="s">
        <v>16</v>
      </c>
      <c r="D1232" t="s">
        <v>17</v>
      </c>
      <c r="E1232" t="s">
        <v>35</v>
      </c>
      <c r="F1232">
        <v>108.5</v>
      </c>
      <c r="G1232" t="s">
        <v>14</v>
      </c>
      <c r="H1232" t="s">
        <v>15</v>
      </c>
      <c r="I1232">
        <v>3.7</v>
      </c>
      <c r="J1232">
        <v>14</v>
      </c>
      <c r="K1232">
        <v>2</v>
      </c>
    </row>
    <row r="1233" spans="1:11" x14ac:dyDescent="0.35">
      <c r="A1233">
        <v>1232</v>
      </c>
      <c r="B1233">
        <v>55</v>
      </c>
      <c r="C1233" t="s">
        <v>16</v>
      </c>
      <c r="D1233" t="s">
        <v>27</v>
      </c>
      <c r="E1233" t="s">
        <v>49</v>
      </c>
      <c r="F1233">
        <v>1226.67</v>
      </c>
      <c r="G1233" t="s">
        <v>31</v>
      </c>
      <c r="H1233" t="s">
        <v>15</v>
      </c>
      <c r="I1233">
        <v>3.4</v>
      </c>
      <c r="J1233">
        <v>10</v>
      </c>
      <c r="K1233">
        <v>5</v>
      </c>
    </row>
    <row r="1234" spans="1:11" x14ac:dyDescent="0.35">
      <c r="A1234">
        <v>1233</v>
      </c>
      <c r="B1234">
        <v>64</v>
      </c>
      <c r="C1234" t="s">
        <v>11</v>
      </c>
      <c r="D1234" t="s">
        <v>33</v>
      </c>
      <c r="E1234" t="s">
        <v>34</v>
      </c>
      <c r="F1234">
        <v>70.09</v>
      </c>
      <c r="G1234" t="s">
        <v>19</v>
      </c>
      <c r="H1234" t="s">
        <v>37</v>
      </c>
      <c r="I1234">
        <v>4.3</v>
      </c>
      <c r="J1234">
        <v>20</v>
      </c>
      <c r="K1234">
        <v>5</v>
      </c>
    </row>
    <row r="1235" spans="1:11" x14ac:dyDescent="0.35">
      <c r="A1235">
        <v>1234</v>
      </c>
      <c r="B1235">
        <v>51</v>
      </c>
      <c r="C1235" t="s">
        <v>11</v>
      </c>
      <c r="D1235" t="s">
        <v>41</v>
      </c>
      <c r="E1235" t="s">
        <v>45</v>
      </c>
      <c r="F1235">
        <v>145.44999999999999</v>
      </c>
      <c r="G1235" t="s">
        <v>31</v>
      </c>
      <c r="H1235" t="s">
        <v>15</v>
      </c>
      <c r="I1235">
        <v>2.6</v>
      </c>
      <c r="J1235">
        <v>10</v>
      </c>
      <c r="K1235">
        <v>5</v>
      </c>
    </row>
    <row r="1236" spans="1:11" x14ac:dyDescent="0.35">
      <c r="A1236">
        <v>1235</v>
      </c>
      <c r="B1236">
        <v>37</v>
      </c>
      <c r="C1236" t="s">
        <v>11</v>
      </c>
      <c r="D1236" t="s">
        <v>41</v>
      </c>
      <c r="E1236" t="s">
        <v>42</v>
      </c>
      <c r="F1236">
        <v>121.42</v>
      </c>
      <c r="G1236" t="s">
        <v>24</v>
      </c>
      <c r="H1236" t="s">
        <v>15</v>
      </c>
      <c r="I1236">
        <v>4.7</v>
      </c>
      <c r="J1236">
        <v>8</v>
      </c>
      <c r="K1236">
        <v>4</v>
      </c>
    </row>
    <row r="1237" spans="1:11" x14ac:dyDescent="0.35">
      <c r="A1237">
        <v>1236</v>
      </c>
      <c r="B1237">
        <v>21</v>
      </c>
      <c r="C1237" t="s">
        <v>16</v>
      </c>
      <c r="D1237" t="s">
        <v>17</v>
      </c>
      <c r="E1237" t="s">
        <v>42</v>
      </c>
      <c r="F1237">
        <v>129.32</v>
      </c>
      <c r="G1237" t="s">
        <v>24</v>
      </c>
      <c r="H1237" t="s">
        <v>15</v>
      </c>
      <c r="I1237">
        <v>3.5</v>
      </c>
      <c r="J1237">
        <v>9</v>
      </c>
      <c r="K1237">
        <v>2</v>
      </c>
    </row>
    <row r="1238" spans="1:11" x14ac:dyDescent="0.35">
      <c r="A1238">
        <v>1237</v>
      </c>
      <c r="B1238">
        <v>27</v>
      </c>
      <c r="C1238" t="s">
        <v>11</v>
      </c>
      <c r="D1238" t="s">
        <v>41</v>
      </c>
      <c r="E1238" t="s">
        <v>45</v>
      </c>
      <c r="F1238">
        <v>134.56</v>
      </c>
      <c r="G1238" t="s">
        <v>31</v>
      </c>
      <c r="H1238" t="s">
        <v>15</v>
      </c>
      <c r="I1238">
        <v>3.9</v>
      </c>
      <c r="J1238">
        <v>14</v>
      </c>
      <c r="K1238">
        <v>7</v>
      </c>
    </row>
    <row r="1239" spans="1:11" x14ac:dyDescent="0.35">
      <c r="A1239">
        <v>1238</v>
      </c>
      <c r="B1239">
        <v>28</v>
      </c>
      <c r="C1239" t="s">
        <v>16</v>
      </c>
      <c r="D1239" t="s">
        <v>17</v>
      </c>
      <c r="E1239" t="s">
        <v>42</v>
      </c>
      <c r="F1239">
        <v>190.96</v>
      </c>
      <c r="G1239" t="s">
        <v>19</v>
      </c>
      <c r="H1239" t="s">
        <v>15</v>
      </c>
      <c r="I1239">
        <v>5</v>
      </c>
      <c r="J1239">
        <v>19</v>
      </c>
      <c r="K1239">
        <v>7</v>
      </c>
    </row>
    <row r="1240" spans="1:11" x14ac:dyDescent="0.35">
      <c r="A1240">
        <v>1239</v>
      </c>
      <c r="B1240">
        <v>56</v>
      </c>
      <c r="C1240" t="s">
        <v>11</v>
      </c>
      <c r="D1240" t="s">
        <v>12</v>
      </c>
      <c r="E1240" t="s">
        <v>56</v>
      </c>
      <c r="F1240">
        <v>32.97</v>
      </c>
      <c r="G1240" t="s">
        <v>14</v>
      </c>
      <c r="H1240" t="s">
        <v>37</v>
      </c>
      <c r="I1240">
        <v>5</v>
      </c>
      <c r="J1240">
        <v>14</v>
      </c>
      <c r="K1240">
        <v>7</v>
      </c>
    </row>
    <row r="1241" spans="1:11" x14ac:dyDescent="0.35">
      <c r="A1241">
        <v>1240</v>
      </c>
      <c r="B1241">
        <v>25</v>
      </c>
      <c r="C1241" t="s">
        <v>16</v>
      </c>
      <c r="D1241" t="s">
        <v>17</v>
      </c>
      <c r="E1241" t="s">
        <v>42</v>
      </c>
      <c r="F1241">
        <v>140.93</v>
      </c>
      <c r="G1241" t="s">
        <v>19</v>
      </c>
      <c r="H1241" t="s">
        <v>15</v>
      </c>
      <c r="I1241">
        <v>3.6</v>
      </c>
      <c r="J1241">
        <v>8</v>
      </c>
      <c r="K1241">
        <v>4</v>
      </c>
    </row>
    <row r="1242" spans="1:11" x14ac:dyDescent="0.35">
      <c r="A1242">
        <v>1241</v>
      </c>
      <c r="B1242">
        <v>35</v>
      </c>
      <c r="C1242" t="s">
        <v>11</v>
      </c>
      <c r="D1242" t="s">
        <v>41</v>
      </c>
      <c r="E1242" t="s">
        <v>45</v>
      </c>
      <c r="F1242">
        <v>96.4</v>
      </c>
      <c r="G1242" t="s">
        <v>14</v>
      </c>
      <c r="H1242" t="s">
        <v>15</v>
      </c>
      <c r="I1242">
        <v>4.3</v>
      </c>
      <c r="J1242">
        <v>9</v>
      </c>
      <c r="K1242">
        <v>2</v>
      </c>
    </row>
    <row r="1243" spans="1:11" x14ac:dyDescent="0.35">
      <c r="A1243">
        <v>1242</v>
      </c>
      <c r="B1243">
        <v>55</v>
      </c>
      <c r="C1243" t="s">
        <v>11</v>
      </c>
      <c r="D1243" t="s">
        <v>41</v>
      </c>
      <c r="E1243" t="s">
        <v>46</v>
      </c>
      <c r="F1243">
        <v>136.21</v>
      </c>
      <c r="G1243" t="s">
        <v>14</v>
      </c>
      <c r="H1243" t="s">
        <v>15</v>
      </c>
      <c r="I1243">
        <v>3</v>
      </c>
      <c r="J1243">
        <v>12</v>
      </c>
      <c r="K1243">
        <v>6</v>
      </c>
    </row>
    <row r="1244" spans="1:11" x14ac:dyDescent="0.35">
      <c r="A1244">
        <v>1243</v>
      </c>
      <c r="B1244">
        <v>52</v>
      </c>
      <c r="C1244" t="s">
        <v>11</v>
      </c>
      <c r="D1244" t="s">
        <v>22</v>
      </c>
      <c r="E1244" t="s">
        <v>23</v>
      </c>
      <c r="F1244">
        <v>44.41</v>
      </c>
      <c r="G1244" t="s">
        <v>19</v>
      </c>
      <c r="H1244" t="s">
        <v>37</v>
      </c>
      <c r="I1244">
        <v>3</v>
      </c>
      <c r="J1244">
        <v>11</v>
      </c>
      <c r="K1244">
        <v>3</v>
      </c>
    </row>
    <row r="1245" spans="1:11" x14ac:dyDescent="0.35">
      <c r="A1245">
        <v>1244</v>
      </c>
      <c r="B1245">
        <v>67</v>
      </c>
      <c r="C1245" t="s">
        <v>11</v>
      </c>
      <c r="D1245" t="s">
        <v>29</v>
      </c>
      <c r="E1245" t="s">
        <v>30</v>
      </c>
      <c r="F1245">
        <v>91.85</v>
      </c>
      <c r="G1245" t="s">
        <v>24</v>
      </c>
      <c r="H1245" t="s">
        <v>15</v>
      </c>
      <c r="I1245">
        <v>3.2</v>
      </c>
      <c r="J1245">
        <v>10</v>
      </c>
      <c r="K1245">
        <v>5</v>
      </c>
    </row>
    <row r="1246" spans="1:11" x14ac:dyDescent="0.35">
      <c r="A1246">
        <v>1245</v>
      </c>
      <c r="B1246">
        <v>35</v>
      </c>
      <c r="C1246" t="s">
        <v>16</v>
      </c>
      <c r="D1246" t="s">
        <v>27</v>
      </c>
      <c r="E1246" t="s">
        <v>28</v>
      </c>
      <c r="F1246">
        <v>2677.54</v>
      </c>
      <c r="G1246" t="s">
        <v>31</v>
      </c>
      <c r="H1246" t="s">
        <v>15</v>
      </c>
      <c r="I1246">
        <v>4.3</v>
      </c>
      <c r="J1246">
        <v>28</v>
      </c>
      <c r="K1246">
        <v>9</v>
      </c>
    </row>
    <row r="1247" spans="1:11" x14ac:dyDescent="0.35">
      <c r="A1247">
        <v>1246</v>
      </c>
      <c r="B1247">
        <v>49</v>
      </c>
      <c r="C1247" t="s">
        <v>11</v>
      </c>
      <c r="D1247" t="s">
        <v>29</v>
      </c>
      <c r="E1247" t="s">
        <v>55</v>
      </c>
      <c r="F1247">
        <v>106.28</v>
      </c>
      <c r="G1247" t="s">
        <v>14</v>
      </c>
      <c r="H1247" t="s">
        <v>15</v>
      </c>
      <c r="I1247">
        <v>4.4000000000000004</v>
      </c>
      <c r="J1247">
        <v>12</v>
      </c>
      <c r="K1247">
        <v>6</v>
      </c>
    </row>
    <row r="1248" spans="1:11" x14ac:dyDescent="0.35">
      <c r="A1248">
        <v>1247</v>
      </c>
      <c r="B1248">
        <v>64</v>
      </c>
      <c r="C1248" t="s">
        <v>16</v>
      </c>
      <c r="D1248" t="s">
        <v>27</v>
      </c>
      <c r="E1248" t="s">
        <v>32</v>
      </c>
      <c r="F1248">
        <v>2907.6</v>
      </c>
      <c r="G1248" t="s">
        <v>19</v>
      </c>
      <c r="H1248" t="s">
        <v>15</v>
      </c>
      <c r="I1248">
        <v>4.5</v>
      </c>
      <c r="J1248">
        <v>16</v>
      </c>
      <c r="K1248">
        <v>3</v>
      </c>
    </row>
    <row r="1249" spans="1:11" x14ac:dyDescent="0.35">
      <c r="A1249">
        <v>1248</v>
      </c>
      <c r="B1249">
        <v>20</v>
      </c>
      <c r="C1249" t="s">
        <v>16</v>
      </c>
      <c r="D1249" t="s">
        <v>33</v>
      </c>
      <c r="E1249" t="s">
        <v>34</v>
      </c>
      <c r="F1249">
        <v>176.9</v>
      </c>
      <c r="G1249" t="s">
        <v>14</v>
      </c>
      <c r="H1249" t="s">
        <v>15</v>
      </c>
      <c r="I1249">
        <v>3.9</v>
      </c>
      <c r="J1249">
        <v>15</v>
      </c>
      <c r="K1249">
        <v>5</v>
      </c>
    </row>
    <row r="1250" spans="1:11" x14ac:dyDescent="0.35">
      <c r="A1250">
        <v>1249</v>
      </c>
      <c r="B1250">
        <v>52</v>
      </c>
      <c r="C1250" t="s">
        <v>11</v>
      </c>
      <c r="D1250" t="s">
        <v>41</v>
      </c>
      <c r="E1250" t="s">
        <v>46</v>
      </c>
      <c r="F1250">
        <v>89.05</v>
      </c>
      <c r="G1250" t="s">
        <v>24</v>
      </c>
      <c r="H1250" t="s">
        <v>37</v>
      </c>
      <c r="I1250">
        <v>3.7</v>
      </c>
      <c r="J1250">
        <v>7</v>
      </c>
      <c r="K1250">
        <v>1</v>
      </c>
    </row>
    <row r="1251" spans="1:11" x14ac:dyDescent="0.35">
      <c r="A1251">
        <v>1250</v>
      </c>
      <c r="B1251">
        <v>37</v>
      </c>
      <c r="C1251" t="s">
        <v>16</v>
      </c>
      <c r="D1251" t="s">
        <v>25</v>
      </c>
      <c r="E1251" t="s">
        <v>54</v>
      </c>
      <c r="F1251">
        <v>57.93</v>
      </c>
      <c r="G1251" t="s">
        <v>19</v>
      </c>
      <c r="H1251" t="s">
        <v>15</v>
      </c>
      <c r="I1251">
        <v>2.7</v>
      </c>
      <c r="J1251">
        <v>4</v>
      </c>
      <c r="K1251">
        <v>2</v>
      </c>
    </row>
    <row r="1252" spans="1:11" x14ac:dyDescent="0.35">
      <c r="A1252">
        <v>1251</v>
      </c>
      <c r="B1252">
        <v>44</v>
      </c>
      <c r="C1252" t="s">
        <v>11</v>
      </c>
      <c r="D1252" t="s">
        <v>12</v>
      </c>
      <c r="E1252" t="s">
        <v>50</v>
      </c>
      <c r="F1252">
        <v>22.1</v>
      </c>
      <c r="G1252" t="s">
        <v>19</v>
      </c>
      <c r="H1252" t="s">
        <v>37</v>
      </c>
      <c r="I1252">
        <v>4.2</v>
      </c>
      <c r="J1252">
        <v>12</v>
      </c>
      <c r="K1252">
        <v>6</v>
      </c>
    </row>
    <row r="1253" spans="1:11" x14ac:dyDescent="0.35">
      <c r="A1253">
        <v>1252</v>
      </c>
      <c r="B1253">
        <v>66</v>
      </c>
      <c r="C1253" t="s">
        <v>16</v>
      </c>
      <c r="D1253" t="s">
        <v>20</v>
      </c>
      <c r="E1253" t="s">
        <v>36</v>
      </c>
      <c r="F1253">
        <v>81.13</v>
      </c>
      <c r="G1253" t="s">
        <v>14</v>
      </c>
      <c r="H1253" t="s">
        <v>37</v>
      </c>
      <c r="I1253">
        <v>3.3</v>
      </c>
      <c r="J1253">
        <v>9</v>
      </c>
      <c r="K1253">
        <v>2</v>
      </c>
    </row>
    <row r="1254" spans="1:11" x14ac:dyDescent="0.35">
      <c r="A1254">
        <v>1253</v>
      </c>
      <c r="B1254">
        <v>28</v>
      </c>
      <c r="C1254" t="s">
        <v>11</v>
      </c>
      <c r="D1254" t="s">
        <v>12</v>
      </c>
      <c r="E1254" t="s">
        <v>56</v>
      </c>
      <c r="F1254">
        <v>165.53</v>
      </c>
      <c r="G1254" t="s">
        <v>14</v>
      </c>
      <c r="H1254" t="s">
        <v>15</v>
      </c>
      <c r="I1254">
        <v>5</v>
      </c>
      <c r="J1254">
        <v>15</v>
      </c>
      <c r="K1254">
        <v>5</v>
      </c>
    </row>
    <row r="1255" spans="1:11" x14ac:dyDescent="0.35">
      <c r="A1255">
        <v>1254</v>
      </c>
      <c r="B1255">
        <v>30</v>
      </c>
      <c r="C1255" t="s">
        <v>16</v>
      </c>
      <c r="D1255" t="s">
        <v>33</v>
      </c>
      <c r="E1255" t="s">
        <v>40</v>
      </c>
      <c r="F1255">
        <v>222.83</v>
      </c>
      <c r="G1255" t="s">
        <v>19</v>
      </c>
      <c r="H1255" t="s">
        <v>15</v>
      </c>
      <c r="I1255">
        <v>3.8</v>
      </c>
      <c r="J1255">
        <v>6</v>
      </c>
      <c r="K1255">
        <v>3</v>
      </c>
    </row>
    <row r="1256" spans="1:11" x14ac:dyDescent="0.35">
      <c r="A1256">
        <v>1255</v>
      </c>
      <c r="B1256">
        <v>70</v>
      </c>
      <c r="C1256" t="s">
        <v>16</v>
      </c>
      <c r="D1256" t="s">
        <v>27</v>
      </c>
      <c r="E1256" t="s">
        <v>49</v>
      </c>
      <c r="F1256">
        <v>2919.39</v>
      </c>
      <c r="G1256" t="s">
        <v>24</v>
      </c>
      <c r="H1256" t="s">
        <v>15</v>
      </c>
      <c r="I1256">
        <v>3.5</v>
      </c>
      <c r="J1256">
        <v>13</v>
      </c>
      <c r="K1256">
        <v>4</v>
      </c>
    </row>
    <row r="1257" spans="1:11" x14ac:dyDescent="0.35">
      <c r="A1257">
        <v>1256</v>
      </c>
      <c r="B1257">
        <v>44</v>
      </c>
      <c r="C1257" t="s">
        <v>11</v>
      </c>
      <c r="D1257" t="s">
        <v>29</v>
      </c>
      <c r="E1257" t="s">
        <v>55</v>
      </c>
      <c r="F1257">
        <v>143.9</v>
      </c>
      <c r="G1257" t="s">
        <v>19</v>
      </c>
      <c r="H1257" t="s">
        <v>15</v>
      </c>
      <c r="I1257">
        <v>4.7</v>
      </c>
      <c r="J1257">
        <v>26</v>
      </c>
      <c r="K1257">
        <v>8</v>
      </c>
    </row>
    <row r="1258" spans="1:11" x14ac:dyDescent="0.35">
      <c r="A1258">
        <v>1257</v>
      </c>
      <c r="B1258">
        <v>45</v>
      </c>
      <c r="C1258" t="s">
        <v>11</v>
      </c>
      <c r="D1258" t="s">
        <v>29</v>
      </c>
      <c r="E1258" t="s">
        <v>30</v>
      </c>
      <c r="F1258">
        <v>85.13</v>
      </c>
      <c r="G1258" t="s">
        <v>14</v>
      </c>
      <c r="H1258" t="s">
        <v>37</v>
      </c>
      <c r="I1258">
        <v>3.4</v>
      </c>
      <c r="J1258">
        <v>10</v>
      </c>
      <c r="K1258">
        <v>5</v>
      </c>
    </row>
    <row r="1259" spans="1:11" x14ac:dyDescent="0.35">
      <c r="A1259">
        <v>1258</v>
      </c>
      <c r="B1259">
        <v>41</v>
      </c>
      <c r="C1259" t="s">
        <v>16</v>
      </c>
      <c r="D1259" t="s">
        <v>25</v>
      </c>
      <c r="E1259" t="s">
        <v>54</v>
      </c>
      <c r="F1259">
        <v>8.8699999999999992</v>
      </c>
      <c r="G1259" t="s">
        <v>24</v>
      </c>
      <c r="H1259" t="s">
        <v>15</v>
      </c>
      <c r="I1259">
        <v>4.4000000000000004</v>
      </c>
      <c r="J1259">
        <v>16</v>
      </c>
      <c r="K1259">
        <v>3</v>
      </c>
    </row>
    <row r="1260" spans="1:11" x14ac:dyDescent="0.35">
      <c r="A1260">
        <v>1259</v>
      </c>
      <c r="B1260">
        <v>42</v>
      </c>
      <c r="C1260" t="s">
        <v>16</v>
      </c>
      <c r="D1260" t="s">
        <v>33</v>
      </c>
      <c r="E1260" t="s">
        <v>40</v>
      </c>
      <c r="F1260">
        <v>166.69</v>
      </c>
      <c r="G1260" t="s">
        <v>14</v>
      </c>
      <c r="H1260" t="s">
        <v>15</v>
      </c>
      <c r="I1260">
        <v>2.8</v>
      </c>
      <c r="J1260">
        <v>6</v>
      </c>
      <c r="K1260">
        <v>3</v>
      </c>
    </row>
    <row r="1261" spans="1:11" x14ac:dyDescent="0.35">
      <c r="A1261">
        <v>1260</v>
      </c>
      <c r="B1261">
        <v>51</v>
      </c>
      <c r="C1261" t="s">
        <v>16</v>
      </c>
      <c r="D1261" t="s">
        <v>33</v>
      </c>
      <c r="E1261" t="s">
        <v>34</v>
      </c>
      <c r="F1261">
        <v>195.92</v>
      </c>
      <c r="G1261" t="s">
        <v>19</v>
      </c>
      <c r="H1261" t="s">
        <v>15</v>
      </c>
      <c r="I1261">
        <v>2.8</v>
      </c>
      <c r="J1261">
        <v>19</v>
      </c>
      <c r="K1261">
        <v>7</v>
      </c>
    </row>
    <row r="1262" spans="1:11" x14ac:dyDescent="0.35">
      <c r="A1262">
        <v>1261</v>
      </c>
      <c r="B1262">
        <v>59</v>
      </c>
      <c r="C1262" t="s">
        <v>16</v>
      </c>
      <c r="D1262" t="s">
        <v>17</v>
      </c>
      <c r="E1262" t="s">
        <v>42</v>
      </c>
      <c r="F1262">
        <v>165.21</v>
      </c>
      <c r="G1262" t="s">
        <v>19</v>
      </c>
      <c r="H1262" t="s">
        <v>15</v>
      </c>
      <c r="I1262">
        <v>3.8</v>
      </c>
      <c r="J1262">
        <v>14</v>
      </c>
      <c r="K1262">
        <v>7</v>
      </c>
    </row>
    <row r="1263" spans="1:11" x14ac:dyDescent="0.35">
      <c r="A1263">
        <v>1262</v>
      </c>
      <c r="B1263">
        <v>58</v>
      </c>
      <c r="C1263" t="s">
        <v>16</v>
      </c>
      <c r="D1263" t="s">
        <v>27</v>
      </c>
      <c r="E1263" t="s">
        <v>32</v>
      </c>
      <c r="F1263">
        <v>500.44</v>
      </c>
      <c r="G1263" t="s">
        <v>31</v>
      </c>
      <c r="H1263" t="s">
        <v>15</v>
      </c>
      <c r="I1263">
        <v>4.4000000000000004</v>
      </c>
      <c r="J1263">
        <v>16</v>
      </c>
      <c r="K1263">
        <v>3</v>
      </c>
    </row>
    <row r="1264" spans="1:11" x14ac:dyDescent="0.35">
      <c r="A1264">
        <v>1263</v>
      </c>
      <c r="B1264">
        <v>56</v>
      </c>
      <c r="C1264" t="s">
        <v>16</v>
      </c>
      <c r="D1264" t="s">
        <v>20</v>
      </c>
      <c r="E1264" t="s">
        <v>36</v>
      </c>
      <c r="F1264">
        <v>95.43</v>
      </c>
      <c r="G1264" t="s">
        <v>19</v>
      </c>
      <c r="H1264" t="s">
        <v>37</v>
      </c>
      <c r="I1264">
        <v>4</v>
      </c>
      <c r="J1264">
        <v>6</v>
      </c>
      <c r="K1264">
        <v>3</v>
      </c>
    </row>
    <row r="1265" spans="1:11" x14ac:dyDescent="0.35">
      <c r="A1265">
        <v>1264</v>
      </c>
      <c r="B1265">
        <v>52</v>
      </c>
      <c r="C1265" t="s">
        <v>16</v>
      </c>
      <c r="D1265" t="s">
        <v>27</v>
      </c>
      <c r="E1265" t="s">
        <v>32</v>
      </c>
      <c r="F1265">
        <v>2764.97</v>
      </c>
      <c r="G1265" t="s">
        <v>24</v>
      </c>
      <c r="H1265" t="s">
        <v>15</v>
      </c>
      <c r="I1265">
        <v>2.7</v>
      </c>
      <c r="J1265">
        <v>9</v>
      </c>
      <c r="K1265">
        <v>2</v>
      </c>
    </row>
    <row r="1266" spans="1:11" x14ac:dyDescent="0.35">
      <c r="A1266">
        <v>1265</v>
      </c>
      <c r="B1266">
        <v>41</v>
      </c>
      <c r="C1266" t="s">
        <v>16</v>
      </c>
      <c r="D1266" t="s">
        <v>25</v>
      </c>
      <c r="E1266" t="s">
        <v>54</v>
      </c>
      <c r="F1266">
        <v>60.98</v>
      </c>
      <c r="G1266" t="s">
        <v>19</v>
      </c>
      <c r="H1266" t="s">
        <v>15</v>
      </c>
      <c r="I1266">
        <v>2.8</v>
      </c>
      <c r="J1266">
        <v>14</v>
      </c>
      <c r="K1266">
        <v>7</v>
      </c>
    </row>
    <row r="1267" spans="1:11" x14ac:dyDescent="0.35">
      <c r="A1267">
        <v>1266</v>
      </c>
      <c r="B1267">
        <v>37</v>
      </c>
      <c r="C1267" t="s">
        <v>16</v>
      </c>
      <c r="D1267" t="s">
        <v>27</v>
      </c>
      <c r="E1267" t="s">
        <v>32</v>
      </c>
      <c r="F1267">
        <v>943.53</v>
      </c>
      <c r="G1267" t="s">
        <v>19</v>
      </c>
      <c r="H1267" t="s">
        <v>15</v>
      </c>
      <c r="I1267">
        <v>4.7</v>
      </c>
      <c r="J1267">
        <v>2</v>
      </c>
      <c r="K1267">
        <v>1</v>
      </c>
    </row>
    <row r="1268" spans="1:11" x14ac:dyDescent="0.35">
      <c r="A1268">
        <v>1267</v>
      </c>
      <c r="B1268">
        <v>51</v>
      </c>
      <c r="C1268" t="s">
        <v>16</v>
      </c>
      <c r="D1268" t="s">
        <v>20</v>
      </c>
      <c r="E1268" t="s">
        <v>36</v>
      </c>
      <c r="F1268">
        <v>246.18</v>
      </c>
      <c r="G1268" t="s">
        <v>19</v>
      </c>
      <c r="H1268" t="s">
        <v>15</v>
      </c>
      <c r="I1268">
        <v>3.6</v>
      </c>
      <c r="J1268">
        <v>8</v>
      </c>
      <c r="K1268">
        <v>4</v>
      </c>
    </row>
    <row r="1269" spans="1:11" x14ac:dyDescent="0.35">
      <c r="A1269">
        <v>1268</v>
      </c>
      <c r="B1269">
        <v>65</v>
      </c>
      <c r="C1269" t="s">
        <v>16</v>
      </c>
      <c r="D1269" t="s">
        <v>27</v>
      </c>
      <c r="E1269" t="s">
        <v>53</v>
      </c>
      <c r="F1269">
        <v>1135.9000000000001</v>
      </c>
      <c r="G1269" t="s">
        <v>24</v>
      </c>
      <c r="H1269" t="s">
        <v>15</v>
      </c>
      <c r="I1269">
        <v>3.5</v>
      </c>
      <c r="J1269">
        <v>13</v>
      </c>
      <c r="K1269">
        <v>4</v>
      </c>
    </row>
    <row r="1270" spans="1:11" x14ac:dyDescent="0.35">
      <c r="A1270">
        <v>1269</v>
      </c>
      <c r="B1270">
        <v>45</v>
      </c>
      <c r="C1270" t="s">
        <v>16</v>
      </c>
      <c r="D1270" t="s">
        <v>27</v>
      </c>
      <c r="E1270" t="s">
        <v>53</v>
      </c>
      <c r="F1270">
        <v>1704.22</v>
      </c>
      <c r="G1270" t="s">
        <v>31</v>
      </c>
      <c r="H1270" t="s">
        <v>15</v>
      </c>
      <c r="I1270">
        <v>4.0999999999999996</v>
      </c>
      <c r="J1270">
        <v>15</v>
      </c>
      <c r="K1270">
        <v>5</v>
      </c>
    </row>
    <row r="1271" spans="1:11" x14ac:dyDescent="0.35">
      <c r="A1271">
        <v>1270</v>
      </c>
      <c r="B1271">
        <v>23</v>
      </c>
      <c r="C1271" t="s">
        <v>16</v>
      </c>
      <c r="D1271" t="s">
        <v>33</v>
      </c>
      <c r="E1271" t="s">
        <v>34</v>
      </c>
      <c r="F1271">
        <v>92.79</v>
      </c>
      <c r="G1271" t="s">
        <v>14</v>
      </c>
      <c r="H1271" t="s">
        <v>15</v>
      </c>
      <c r="I1271">
        <v>4.9000000000000004</v>
      </c>
      <c r="J1271">
        <v>13</v>
      </c>
      <c r="K1271">
        <v>4</v>
      </c>
    </row>
    <row r="1272" spans="1:11" x14ac:dyDescent="0.35">
      <c r="A1272">
        <v>1271</v>
      </c>
      <c r="B1272">
        <v>55</v>
      </c>
      <c r="C1272" t="s">
        <v>16</v>
      </c>
      <c r="D1272" t="s">
        <v>17</v>
      </c>
      <c r="E1272" t="s">
        <v>42</v>
      </c>
      <c r="F1272">
        <v>165.27</v>
      </c>
      <c r="G1272" t="s">
        <v>19</v>
      </c>
      <c r="H1272" t="s">
        <v>15</v>
      </c>
      <c r="I1272">
        <v>3.5</v>
      </c>
      <c r="J1272">
        <v>17</v>
      </c>
      <c r="K1272">
        <v>6</v>
      </c>
    </row>
    <row r="1273" spans="1:11" x14ac:dyDescent="0.35">
      <c r="A1273">
        <v>1272</v>
      </c>
      <c r="B1273">
        <v>45</v>
      </c>
      <c r="C1273" t="s">
        <v>11</v>
      </c>
      <c r="D1273" t="s">
        <v>29</v>
      </c>
      <c r="E1273" t="s">
        <v>51</v>
      </c>
      <c r="F1273">
        <v>72.319999999999993</v>
      </c>
      <c r="G1273" t="s">
        <v>31</v>
      </c>
      <c r="H1273" t="s">
        <v>37</v>
      </c>
      <c r="I1273">
        <v>3.4</v>
      </c>
      <c r="J1273">
        <v>17</v>
      </c>
      <c r="K1273">
        <v>6</v>
      </c>
    </row>
    <row r="1274" spans="1:11" x14ac:dyDescent="0.35">
      <c r="A1274">
        <v>1273</v>
      </c>
      <c r="B1274">
        <v>55</v>
      </c>
      <c r="C1274" t="s">
        <v>16</v>
      </c>
      <c r="D1274" t="s">
        <v>27</v>
      </c>
      <c r="E1274" t="s">
        <v>53</v>
      </c>
      <c r="F1274">
        <v>1843.01</v>
      </c>
      <c r="G1274" t="s">
        <v>19</v>
      </c>
      <c r="H1274" t="s">
        <v>15</v>
      </c>
      <c r="I1274">
        <v>2.9</v>
      </c>
      <c r="J1274">
        <v>20</v>
      </c>
      <c r="K1274">
        <v>10</v>
      </c>
    </row>
    <row r="1275" spans="1:11" x14ac:dyDescent="0.35">
      <c r="A1275">
        <v>1274</v>
      </c>
      <c r="B1275">
        <v>45</v>
      </c>
      <c r="C1275" t="s">
        <v>16</v>
      </c>
      <c r="D1275" t="s">
        <v>20</v>
      </c>
      <c r="E1275" t="s">
        <v>21</v>
      </c>
      <c r="F1275">
        <v>40.4</v>
      </c>
      <c r="G1275" t="s">
        <v>31</v>
      </c>
      <c r="H1275" t="s">
        <v>15</v>
      </c>
      <c r="I1275">
        <v>3.3</v>
      </c>
      <c r="J1275">
        <v>10</v>
      </c>
      <c r="K1275">
        <v>5</v>
      </c>
    </row>
    <row r="1276" spans="1:11" x14ac:dyDescent="0.35">
      <c r="A1276">
        <v>1275</v>
      </c>
      <c r="B1276">
        <v>29</v>
      </c>
      <c r="C1276" t="s">
        <v>16</v>
      </c>
      <c r="D1276" t="s">
        <v>20</v>
      </c>
      <c r="E1276" t="s">
        <v>36</v>
      </c>
      <c r="F1276">
        <v>80.31</v>
      </c>
      <c r="G1276" t="s">
        <v>24</v>
      </c>
      <c r="H1276" t="s">
        <v>37</v>
      </c>
      <c r="I1276">
        <v>4.3</v>
      </c>
      <c r="J1276">
        <v>11</v>
      </c>
      <c r="K1276">
        <v>3</v>
      </c>
    </row>
    <row r="1277" spans="1:11" x14ac:dyDescent="0.35">
      <c r="A1277">
        <v>1276</v>
      </c>
      <c r="B1277">
        <v>27</v>
      </c>
      <c r="C1277" t="s">
        <v>11</v>
      </c>
      <c r="D1277" t="s">
        <v>33</v>
      </c>
      <c r="E1277" t="s">
        <v>38</v>
      </c>
      <c r="F1277">
        <v>197.36</v>
      </c>
      <c r="G1277" t="s">
        <v>14</v>
      </c>
      <c r="H1277" t="s">
        <v>15</v>
      </c>
      <c r="I1277">
        <v>3.5</v>
      </c>
      <c r="J1277">
        <v>16</v>
      </c>
      <c r="K1277">
        <v>3</v>
      </c>
    </row>
    <row r="1278" spans="1:11" x14ac:dyDescent="0.35">
      <c r="A1278">
        <v>1277</v>
      </c>
      <c r="B1278">
        <v>22</v>
      </c>
      <c r="C1278" t="s">
        <v>16</v>
      </c>
      <c r="D1278" t="s">
        <v>33</v>
      </c>
      <c r="E1278" t="s">
        <v>38</v>
      </c>
      <c r="F1278">
        <v>153.96</v>
      </c>
      <c r="G1278" t="s">
        <v>19</v>
      </c>
      <c r="H1278" t="s">
        <v>15</v>
      </c>
      <c r="I1278">
        <v>4.7</v>
      </c>
      <c r="J1278">
        <v>11</v>
      </c>
      <c r="K1278">
        <v>3</v>
      </c>
    </row>
    <row r="1279" spans="1:11" x14ac:dyDescent="0.35">
      <c r="A1279">
        <v>1278</v>
      </c>
      <c r="B1279">
        <v>55</v>
      </c>
      <c r="C1279" t="s">
        <v>16</v>
      </c>
      <c r="D1279" t="s">
        <v>33</v>
      </c>
      <c r="E1279" t="s">
        <v>38</v>
      </c>
      <c r="F1279">
        <v>46.48</v>
      </c>
      <c r="G1279" t="s">
        <v>31</v>
      </c>
      <c r="H1279" t="s">
        <v>37</v>
      </c>
      <c r="I1279">
        <v>3.1</v>
      </c>
      <c r="J1279">
        <v>6</v>
      </c>
      <c r="K1279">
        <v>3</v>
      </c>
    </row>
    <row r="1280" spans="1:11" x14ac:dyDescent="0.35">
      <c r="A1280">
        <v>1279</v>
      </c>
      <c r="B1280">
        <v>40</v>
      </c>
      <c r="C1280" t="s">
        <v>16</v>
      </c>
      <c r="D1280" t="s">
        <v>22</v>
      </c>
      <c r="E1280" t="s">
        <v>52</v>
      </c>
      <c r="F1280">
        <v>129.11000000000001</v>
      </c>
      <c r="G1280" t="s">
        <v>31</v>
      </c>
      <c r="H1280" t="s">
        <v>15</v>
      </c>
      <c r="I1280">
        <v>3.1</v>
      </c>
      <c r="J1280">
        <v>20</v>
      </c>
      <c r="K1280">
        <v>5</v>
      </c>
    </row>
    <row r="1281" spans="1:11" x14ac:dyDescent="0.35">
      <c r="A1281">
        <v>1280</v>
      </c>
      <c r="B1281">
        <v>63</v>
      </c>
      <c r="C1281" t="s">
        <v>16</v>
      </c>
      <c r="D1281" t="s">
        <v>20</v>
      </c>
      <c r="E1281" t="s">
        <v>36</v>
      </c>
      <c r="F1281">
        <v>130.97999999999999</v>
      </c>
      <c r="G1281" t="s">
        <v>31</v>
      </c>
      <c r="H1281" t="s">
        <v>15</v>
      </c>
      <c r="I1281">
        <v>3.3</v>
      </c>
      <c r="J1281">
        <v>10</v>
      </c>
      <c r="K1281">
        <v>5</v>
      </c>
    </row>
    <row r="1282" spans="1:11" x14ac:dyDescent="0.35">
      <c r="A1282">
        <v>1281</v>
      </c>
      <c r="B1282">
        <v>43</v>
      </c>
      <c r="C1282" t="s">
        <v>16</v>
      </c>
      <c r="D1282" t="s">
        <v>20</v>
      </c>
      <c r="E1282" t="s">
        <v>39</v>
      </c>
      <c r="F1282">
        <v>116.56</v>
      </c>
      <c r="G1282" t="s">
        <v>31</v>
      </c>
      <c r="H1282" t="s">
        <v>15</v>
      </c>
      <c r="I1282">
        <v>3.1</v>
      </c>
      <c r="J1282">
        <v>25</v>
      </c>
      <c r="K1282">
        <v>10</v>
      </c>
    </row>
    <row r="1283" spans="1:11" x14ac:dyDescent="0.35">
      <c r="A1283">
        <v>1282</v>
      </c>
      <c r="B1283">
        <v>34</v>
      </c>
      <c r="C1283" t="s">
        <v>16</v>
      </c>
      <c r="D1283" t="s">
        <v>27</v>
      </c>
      <c r="E1283" t="s">
        <v>53</v>
      </c>
      <c r="F1283">
        <v>1105.45</v>
      </c>
      <c r="G1283" t="s">
        <v>24</v>
      </c>
      <c r="H1283" t="s">
        <v>15</v>
      </c>
      <c r="I1283">
        <v>5</v>
      </c>
      <c r="J1283">
        <v>24</v>
      </c>
      <c r="K1283">
        <v>7</v>
      </c>
    </row>
    <row r="1284" spans="1:11" x14ac:dyDescent="0.35">
      <c r="A1284">
        <v>1283</v>
      </c>
      <c r="B1284">
        <v>46</v>
      </c>
      <c r="C1284" t="s">
        <v>16</v>
      </c>
      <c r="D1284" t="s">
        <v>33</v>
      </c>
      <c r="E1284" t="s">
        <v>40</v>
      </c>
      <c r="F1284">
        <v>192.39</v>
      </c>
      <c r="G1284" t="s">
        <v>14</v>
      </c>
      <c r="H1284" t="s">
        <v>15</v>
      </c>
      <c r="I1284">
        <v>3.9</v>
      </c>
      <c r="J1284">
        <v>9</v>
      </c>
      <c r="K1284">
        <v>2</v>
      </c>
    </row>
    <row r="1285" spans="1:11" x14ac:dyDescent="0.35">
      <c r="A1285">
        <v>1284</v>
      </c>
      <c r="B1285">
        <v>51</v>
      </c>
      <c r="C1285" t="s">
        <v>11</v>
      </c>
      <c r="D1285" t="s">
        <v>41</v>
      </c>
      <c r="E1285" t="s">
        <v>46</v>
      </c>
      <c r="F1285">
        <v>184.44</v>
      </c>
      <c r="G1285" t="s">
        <v>19</v>
      </c>
      <c r="H1285" t="s">
        <v>15</v>
      </c>
      <c r="I1285">
        <v>3.6</v>
      </c>
      <c r="J1285">
        <v>15</v>
      </c>
      <c r="K1285">
        <v>5</v>
      </c>
    </row>
    <row r="1286" spans="1:11" x14ac:dyDescent="0.35">
      <c r="A1286">
        <v>1285</v>
      </c>
      <c r="B1286">
        <v>25</v>
      </c>
      <c r="C1286" t="s">
        <v>16</v>
      </c>
      <c r="D1286" t="s">
        <v>22</v>
      </c>
      <c r="E1286" t="s">
        <v>52</v>
      </c>
      <c r="F1286">
        <v>227.36</v>
      </c>
      <c r="G1286" t="s">
        <v>19</v>
      </c>
      <c r="H1286" t="s">
        <v>15</v>
      </c>
      <c r="I1286">
        <v>3.2</v>
      </c>
      <c r="J1286">
        <v>15</v>
      </c>
      <c r="K1286">
        <v>5</v>
      </c>
    </row>
    <row r="1287" spans="1:11" x14ac:dyDescent="0.35">
      <c r="A1287">
        <v>1286</v>
      </c>
      <c r="B1287">
        <v>55</v>
      </c>
      <c r="C1287" t="s">
        <v>16</v>
      </c>
      <c r="D1287" t="s">
        <v>17</v>
      </c>
      <c r="E1287" t="s">
        <v>48</v>
      </c>
      <c r="F1287">
        <v>91.95</v>
      </c>
      <c r="G1287" t="s">
        <v>31</v>
      </c>
      <c r="H1287" t="s">
        <v>15</v>
      </c>
      <c r="I1287">
        <v>4.0999999999999996</v>
      </c>
      <c r="J1287">
        <v>20</v>
      </c>
      <c r="K1287">
        <v>5</v>
      </c>
    </row>
    <row r="1288" spans="1:11" x14ac:dyDescent="0.35">
      <c r="A1288">
        <v>1287</v>
      </c>
      <c r="B1288">
        <v>40</v>
      </c>
      <c r="C1288" t="s">
        <v>11</v>
      </c>
      <c r="D1288" t="s">
        <v>20</v>
      </c>
      <c r="E1288" t="s">
        <v>39</v>
      </c>
      <c r="F1288">
        <v>71.11</v>
      </c>
      <c r="G1288" t="s">
        <v>24</v>
      </c>
      <c r="H1288" t="s">
        <v>37</v>
      </c>
      <c r="I1288">
        <v>4.5999999999999996</v>
      </c>
      <c r="J1288">
        <v>18</v>
      </c>
      <c r="K1288">
        <v>4</v>
      </c>
    </row>
    <row r="1289" spans="1:11" x14ac:dyDescent="0.35">
      <c r="A1289">
        <v>1288</v>
      </c>
      <c r="B1289">
        <v>36</v>
      </c>
      <c r="C1289" t="s">
        <v>16</v>
      </c>
      <c r="D1289" t="s">
        <v>33</v>
      </c>
      <c r="E1289" t="s">
        <v>34</v>
      </c>
      <c r="F1289">
        <v>114.22</v>
      </c>
      <c r="G1289" t="s">
        <v>14</v>
      </c>
      <c r="H1289" t="s">
        <v>15</v>
      </c>
      <c r="I1289">
        <v>3.9</v>
      </c>
      <c r="J1289">
        <v>22</v>
      </c>
      <c r="K1289">
        <v>6</v>
      </c>
    </row>
    <row r="1290" spans="1:11" x14ac:dyDescent="0.35">
      <c r="A1290">
        <v>1289</v>
      </c>
      <c r="B1290">
        <v>70</v>
      </c>
      <c r="C1290" t="s">
        <v>11</v>
      </c>
      <c r="D1290" t="s">
        <v>29</v>
      </c>
      <c r="E1290" t="s">
        <v>55</v>
      </c>
      <c r="F1290">
        <v>104.25</v>
      </c>
      <c r="G1290" t="s">
        <v>24</v>
      </c>
      <c r="H1290" t="s">
        <v>15</v>
      </c>
      <c r="I1290">
        <v>3.9</v>
      </c>
      <c r="J1290">
        <v>10</v>
      </c>
      <c r="K1290">
        <v>5</v>
      </c>
    </row>
    <row r="1291" spans="1:11" x14ac:dyDescent="0.35">
      <c r="A1291">
        <v>1290</v>
      </c>
      <c r="B1291">
        <v>20</v>
      </c>
      <c r="C1291" t="s">
        <v>11</v>
      </c>
      <c r="D1291" t="s">
        <v>41</v>
      </c>
      <c r="E1291" t="s">
        <v>44</v>
      </c>
      <c r="F1291">
        <v>151.63</v>
      </c>
      <c r="G1291" t="s">
        <v>24</v>
      </c>
      <c r="H1291" t="s">
        <v>15</v>
      </c>
      <c r="I1291">
        <v>2</v>
      </c>
      <c r="J1291">
        <v>12</v>
      </c>
      <c r="K1291">
        <v>6</v>
      </c>
    </row>
    <row r="1292" spans="1:11" x14ac:dyDescent="0.35">
      <c r="A1292">
        <v>1291</v>
      </c>
      <c r="B1292">
        <v>35</v>
      </c>
      <c r="C1292" t="s">
        <v>16</v>
      </c>
      <c r="D1292" t="s">
        <v>20</v>
      </c>
      <c r="E1292" t="s">
        <v>39</v>
      </c>
      <c r="F1292">
        <v>113.99</v>
      </c>
      <c r="G1292" t="s">
        <v>31</v>
      </c>
      <c r="H1292" t="s">
        <v>15</v>
      </c>
      <c r="I1292">
        <v>3.3</v>
      </c>
      <c r="J1292">
        <v>8</v>
      </c>
      <c r="K1292">
        <v>4</v>
      </c>
    </row>
    <row r="1293" spans="1:11" x14ac:dyDescent="0.35">
      <c r="A1293">
        <v>1292</v>
      </c>
      <c r="B1293">
        <v>37</v>
      </c>
      <c r="C1293" t="s">
        <v>11</v>
      </c>
      <c r="D1293" t="s">
        <v>33</v>
      </c>
      <c r="E1293" t="s">
        <v>38</v>
      </c>
      <c r="F1293">
        <v>149.77000000000001</v>
      </c>
      <c r="G1293" t="s">
        <v>19</v>
      </c>
      <c r="H1293" t="s">
        <v>15</v>
      </c>
      <c r="I1293">
        <v>4</v>
      </c>
      <c r="J1293">
        <v>25</v>
      </c>
      <c r="K1293">
        <v>10</v>
      </c>
    </row>
    <row r="1294" spans="1:11" x14ac:dyDescent="0.35">
      <c r="A1294">
        <v>1293</v>
      </c>
      <c r="B1294">
        <v>35</v>
      </c>
      <c r="C1294" t="s">
        <v>11</v>
      </c>
      <c r="D1294" t="s">
        <v>20</v>
      </c>
      <c r="E1294" t="s">
        <v>21</v>
      </c>
      <c r="F1294">
        <v>149.11000000000001</v>
      </c>
      <c r="G1294" t="s">
        <v>19</v>
      </c>
      <c r="H1294" t="s">
        <v>15</v>
      </c>
      <c r="I1294">
        <v>3.1</v>
      </c>
      <c r="J1294">
        <v>14</v>
      </c>
      <c r="K1294">
        <v>7</v>
      </c>
    </row>
    <row r="1295" spans="1:11" x14ac:dyDescent="0.35">
      <c r="A1295">
        <v>1294</v>
      </c>
      <c r="B1295">
        <v>47</v>
      </c>
      <c r="C1295" t="s">
        <v>11</v>
      </c>
      <c r="D1295" t="s">
        <v>12</v>
      </c>
      <c r="E1295" t="s">
        <v>56</v>
      </c>
      <c r="F1295">
        <v>44.02</v>
      </c>
      <c r="G1295" t="s">
        <v>14</v>
      </c>
      <c r="H1295" t="s">
        <v>37</v>
      </c>
      <c r="I1295">
        <v>4.4000000000000004</v>
      </c>
      <c r="J1295">
        <v>6</v>
      </c>
      <c r="K1295">
        <v>3</v>
      </c>
    </row>
    <row r="1296" spans="1:11" x14ac:dyDescent="0.35">
      <c r="A1296">
        <v>1295</v>
      </c>
      <c r="B1296">
        <v>60</v>
      </c>
      <c r="C1296" t="s">
        <v>16</v>
      </c>
      <c r="D1296" t="s">
        <v>17</v>
      </c>
      <c r="E1296" t="s">
        <v>48</v>
      </c>
      <c r="F1296">
        <v>42.96</v>
      </c>
      <c r="G1296" t="s">
        <v>19</v>
      </c>
      <c r="H1296" t="s">
        <v>15</v>
      </c>
      <c r="I1296">
        <v>5</v>
      </c>
      <c r="J1296">
        <v>25</v>
      </c>
      <c r="K1296">
        <v>10</v>
      </c>
    </row>
    <row r="1297" spans="1:11" x14ac:dyDescent="0.35">
      <c r="A1297">
        <v>1296</v>
      </c>
      <c r="B1297">
        <v>55</v>
      </c>
      <c r="C1297" t="s">
        <v>11</v>
      </c>
      <c r="D1297" t="s">
        <v>41</v>
      </c>
      <c r="E1297" t="s">
        <v>46</v>
      </c>
      <c r="F1297">
        <v>186.61</v>
      </c>
      <c r="G1297" t="s">
        <v>31</v>
      </c>
      <c r="H1297" t="s">
        <v>15</v>
      </c>
      <c r="I1297">
        <v>3.2</v>
      </c>
      <c r="J1297">
        <v>14</v>
      </c>
      <c r="K1297">
        <v>7</v>
      </c>
    </row>
    <row r="1298" spans="1:11" x14ac:dyDescent="0.35">
      <c r="A1298">
        <v>1297</v>
      </c>
      <c r="B1298">
        <v>36</v>
      </c>
      <c r="C1298" t="s">
        <v>16</v>
      </c>
      <c r="D1298" t="s">
        <v>25</v>
      </c>
      <c r="E1298" t="s">
        <v>47</v>
      </c>
      <c r="F1298">
        <v>20.05</v>
      </c>
      <c r="G1298" t="s">
        <v>19</v>
      </c>
      <c r="H1298" t="s">
        <v>37</v>
      </c>
      <c r="I1298">
        <v>3.9</v>
      </c>
      <c r="J1298">
        <v>13</v>
      </c>
      <c r="K1298">
        <v>4</v>
      </c>
    </row>
    <row r="1299" spans="1:11" x14ac:dyDescent="0.35">
      <c r="A1299">
        <v>1298</v>
      </c>
      <c r="B1299">
        <v>31</v>
      </c>
      <c r="C1299" t="s">
        <v>16</v>
      </c>
      <c r="D1299" t="s">
        <v>27</v>
      </c>
      <c r="E1299" t="s">
        <v>49</v>
      </c>
      <c r="F1299">
        <v>2520.3000000000002</v>
      </c>
      <c r="G1299" t="s">
        <v>31</v>
      </c>
      <c r="H1299" t="s">
        <v>15</v>
      </c>
      <c r="I1299">
        <v>2.7</v>
      </c>
      <c r="J1299">
        <v>14</v>
      </c>
      <c r="K1299">
        <v>7</v>
      </c>
    </row>
    <row r="1300" spans="1:11" x14ac:dyDescent="0.35">
      <c r="A1300">
        <v>1299</v>
      </c>
      <c r="B1300">
        <v>51</v>
      </c>
      <c r="C1300" t="s">
        <v>11</v>
      </c>
      <c r="D1300" t="s">
        <v>41</v>
      </c>
      <c r="E1300" t="s">
        <v>46</v>
      </c>
      <c r="F1300">
        <v>119.82</v>
      </c>
      <c r="G1300" t="s">
        <v>24</v>
      </c>
      <c r="H1300" t="s">
        <v>15</v>
      </c>
      <c r="I1300">
        <v>4.3</v>
      </c>
      <c r="J1300">
        <v>21</v>
      </c>
      <c r="K1300">
        <v>8</v>
      </c>
    </row>
    <row r="1301" spans="1:11" x14ac:dyDescent="0.35">
      <c r="A1301">
        <v>1300</v>
      </c>
      <c r="B1301">
        <v>62</v>
      </c>
      <c r="C1301" t="s">
        <v>16</v>
      </c>
      <c r="D1301" t="s">
        <v>33</v>
      </c>
      <c r="E1301" t="s">
        <v>34</v>
      </c>
      <c r="F1301">
        <v>144.66999999999999</v>
      </c>
      <c r="G1301" t="s">
        <v>14</v>
      </c>
      <c r="H1301" t="s">
        <v>15</v>
      </c>
      <c r="I1301">
        <v>3.7</v>
      </c>
      <c r="J1301">
        <v>14</v>
      </c>
      <c r="K1301">
        <v>7</v>
      </c>
    </row>
    <row r="1302" spans="1:11" x14ac:dyDescent="0.35">
      <c r="A1302">
        <v>1301</v>
      </c>
      <c r="B1302">
        <v>29</v>
      </c>
      <c r="C1302" t="s">
        <v>11</v>
      </c>
      <c r="D1302" t="s">
        <v>29</v>
      </c>
      <c r="E1302" t="s">
        <v>30</v>
      </c>
      <c r="F1302">
        <v>38.64</v>
      </c>
      <c r="G1302" t="s">
        <v>14</v>
      </c>
      <c r="H1302" t="s">
        <v>37</v>
      </c>
      <c r="I1302">
        <v>4</v>
      </c>
      <c r="J1302">
        <v>16</v>
      </c>
      <c r="K1302">
        <v>3</v>
      </c>
    </row>
    <row r="1303" spans="1:11" x14ac:dyDescent="0.35">
      <c r="A1303">
        <v>1302</v>
      </c>
      <c r="B1303">
        <v>28</v>
      </c>
      <c r="C1303" t="s">
        <v>16</v>
      </c>
      <c r="D1303" t="s">
        <v>20</v>
      </c>
      <c r="E1303" t="s">
        <v>21</v>
      </c>
      <c r="F1303">
        <v>64.16</v>
      </c>
      <c r="G1303" t="s">
        <v>24</v>
      </c>
      <c r="H1303" t="s">
        <v>37</v>
      </c>
      <c r="I1303">
        <v>3.7</v>
      </c>
      <c r="J1303">
        <v>28</v>
      </c>
      <c r="K1303">
        <v>9</v>
      </c>
    </row>
    <row r="1304" spans="1:11" x14ac:dyDescent="0.35">
      <c r="A1304">
        <v>1303</v>
      </c>
      <c r="B1304">
        <v>35</v>
      </c>
      <c r="C1304" t="s">
        <v>16</v>
      </c>
      <c r="D1304" t="s">
        <v>20</v>
      </c>
      <c r="E1304" t="s">
        <v>36</v>
      </c>
      <c r="F1304">
        <v>238.78</v>
      </c>
      <c r="G1304" t="s">
        <v>31</v>
      </c>
      <c r="H1304" t="s">
        <v>15</v>
      </c>
      <c r="I1304">
        <v>3.8</v>
      </c>
      <c r="J1304">
        <v>9</v>
      </c>
      <c r="K1304">
        <v>2</v>
      </c>
    </row>
    <row r="1305" spans="1:11" x14ac:dyDescent="0.35">
      <c r="A1305">
        <v>1304</v>
      </c>
      <c r="B1305">
        <v>34</v>
      </c>
      <c r="C1305" t="s">
        <v>11</v>
      </c>
      <c r="D1305" t="s">
        <v>12</v>
      </c>
      <c r="E1305" t="s">
        <v>50</v>
      </c>
      <c r="F1305">
        <v>159.38999999999999</v>
      </c>
      <c r="G1305" t="s">
        <v>19</v>
      </c>
      <c r="H1305" t="s">
        <v>15</v>
      </c>
      <c r="I1305">
        <v>3</v>
      </c>
      <c r="J1305">
        <v>6</v>
      </c>
      <c r="K1305">
        <v>3</v>
      </c>
    </row>
    <row r="1306" spans="1:11" x14ac:dyDescent="0.35">
      <c r="A1306">
        <v>1305</v>
      </c>
      <c r="B1306">
        <v>22</v>
      </c>
      <c r="C1306" t="s">
        <v>11</v>
      </c>
      <c r="D1306" t="s">
        <v>25</v>
      </c>
      <c r="E1306" t="s">
        <v>54</v>
      </c>
      <c r="F1306">
        <v>60.87</v>
      </c>
      <c r="G1306" t="s">
        <v>24</v>
      </c>
      <c r="H1306" t="s">
        <v>15</v>
      </c>
      <c r="I1306">
        <v>3.6</v>
      </c>
      <c r="J1306">
        <v>14</v>
      </c>
      <c r="K1306">
        <v>7</v>
      </c>
    </row>
    <row r="1307" spans="1:11" x14ac:dyDescent="0.35">
      <c r="A1307">
        <v>1306</v>
      </c>
      <c r="B1307">
        <v>70</v>
      </c>
      <c r="C1307" t="s">
        <v>16</v>
      </c>
      <c r="D1307" t="s">
        <v>33</v>
      </c>
      <c r="E1307" t="s">
        <v>34</v>
      </c>
      <c r="F1307">
        <v>61.28</v>
      </c>
      <c r="G1307" t="s">
        <v>31</v>
      </c>
      <c r="H1307" t="s">
        <v>15</v>
      </c>
      <c r="I1307">
        <v>4.5999999999999996</v>
      </c>
      <c r="J1307">
        <v>14</v>
      </c>
      <c r="K1307">
        <v>7</v>
      </c>
    </row>
    <row r="1308" spans="1:11" x14ac:dyDescent="0.35">
      <c r="A1308">
        <v>1307</v>
      </c>
      <c r="B1308">
        <v>42</v>
      </c>
      <c r="C1308" t="s">
        <v>16</v>
      </c>
      <c r="D1308" t="s">
        <v>33</v>
      </c>
      <c r="E1308" t="s">
        <v>38</v>
      </c>
      <c r="F1308">
        <v>219.14</v>
      </c>
      <c r="G1308" t="s">
        <v>24</v>
      </c>
      <c r="H1308" t="s">
        <v>15</v>
      </c>
      <c r="I1308">
        <v>4.2</v>
      </c>
      <c r="J1308">
        <v>18</v>
      </c>
      <c r="K1308">
        <v>4</v>
      </c>
    </row>
    <row r="1309" spans="1:11" x14ac:dyDescent="0.35">
      <c r="A1309">
        <v>1308</v>
      </c>
      <c r="B1309">
        <v>22</v>
      </c>
      <c r="C1309" t="s">
        <v>11</v>
      </c>
      <c r="D1309" t="s">
        <v>41</v>
      </c>
      <c r="E1309" t="s">
        <v>44</v>
      </c>
      <c r="F1309">
        <v>125.23</v>
      </c>
      <c r="G1309" t="s">
        <v>24</v>
      </c>
      <c r="H1309" t="s">
        <v>15</v>
      </c>
      <c r="I1309">
        <v>4.8</v>
      </c>
      <c r="J1309">
        <v>13</v>
      </c>
      <c r="K1309">
        <v>4</v>
      </c>
    </row>
    <row r="1310" spans="1:11" x14ac:dyDescent="0.35">
      <c r="A1310">
        <v>1309</v>
      </c>
      <c r="B1310">
        <v>39</v>
      </c>
      <c r="C1310" t="s">
        <v>11</v>
      </c>
      <c r="D1310" t="s">
        <v>12</v>
      </c>
      <c r="E1310" t="s">
        <v>56</v>
      </c>
      <c r="F1310">
        <v>77.930000000000007</v>
      </c>
      <c r="G1310" t="s">
        <v>31</v>
      </c>
      <c r="H1310" t="s">
        <v>15</v>
      </c>
      <c r="I1310">
        <v>3.5</v>
      </c>
      <c r="J1310">
        <v>10</v>
      </c>
      <c r="K1310">
        <v>5</v>
      </c>
    </row>
    <row r="1311" spans="1:11" x14ac:dyDescent="0.35">
      <c r="A1311">
        <v>1310</v>
      </c>
      <c r="B1311">
        <v>48</v>
      </c>
      <c r="C1311" t="s">
        <v>16</v>
      </c>
      <c r="D1311" t="s">
        <v>27</v>
      </c>
      <c r="E1311" t="s">
        <v>32</v>
      </c>
      <c r="F1311">
        <v>579.51</v>
      </c>
      <c r="G1311" t="s">
        <v>19</v>
      </c>
      <c r="H1311" t="s">
        <v>15</v>
      </c>
      <c r="I1311">
        <v>2.5</v>
      </c>
      <c r="J1311">
        <v>11</v>
      </c>
      <c r="K1311">
        <v>3</v>
      </c>
    </row>
    <row r="1312" spans="1:11" x14ac:dyDescent="0.35">
      <c r="A1312">
        <v>1311</v>
      </c>
      <c r="B1312">
        <v>58</v>
      </c>
      <c r="C1312" t="s">
        <v>16</v>
      </c>
      <c r="D1312" t="s">
        <v>17</v>
      </c>
      <c r="E1312" t="s">
        <v>48</v>
      </c>
      <c r="F1312">
        <v>142.47</v>
      </c>
      <c r="G1312" t="s">
        <v>19</v>
      </c>
      <c r="H1312" t="s">
        <v>15</v>
      </c>
      <c r="I1312">
        <v>3.5</v>
      </c>
      <c r="J1312">
        <v>20</v>
      </c>
      <c r="K1312">
        <v>5</v>
      </c>
    </row>
    <row r="1313" spans="1:11" x14ac:dyDescent="0.35">
      <c r="A1313">
        <v>1312</v>
      </c>
      <c r="B1313">
        <v>21</v>
      </c>
      <c r="C1313" t="s">
        <v>16</v>
      </c>
      <c r="D1313" t="s">
        <v>20</v>
      </c>
      <c r="E1313" t="s">
        <v>36</v>
      </c>
      <c r="F1313">
        <v>34.03</v>
      </c>
      <c r="G1313" t="s">
        <v>31</v>
      </c>
      <c r="H1313" t="s">
        <v>37</v>
      </c>
      <c r="I1313">
        <v>3.3</v>
      </c>
      <c r="J1313">
        <v>6</v>
      </c>
      <c r="K1313">
        <v>3</v>
      </c>
    </row>
    <row r="1314" spans="1:11" x14ac:dyDescent="0.35">
      <c r="A1314">
        <v>1313</v>
      </c>
      <c r="B1314">
        <v>56</v>
      </c>
      <c r="C1314" t="s">
        <v>16</v>
      </c>
      <c r="D1314" t="s">
        <v>17</v>
      </c>
      <c r="E1314" t="s">
        <v>42</v>
      </c>
      <c r="F1314">
        <v>191.15</v>
      </c>
      <c r="G1314" t="s">
        <v>31</v>
      </c>
      <c r="H1314" t="s">
        <v>15</v>
      </c>
      <c r="I1314">
        <v>3.2</v>
      </c>
      <c r="J1314">
        <v>30</v>
      </c>
      <c r="K1314">
        <v>10</v>
      </c>
    </row>
    <row r="1315" spans="1:11" x14ac:dyDescent="0.35">
      <c r="A1315">
        <v>1314</v>
      </c>
      <c r="B1315">
        <v>57</v>
      </c>
      <c r="C1315" t="s">
        <v>11</v>
      </c>
      <c r="D1315" t="s">
        <v>25</v>
      </c>
      <c r="E1315" t="s">
        <v>54</v>
      </c>
      <c r="F1315">
        <v>57.36</v>
      </c>
      <c r="G1315" t="s">
        <v>31</v>
      </c>
      <c r="H1315" t="s">
        <v>15</v>
      </c>
      <c r="I1315">
        <v>3.8</v>
      </c>
      <c r="J1315">
        <v>20</v>
      </c>
      <c r="K1315">
        <v>5</v>
      </c>
    </row>
    <row r="1316" spans="1:11" x14ac:dyDescent="0.35">
      <c r="A1316">
        <v>1315</v>
      </c>
      <c r="B1316">
        <v>40</v>
      </c>
      <c r="C1316" t="s">
        <v>16</v>
      </c>
      <c r="D1316" t="s">
        <v>20</v>
      </c>
      <c r="E1316" t="s">
        <v>36</v>
      </c>
      <c r="F1316">
        <v>235.9</v>
      </c>
      <c r="G1316" t="s">
        <v>14</v>
      </c>
      <c r="H1316" t="s">
        <v>15</v>
      </c>
      <c r="I1316">
        <v>3.5</v>
      </c>
      <c r="J1316">
        <v>13</v>
      </c>
      <c r="K1316">
        <v>4</v>
      </c>
    </row>
    <row r="1317" spans="1:11" x14ac:dyDescent="0.35">
      <c r="A1317">
        <v>1316</v>
      </c>
      <c r="B1317">
        <v>53</v>
      </c>
      <c r="C1317" t="s">
        <v>16</v>
      </c>
      <c r="D1317" t="s">
        <v>27</v>
      </c>
      <c r="E1317" t="s">
        <v>32</v>
      </c>
      <c r="F1317">
        <v>1327.45</v>
      </c>
      <c r="G1317" t="s">
        <v>31</v>
      </c>
      <c r="H1317" t="s">
        <v>15</v>
      </c>
      <c r="I1317">
        <v>3.9</v>
      </c>
      <c r="J1317">
        <v>6</v>
      </c>
      <c r="K1317">
        <v>3</v>
      </c>
    </row>
    <row r="1318" spans="1:11" x14ac:dyDescent="0.35">
      <c r="A1318">
        <v>1317</v>
      </c>
      <c r="B1318">
        <v>69</v>
      </c>
      <c r="C1318" t="s">
        <v>16</v>
      </c>
      <c r="D1318" t="s">
        <v>22</v>
      </c>
      <c r="E1318" t="s">
        <v>52</v>
      </c>
      <c r="F1318">
        <v>120.8</v>
      </c>
      <c r="G1318" t="s">
        <v>19</v>
      </c>
      <c r="H1318" t="s">
        <v>15</v>
      </c>
      <c r="I1318">
        <v>4.8</v>
      </c>
      <c r="J1318">
        <v>20</v>
      </c>
      <c r="K1318">
        <v>5</v>
      </c>
    </row>
    <row r="1319" spans="1:11" x14ac:dyDescent="0.35">
      <c r="A1319">
        <v>1318</v>
      </c>
      <c r="B1319">
        <v>30</v>
      </c>
      <c r="C1319" t="s">
        <v>16</v>
      </c>
      <c r="D1319" t="s">
        <v>27</v>
      </c>
      <c r="E1319" t="s">
        <v>49</v>
      </c>
      <c r="F1319">
        <v>2944.78</v>
      </c>
      <c r="G1319" t="s">
        <v>19</v>
      </c>
      <c r="H1319" t="s">
        <v>15</v>
      </c>
      <c r="I1319">
        <v>4</v>
      </c>
      <c r="J1319">
        <v>23</v>
      </c>
      <c r="K1319">
        <v>9</v>
      </c>
    </row>
    <row r="1320" spans="1:11" x14ac:dyDescent="0.35">
      <c r="A1320">
        <v>1319</v>
      </c>
      <c r="B1320">
        <v>52</v>
      </c>
      <c r="C1320" t="s">
        <v>11</v>
      </c>
      <c r="D1320" t="s">
        <v>29</v>
      </c>
      <c r="E1320" t="s">
        <v>55</v>
      </c>
      <c r="F1320">
        <v>105.98</v>
      </c>
      <c r="G1320" t="s">
        <v>19</v>
      </c>
      <c r="H1320" t="s">
        <v>15</v>
      </c>
      <c r="I1320">
        <v>3.9</v>
      </c>
      <c r="J1320">
        <v>19</v>
      </c>
      <c r="K1320">
        <v>7</v>
      </c>
    </row>
    <row r="1321" spans="1:11" x14ac:dyDescent="0.35">
      <c r="A1321">
        <v>1320</v>
      </c>
      <c r="B1321">
        <v>24</v>
      </c>
      <c r="C1321" t="s">
        <v>16</v>
      </c>
      <c r="D1321" t="s">
        <v>20</v>
      </c>
      <c r="E1321" t="s">
        <v>21</v>
      </c>
      <c r="F1321">
        <v>71.53</v>
      </c>
      <c r="G1321" t="s">
        <v>14</v>
      </c>
      <c r="H1321" t="s">
        <v>15</v>
      </c>
      <c r="I1321">
        <v>4</v>
      </c>
      <c r="J1321">
        <v>11</v>
      </c>
      <c r="K1321">
        <v>3</v>
      </c>
    </row>
    <row r="1322" spans="1:11" x14ac:dyDescent="0.35">
      <c r="A1322">
        <v>1321</v>
      </c>
      <c r="B1322">
        <v>51</v>
      </c>
      <c r="C1322" t="s">
        <v>11</v>
      </c>
      <c r="D1322" t="s">
        <v>29</v>
      </c>
      <c r="E1322" t="s">
        <v>55</v>
      </c>
      <c r="F1322">
        <v>30.99</v>
      </c>
      <c r="G1322" t="s">
        <v>31</v>
      </c>
      <c r="H1322" t="s">
        <v>37</v>
      </c>
      <c r="I1322">
        <v>3.4</v>
      </c>
      <c r="J1322">
        <v>8</v>
      </c>
      <c r="K1322">
        <v>4</v>
      </c>
    </row>
    <row r="1323" spans="1:11" x14ac:dyDescent="0.35">
      <c r="A1323">
        <v>1322</v>
      </c>
      <c r="B1323">
        <v>50</v>
      </c>
      <c r="C1323" t="s">
        <v>11</v>
      </c>
      <c r="D1323" t="s">
        <v>29</v>
      </c>
      <c r="E1323" t="s">
        <v>51</v>
      </c>
      <c r="F1323">
        <v>53.04</v>
      </c>
      <c r="G1323" t="s">
        <v>31</v>
      </c>
      <c r="H1323" t="s">
        <v>37</v>
      </c>
      <c r="I1323">
        <v>3.7</v>
      </c>
      <c r="J1323">
        <v>10</v>
      </c>
      <c r="K1323">
        <v>0</v>
      </c>
    </row>
    <row r="1324" spans="1:11" x14ac:dyDescent="0.35">
      <c r="A1324">
        <v>1323</v>
      </c>
      <c r="B1324">
        <v>52</v>
      </c>
      <c r="C1324" t="s">
        <v>11</v>
      </c>
      <c r="D1324" t="s">
        <v>29</v>
      </c>
      <c r="E1324" t="s">
        <v>55</v>
      </c>
      <c r="F1324">
        <v>50.77</v>
      </c>
      <c r="G1324" t="s">
        <v>24</v>
      </c>
      <c r="H1324" t="s">
        <v>37</v>
      </c>
      <c r="I1324">
        <v>4.4000000000000004</v>
      </c>
      <c r="J1324">
        <v>12</v>
      </c>
      <c r="K1324">
        <v>6</v>
      </c>
    </row>
    <row r="1325" spans="1:11" x14ac:dyDescent="0.35">
      <c r="A1325">
        <v>1324</v>
      </c>
      <c r="B1325">
        <v>23</v>
      </c>
      <c r="C1325" t="s">
        <v>11</v>
      </c>
      <c r="D1325" t="s">
        <v>29</v>
      </c>
      <c r="E1325" t="s">
        <v>55</v>
      </c>
      <c r="F1325">
        <v>25.79</v>
      </c>
      <c r="G1325" t="s">
        <v>14</v>
      </c>
      <c r="H1325" t="s">
        <v>15</v>
      </c>
      <c r="I1325">
        <v>4.5999999999999996</v>
      </c>
      <c r="J1325">
        <v>16</v>
      </c>
      <c r="K1325">
        <v>8</v>
      </c>
    </row>
    <row r="1326" spans="1:11" x14ac:dyDescent="0.35">
      <c r="A1326">
        <v>1325</v>
      </c>
      <c r="B1326">
        <v>64</v>
      </c>
      <c r="C1326" t="s">
        <v>16</v>
      </c>
      <c r="D1326" t="s">
        <v>20</v>
      </c>
      <c r="E1326" t="s">
        <v>39</v>
      </c>
      <c r="F1326">
        <v>194.44</v>
      </c>
      <c r="G1326" t="s">
        <v>24</v>
      </c>
      <c r="H1326" t="s">
        <v>15</v>
      </c>
      <c r="I1326">
        <v>4.3</v>
      </c>
      <c r="J1326">
        <v>30</v>
      </c>
      <c r="K1326">
        <v>10</v>
      </c>
    </row>
    <row r="1327" spans="1:11" x14ac:dyDescent="0.35">
      <c r="A1327">
        <v>1326</v>
      </c>
      <c r="B1327">
        <v>25</v>
      </c>
      <c r="C1327" t="s">
        <v>11</v>
      </c>
      <c r="D1327" t="s">
        <v>33</v>
      </c>
      <c r="E1327" t="s">
        <v>34</v>
      </c>
      <c r="F1327">
        <v>160.51</v>
      </c>
      <c r="G1327" t="s">
        <v>31</v>
      </c>
      <c r="H1327" t="s">
        <v>15</v>
      </c>
      <c r="I1327">
        <v>3.4</v>
      </c>
      <c r="J1327">
        <v>15</v>
      </c>
      <c r="K1327">
        <v>5</v>
      </c>
    </row>
    <row r="1328" spans="1:11" x14ac:dyDescent="0.35">
      <c r="A1328">
        <v>1327</v>
      </c>
      <c r="B1328">
        <v>67</v>
      </c>
      <c r="C1328" t="s">
        <v>16</v>
      </c>
      <c r="D1328" t="s">
        <v>20</v>
      </c>
      <c r="E1328" t="s">
        <v>36</v>
      </c>
      <c r="F1328">
        <v>36.44</v>
      </c>
      <c r="G1328" t="s">
        <v>19</v>
      </c>
      <c r="H1328" t="s">
        <v>15</v>
      </c>
      <c r="I1328">
        <v>3</v>
      </c>
      <c r="J1328">
        <v>13</v>
      </c>
      <c r="K1328">
        <v>4</v>
      </c>
    </row>
    <row r="1329" spans="1:11" x14ac:dyDescent="0.35">
      <c r="A1329">
        <v>1328</v>
      </c>
      <c r="B1329">
        <v>57</v>
      </c>
      <c r="C1329" t="s">
        <v>11</v>
      </c>
      <c r="D1329" t="s">
        <v>12</v>
      </c>
      <c r="E1329" t="s">
        <v>50</v>
      </c>
      <c r="F1329">
        <v>80.59</v>
      </c>
      <c r="G1329" t="s">
        <v>31</v>
      </c>
      <c r="H1329" t="s">
        <v>37</v>
      </c>
      <c r="I1329">
        <v>3.1</v>
      </c>
      <c r="J1329">
        <v>16</v>
      </c>
      <c r="K1329">
        <v>3</v>
      </c>
    </row>
    <row r="1330" spans="1:11" x14ac:dyDescent="0.35">
      <c r="A1330">
        <v>1329</v>
      </c>
      <c r="B1330">
        <v>36</v>
      </c>
      <c r="C1330" t="s">
        <v>11</v>
      </c>
      <c r="D1330" t="s">
        <v>41</v>
      </c>
      <c r="E1330" t="s">
        <v>44</v>
      </c>
      <c r="F1330">
        <v>194.05</v>
      </c>
      <c r="G1330" t="s">
        <v>24</v>
      </c>
      <c r="H1330" t="s">
        <v>15</v>
      </c>
      <c r="I1330">
        <v>3.3</v>
      </c>
      <c r="J1330">
        <v>8</v>
      </c>
      <c r="K1330">
        <v>4</v>
      </c>
    </row>
    <row r="1331" spans="1:11" x14ac:dyDescent="0.35">
      <c r="A1331">
        <v>1330</v>
      </c>
      <c r="B1331">
        <v>62</v>
      </c>
      <c r="C1331" t="s">
        <v>16</v>
      </c>
      <c r="D1331" t="s">
        <v>17</v>
      </c>
      <c r="E1331" t="s">
        <v>18</v>
      </c>
      <c r="F1331">
        <v>143.18</v>
      </c>
      <c r="G1331" t="s">
        <v>19</v>
      </c>
      <c r="H1331" t="s">
        <v>15</v>
      </c>
      <c r="I1331">
        <v>2.8</v>
      </c>
      <c r="J1331">
        <v>24</v>
      </c>
      <c r="K1331">
        <v>7</v>
      </c>
    </row>
    <row r="1332" spans="1:11" x14ac:dyDescent="0.35">
      <c r="A1332">
        <v>1331</v>
      </c>
      <c r="B1332">
        <v>47</v>
      </c>
      <c r="C1332" t="s">
        <v>16</v>
      </c>
      <c r="D1332" t="s">
        <v>27</v>
      </c>
      <c r="E1332" t="s">
        <v>28</v>
      </c>
      <c r="F1332">
        <v>1170.3699999999999</v>
      </c>
      <c r="G1332" t="s">
        <v>14</v>
      </c>
      <c r="H1332" t="s">
        <v>15</v>
      </c>
      <c r="I1332">
        <v>3.4</v>
      </c>
      <c r="J1332">
        <v>16</v>
      </c>
      <c r="K1332">
        <v>3</v>
      </c>
    </row>
    <row r="1333" spans="1:11" x14ac:dyDescent="0.35">
      <c r="A1333">
        <v>1332</v>
      </c>
      <c r="B1333">
        <v>25</v>
      </c>
      <c r="C1333" t="s">
        <v>11</v>
      </c>
      <c r="D1333" t="s">
        <v>41</v>
      </c>
      <c r="E1333" t="s">
        <v>46</v>
      </c>
      <c r="F1333">
        <v>164.39</v>
      </c>
      <c r="G1333" t="s">
        <v>24</v>
      </c>
      <c r="H1333" t="s">
        <v>15</v>
      </c>
      <c r="I1333">
        <v>3.6</v>
      </c>
      <c r="J1333">
        <v>18</v>
      </c>
      <c r="K1333">
        <v>4</v>
      </c>
    </row>
    <row r="1334" spans="1:11" x14ac:dyDescent="0.35">
      <c r="A1334">
        <v>1333</v>
      </c>
      <c r="B1334">
        <v>56</v>
      </c>
      <c r="C1334" t="s">
        <v>16</v>
      </c>
      <c r="D1334" t="s">
        <v>20</v>
      </c>
      <c r="E1334" t="s">
        <v>36</v>
      </c>
      <c r="F1334">
        <v>52.53</v>
      </c>
      <c r="G1334" t="s">
        <v>31</v>
      </c>
      <c r="H1334" t="s">
        <v>37</v>
      </c>
      <c r="I1334">
        <v>3.1</v>
      </c>
      <c r="J1334">
        <v>14</v>
      </c>
      <c r="K1334">
        <v>2</v>
      </c>
    </row>
    <row r="1335" spans="1:11" x14ac:dyDescent="0.35">
      <c r="A1335">
        <v>1334</v>
      </c>
      <c r="B1335">
        <v>55</v>
      </c>
      <c r="C1335" t="s">
        <v>11</v>
      </c>
      <c r="D1335" t="s">
        <v>33</v>
      </c>
      <c r="E1335" t="s">
        <v>38</v>
      </c>
      <c r="F1335">
        <v>46.45</v>
      </c>
      <c r="G1335" t="s">
        <v>24</v>
      </c>
      <c r="H1335" t="s">
        <v>15</v>
      </c>
      <c r="I1335">
        <v>4.9000000000000004</v>
      </c>
      <c r="J1335">
        <v>16</v>
      </c>
      <c r="K1335">
        <v>8</v>
      </c>
    </row>
    <row r="1336" spans="1:11" x14ac:dyDescent="0.35">
      <c r="A1336">
        <v>1335</v>
      </c>
      <c r="B1336">
        <v>34</v>
      </c>
      <c r="C1336" t="s">
        <v>16</v>
      </c>
      <c r="D1336" t="s">
        <v>33</v>
      </c>
      <c r="E1336" t="s">
        <v>40</v>
      </c>
      <c r="F1336">
        <v>85.32</v>
      </c>
      <c r="G1336" t="s">
        <v>31</v>
      </c>
      <c r="H1336" t="s">
        <v>37</v>
      </c>
      <c r="I1336">
        <v>4.8</v>
      </c>
      <c r="J1336">
        <v>15</v>
      </c>
      <c r="K1336">
        <v>5</v>
      </c>
    </row>
    <row r="1337" spans="1:11" x14ac:dyDescent="0.35">
      <c r="A1337">
        <v>1336</v>
      </c>
      <c r="B1337">
        <v>58</v>
      </c>
      <c r="C1337" t="s">
        <v>16</v>
      </c>
      <c r="D1337" t="s">
        <v>27</v>
      </c>
      <c r="E1337" t="s">
        <v>28</v>
      </c>
      <c r="F1337">
        <v>1082.29</v>
      </c>
      <c r="G1337" t="s">
        <v>31</v>
      </c>
      <c r="H1337" t="s">
        <v>15</v>
      </c>
      <c r="I1337">
        <v>3.2</v>
      </c>
      <c r="J1337">
        <v>8</v>
      </c>
      <c r="K1337">
        <v>4</v>
      </c>
    </row>
    <row r="1338" spans="1:11" x14ac:dyDescent="0.35">
      <c r="A1338">
        <v>1337</v>
      </c>
      <c r="B1338">
        <v>60</v>
      </c>
      <c r="C1338" t="s">
        <v>11</v>
      </c>
      <c r="D1338" t="s">
        <v>12</v>
      </c>
      <c r="E1338" t="s">
        <v>56</v>
      </c>
      <c r="F1338">
        <v>97.14</v>
      </c>
      <c r="G1338" t="s">
        <v>14</v>
      </c>
      <c r="H1338" t="s">
        <v>37</v>
      </c>
      <c r="I1338">
        <v>3.3</v>
      </c>
      <c r="J1338">
        <v>17</v>
      </c>
      <c r="K1338">
        <v>6</v>
      </c>
    </row>
    <row r="1339" spans="1:11" x14ac:dyDescent="0.35">
      <c r="A1339">
        <v>1338</v>
      </c>
      <c r="B1339">
        <v>22</v>
      </c>
      <c r="C1339" t="s">
        <v>11</v>
      </c>
      <c r="D1339" t="s">
        <v>41</v>
      </c>
      <c r="E1339" t="s">
        <v>45</v>
      </c>
      <c r="F1339">
        <v>72.12</v>
      </c>
      <c r="G1339" t="s">
        <v>14</v>
      </c>
      <c r="H1339" t="s">
        <v>37</v>
      </c>
      <c r="I1339">
        <v>2.4</v>
      </c>
      <c r="J1339">
        <v>8</v>
      </c>
      <c r="K1339">
        <v>4</v>
      </c>
    </row>
    <row r="1340" spans="1:11" x14ac:dyDescent="0.35">
      <c r="A1340">
        <v>1339</v>
      </c>
      <c r="B1340">
        <v>31</v>
      </c>
      <c r="C1340" t="s">
        <v>11</v>
      </c>
      <c r="D1340" t="s">
        <v>41</v>
      </c>
      <c r="E1340" t="s">
        <v>42</v>
      </c>
      <c r="F1340">
        <v>115.32</v>
      </c>
      <c r="G1340" t="s">
        <v>31</v>
      </c>
      <c r="H1340" t="s">
        <v>15</v>
      </c>
      <c r="I1340">
        <v>2.6</v>
      </c>
      <c r="J1340">
        <v>12</v>
      </c>
      <c r="K1340">
        <v>6</v>
      </c>
    </row>
    <row r="1341" spans="1:11" x14ac:dyDescent="0.35">
      <c r="A1341">
        <v>1340</v>
      </c>
      <c r="B1341">
        <v>51</v>
      </c>
      <c r="C1341" t="s">
        <v>11</v>
      </c>
      <c r="D1341" t="s">
        <v>29</v>
      </c>
      <c r="E1341" t="s">
        <v>55</v>
      </c>
      <c r="F1341">
        <v>76.33</v>
      </c>
      <c r="G1341" t="s">
        <v>19</v>
      </c>
      <c r="H1341" t="s">
        <v>15</v>
      </c>
      <c r="I1341">
        <v>4</v>
      </c>
      <c r="J1341">
        <v>9</v>
      </c>
      <c r="K1341">
        <v>2</v>
      </c>
    </row>
    <row r="1342" spans="1:11" x14ac:dyDescent="0.35">
      <c r="A1342">
        <v>1341</v>
      </c>
      <c r="B1342">
        <v>62</v>
      </c>
      <c r="C1342" t="s">
        <v>16</v>
      </c>
      <c r="D1342" t="s">
        <v>17</v>
      </c>
      <c r="E1342" t="s">
        <v>48</v>
      </c>
      <c r="F1342">
        <v>181.25</v>
      </c>
      <c r="G1342" t="s">
        <v>31</v>
      </c>
      <c r="H1342" t="s">
        <v>15</v>
      </c>
      <c r="I1342">
        <v>2.8</v>
      </c>
      <c r="J1342">
        <v>21</v>
      </c>
      <c r="K1342">
        <v>8</v>
      </c>
    </row>
    <row r="1343" spans="1:11" x14ac:dyDescent="0.35">
      <c r="A1343">
        <v>1342</v>
      </c>
      <c r="B1343">
        <v>62</v>
      </c>
      <c r="C1343" t="s">
        <v>16</v>
      </c>
      <c r="D1343" t="s">
        <v>22</v>
      </c>
      <c r="E1343" t="s">
        <v>52</v>
      </c>
      <c r="F1343">
        <v>178.48</v>
      </c>
      <c r="G1343" t="s">
        <v>19</v>
      </c>
      <c r="H1343" t="s">
        <v>15</v>
      </c>
      <c r="I1343">
        <v>2.9</v>
      </c>
      <c r="J1343">
        <v>20</v>
      </c>
      <c r="K1343">
        <v>5</v>
      </c>
    </row>
    <row r="1344" spans="1:11" x14ac:dyDescent="0.35">
      <c r="A1344">
        <v>1343</v>
      </c>
      <c r="B1344">
        <v>49</v>
      </c>
      <c r="C1344" t="s">
        <v>16</v>
      </c>
      <c r="D1344" t="s">
        <v>20</v>
      </c>
      <c r="E1344" t="s">
        <v>36</v>
      </c>
      <c r="F1344">
        <v>28.95</v>
      </c>
      <c r="G1344" t="s">
        <v>31</v>
      </c>
      <c r="H1344" t="s">
        <v>37</v>
      </c>
      <c r="I1344">
        <v>3.4</v>
      </c>
      <c r="J1344">
        <v>24</v>
      </c>
      <c r="K1344">
        <v>7</v>
      </c>
    </row>
    <row r="1345" spans="1:11" x14ac:dyDescent="0.35">
      <c r="A1345">
        <v>1344</v>
      </c>
      <c r="B1345">
        <v>55</v>
      </c>
      <c r="C1345" t="s">
        <v>11</v>
      </c>
      <c r="D1345" t="s">
        <v>33</v>
      </c>
      <c r="E1345" t="s">
        <v>38</v>
      </c>
      <c r="F1345">
        <v>96.28</v>
      </c>
      <c r="G1345" t="s">
        <v>19</v>
      </c>
      <c r="H1345" t="s">
        <v>15</v>
      </c>
      <c r="I1345">
        <v>4</v>
      </c>
      <c r="J1345">
        <v>17</v>
      </c>
      <c r="K1345">
        <v>6</v>
      </c>
    </row>
    <row r="1346" spans="1:11" x14ac:dyDescent="0.35">
      <c r="A1346">
        <v>1345</v>
      </c>
      <c r="B1346">
        <v>36</v>
      </c>
      <c r="C1346" t="s">
        <v>16</v>
      </c>
      <c r="D1346" t="s">
        <v>25</v>
      </c>
      <c r="E1346" t="s">
        <v>54</v>
      </c>
      <c r="F1346">
        <v>17.13</v>
      </c>
      <c r="G1346" t="s">
        <v>24</v>
      </c>
      <c r="H1346" t="s">
        <v>37</v>
      </c>
      <c r="I1346">
        <v>2.9</v>
      </c>
      <c r="J1346">
        <v>9</v>
      </c>
      <c r="K1346">
        <v>2</v>
      </c>
    </row>
    <row r="1347" spans="1:11" x14ac:dyDescent="0.35">
      <c r="A1347">
        <v>1346</v>
      </c>
      <c r="B1347">
        <v>41</v>
      </c>
      <c r="C1347" t="s">
        <v>11</v>
      </c>
      <c r="D1347" t="s">
        <v>22</v>
      </c>
      <c r="E1347" t="s">
        <v>52</v>
      </c>
      <c r="F1347">
        <v>233.88</v>
      </c>
      <c r="G1347" t="s">
        <v>31</v>
      </c>
      <c r="H1347" t="s">
        <v>15</v>
      </c>
      <c r="I1347">
        <v>4.4000000000000004</v>
      </c>
      <c r="J1347">
        <v>14</v>
      </c>
      <c r="K1347">
        <v>7</v>
      </c>
    </row>
    <row r="1348" spans="1:11" x14ac:dyDescent="0.35">
      <c r="A1348">
        <v>1347</v>
      </c>
      <c r="B1348">
        <v>33</v>
      </c>
      <c r="C1348" t="s">
        <v>11</v>
      </c>
      <c r="D1348" t="s">
        <v>33</v>
      </c>
      <c r="E1348" t="s">
        <v>38</v>
      </c>
      <c r="F1348">
        <v>125.68</v>
      </c>
      <c r="G1348" t="s">
        <v>24</v>
      </c>
      <c r="H1348" t="s">
        <v>15</v>
      </c>
      <c r="I1348">
        <v>4.5</v>
      </c>
      <c r="J1348">
        <v>24</v>
      </c>
      <c r="K1348">
        <v>7</v>
      </c>
    </row>
    <row r="1349" spans="1:11" x14ac:dyDescent="0.35">
      <c r="A1349">
        <v>1348</v>
      </c>
      <c r="B1349">
        <v>22</v>
      </c>
      <c r="C1349" t="s">
        <v>16</v>
      </c>
      <c r="D1349" t="s">
        <v>22</v>
      </c>
      <c r="E1349" t="s">
        <v>43</v>
      </c>
      <c r="F1349">
        <v>132.30000000000001</v>
      </c>
      <c r="G1349" t="s">
        <v>14</v>
      </c>
      <c r="H1349" t="s">
        <v>15</v>
      </c>
      <c r="I1349">
        <v>4.4000000000000004</v>
      </c>
      <c r="J1349">
        <v>8</v>
      </c>
      <c r="K1349">
        <v>4</v>
      </c>
    </row>
    <row r="1350" spans="1:11" x14ac:dyDescent="0.35">
      <c r="A1350">
        <v>1349</v>
      </c>
      <c r="B1350">
        <v>65</v>
      </c>
      <c r="C1350" t="s">
        <v>11</v>
      </c>
      <c r="D1350" t="s">
        <v>41</v>
      </c>
      <c r="E1350" t="s">
        <v>42</v>
      </c>
      <c r="F1350">
        <v>80.239999999999995</v>
      </c>
      <c r="G1350" t="s">
        <v>31</v>
      </c>
      <c r="H1350" t="s">
        <v>15</v>
      </c>
      <c r="I1350">
        <v>3.3</v>
      </c>
      <c r="J1350">
        <v>6</v>
      </c>
      <c r="K1350">
        <v>3</v>
      </c>
    </row>
    <row r="1351" spans="1:11" x14ac:dyDescent="0.35">
      <c r="A1351">
        <v>1350</v>
      </c>
      <c r="B1351">
        <v>58</v>
      </c>
      <c r="C1351" t="s">
        <v>11</v>
      </c>
      <c r="D1351" t="s">
        <v>41</v>
      </c>
      <c r="E1351" t="s">
        <v>45</v>
      </c>
      <c r="F1351">
        <v>197.63</v>
      </c>
      <c r="G1351" t="s">
        <v>19</v>
      </c>
      <c r="H1351" t="s">
        <v>15</v>
      </c>
      <c r="I1351">
        <v>4.2</v>
      </c>
      <c r="J1351">
        <v>30</v>
      </c>
      <c r="K1351">
        <v>10</v>
      </c>
    </row>
    <row r="1352" spans="1:11" x14ac:dyDescent="0.35">
      <c r="A1352">
        <v>1351</v>
      </c>
      <c r="B1352">
        <v>58</v>
      </c>
      <c r="C1352" t="s">
        <v>16</v>
      </c>
      <c r="D1352" t="s">
        <v>20</v>
      </c>
      <c r="E1352" t="s">
        <v>21</v>
      </c>
      <c r="F1352">
        <v>144</v>
      </c>
      <c r="G1352" t="s">
        <v>14</v>
      </c>
      <c r="H1352" t="s">
        <v>15</v>
      </c>
      <c r="I1352">
        <v>4.4000000000000004</v>
      </c>
      <c r="J1352">
        <v>24</v>
      </c>
      <c r="K1352">
        <v>7</v>
      </c>
    </row>
    <row r="1353" spans="1:11" x14ac:dyDescent="0.35">
      <c r="A1353">
        <v>1352</v>
      </c>
      <c r="B1353">
        <v>67</v>
      </c>
      <c r="C1353" t="s">
        <v>11</v>
      </c>
      <c r="D1353" t="s">
        <v>12</v>
      </c>
      <c r="E1353" t="s">
        <v>50</v>
      </c>
      <c r="F1353">
        <v>173.81</v>
      </c>
      <c r="G1353" t="s">
        <v>31</v>
      </c>
      <c r="H1353" t="s">
        <v>15</v>
      </c>
      <c r="I1353">
        <v>2.7</v>
      </c>
      <c r="J1353">
        <v>8</v>
      </c>
      <c r="K1353">
        <v>4</v>
      </c>
    </row>
    <row r="1354" spans="1:11" x14ac:dyDescent="0.35">
      <c r="A1354">
        <v>1353</v>
      </c>
      <c r="B1354">
        <v>54</v>
      </c>
      <c r="C1354" t="s">
        <v>11</v>
      </c>
      <c r="D1354" t="s">
        <v>41</v>
      </c>
      <c r="E1354" t="s">
        <v>46</v>
      </c>
      <c r="F1354">
        <v>130.33000000000001</v>
      </c>
      <c r="G1354" t="s">
        <v>31</v>
      </c>
      <c r="H1354" t="s">
        <v>15</v>
      </c>
      <c r="I1354">
        <v>3.9</v>
      </c>
      <c r="J1354">
        <v>16</v>
      </c>
      <c r="K1354">
        <v>8</v>
      </c>
    </row>
    <row r="1355" spans="1:11" x14ac:dyDescent="0.35">
      <c r="A1355">
        <v>1354</v>
      </c>
      <c r="B1355">
        <v>52</v>
      </c>
      <c r="C1355" t="s">
        <v>11</v>
      </c>
      <c r="D1355" t="s">
        <v>12</v>
      </c>
      <c r="E1355" t="s">
        <v>56</v>
      </c>
      <c r="F1355">
        <v>151.16999999999999</v>
      </c>
      <c r="G1355" t="s">
        <v>19</v>
      </c>
      <c r="H1355" t="s">
        <v>15</v>
      </c>
      <c r="I1355">
        <v>2.7</v>
      </c>
      <c r="J1355">
        <v>21</v>
      </c>
      <c r="K1355">
        <v>8</v>
      </c>
    </row>
    <row r="1356" spans="1:11" x14ac:dyDescent="0.35">
      <c r="A1356">
        <v>1355</v>
      </c>
      <c r="B1356">
        <v>43</v>
      </c>
      <c r="C1356" t="s">
        <v>11</v>
      </c>
      <c r="D1356" t="s">
        <v>29</v>
      </c>
      <c r="E1356" t="s">
        <v>55</v>
      </c>
      <c r="F1356">
        <v>56.31</v>
      </c>
      <c r="G1356" t="s">
        <v>19</v>
      </c>
      <c r="H1356" t="s">
        <v>37</v>
      </c>
      <c r="I1356">
        <v>5</v>
      </c>
      <c r="J1356">
        <v>6</v>
      </c>
      <c r="K1356">
        <v>3</v>
      </c>
    </row>
    <row r="1357" spans="1:11" x14ac:dyDescent="0.35">
      <c r="A1357">
        <v>1356</v>
      </c>
      <c r="B1357">
        <v>39</v>
      </c>
      <c r="C1357" t="s">
        <v>11</v>
      </c>
      <c r="D1357" t="s">
        <v>33</v>
      </c>
      <c r="E1357" t="s">
        <v>34</v>
      </c>
      <c r="F1357">
        <v>79.95</v>
      </c>
      <c r="G1357" t="s">
        <v>31</v>
      </c>
      <c r="H1357" t="s">
        <v>15</v>
      </c>
      <c r="I1357">
        <v>3.4</v>
      </c>
      <c r="J1357">
        <v>30</v>
      </c>
      <c r="K1357">
        <v>10</v>
      </c>
    </row>
    <row r="1358" spans="1:11" x14ac:dyDescent="0.35">
      <c r="A1358">
        <v>1357</v>
      </c>
      <c r="B1358">
        <v>60</v>
      </c>
      <c r="C1358" t="s">
        <v>16</v>
      </c>
      <c r="D1358" t="s">
        <v>27</v>
      </c>
      <c r="E1358" t="s">
        <v>32</v>
      </c>
      <c r="F1358">
        <v>1905.2</v>
      </c>
      <c r="G1358" t="s">
        <v>24</v>
      </c>
      <c r="H1358" t="s">
        <v>15</v>
      </c>
      <c r="I1358">
        <v>3.3</v>
      </c>
      <c r="J1358">
        <v>21</v>
      </c>
      <c r="K1358">
        <v>8</v>
      </c>
    </row>
    <row r="1359" spans="1:11" x14ac:dyDescent="0.35">
      <c r="A1359">
        <v>1358</v>
      </c>
      <c r="B1359">
        <v>30</v>
      </c>
      <c r="C1359" t="s">
        <v>11</v>
      </c>
      <c r="D1359" t="s">
        <v>22</v>
      </c>
      <c r="E1359" t="s">
        <v>52</v>
      </c>
      <c r="F1359">
        <v>172.51</v>
      </c>
      <c r="G1359" t="s">
        <v>31</v>
      </c>
      <c r="H1359" t="s">
        <v>15</v>
      </c>
      <c r="I1359">
        <v>2.4</v>
      </c>
      <c r="J1359">
        <v>22</v>
      </c>
      <c r="K1359">
        <v>6</v>
      </c>
    </row>
    <row r="1360" spans="1:11" x14ac:dyDescent="0.35">
      <c r="A1360">
        <v>1359</v>
      </c>
      <c r="B1360">
        <v>28</v>
      </c>
      <c r="C1360" t="s">
        <v>11</v>
      </c>
      <c r="D1360" t="s">
        <v>33</v>
      </c>
      <c r="E1360" t="s">
        <v>40</v>
      </c>
      <c r="F1360">
        <v>162.07</v>
      </c>
      <c r="G1360" t="s">
        <v>19</v>
      </c>
      <c r="H1360" t="s">
        <v>15</v>
      </c>
      <c r="I1360">
        <v>2.7</v>
      </c>
      <c r="J1360">
        <v>11</v>
      </c>
      <c r="K1360">
        <v>3</v>
      </c>
    </row>
    <row r="1361" spans="1:11" x14ac:dyDescent="0.35">
      <c r="A1361">
        <v>1360</v>
      </c>
      <c r="B1361">
        <v>60</v>
      </c>
      <c r="C1361" t="s">
        <v>11</v>
      </c>
      <c r="D1361" t="s">
        <v>41</v>
      </c>
      <c r="E1361" t="s">
        <v>46</v>
      </c>
      <c r="F1361">
        <v>75.11</v>
      </c>
      <c r="G1361" t="s">
        <v>31</v>
      </c>
      <c r="H1361" t="s">
        <v>15</v>
      </c>
      <c r="I1361">
        <v>4</v>
      </c>
      <c r="J1361">
        <v>12</v>
      </c>
      <c r="K1361">
        <v>6</v>
      </c>
    </row>
    <row r="1362" spans="1:11" x14ac:dyDescent="0.35">
      <c r="A1362">
        <v>1361</v>
      </c>
      <c r="B1362">
        <v>52</v>
      </c>
      <c r="C1362" t="s">
        <v>11</v>
      </c>
      <c r="D1362" t="s">
        <v>25</v>
      </c>
      <c r="E1362" t="s">
        <v>54</v>
      </c>
      <c r="F1362">
        <v>66.05</v>
      </c>
      <c r="G1362" t="s">
        <v>31</v>
      </c>
      <c r="H1362" t="s">
        <v>37</v>
      </c>
      <c r="I1362">
        <v>3.7</v>
      </c>
      <c r="J1362">
        <v>10</v>
      </c>
      <c r="K1362">
        <v>5</v>
      </c>
    </row>
    <row r="1363" spans="1:11" x14ac:dyDescent="0.35">
      <c r="A1363">
        <v>1362</v>
      </c>
      <c r="B1363">
        <v>32</v>
      </c>
      <c r="C1363" t="s">
        <v>16</v>
      </c>
      <c r="D1363" t="s">
        <v>20</v>
      </c>
      <c r="E1363" t="s">
        <v>21</v>
      </c>
      <c r="F1363">
        <v>136.35</v>
      </c>
      <c r="G1363" t="s">
        <v>19</v>
      </c>
      <c r="H1363" t="s">
        <v>15</v>
      </c>
      <c r="I1363">
        <v>3.3</v>
      </c>
      <c r="J1363">
        <v>16</v>
      </c>
      <c r="K1363">
        <v>3</v>
      </c>
    </row>
    <row r="1364" spans="1:11" x14ac:dyDescent="0.35">
      <c r="A1364">
        <v>1363</v>
      </c>
      <c r="B1364">
        <v>39</v>
      </c>
      <c r="C1364" t="s">
        <v>11</v>
      </c>
      <c r="D1364" t="s">
        <v>29</v>
      </c>
      <c r="E1364" t="s">
        <v>51</v>
      </c>
      <c r="F1364">
        <v>141.19</v>
      </c>
      <c r="G1364" t="s">
        <v>24</v>
      </c>
      <c r="H1364" t="s">
        <v>15</v>
      </c>
      <c r="I1364">
        <v>1.5</v>
      </c>
      <c r="J1364">
        <v>14</v>
      </c>
      <c r="K1364">
        <v>7</v>
      </c>
    </row>
    <row r="1365" spans="1:11" x14ac:dyDescent="0.35">
      <c r="A1365">
        <v>1364</v>
      </c>
      <c r="B1365">
        <v>42</v>
      </c>
      <c r="C1365" t="s">
        <v>11</v>
      </c>
      <c r="D1365" t="s">
        <v>33</v>
      </c>
      <c r="E1365" t="s">
        <v>34</v>
      </c>
      <c r="F1365">
        <v>76.55</v>
      </c>
      <c r="G1365" t="s">
        <v>14</v>
      </c>
      <c r="H1365" t="s">
        <v>37</v>
      </c>
      <c r="I1365">
        <v>3.6</v>
      </c>
      <c r="J1365">
        <v>15</v>
      </c>
      <c r="K1365">
        <v>5</v>
      </c>
    </row>
    <row r="1366" spans="1:11" x14ac:dyDescent="0.35">
      <c r="A1366">
        <v>1365</v>
      </c>
      <c r="B1366">
        <v>52</v>
      </c>
      <c r="C1366" t="s">
        <v>16</v>
      </c>
      <c r="D1366" t="s">
        <v>33</v>
      </c>
      <c r="E1366" t="s">
        <v>34</v>
      </c>
      <c r="F1366">
        <v>248.92</v>
      </c>
      <c r="G1366" t="s">
        <v>19</v>
      </c>
      <c r="H1366" t="s">
        <v>15</v>
      </c>
      <c r="I1366">
        <v>3.4</v>
      </c>
      <c r="J1366">
        <v>13</v>
      </c>
      <c r="K1366">
        <v>4</v>
      </c>
    </row>
    <row r="1367" spans="1:11" x14ac:dyDescent="0.35">
      <c r="A1367">
        <v>1366</v>
      </c>
      <c r="B1367">
        <v>54</v>
      </c>
      <c r="C1367" t="s">
        <v>16</v>
      </c>
      <c r="D1367" t="s">
        <v>33</v>
      </c>
      <c r="E1367" t="s">
        <v>40</v>
      </c>
      <c r="F1367">
        <v>247.98</v>
      </c>
      <c r="G1367" t="s">
        <v>19</v>
      </c>
      <c r="H1367" t="s">
        <v>15</v>
      </c>
      <c r="I1367">
        <v>3.6</v>
      </c>
      <c r="J1367">
        <v>10</v>
      </c>
      <c r="K1367">
        <v>5</v>
      </c>
    </row>
    <row r="1368" spans="1:11" x14ac:dyDescent="0.35">
      <c r="A1368">
        <v>1367</v>
      </c>
      <c r="B1368">
        <v>64</v>
      </c>
      <c r="C1368" t="s">
        <v>16</v>
      </c>
      <c r="D1368" t="s">
        <v>27</v>
      </c>
      <c r="E1368" t="s">
        <v>32</v>
      </c>
      <c r="F1368">
        <v>1925.6</v>
      </c>
      <c r="G1368" t="s">
        <v>19</v>
      </c>
      <c r="H1368" t="s">
        <v>15</v>
      </c>
      <c r="I1368">
        <v>2.6</v>
      </c>
      <c r="J1368">
        <v>13</v>
      </c>
      <c r="K1368">
        <v>4</v>
      </c>
    </row>
    <row r="1369" spans="1:11" x14ac:dyDescent="0.35">
      <c r="A1369">
        <v>1368</v>
      </c>
      <c r="B1369">
        <v>51</v>
      </c>
      <c r="C1369" t="s">
        <v>16</v>
      </c>
      <c r="D1369" t="s">
        <v>20</v>
      </c>
      <c r="E1369" t="s">
        <v>39</v>
      </c>
      <c r="F1369">
        <v>139.66</v>
      </c>
      <c r="G1369" t="s">
        <v>24</v>
      </c>
      <c r="H1369" t="s">
        <v>15</v>
      </c>
      <c r="I1369">
        <v>3.6</v>
      </c>
      <c r="J1369">
        <v>9</v>
      </c>
      <c r="K1369">
        <v>2</v>
      </c>
    </row>
    <row r="1370" spans="1:11" x14ac:dyDescent="0.35">
      <c r="A1370">
        <v>1369</v>
      </c>
      <c r="B1370">
        <v>65</v>
      </c>
      <c r="C1370" t="s">
        <v>16</v>
      </c>
      <c r="D1370" t="s">
        <v>17</v>
      </c>
      <c r="E1370" t="s">
        <v>42</v>
      </c>
      <c r="F1370">
        <v>199.78</v>
      </c>
      <c r="G1370" t="s">
        <v>14</v>
      </c>
      <c r="H1370" t="s">
        <v>15</v>
      </c>
      <c r="I1370">
        <v>3.5</v>
      </c>
      <c r="J1370">
        <v>15</v>
      </c>
      <c r="K1370">
        <v>5</v>
      </c>
    </row>
    <row r="1371" spans="1:11" x14ac:dyDescent="0.35">
      <c r="A1371">
        <v>1370</v>
      </c>
      <c r="B1371">
        <v>22</v>
      </c>
      <c r="C1371" t="s">
        <v>11</v>
      </c>
      <c r="D1371" t="s">
        <v>29</v>
      </c>
      <c r="E1371" t="s">
        <v>55</v>
      </c>
      <c r="F1371">
        <v>45.19</v>
      </c>
      <c r="G1371" t="s">
        <v>31</v>
      </c>
      <c r="H1371" t="s">
        <v>15</v>
      </c>
      <c r="I1371">
        <v>4.7</v>
      </c>
      <c r="J1371">
        <v>12</v>
      </c>
      <c r="K1371">
        <v>6</v>
      </c>
    </row>
    <row r="1372" spans="1:11" x14ac:dyDescent="0.35">
      <c r="A1372">
        <v>1371</v>
      </c>
      <c r="B1372">
        <v>30</v>
      </c>
      <c r="C1372" t="s">
        <v>11</v>
      </c>
      <c r="D1372" t="s">
        <v>33</v>
      </c>
      <c r="E1372" t="s">
        <v>40</v>
      </c>
      <c r="F1372">
        <v>206.49</v>
      </c>
      <c r="G1372" t="s">
        <v>31</v>
      </c>
      <c r="H1372" t="s">
        <v>15</v>
      </c>
      <c r="I1372">
        <v>3.6</v>
      </c>
      <c r="J1372">
        <v>20</v>
      </c>
      <c r="K1372">
        <v>5</v>
      </c>
    </row>
    <row r="1373" spans="1:11" x14ac:dyDescent="0.35">
      <c r="A1373">
        <v>1372</v>
      </c>
      <c r="B1373">
        <v>52</v>
      </c>
      <c r="C1373" t="s">
        <v>16</v>
      </c>
      <c r="D1373" t="s">
        <v>27</v>
      </c>
      <c r="E1373" t="s">
        <v>28</v>
      </c>
      <c r="F1373">
        <v>1357.56</v>
      </c>
      <c r="G1373" t="s">
        <v>14</v>
      </c>
      <c r="H1373" t="s">
        <v>15</v>
      </c>
      <c r="I1373">
        <v>5</v>
      </c>
      <c r="J1373">
        <v>16</v>
      </c>
      <c r="K1373">
        <v>8</v>
      </c>
    </row>
    <row r="1374" spans="1:11" x14ac:dyDescent="0.35">
      <c r="A1374">
        <v>1373</v>
      </c>
      <c r="B1374">
        <v>26</v>
      </c>
      <c r="C1374" t="s">
        <v>11</v>
      </c>
      <c r="D1374" t="s">
        <v>33</v>
      </c>
      <c r="E1374" t="s">
        <v>40</v>
      </c>
      <c r="F1374">
        <v>160.69</v>
      </c>
      <c r="G1374" t="s">
        <v>14</v>
      </c>
      <c r="H1374" t="s">
        <v>15</v>
      </c>
      <c r="I1374">
        <v>4.3</v>
      </c>
      <c r="J1374">
        <v>15</v>
      </c>
      <c r="K1374">
        <v>5</v>
      </c>
    </row>
    <row r="1375" spans="1:11" x14ac:dyDescent="0.35">
      <c r="A1375">
        <v>1374</v>
      </c>
      <c r="B1375">
        <v>29</v>
      </c>
      <c r="C1375" t="s">
        <v>11</v>
      </c>
      <c r="D1375" t="s">
        <v>20</v>
      </c>
      <c r="E1375" t="s">
        <v>36</v>
      </c>
      <c r="F1375">
        <v>239.09</v>
      </c>
      <c r="G1375" t="s">
        <v>31</v>
      </c>
      <c r="H1375" t="s">
        <v>15</v>
      </c>
      <c r="I1375">
        <v>4</v>
      </c>
      <c r="J1375">
        <v>6</v>
      </c>
      <c r="K1375">
        <v>3</v>
      </c>
    </row>
    <row r="1376" spans="1:11" x14ac:dyDescent="0.35">
      <c r="A1376">
        <v>1375</v>
      </c>
      <c r="B1376">
        <v>61</v>
      </c>
      <c r="C1376" t="s">
        <v>16</v>
      </c>
      <c r="D1376" t="s">
        <v>27</v>
      </c>
      <c r="E1376" t="s">
        <v>53</v>
      </c>
      <c r="F1376">
        <v>2519.73</v>
      </c>
      <c r="G1376" t="s">
        <v>31</v>
      </c>
      <c r="H1376" t="s">
        <v>15</v>
      </c>
      <c r="I1376">
        <v>3.5</v>
      </c>
      <c r="J1376">
        <v>20</v>
      </c>
      <c r="K1376">
        <v>5</v>
      </c>
    </row>
    <row r="1377" spans="1:11" x14ac:dyDescent="0.35">
      <c r="A1377">
        <v>1376</v>
      </c>
      <c r="B1377">
        <v>62</v>
      </c>
      <c r="C1377" t="s">
        <v>11</v>
      </c>
      <c r="D1377" t="s">
        <v>33</v>
      </c>
      <c r="E1377" t="s">
        <v>34</v>
      </c>
      <c r="F1377">
        <v>218.99</v>
      </c>
      <c r="G1377" t="s">
        <v>14</v>
      </c>
      <c r="H1377" t="s">
        <v>15</v>
      </c>
      <c r="I1377">
        <v>3.6</v>
      </c>
      <c r="J1377">
        <v>16</v>
      </c>
      <c r="K1377">
        <v>3</v>
      </c>
    </row>
    <row r="1378" spans="1:11" x14ac:dyDescent="0.35">
      <c r="A1378">
        <v>1377</v>
      </c>
      <c r="B1378">
        <v>64</v>
      </c>
      <c r="C1378" t="s">
        <v>16</v>
      </c>
      <c r="D1378" t="s">
        <v>33</v>
      </c>
      <c r="E1378" t="s">
        <v>34</v>
      </c>
      <c r="F1378">
        <v>244.01</v>
      </c>
      <c r="G1378" t="s">
        <v>19</v>
      </c>
      <c r="H1378" t="s">
        <v>15</v>
      </c>
      <c r="I1378">
        <v>4.0999999999999996</v>
      </c>
      <c r="J1378">
        <v>15</v>
      </c>
      <c r="K1378">
        <v>5</v>
      </c>
    </row>
    <row r="1379" spans="1:11" x14ac:dyDescent="0.35">
      <c r="A1379">
        <v>1378</v>
      </c>
      <c r="B1379">
        <v>31</v>
      </c>
      <c r="C1379" t="s">
        <v>11</v>
      </c>
      <c r="D1379" t="s">
        <v>22</v>
      </c>
      <c r="E1379" t="s">
        <v>43</v>
      </c>
      <c r="F1379">
        <v>140.22999999999999</v>
      </c>
      <c r="G1379" t="s">
        <v>14</v>
      </c>
      <c r="H1379" t="s">
        <v>15</v>
      </c>
      <c r="I1379">
        <v>3</v>
      </c>
      <c r="J1379">
        <v>9</v>
      </c>
      <c r="K1379">
        <v>2</v>
      </c>
    </row>
    <row r="1380" spans="1:11" x14ac:dyDescent="0.35">
      <c r="A1380">
        <v>1379</v>
      </c>
      <c r="B1380">
        <v>49</v>
      </c>
      <c r="C1380" t="s">
        <v>16</v>
      </c>
      <c r="D1380" t="s">
        <v>27</v>
      </c>
      <c r="E1380" t="s">
        <v>32</v>
      </c>
      <c r="F1380">
        <v>2191.92</v>
      </c>
      <c r="G1380" t="s">
        <v>31</v>
      </c>
      <c r="H1380" t="s">
        <v>15</v>
      </c>
      <c r="I1380">
        <v>2.8</v>
      </c>
      <c r="J1380">
        <v>13</v>
      </c>
      <c r="K1380">
        <v>4</v>
      </c>
    </row>
    <row r="1381" spans="1:11" x14ac:dyDescent="0.35">
      <c r="A1381">
        <v>1380</v>
      </c>
      <c r="B1381">
        <v>46</v>
      </c>
      <c r="C1381" t="s">
        <v>11</v>
      </c>
      <c r="D1381" t="s">
        <v>22</v>
      </c>
      <c r="E1381" t="s">
        <v>23</v>
      </c>
      <c r="F1381">
        <v>145.72999999999999</v>
      </c>
      <c r="G1381" t="s">
        <v>14</v>
      </c>
      <c r="H1381" t="s">
        <v>15</v>
      </c>
      <c r="I1381">
        <v>2.7</v>
      </c>
      <c r="J1381">
        <v>14</v>
      </c>
      <c r="K1381">
        <v>2</v>
      </c>
    </row>
    <row r="1382" spans="1:11" x14ac:dyDescent="0.35">
      <c r="A1382">
        <v>1381</v>
      </c>
      <c r="B1382">
        <v>32</v>
      </c>
      <c r="C1382" t="s">
        <v>11</v>
      </c>
      <c r="D1382" t="s">
        <v>41</v>
      </c>
      <c r="E1382" t="s">
        <v>45</v>
      </c>
      <c r="F1382">
        <v>194.29</v>
      </c>
      <c r="G1382" t="s">
        <v>31</v>
      </c>
      <c r="H1382" t="s">
        <v>15</v>
      </c>
      <c r="I1382">
        <v>3.6</v>
      </c>
      <c r="J1382">
        <v>10</v>
      </c>
      <c r="K1382">
        <v>5</v>
      </c>
    </row>
    <row r="1383" spans="1:11" x14ac:dyDescent="0.35">
      <c r="A1383">
        <v>1382</v>
      </c>
      <c r="B1383">
        <v>29</v>
      </c>
      <c r="C1383" t="s">
        <v>16</v>
      </c>
      <c r="D1383" t="s">
        <v>22</v>
      </c>
      <c r="E1383" t="s">
        <v>23</v>
      </c>
      <c r="F1383">
        <v>219.13</v>
      </c>
      <c r="G1383" t="s">
        <v>31</v>
      </c>
      <c r="H1383" t="s">
        <v>15</v>
      </c>
      <c r="I1383">
        <v>2.8</v>
      </c>
      <c r="J1383">
        <v>20</v>
      </c>
      <c r="K1383">
        <v>5</v>
      </c>
    </row>
    <row r="1384" spans="1:11" x14ac:dyDescent="0.35">
      <c r="A1384">
        <v>1383</v>
      </c>
      <c r="B1384">
        <v>53</v>
      </c>
      <c r="C1384" t="s">
        <v>11</v>
      </c>
      <c r="D1384" t="s">
        <v>29</v>
      </c>
      <c r="E1384" t="s">
        <v>30</v>
      </c>
      <c r="F1384">
        <v>73</v>
      </c>
      <c r="G1384" t="s">
        <v>14</v>
      </c>
      <c r="H1384" t="s">
        <v>15</v>
      </c>
      <c r="I1384">
        <v>2.8</v>
      </c>
      <c r="J1384">
        <v>18</v>
      </c>
      <c r="K1384">
        <v>4</v>
      </c>
    </row>
    <row r="1385" spans="1:11" x14ac:dyDescent="0.35">
      <c r="A1385">
        <v>1384</v>
      </c>
      <c r="B1385">
        <v>56</v>
      </c>
      <c r="C1385" t="s">
        <v>16</v>
      </c>
      <c r="D1385" t="s">
        <v>20</v>
      </c>
      <c r="E1385" t="s">
        <v>36</v>
      </c>
      <c r="F1385">
        <v>206.69</v>
      </c>
      <c r="G1385" t="s">
        <v>31</v>
      </c>
      <c r="H1385" t="s">
        <v>15</v>
      </c>
      <c r="I1385">
        <v>4.0999999999999996</v>
      </c>
      <c r="J1385">
        <v>15</v>
      </c>
      <c r="K1385">
        <v>5</v>
      </c>
    </row>
    <row r="1386" spans="1:11" x14ac:dyDescent="0.35">
      <c r="A1386">
        <v>1385</v>
      </c>
      <c r="B1386">
        <v>49</v>
      </c>
      <c r="C1386" t="s">
        <v>16</v>
      </c>
      <c r="D1386" t="s">
        <v>33</v>
      </c>
      <c r="E1386" t="s">
        <v>38</v>
      </c>
      <c r="F1386">
        <v>171.39</v>
      </c>
      <c r="G1386" t="s">
        <v>24</v>
      </c>
      <c r="H1386" t="s">
        <v>15</v>
      </c>
      <c r="I1386">
        <v>5</v>
      </c>
      <c r="J1386">
        <v>13</v>
      </c>
      <c r="K1386">
        <v>4</v>
      </c>
    </row>
    <row r="1387" spans="1:11" x14ac:dyDescent="0.35">
      <c r="A1387">
        <v>1386</v>
      </c>
      <c r="B1387">
        <v>49</v>
      </c>
      <c r="C1387" t="s">
        <v>11</v>
      </c>
      <c r="D1387" t="s">
        <v>22</v>
      </c>
      <c r="E1387" t="s">
        <v>43</v>
      </c>
      <c r="F1387">
        <v>281.41000000000003</v>
      </c>
      <c r="G1387" t="s">
        <v>14</v>
      </c>
      <c r="H1387" t="s">
        <v>15</v>
      </c>
      <c r="I1387">
        <v>4.5999999999999996</v>
      </c>
      <c r="J1387">
        <v>10</v>
      </c>
      <c r="K1387">
        <v>5</v>
      </c>
    </row>
    <row r="1388" spans="1:11" x14ac:dyDescent="0.35">
      <c r="A1388">
        <v>1387</v>
      </c>
      <c r="B1388">
        <v>42</v>
      </c>
      <c r="C1388" t="s">
        <v>16</v>
      </c>
      <c r="D1388" t="s">
        <v>25</v>
      </c>
      <c r="E1388" t="s">
        <v>54</v>
      </c>
      <c r="F1388">
        <v>65.66</v>
      </c>
      <c r="G1388" t="s">
        <v>31</v>
      </c>
      <c r="H1388" t="s">
        <v>37</v>
      </c>
      <c r="I1388">
        <v>3.1</v>
      </c>
      <c r="J1388">
        <v>20</v>
      </c>
      <c r="K1388">
        <v>5</v>
      </c>
    </row>
    <row r="1389" spans="1:11" x14ac:dyDescent="0.35">
      <c r="A1389">
        <v>1388</v>
      </c>
      <c r="B1389">
        <v>66</v>
      </c>
      <c r="C1389" t="s">
        <v>16</v>
      </c>
      <c r="D1389" t="s">
        <v>17</v>
      </c>
      <c r="E1389" t="s">
        <v>35</v>
      </c>
      <c r="F1389">
        <v>117.92</v>
      </c>
      <c r="G1389" t="s">
        <v>31</v>
      </c>
      <c r="H1389" t="s">
        <v>15</v>
      </c>
      <c r="I1389">
        <v>3.1</v>
      </c>
      <c r="J1389">
        <v>18</v>
      </c>
      <c r="K1389">
        <v>9</v>
      </c>
    </row>
    <row r="1390" spans="1:11" x14ac:dyDescent="0.35">
      <c r="A1390">
        <v>1389</v>
      </c>
      <c r="B1390">
        <v>57</v>
      </c>
      <c r="C1390" t="s">
        <v>11</v>
      </c>
      <c r="D1390" t="s">
        <v>12</v>
      </c>
      <c r="E1390" t="s">
        <v>56</v>
      </c>
      <c r="F1390">
        <v>85.12</v>
      </c>
      <c r="G1390" t="s">
        <v>14</v>
      </c>
      <c r="H1390" t="s">
        <v>37</v>
      </c>
      <c r="I1390">
        <v>3</v>
      </c>
      <c r="J1390">
        <v>10</v>
      </c>
      <c r="K1390">
        <v>5</v>
      </c>
    </row>
    <row r="1391" spans="1:11" x14ac:dyDescent="0.35">
      <c r="A1391">
        <v>1390</v>
      </c>
      <c r="B1391">
        <v>21</v>
      </c>
      <c r="C1391" t="s">
        <v>16</v>
      </c>
      <c r="D1391" t="s">
        <v>27</v>
      </c>
      <c r="E1391" t="s">
        <v>53</v>
      </c>
      <c r="F1391">
        <v>522.74</v>
      </c>
      <c r="G1391" t="s">
        <v>31</v>
      </c>
      <c r="H1391" t="s">
        <v>15</v>
      </c>
      <c r="I1391">
        <v>4.8</v>
      </c>
      <c r="J1391">
        <v>24</v>
      </c>
      <c r="K1391">
        <v>7</v>
      </c>
    </row>
    <row r="1392" spans="1:11" x14ac:dyDescent="0.35">
      <c r="A1392">
        <v>1391</v>
      </c>
      <c r="B1392">
        <v>70</v>
      </c>
      <c r="C1392" t="s">
        <v>16</v>
      </c>
      <c r="D1392" t="s">
        <v>20</v>
      </c>
      <c r="E1392" t="s">
        <v>39</v>
      </c>
      <c r="F1392">
        <v>146.30000000000001</v>
      </c>
      <c r="G1392" t="s">
        <v>31</v>
      </c>
      <c r="H1392" t="s">
        <v>15</v>
      </c>
      <c r="I1392">
        <v>3.3</v>
      </c>
      <c r="J1392">
        <v>20</v>
      </c>
      <c r="K1392">
        <v>5</v>
      </c>
    </row>
    <row r="1393" spans="1:11" x14ac:dyDescent="0.35">
      <c r="A1393">
        <v>1392</v>
      </c>
      <c r="B1393">
        <v>57</v>
      </c>
      <c r="C1393" t="s">
        <v>16</v>
      </c>
      <c r="D1393" t="s">
        <v>33</v>
      </c>
      <c r="E1393" t="s">
        <v>40</v>
      </c>
      <c r="F1393">
        <v>188.81</v>
      </c>
      <c r="G1393" t="s">
        <v>19</v>
      </c>
      <c r="H1393" t="s">
        <v>15</v>
      </c>
      <c r="I1393">
        <v>4.0999999999999996</v>
      </c>
      <c r="J1393">
        <v>11</v>
      </c>
      <c r="K1393">
        <v>3</v>
      </c>
    </row>
    <row r="1394" spans="1:11" x14ac:dyDescent="0.35">
      <c r="A1394">
        <v>1393</v>
      </c>
      <c r="B1394">
        <v>24</v>
      </c>
      <c r="C1394" t="s">
        <v>16</v>
      </c>
      <c r="D1394" t="s">
        <v>27</v>
      </c>
      <c r="E1394" t="s">
        <v>32</v>
      </c>
      <c r="F1394">
        <v>973.64</v>
      </c>
      <c r="G1394" t="s">
        <v>14</v>
      </c>
      <c r="H1394" t="s">
        <v>15</v>
      </c>
      <c r="I1394">
        <v>4.3</v>
      </c>
      <c r="J1394">
        <v>16</v>
      </c>
      <c r="K1394">
        <v>3</v>
      </c>
    </row>
    <row r="1395" spans="1:11" x14ac:dyDescent="0.35">
      <c r="A1395">
        <v>1394</v>
      </c>
      <c r="B1395">
        <v>61</v>
      </c>
      <c r="C1395" t="s">
        <v>16</v>
      </c>
      <c r="D1395" t="s">
        <v>27</v>
      </c>
      <c r="E1395" t="s">
        <v>28</v>
      </c>
      <c r="F1395">
        <v>1496.01</v>
      </c>
      <c r="G1395" t="s">
        <v>24</v>
      </c>
      <c r="H1395" t="s">
        <v>15</v>
      </c>
      <c r="I1395">
        <v>4</v>
      </c>
      <c r="J1395">
        <v>13</v>
      </c>
      <c r="K1395">
        <v>4</v>
      </c>
    </row>
    <row r="1396" spans="1:11" x14ac:dyDescent="0.35">
      <c r="A1396">
        <v>1395</v>
      </c>
      <c r="B1396">
        <v>56</v>
      </c>
      <c r="C1396" t="s">
        <v>11</v>
      </c>
      <c r="D1396" t="s">
        <v>33</v>
      </c>
      <c r="E1396" t="s">
        <v>34</v>
      </c>
      <c r="F1396">
        <v>228.28</v>
      </c>
      <c r="G1396" t="s">
        <v>31</v>
      </c>
      <c r="H1396" t="s">
        <v>15</v>
      </c>
      <c r="I1396">
        <v>4.0999999999999996</v>
      </c>
      <c r="J1396">
        <v>6</v>
      </c>
      <c r="K1396">
        <v>3</v>
      </c>
    </row>
    <row r="1397" spans="1:11" x14ac:dyDescent="0.35">
      <c r="A1397">
        <v>1396</v>
      </c>
      <c r="B1397">
        <v>40</v>
      </c>
      <c r="C1397" t="s">
        <v>11</v>
      </c>
      <c r="D1397" t="s">
        <v>12</v>
      </c>
      <c r="E1397" t="s">
        <v>50</v>
      </c>
      <c r="F1397">
        <v>119.97</v>
      </c>
      <c r="G1397" t="s">
        <v>31</v>
      </c>
      <c r="H1397" t="s">
        <v>15</v>
      </c>
      <c r="I1397">
        <v>4</v>
      </c>
      <c r="J1397">
        <v>13</v>
      </c>
      <c r="K1397">
        <v>4</v>
      </c>
    </row>
    <row r="1398" spans="1:11" x14ac:dyDescent="0.35">
      <c r="A1398">
        <v>1397</v>
      </c>
      <c r="B1398">
        <v>23</v>
      </c>
      <c r="C1398" t="s">
        <v>11</v>
      </c>
      <c r="D1398" t="s">
        <v>41</v>
      </c>
      <c r="E1398" t="s">
        <v>42</v>
      </c>
      <c r="F1398">
        <v>123.01</v>
      </c>
      <c r="G1398" t="s">
        <v>19</v>
      </c>
      <c r="H1398" t="s">
        <v>15</v>
      </c>
      <c r="I1398">
        <v>3.9</v>
      </c>
      <c r="J1398">
        <v>17</v>
      </c>
      <c r="K1398">
        <v>6</v>
      </c>
    </row>
    <row r="1399" spans="1:11" x14ac:dyDescent="0.35">
      <c r="A1399">
        <v>1398</v>
      </c>
      <c r="B1399">
        <v>43</v>
      </c>
      <c r="C1399" t="s">
        <v>11</v>
      </c>
      <c r="D1399" t="s">
        <v>12</v>
      </c>
      <c r="E1399" t="s">
        <v>13</v>
      </c>
      <c r="F1399">
        <v>162.25</v>
      </c>
      <c r="G1399" t="s">
        <v>19</v>
      </c>
      <c r="H1399" t="s">
        <v>15</v>
      </c>
      <c r="I1399">
        <v>4.2</v>
      </c>
      <c r="J1399">
        <v>6</v>
      </c>
      <c r="K1399">
        <v>3</v>
      </c>
    </row>
    <row r="1400" spans="1:11" x14ac:dyDescent="0.35">
      <c r="A1400">
        <v>1399</v>
      </c>
      <c r="B1400">
        <v>54</v>
      </c>
      <c r="C1400" t="s">
        <v>11</v>
      </c>
      <c r="D1400" t="s">
        <v>33</v>
      </c>
      <c r="E1400" t="s">
        <v>40</v>
      </c>
      <c r="F1400">
        <v>194.79</v>
      </c>
      <c r="G1400" t="s">
        <v>24</v>
      </c>
      <c r="H1400" t="s">
        <v>15</v>
      </c>
      <c r="I1400">
        <v>2.2000000000000002</v>
      </c>
      <c r="J1400">
        <v>16</v>
      </c>
      <c r="K1400">
        <v>8</v>
      </c>
    </row>
    <row r="1401" spans="1:11" x14ac:dyDescent="0.35">
      <c r="A1401">
        <v>1400</v>
      </c>
      <c r="B1401">
        <v>50</v>
      </c>
      <c r="C1401" t="s">
        <v>16</v>
      </c>
      <c r="D1401" t="s">
        <v>20</v>
      </c>
      <c r="E1401" t="s">
        <v>39</v>
      </c>
      <c r="F1401">
        <v>126.38</v>
      </c>
      <c r="G1401" t="s">
        <v>14</v>
      </c>
      <c r="H1401" t="s">
        <v>15</v>
      </c>
      <c r="I1401">
        <v>3.4</v>
      </c>
      <c r="J1401">
        <v>6</v>
      </c>
      <c r="K1401">
        <v>3</v>
      </c>
    </row>
    <row r="1402" spans="1:11" x14ac:dyDescent="0.35">
      <c r="A1402">
        <v>1401</v>
      </c>
      <c r="B1402">
        <v>67</v>
      </c>
      <c r="C1402" t="s">
        <v>11</v>
      </c>
      <c r="D1402" t="s">
        <v>33</v>
      </c>
      <c r="E1402" t="s">
        <v>38</v>
      </c>
      <c r="F1402">
        <v>246.6</v>
      </c>
      <c r="G1402" t="s">
        <v>19</v>
      </c>
      <c r="H1402" t="s">
        <v>15</v>
      </c>
      <c r="I1402">
        <v>4.8</v>
      </c>
      <c r="J1402">
        <v>15</v>
      </c>
      <c r="K1402">
        <v>5</v>
      </c>
    </row>
    <row r="1403" spans="1:11" x14ac:dyDescent="0.35">
      <c r="A1403">
        <v>1402</v>
      </c>
      <c r="B1403">
        <v>59</v>
      </c>
      <c r="C1403" t="s">
        <v>16</v>
      </c>
      <c r="D1403" t="s">
        <v>17</v>
      </c>
      <c r="E1403" t="s">
        <v>18</v>
      </c>
      <c r="F1403">
        <v>116.03</v>
      </c>
      <c r="G1403" t="s">
        <v>19</v>
      </c>
      <c r="H1403" t="s">
        <v>15</v>
      </c>
      <c r="I1403">
        <v>2.6</v>
      </c>
      <c r="J1403">
        <v>7</v>
      </c>
      <c r="K1403">
        <v>1</v>
      </c>
    </row>
    <row r="1404" spans="1:11" x14ac:dyDescent="0.35">
      <c r="A1404">
        <v>1403</v>
      </c>
      <c r="B1404">
        <v>21</v>
      </c>
      <c r="C1404" t="s">
        <v>11</v>
      </c>
      <c r="D1404" t="s">
        <v>12</v>
      </c>
      <c r="E1404" t="s">
        <v>56</v>
      </c>
      <c r="F1404">
        <v>157.32</v>
      </c>
      <c r="G1404" t="s">
        <v>24</v>
      </c>
      <c r="H1404" t="s">
        <v>15</v>
      </c>
      <c r="I1404">
        <v>3.1</v>
      </c>
      <c r="J1404">
        <v>18</v>
      </c>
      <c r="K1404">
        <v>4</v>
      </c>
    </row>
    <row r="1405" spans="1:11" x14ac:dyDescent="0.35">
      <c r="A1405">
        <v>1404</v>
      </c>
      <c r="B1405">
        <v>26</v>
      </c>
      <c r="C1405" t="s">
        <v>11</v>
      </c>
      <c r="D1405" t="s">
        <v>29</v>
      </c>
      <c r="E1405" t="s">
        <v>51</v>
      </c>
      <c r="F1405">
        <v>96.17</v>
      </c>
      <c r="G1405" t="s">
        <v>31</v>
      </c>
      <c r="H1405" t="s">
        <v>37</v>
      </c>
      <c r="I1405">
        <v>3.5</v>
      </c>
      <c r="J1405">
        <v>15</v>
      </c>
      <c r="K1405">
        <v>5</v>
      </c>
    </row>
    <row r="1406" spans="1:11" x14ac:dyDescent="0.35">
      <c r="A1406">
        <v>1405</v>
      </c>
      <c r="B1406">
        <v>21</v>
      </c>
      <c r="C1406" t="s">
        <v>11</v>
      </c>
      <c r="D1406" t="s">
        <v>33</v>
      </c>
      <c r="E1406" t="s">
        <v>40</v>
      </c>
      <c r="F1406">
        <v>103.99</v>
      </c>
      <c r="G1406" t="s">
        <v>19</v>
      </c>
      <c r="H1406" t="s">
        <v>15</v>
      </c>
      <c r="I1406">
        <v>4.3</v>
      </c>
      <c r="J1406">
        <v>11</v>
      </c>
      <c r="K1406">
        <v>3</v>
      </c>
    </row>
    <row r="1407" spans="1:11" x14ac:dyDescent="0.35">
      <c r="A1407">
        <v>1406</v>
      </c>
      <c r="B1407">
        <v>57</v>
      </c>
      <c r="C1407" t="s">
        <v>16</v>
      </c>
      <c r="D1407" t="s">
        <v>27</v>
      </c>
      <c r="E1407" t="s">
        <v>32</v>
      </c>
      <c r="F1407">
        <v>629.5</v>
      </c>
      <c r="G1407" t="s">
        <v>19</v>
      </c>
      <c r="H1407" t="s">
        <v>15</v>
      </c>
      <c r="I1407">
        <v>3.7</v>
      </c>
      <c r="J1407">
        <v>15</v>
      </c>
      <c r="K1407">
        <v>5</v>
      </c>
    </row>
    <row r="1408" spans="1:11" x14ac:dyDescent="0.35">
      <c r="A1408">
        <v>1407</v>
      </c>
      <c r="B1408">
        <v>23</v>
      </c>
      <c r="C1408" t="s">
        <v>16</v>
      </c>
      <c r="D1408" t="s">
        <v>27</v>
      </c>
      <c r="E1408" t="s">
        <v>32</v>
      </c>
      <c r="F1408">
        <v>1444.5</v>
      </c>
      <c r="G1408" t="s">
        <v>19</v>
      </c>
      <c r="H1408" t="s">
        <v>15</v>
      </c>
      <c r="I1408">
        <v>3.2</v>
      </c>
      <c r="J1408">
        <v>14</v>
      </c>
      <c r="K1408">
        <v>2</v>
      </c>
    </row>
    <row r="1409" spans="1:11" x14ac:dyDescent="0.35">
      <c r="A1409">
        <v>1408</v>
      </c>
      <c r="B1409">
        <v>57</v>
      </c>
      <c r="C1409" t="s">
        <v>16</v>
      </c>
      <c r="D1409" t="s">
        <v>17</v>
      </c>
      <c r="E1409" t="s">
        <v>48</v>
      </c>
      <c r="F1409">
        <v>36.46</v>
      </c>
      <c r="G1409" t="s">
        <v>31</v>
      </c>
      <c r="H1409" t="s">
        <v>15</v>
      </c>
      <c r="I1409">
        <v>2.6</v>
      </c>
      <c r="J1409">
        <v>4</v>
      </c>
      <c r="K1409">
        <v>2</v>
      </c>
    </row>
    <row r="1410" spans="1:11" x14ac:dyDescent="0.35">
      <c r="A1410">
        <v>1409</v>
      </c>
      <c r="B1410">
        <v>31</v>
      </c>
      <c r="C1410" t="s">
        <v>11</v>
      </c>
      <c r="D1410" t="s">
        <v>29</v>
      </c>
      <c r="E1410" t="s">
        <v>30</v>
      </c>
      <c r="F1410">
        <v>80.36</v>
      </c>
      <c r="G1410" t="s">
        <v>31</v>
      </c>
      <c r="H1410" t="s">
        <v>37</v>
      </c>
      <c r="I1410">
        <v>4.5</v>
      </c>
      <c r="J1410">
        <v>17</v>
      </c>
      <c r="K1410">
        <v>6</v>
      </c>
    </row>
    <row r="1411" spans="1:11" x14ac:dyDescent="0.35">
      <c r="A1411">
        <v>1410</v>
      </c>
      <c r="B1411">
        <v>57</v>
      </c>
      <c r="C1411" t="s">
        <v>16</v>
      </c>
      <c r="D1411" t="s">
        <v>27</v>
      </c>
      <c r="E1411" t="s">
        <v>53</v>
      </c>
      <c r="F1411">
        <v>2547.41</v>
      </c>
      <c r="G1411" t="s">
        <v>19</v>
      </c>
      <c r="H1411" t="s">
        <v>15</v>
      </c>
      <c r="I1411">
        <v>3.7</v>
      </c>
      <c r="J1411">
        <v>16</v>
      </c>
      <c r="K1411">
        <v>3</v>
      </c>
    </row>
    <row r="1412" spans="1:11" x14ac:dyDescent="0.35">
      <c r="A1412">
        <v>1411</v>
      </c>
      <c r="B1412">
        <v>55</v>
      </c>
      <c r="C1412" t="s">
        <v>11</v>
      </c>
      <c r="D1412" t="s">
        <v>33</v>
      </c>
      <c r="E1412" t="s">
        <v>40</v>
      </c>
      <c r="F1412">
        <v>75.06</v>
      </c>
      <c r="G1412" t="s">
        <v>31</v>
      </c>
      <c r="H1412" t="s">
        <v>15</v>
      </c>
      <c r="I1412">
        <v>3.9</v>
      </c>
      <c r="J1412">
        <v>12</v>
      </c>
      <c r="K1412">
        <v>1</v>
      </c>
    </row>
    <row r="1413" spans="1:11" x14ac:dyDescent="0.35">
      <c r="A1413">
        <v>1412</v>
      </c>
      <c r="B1413">
        <v>47</v>
      </c>
      <c r="C1413" t="s">
        <v>11</v>
      </c>
      <c r="D1413" t="s">
        <v>29</v>
      </c>
      <c r="E1413" t="s">
        <v>55</v>
      </c>
      <c r="F1413">
        <v>42.38</v>
      </c>
      <c r="G1413" t="s">
        <v>31</v>
      </c>
      <c r="H1413" t="s">
        <v>37</v>
      </c>
      <c r="I1413">
        <v>3.4</v>
      </c>
      <c r="J1413">
        <v>17</v>
      </c>
      <c r="K1413">
        <v>6</v>
      </c>
    </row>
    <row r="1414" spans="1:11" x14ac:dyDescent="0.35">
      <c r="A1414">
        <v>1413</v>
      </c>
      <c r="B1414">
        <v>52</v>
      </c>
      <c r="C1414" t="s">
        <v>11</v>
      </c>
      <c r="D1414" t="s">
        <v>29</v>
      </c>
      <c r="E1414" t="s">
        <v>55</v>
      </c>
      <c r="F1414">
        <v>134.53</v>
      </c>
      <c r="G1414" t="s">
        <v>14</v>
      </c>
      <c r="H1414" t="s">
        <v>15</v>
      </c>
      <c r="I1414">
        <v>3.8</v>
      </c>
      <c r="J1414">
        <v>26</v>
      </c>
      <c r="K1414">
        <v>8</v>
      </c>
    </row>
    <row r="1415" spans="1:11" x14ac:dyDescent="0.35">
      <c r="A1415">
        <v>1414</v>
      </c>
      <c r="B1415">
        <v>23</v>
      </c>
      <c r="C1415" t="s">
        <v>16</v>
      </c>
      <c r="D1415" t="s">
        <v>33</v>
      </c>
      <c r="E1415" t="s">
        <v>34</v>
      </c>
      <c r="F1415">
        <v>214.52</v>
      </c>
      <c r="G1415" t="s">
        <v>31</v>
      </c>
      <c r="H1415" t="s">
        <v>15</v>
      </c>
      <c r="I1415">
        <v>2.6</v>
      </c>
      <c r="J1415">
        <v>4</v>
      </c>
      <c r="K1415">
        <v>2</v>
      </c>
    </row>
    <row r="1416" spans="1:11" x14ac:dyDescent="0.35">
      <c r="A1416">
        <v>1415</v>
      </c>
      <c r="B1416">
        <v>24</v>
      </c>
      <c r="C1416" t="s">
        <v>11</v>
      </c>
      <c r="D1416" t="s">
        <v>29</v>
      </c>
      <c r="E1416" t="s">
        <v>55</v>
      </c>
      <c r="F1416">
        <v>42.87</v>
      </c>
      <c r="G1416" t="s">
        <v>19</v>
      </c>
      <c r="H1416" t="s">
        <v>15</v>
      </c>
      <c r="I1416">
        <v>3.6</v>
      </c>
      <c r="J1416">
        <v>15</v>
      </c>
      <c r="K1416">
        <v>5</v>
      </c>
    </row>
    <row r="1417" spans="1:11" x14ac:dyDescent="0.35">
      <c r="A1417">
        <v>1416</v>
      </c>
      <c r="B1417">
        <v>22</v>
      </c>
      <c r="C1417" t="s">
        <v>16</v>
      </c>
      <c r="D1417" t="s">
        <v>20</v>
      </c>
      <c r="E1417" t="s">
        <v>21</v>
      </c>
      <c r="F1417">
        <v>180.61</v>
      </c>
      <c r="G1417" t="s">
        <v>19</v>
      </c>
      <c r="H1417" t="s">
        <v>15</v>
      </c>
      <c r="I1417">
        <v>3</v>
      </c>
      <c r="J1417">
        <v>15</v>
      </c>
      <c r="K1417">
        <v>5</v>
      </c>
    </row>
    <row r="1418" spans="1:11" x14ac:dyDescent="0.35">
      <c r="A1418">
        <v>1417</v>
      </c>
      <c r="B1418">
        <v>52</v>
      </c>
      <c r="C1418" t="s">
        <v>16</v>
      </c>
      <c r="D1418" t="s">
        <v>33</v>
      </c>
      <c r="E1418" t="s">
        <v>38</v>
      </c>
      <c r="F1418">
        <v>161.19999999999999</v>
      </c>
      <c r="G1418" t="s">
        <v>24</v>
      </c>
      <c r="H1418" t="s">
        <v>15</v>
      </c>
      <c r="I1418">
        <v>3.1</v>
      </c>
      <c r="J1418">
        <v>4</v>
      </c>
      <c r="K1418">
        <v>2</v>
      </c>
    </row>
    <row r="1419" spans="1:11" x14ac:dyDescent="0.35">
      <c r="A1419">
        <v>1418</v>
      </c>
      <c r="B1419">
        <v>49</v>
      </c>
      <c r="C1419" t="s">
        <v>11</v>
      </c>
      <c r="D1419" t="s">
        <v>20</v>
      </c>
      <c r="E1419" t="s">
        <v>39</v>
      </c>
      <c r="F1419">
        <v>166.73</v>
      </c>
      <c r="G1419" t="s">
        <v>19</v>
      </c>
      <c r="H1419" t="s">
        <v>15</v>
      </c>
      <c r="I1419">
        <v>2.2999999999999998</v>
      </c>
      <c r="J1419">
        <v>15</v>
      </c>
      <c r="K1419">
        <v>5</v>
      </c>
    </row>
    <row r="1420" spans="1:11" x14ac:dyDescent="0.35">
      <c r="A1420">
        <v>1419</v>
      </c>
      <c r="B1420">
        <v>29</v>
      </c>
      <c r="C1420" t="s">
        <v>11</v>
      </c>
      <c r="D1420" t="s">
        <v>33</v>
      </c>
      <c r="E1420" t="s">
        <v>38</v>
      </c>
      <c r="F1420">
        <v>102.67</v>
      </c>
      <c r="G1420" t="s">
        <v>19</v>
      </c>
      <c r="H1420" t="s">
        <v>15</v>
      </c>
      <c r="I1420">
        <v>3</v>
      </c>
      <c r="J1420">
        <v>6</v>
      </c>
      <c r="K1420">
        <v>3</v>
      </c>
    </row>
    <row r="1421" spans="1:11" x14ac:dyDescent="0.35">
      <c r="A1421">
        <v>1420</v>
      </c>
      <c r="B1421">
        <v>54</v>
      </c>
      <c r="C1421" t="s">
        <v>16</v>
      </c>
      <c r="D1421" t="s">
        <v>27</v>
      </c>
      <c r="E1421" t="s">
        <v>49</v>
      </c>
      <c r="F1421">
        <v>999.76</v>
      </c>
      <c r="G1421" t="s">
        <v>24</v>
      </c>
      <c r="H1421" t="s">
        <v>15</v>
      </c>
      <c r="I1421">
        <v>4</v>
      </c>
      <c r="J1421">
        <v>8</v>
      </c>
      <c r="K1421">
        <v>4</v>
      </c>
    </row>
    <row r="1422" spans="1:11" x14ac:dyDescent="0.35">
      <c r="A1422">
        <v>1421</v>
      </c>
      <c r="B1422">
        <v>31</v>
      </c>
      <c r="C1422" t="s">
        <v>16</v>
      </c>
      <c r="D1422" t="s">
        <v>20</v>
      </c>
      <c r="E1422" t="s">
        <v>21</v>
      </c>
      <c r="F1422">
        <v>112.39</v>
      </c>
      <c r="G1422" t="s">
        <v>19</v>
      </c>
      <c r="H1422" t="s">
        <v>15</v>
      </c>
      <c r="I1422">
        <v>4.7</v>
      </c>
      <c r="J1422">
        <v>26</v>
      </c>
      <c r="K1422">
        <v>8</v>
      </c>
    </row>
    <row r="1423" spans="1:11" x14ac:dyDescent="0.35">
      <c r="A1423">
        <v>1422</v>
      </c>
      <c r="B1423">
        <v>54</v>
      </c>
      <c r="C1423" t="s">
        <v>16</v>
      </c>
      <c r="D1423" t="s">
        <v>17</v>
      </c>
      <c r="E1423" t="s">
        <v>48</v>
      </c>
      <c r="F1423">
        <v>161.28</v>
      </c>
      <c r="G1423" t="s">
        <v>24</v>
      </c>
      <c r="H1423" t="s">
        <v>15</v>
      </c>
      <c r="I1423">
        <v>3.4</v>
      </c>
      <c r="J1423">
        <v>16</v>
      </c>
      <c r="K1423">
        <v>3</v>
      </c>
    </row>
    <row r="1424" spans="1:11" x14ac:dyDescent="0.35">
      <c r="A1424">
        <v>1423</v>
      </c>
      <c r="B1424">
        <v>32</v>
      </c>
      <c r="C1424" t="s">
        <v>16</v>
      </c>
      <c r="D1424" t="s">
        <v>25</v>
      </c>
      <c r="E1424" t="s">
        <v>26</v>
      </c>
      <c r="F1424">
        <v>31.93</v>
      </c>
      <c r="G1424" t="s">
        <v>24</v>
      </c>
      <c r="H1424" t="s">
        <v>37</v>
      </c>
      <c r="I1424">
        <v>4.3</v>
      </c>
      <c r="J1424">
        <v>9</v>
      </c>
      <c r="K1424">
        <v>2</v>
      </c>
    </row>
    <row r="1425" spans="1:11" x14ac:dyDescent="0.35">
      <c r="A1425">
        <v>1424</v>
      </c>
      <c r="B1425">
        <v>26</v>
      </c>
      <c r="C1425" t="s">
        <v>11</v>
      </c>
      <c r="D1425" t="s">
        <v>41</v>
      </c>
      <c r="E1425" t="s">
        <v>45</v>
      </c>
      <c r="F1425">
        <v>53</v>
      </c>
      <c r="G1425" t="s">
        <v>19</v>
      </c>
      <c r="H1425" t="s">
        <v>37</v>
      </c>
      <c r="I1425">
        <v>4.4000000000000004</v>
      </c>
      <c r="J1425">
        <v>12</v>
      </c>
      <c r="K1425">
        <v>6</v>
      </c>
    </row>
    <row r="1426" spans="1:11" x14ac:dyDescent="0.35">
      <c r="A1426">
        <v>1425</v>
      </c>
      <c r="B1426">
        <v>22</v>
      </c>
      <c r="C1426" t="s">
        <v>11</v>
      </c>
      <c r="D1426" t="s">
        <v>41</v>
      </c>
      <c r="E1426" t="s">
        <v>45</v>
      </c>
      <c r="F1426">
        <v>64.8</v>
      </c>
      <c r="G1426" t="s">
        <v>14</v>
      </c>
      <c r="H1426" t="s">
        <v>37</v>
      </c>
      <c r="I1426">
        <v>2.7</v>
      </c>
      <c r="J1426">
        <v>19</v>
      </c>
      <c r="K1426">
        <v>7</v>
      </c>
    </row>
    <row r="1427" spans="1:11" x14ac:dyDescent="0.35">
      <c r="A1427">
        <v>1426</v>
      </c>
      <c r="B1427">
        <v>61</v>
      </c>
      <c r="C1427" t="s">
        <v>11</v>
      </c>
      <c r="D1427" t="s">
        <v>22</v>
      </c>
      <c r="E1427" t="s">
        <v>52</v>
      </c>
      <c r="F1427">
        <v>74.16</v>
      </c>
      <c r="G1427" t="s">
        <v>31</v>
      </c>
      <c r="H1427" t="s">
        <v>37</v>
      </c>
      <c r="I1427">
        <v>4.8</v>
      </c>
      <c r="J1427">
        <v>18</v>
      </c>
      <c r="K1427">
        <v>4</v>
      </c>
    </row>
    <row r="1428" spans="1:11" x14ac:dyDescent="0.35">
      <c r="A1428">
        <v>1427</v>
      </c>
      <c r="B1428">
        <v>67</v>
      </c>
      <c r="C1428" t="s">
        <v>16</v>
      </c>
      <c r="D1428" t="s">
        <v>20</v>
      </c>
      <c r="E1428" t="s">
        <v>39</v>
      </c>
      <c r="F1428">
        <v>238.74</v>
      </c>
      <c r="G1428" t="s">
        <v>24</v>
      </c>
      <c r="H1428" t="s">
        <v>15</v>
      </c>
      <c r="I1428">
        <v>3.4</v>
      </c>
      <c r="J1428">
        <v>26</v>
      </c>
      <c r="K1428">
        <v>8</v>
      </c>
    </row>
    <row r="1429" spans="1:11" x14ac:dyDescent="0.35">
      <c r="A1429">
        <v>1428</v>
      </c>
      <c r="B1429">
        <v>28</v>
      </c>
      <c r="C1429" t="s">
        <v>16</v>
      </c>
      <c r="D1429" t="s">
        <v>17</v>
      </c>
      <c r="E1429" t="s">
        <v>48</v>
      </c>
      <c r="F1429">
        <v>30.21</v>
      </c>
      <c r="G1429" t="s">
        <v>24</v>
      </c>
      <c r="H1429" t="s">
        <v>15</v>
      </c>
      <c r="I1429">
        <v>3.7</v>
      </c>
      <c r="J1429">
        <v>14</v>
      </c>
      <c r="K1429">
        <v>2</v>
      </c>
    </row>
    <row r="1430" spans="1:11" x14ac:dyDescent="0.35">
      <c r="A1430">
        <v>1429</v>
      </c>
      <c r="B1430">
        <v>20</v>
      </c>
      <c r="C1430" t="s">
        <v>11</v>
      </c>
      <c r="D1430" t="s">
        <v>33</v>
      </c>
      <c r="E1430" t="s">
        <v>34</v>
      </c>
      <c r="F1430">
        <v>200.62</v>
      </c>
      <c r="G1430" t="s">
        <v>14</v>
      </c>
      <c r="H1430" t="s">
        <v>15</v>
      </c>
      <c r="I1430">
        <v>4.5999999999999996</v>
      </c>
      <c r="J1430">
        <v>12</v>
      </c>
      <c r="K1430">
        <v>6</v>
      </c>
    </row>
    <row r="1431" spans="1:11" x14ac:dyDescent="0.35">
      <c r="A1431">
        <v>1430</v>
      </c>
      <c r="B1431">
        <v>25</v>
      </c>
      <c r="C1431" t="s">
        <v>16</v>
      </c>
      <c r="D1431" t="s">
        <v>20</v>
      </c>
      <c r="E1431" t="s">
        <v>39</v>
      </c>
      <c r="F1431">
        <v>238.55</v>
      </c>
      <c r="G1431" t="s">
        <v>19</v>
      </c>
      <c r="H1431" t="s">
        <v>15</v>
      </c>
      <c r="I1431">
        <v>4</v>
      </c>
      <c r="J1431">
        <v>12</v>
      </c>
      <c r="K1431">
        <v>6</v>
      </c>
    </row>
    <row r="1432" spans="1:11" x14ac:dyDescent="0.35">
      <c r="A1432">
        <v>1431</v>
      </c>
      <c r="B1432">
        <v>28</v>
      </c>
      <c r="C1432" t="s">
        <v>11</v>
      </c>
      <c r="D1432" t="s">
        <v>41</v>
      </c>
      <c r="E1432" t="s">
        <v>46</v>
      </c>
      <c r="F1432">
        <v>159.04</v>
      </c>
      <c r="G1432" t="s">
        <v>19</v>
      </c>
      <c r="H1432" t="s">
        <v>15</v>
      </c>
      <c r="I1432">
        <v>4.8</v>
      </c>
      <c r="J1432">
        <v>26</v>
      </c>
      <c r="K1432">
        <v>8</v>
      </c>
    </row>
    <row r="1433" spans="1:11" x14ac:dyDescent="0.35">
      <c r="A1433">
        <v>1432</v>
      </c>
      <c r="B1433">
        <v>21</v>
      </c>
      <c r="C1433" t="s">
        <v>16</v>
      </c>
      <c r="D1433" t="s">
        <v>25</v>
      </c>
      <c r="E1433" t="s">
        <v>47</v>
      </c>
      <c r="F1433">
        <v>63.05</v>
      </c>
      <c r="G1433" t="s">
        <v>14</v>
      </c>
      <c r="H1433" t="s">
        <v>37</v>
      </c>
      <c r="I1433">
        <v>4.3</v>
      </c>
      <c r="J1433">
        <v>21</v>
      </c>
      <c r="K1433">
        <v>8</v>
      </c>
    </row>
    <row r="1434" spans="1:11" x14ac:dyDescent="0.35">
      <c r="A1434">
        <v>1433</v>
      </c>
      <c r="B1434">
        <v>35</v>
      </c>
      <c r="C1434" t="s">
        <v>16</v>
      </c>
      <c r="D1434" t="s">
        <v>27</v>
      </c>
      <c r="E1434" t="s">
        <v>32</v>
      </c>
      <c r="F1434">
        <v>2360.5</v>
      </c>
      <c r="G1434" t="s">
        <v>31</v>
      </c>
      <c r="H1434" t="s">
        <v>15</v>
      </c>
      <c r="I1434">
        <v>4.4000000000000004</v>
      </c>
      <c r="J1434">
        <v>12</v>
      </c>
      <c r="K1434">
        <v>6</v>
      </c>
    </row>
    <row r="1435" spans="1:11" x14ac:dyDescent="0.35">
      <c r="A1435">
        <v>1434</v>
      </c>
      <c r="B1435">
        <v>23</v>
      </c>
      <c r="C1435" t="s">
        <v>11</v>
      </c>
      <c r="D1435" t="s">
        <v>41</v>
      </c>
      <c r="E1435" t="s">
        <v>45</v>
      </c>
      <c r="F1435">
        <v>104.09</v>
      </c>
      <c r="G1435" t="s">
        <v>19</v>
      </c>
      <c r="H1435" t="s">
        <v>15</v>
      </c>
      <c r="I1435">
        <v>3.8</v>
      </c>
      <c r="J1435">
        <v>16</v>
      </c>
      <c r="K1435">
        <v>8</v>
      </c>
    </row>
    <row r="1436" spans="1:11" x14ac:dyDescent="0.35">
      <c r="A1436">
        <v>1435</v>
      </c>
      <c r="B1436">
        <v>52</v>
      </c>
      <c r="C1436" t="s">
        <v>11</v>
      </c>
      <c r="D1436" t="s">
        <v>20</v>
      </c>
      <c r="E1436" t="s">
        <v>21</v>
      </c>
      <c r="F1436">
        <v>245.46</v>
      </c>
      <c r="G1436" t="s">
        <v>19</v>
      </c>
      <c r="H1436" t="s">
        <v>15</v>
      </c>
      <c r="I1436">
        <v>5</v>
      </c>
      <c r="J1436">
        <v>19</v>
      </c>
      <c r="K1436">
        <v>7</v>
      </c>
    </row>
    <row r="1437" spans="1:11" x14ac:dyDescent="0.35">
      <c r="A1437">
        <v>1436</v>
      </c>
      <c r="B1437">
        <v>68</v>
      </c>
      <c r="C1437" t="s">
        <v>16</v>
      </c>
      <c r="D1437" t="s">
        <v>17</v>
      </c>
      <c r="E1437" t="s">
        <v>42</v>
      </c>
      <c r="F1437">
        <v>175.43</v>
      </c>
      <c r="G1437" t="s">
        <v>31</v>
      </c>
      <c r="H1437" t="s">
        <v>15</v>
      </c>
      <c r="I1437">
        <v>3.7</v>
      </c>
      <c r="J1437">
        <v>10</v>
      </c>
      <c r="K1437">
        <v>5</v>
      </c>
    </row>
    <row r="1438" spans="1:11" x14ac:dyDescent="0.35">
      <c r="A1438">
        <v>1437</v>
      </c>
      <c r="B1438">
        <v>55</v>
      </c>
      <c r="C1438" t="s">
        <v>11</v>
      </c>
      <c r="D1438" t="s">
        <v>12</v>
      </c>
      <c r="E1438" t="s">
        <v>50</v>
      </c>
      <c r="F1438">
        <v>169.49</v>
      </c>
      <c r="G1438" t="s">
        <v>24</v>
      </c>
      <c r="H1438" t="s">
        <v>15</v>
      </c>
      <c r="I1438">
        <v>3.6</v>
      </c>
      <c r="J1438">
        <v>18</v>
      </c>
      <c r="K1438">
        <v>4</v>
      </c>
    </row>
    <row r="1439" spans="1:11" x14ac:dyDescent="0.35">
      <c r="A1439">
        <v>1438</v>
      </c>
      <c r="B1439">
        <v>59</v>
      </c>
      <c r="C1439" t="s">
        <v>11</v>
      </c>
      <c r="D1439" t="s">
        <v>29</v>
      </c>
      <c r="E1439" t="s">
        <v>55</v>
      </c>
      <c r="F1439">
        <v>101.48</v>
      </c>
      <c r="G1439" t="s">
        <v>24</v>
      </c>
      <c r="H1439" t="s">
        <v>15</v>
      </c>
      <c r="I1439">
        <v>4.3</v>
      </c>
      <c r="J1439">
        <v>4</v>
      </c>
      <c r="K1439">
        <v>2</v>
      </c>
    </row>
    <row r="1440" spans="1:11" x14ac:dyDescent="0.35">
      <c r="A1440">
        <v>1439</v>
      </c>
      <c r="B1440">
        <v>22</v>
      </c>
      <c r="C1440" t="s">
        <v>16</v>
      </c>
      <c r="D1440" t="s">
        <v>27</v>
      </c>
      <c r="E1440" t="s">
        <v>49</v>
      </c>
      <c r="F1440">
        <v>2140.58</v>
      </c>
      <c r="G1440" t="s">
        <v>24</v>
      </c>
      <c r="H1440" t="s">
        <v>15</v>
      </c>
      <c r="I1440">
        <v>3.5</v>
      </c>
      <c r="J1440">
        <v>18</v>
      </c>
      <c r="K1440">
        <v>4</v>
      </c>
    </row>
    <row r="1441" spans="1:11" x14ac:dyDescent="0.35">
      <c r="A1441">
        <v>1440</v>
      </c>
      <c r="B1441">
        <v>47</v>
      </c>
      <c r="C1441" t="s">
        <v>16</v>
      </c>
      <c r="D1441" t="s">
        <v>20</v>
      </c>
      <c r="E1441" t="s">
        <v>21</v>
      </c>
      <c r="F1441">
        <v>203.57</v>
      </c>
      <c r="G1441" t="s">
        <v>14</v>
      </c>
      <c r="H1441" t="s">
        <v>15</v>
      </c>
      <c r="I1441">
        <v>3.7</v>
      </c>
      <c r="J1441">
        <v>16</v>
      </c>
      <c r="K1441">
        <v>3</v>
      </c>
    </row>
    <row r="1442" spans="1:11" x14ac:dyDescent="0.35">
      <c r="A1442">
        <v>1441</v>
      </c>
      <c r="B1442">
        <v>40</v>
      </c>
      <c r="C1442" t="s">
        <v>11</v>
      </c>
      <c r="D1442" t="s">
        <v>41</v>
      </c>
      <c r="E1442" t="s">
        <v>45</v>
      </c>
      <c r="F1442">
        <v>139.26</v>
      </c>
      <c r="G1442" t="s">
        <v>19</v>
      </c>
      <c r="H1442" t="s">
        <v>15</v>
      </c>
      <c r="I1442">
        <v>3.3</v>
      </c>
      <c r="J1442">
        <v>24</v>
      </c>
      <c r="K1442">
        <v>7</v>
      </c>
    </row>
    <row r="1443" spans="1:11" x14ac:dyDescent="0.35">
      <c r="A1443">
        <v>1442</v>
      </c>
      <c r="B1443">
        <v>67</v>
      </c>
      <c r="C1443" t="s">
        <v>11</v>
      </c>
      <c r="D1443" t="s">
        <v>41</v>
      </c>
      <c r="E1443" t="s">
        <v>45</v>
      </c>
      <c r="F1443">
        <v>67.400000000000006</v>
      </c>
      <c r="G1443" t="s">
        <v>19</v>
      </c>
      <c r="H1443" t="s">
        <v>37</v>
      </c>
      <c r="I1443">
        <v>3.3</v>
      </c>
      <c r="J1443">
        <v>22</v>
      </c>
      <c r="K1443">
        <v>6</v>
      </c>
    </row>
    <row r="1444" spans="1:11" x14ac:dyDescent="0.35">
      <c r="A1444">
        <v>1443</v>
      </c>
      <c r="B1444">
        <v>34</v>
      </c>
      <c r="C1444" t="s">
        <v>11</v>
      </c>
      <c r="D1444" t="s">
        <v>29</v>
      </c>
      <c r="E1444" t="s">
        <v>51</v>
      </c>
      <c r="F1444">
        <v>116.44</v>
      </c>
      <c r="G1444" t="s">
        <v>31</v>
      </c>
      <c r="H1444" t="s">
        <v>15</v>
      </c>
      <c r="I1444">
        <v>4</v>
      </c>
      <c r="J1444">
        <v>25</v>
      </c>
      <c r="K1444">
        <v>10</v>
      </c>
    </row>
    <row r="1445" spans="1:11" x14ac:dyDescent="0.35">
      <c r="A1445">
        <v>1444</v>
      </c>
      <c r="B1445">
        <v>50</v>
      </c>
      <c r="C1445" t="s">
        <v>16</v>
      </c>
      <c r="D1445" t="s">
        <v>20</v>
      </c>
      <c r="E1445" t="s">
        <v>36</v>
      </c>
      <c r="F1445">
        <v>184.94</v>
      </c>
      <c r="G1445" t="s">
        <v>31</v>
      </c>
      <c r="H1445" t="s">
        <v>15</v>
      </c>
      <c r="I1445">
        <v>2.5</v>
      </c>
      <c r="J1445">
        <v>8</v>
      </c>
      <c r="K1445">
        <v>4</v>
      </c>
    </row>
    <row r="1446" spans="1:11" x14ac:dyDescent="0.35">
      <c r="A1446">
        <v>1445</v>
      </c>
      <c r="B1446">
        <v>70</v>
      </c>
      <c r="C1446" t="s">
        <v>11</v>
      </c>
      <c r="D1446" t="s">
        <v>12</v>
      </c>
      <c r="E1446" t="s">
        <v>56</v>
      </c>
      <c r="F1446">
        <v>103.96</v>
      </c>
      <c r="G1446" t="s">
        <v>24</v>
      </c>
      <c r="H1446" t="s">
        <v>15</v>
      </c>
      <c r="I1446">
        <v>5</v>
      </c>
      <c r="J1446">
        <v>2</v>
      </c>
      <c r="K1446">
        <v>1</v>
      </c>
    </row>
    <row r="1447" spans="1:11" x14ac:dyDescent="0.35">
      <c r="A1447">
        <v>1446</v>
      </c>
      <c r="B1447">
        <v>49</v>
      </c>
      <c r="C1447" t="s">
        <v>16</v>
      </c>
      <c r="D1447" t="s">
        <v>17</v>
      </c>
      <c r="E1447" t="s">
        <v>18</v>
      </c>
      <c r="F1447">
        <v>181.17</v>
      </c>
      <c r="G1447" t="s">
        <v>19</v>
      </c>
      <c r="H1447" t="s">
        <v>15</v>
      </c>
      <c r="I1447">
        <v>4.4000000000000004</v>
      </c>
      <c r="J1447">
        <v>18</v>
      </c>
      <c r="K1447">
        <v>4</v>
      </c>
    </row>
    <row r="1448" spans="1:11" x14ac:dyDescent="0.35">
      <c r="A1448">
        <v>1447</v>
      </c>
      <c r="B1448">
        <v>30</v>
      </c>
      <c r="C1448" t="s">
        <v>11</v>
      </c>
      <c r="D1448" t="s">
        <v>29</v>
      </c>
      <c r="E1448" t="s">
        <v>55</v>
      </c>
      <c r="F1448">
        <v>68.95</v>
      </c>
      <c r="G1448" t="s">
        <v>31</v>
      </c>
      <c r="H1448" t="s">
        <v>15</v>
      </c>
      <c r="I1448">
        <v>4.4000000000000004</v>
      </c>
      <c r="J1448">
        <v>22</v>
      </c>
      <c r="K1448">
        <v>6</v>
      </c>
    </row>
    <row r="1449" spans="1:11" x14ac:dyDescent="0.35">
      <c r="A1449">
        <v>1448</v>
      </c>
      <c r="B1449">
        <v>66</v>
      </c>
      <c r="C1449" t="s">
        <v>16</v>
      </c>
      <c r="D1449" t="s">
        <v>33</v>
      </c>
      <c r="E1449" t="s">
        <v>40</v>
      </c>
      <c r="F1449">
        <v>111.46</v>
      </c>
      <c r="G1449" t="s">
        <v>14</v>
      </c>
      <c r="H1449" t="s">
        <v>15</v>
      </c>
      <c r="I1449">
        <v>2.2999999999999998</v>
      </c>
      <c r="J1449">
        <v>10</v>
      </c>
      <c r="K1449">
        <v>0</v>
      </c>
    </row>
    <row r="1450" spans="1:11" x14ac:dyDescent="0.35">
      <c r="A1450">
        <v>1449</v>
      </c>
      <c r="B1450">
        <v>46</v>
      </c>
      <c r="C1450" t="s">
        <v>11</v>
      </c>
      <c r="D1450" t="s">
        <v>41</v>
      </c>
      <c r="E1450" t="s">
        <v>45</v>
      </c>
      <c r="F1450">
        <v>145.36000000000001</v>
      </c>
      <c r="G1450" t="s">
        <v>31</v>
      </c>
      <c r="H1450" t="s">
        <v>15</v>
      </c>
      <c r="I1450">
        <v>4.3</v>
      </c>
      <c r="J1450">
        <v>22</v>
      </c>
      <c r="K1450">
        <v>6</v>
      </c>
    </row>
    <row r="1451" spans="1:11" x14ac:dyDescent="0.35">
      <c r="A1451">
        <v>1450</v>
      </c>
      <c r="B1451">
        <v>40</v>
      </c>
      <c r="C1451" t="s">
        <v>11</v>
      </c>
      <c r="D1451" t="s">
        <v>29</v>
      </c>
      <c r="E1451" t="s">
        <v>30</v>
      </c>
      <c r="F1451">
        <v>46.27</v>
      </c>
      <c r="G1451" t="s">
        <v>19</v>
      </c>
      <c r="H1451" t="s">
        <v>15</v>
      </c>
      <c r="I1451">
        <v>4.5</v>
      </c>
      <c r="J1451">
        <v>18</v>
      </c>
      <c r="K1451">
        <v>4</v>
      </c>
    </row>
    <row r="1452" spans="1:11" x14ac:dyDescent="0.35">
      <c r="A1452">
        <v>1451</v>
      </c>
      <c r="B1452">
        <v>38</v>
      </c>
      <c r="C1452" t="s">
        <v>16</v>
      </c>
      <c r="D1452" t="s">
        <v>17</v>
      </c>
      <c r="E1452" t="s">
        <v>18</v>
      </c>
      <c r="F1452">
        <v>57.51</v>
      </c>
      <c r="G1452" t="s">
        <v>24</v>
      </c>
      <c r="H1452" t="s">
        <v>37</v>
      </c>
      <c r="I1452">
        <v>3.9</v>
      </c>
      <c r="J1452">
        <v>9</v>
      </c>
      <c r="K1452">
        <v>2</v>
      </c>
    </row>
    <row r="1453" spans="1:11" x14ac:dyDescent="0.35">
      <c r="A1453">
        <v>1452</v>
      </c>
      <c r="B1453">
        <v>55</v>
      </c>
      <c r="C1453" t="s">
        <v>11</v>
      </c>
      <c r="D1453" t="s">
        <v>41</v>
      </c>
      <c r="E1453" t="s">
        <v>42</v>
      </c>
      <c r="F1453">
        <v>138.96</v>
      </c>
      <c r="G1453" t="s">
        <v>14</v>
      </c>
      <c r="H1453" t="s">
        <v>15</v>
      </c>
      <c r="I1453">
        <v>4.7</v>
      </c>
      <c r="J1453">
        <v>25</v>
      </c>
      <c r="K1453">
        <v>10</v>
      </c>
    </row>
    <row r="1454" spans="1:11" x14ac:dyDescent="0.35">
      <c r="A1454">
        <v>1453</v>
      </c>
      <c r="B1454">
        <v>63</v>
      </c>
      <c r="C1454" t="s">
        <v>16</v>
      </c>
      <c r="D1454" t="s">
        <v>17</v>
      </c>
      <c r="E1454" t="s">
        <v>35</v>
      </c>
      <c r="F1454">
        <v>47.65</v>
      </c>
      <c r="G1454" t="s">
        <v>24</v>
      </c>
      <c r="H1454" t="s">
        <v>15</v>
      </c>
      <c r="I1454">
        <v>4.4000000000000004</v>
      </c>
      <c r="J1454">
        <v>19</v>
      </c>
      <c r="K1454">
        <v>7</v>
      </c>
    </row>
    <row r="1455" spans="1:11" x14ac:dyDescent="0.35">
      <c r="A1455">
        <v>1454</v>
      </c>
      <c r="B1455">
        <v>44</v>
      </c>
      <c r="C1455" t="s">
        <v>11</v>
      </c>
      <c r="D1455" t="s">
        <v>12</v>
      </c>
      <c r="E1455" t="s">
        <v>13</v>
      </c>
      <c r="F1455">
        <v>154.97999999999999</v>
      </c>
      <c r="G1455" t="s">
        <v>19</v>
      </c>
      <c r="H1455" t="s">
        <v>15</v>
      </c>
      <c r="I1455">
        <v>3.8</v>
      </c>
      <c r="J1455">
        <v>26</v>
      </c>
      <c r="K1455">
        <v>8</v>
      </c>
    </row>
    <row r="1456" spans="1:11" x14ac:dyDescent="0.35">
      <c r="A1456">
        <v>1455</v>
      </c>
      <c r="B1456">
        <v>58</v>
      </c>
      <c r="C1456" t="s">
        <v>16</v>
      </c>
      <c r="D1456" t="s">
        <v>25</v>
      </c>
      <c r="E1456" t="s">
        <v>26</v>
      </c>
      <c r="F1456">
        <v>60.75</v>
      </c>
      <c r="G1456" t="s">
        <v>14</v>
      </c>
      <c r="H1456" t="s">
        <v>37</v>
      </c>
      <c r="I1456">
        <v>4.5</v>
      </c>
      <c r="J1456">
        <v>25</v>
      </c>
      <c r="K1456">
        <v>10</v>
      </c>
    </row>
    <row r="1457" spans="1:11" x14ac:dyDescent="0.35">
      <c r="A1457">
        <v>1456</v>
      </c>
      <c r="B1457">
        <v>51</v>
      </c>
      <c r="C1457" t="s">
        <v>11</v>
      </c>
      <c r="D1457" t="s">
        <v>41</v>
      </c>
      <c r="E1457" t="s">
        <v>44</v>
      </c>
      <c r="F1457">
        <v>102.64</v>
      </c>
      <c r="G1457" t="s">
        <v>19</v>
      </c>
      <c r="H1457" t="s">
        <v>15</v>
      </c>
      <c r="I1457">
        <v>3.9</v>
      </c>
      <c r="J1457">
        <v>10</v>
      </c>
      <c r="K1457">
        <v>5</v>
      </c>
    </row>
    <row r="1458" spans="1:11" x14ac:dyDescent="0.35">
      <c r="A1458">
        <v>1457</v>
      </c>
      <c r="B1458">
        <v>21</v>
      </c>
      <c r="C1458" t="s">
        <v>11</v>
      </c>
      <c r="D1458" t="s">
        <v>12</v>
      </c>
      <c r="E1458" t="s">
        <v>56</v>
      </c>
      <c r="F1458">
        <v>98.79</v>
      </c>
      <c r="G1458" t="s">
        <v>14</v>
      </c>
      <c r="H1458" t="s">
        <v>15</v>
      </c>
      <c r="I1458">
        <v>3.3</v>
      </c>
      <c r="J1458">
        <v>4</v>
      </c>
      <c r="K1458">
        <v>2</v>
      </c>
    </row>
    <row r="1459" spans="1:11" x14ac:dyDescent="0.35">
      <c r="A1459">
        <v>1458</v>
      </c>
      <c r="B1459">
        <v>33</v>
      </c>
      <c r="C1459" t="s">
        <v>16</v>
      </c>
      <c r="D1459" t="s">
        <v>27</v>
      </c>
      <c r="E1459" t="s">
        <v>49</v>
      </c>
      <c r="F1459">
        <v>2572.06</v>
      </c>
      <c r="G1459" t="s">
        <v>14</v>
      </c>
      <c r="H1459" t="s">
        <v>15</v>
      </c>
      <c r="I1459">
        <v>2.7</v>
      </c>
      <c r="J1459">
        <v>21</v>
      </c>
      <c r="K1459">
        <v>8</v>
      </c>
    </row>
    <row r="1460" spans="1:11" x14ac:dyDescent="0.35">
      <c r="A1460">
        <v>1459</v>
      </c>
      <c r="B1460">
        <v>26</v>
      </c>
      <c r="C1460" t="s">
        <v>11</v>
      </c>
      <c r="D1460" t="s">
        <v>33</v>
      </c>
      <c r="E1460" t="s">
        <v>38</v>
      </c>
      <c r="F1460">
        <v>240.32</v>
      </c>
      <c r="G1460" t="s">
        <v>14</v>
      </c>
      <c r="H1460" t="s">
        <v>15</v>
      </c>
      <c r="I1460">
        <v>4.2</v>
      </c>
      <c r="J1460">
        <v>18</v>
      </c>
      <c r="K1460">
        <v>9</v>
      </c>
    </row>
    <row r="1461" spans="1:11" x14ac:dyDescent="0.35">
      <c r="A1461">
        <v>1460</v>
      </c>
      <c r="B1461">
        <v>30</v>
      </c>
      <c r="C1461" t="s">
        <v>11</v>
      </c>
      <c r="D1461" t="s">
        <v>20</v>
      </c>
      <c r="E1461" t="s">
        <v>36</v>
      </c>
      <c r="F1461">
        <v>238.27</v>
      </c>
      <c r="G1461" t="s">
        <v>31</v>
      </c>
      <c r="H1461" t="s">
        <v>15</v>
      </c>
      <c r="I1461">
        <v>2.7</v>
      </c>
      <c r="J1461">
        <v>13</v>
      </c>
      <c r="K1461">
        <v>4</v>
      </c>
    </row>
    <row r="1462" spans="1:11" x14ac:dyDescent="0.35">
      <c r="A1462">
        <v>1461</v>
      </c>
      <c r="B1462">
        <v>23</v>
      </c>
      <c r="C1462" t="s">
        <v>11</v>
      </c>
      <c r="D1462" t="s">
        <v>20</v>
      </c>
      <c r="E1462" t="s">
        <v>36</v>
      </c>
      <c r="F1462">
        <v>115.62</v>
      </c>
      <c r="G1462" t="s">
        <v>19</v>
      </c>
      <c r="H1462" t="s">
        <v>15</v>
      </c>
      <c r="I1462">
        <v>5</v>
      </c>
      <c r="J1462">
        <v>13</v>
      </c>
      <c r="K1462">
        <v>4</v>
      </c>
    </row>
    <row r="1463" spans="1:11" x14ac:dyDescent="0.35">
      <c r="A1463">
        <v>1462</v>
      </c>
      <c r="B1463">
        <v>26</v>
      </c>
      <c r="C1463" t="s">
        <v>11</v>
      </c>
      <c r="D1463" t="s">
        <v>41</v>
      </c>
      <c r="E1463" t="s">
        <v>45</v>
      </c>
      <c r="F1463">
        <v>73.14</v>
      </c>
      <c r="G1463" t="s">
        <v>19</v>
      </c>
      <c r="H1463" t="s">
        <v>15</v>
      </c>
      <c r="I1463">
        <v>2.9</v>
      </c>
      <c r="J1463">
        <v>11</v>
      </c>
      <c r="K1463">
        <v>3</v>
      </c>
    </row>
    <row r="1464" spans="1:11" x14ac:dyDescent="0.35">
      <c r="A1464">
        <v>1463</v>
      </c>
      <c r="B1464">
        <v>68</v>
      </c>
      <c r="C1464" t="s">
        <v>16</v>
      </c>
      <c r="D1464" t="s">
        <v>33</v>
      </c>
      <c r="E1464" t="s">
        <v>34</v>
      </c>
      <c r="F1464">
        <v>161.34</v>
      </c>
      <c r="G1464" t="s">
        <v>19</v>
      </c>
      <c r="H1464" t="s">
        <v>15</v>
      </c>
      <c r="I1464">
        <v>4.0999999999999996</v>
      </c>
      <c r="J1464">
        <v>10</v>
      </c>
      <c r="K1464">
        <v>5</v>
      </c>
    </row>
    <row r="1465" spans="1:11" x14ac:dyDescent="0.35">
      <c r="A1465">
        <v>1464</v>
      </c>
      <c r="B1465">
        <v>64</v>
      </c>
      <c r="C1465" t="s">
        <v>16</v>
      </c>
      <c r="D1465" t="s">
        <v>17</v>
      </c>
      <c r="E1465" t="s">
        <v>18</v>
      </c>
      <c r="F1465">
        <v>199.98</v>
      </c>
      <c r="G1465" t="s">
        <v>24</v>
      </c>
      <c r="H1465" t="s">
        <v>15</v>
      </c>
      <c r="I1465">
        <v>3.6</v>
      </c>
      <c r="J1465">
        <v>26</v>
      </c>
      <c r="K1465">
        <v>8</v>
      </c>
    </row>
    <row r="1466" spans="1:11" x14ac:dyDescent="0.35">
      <c r="A1466">
        <v>1465</v>
      </c>
      <c r="B1466">
        <v>65</v>
      </c>
      <c r="C1466" t="s">
        <v>11</v>
      </c>
      <c r="D1466" t="s">
        <v>12</v>
      </c>
      <c r="E1466" t="s">
        <v>50</v>
      </c>
      <c r="F1466">
        <v>138.32</v>
      </c>
      <c r="G1466" t="s">
        <v>31</v>
      </c>
      <c r="H1466" t="s">
        <v>15</v>
      </c>
      <c r="I1466">
        <v>4.9000000000000004</v>
      </c>
      <c r="J1466">
        <v>6</v>
      </c>
      <c r="K1466">
        <v>3</v>
      </c>
    </row>
    <row r="1467" spans="1:11" x14ac:dyDescent="0.35">
      <c r="A1467">
        <v>1466</v>
      </c>
      <c r="B1467">
        <v>68</v>
      </c>
      <c r="C1467" t="s">
        <v>16</v>
      </c>
      <c r="D1467" t="s">
        <v>17</v>
      </c>
      <c r="E1467" t="s">
        <v>42</v>
      </c>
      <c r="F1467">
        <v>173.95</v>
      </c>
      <c r="G1467" t="s">
        <v>14</v>
      </c>
      <c r="H1467" t="s">
        <v>15</v>
      </c>
      <c r="I1467">
        <v>3.8</v>
      </c>
      <c r="J1467">
        <v>13</v>
      </c>
      <c r="K1467">
        <v>4</v>
      </c>
    </row>
    <row r="1468" spans="1:11" x14ac:dyDescent="0.35">
      <c r="A1468">
        <v>1467</v>
      </c>
      <c r="B1468">
        <v>51</v>
      </c>
      <c r="C1468" t="s">
        <v>16</v>
      </c>
      <c r="D1468" t="s">
        <v>20</v>
      </c>
      <c r="E1468" t="s">
        <v>39</v>
      </c>
      <c r="F1468">
        <v>155.72999999999999</v>
      </c>
      <c r="G1468" t="s">
        <v>31</v>
      </c>
      <c r="H1468" t="s">
        <v>15</v>
      </c>
      <c r="I1468">
        <v>4.5999999999999996</v>
      </c>
      <c r="J1468">
        <v>19</v>
      </c>
      <c r="K1468">
        <v>7</v>
      </c>
    </row>
    <row r="1469" spans="1:11" x14ac:dyDescent="0.35">
      <c r="A1469">
        <v>1468</v>
      </c>
      <c r="B1469">
        <v>43</v>
      </c>
      <c r="C1469" t="s">
        <v>16</v>
      </c>
      <c r="D1469" t="s">
        <v>27</v>
      </c>
      <c r="E1469" t="s">
        <v>32</v>
      </c>
      <c r="F1469">
        <v>1286.3599999999999</v>
      </c>
      <c r="G1469" t="s">
        <v>14</v>
      </c>
      <c r="H1469" t="s">
        <v>15</v>
      </c>
      <c r="I1469">
        <v>3.3</v>
      </c>
      <c r="J1469">
        <v>4</v>
      </c>
      <c r="K1469">
        <v>2</v>
      </c>
    </row>
    <row r="1470" spans="1:11" x14ac:dyDescent="0.35">
      <c r="A1470">
        <v>1469</v>
      </c>
      <c r="B1470">
        <v>39</v>
      </c>
      <c r="C1470" t="s">
        <v>16</v>
      </c>
      <c r="D1470" t="s">
        <v>33</v>
      </c>
      <c r="E1470" t="s">
        <v>38</v>
      </c>
      <c r="F1470">
        <v>178.64</v>
      </c>
      <c r="G1470" t="s">
        <v>31</v>
      </c>
      <c r="H1470" t="s">
        <v>15</v>
      </c>
      <c r="I1470">
        <v>3.8</v>
      </c>
      <c r="J1470">
        <v>20</v>
      </c>
      <c r="K1470">
        <v>5</v>
      </c>
    </row>
    <row r="1471" spans="1:11" x14ac:dyDescent="0.35">
      <c r="A1471">
        <v>1470</v>
      </c>
      <c r="B1471">
        <v>56</v>
      </c>
      <c r="C1471" t="s">
        <v>11</v>
      </c>
      <c r="D1471" t="s">
        <v>29</v>
      </c>
      <c r="E1471" t="s">
        <v>55</v>
      </c>
      <c r="F1471">
        <v>48.87</v>
      </c>
      <c r="G1471" t="s">
        <v>24</v>
      </c>
      <c r="H1471" t="s">
        <v>15</v>
      </c>
      <c r="I1471">
        <v>3.9</v>
      </c>
      <c r="J1471">
        <v>16</v>
      </c>
      <c r="K1471">
        <v>3</v>
      </c>
    </row>
    <row r="1472" spans="1:11" x14ac:dyDescent="0.35">
      <c r="A1472">
        <v>1471</v>
      </c>
      <c r="B1472">
        <v>53</v>
      </c>
      <c r="C1472" t="s">
        <v>11</v>
      </c>
      <c r="D1472" t="s">
        <v>12</v>
      </c>
      <c r="E1472" t="s">
        <v>56</v>
      </c>
      <c r="F1472">
        <v>56.39</v>
      </c>
      <c r="G1472" t="s">
        <v>14</v>
      </c>
      <c r="H1472" t="s">
        <v>15</v>
      </c>
      <c r="I1472">
        <v>3.1</v>
      </c>
      <c r="J1472">
        <v>18</v>
      </c>
      <c r="K1472">
        <v>4</v>
      </c>
    </row>
    <row r="1473" spans="1:11" x14ac:dyDescent="0.35">
      <c r="A1473">
        <v>1472</v>
      </c>
      <c r="B1473">
        <v>46</v>
      </c>
      <c r="C1473" t="s">
        <v>16</v>
      </c>
      <c r="D1473" t="s">
        <v>25</v>
      </c>
      <c r="E1473" t="s">
        <v>54</v>
      </c>
      <c r="F1473">
        <v>53.3</v>
      </c>
      <c r="G1473" t="s">
        <v>14</v>
      </c>
      <c r="H1473" t="s">
        <v>15</v>
      </c>
      <c r="I1473">
        <v>2.9</v>
      </c>
      <c r="J1473">
        <v>13</v>
      </c>
      <c r="K1473">
        <v>4</v>
      </c>
    </row>
    <row r="1474" spans="1:11" x14ac:dyDescent="0.35">
      <c r="A1474">
        <v>1473</v>
      </c>
      <c r="B1474">
        <v>67</v>
      </c>
      <c r="C1474" t="s">
        <v>16</v>
      </c>
      <c r="D1474" t="s">
        <v>17</v>
      </c>
      <c r="E1474" t="s">
        <v>35</v>
      </c>
      <c r="F1474">
        <v>62.98</v>
      </c>
      <c r="G1474" t="s">
        <v>31</v>
      </c>
      <c r="H1474" t="s">
        <v>37</v>
      </c>
      <c r="I1474">
        <v>4.2</v>
      </c>
      <c r="J1474">
        <v>6</v>
      </c>
      <c r="K1474">
        <v>3</v>
      </c>
    </row>
    <row r="1475" spans="1:11" x14ac:dyDescent="0.35">
      <c r="A1475">
        <v>1474</v>
      </c>
      <c r="B1475">
        <v>59</v>
      </c>
      <c r="C1475" t="s">
        <v>16</v>
      </c>
      <c r="D1475" t="s">
        <v>20</v>
      </c>
      <c r="E1475" t="s">
        <v>21</v>
      </c>
      <c r="F1475">
        <v>152.31</v>
      </c>
      <c r="G1475" t="s">
        <v>14</v>
      </c>
      <c r="H1475" t="s">
        <v>15</v>
      </c>
      <c r="I1475">
        <v>3.9</v>
      </c>
      <c r="J1475">
        <v>16</v>
      </c>
      <c r="K1475">
        <v>3</v>
      </c>
    </row>
    <row r="1476" spans="1:11" x14ac:dyDescent="0.35">
      <c r="A1476">
        <v>1475</v>
      </c>
      <c r="B1476">
        <v>51</v>
      </c>
      <c r="C1476" t="s">
        <v>11</v>
      </c>
      <c r="D1476" t="s">
        <v>29</v>
      </c>
      <c r="E1476" t="s">
        <v>55</v>
      </c>
      <c r="F1476">
        <v>46.25</v>
      </c>
      <c r="G1476" t="s">
        <v>24</v>
      </c>
      <c r="H1476" t="s">
        <v>15</v>
      </c>
      <c r="I1476">
        <v>3.9</v>
      </c>
      <c r="J1476">
        <v>18</v>
      </c>
      <c r="K1476">
        <v>4</v>
      </c>
    </row>
    <row r="1477" spans="1:11" x14ac:dyDescent="0.35">
      <c r="A1477">
        <v>1476</v>
      </c>
      <c r="B1477">
        <v>22</v>
      </c>
      <c r="C1477" t="s">
        <v>11</v>
      </c>
      <c r="D1477" t="s">
        <v>33</v>
      </c>
      <c r="E1477" t="s">
        <v>34</v>
      </c>
      <c r="F1477">
        <v>217.07</v>
      </c>
      <c r="G1477" t="s">
        <v>24</v>
      </c>
      <c r="H1477" t="s">
        <v>15</v>
      </c>
      <c r="I1477">
        <v>3.4</v>
      </c>
      <c r="J1477">
        <v>16</v>
      </c>
      <c r="K1477">
        <v>3</v>
      </c>
    </row>
    <row r="1478" spans="1:11" x14ac:dyDescent="0.35">
      <c r="A1478">
        <v>1477</v>
      </c>
      <c r="B1478">
        <v>53</v>
      </c>
      <c r="C1478" t="s">
        <v>11</v>
      </c>
      <c r="D1478" t="s">
        <v>12</v>
      </c>
      <c r="E1478" t="s">
        <v>50</v>
      </c>
      <c r="F1478">
        <v>46.68</v>
      </c>
      <c r="G1478" t="s">
        <v>14</v>
      </c>
      <c r="H1478" t="s">
        <v>37</v>
      </c>
      <c r="I1478">
        <v>4.4000000000000004</v>
      </c>
      <c r="J1478">
        <v>12</v>
      </c>
      <c r="K1478">
        <v>6</v>
      </c>
    </row>
    <row r="1479" spans="1:11" x14ac:dyDescent="0.35">
      <c r="A1479">
        <v>1478</v>
      </c>
      <c r="B1479">
        <v>70</v>
      </c>
      <c r="C1479" t="s">
        <v>11</v>
      </c>
      <c r="D1479" t="s">
        <v>41</v>
      </c>
      <c r="E1479" t="s">
        <v>45</v>
      </c>
      <c r="F1479">
        <v>186.33</v>
      </c>
      <c r="G1479" t="s">
        <v>19</v>
      </c>
      <c r="H1479" t="s">
        <v>15</v>
      </c>
      <c r="I1479">
        <v>4.5999999999999996</v>
      </c>
      <c r="J1479">
        <v>10</v>
      </c>
      <c r="K1479">
        <v>5</v>
      </c>
    </row>
    <row r="1480" spans="1:11" x14ac:dyDescent="0.35">
      <c r="A1480">
        <v>1479</v>
      </c>
      <c r="B1480">
        <v>44</v>
      </c>
      <c r="C1480" t="s">
        <v>11</v>
      </c>
      <c r="D1480" t="s">
        <v>29</v>
      </c>
      <c r="E1480" t="s">
        <v>30</v>
      </c>
      <c r="F1480">
        <v>34.06</v>
      </c>
      <c r="G1480" t="s">
        <v>14</v>
      </c>
      <c r="H1480" t="s">
        <v>15</v>
      </c>
      <c r="I1480">
        <v>2.8</v>
      </c>
      <c r="J1480">
        <v>17</v>
      </c>
      <c r="K1480">
        <v>6</v>
      </c>
    </row>
    <row r="1481" spans="1:11" x14ac:dyDescent="0.35">
      <c r="A1481">
        <v>1480</v>
      </c>
      <c r="B1481">
        <v>47</v>
      </c>
      <c r="C1481" t="s">
        <v>16</v>
      </c>
      <c r="D1481" t="s">
        <v>33</v>
      </c>
      <c r="E1481" t="s">
        <v>38</v>
      </c>
      <c r="F1481">
        <v>119.82</v>
      </c>
      <c r="G1481" t="s">
        <v>14</v>
      </c>
      <c r="H1481" t="s">
        <v>15</v>
      </c>
      <c r="I1481">
        <v>3.5</v>
      </c>
      <c r="J1481">
        <v>13</v>
      </c>
      <c r="K1481">
        <v>4</v>
      </c>
    </row>
    <row r="1482" spans="1:11" x14ac:dyDescent="0.35">
      <c r="A1482">
        <v>1481</v>
      </c>
      <c r="B1482">
        <v>38</v>
      </c>
      <c r="C1482" t="s">
        <v>11</v>
      </c>
      <c r="D1482" t="s">
        <v>22</v>
      </c>
      <c r="E1482" t="s">
        <v>43</v>
      </c>
      <c r="F1482">
        <v>294.52</v>
      </c>
      <c r="G1482" t="s">
        <v>14</v>
      </c>
      <c r="H1482" t="s">
        <v>15</v>
      </c>
      <c r="I1482">
        <v>3.8</v>
      </c>
      <c r="J1482">
        <v>16</v>
      </c>
      <c r="K1482">
        <v>8</v>
      </c>
    </row>
    <row r="1483" spans="1:11" x14ac:dyDescent="0.35">
      <c r="A1483">
        <v>1482</v>
      </c>
      <c r="B1483">
        <v>46</v>
      </c>
      <c r="C1483" t="s">
        <v>16</v>
      </c>
      <c r="D1483" t="s">
        <v>25</v>
      </c>
      <c r="E1483" t="s">
        <v>47</v>
      </c>
      <c r="F1483">
        <v>71.239999999999995</v>
      </c>
      <c r="G1483" t="s">
        <v>31</v>
      </c>
      <c r="H1483" t="s">
        <v>15</v>
      </c>
      <c r="I1483">
        <v>4.3</v>
      </c>
      <c r="J1483">
        <v>15</v>
      </c>
      <c r="K1483">
        <v>5</v>
      </c>
    </row>
    <row r="1484" spans="1:11" x14ac:dyDescent="0.35">
      <c r="A1484">
        <v>1483</v>
      </c>
      <c r="B1484">
        <v>30</v>
      </c>
      <c r="C1484" t="s">
        <v>11</v>
      </c>
      <c r="D1484" t="s">
        <v>41</v>
      </c>
      <c r="E1484" t="s">
        <v>42</v>
      </c>
      <c r="F1484">
        <v>151.65</v>
      </c>
      <c r="G1484" t="s">
        <v>31</v>
      </c>
      <c r="H1484" t="s">
        <v>15</v>
      </c>
      <c r="I1484">
        <v>3.5</v>
      </c>
      <c r="J1484">
        <v>18</v>
      </c>
      <c r="K1484">
        <v>4</v>
      </c>
    </row>
    <row r="1485" spans="1:11" x14ac:dyDescent="0.35">
      <c r="A1485">
        <v>1484</v>
      </c>
      <c r="B1485">
        <v>36</v>
      </c>
      <c r="C1485" t="s">
        <v>16</v>
      </c>
      <c r="D1485" t="s">
        <v>20</v>
      </c>
      <c r="E1485" t="s">
        <v>39</v>
      </c>
      <c r="F1485">
        <v>80.95</v>
      </c>
      <c r="G1485" t="s">
        <v>31</v>
      </c>
      <c r="H1485" t="s">
        <v>15</v>
      </c>
      <c r="I1485">
        <v>4</v>
      </c>
      <c r="J1485">
        <v>17</v>
      </c>
      <c r="K1485">
        <v>6</v>
      </c>
    </row>
    <row r="1486" spans="1:11" x14ac:dyDescent="0.35">
      <c r="A1486">
        <v>1485</v>
      </c>
      <c r="B1486">
        <v>67</v>
      </c>
      <c r="C1486" t="s">
        <v>16</v>
      </c>
      <c r="D1486" t="s">
        <v>20</v>
      </c>
      <c r="E1486" t="s">
        <v>21</v>
      </c>
      <c r="F1486">
        <v>185.85</v>
      </c>
      <c r="G1486" t="s">
        <v>31</v>
      </c>
      <c r="H1486" t="s">
        <v>15</v>
      </c>
      <c r="I1486">
        <v>5</v>
      </c>
      <c r="J1486">
        <v>20</v>
      </c>
      <c r="K1486">
        <v>10</v>
      </c>
    </row>
    <row r="1487" spans="1:11" x14ac:dyDescent="0.35">
      <c r="A1487">
        <v>1486</v>
      </c>
      <c r="B1487">
        <v>32</v>
      </c>
      <c r="C1487" t="s">
        <v>16</v>
      </c>
      <c r="D1487" t="s">
        <v>33</v>
      </c>
      <c r="E1487" t="s">
        <v>34</v>
      </c>
      <c r="F1487">
        <v>77.209999999999994</v>
      </c>
      <c r="G1487" t="s">
        <v>14</v>
      </c>
      <c r="H1487" t="s">
        <v>15</v>
      </c>
      <c r="I1487">
        <v>4.0999999999999996</v>
      </c>
      <c r="J1487">
        <v>16</v>
      </c>
      <c r="K1487">
        <v>3</v>
      </c>
    </row>
    <row r="1488" spans="1:11" x14ac:dyDescent="0.35">
      <c r="A1488">
        <v>1487</v>
      </c>
      <c r="B1488">
        <v>66</v>
      </c>
      <c r="C1488" t="s">
        <v>11</v>
      </c>
      <c r="D1488" t="s">
        <v>41</v>
      </c>
      <c r="E1488" t="s">
        <v>44</v>
      </c>
      <c r="F1488">
        <v>192.04</v>
      </c>
      <c r="G1488" t="s">
        <v>24</v>
      </c>
      <c r="H1488" t="s">
        <v>15</v>
      </c>
      <c r="I1488">
        <v>3.9</v>
      </c>
      <c r="J1488">
        <v>15</v>
      </c>
      <c r="K1488">
        <v>5</v>
      </c>
    </row>
    <row r="1489" spans="1:11" x14ac:dyDescent="0.35">
      <c r="A1489">
        <v>1488</v>
      </c>
      <c r="B1489">
        <v>60</v>
      </c>
      <c r="C1489" t="s">
        <v>11</v>
      </c>
      <c r="D1489" t="s">
        <v>33</v>
      </c>
      <c r="E1489" t="s">
        <v>40</v>
      </c>
      <c r="F1489">
        <v>73.34</v>
      </c>
      <c r="G1489" t="s">
        <v>31</v>
      </c>
      <c r="H1489" t="s">
        <v>37</v>
      </c>
      <c r="I1489">
        <v>4.8</v>
      </c>
      <c r="J1489">
        <v>17</v>
      </c>
      <c r="K1489">
        <v>6</v>
      </c>
    </row>
    <row r="1490" spans="1:11" x14ac:dyDescent="0.35">
      <c r="A1490">
        <v>1489</v>
      </c>
      <c r="B1490">
        <v>35</v>
      </c>
      <c r="C1490" t="s">
        <v>11</v>
      </c>
      <c r="D1490" t="s">
        <v>33</v>
      </c>
      <c r="E1490" t="s">
        <v>34</v>
      </c>
      <c r="F1490">
        <v>239.36</v>
      </c>
      <c r="G1490" t="s">
        <v>31</v>
      </c>
      <c r="H1490" t="s">
        <v>15</v>
      </c>
      <c r="I1490">
        <v>4.3</v>
      </c>
      <c r="J1490">
        <v>20</v>
      </c>
      <c r="K1490">
        <v>5</v>
      </c>
    </row>
    <row r="1491" spans="1:11" x14ac:dyDescent="0.35">
      <c r="A1491">
        <v>1490</v>
      </c>
      <c r="B1491">
        <v>26</v>
      </c>
      <c r="C1491" t="s">
        <v>11</v>
      </c>
      <c r="D1491" t="s">
        <v>41</v>
      </c>
      <c r="E1491" t="s">
        <v>42</v>
      </c>
      <c r="F1491">
        <v>175.79</v>
      </c>
      <c r="G1491" t="s">
        <v>24</v>
      </c>
      <c r="H1491" t="s">
        <v>15</v>
      </c>
      <c r="I1491">
        <v>3</v>
      </c>
      <c r="J1491">
        <v>15</v>
      </c>
      <c r="K1491">
        <v>5</v>
      </c>
    </row>
    <row r="1492" spans="1:11" x14ac:dyDescent="0.35">
      <c r="A1492">
        <v>1491</v>
      </c>
      <c r="B1492">
        <v>57</v>
      </c>
      <c r="C1492" t="s">
        <v>11</v>
      </c>
      <c r="D1492" t="s">
        <v>29</v>
      </c>
      <c r="E1492" t="s">
        <v>55</v>
      </c>
      <c r="F1492">
        <v>24.93</v>
      </c>
      <c r="G1492" t="s">
        <v>24</v>
      </c>
      <c r="H1492" t="s">
        <v>15</v>
      </c>
      <c r="I1492">
        <v>4.7</v>
      </c>
      <c r="J1492">
        <v>18</v>
      </c>
      <c r="K1492">
        <v>4</v>
      </c>
    </row>
    <row r="1493" spans="1:11" x14ac:dyDescent="0.35">
      <c r="A1493">
        <v>1492</v>
      </c>
      <c r="B1493">
        <v>47</v>
      </c>
      <c r="C1493" t="s">
        <v>11</v>
      </c>
      <c r="D1493" t="s">
        <v>25</v>
      </c>
      <c r="E1493" t="s">
        <v>57</v>
      </c>
      <c r="F1493">
        <v>34.74</v>
      </c>
      <c r="G1493" t="s">
        <v>19</v>
      </c>
      <c r="H1493" t="s">
        <v>37</v>
      </c>
      <c r="I1493">
        <v>4.3</v>
      </c>
      <c r="J1493">
        <v>18</v>
      </c>
      <c r="K1493">
        <v>4</v>
      </c>
    </row>
    <row r="1494" spans="1:11" x14ac:dyDescent="0.35">
      <c r="A1494">
        <v>1493</v>
      </c>
      <c r="B1494">
        <v>46</v>
      </c>
      <c r="C1494" t="s">
        <v>16</v>
      </c>
      <c r="D1494" t="s">
        <v>25</v>
      </c>
      <c r="E1494" t="s">
        <v>47</v>
      </c>
      <c r="F1494">
        <v>36.61</v>
      </c>
      <c r="G1494" t="s">
        <v>31</v>
      </c>
      <c r="H1494" t="s">
        <v>15</v>
      </c>
      <c r="I1494">
        <v>4</v>
      </c>
      <c r="J1494">
        <v>24</v>
      </c>
      <c r="K1494">
        <v>7</v>
      </c>
    </row>
    <row r="1495" spans="1:11" x14ac:dyDescent="0.35">
      <c r="A1495">
        <v>1494</v>
      </c>
      <c r="B1495">
        <v>29</v>
      </c>
      <c r="C1495" t="s">
        <v>16</v>
      </c>
      <c r="D1495" t="s">
        <v>27</v>
      </c>
      <c r="E1495" t="s">
        <v>28</v>
      </c>
      <c r="F1495">
        <v>2302.21</v>
      </c>
      <c r="G1495" t="s">
        <v>24</v>
      </c>
      <c r="H1495" t="s">
        <v>15</v>
      </c>
      <c r="I1495">
        <v>3.1</v>
      </c>
      <c r="J1495">
        <v>20</v>
      </c>
      <c r="K1495">
        <v>5</v>
      </c>
    </row>
    <row r="1496" spans="1:11" x14ac:dyDescent="0.35">
      <c r="A1496">
        <v>1495</v>
      </c>
      <c r="B1496">
        <v>33</v>
      </c>
      <c r="C1496" t="s">
        <v>11</v>
      </c>
      <c r="D1496" t="s">
        <v>29</v>
      </c>
      <c r="E1496" t="s">
        <v>55</v>
      </c>
      <c r="F1496">
        <v>48.6</v>
      </c>
      <c r="G1496" t="s">
        <v>31</v>
      </c>
      <c r="H1496" t="s">
        <v>37</v>
      </c>
      <c r="I1496">
        <v>4.0999999999999996</v>
      </c>
      <c r="J1496">
        <v>11</v>
      </c>
      <c r="K1496">
        <v>3</v>
      </c>
    </row>
    <row r="1497" spans="1:11" x14ac:dyDescent="0.35">
      <c r="A1497">
        <v>1496</v>
      </c>
      <c r="B1497">
        <v>26</v>
      </c>
      <c r="C1497" t="s">
        <v>16</v>
      </c>
      <c r="D1497" t="s">
        <v>27</v>
      </c>
      <c r="E1497" t="s">
        <v>49</v>
      </c>
      <c r="F1497">
        <v>534.41</v>
      </c>
      <c r="G1497" t="s">
        <v>14</v>
      </c>
      <c r="H1497" t="s">
        <v>15</v>
      </c>
      <c r="I1497">
        <v>3.6</v>
      </c>
      <c r="J1497">
        <v>6</v>
      </c>
      <c r="K1497">
        <v>3</v>
      </c>
    </row>
    <row r="1498" spans="1:11" x14ac:dyDescent="0.35">
      <c r="A1498">
        <v>1497</v>
      </c>
      <c r="B1498">
        <v>67</v>
      </c>
      <c r="C1498" t="s">
        <v>11</v>
      </c>
      <c r="D1498" t="s">
        <v>12</v>
      </c>
      <c r="E1498" t="s">
        <v>13</v>
      </c>
      <c r="F1498">
        <v>175.36</v>
      </c>
      <c r="G1498" t="s">
        <v>31</v>
      </c>
      <c r="H1498" t="s">
        <v>15</v>
      </c>
      <c r="I1498">
        <v>4.0999999999999996</v>
      </c>
      <c r="J1498">
        <v>26</v>
      </c>
      <c r="K1498">
        <v>8</v>
      </c>
    </row>
    <row r="1499" spans="1:11" x14ac:dyDescent="0.35">
      <c r="A1499">
        <v>1498</v>
      </c>
      <c r="B1499">
        <v>21</v>
      </c>
      <c r="C1499" t="s">
        <v>11</v>
      </c>
      <c r="D1499" t="s">
        <v>12</v>
      </c>
      <c r="E1499" t="s">
        <v>13</v>
      </c>
      <c r="F1499">
        <v>34.6</v>
      </c>
      <c r="G1499" t="s">
        <v>31</v>
      </c>
      <c r="H1499" t="s">
        <v>37</v>
      </c>
      <c r="I1499">
        <v>3.1</v>
      </c>
      <c r="J1499">
        <v>22</v>
      </c>
      <c r="K1499">
        <v>6</v>
      </c>
    </row>
    <row r="1500" spans="1:11" x14ac:dyDescent="0.35">
      <c r="A1500">
        <v>1499</v>
      </c>
      <c r="B1500">
        <v>26</v>
      </c>
      <c r="C1500" t="s">
        <v>16</v>
      </c>
      <c r="D1500" t="s">
        <v>20</v>
      </c>
      <c r="E1500" t="s">
        <v>36</v>
      </c>
      <c r="F1500">
        <v>118.37</v>
      </c>
      <c r="G1500" t="s">
        <v>31</v>
      </c>
      <c r="H1500" t="s">
        <v>15</v>
      </c>
      <c r="I1500">
        <v>3.1</v>
      </c>
      <c r="J1500">
        <v>2</v>
      </c>
      <c r="K1500">
        <v>1</v>
      </c>
    </row>
    <row r="1501" spans="1:11" x14ac:dyDescent="0.35">
      <c r="A1501">
        <v>1500</v>
      </c>
      <c r="B1501">
        <v>55</v>
      </c>
      <c r="C1501" t="s">
        <v>16</v>
      </c>
      <c r="D1501" t="s">
        <v>33</v>
      </c>
      <c r="E1501" t="s">
        <v>34</v>
      </c>
      <c r="F1501">
        <v>203.25</v>
      </c>
      <c r="G1501" t="s">
        <v>19</v>
      </c>
      <c r="H1501" t="s">
        <v>15</v>
      </c>
      <c r="I1501">
        <v>4.3</v>
      </c>
      <c r="J1501">
        <v>18</v>
      </c>
      <c r="K1501">
        <v>4</v>
      </c>
    </row>
    <row r="1502" spans="1:11" x14ac:dyDescent="0.35">
      <c r="A1502">
        <v>1501</v>
      </c>
      <c r="B1502">
        <v>23</v>
      </c>
      <c r="C1502" t="s">
        <v>11</v>
      </c>
      <c r="D1502" t="s">
        <v>33</v>
      </c>
      <c r="E1502" t="s">
        <v>34</v>
      </c>
      <c r="F1502">
        <v>133.44</v>
      </c>
      <c r="G1502" t="s">
        <v>31</v>
      </c>
      <c r="H1502" t="s">
        <v>15</v>
      </c>
      <c r="I1502">
        <v>4.7</v>
      </c>
      <c r="J1502">
        <v>12</v>
      </c>
      <c r="K1502">
        <v>6</v>
      </c>
    </row>
    <row r="1503" spans="1:11" x14ac:dyDescent="0.35">
      <c r="A1503">
        <v>1502</v>
      </c>
      <c r="B1503">
        <v>21</v>
      </c>
      <c r="C1503" t="s">
        <v>11</v>
      </c>
      <c r="D1503" t="s">
        <v>12</v>
      </c>
      <c r="E1503" t="s">
        <v>13</v>
      </c>
      <c r="F1503">
        <v>100</v>
      </c>
      <c r="G1503" t="s">
        <v>19</v>
      </c>
      <c r="H1503" t="s">
        <v>37</v>
      </c>
      <c r="I1503">
        <v>4.0999999999999996</v>
      </c>
      <c r="J1503">
        <v>15</v>
      </c>
      <c r="K1503">
        <v>5</v>
      </c>
    </row>
    <row r="1504" spans="1:11" x14ac:dyDescent="0.35">
      <c r="A1504">
        <v>1503</v>
      </c>
      <c r="B1504">
        <v>23</v>
      </c>
      <c r="C1504" t="s">
        <v>11</v>
      </c>
      <c r="D1504" t="s">
        <v>22</v>
      </c>
      <c r="E1504" t="s">
        <v>52</v>
      </c>
      <c r="F1504">
        <v>55.34</v>
      </c>
      <c r="G1504" t="s">
        <v>24</v>
      </c>
      <c r="H1504" t="s">
        <v>15</v>
      </c>
      <c r="I1504">
        <v>4.2</v>
      </c>
      <c r="J1504">
        <v>17</v>
      </c>
      <c r="K1504">
        <v>6</v>
      </c>
    </row>
    <row r="1505" spans="1:11" x14ac:dyDescent="0.35">
      <c r="A1505">
        <v>1504</v>
      </c>
      <c r="B1505">
        <v>36</v>
      </c>
      <c r="C1505" t="s">
        <v>11</v>
      </c>
      <c r="D1505" t="s">
        <v>33</v>
      </c>
      <c r="E1505" t="s">
        <v>34</v>
      </c>
      <c r="F1505">
        <v>136.43</v>
      </c>
      <c r="G1505" t="s">
        <v>19</v>
      </c>
      <c r="H1505" t="s">
        <v>15</v>
      </c>
      <c r="I1505">
        <v>4</v>
      </c>
      <c r="J1505">
        <v>12</v>
      </c>
      <c r="K1505">
        <v>6</v>
      </c>
    </row>
    <row r="1506" spans="1:11" x14ac:dyDescent="0.35">
      <c r="A1506">
        <v>1505</v>
      </c>
      <c r="B1506">
        <v>35</v>
      </c>
      <c r="C1506" t="s">
        <v>11</v>
      </c>
      <c r="D1506" t="s">
        <v>41</v>
      </c>
      <c r="E1506" t="s">
        <v>45</v>
      </c>
      <c r="F1506">
        <v>67.510000000000005</v>
      </c>
      <c r="G1506" t="s">
        <v>19</v>
      </c>
      <c r="H1506" t="s">
        <v>15</v>
      </c>
      <c r="I1506">
        <v>4.0999999999999996</v>
      </c>
      <c r="J1506">
        <v>10</v>
      </c>
      <c r="K1506">
        <v>5</v>
      </c>
    </row>
    <row r="1507" spans="1:11" x14ac:dyDescent="0.35">
      <c r="A1507">
        <v>1506</v>
      </c>
      <c r="B1507">
        <v>29</v>
      </c>
      <c r="C1507" t="s">
        <v>16</v>
      </c>
      <c r="D1507" t="s">
        <v>33</v>
      </c>
      <c r="E1507" t="s">
        <v>40</v>
      </c>
      <c r="F1507">
        <v>245.39</v>
      </c>
      <c r="G1507" t="s">
        <v>24</v>
      </c>
      <c r="H1507" t="s">
        <v>15</v>
      </c>
      <c r="I1507">
        <v>4.5</v>
      </c>
      <c r="J1507">
        <v>15</v>
      </c>
      <c r="K1507">
        <v>5</v>
      </c>
    </row>
    <row r="1508" spans="1:11" x14ac:dyDescent="0.35">
      <c r="A1508">
        <v>1507</v>
      </c>
      <c r="B1508">
        <v>20</v>
      </c>
      <c r="C1508" t="s">
        <v>16</v>
      </c>
      <c r="D1508" t="s">
        <v>33</v>
      </c>
      <c r="E1508" t="s">
        <v>34</v>
      </c>
      <c r="F1508">
        <v>113.11</v>
      </c>
      <c r="G1508" t="s">
        <v>31</v>
      </c>
      <c r="H1508" t="s">
        <v>15</v>
      </c>
      <c r="I1508">
        <v>3.4</v>
      </c>
      <c r="J1508">
        <v>8</v>
      </c>
      <c r="K1508">
        <v>4</v>
      </c>
    </row>
    <row r="1509" spans="1:11" x14ac:dyDescent="0.35">
      <c r="A1509">
        <v>1508</v>
      </c>
      <c r="B1509">
        <v>64</v>
      </c>
      <c r="C1509" t="s">
        <v>11</v>
      </c>
      <c r="D1509" t="s">
        <v>33</v>
      </c>
      <c r="E1509" t="s">
        <v>38</v>
      </c>
      <c r="F1509">
        <v>80.180000000000007</v>
      </c>
      <c r="G1509" t="s">
        <v>19</v>
      </c>
      <c r="H1509" t="s">
        <v>15</v>
      </c>
      <c r="I1509">
        <v>4.4000000000000004</v>
      </c>
      <c r="J1509">
        <v>13</v>
      </c>
      <c r="K1509">
        <v>4</v>
      </c>
    </row>
    <row r="1510" spans="1:11" x14ac:dyDescent="0.35">
      <c r="A1510">
        <v>1509</v>
      </c>
      <c r="B1510">
        <v>67</v>
      </c>
      <c r="C1510" t="s">
        <v>16</v>
      </c>
      <c r="D1510" t="s">
        <v>27</v>
      </c>
      <c r="E1510" t="s">
        <v>28</v>
      </c>
      <c r="F1510">
        <v>1105.76</v>
      </c>
      <c r="G1510" t="s">
        <v>24</v>
      </c>
      <c r="H1510" t="s">
        <v>15</v>
      </c>
      <c r="I1510">
        <v>3.8</v>
      </c>
      <c r="J1510">
        <v>19</v>
      </c>
      <c r="K1510">
        <v>7</v>
      </c>
    </row>
    <row r="1511" spans="1:11" x14ac:dyDescent="0.35">
      <c r="A1511">
        <v>1510</v>
      </c>
      <c r="B1511">
        <v>26</v>
      </c>
      <c r="C1511" t="s">
        <v>11</v>
      </c>
      <c r="D1511" t="s">
        <v>33</v>
      </c>
      <c r="E1511" t="s">
        <v>34</v>
      </c>
      <c r="F1511">
        <v>96.55</v>
      </c>
      <c r="G1511" t="s">
        <v>24</v>
      </c>
      <c r="H1511" t="s">
        <v>37</v>
      </c>
      <c r="I1511">
        <v>4.5</v>
      </c>
      <c r="J1511">
        <v>10</v>
      </c>
      <c r="K1511">
        <v>5</v>
      </c>
    </row>
    <row r="1512" spans="1:11" x14ac:dyDescent="0.35">
      <c r="A1512">
        <v>1511</v>
      </c>
      <c r="B1512">
        <v>54</v>
      </c>
      <c r="C1512" t="s">
        <v>16</v>
      </c>
      <c r="D1512" t="s">
        <v>20</v>
      </c>
      <c r="E1512" t="s">
        <v>39</v>
      </c>
      <c r="F1512">
        <v>106.35</v>
      </c>
      <c r="G1512" t="s">
        <v>19</v>
      </c>
      <c r="H1512" t="s">
        <v>15</v>
      </c>
      <c r="I1512">
        <v>4.8</v>
      </c>
      <c r="J1512">
        <v>16</v>
      </c>
      <c r="K1512">
        <v>8</v>
      </c>
    </row>
    <row r="1513" spans="1:11" x14ac:dyDescent="0.35">
      <c r="A1513">
        <v>1512</v>
      </c>
      <c r="B1513">
        <v>28</v>
      </c>
      <c r="C1513" t="s">
        <v>11</v>
      </c>
      <c r="D1513" t="s">
        <v>25</v>
      </c>
      <c r="E1513" t="s">
        <v>26</v>
      </c>
      <c r="F1513">
        <v>13.26</v>
      </c>
      <c r="G1513" t="s">
        <v>19</v>
      </c>
      <c r="H1513" t="s">
        <v>37</v>
      </c>
      <c r="I1513">
        <v>4.4000000000000004</v>
      </c>
      <c r="J1513">
        <v>14</v>
      </c>
      <c r="K1513">
        <v>2</v>
      </c>
    </row>
    <row r="1514" spans="1:11" x14ac:dyDescent="0.35">
      <c r="A1514">
        <v>1513</v>
      </c>
      <c r="B1514">
        <v>64</v>
      </c>
      <c r="C1514" t="s">
        <v>11</v>
      </c>
      <c r="D1514" t="s">
        <v>41</v>
      </c>
      <c r="E1514" t="s">
        <v>45</v>
      </c>
      <c r="F1514">
        <v>180.55</v>
      </c>
      <c r="G1514" t="s">
        <v>19</v>
      </c>
      <c r="H1514" t="s">
        <v>15</v>
      </c>
      <c r="I1514">
        <v>3.9</v>
      </c>
      <c r="J1514">
        <v>4</v>
      </c>
      <c r="K1514">
        <v>2</v>
      </c>
    </row>
    <row r="1515" spans="1:11" x14ac:dyDescent="0.35">
      <c r="A1515">
        <v>1514</v>
      </c>
      <c r="B1515">
        <v>32</v>
      </c>
      <c r="C1515" t="s">
        <v>11</v>
      </c>
      <c r="D1515" t="s">
        <v>41</v>
      </c>
      <c r="E1515" t="s">
        <v>44</v>
      </c>
      <c r="F1515">
        <v>156.68</v>
      </c>
      <c r="G1515" t="s">
        <v>14</v>
      </c>
      <c r="H1515" t="s">
        <v>15</v>
      </c>
      <c r="I1515">
        <v>4.3</v>
      </c>
      <c r="J1515">
        <v>6</v>
      </c>
      <c r="K1515">
        <v>3</v>
      </c>
    </row>
    <row r="1516" spans="1:11" x14ac:dyDescent="0.35">
      <c r="A1516">
        <v>1515</v>
      </c>
      <c r="B1516">
        <v>44</v>
      </c>
      <c r="C1516" t="s">
        <v>16</v>
      </c>
      <c r="D1516" t="s">
        <v>20</v>
      </c>
      <c r="E1516" t="s">
        <v>36</v>
      </c>
      <c r="F1516">
        <v>187.98</v>
      </c>
      <c r="G1516" t="s">
        <v>24</v>
      </c>
      <c r="H1516" t="s">
        <v>15</v>
      </c>
      <c r="I1516">
        <v>3.6</v>
      </c>
      <c r="J1516">
        <v>19</v>
      </c>
      <c r="K1516">
        <v>7</v>
      </c>
    </row>
    <row r="1517" spans="1:11" x14ac:dyDescent="0.35">
      <c r="A1517">
        <v>1516</v>
      </c>
      <c r="B1517">
        <v>31</v>
      </c>
      <c r="C1517" t="s">
        <v>11</v>
      </c>
      <c r="D1517" t="s">
        <v>29</v>
      </c>
      <c r="E1517" t="s">
        <v>30</v>
      </c>
      <c r="F1517">
        <v>117.64</v>
      </c>
      <c r="G1517" t="s">
        <v>24</v>
      </c>
      <c r="H1517" t="s">
        <v>15</v>
      </c>
      <c r="I1517">
        <v>3.8</v>
      </c>
      <c r="J1517">
        <v>21</v>
      </c>
      <c r="K1517">
        <v>8</v>
      </c>
    </row>
    <row r="1518" spans="1:11" x14ac:dyDescent="0.35">
      <c r="A1518">
        <v>1517</v>
      </c>
      <c r="B1518">
        <v>46</v>
      </c>
      <c r="C1518" t="s">
        <v>16</v>
      </c>
      <c r="D1518" t="s">
        <v>20</v>
      </c>
      <c r="E1518" t="s">
        <v>39</v>
      </c>
      <c r="F1518">
        <v>153.87</v>
      </c>
      <c r="G1518" t="s">
        <v>24</v>
      </c>
      <c r="H1518" t="s">
        <v>15</v>
      </c>
      <c r="I1518">
        <v>4.3</v>
      </c>
      <c r="J1518">
        <v>12</v>
      </c>
      <c r="K1518">
        <v>6</v>
      </c>
    </row>
    <row r="1519" spans="1:11" x14ac:dyDescent="0.35">
      <c r="A1519">
        <v>1518</v>
      </c>
      <c r="B1519">
        <v>23</v>
      </c>
      <c r="C1519" t="s">
        <v>11</v>
      </c>
      <c r="D1519" t="s">
        <v>20</v>
      </c>
      <c r="E1519" t="s">
        <v>39</v>
      </c>
      <c r="F1519">
        <v>42.64</v>
      </c>
      <c r="G1519" t="s">
        <v>19</v>
      </c>
      <c r="H1519" t="s">
        <v>15</v>
      </c>
      <c r="I1519">
        <v>3.4</v>
      </c>
      <c r="J1519">
        <v>4</v>
      </c>
      <c r="K1519">
        <v>2</v>
      </c>
    </row>
    <row r="1520" spans="1:11" x14ac:dyDescent="0.35">
      <c r="A1520">
        <v>1519</v>
      </c>
      <c r="B1520">
        <v>31</v>
      </c>
      <c r="C1520" t="s">
        <v>16</v>
      </c>
      <c r="D1520" t="s">
        <v>27</v>
      </c>
      <c r="E1520" t="s">
        <v>32</v>
      </c>
      <c r="F1520">
        <v>2438.54</v>
      </c>
      <c r="G1520" t="s">
        <v>31</v>
      </c>
      <c r="H1520" t="s">
        <v>15</v>
      </c>
      <c r="I1520">
        <v>4.5</v>
      </c>
      <c r="J1520">
        <v>8</v>
      </c>
      <c r="K1520">
        <v>4</v>
      </c>
    </row>
    <row r="1521" spans="1:11" x14ac:dyDescent="0.35">
      <c r="A1521">
        <v>1520</v>
      </c>
      <c r="B1521">
        <v>47</v>
      </c>
      <c r="C1521" t="s">
        <v>16</v>
      </c>
      <c r="D1521" t="s">
        <v>33</v>
      </c>
      <c r="E1521" t="s">
        <v>38</v>
      </c>
      <c r="F1521">
        <v>135.83000000000001</v>
      </c>
      <c r="G1521" t="s">
        <v>24</v>
      </c>
      <c r="H1521" t="s">
        <v>15</v>
      </c>
      <c r="I1521">
        <v>4.5999999999999996</v>
      </c>
      <c r="J1521">
        <v>17</v>
      </c>
      <c r="K1521">
        <v>6</v>
      </c>
    </row>
    <row r="1522" spans="1:11" x14ac:dyDescent="0.35">
      <c r="A1522">
        <v>1521</v>
      </c>
      <c r="B1522">
        <v>43</v>
      </c>
      <c r="C1522" t="s">
        <v>16</v>
      </c>
      <c r="D1522" t="s">
        <v>33</v>
      </c>
      <c r="E1522" t="s">
        <v>38</v>
      </c>
      <c r="F1522">
        <v>160.25</v>
      </c>
      <c r="G1522" t="s">
        <v>24</v>
      </c>
      <c r="H1522" t="s">
        <v>15</v>
      </c>
      <c r="I1522">
        <v>4.8</v>
      </c>
      <c r="J1522">
        <v>28</v>
      </c>
      <c r="K1522">
        <v>9</v>
      </c>
    </row>
    <row r="1523" spans="1:11" x14ac:dyDescent="0.35">
      <c r="A1523">
        <v>1522</v>
      </c>
      <c r="B1523">
        <v>27</v>
      </c>
      <c r="C1523" t="s">
        <v>11</v>
      </c>
      <c r="D1523" t="s">
        <v>29</v>
      </c>
      <c r="E1523" t="s">
        <v>51</v>
      </c>
      <c r="F1523">
        <v>68.53</v>
      </c>
      <c r="G1523" t="s">
        <v>19</v>
      </c>
      <c r="H1523" t="s">
        <v>15</v>
      </c>
      <c r="I1523">
        <v>3.7</v>
      </c>
      <c r="J1523">
        <v>17</v>
      </c>
      <c r="K1523">
        <v>6</v>
      </c>
    </row>
    <row r="1524" spans="1:11" x14ac:dyDescent="0.35">
      <c r="A1524">
        <v>1523</v>
      </c>
      <c r="B1524">
        <v>37</v>
      </c>
      <c r="C1524" t="s">
        <v>11</v>
      </c>
      <c r="D1524" t="s">
        <v>41</v>
      </c>
      <c r="E1524" t="s">
        <v>44</v>
      </c>
      <c r="F1524">
        <v>64.5</v>
      </c>
      <c r="G1524" t="s">
        <v>14</v>
      </c>
      <c r="H1524" t="s">
        <v>37</v>
      </c>
      <c r="I1524">
        <v>4</v>
      </c>
      <c r="J1524">
        <v>6</v>
      </c>
      <c r="K1524">
        <v>3</v>
      </c>
    </row>
    <row r="1525" spans="1:11" x14ac:dyDescent="0.35">
      <c r="A1525">
        <v>1524</v>
      </c>
      <c r="B1525">
        <v>57</v>
      </c>
      <c r="C1525" t="s">
        <v>11</v>
      </c>
      <c r="D1525" t="s">
        <v>20</v>
      </c>
      <c r="E1525" t="s">
        <v>39</v>
      </c>
      <c r="F1525">
        <v>213.01</v>
      </c>
      <c r="G1525" t="s">
        <v>24</v>
      </c>
      <c r="H1525" t="s">
        <v>15</v>
      </c>
      <c r="I1525">
        <v>4.3</v>
      </c>
      <c r="J1525">
        <v>9</v>
      </c>
      <c r="K1525">
        <v>2</v>
      </c>
    </row>
    <row r="1526" spans="1:11" x14ac:dyDescent="0.35">
      <c r="A1526">
        <v>1525</v>
      </c>
      <c r="B1526">
        <v>44</v>
      </c>
      <c r="C1526" t="s">
        <v>16</v>
      </c>
      <c r="D1526" t="s">
        <v>33</v>
      </c>
      <c r="E1526" t="s">
        <v>40</v>
      </c>
      <c r="F1526">
        <v>175.76</v>
      </c>
      <c r="G1526" t="s">
        <v>19</v>
      </c>
      <c r="H1526" t="s">
        <v>15</v>
      </c>
      <c r="I1526">
        <v>4.7</v>
      </c>
      <c r="J1526">
        <v>21</v>
      </c>
      <c r="K1526">
        <v>8</v>
      </c>
    </row>
    <row r="1527" spans="1:11" x14ac:dyDescent="0.35">
      <c r="A1527">
        <v>1526</v>
      </c>
      <c r="B1527">
        <v>51</v>
      </c>
      <c r="C1527" t="s">
        <v>16</v>
      </c>
      <c r="D1527" t="s">
        <v>33</v>
      </c>
      <c r="E1527" t="s">
        <v>34</v>
      </c>
      <c r="F1527">
        <v>136.07</v>
      </c>
      <c r="G1527" t="s">
        <v>19</v>
      </c>
      <c r="H1527" t="s">
        <v>15</v>
      </c>
      <c r="I1527">
        <v>4.3</v>
      </c>
      <c r="J1527">
        <v>26</v>
      </c>
      <c r="K1527">
        <v>8</v>
      </c>
    </row>
    <row r="1528" spans="1:11" x14ac:dyDescent="0.35">
      <c r="A1528">
        <v>1527</v>
      </c>
      <c r="B1528">
        <v>66</v>
      </c>
      <c r="C1528" t="s">
        <v>16</v>
      </c>
      <c r="D1528" t="s">
        <v>27</v>
      </c>
      <c r="E1528" t="s">
        <v>53</v>
      </c>
      <c r="F1528">
        <v>632.67999999999995</v>
      </c>
      <c r="G1528" t="s">
        <v>24</v>
      </c>
      <c r="H1528" t="s">
        <v>15</v>
      </c>
      <c r="I1528">
        <v>5</v>
      </c>
      <c r="J1528">
        <v>24</v>
      </c>
      <c r="K1528">
        <v>7</v>
      </c>
    </row>
    <row r="1529" spans="1:11" x14ac:dyDescent="0.35">
      <c r="A1529">
        <v>1528</v>
      </c>
      <c r="B1529">
        <v>68</v>
      </c>
      <c r="C1529" t="s">
        <v>16</v>
      </c>
      <c r="D1529" t="s">
        <v>20</v>
      </c>
      <c r="E1529" t="s">
        <v>21</v>
      </c>
      <c r="F1529">
        <v>213.91</v>
      </c>
      <c r="G1529" t="s">
        <v>31</v>
      </c>
      <c r="H1529" t="s">
        <v>15</v>
      </c>
      <c r="I1529">
        <v>3.3</v>
      </c>
      <c r="J1529">
        <v>4</v>
      </c>
      <c r="K1529">
        <v>2</v>
      </c>
    </row>
    <row r="1530" spans="1:11" x14ac:dyDescent="0.35">
      <c r="A1530">
        <v>1529</v>
      </c>
      <c r="B1530">
        <v>52</v>
      </c>
      <c r="C1530" t="s">
        <v>16</v>
      </c>
      <c r="D1530" t="s">
        <v>27</v>
      </c>
      <c r="E1530" t="s">
        <v>28</v>
      </c>
      <c r="F1530">
        <v>631.19000000000005</v>
      </c>
      <c r="G1530" t="s">
        <v>31</v>
      </c>
      <c r="H1530" t="s">
        <v>15</v>
      </c>
      <c r="I1530">
        <v>4.7</v>
      </c>
      <c r="J1530">
        <v>17</v>
      </c>
      <c r="K1530">
        <v>6</v>
      </c>
    </row>
    <row r="1531" spans="1:11" x14ac:dyDescent="0.35">
      <c r="A1531">
        <v>1530</v>
      </c>
      <c r="B1531">
        <v>30</v>
      </c>
      <c r="C1531" t="s">
        <v>11</v>
      </c>
      <c r="D1531" t="s">
        <v>33</v>
      </c>
      <c r="E1531" t="s">
        <v>38</v>
      </c>
      <c r="F1531">
        <v>122.86</v>
      </c>
      <c r="G1531" t="s">
        <v>24</v>
      </c>
      <c r="H1531" t="s">
        <v>15</v>
      </c>
      <c r="I1531">
        <v>2.9</v>
      </c>
      <c r="J1531">
        <v>10</v>
      </c>
      <c r="K1531">
        <v>5</v>
      </c>
    </row>
    <row r="1532" spans="1:11" x14ac:dyDescent="0.35">
      <c r="A1532">
        <v>1531</v>
      </c>
      <c r="B1532">
        <v>50</v>
      </c>
      <c r="C1532" t="s">
        <v>11</v>
      </c>
      <c r="D1532" t="s">
        <v>41</v>
      </c>
      <c r="E1532" t="s">
        <v>44</v>
      </c>
      <c r="F1532">
        <v>146.57</v>
      </c>
      <c r="G1532" t="s">
        <v>14</v>
      </c>
      <c r="H1532" t="s">
        <v>15</v>
      </c>
      <c r="I1532">
        <v>3.3</v>
      </c>
      <c r="J1532">
        <v>17</v>
      </c>
      <c r="K1532">
        <v>6</v>
      </c>
    </row>
    <row r="1533" spans="1:11" x14ac:dyDescent="0.35">
      <c r="A1533">
        <v>1532</v>
      </c>
      <c r="B1533">
        <v>58</v>
      </c>
      <c r="C1533" t="s">
        <v>16</v>
      </c>
      <c r="D1533" t="s">
        <v>22</v>
      </c>
      <c r="E1533" t="s">
        <v>43</v>
      </c>
      <c r="F1533">
        <v>171.7</v>
      </c>
      <c r="G1533" t="s">
        <v>24</v>
      </c>
      <c r="H1533" t="s">
        <v>15</v>
      </c>
      <c r="I1533">
        <v>3.7</v>
      </c>
      <c r="J1533">
        <v>12</v>
      </c>
      <c r="K1533">
        <v>6</v>
      </c>
    </row>
    <row r="1534" spans="1:11" x14ac:dyDescent="0.35">
      <c r="A1534">
        <v>1533</v>
      </c>
      <c r="B1534">
        <v>36</v>
      </c>
      <c r="C1534" t="s">
        <v>16</v>
      </c>
      <c r="D1534" t="s">
        <v>27</v>
      </c>
      <c r="E1534" t="s">
        <v>32</v>
      </c>
      <c r="F1534">
        <v>1385.6</v>
      </c>
      <c r="G1534" t="s">
        <v>19</v>
      </c>
      <c r="H1534" t="s">
        <v>15</v>
      </c>
      <c r="I1534">
        <v>3.4</v>
      </c>
      <c r="J1534">
        <v>8</v>
      </c>
      <c r="K1534">
        <v>4</v>
      </c>
    </row>
    <row r="1535" spans="1:11" x14ac:dyDescent="0.35">
      <c r="A1535">
        <v>1534</v>
      </c>
      <c r="B1535">
        <v>38</v>
      </c>
      <c r="C1535" t="s">
        <v>16</v>
      </c>
      <c r="D1535" t="s">
        <v>17</v>
      </c>
      <c r="E1535" t="s">
        <v>42</v>
      </c>
      <c r="F1535">
        <v>91</v>
      </c>
      <c r="G1535" t="s">
        <v>19</v>
      </c>
      <c r="H1535" t="s">
        <v>37</v>
      </c>
      <c r="I1535">
        <v>4.2</v>
      </c>
      <c r="J1535">
        <v>14</v>
      </c>
      <c r="K1535">
        <v>7</v>
      </c>
    </row>
    <row r="1536" spans="1:11" x14ac:dyDescent="0.35">
      <c r="A1536">
        <v>1535</v>
      </c>
      <c r="B1536">
        <v>23</v>
      </c>
      <c r="C1536" t="s">
        <v>16</v>
      </c>
      <c r="D1536" t="s">
        <v>33</v>
      </c>
      <c r="E1536" t="s">
        <v>40</v>
      </c>
      <c r="F1536">
        <v>191.42</v>
      </c>
      <c r="G1536" t="s">
        <v>24</v>
      </c>
      <c r="H1536" t="s">
        <v>15</v>
      </c>
      <c r="I1536">
        <v>3.9</v>
      </c>
      <c r="J1536">
        <v>18</v>
      </c>
      <c r="K1536">
        <v>4</v>
      </c>
    </row>
    <row r="1537" spans="1:11" x14ac:dyDescent="0.35">
      <c r="A1537">
        <v>1536</v>
      </c>
      <c r="B1537">
        <v>56</v>
      </c>
      <c r="C1537" t="s">
        <v>11</v>
      </c>
      <c r="D1537" t="s">
        <v>12</v>
      </c>
      <c r="E1537" t="s">
        <v>13</v>
      </c>
      <c r="F1537">
        <v>114.28</v>
      </c>
      <c r="G1537" t="s">
        <v>31</v>
      </c>
      <c r="H1537" t="s">
        <v>15</v>
      </c>
      <c r="I1537">
        <v>4</v>
      </c>
      <c r="J1537">
        <v>20</v>
      </c>
      <c r="K1537">
        <v>5</v>
      </c>
    </row>
    <row r="1538" spans="1:11" x14ac:dyDescent="0.35">
      <c r="A1538">
        <v>1537</v>
      </c>
      <c r="B1538">
        <v>46</v>
      </c>
      <c r="C1538" t="s">
        <v>16</v>
      </c>
      <c r="D1538" t="s">
        <v>25</v>
      </c>
      <c r="E1538" t="s">
        <v>26</v>
      </c>
      <c r="F1538">
        <v>48.42</v>
      </c>
      <c r="G1538" t="s">
        <v>31</v>
      </c>
      <c r="H1538" t="s">
        <v>15</v>
      </c>
      <c r="I1538">
        <v>3.7</v>
      </c>
      <c r="J1538">
        <v>19</v>
      </c>
      <c r="K1538">
        <v>7</v>
      </c>
    </row>
    <row r="1539" spans="1:11" x14ac:dyDescent="0.35">
      <c r="A1539">
        <v>1538</v>
      </c>
      <c r="B1539">
        <v>48</v>
      </c>
      <c r="C1539" t="s">
        <v>16</v>
      </c>
      <c r="D1539" t="s">
        <v>33</v>
      </c>
      <c r="E1539" t="s">
        <v>40</v>
      </c>
      <c r="F1539">
        <v>84.31</v>
      </c>
      <c r="G1539" t="s">
        <v>19</v>
      </c>
      <c r="H1539" t="s">
        <v>37</v>
      </c>
      <c r="I1539">
        <v>4.5</v>
      </c>
      <c r="J1539">
        <v>10</v>
      </c>
      <c r="K1539">
        <v>0</v>
      </c>
    </row>
    <row r="1540" spans="1:11" x14ac:dyDescent="0.35">
      <c r="A1540">
        <v>1539</v>
      </c>
      <c r="B1540">
        <v>40</v>
      </c>
      <c r="C1540" t="s">
        <v>16</v>
      </c>
      <c r="D1540" t="s">
        <v>33</v>
      </c>
      <c r="E1540" t="s">
        <v>38</v>
      </c>
      <c r="F1540">
        <v>73.92</v>
      </c>
      <c r="G1540" t="s">
        <v>19</v>
      </c>
      <c r="H1540" t="s">
        <v>15</v>
      </c>
      <c r="I1540">
        <v>3.4</v>
      </c>
      <c r="J1540">
        <v>24</v>
      </c>
      <c r="K1540">
        <v>7</v>
      </c>
    </row>
    <row r="1541" spans="1:11" x14ac:dyDescent="0.35">
      <c r="A1541">
        <v>1540</v>
      </c>
      <c r="B1541">
        <v>47</v>
      </c>
      <c r="C1541" t="s">
        <v>16</v>
      </c>
      <c r="D1541" t="s">
        <v>33</v>
      </c>
      <c r="E1541" t="s">
        <v>38</v>
      </c>
      <c r="F1541">
        <v>67.400000000000006</v>
      </c>
      <c r="G1541" t="s">
        <v>31</v>
      </c>
      <c r="H1541" t="s">
        <v>37</v>
      </c>
      <c r="I1541">
        <v>4.3</v>
      </c>
      <c r="J1541">
        <v>7</v>
      </c>
      <c r="K1541">
        <v>1</v>
      </c>
    </row>
    <row r="1542" spans="1:11" x14ac:dyDescent="0.35">
      <c r="A1542">
        <v>1541</v>
      </c>
      <c r="B1542">
        <v>67</v>
      </c>
      <c r="C1542" t="s">
        <v>16</v>
      </c>
      <c r="D1542" t="s">
        <v>22</v>
      </c>
      <c r="E1542" t="s">
        <v>52</v>
      </c>
      <c r="F1542">
        <v>295.08999999999997</v>
      </c>
      <c r="G1542" t="s">
        <v>14</v>
      </c>
      <c r="H1542" t="s">
        <v>15</v>
      </c>
      <c r="I1542">
        <v>3.6</v>
      </c>
      <c r="J1542">
        <v>4</v>
      </c>
      <c r="K1542">
        <v>2</v>
      </c>
    </row>
    <row r="1543" spans="1:11" x14ac:dyDescent="0.35">
      <c r="A1543">
        <v>1542</v>
      </c>
      <c r="B1543">
        <v>30</v>
      </c>
      <c r="C1543" t="s">
        <v>11</v>
      </c>
      <c r="D1543" t="s">
        <v>33</v>
      </c>
      <c r="E1543" t="s">
        <v>40</v>
      </c>
      <c r="F1543">
        <v>121.3</v>
      </c>
      <c r="G1543" t="s">
        <v>19</v>
      </c>
      <c r="H1543" t="s">
        <v>15</v>
      </c>
      <c r="I1543">
        <v>3.1</v>
      </c>
      <c r="J1543">
        <v>10</v>
      </c>
      <c r="K1543">
        <v>5</v>
      </c>
    </row>
    <row r="1544" spans="1:11" x14ac:dyDescent="0.35">
      <c r="A1544">
        <v>1543</v>
      </c>
      <c r="B1544">
        <v>46</v>
      </c>
      <c r="C1544" t="s">
        <v>16</v>
      </c>
      <c r="D1544" t="s">
        <v>27</v>
      </c>
      <c r="E1544" t="s">
        <v>53</v>
      </c>
      <c r="F1544">
        <v>2344.0300000000002</v>
      </c>
      <c r="G1544" t="s">
        <v>14</v>
      </c>
      <c r="H1544" t="s">
        <v>15</v>
      </c>
      <c r="I1544">
        <v>4.8</v>
      </c>
      <c r="J1544">
        <v>17</v>
      </c>
      <c r="K1544">
        <v>6</v>
      </c>
    </row>
    <row r="1545" spans="1:11" x14ac:dyDescent="0.35">
      <c r="A1545">
        <v>1544</v>
      </c>
      <c r="B1545">
        <v>64</v>
      </c>
      <c r="C1545" t="s">
        <v>11</v>
      </c>
      <c r="D1545" t="s">
        <v>29</v>
      </c>
      <c r="E1545" t="s">
        <v>51</v>
      </c>
      <c r="F1545">
        <v>87.85</v>
      </c>
      <c r="G1545" t="s">
        <v>19</v>
      </c>
      <c r="H1545" t="s">
        <v>37</v>
      </c>
      <c r="I1545">
        <v>2.1</v>
      </c>
      <c r="J1545">
        <v>16</v>
      </c>
      <c r="K1545">
        <v>8</v>
      </c>
    </row>
    <row r="1546" spans="1:11" x14ac:dyDescent="0.35">
      <c r="A1546">
        <v>1545</v>
      </c>
      <c r="B1546">
        <v>50</v>
      </c>
      <c r="C1546" t="s">
        <v>11</v>
      </c>
      <c r="D1546" t="s">
        <v>29</v>
      </c>
      <c r="E1546" t="s">
        <v>51</v>
      </c>
      <c r="F1546">
        <v>31.22</v>
      </c>
      <c r="G1546" t="s">
        <v>19</v>
      </c>
      <c r="H1546" t="s">
        <v>15</v>
      </c>
      <c r="I1546">
        <v>3.8</v>
      </c>
      <c r="J1546">
        <v>20</v>
      </c>
      <c r="K1546">
        <v>10</v>
      </c>
    </row>
    <row r="1547" spans="1:11" x14ac:dyDescent="0.35">
      <c r="A1547">
        <v>1546</v>
      </c>
      <c r="B1547">
        <v>60</v>
      </c>
      <c r="C1547" t="s">
        <v>11</v>
      </c>
      <c r="D1547" t="s">
        <v>12</v>
      </c>
      <c r="E1547" t="s">
        <v>56</v>
      </c>
      <c r="F1547">
        <v>74.33</v>
      </c>
      <c r="G1547" t="s">
        <v>24</v>
      </c>
      <c r="H1547" t="s">
        <v>15</v>
      </c>
      <c r="I1547">
        <v>3.8</v>
      </c>
      <c r="J1547">
        <v>24</v>
      </c>
      <c r="K1547">
        <v>7</v>
      </c>
    </row>
    <row r="1548" spans="1:11" x14ac:dyDescent="0.35">
      <c r="A1548">
        <v>1547</v>
      </c>
      <c r="B1548">
        <v>36</v>
      </c>
      <c r="C1548" t="s">
        <v>11</v>
      </c>
      <c r="D1548" t="s">
        <v>20</v>
      </c>
      <c r="E1548" t="s">
        <v>39</v>
      </c>
      <c r="F1548">
        <v>142.80000000000001</v>
      </c>
      <c r="G1548" t="s">
        <v>24</v>
      </c>
      <c r="H1548" t="s">
        <v>15</v>
      </c>
      <c r="I1548">
        <v>5</v>
      </c>
      <c r="J1548">
        <v>18</v>
      </c>
      <c r="K1548">
        <v>4</v>
      </c>
    </row>
    <row r="1549" spans="1:11" x14ac:dyDescent="0.35">
      <c r="A1549">
        <v>1548</v>
      </c>
      <c r="B1549">
        <v>25</v>
      </c>
      <c r="C1549" t="s">
        <v>16</v>
      </c>
      <c r="D1549" t="s">
        <v>20</v>
      </c>
      <c r="E1549" t="s">
        <v>21</v>
      </c>
      <c r="F1549">
        <v>76.08</v>
      </c>
      <c r="G1549" t="s">
        <v>31</v>
      </c>
      <c r="H1549" t="s">
        <v>15</v>
      </c>
      <c r="I1549">
        <v>3.7</v>
      </c>
      <c r="J1549">
        <v>16</v>
      </c>
      <c r="K1549">
        <v>3</v>
      </c>
    </row>
    <row r="1550" spans="1:11" x14ac:dyDescent="0.35">
      <c r="A1550">
        <v>1549</v>
      </c>
      <c r="B1550">
        <v>59</v>
      </c>
      <c r="C1550" t="s">
        <v>16</v>
      </c>
      <c r="D1550" t="s">
        <v>17</v>
      </c>
      <c r="E1550" t="s">
        <v>18</v>
      </c>
      <c r="F1550">
        <v>71.09</v>
      </c>
      <c r="G1550" t="s">
        <v>19</v>
      </c>
      <c r="H1550" t="s">
        <v>37</v>
      </c>
      <c r="I1550">
        <v>3.8</v>
      </c>
      <c r="J1550">
        <v>10</v>
      </c>
      <c r="K1550">
        <v>5</v>
      </c>
    </row>
    <row r="1551" spans="1:11" x14ac:dyDescent="0.35">
      <c r="A1551">
        <v>1550</v>
      </c>
      <c r="B1551">
        <v>21</v>
      </c>
      <c r="C1551" t="s">
        <v>16</v>
      </c>
      <c r="D1551" t="s">
        <v>33</v>
      </c>
      <c r="E1551" t="s">
        <v>40</v>
      </c>
      <c r="F1551">
        <v>210.67</v>
      </c>
      <c r="G1551" t="s">
        <v>24</v>
      </c>
      <c r="H1551" t="s">
        <v>15</v>
      </c>
      <c r="I1551">
        <v>3.4</v>
      </c>
      <c r="J1551">
        <v>6</v>
      </c>
      <c r="K1551">
        <v>3</v>
      </c>
    </row>
    <row r="1552" spans="1:11" x14ac:dyDescent="0.35">
      <c r="A1552">
        <v>1551</v>
      </c>
      <c r="B1552">
        <v>21</v>
      </c>
      <c r="C1552" t="s">
        <v>11</v>
      </c>
      <c r="D1552" t="s">
        <v>29</v>
      </c>
      <c r="E1552" t="s">
        <v>30</v>
      </c>
      <c r="F1552">
        <v>131.55000000000001</v>
      </c>
      <c r="G1552" t="s">
        <v>31</v>
      </c>
      <c r="H1552" t="s">
        <v>15</v>
      </c>
      <c r="I1552">
        <v>4.3</v>
      </c>
      <c r="J1552">
        <v>13</v>
      </c>
      <c r="K1552">
        <v>4</v>
      </c>
    </row>
    <row r="1553" spans="1:11" x14ac:dyDescent="0.35">
      <c r="A1553">
        <v>1552</v>
      </c>
      <c r="B1553">
        <v>28</v>
      </c>
      <c r="C1553" t="s">
        <v>16</v>
      </c>
      <c r="D1553" t="s">
        <v>20</v>
      </c>
      <c r="E1553" t="s">
        <v>39</v>
      </c>
      <c r="F1553">
        <v>123.55</v>
      </c>
      <c r="G1553" t="s">
        <v>31</v>
      </c>
      <c r="H1553" t="s">
        <v>15</v>
      </c>
      <c r="I1553">
        <v>4.0999999999999996</v>
      </c>
      <c r="J1553">
        <v>21</v>
      </c>
      <c r="K1553">
        <v>8</v>
      </c>
    </row>
    <row r="1554" spans="1:11" x14ac:dyDescent="0.35">
      <c r="A1554">
        <v>1553</v>
      </c>
      <c r="B1554">
        <v>21</v>
      </c>
      <c r="C1554" t="s">
        <v>11</v>
      </c>
      <c r="D1554" t="s">
        <v>12</v>
      </c>
      <c r="E1554" t="s">
        <v>13</v>
      </c>
      <c r="F1554">
        <v>130.77000000000001</v>
      </c>
      <c r="G1554" t="s">
        <v>24</v>
      </c>
      <c r="H1554" t="s">
        <v>15</v>
      </c>
      <c r="I1554">
        <v>4.8</v>
      </c>
      <c r="J1554">
        <v>4</v>
      </c>
      <c r="K1554">
        <v>2</v>
      </c>
    </row>
    <row r="1555" spans="1:11" x14ac:dyDescent="0.35">
      <c r="A1555">
        <v>1554</v>
      </c>
      <c r="B1555">
        <v>56</v>
      </c>
      <c r="C1555" t="s">
        <v>16</v>
      </c>
      <c r="D1555" t="s">
        <v>17</v>
      </c>
      <c r="E1555" t="s">
        <v>48</v>
      </c>
      <c r="F1555">
        <v>110.31</v>
      </c>
      <c r="G1555" t="s">
        <v>31</v>
      </c>
      <c r="H1555" t="s">
        <v>15</v>
      </c>
      <c r="I1555">
        <v>3</v>
      </c>
      <c r="J1555">
        <v>2</v>
      </c>
      <c r="K1555">
        <v>1</v>
      </c>
    </row>
    <row r="1556" spans="1:11" x14ac:dyDescent="0.35">
      <c r="A1556">
        <v>1555</v>
      </c>
      <c r="B1556">
        <v>29</v>
      </c>
      <c r="C1556" t="s">
        <v>16</v>
      </c>
      <c r="D1556" t="s">
        <v>20</v>
      </c>
      <c r="E1556" t="s">
        <v>36</v>
      </c>
      <c r="F1556">
        <v>238.27</v>
      </c>
      <c r="G1556" t="s">
        <v>24</v>
      </c>
      <c r="H1556" t="s">
        <v>15</v>
      </c>
      <c r="I1556">
        <v>5</v>
      </c>
      <c r="J1556">
        <v>14</v>
      </c>
      <c r="K1556">
        <v>2</v>
      </c>
    </row>
    <row r="1557" spans="1:11" x14ac:dyDescent="0.35">
      <c r="A1557">
        <v>1556</v>
      </c>
      <c r="B1557">
        <v>20</v>
      </c>
      <c r="C1557" t="s">
        <v>16</v>
      </c>
      <c r="D1557" t="s">
        <v>22</v>
      </c>
      <c r="E1557" t="s">
        <v>52</v>
      </c>
      <c r="F1557">
        <v>201.69</v>
      </c>
      <c r="G1557" t="s">
        <v>14</v>
      </c>
      <c r="H1557" t="s">
        <v>15</v>
      </c>
      <c r="I1557">
        <v>2.9</v>
      </c>
      <c r="J1557">
        <v>23</v>
      </c>
      <c r="K1557">
        <v>9</v>
      </c>
    </row>
    <row r="1558" spans="1:11" x14ac:dyDescent="0.35">
      <c r="A1558">
        <v>1557</v>
      </c>
      <c r="B1558">
        <v>49</v>
      </c>
      <c r="C1558" t="s">
        <v>11</v>
      </c>
      <c r="D1558" t="s">
        <v>20</v>
      </c>
      <c r="E1558" t="s">
        <v>39</v>
      </c>
      <c r="F1558">
        <v>199.72</v>
      </c>
      <c r="G1558" t="s">
        <v>14</v>
      </c>
      <c r="H1558" t="s">
        <v>15</v>
      </c>
      <c r="I1558">
        <v>3.9</v>
      </c>
      <c r="J1558">
        <v>24</v>
      </c>
      <c r="K1558">
        <v>7</v>
      </c>
    </row>
    <row r="1559" spans="1:11" x14ac:dyDescent="0.35">
      <c r="A1559">
        <v>1558</v>
      </c>
      <c r="B1559">
        <v>48</v>
      </c>
      <c r="C1559" t="s">
        <v>16</v>
      </c>
      <c r="D1559" t="s">
        <v>22</v>
      </c>
      <c r="E1559" t="s">
        <v>43</v>
      </c>
      <c r="F1559">
        <v>113.79</v>
      </c>
      <c r="G1559" t="s">
        <v>24</v>
      </c>
      <c r="H1559" t="s">
        <v>15</v>
      </c>
      <c r="I1559">
        <v>3.3</v>
      </c>
      <c r="J1559">
        <v>2</v>
      </c>
      <c r="K1559">
        <v>1</v>
      </c>
    </row>
    <row r="1560" spans="1:11" x14ac:dyDescent="0.35">
      <c r="A1560">
        <v>1559</v>
      </c>
      <c r="B1560">
        <v>42</v>
      </c>
      <c r="C1560" t="s">
        <v>16</v>
      </c>
      <c r="D1560" t="s">
        <v>20</v>
      </c>
      <c r="E1560" t="s">
        <v>21</v>
      </c>
      <c r="F1560">
        <v>216.19</v>
      </c>
      <c r="G1560" t="s">
        <v>24</v>
      </c>
      <c r="H1560" t="s">
        <v>15</v>
      </c>
      <c r="I1560">
        <v>4.5</v>
      </c>
      <c r="J1560">
        <v>13</v>
      </c>
      <c r="K1560">
        <v>4</v>
      </c>
    </row>
    <row r="1561" spans="1:11" x14ac:dyDescent="0.35">
      <c r="A1561">
        <v>1560</v>
      </c>
      <c r="B1561">
        <v>35</v>
      </c>
      <c r="C1561" t="s">
        <v>11</v>
      </c>
      <c r="D1561" t="s">
        <v>12</v>
      </c>
      <c r="E1561" t="s">
        <v>56</v>
      </c>
      <c r="F1561">
        <v>157.94999999999999</v>
      </c>
      <c r="G1561" t="s">
        <v>19</v>
      </c>
      <c r="H1561" t="s">
        <v>15</v>
      </c>
      <c r="I1561">
        <v>3.8</v>
      </c>
      <c r="J1561">
        <v>14</v>
      </c>
      <c r="K1561">
        <v>2</v>
      </c>
    </row>
    <row r="1562" spans="1:11" x14ac:dyDescent="0.35">
      <c r="A1562">
        <v>1561</v>
      </c>
      <c r="B1562">
        <v>61</v>
      </c>
      <c r="C1562" t="s">
        <v>11</v>
      </c>
      <c r="D1562" t="s">
        <v>41</v>
      </c>
      <c r="E1562" t="s">
        <v>44</v>
      </c>
      <c r="F1562">
        <v>144.71</v>
      </c>
      <c r="G1562" t="s">
        <v>19</v>
      </c>
      <c r="H1562" t="s">
        <v>15</v>
      </c>
      <c r="I1562">
        <v>5</v>
      </c>
      <c r="J1562">
        <v>16</v>
      </c>
      <c r="K1562">
        <v>8</v>
      </c>
    </row>
    <row r="1563" spans="1:11" x14ac:dyDescent="0.35">
      <c r="A1563">
        <v>1562</v>
      </c>
      <c r="B1563">
        <v>27</v>
      </c>
      <c r="C1563" t="s">
        <v>16</v>
      </c>
      <c r="D1563" t="s">
        <v>20</v>
      </c>
      <c r="E1563" t="s">
        <v>36</v>
      </c>
      <c r="F1563">
        <v>123.19</v>
      </c>
      <c r="G1563" t="s">
        <v>24</v>
      </c>
      <c r="H1563" t="s">
        <v>15</v>
      </c>
      <c r="I1563">
        <v>5</v>
      </c>
      <c r="J1563">
        <v>12</v>
      </c>
      <c r="K1563">
        <v>6</v>
      </c>
    </row>
    <row r="1564" spans="1:11" x14ac:dyDescent="0.35">
      <c r="A1564">
        <v>1563</v>
      </c>
      <c r="B1564">
        <v>56</v>
      </c>
      <c r="C1564" t="s">
        <v>16</v>
      </c>
      <c r="D1564" t="s">
        <v>20</v>
      </c>
      <c r="E1564" t="s">
        <v>39</v>
      </c>
      <c r="F1564">
        <v>174.68</v>
      </c>
      <c r="G1564" t="s">
        <v>14</v>
      </c>
      <c r="H1564" t="s">
        <v>15</v>
      </c>
      <c r="I1564">
        <v>3.1</v>
      </c>
      <c r="J1564">
        <v>22</v>
      </c>
      <c r="K1564">
        <v>6</v>
      </c>
    </row>
    <row r="1565" spans="1:11" x14ac:dyDescent="0.35">
      <c r="A1565">
        <v>1564</v>
      </c>
      <c r="B1565">
        <v>54</v>
      </c>
      <c r="C1565" t="s">
        <v>16</v>
      </c>
      <c r="D1565" t="s">
        <v>33</v>
      </c>
      <c r="E1565" t="s">
        <v>38</v>
      </c>
      <c r="F1565">
        <v>80.349999999999994</v>
      </c>
      <c r="G1565" t="s">
        <v>14</v>
      </c>
      <c r="H1565" t="s">
        <v>37</v>
      </c>
      <c r="I1565">
        <v>3.8</v>
      </c>
      <c r="J1565">
        <v>14</v>
      </c>
      <c r="K1565">
        <v>2</v>
      </c>
    </row>
    <row r="1566" spans="1:11" x14ac:dyDescent="0.35">
      <c r="A1566">
        <v>1565</v>
      </c>
      <c r="B1566">
        <v>46</v>
      </c>
      <c r="C1566" t="s">
        <v>11</v>
      </c>
      <c r="D1566" t="s">
        <v>22</v>
      </c>
      <c r="E1566" t="s">
        <v>23</v>
      </c>
      <c r="F1566">
        <v>196.05</v>
      </c>
      <c r="G1566" t="s">
        <v>14</v>
      </c>
      <c r="H1566" t="s">
        <v>15</v>
      </c>
      <c r="I1566">
        <v>4.5999999999999996</v>
      </c>
      <c r="J1566">
        <v>12</v>
      </c>
      <c r="K1566">
        <v>1</v>
      </c>
    </row>
    <row r="1567" spans="1:11" x14ac:dyDescent="0.35">
      <c r="A1567">
        <v>1566</v>
      </c>
      <c r="B1567">
        <v>55</v>
      </c>
      <c r="C1567" t="s">
        <v>11</v>
      </c>
      <c r="D1567" t="s">
        <v>29</v>
      </c>
      <c r="E1567" t="s">
        <v>51</v>
      </c>
      <c r="F1567">
        <v>127.11</v>
      </c>
      <c r="G1567" t="s">
        <v>19</v>
      </c>
      <c r="H1567" t="s">
        <v>15</v>
      </c>
      <c r="I1567">
        <v>4.0999999999999996</v>
      </c>
      <c r="J1567">
        <v>15</v>
      </c>
      <c r="K1567">
        <v>5</v>
      </c>
    </row>
    <row r="1568" spans="1:11" x14ac:dyDescent="0.35">
      <c r="A1568">
        <v>1567</v>
      </c>
      <c r="B1568">
        <v>30</v>
      </c>
      <c r="C1568" t="s">
        <v>11</v>
      </c>
      <c r="D1568" t="s">
        <v>29</v>
      </c>
      <c r="E1568" t="s">
        <v>30</v>
      </c>
      <c r="F1568">
        <v>69.8</v>
      </c>
      <c r="G1568" t="s">
        <v>24</v>
      </c>
      <c r="H1568" t="s">
        <v>37</v>
      </c>
      <c r="I1568">
        <v>2.8</v>
      </c>
      <c r="J1568">
        <v>18</v>
      </c>
      <c r="K1568">
        <v>4</v>
      </c>
    </row>
    <row r="1569" spans="1:11" x14ac:dyDescent="0.35">
      <c r="A1569">
        <v>1568</v>
      </c>
      <c r="B1569">
        <v>27</v>
      </c>
      <c r="C1569" t="s">
        <v>16</v>
      </c>
      <c r="D1569" t="s">
        <v>20</v>
      </c>
      <c r="E1569" t="s">
        <v>36</v>
      </c>
      <c r="F1569">
        <v>210.43</v>
      </c>
      <c r="G1569" t="s">
        <v>14</v>
      </c>
      <c r="H1569" t="s">
        <v>15</v>
      </c>
      <c r="I1569">
        <v>3.9</v>
      </c>
      <c r="J1569">
        <v>16</v>
      </c>
      <c r="K1569">
        <v>3</v>
      </c>
    </row>
    <row r="1570" spans="1:11" x14ac:dyDescent="0.35">
      <c r="A1570">
        <v>1569</v>
      </c>
      <c r="B1570">
        <v>56</v>
      </c>
      <c r="C1570" t="s">
        <v>16</v>
      </c>
      <c r="D1570" t="s">
        <v>20</v>
      </c>
      <c r="E1570" t="s">
        <v>36</v>
      </c>
      <c r="F1570">
        <v>219.8</v>
      </c>
      <c r="G1570" t="s">
        <v>24</v>
      </c>
      <c r="H1570" t="s">
        <v>15</v>
      </c>
      <c r="I1570">
        <v>3.9</v>
      </c>
      <c r="J1570">
        <v>6</v>
      </c>
      <c r="K1570">
        <v>3</v>
      </c>
    </row>
    <row r="1571" spans="1:11" x14ac:dyDescent="0.35">
      <c r="A1571">
        <v>1570</v>
      </c>
      <c r="B1571">
        <v>42</v>
      </c>
      <c r="C1571" t="s">
        <v>11</v>
      </c>
      <c r="D1571" t="s">
        <v>33</v>
      </c>
      <c r="E1571" t="s">
        <v>38</v>
      </c>
      <c r="F1571">
        <v>74.97</v>
      </c>
      <c r="G1571" t="s">
        <v>31</v>
      </c>
      <c r="H1571" t="s">
        <v>37</v>
      </c>
      <c r="I1571">
        <v>2.2000000000000002</v>
      </c>
      <c r="J1571">
        <v>6</v>
      </c>
      <c r="K1571">
        <v>3</v>
      </c>
    </row>
    <row r="1572" spans="1:11" x14ac:dyDescent="0.35">
      <c r="A1572">
        <v>1571</v>
      </c>
      <c r="B1572">
        <v>34</v>
      </c>
      <c r="C1572" t="s">
        <v>11</v>
      </c>
      <c r="D1572" t="s">
        <v>29</v>
      </c>
      <c r="E1572" t="s">
        <v>51</v>
      </c>
      <c r="F1572">
        <v>103.19</v>
      </c>
      <c r="G1572" t="s">
        <v>31</v>
      </c>
      <c r="H1572" t="s">
        <v>15</v>
      </c>
      <c r="I1572">
        <v>4</v>
      </c>
      <c r="J1572">
        <v>10</v>
      </c>
      <c r="K1572">
        <v>5</v>
      </c>
    </row>
    <row r="1573" spans="1:11" x14ac:dyDescent="0.35">
      <c r="A1573">
        <v>1572</v>
      </c>
      <c r="B1573">
        <v>21</v>
      </c>
      <c r="C1573" t="s">
        <v>11</v>
      </c>
      <c r="D1573" t="s">
        <v>29</v>
      </c>
      <c r="E1573" t="s">
        <v>55</v>
      </c>
      <c r="F1573">
        <v>138.69</v>
      </c>
      <c r="G1573" t="s">
        <v>24</v>
      </c>
      <c r="H1573" t="s">
        <v>15</v>
      </c>
      <c r="I1573">
        <v>4.5</v>
      </c>
      <c r="J1573">
        <v>16</v>
      </c>
      <c r="K1573">
        <v>3</v>
      </c>
    </row>
    <row r="1574" spans="1:11" x14ac:dyDescent="0.35">
      <c r="A1574">
        <v>1573</v>
      </c>
      <c r="B1574">
        <v>49</v>
      </c>
      <c r="C1574" t="s">
        <v>16</v>
      </c>
      <c r="D1574" t="s">
        <v>20</v>
      </c>
      <c r="E1574" t="s">
        <v>36</v>
      </c>
      <c r="F1574">
        <v>164.76</v>
      </c>
      <c r="G1574" t="s">
        <v>31</v>
      </c>
      <c r="H1574" t="s">
        <v>15</v>
      </c>
      <c r="I1574">
        <v>3.5</v>
      </c>
      <c r="J1574">
        <v>26</v>
      </c>
      <c r="K1574">
        <v>8</v>
      </c>
    </row>
    <row r="1575" spans="1:11" x14ac:dyDescent="0.35">
      <c r="A1575">
        <v>1574</v>
      </c>
      <c r="B1575">
        <v>25</v>
      </c>
      <c r="C1575" t="s">
        <v>16</v>
      </c>
      <c r="D1575" t="s">
        <v>20</v>
      </c>
      <c r="E1575" t="s">
        <v>36</v>
      </c>
      <c r="F1575">
        <v>182.09</v>
      </c>
      <c r="G1575" t="s">
        <v>24</v>
      </c>
      <c r="H1575" t="s">
        <v>15</v>
      </c>
      <c r="I1575">
        <v>3.9</v>
      </c>
      <c r="J1575">
        <v>8</v>
      </c>
      <c r="K1575">
        <v>4</v>
      </c>
    </row>
    <row r="1576" spans="1:11" x14ac:dyDescent="0.35">
      <c r="A1576">
        <v>1575</v>
      </c>
      <c r="B1576">
        <v>50</v>
      </c>
      <c r="C1576" t="s">
        <v>16</v>
      </c>
      <c r="D1576" t="s">
        <v>33</v>
      </c>
      <c r="E1576" t="s">
        <v>38</v>
      </c>
      <c r="F1576">
        <v>180.26</v>
      </c>
      <c r="G1576" t="s">
        <v>19</v>
      </c>
      <c r="H1576" t="s">
        <v>15</v>
      </c>
      <c r="I1576">
        <v>3.9</v>
      </c>
      <c r="J1576">
        <v>2</v>
      </c>
      <c r="K1576">
        <v>1</v>
      </c>
    </row>
    <row r="1577" spans="1:11" x14ac:dyDescent="0.35">
      <c r="A1577">
        <v>1576</v>
      </c>
      <c r="B1577">
        <v>45</v>
      </c>
      <c r="C1577" t="s">
        <v>11</v>
      </c>
      <c r="D1577" t="s">
        <v>12</v>
      </c>
      <c r="E1577" t="s">
        <v>50</v>
      </c>
      <c r="F1577">
        <v>159.72999999999999</v>
      </c>
      <c r="G1577" t="s">
        <v>19</v>
      </c>
      <c r="H1577" t="s">
        <v>15</v>
      </c>
      <c r="I1577">
        <v>3.7</v>
      </c>
      <c r="J1577">
        <v>10</v>
      </c>
      <c r="K1577">
        <v>5</v>
      </c>
    </row>
    <row r="1578" spans="1:11" x14ac:dyDescent="0.35">
      <c r="A1578">
        <v>1577</v>
      </c>
      <c r="B1578">
        <v>36</v>
      </c>
      <c r="C1578" t="s">
        <v>11</v>
      </c>
      <c r="D1578" t="s">
        <v>41</v>
      </c>
      <c r="E1578" t="s">
        <v>45</v>
      </c>
      <c r="F1578">
        <v>178.61</v>
      </c>
      <c r="G1578" t="s">
        <v>19</v>
      </c>
      <c r="H1578" t="s">
        <v>15</v>
      </c>
      <c r="I1578">
        <v>3.7</v>
      </c>
      <c r="J1578">
        <v>16</v>
      </c>
      <c r="K1578">
        <v>3</v>
      </c>
    </row>
    <row r="1579" spans="1:11" x14ac:dyDescent="0.35">
      <c r="A1579">
        <v>1578</v>
      </c>
      <c r="B1579">
        <v>55</v>
      </c>
      <c r="C1579" t="s">
        <v>11</v>
      </c>
      <c r="D1579" t="s">
        <v>41</v>
      </c>
      <c r="E1579" t="s">
        <v>44</v>
      </c>
      <c r="F1579">
        <v>100.75</v>
      </c>
      <c r="G1579" t="s">
        <v>14</v>
      </c>
      <c r="H1579" t="s">
        <v>15</v>
      </c>
      <c r="I1579">
        <v>4.2</v>
      </c>
      <c r="J1579">
        <v>26</v>
      </c>
      <c r="K1579">
        <v>8</v>
      </c>
    </row>
    <row r="1580" spans="1:11" x14ac:dyDescent="0.35">
      <c r="A1580">
        <v>1579</v>
      </c>
      <c r="B1580">
        <v>67</v>
      </c>
      <c r="C1580" t="s">
        <v>11</v>
      </c>
      <c r="D1580" t="s">
        <v>20</v>
      </c>
      <c r="E1580" t="s">
        <v>36</v>
      </c>
      <c r="F1580">
        <v>65.25</v>
      </c>
      <c r="G1580" t="s">
        <v>24</v>
      </c>
      <c r="H1580" t="s">
        <v>15</v>
      </c>
      <c r="I1580">
        <v>3.8</v>
      </c>
      <c r="J1580">
        <v>17</v>
      </c>
      <c r="K1580">
        <v>6</v>
      </c>
    </row>
    <row r="1581" spans="1:11" x14ac:dyDescent="0.35">
      <c r="A1581">
        <v>1580</v>
      </c>
      <c r="B1581">
        <v>31</v>
      </c>
      <c r="C1581" t="s">
        <v>16</v>
      </c>
      <c r="D1581" t="s">
        <v>17</v>
      </c>
      <c r="E1581" t="s">
        <v>18</v>
      </c>
      <c r="F1581">
        <v>191.96</v>
      </c>
      <c r="G1581" t="s">
        <v>31</v>
      </c>
      <c r="H1581" t="s">
        <v>15</v>
      </c>
      <c r="I1581">
        <v>3.7</v>
      </c>
      <c r="J1581">
        <v>13</v>
      </c>
      <c r="K1581">
        <v>4</v>
      </c>
    </row>
    <row r="1582" spans="1:11" x14ac:dyDescent="0.35">
      <c r="A1582">
        <v>1581</v>
      </c>
      <c r="B1582">
        <v>42</v>
      </c>
      <c r="C1582" t="s">
        <v>11</v>
      </c>
      <c r="D1582" t="s">
        <v>41</v>
      </c>
      <c r="E1582" t="s">
        <v>46</v>
      </c>
      <c r="F1582">
        <v>152.61000000000001</v>
      </c>
      <c r="G1582" t="s">
        <v>31</v>
      </c>
      <c r="H1582" t="s">
        <v>15</v>
      </c>
      <c r="I1582">
        <v>3.2</v>
      </c>
      <c r="J1582">
        <v>18</v>
      </c>
      <c r="K1582">
        <v>4</v>
      </c>
    </row>
    <row r="1583" spans="1:11" x14ac:dyDescent="0.35">
      <c r="A1583">
        <v>1582</v>
      </c>
      <c r="B1583">
        <v>37</v>
      </c>
      <c r="C1583" t="s">
        <v>16</v>
      </c>
      <c r="D1583" t="s">
        <v>20</v>
      </c>
      <c r="E1583" t="s">
        <v>36</v>
      </c>
      <c r="F1583">
        <v>118.07</v>
      </c>
      <c r="G1583" t="s">
        <v>24</v>
      </c>
      <c r="H1583" t="s">
        <v>15</v>
      </c>
      <c r="I1583">
        <v>2.8</v>
      </c>
      <c r="J1583">
        <v>22</v>
      </c>
      <c r="K1583">
        <v>6</v>
      </c>
    </row>
    <row r="1584" spans="1:11" x14ac:dyDescent="0.35">
      <c r="A1584">
        <v>1583</v>
      </c>
      <c r="B1584">
        <v>39</v>
      </c>
      <c r="C1584" t="s">
        <v>11</v>
      </c>
      <c r="D1584" t="s">
        <v>29</v>
      </c>
      <c r="E1584" t="s">
        <v>51</v>
      </c>
      <c r="F1584">
        <v>100.38</v>
      </c>
      <c r="G1584" t="s">
        <v>14</v>
      </c>
      <c r="H1584" t="s">
        <v>15</v>
      </c>
      <c r="I1584">
        <v>4.3</v>
      </c>
      <c r="J1584">
        <v>10</v>
      </c>
      <c r="K1584">
        <v>5</v>
      </c>
    </row>
    <row r="1585" spans="1:11" x14ac:dyDescent="0.35">
      <c r="A1585">
        <v>1584</v>
      </c>
      <c r="B1585">
        <v>53</v>
      </c>
      <c r="C1585" t="s">
        <v>11</v>
      </c>
      <c r="D1585" t="s">
        <v>22</v>
      </c>
      <c r="E1585" t="s">
        <v>52</v>
      </c>
      <c r="F1585">
        <v>198.76</v>
      </c>
      <c r="G1585" t="s">
        <v>19</v>
      </c>
      <c r="H1585" t="s">
        <v>15</v>
      </c>
      <c r="I1585">
        <v>3.8</v>
      </c>
      <c r="J1585">
        <v>15</v>
      </c>
      <c r="K1585">
        <v>5</v>
      </c>
    </row>
    <row r="1586" spans="1:11" x14ac:dyDescent="0.35">
      <c r="A1586">
        <v>1585</v>
      </c>
      <c r="B1586">
        <v>48</v>
      </c>
      <c r="C1586" t="s">
        <v>16</v>
      </c>
      <c r="D1586" t="s">
        <v>20</v>
      </c>
      <c r="E1586" t="s">
        <v>21</v>
      </c>
      <c r="F1586">
        <v>33.840000000000003</v>
      </c>
      <c r="G1586" t="s">
        <v>14</v>
      </c>
      <c r="H1586" t="s">
        <v>15</v>
      </c>
      <c r="I1586">
        <v>4.0999999999999996</v>
      </c>
      <c r="J1586">
        <v>13</v>
      </c>
      <c r="K1586">
        <v>4</v>
      </c>
    </row>
    <row r="1587" spans="1:11" x14ac:dyDescent="0.35">
      <c r="A1587">
        <v>1586</v>
      </c>
      <c r="B1587">
        <v>30</v>
      </c>
      <c r="C1587" t="s">
        <v>16</v>
      </c>
      <c r="D1587" t="s">
        <v>33</v>
      </c>
      <c r="E1587" t="s">
        <v>34</v>
      </c>
      <c r="F1587">
        <v>106.05</v>
      </c>
      <c r="G1587" t="s">
        <v>14</v>
      </c>
      <c r="H1587" t="s">
        <v>15</v>
      </c>
      <c r="I1587">
        <v>4.4000000000000004</v>
      </c>
      <c r="J1587">
        <v>13</v>
      </c>
      <c r="K1587">
        <v>4</v>
      </c>
    </row>
    <row r="1588" spans="1:11" x14ac:dyDescent="0.35">
      <c r="A1588">
        <v>1587</v>
      </c>
      <c r="B1588">
        <v>40</v>
      </c>
      <c r="C1588" t="s">
        <v>11</v>
      </c>
      <c r="D1588" t="s">
        <v>33</v>
      </c>
      <c r="E1588" t="s">
        <v>34</v>
      </c>
      <c r="F1588">
        <v>54.39</v>
      </c>
      <c r="G1588" t="s">
        <v>14</v>
      </c>
      <c r="H1588" t="s">
        <v>15</v>
      </c>
      <c r="I1588">
        <v>3.9</v>
      </c>
      <c r="J1588">
        <v>8</v>
      </c>
      <c r="K1588">
        <v>4</v>
      </c>
    </row>
    <row r="1589" spans="1:11" x14ac:dyDescent="0.35">
      <c r="A1589">
        <v>1588</v>
      </c>
      <c r="B1589">
        <v>52</v>
      </c>
      <c r="C1589" t="s">
        <v>11</v>
      </c>
      <c r="D1589" t="s">
        <v>25</v>
      </c>
      <c r="E1589" t="s">
        <v>57</v>
      </c>
      <c r="F1589">
        <v>11.01</v>
      </c>
      <c r="G1589" t="s">
        <v>24</v>
      </c>
      <c r="H1589" t="s">
        <v>37</v>
      </c>
      <c r="I1589">
        <v>4.0999999999999996</v>
      </c>
      <c r="J1589">
        <v>8</v>
      </c>
      <c r="K1589">
        <v>4</v>
      </c>
    </row>
    <row r="1590" spans="1:11" x14ac:dyDescent="0.35">
      <c r="A1590">
        <v>1589</v>
      </c>
      <c r="B1590">
        <v>67</v>
      </c>
      <c r="C1590" t="s">
        <v>11</v>
      </c>
      <c r="D1590" t="s">
        <v>33</v>
      </c>
      <c r="E1590" t="s">
        <v>34</v>
      </c>
      <c r="F1590">
        <v>126.08</v>
      </c>
      <c r="G1590" t="s">
        <v>31</v>
      </c>
      <c r="H1590" t="s">
        <v>15</v>
      </c>
      <c r="I1590">
        <v>3.8</v>
      </c>
      <c r="J1590">
        <v>22</v>
      </c>
      <c r="K1590">
        <v>6</v>
      </c>
    </row>
    <row r="1591" spans="1:11" x14ac:dyDescent="0.35">
      <c r="A1591">
        <v>1590</v>
      </c>
      <c r="B1591">
        <v>43</v>
      </c>
      <c r="C1591" t="s">
        <v>16</v>
      </c>
      <c r="D1591" t="s">
        <v>17</v>
      </c>
      <c r="E1591" t="s">
        <v>35</v>
      </c>
      <c r="F1591">
        <v>114.33</v>
      </c>
      <c r="G1591" t="s">
        <v>31</v>
      </c>
      <c r="H1591" t="s">
        <v>15</v>
      </c>
      <c r="I1591">
        <v>3.9</v>
      </c>
      <c r="J1591">
        <v>13</v>
      </c>
      <c r="K1591">
        <v>4</v>
      </c>
    </row>
    <row r="1592" spans="1:11" x14ac:dyDescent="0.35">
      <c r="A1592">
        <v>1591</v>
      </c>
      <c r="B1592">
        <v>52</v>
      </c>
      <c r="C1592" t="s">
        <v>16</v>
      </c>
      <c r="D1592" t="s">
        <v>17</v>
      </c>
      <c r="E1592" t="s">
        <v>42</v>
      </c>
      <c r="F1592">
        <v>157.41</v>
      </c>
      <c r="G1592" t="s">
        <v>31</v>
      </c>
      <c r="H1592" t="s">
        <v>15</v>
      </c>
      <c r="I1592">
        <v>4.7</v>
      </c>
      <c r="J1592">
        <v>16</v>
      </c>
      <c r="K1592">
        <v>3</v>
      </c>
    </row>
    <row r="1593" spans="1:11" x14ac:dyDescent="0.35">
      <c r="A1593">
        <v>1592</v>
      </c>
      <c r="B1593">
        <v>70</v>
      </c>
      <c r="C1593" t="s">
        <v>11</v>
      </c>
      <c r="D1593" t="s">
        <v>33</v>
      </c>
      <c r="E1593" t="s">
        <v>34</v>
      </c>
      <c r="F1593">
        <v>157.88999999999999</v>
      </c>
      <c r="G1593" t="s">
        <v>14</v>
      </c>
      <c r="H1593" t="s">
        <v>15</v>
      </c>
      <c r="I1593">
        <v>4</v>
      </c>
      <c r="J1593">
        <v>16</v>
      </c>
      <c r="K1593">
        <v>3</v>
      </c>
    </row>
    <row r="1594" spans="1:11" x14ac:dyDescent="0.35">
      <c r="A1594">
        <v>1593</v>
      </c>
      <c r="B1594">
        <v>46</v>
      </c>
      <c r="C1594" t="s">
        <v>11</v>
      </c>
      <c r="D1594" t="s">
        <v>41</v>
      </c>
      <c r="E1594" t="s">
        <v>45</v>
      </c>
      <c r="F1594">
        <v>52.6</v>
      </c>
      <c r="G1594" t="s">
        <v>31</v>
      </c>
      <c r="H1594" t="s">
        <v>15</v>
      </c>
      <c r="I1594">
        <v>4</v>
      </c>
      <c r="J1594">
        <v>7</v>
      </c>
      <c r="K1594">
        <v>1</v>
      </c>
    </row>
    <row r="1595" spans="1:11" x14ac:dyDescent="0.35">
      <c r="A1595">
        <v>1594</v>
      </c>
      <c r="B1595">
        <v>63</v>
      </c>
      <c r="C1595" t="s">
        <v>16</v>
      </c>
      <c r="D1595" t="s">
        <v>20</v>
      </c>
      <c r="E1595" t="s">
        <v>21</v>
      </c>
      <c r="F1595">
        <v>37.630000000000003</v>
      </c>
      <c r="G1595" t="s">
        <v>19</v>
      </c>
      <c r="H1595" t="s">
        <v>37</v>
      </c>
      <c r="I1595">
        <v>3.6</v>
      </c>
      <c r="J1595">
        <v>13</v>
      </c>
      <c r="K1595">
        <v>4</v>
      </c>
    </row>
    <row r="1596" spans="1:11" x14ac:dyDescent="0.35">
      <c r="A1596">
        <v>1595</v>
      </c>
      <c r="B1596">
        <v>60</v>
      </c>
      <c r="C1596" t="s">
        <v>16</v>
      </c>
      <c r="D1596" t="s">
        <v>27</v>
      </c>
      <c r="E1596" t="s">
        <v>28</v>
      </c>
      <c r="F1596">
        <v>1061.83</v>
      </c>
      <c r="G1596" t="s">
        <v>31</v>
      </c>
      <c r="H1596" t="s">
        <v>15</v>
      </c>
      <c r="I1596">
        <v>4.9000000000000004</v>
      </c>
      <c r="J1596">
        <v>10</v>
      </c>
      <c r="K1596">
        <v>5</v>
      </c>
    </row>
    <row r="1597" spans="1:11" x14ac:dyDescent="0.35">
      <c r="A1597">
        <v>1596</v>
      </c>
      <c r="B1597">
        <v>53</v>
      </c>
      <c r="C1597" t="s">
        <v>16</v>
      </c>
      <c r="D1597" t="s">
        <v>17</v>
      </c>
      <c r="E1597" t="s">
        <v>18</v>
      </c>
      <c r="F1597">
        <v>44.56</v>
      </c>
      <c r="G1597" t="s">
        <v>31</v>
      </c>
      <c r="H1597" t="s">
        <v>15</v>
      </c>
      <c r="I1597">
        <v>3.9</v>
      </c>
      <c r="J1597">
        <v>26</v>
      </c>
      <c r="K1597">
        <v>8</v>
      </c>
    </row>
    <row r="1598" spans="1:11" x14ac:dyDescent="0.35">
      <c r="A1598">
        <v>1597</v>
      </c>
      <c r="B1598">
        <v>43</v>
      </c>
      <c r="C1598" t="s">
        <v>11</v>
      </c>
      <c r="D1598" t="s">
        <v>41</v>
      </c>
      <c r="E1598" t="s">
        <v>42</v>
      </c>
      <c r="F1598">
        <v>57.06</v>
      </c>
      <c r="G1598" t="s">
        <v>19</v>
      </c>
      <c r="H1598" t="s">
        <v>15</v>
      </c>
      <c r="I1598">
        <v>3.9</v>
      </c>
      <c r="J1598">
        <v>26</v>
      </c>
      <c r="K1598">
        <v>8</v>
      </c>
    </row>
    <row r="1599" spans="1:11" x14ac:dyDescent="0.35">
      <c r="A1599">
        <v>1598</v>
      </c>
      <c r="B1599">
        <v>44</v>
      </c>
      <c r="C1599" t="s">
        <v>11</v>
      </c>
      <c r="D1599" t="s">
        <v>41</v>
      </c>
      <c r="E1599" t="s">
        <v>46</v>
      </c>
      <c r="F1599">
        <v>34.94</v>
      </c>
      <c r="G1599" t="s">
        <v>14</v>
      </c>
      <c r="H1599" t="s">
        <v>37</v>
      </c>
      <c r="I1599">
        <v>1.6</v>
      </c>
      <c r="J1599">
        <v>22</v>
      </c>
      <c r="K1599">
        <v>11</v>
      </c>
    </row>
    <row r="1600" spans="1:11" x14ac:dyDescent="0.35">
      <c r="A1600">
        <v>1599</v>
      </c>
      <c r="B1600">
        <v>32</v>
      </c>
      <c r="C1600" t="s">
        <v>16</v>
      </c>
      <c r="D1600" t="s">
        <v>25</v>
      </c>
      <c r="E1600" t="s">
        <v>47</v>
      </c>
      <c r="F1600">
        <v>12.13</v>
      </c>
      <c r="G1600" t="s">
        <v>24</v>
      </c>
      <c r="H1600" t="s">
        <v>15</v>
      </c>
      <c r="I1600">
        <v>4.9000000000000004</v>
      </c>
      <c r="J1600">
        <v>16</v>
      </c>
      <c r="K1600">
        <v>3</v>
      </c>
    </row>
    <row r="1601" spans="1:11" x14ac:dyDescent="0.35">
      <c r="A1601">
        <v>1600</v>
      </c>
      <c r="B1601">
        <v>53</v>
      </c>
      <c r="C1601" t="s">
        <v>16</v>
      </c>
      <c r="D1601" t="s">
        <v>27</v>
      </c>
      <c r="E1601" t="s">
        <v>28</v>
      </c>
      <c r="F1601">
        <v>930.34</v>
      </c>
      <c r="G1601" t="s">
        <v>31</v>
      </c>
      <c r="H1601" t="s">
        <v>15</v>
      </c>
      <c r="I1601">
        <v>4.5999999999999996</v>
      </c>
      <c r="J1601">
        <v>10</v>
      </c>
      <c r="K1601">
        <v>5</v>
      </c>
    </row>
    <row r="1602" spans="1:11" x14ac:dyDescent="0.35">
      <c r="A1602">
        <v>1601</v>
      </c>
      <c r="B1602">
        <v>24</v>
      </c>
      <c r="C1602" t="s">
        <v>16</v>
      </c>
      <c r="D1602" t="s">
        <v>27</v>
      </c>
      <c r="E1602" t="s">
        <v>28</v>
      </c>
      <c r="F1602">
        <v>2059.52</v>
      </c>
      <c r="G1602" t="s">
        <v>24</v>
      </c>
      <c r="H1602" t="s">
        <v>15</v>
      </c>
      <c r="I1602">
        <v>3.4</v>
      </c>
      <c r="J1602">
        <v>18</v>
      </c>
      <c r="K1602">
        <v>4</v>
      </c>
    </row>
    <row r="1603" spans="1:11" x14ac:dyDescent="0.35">
      <c r="A1603">
        <v>1602</v>
      </c>
      <c r="B1603">
        <v>36</v>
      </c>
      <c r="C1603" t="s">
        <v>16</v>
      </c>
      <c r="D1603" t="s">
        <v>33</v>
      </c>
      <c r="E1603" t="s">
        <v>40</v>
      </c>
      <c r="F1603">
        <v>160.32</v>
      </c>
      <c r="G1603" t="s">
        <v>14</v>
      </c>
      <c r="H1603" t="s">
        <v>15</v>
      </c>
      <c r="I1603">
        <v>3.9</v>
      </c>
      <c r="J1603">
        <v>16</v>
      </c>
      <c r="K1603">
        <v>8</v>
      </c>
    </row>
    <row r="1604" spans="1:11" x14ac:dyDescent="0.35">
      <c r="A1604">
        <v>1603</v>
      </c>
      <c r="B1604">
        <v>57</v>
      </c>
      <c r="C1604" t="s">
        <v>11</v>
      </c>
      <c r="D1604" t="s">
        <v>12</v>
      </c>
      <c r="E1604" t="s">
        <v>13</v>
      </c>
      <c r="F1604">
        <v>28.73</v>
      </c>
      <c r="G1604" t="s">
        <v>24</v>
      </c>
      <c r="H1604" t="s">
        <v>15</v>
      </c>
      <c r="I1604">
        <v>3.8</v>
      </c>
      <c r="J1604">
        <v>10</v>
      </c>
      <c r="K1604">
        <v>5</v>
      </c>
    </row>
    <row r="1605" spans="1:11" x14ac:dyDescent="0.35">
      <c r="A1605">
        <v>1604</v>
      </c>
      <c r="B1605">
        <v>67</v>
      </c>
      <c r="C1605" t="s">
        <v>16</v>
      </c>
      <c r="D1605" t="s">
        <v>33</v>
      </c>
      <c r="E1605" t="s">
        <v>34</v>
      </c>
      <c r="F1605">
        <v>229.11</v>
      </c>
      <c r="G1605" t="s">
        <v>31</v>
      </c>
      <c r="H1605" t="s">
        <v>15</v>
      </c>
      <c r="I1605">
        <v>4</v>
      </c>
      <c r="J1605">
        <v>13</v>
      </c>
      <c r="K1605">
        <v>4</v>
      </c>
    </row>
    <row r="1606" spans="1:11" x14ac:dyDescent="0.35">
      <c r="A1606">
        <v>1605</v>
      </c>
      <c r="B1606">
        <v>38</v>
      </c>
      <c r="C1606" t="s">
        <v>16</v>
      </c>
      <c r="D1606" t="s">
        <v>20</v>
      </c>
      <c r="E1606" t="s">
        <v>36</v>
      </c>
      <c r="F1606">
        <v>163.57</v>
      </c>
      <c r="G1606" t="s">
        <v>19</v>
      </c>
      <c r="H1606" t="s">
        <v>15</v>
      </c>
      <c r="I1606">
        <v>4</v>
      </c>
      <c r="J1606">
        <v>11</v>
      </c>
      <c r="K1606">
        <v>3</v>
      </c>
    </row>
    <row r="1607" spans="1:11" x14ac:dyDescent="0.35">
      <c r="A1607">
        <v>1606</v>
      </c>
      <c r="B1607">
        <v>48</v>
      </c>
      <c r="C1607" t="s">
        <v>16</v>
      </c>
      <c r="D1607" t="s">
        <v>20</v>
      </c>
      <c r="E1607" t="s">
        <v>21</v>
      </c>
      <c r="F1607">
        <v>149.97999999999999</v>
      </c>
      <c r="G1607" t="s">
        <v>24</v>
      </c>
      <c r="H1607" t="s">
        <v>15</v>
      </c>
      <c r="I1607">
        <v>4.0999999999999996</v>
      </c>
      <c r="J1607">
        <v>9</v>
      </c>
      <c r="K1607">
        <v>2</v>
      </c>
    </row>
    <row r="1608" spans="1:11" x14ac:dyDescent="0.35">
      <c r="A1608">
        <v>1607</v>
      </c>
      <c r="B1608">
        <v>47</v>
      </c>
      <c r="C1608" t="s">
        <v>16</v>
      </c>
      <c r="D1608" t="s">
        <v>17</v>
      </c>
      <c r="E1608" t="s">
        <v>42</v>
      </c>
      <c r="F1608">
        <v>32.58</v>
      </c>
      <c r="G1608" t="s">
        <v>24</v>
      </c>
      <c r="H1608" t="s">
        <v>15</v>
      </c>
      <c r="I1608">
        <v>4.5</v>
      </c>
      <c r="J1608">
        <v>14</v>
      </c>
      <c r="K1608">
        <v>7</v>
      </c>
    </row>
    <row r="1609" spans="1:11" x14ac:dyDescent="0.35">
      <c r="A1609">
        <v>1608</v>
      </c>
      <c r="B1609">
        <v>60</v>
      </c>
      <c r="C1609" t="s">
        <v>16</v>
      </c>
      <c r="D1609" t="s">
        <v>20</v>
      </c>
      <c r="E1609" t="s">
        <v>36</v>
      </c>
      <c r="F1609">
        <v>61.48</v>
      </c>
      <c r="G1609" t="s">
        <v>19</v>
      </c>
      <c r="H1609" t="s">
        <v>15</v>
      </c>
      <c r="I1609">
        <v>3.9</v>
      </c>
      <c r="J1609">
        <v>22</v>
      </c>
      <c r="K1609">
        <v>6</v>
      </c>
    </row>
    <row r="1610" spans="1:11" x14ac:dyDescent="0.35">
      <c r="A1610">
        <v>1609</v>
      </c>
      <c r="B1610">
        <v>56</v>
      </c>
      <c r="C1610" t="s">
        <v>11</v>
      </c>
      <c r="D1610" t="s">
        <v>33</v>
      </c>
      <c r="E1610" t="s">
        <v>38</v>
      </c>
      <c r="F1610">
        <v>140.04</v>
      </c>
      <c r="G1610" t="s">
        <v>24</v>
      </c>
      <c r="H1610" t="s">
        <v>15</v>
      </c>
      <c r="I1610">
        <v>3.2</v>
      </c>
      <c r="J1610">
        <v>11</v>
      </c>
      <c r="K1610">
        <v>3</v>
      </c>
    </row>
    <row r="1611" spans="1:11" x14ac:dyDescent="0.35">
      <c r="A1611">
        <v>1610</v>
      </c>
      <c r="B1611">
        <v>60</v>
      </c>
      <c r="C1611" t="s">
        <v>11</v>
      </c>
      <c r="D1611" t="s">
        <v>12</v>
      </c>
      <c r="E1611" t="s">
        <v>50</v>
      </c>
      <c r="F1611">
        <v>47.05</v>
      </c>
      <c r="G1611" t="s">
        <v>24</v>
      </c>
      <c r="H1611" t="s">
        <v>15</v>
      </c>
      <c r="I1611">
        <v>2.2999999999999998</v>
      </c>
      <c r="J1611">
        <v>15</v>
      </c>
      <c r="K1611">
        <v>5</v>
      </c>
    </row>
    <row r="1612" spans="1:11" x14ac:dyDescent="0.35">
      <c r="A1612">
        <v>1611</v>
      </c>
      <c r="B1612">
        <v>58</v>
      </c>
      <c r="C1612" t="s">
        <v>11</v>
      </c>
      <c r="D1612" t="s">
        <v>20</v>
      </c>
      <c r="E1612" t="s">
        <v>39</v>
      </c>
      <c r="F1612">
        <v>187.21</v>
      </c>
      <c r="G1612" t="s">
        <v>24</v>
      </c>
      <c r="H1612" t="s">
        <v>15</v>
      </c>
      <c r="I1612">
        <v>3.7</v>
      </c>
      <c r="J1612">
        <v>19</v>
      </c>
      <c r="K1612">
        <v>7</v>
      </c>
    </row>
    <row r="1613" spans="1:11" x14ac:dyDescent="0.35">
      <c r="A1613">
        <v>1612</v>
      </c>
      <c r="B1613">
        <v>67</v>
      </c>
      <c r="C1613" t="s">
        <v>11</v>
      </c>
      <c r="D1613" t="s">
        <v>33</v>
      </c>
      <c r="E1613" t="s">
        <v>40</v>
      </c>
      <c r="F1613">
        <v>211.09</v>
      </c>
      <c r="G1613" t="s">
        <v>19</v>
      </c>
      <c r="H1613" t="s">
        <v>15</v>
      </c>
      <c r="I1613">
        <v>3.8</v>
      </c>
      <c r="J1613">
        <v>9</v>
      </c>
      <c r="K1613">
        <v>2</v>
      </c>
    </row>
    <row r="1614" spans="1:11" x14ac:dyDescent="0.35">
      <c r="A1614">
        <v>1613</v>
      </c>
      <c r="B1614">
        <v>56</v>
      </c>
      <c r="C1614" t="s">
        <v>11</v>
      </c>
      <c r="D1614" t="s">
        <v>33</v>
      </c>
      <c r="E1614" t="s">
        <v>40</v>
      </c>
      <c r="F1614">
        <v>181.83</v>
      </c>
      <c r="G1614" t="s">
        <v>19</v>
      </c>
      <c r="H1614" t="s">
        <v>15</v>
      </c>
      <c r="I1614">
        <v>4</v>
      </c>
      <c r="J1614">
        <v>2</v>
      </c>
      <c r="K1614">
        <v>1</v>
      </c>
    </row>
    <row r="1615" spans="1:11" x14ac:dyDescent="0.35">
      <c r="A1615">
        <v>1614</v>
      </c>
      <c r="B1615">
        <v>39</v>
      </c>
      <c r="C1615" t="s">
        <v>11</v>
      </c>
      <c r="D1615" t="s">
        <v>29</v>
      </c>
      <c r="E1615" t="s">
        <v>30</v>
      </c>
      <c r="F1615">
        <v>96.55</v>
      </c>
      <c r="G1615" t="s">
        <v>24</v>
      </c>
      <c r="H1615" t="s">
        <v>37</v>
      </c>
      <c r="I1615">
        <v>3.5</v>
      </c>
      <c r="J1615">
        <v>21</v>
      </c>
      <c r="K1615">
        <v>8</v>
      </c>
    </row>
    <row r="1616" spans="1:11" x14ac:dyDescent="0.35">
      <c r="A1616">
        <v>1615</v>
      </c>
      <c r="B1616">
        <v>53</v>
      </c>
      <c r="C1616" t="s">
        <v>11</v>
      </c>
      <c r="D1616" t="s">
        <v>29</v>
      </c>
      <c r="E1616" t="s">
        <v>55</v>
      </c>
      <c r="F1616">
        <v>105.07</v>
      </c>
      <c r="G1616" t="s">
        <v>19</v>
      </c>
      <c r="H1616" t="s">
        <v>15</v>
      </c>
      <c r="I1616">
        <v>3.2</v>
      </c>
      <c r="J1616">
        <v>24</v>
      </c>
      <c r="K1616">
        <v>7</v>
      </c>
    </row>
    <row r="1617" spans="1:11" x14ac:dyDescent="0.35">
      <c r="A1617">
        <v>1616</v>
      </c>
      <c r="B1617">
        <v>50</v>
      </c>
      <c r="C1617" t="s">
        <v>11</v>
      </c>
      <c r="D1617" t="s">
        <v>29</v>
      </c>
      <c r="E1617" t="s">
        <v>55</v>
      </c>
      <c r="F1617">
        <v>140.66</v>
      </c>
      <c r="G1617" t="s">
        <v>24</v>
      </c>
      <c r="H1617" t="s">
        <v>15</v>
      </c>
      <c r="I1617">
        <v>4.5</v>
      </c>
      <c r="J1617">
        <v>22</v>
      </c>
      <c r="K1617">
        <v>6</v>
      </c>
    </row>
    <row r="1618" spans="1:11" x14ac:dyDescent="0.35">
      <c r="A1618">
        <v>1617</v>
      </c>
      <c r="B1618">
        <v>38</v>
      </c>
      <c r="C1618" t="s">
        <v>11</v>
      </c>
      <c r="D1618" t="s">
        <v>29</v>
      </c>
      <c r="E1618" t="s">
        <v>30</v>
      </c>
      <c r="F1618">
        <v>48.99</v>
      </c>
      <c r="G1618" t="s">
        <v>31</v>
      </c>
      <c r="H1618" t="s">
        <v>37</v>
      </c>
      <c r="I1618">
        <v>4.5999999999999996</v>
      </c>
      <c r="J1618">
        <v>20</v>
      </c>
      <c r="K1618">
        <v>5</v>
      </c>
    </row>
    <row r="1619" spans="1:11" x14ac:dyDescent="0.35">
      <c r="A1619">
        <v>1618</v>
      </c>
      <c r="B1619">
        <v>20</v>
      </c>
      <c r="C1619" t="s">
        <v>11</v>
      </c>
      <c r="D1619" t="s">
        <v>33</v>
      </c>
      <c r="E1619" t="s">
        <v>40</v>
      </c>
      <c r="F1619">
        <v>43.11</v>
      </c>
      <c r="G1619" t="s">
        <v>14</v>
      </c>
      <c r="H1619" t="s">
        <v>37</v>
      </c>
      <c r="I1619">
        <v>2.7</v>
      </c>
      <c r="J1619">
        <v>11</v>
      </c>
      <c r="K1619">
        <v>3</v>
      </c>
    </row>
    <row r="1620" spans="1:11" x14ac:dyDescent="0.35">
      <c r="A1620">
        <v>1619</v>
      </c>
      <c r="B1620">
        <v>55</v>
      </c>
      <c r="C1620" t="s">
        <v>16</v>
      </c>
      <c r="D1620" t="s">
        <v>17</v>
      </c>
      <c r="E1620" t="s">
        <v>48</v>
      </c>
      <c r="F1620">
        <v>168.41</v>
      </c>
      <c r="G1620" t="s">
        <v>24</v>
      </c>
      <c r="H1620" t="s">
        <v>15</v>
      </c>
      <c r="I1620">
        <v>3.4</v>
      </c>
      <c r="J1620">
        <v>8</v>
      </c>
      <c r="K1620">
        <v>4</v>
      </c>
    </row>
    <row r="1621" spans="1:11" x14ac:dyDescent="0.35">
      <c r="A1621">
        <v>1620</v>
      </c>
      <c r="B1621">
        <v>33</v>
      </c>
      <c r="C1621" t="s">
        <v>16</v>
      </c>
      <c r="D1621" t="s">
        <v>20</v>
      </c>
      <c r="E1621" t="s">
        <v>39</v>
      </c>
      <c r="F1621">
        <v>174.82</v>
      </c>
      <c r="G1621" t="s">
        <v>31</v>
      </c>
      <c r="H1621" t="s">
        <v>15</v>
      </c>
      <c r="I1621">
        <v>3.2</v>
      </c>
      <c r="J1621">
        <v>11</v>
      </c>
      <c r="K1621">
        <v>3</v>
      </c>
    </row>
    <row r="1622" spans="1:11" x14ac:dyDescent="0.35">
      <c r="A1622">
        <v>1621</v>
      </c>
      <c r="B1622">
        <v>68</v>
      </c>
      <c r="C1622" t="s">
        <v>11</v>
      </c>
      <c r="D1622" t="s">
        <v>29</v>
      </c>
      <c r="E1622" t="s">
        <v>55</v>
      </c>
      <c r="F1622">
        <v>76.84</v>
      </c>
      <c r="G1622" t="s">
        <v>14</v>
      </c>
      <c r="H1622" t="s">
        <v>37</v>
      </c>
      <c r="I1622">
        <v>3.2</v>
      </c>
      <c r="J1622">
        <v>15</v>
      </c>
      <c r="K1622">
        <v>5</v>
      </c>
    </row>
    <row r="1623" spans="1:11" x14ac:dyDescent="0.35">
      <c r="A1623">
        <v>1622</v>
      </c>
      <c r="B1623">
        <v>41</v>
      </c>
      <c r="C1623" t="s">
        <v>11</v>
      </c>
      <c r="D1623" t="s">
        <v>29</v>
      </c>
      <c r="E1623" t="s">
        <v>55</v>
      </c>
      <c r="F1623">
        <v>106.37</v>
      </c>
      <c r="G1623" t="s">
        <v>24</v>
      </c>
      <c r="H1623" t="s">
        <v>15</v>
      </c>
      <c r="I1623">
        <v>2.2999999999999998</v>
      </c>
      <c r="J1623">
        <v>20</v>
      </c>
      <c r="K1623">
        <v>5</v>
      </c>
    </row>
    <row r="1624" spans="1:11" x14ac:dyDescent="0.35">
      <c r="A1624">
        <v>1623</v>
      </c>
      <c r="B1624">
        <v>54</v>
      </c>
      <c r="C1624" t="s">
        <v>16</v>
      </c>
      <c r="D1624" t="s">
        <v>27</v>
      </c>
      <c r="E1624" t="s">
        <v>28</v>
      </c>
      <c r="F1624">
        <v>2164.64</v>
      </c>
      <c r="G1624" t="s">
        <v>19</v>
      </c>
      <c r="H1624" t="s">
        <v>15</v>
      </c>
      <c r="I1624">
        <v>3.9</v>
      </c>
      <c r="J1624">
        <v>10</v>
      </c>
      <c r="K1624">
        <v>5</v>
      </c>
    </row>
    <row r="1625" spans="1:11" x14ac:dyDescent="0.35">
      <c r="A1625">
        <v>1624</v>
      </c>
      <c r="B1625">
        <v>31</v>
      </c>
      <c r="C1625" t="s">
        <v>11</v>
      </c>
      <c r="D1625" t="s">
        <v>29</v>
      </c>
      <c r="E1625" t="s">
        <v>55</v>
      </c>
      <c r="F1625">
        <v>61.15</v>
      </c>
      <c r="G1625" t="s">
        <v>31</v>
      </c>
      <c r="H1625" t="s">
        <v>15</v>
      </c>
      <c r="I1625">
        <v>3.4</v>
      </c>
      <c r="J1625">
        <v>17</v>
      </c>
      <c r="K1625">
        <v>6</v>
      </c>
    </row>
    <row r="1626" spans="1:11" x14ac:dyDescent="0.35">
      <c r="A1626">
        <v>1625</v>
      </c>
      <c r="B1626">
        <v>31</v>
      </c>
      <c r="C1626" t="s">
        <v>16</v>
      </c>
      <c r="D1626" t="s">
        <v>27</v>
      </c>
      <c r="E1626" t="s">
        <v>53</v>
      </c>
      <c r="F1626">
        <v>1128.3</v>
      </c>
      <c r="G1626" t="s">
        <v>31</v>
      </c>
      <c r="H1626" t="s">
        <v>15</v>
      </c>
      <c r="I1626">
        <v>3.2</v>
      </c>
      <c r="J1626">
        <v>10</v>
      </c>
      <c r="K1626">
        <v>5</v>
      </c>
    </row>
    <row r="1627" spans="1:11" x14ac:dyDescent="0.35">
      <c r="A1627">
        <v>1626</v>
      </c>
      <c r="B1627">
        <v>47</v>
      </c>
      <c r="C1627" t="s">
        <v>16</v>
      </c>
      <c r="D1627" t="s">
        <v>27</v>
      </c>
      <c r="E1627" t="s">
        <v>28</v>
      </c>
      <c r="F1627">
        <v>696.28</v>
      </c>
      <c r="G1627" t="s">
        <v>14</v>
      </c>
      <c r="H1627" t="s">
        <v>15</v>
      </c>
      <c r="I1627">
        <v>3.7</v>
      </c>
      <c r="J1627">
        <v>15</v>
      </c>
      <c r="K1627">
        <v>5</v>
      </c>
    </row>
    <row r="1628" spans="1:11" x14ac:dyDescent="0.35">
      <c r="A1628">
        <v>1627</v>
      </c>
      <c r="B1628">
        <v>55</v>
      </c>
      <c r="C1628" t="s">
        <v>16</v>
      </c>
      <c r="D1628" t="s">
        <v>33</v>
      </c>
      <c r="E1628" t="s">
        <v>34</v>
      </c>
      <c r="F1628">
        <v>212.95</v>
      </c>
      <c r="G1628" t="s">
        <v>24</v>
      </c>
      <c r="H1628" t="s">
        <v>15</v>
      </c>
      <c r="I1628">
        <v>3.4</v>
      </c>
      <c r="J1628">
        <v>12</v>
      </c>
      <c r="K1628">
        <v>6</v>
      </c>
    </row>
    <row r="1629" spans="1:11" x14ac:dyDescent="0.35">
      <c r="A1629">
        <v>1628</v>
      </c>
      <c r="B1629">
        <v>56</v>
      </c>
      <c r="C1629" t="s">
        <v>11</v>
      </c>
      <c r="D1629" t="s">
        <v>33</v>
      </c>
      <c r="E1629" t="s">
        <v>40</v>
      </c>
      <c r="F1629">
        <v>213.37</v>
      </c>
      <c r="G1629" t="s">
        <v>24</v>
      </c>
      <c r="H1629" t="s">
        <v>15</v>
      </c>
      <c r="I1629">
        <v>2.9</v>
      </c>
      <c r="J1629">
        <v>4</v>
      </c>
      <c r="K1629">
        <v>2</v>
      </c>
    </row>
    <row r="1630" spans="1:11" x14ac:dyDescent="0.35">
      <c r="A1630">
        <v>1629</v>
      </c>
      <c r="B1630">
        <v>57</v>
      </c>
      <c r="C1630" t="s">
        <v>11</v>
      </c>
      <c r="D1630" t="s">
        <v>25</v>
      </c>
      <c r="E1630" t="s">
        <v>47</v>
      </c>
      <c r="F1630">
        <v>30.58</v>
      </c>
      <c r="G1630" t="s">
        <v>31</v>
      </c>
      <c r="H1630" t="s">
        <v>15</v>
      </c>
      <c r="I1630">
        <v>4.4000000000000004</v>
      </c>
      <c r="J1630">
        <v>14</v>
      </c>
      <c r="K1630">
        <v>7</v>
      </c>
    </row>
    <row r="1631" spans="1:11" x14ac:dyDescent="0.35">
      <c r="A1631">
        <v>1630</v>
      </c>
      <c r="B1631">
        <v>54</v>
      </c>
      <c r="C1631" t="s">
        <v>11</v>
      </c>
      <c r="D1631" t="s">
        <v>33</v>
      </c>
      <c r="E1631" t="s">
        <v>34</v>
      </c>
      <c r="F1631">
        <v>146.74</v>
      </c>
      <c r="G1631" t="s">
        <v>31</v>
      </c>
      <c r="H1631" t="s">
        <v>15</v>
      </c>
      <c r="I1631">
        <v>3.7</v>
      </c>
      <c r="J1631">
        <v>28</v>
      </c>
      <c r="K1631">
        <v>9</v>
      </c>
    </row>
    <row r="1632" spans="1:11" x14ac:dyDescent="0.35">
      <c r="A1632">
        <v>1631</v>
      </c>
      <c r="B1632">
        <v>44</v>
      </c>
      <c r="C1632" t="s">
        <v>11</v>
      </c>
      <c r="D1632" t="s">
        <v>25</v>
      </c>
      <c r="E1632" t="s">
        <v>26</v>
      </c>
      <c r="F1632">
        <v>14.22</v>
      </c>
      <c r="G1632" t="s">
        <v>19</v>
      </c>
      <c r="H1632" t="s">
        <v>37</v>
      </c>
      <c r="I1632">
        <v>2.5</v>
      </c>
      <c r="J1632">
        <v>14</v>
      </c>
      <c r="K1632">
        <v>7</v>
      </c>
    </row>
    <row r="1633" spans="1:11" x14ac:dyDescent="0.35">
      <c r="A1633">
        <v>1632</v>
      </c>
      <c r="B1633">
        <v>44</v>
      </c>
      <c r="C1633" t="s">
        <v>16</v>
      </c>
      <c r="D1633" t="s">
        <v>20</v>
      </c>
      <c r="E1633" t="s">
        <v>21</v>
      </c>
      <c r="F1633">
        <v>87.41</v>
      </c>
      <c r="G1633" t="s">
        <v>14</v>
      </c>
      <c r="H1633" t="s">
        <v>37</v>
      </c>
      <c r="I1633">
        <v>3.4</v>
      </c>
      <c r="J1633">
        <v>4</v>
      </c>
      <c r="K1633">
        <v>2</v>
      </c>
    </row>
    <row r="1634" spans="1:11" x14ac:dyDescent="0.35">
      <c r="A1634">
        <v>1633</v>
      </c>
      <c r="B1634">
        <v>23</v>
      </c>
      <c r="C1634" t="s">
        <v>11</v>
      </c>
      <c r="D1634" t="s">
        <v>25</v>
      </c>
      <c r="E1634" t="s">
        <v>47</v>
      </c>
      <c r="F1634">
        <v>78.14</v>
      </c>
      <c r="G1634" t="s">
        <v>24</v>
      </c>
      <c r="H1634" t="s">
        <v>15</v>
      </c>
      <c r="I1634">
        <v>3.7</v>
      </c>
      <c r="J1634">
        <v>14</v>
      </c>
      <c r="K1634">
        <v>7</v>
      </c>
    </row>
    <row r="1635" spans="1:11" x14ac:dyDescent="0.35">
      <c r="A1635">
        <v>1634</v>
      </c>
      <c r="B1635">
        <v>64</v>
      </c>
      <c r="C1635" t="s">
        <v>11</v>
      </c>
      <c r="D1635" t="s">
        <v>25</v>
      </c>
      <c r="E1635" t="s">
        <v>54</v>
      </c>
      <c r="F1635">
        <v>40.22</v>
      </c>
      <c r="G1635" t="s">
        <v>19</v>
      </c>
      <c r="H1635" t="s">
        <v>37</v>
      </c>
      <c r="I1635">
        <v>4.5</v>
      </c>
      <c r="J1635">
        <v>11</v>
      </c>
      <c r="K1635">
        <v>3</v>
      </c>
    </row>
    <row r="1636" spans="1:11" x14ac:dyDescent="0.35">
      <c r="A1636">
        <v>1635</v>
      </c>
      <c r="B1636">
        <v>39</v>
      </c>
      <c r="C1636" t="s">
        <v>16</v>
      </c>
      <c r="D1636" t="s">
        <v>22</v>
      </c>
      <c r="E1636" t="s">
        <v>23</v>
      </c>
      <c r="F1636">
        <v>199.12</v>
      </c>
      <c r="G1636" t="s">
        <v>31</v>
      </c>
      <c r="H1636" t="s">
        <v>15</v>
      </c>
      <c r="I1636">
        <v>3.7</v>
      </c>
      <c r="J1636">
        <v>19</v>
      </c>
      <c r="K1636">
        <v>7</v>
      </c>
    </row>
    <row r="1637" spans="1:11" x14ac:dyDescent="0.35">
      <c r="A1637">
        <v>1636</v>
      </c>
      <c r="B1637">
        <v>40</v>
      </c>
      <c r="C1637" t="s">
        <v>11</v>
      </c>
      <c r="D1637" t="s">
        <v>20</v>
      </c>
      <c r="E1637" t="s">
        <v>39</v>
      </c>
      <c r="F1637">
        <v>204.66</v>
      </c>
      <c r="G1637" t="s">
        <v>24</v>
      </c>
      <c r="H1637" t="s">
        <v>15</v>
      </c>
      <c r="I1637">
        <v>3</v>
      </c>
      <c r="J1637">
        <v>16</v>
      </c>
      <c r="K1637">
        <v>3</v>
      </c>
    </row>
    <row r="1638" spans="1:11" x14ac:dyDescent="0.35">
      <c r="A1638">
        <v>1637</v>
      </c>
      <c r="B1638">
        <v>21</v>
      </c>
      <c r="C1638" t="s">
        <v>11</v>
      </c>
      <c r="D1638" t="s">
        <v>33</v>
      </c>
      <c r="E1638" t="s">
        <v>38</v>
      </c>
      <c r="F1638">
        <v>121.27</v>
      </c>
      <c r="G1638" t="s">
        <v>31</v>
      </c>
      <c r="H1638" t="s">
        <v>15</v>
      </c>
      <c r="I1638">
        <v>5</v>
      </c>
      <c r="J1638">
        <v>22</v>
      </c>
      <c r="K1638">
        <v>6</v>
      </c>
    </row>
    <row r="1639" spans="1:11" x14ac:dyDescent="0.35">
      <c r="A1639">
        <v>1638</v>
      </c>
      <c r="B1639">
        <v>28</v>
      </c>
      <c r="C1639" t="s">
        <v>11</v>
      </c>
      <c r="D1639" t="s">
        <v>12</v>
      </c>
      <c r="E1639" t="s">
        <v>50</v>
      </c>
      <c r="F1639">
        <v>63.38</v>
      </c>
      <c r="G1639" t="s">
        <v>31</v>
      </c>
      <c r="H1639" t="s">
        <v>37</v>
      </c>
      <c r="I1639">
        <v>4.9000000000000004</v>
      </c>
      <c r="J1639">
        <v>23</v>
      </c>
      <c r="K1639">
        <v>9</v>
      </c>
    </row>
    <row r="1640" spans="1:11" x14ac:dyDescent="0.35">
      <c r="A1640">
        <v>1639</v>
      </c>
      <c r="B1640">
        <v>34</v>
      </c>
      <c r="C1640" t="s">
        <v>16</v>
      </c>
      <c r="D1640" t="s">
        <v>27</v>
      </c>
      <c r="E1640" t="s">
        <v>53</v>
      </c>
      <c r="F1640">
        <v>1458.59</v>
      </c>
      <c r="G1640" t="s">
        <v>19</v>
      </c>
      <c r="H1640" t="s">
        <v>15</v>
      </c>
      <c r="I1640">
        <v>3.8</v>
      </c>
      <c r="J1640">
        <v>15</v>
      </c>
      <c r="K1640">
        <v>5</v>
      </c>
    </row>
    <row r="1641" spans="1:11" x14ac:dyDescent="0.35">
      <c r="A1641">
        <v>1640</v>
      </c>
      <c r="B1641">
        <v>47</v>
      </c>
      <c r="C1641" t="s">
        <v>11</v>
      </c>
      <c r="D1641" t="s">
        <v>41</v>
      </c>
      <c r="E1641" t="s">
        <v>42</v>
      </c>
      <c r="F1641">
        <v>115.9</v>
      </c>
      <c r="G1641" t="s">
        <v>24</v>
      </c>
      <c r="H1641" t="s">
        <v>15</v>
      </c>
      <c r="I1641">
        <v>4</v>
      </c>
      <c r="J1641">
        <v>24</v>
      </c>
      <c r="K1641">
        <v>12</v>
      </c>
    </row>
    <row r="1642" spans="1:11" x14ac:dyDescent="0.35">
      <c r="A1642">
        <v>1641</v>
      </c>
      <c r="B1642">
        <v>30</v>
      </c>
      <c r="C1642" t="s">
        <v>11</v>
      </c>
      <c r="D1642" t="s">
        <v>12</v>
      </c>
      <c r="E1642" t="s">
        <v>50</v>
      </c>
      <c r="F1642">
        <v>45.95</v>
      </c>
      <c r="G1642" t="s">
        <v>24</v>
      </c>
      <c r="H1642" t="s">
        <v>37</v>
      </c>
      <c r="I1642">
        <v>3.8</v>
      </c>
      <c r="J1642">
        <v>14</v>
      </c>
      <c r="K1642">
        <v>2</v>
      </c>
    </row>
    <row r="1643" spans="1:11" x14ac:dyDescent="0.35">
      <c r="A1643">
        <v>1642</v>
      </c>
      <c r="B1643">
        <v>53</v>
      </c>
      <c r="C1643" t="s">
        <v>16</v>
      </c>
      <c r="D1643" t="s">
        <v>27</v>
      </c>
      <c r="E1643" t="s">
        <v>53</v>
      </c>
      <c r="F1643">
        <v>2248.9899999999998</v>
      </c>
      <c r="G1643" t="s">
        <v>19</v>
      </c>
      <c r="H1643" t="s">
        <v>15</v>
      </c>
      <c r="I1643">
        <v>3.6</v>
      </c>
      <c r="J1643">
        <v>14</v>
      </c>
      <c r="K1643">
        <v>2</v>
      </c>
    </row>
    <row r="1644" spans="1:11" x14ac:dyDescent="0.35">
      <c r="A1644">
        <v>1643</v>
      </c>
      <c r="B1644">
        <v>33</v>
      </c>
      <c r="C1644" t="s">
        <v>11</v>
      </c>
      <c r="D1644" t="s">
        <v>33</v>
      </c>
      <c r="E1644" t="s">
        <v>38</v>
      </c>
      <c r="F1644">
        <v>168.21</v>
      </c>
      <c r="G1644" t="s">
        <v>24</v>
      </c>
      <c r="H1644" t="s">
        <v>15</v>
      </c>
      <c r="I1644">
        <v>3.1</v>
      </c>
      <c r="J1644">
        <v>18</v>
      </c>
      <c r="K1644">
        <v>9</v>
      </c>
    </row>
    <row r="1645" spans="1:11" x14ac:dyDescent="0.35">
      <c r="A1645">
        <v>1644</v>
      </c>
      <c r="B1645">
        <v>28</v>
      </c>
      <c r="C1645" t="s">
        <v>16</v>
      </c>
      <c r="D1645" t="s">
        <v>20</v>
      </c>
      <c r="E1645" t="s">
        <v>39</v>
      </c>
      <c r="F1645">
        <v>38.31</v>
      </c>
      <c r="G1645" t="s">
        <v>19</v>
      </c>
      <c r="H1645" t="s">
        <v>15</v>
      </c>
      <c r="I1645">
        <v>3.7</v>
      </c>
      <c r="J1645">
        <v>17</v>
      </c>
      <c r="K1645">
        <v>6</v>
      </c>
    </row>
    <row r="1646" spans="1:11" x14ac:dyDescent="0.35">
      <c r="A1646">
        <v>1645</v>
      </c>
      <c r="B1646">
        <v>58</v>
      </c>
      <c r="C1646" t="s">
        <v>16</v>
      </c>
      <c r="D1646" t="s">
        <v>20</v>
      </c>
      <c r="E1646" t="s">
        <v>39</v>
      </c>
      <c r="F1646">
        <v>137.26</v>
      </c>
      <c r="G1646" t="s">
        <v>24</v>
      </c>
      <c r="H1646" t="s">
        <v>15</v>
      </c>
      <c r="I1646">
        <v>4.4000000000000004</v>
      </c>
      <c r="J1646">
        <v>13</v>
      </c>
      <c r="K1646">
        <v>4</v>
      </c>
    </row>
    <row r="1647" spans="1:11" x14ac:dyDescent="0.35">
      <c r="A1647">
        <v>1646</v>
      </c>
      <c r="B1647">
        <v>59</v>
      </c>
      <c r="C1647" t="s">
        <v>16</v>
      </c>
      <c r="D1647" t="s">
        <v>33</v>
      </c>
      <c r="E1647" t="s">
        <v>40</v>
      </c>
      <c r="F1647">
        <v>115.57</v>
      </c>
      <c r="G1647" t="s">
        <v>24</v>
      </c>
      <c r="H1647" t="s">
        <v>15</v>
      </c>
      <c r="I1647">
        <v>2.5</v>
      </c>
      <c r="J1647">
        <v>13</v>
      </c>
      <c r="K1647">
        <v>4</v>
      </c>
    </row>
    <row r="1648" spans="1:11" x14ac:dyDescent="0.35">
      <c r="A1648">
        <v>1647</v>
      </c>
      <c r="B1648">
        <v>54</v>
      </c>
      <c r="C1648" t="s">
        <v>16</v>
      </c>
      <c r="D1648" t="s">
        <v>33</v>
      </c>
      <c r="E1648" t="s">
        <v>40</v>
      </c>
      <c r="F1648">
        <v>189.63</v>
      </c>
      <c r="G1648" t="s">
        <v>31</v>
      </c>
      <c r="H1648" t="s">
        <v>15</v>
      </c>
      <c r="I1648">
        <v>4.4000000000000004</v>
      </c>
      <c r="J1648">
        <v>14</v>
      </c>
      <c r="K1648">
        <v>7</v>
      </c>
    </row>
    <row r="1649" spans="1:11" x14ac:dyDescent="0.35">
      <c r="A1649">
        <v>1648</v>
      </c>
      <c r="B1649">
        <v>67</v>
      </c>
      <c r="C1649" t="s">
        <v>11</v>
      </c>
      <c r="D1649" t="s">
        <v>29</v>
      </c>
      <c r="E1649" t="s">
        <v>30</v>
      </c>
      <c r="F1649">
        <v>58.44</v>
      </c>
      <c r="G1649" t="s">
        <v>24</v>
      </c>
      <c r="H1649" t="s">
        <v>15</v>
      </c>
      <c r="I1649">
        <v>3.4</v>
      </c>
      <c r="J1649">
        <v>18</v>
      </c>
      <c r="K1649">
        <v>4</v>
      </c>
    </row>
    <row r="1650" spans="1:11" x14ac:dyDescent="0.35">
      <c r="A1650">
        <v>1649</v>
      </c>
      <c r="B1650">
        <v>32</v>
      </c>
      <c r="C1650" t="s">
        <v>16</v>
      </c>
      <c r="D1650" t="s">
        <v>27</v>
      </c>
      <c r="E1650" t="s">
        <v>32</v>
      </c>
      <c r="F1650">
        <v>1800.7</v>
      </c>
      <c r="G1650" t="s">
        <v>31</v>
      </c>
      <c r="H1650" t="s">
        <v>15</v>
      </c>
      <c r="I1650">
        <v>3.6</v>
      </c>
      <c r="J1650">
        <v>10</v>
      </c>
      <c r="K1650">
        <v>5</v>
      </c>
    </row>
    <row r="1651" spans="1:11" x14ac:dyDescent="0.35">
      <c r="A1651">
        <v>1650</v>
      </c>
      <c r="B1651">
        <v>23</v>
      </c>
      <c r="C1651" t="s">
        <v>16</v>
      </c>
      <c r="D1651" t="s">
        <v>25</v>
      </c>
      <c r="E1651" t="s">
        <v>57</v>
      </c>
      <c r="F1651">
        <v>8.34</v>
      </c>
      <c r="G1651" t="s">
        <v>14</v>
      </c>
      <c r="H1651" t="s">
        <v>15</v>
      </c>
      <c r="I1651">
        <v>4.0999999999999996</v>
      </c>
      <c r="J1651">
        <v>25</v>
      </c>
      <c r="K1651">
        <v>10</v>
      </c>
    </row>
    <row r="1652" spans="1:11" x14ac:dyDescent="0.35">
      <c r="A1652">
        <v>1651</v>
      </c>
      <c r="B1652">
        <v>56</v>
      </c>
      <c r="C1652" t="s">
        <v>11</v>
      </c>
      <c r="D1652" t="s">
        <v>12</v>
      </c>
      <c r="E1652" t="s">
        <v>50</v>
      </c>
      <c r="F1652">
        <v>83.07</v>
      </c>
      <c r="G1652" t="s">
        <v>31</v>
      </c>
      <c r="H1652" t="s">
        <v>15</v>
      </c>
      <c r="I1652">
        <v>3.8</v>
      </c>
      <c r="J1652">
        <v>13</v>
      </c>
      <c r="K1652">
        <v>4</v>
      </c>
    </row>
    <row r="1653" spans="1:11" x14ac:dyDescent="0.35">
      <c r="A1653">
        <v>1652</v>
      </c>
      <c r="B1653">
        <v>65</v>
      </c>
      <c r="C1653" t="s">
        <v>16</v>
      </c>
      <c r="D1653" t="s">
        <v>22</v>
      </c>
      <c r="E1653" t="s">
        <v>52</v>
      </c>
      <c r="F1653">
        <v>173.82</v>
      </c>
      <c r="G1653" t="s">
        <v>14</v>
      </c>
      <c r="H1653" t="s">
        <v>15</v>
      </c>
      <c r="I1653">
        <v>5</v>
      </c>
      <c r="J1653">
        <v>22</v>
      </c>
      <c r="K1653">
        <v>6</v>
      </c>
    </row>
    <row r="1654" spans="1:11" x14ac:dyDescent="0.35">
      <c r="A1654">
        <v>1653</v>
      </c>
      <c r="B1654">
        <v>47</v>
      </c>
      <c r="C1654" t="s">
        <v>11</v>
      </c>
      <c r="D1654" t="s">
        <v>41</v>
      </c>
      <c r="E1654" t="s">
        <v>42</v>
      </c>
      <c r="F1654">
        <v>145.85</v>
      </c>
      <c r="G1654" t="s">
        <v>19</v>
      </c>
      <c r="H1654" t="s">
        <v>15</v>
      </c>
      <c r="I1654">
        <v>3</v>
      </c>
      <c r="J1654">
        <v>8</v>
      </c>
      <c r="K1654">
        <v>4</v>
      </c>
    </row>
    <row r="1655" spans="1:11" x14ac:dyDescent="0.35">
      <c r="A1655">
        <v>1654</v>
      </c>
      <c r="B1655">
        <v>22</v>
      </c>
      <c r="C1655" t="s">
        <v>11</v>
      </c>
      <c r="D1655" t="s">
        <v>41</v>
      </c>
      <c r="E1655" t="s">
        <v>42</v>
      </c>
      <c r="F1655">
        <v>79.34</v>
      </c>
      <c r="G1655" t="s">
        <v>24</v>
      </c>
      <c r="H1655" t="s">
        <v>37</v>
      </c>
      <c r="I1655">
        <v>3.5</v>
      </c>
      <c r="J1655">
        <v>24</v>
      </c>
      <c r="K1655">
        <v>7</v>
      </c>
    </row>
    <row r="1656" spans="1:11" x14ac:dyDescent="0.35">
      <c r="A1656">
        <v>1655</v>
      </c>
      <c r="B1656">
        <v>38</v>
      </c>
      <c r="C1656" t="s">
        <v>11</v>
      </c>
      <c r="D1656" t="s">
        <v>41</v>
      </c>
      <c r="E1656" t="s">
        <v>46</v>
      </c>
      <c r="F1656">
        <v>140</v>
      </c>
      <c r="G1656" t="s">
        <v>24</v>
      </c>
      <c r="H1656" t="s">
        <v>15</v>
      </c>
      <c r="I1656">
        <v>3.8</v>
      </c>
      <c r="J1656">
        <v>11</v>
      </c>
      <c r="K1656">
        <v>3</v>
      </c>
    </row>
    <row r="1657" spans="1:11" x14ac:dyDescent="0.35">
      <c r="A1657">
        <v>1656</v>
      </c>
      <c r="B1657">
        <v>48</v>
      </c>
      <c r="C1657" t="s">
        <v>16</v>
      </c>
      <c r="D1657" t="s">
        <v>27</v>
      </c>
      <c r="E1657" t="s">
        <v>28</v>
      </c>
      <c r="F1657">
        <v>532.67999999999995</v>
      </c>
      <c r="G1657" t="s">
        <v>31</v>
      </c>
      <c r="H1657" t="s">
        <v>15</v>
      </c>
      <c r="I1657">
        <v>3</v>
      </c>
      <c r="J1657">
        <v>6</v>
      </c>
      <c r="K1657">
        <v>3</v>
      </c>
    </row>
    <row r="1658" spans="1:11" x14ac:dyDescent="0.35">
      <c r="A1658">
        <v>1657</v>
      </c>
      <c r="B1658">
        <v>26</v>
      </c>
      <c r="C1658" t="s">
        <v>16</v>
      </c>
      <c r="D1658" t="s">
        <v>20</v>
      </c>
      <c r="E1658" t="s">
        <v>39</v>
      </c>
      <c r="F1658">
        <v>168.47</v>
      </c>
      <c r="G1658" t="s">
        <v>24</v>
      </c>
      <c r="H1658" t="s">
        <v>15</v>
      </c>
      <c r="I1658">
        <v>3.7</v>
      </c>
      <c r="J1658">
        <v>22</v>
      </c>
      <c r="K1658">
        <v>11</v>
      </c>
    </row>
    <row r="1659" spans="1:11" x14ac:dyDescent="0.35">
      <c r="A1659">
        <v>1658</v>
      </c>
      <c r="B1659">
        <v>65</v>
      </c>
      <c r="C1659" t="s">
        <v>11</v>
      </c>
      <c r="D1659" t="s">
        <v>41</v>
      </c>
      <c r="E1659" t="s">
        <v>46</v>
      </c>
      <c r="F1659">
        <v>93.8</v>
      </c>
      <c r="G1659" t="s">
        <v>24</v>
      </c>
      <c r="H1659" t="s">
        <v>37</v>
      </c>
      <c r="I1659">
        <v>4.3</v>
      </c>
      <c r="J1659">
        <v>16</v>
      </c>
      <c r="K1659">
        <v>3</v>
      </c>
    </row>
    <row r="1660" spans="1:11" x14ac:dyDescent="0.35">
      <c r="A1660">
        <v>1659</v>
      </c>
      <c r="B1660">
        <v>68</v>
      </c>
      <c r="C1660" t="s">
        <v>16</v>
      </c>
      <c r="D1660" t="s">
        <v>17</v>
      </c>
      <c r="E1660" t="s">
        <v>18</v>
      </c>
      <c r="F1660">
        <v>162.35</v>
      </c>
      <c r="G1660" t="s">
        <v>31</v>
      </c>
      <c r="H1660" t="s">
        <v>15</v>
      </c>
      <c r="I1660">
        <v>4.4000000000000004</v>
      </c>
      <c r="J1660">
        <v>17</v>
      </c>
      <c r="K1660">
        <v>6</v>
      </c>
    </row>
    <row r="1661" spans="1:11" x14ac:dyDescent="0.35">
      <c r="A1661">
        <v>1660</v>
      </c>
      <c r="B1661">
        <v>58</v>
      </c>
      <c r="C1661" t="s">
        <v>16</v>
      </c>
      <c r="D1661" t="s">
        <v>17</v>
      </c>
      <c r="E1661" t="s">
        <v>35</v>
      </c>
      <c r="F1661">
        <v>62.32</v>
      </c>
      <c r="G1661" t="s">
        <v>19</v>
      </c>
      <c r="H1661" t="s">
        <v>15</v>
      </c>
      <c r="I1661">
        <v>3.9</v>
      </c>
      <c r="J1661">
        <v>13</v>
      </c>
      <c r="K1661">
        <v>4</v>
      </c>
    </row>
    <row r="1662" spans="1:11" x14ac:dyDescent="0.35">
      <c r="A1662">
        <v>1661</v>
      </c>
      <c r="B1662">
        <v>48</v>
      </c>
      <c r="C1662" t="s">
        <v>11</v>
      </c>
      <c r="D1662" t="s">
        <v>29</v>
      </c>
      <c r="E1662" t="s">
        <v>51</v>
      </c>
      <c r="F1662">
        <v>134.47999999999999</v>
      </c>
      <c r="G1662" t="s">
        <v>24</v>
      </c>
      <c r="H1662" t="s">
        <v>15</v>
      </c>
      <c r="I1662">
        <v>3.9</v>
      </c>
      <c r="J1662">
        <v>18</v>
      </c>
      <c r="K1662">
        <v>4</v>
      </c>
    </row>
    <row r="1663" spans="1:11" x14ac:dyDescent="0.35">
      <c r="A1663">
        <v>1662</v>
      </c>
      <c r="B1663">
        <v>37</v>
      </c>
      <c r="C1663" t="s">
        <v>16</v>
      </c>
      <c r="D1663" t="s">
        <v>33</v>
      </c>
      <c r="E1663" t="s">
        <v>40</v>
      </c>
      <c r="F1663">
        <v>200.91</v>
      </c>
      <c r="G1663" t="s">
        <v>19</v>
      </c>
      <c r="H1663" t="s">
        <v>15</v>
      </c>
      <c r="I1663">
        <v>2.8</v>
      </c>
      <c r="J1663">
        <v>16</v>
      </c>
      <c r="K1663">
        <v>3</v>
      </c>
    </row>
    <row r="1664" spans="1:11" x14ac:dyDescent="0.35">
      <c r="A1664">
        <v>1663</v>
      </c>
      <c r="B1664">
        <v>31</v>
      </c>
      <c r="C1664" t="s">
        <v>11</v>
      </c>
      <c r="D1664" t="s">
        <v>29</v>
      </c>
      <c r="E1664" t="s">
        <v>55</v>
      </c>
      <c r="F1664">
        <v>137.99</v>
      </c>
      <c r="G1664" t="s">
        <v>24</v>
      </c>
      <c r="H1664" t="s">
        <v>15</v>
      </c>
      <c r="I1664">
        <v>3.8</v>
      </c>
      <c r="J1664">
        <v>10</v>
      </c>
      <c r="K1664">
        <v>5</v>
      </c>
    </row>
    <row r="1665" spans="1:11" x14ac:dyDescent="0.35">
      <c r="A1665">
        <v>1664</v>
      </c>
      <c r="B1665">
        <v>62</v>
      </c>
      <c r="C1665" t="s">
        <v>11</v>
      </c>
      <c r="D1665" t="s">
        <v>33</v>
      </c>
      <c r="E1665" t="s">
        <v>34</v>
      </c>
      <c r="F1665">
        <v>51.08</v>
      </c>
      <c r="G1665" t="s">
        <v>24</v>
      </c>
      <c r="H1665" t="s">
        <v>37</v>
      </c>
      <c r="I1665">
        <v>3.1</v>
      </c>
      <c r="J1665">
        <v>21</v>
      </c>
      <c r="K1665">
        <v>8</v>
      </c>
    </row>
    <row r="1666" spans="1:11" x14ac:dyDescent="0.35">
      <c r="A1666">
        <v>1665</v>
      </c>
      <c r="B1666">
        <v>56</v>
      </c>
      <c r="C1666" t="s">
        <v>16</v>
      </c>
      <c r="D1666" t="s">
        <v>20</v>
      </c>
      <c r="E1666" t="s">
        <v>21</v>
      </c>
      <c r="F1666">
        <v>211</v>
      </c>
      <c r="G1666" t="s">
        <v>14</v>
      </c>
      <c r="H1666" t="s">
        <v>15</v>
      </c>
      <c r="I1666">
        <v>1.3</v>
      </c>
      <c r="J1666">
        <v>5</v>
      </c>
      <c r="K1666">
        <v>0</v>
      </c>
    </row>
    <row r="1667" spans="1:11" x14ac:dyDescent="0.35">
      <c r="A1667">
        <v>1666</v>
      </c>
      <c r="B1667">
        <v>28</v>
      </c>
      <c r="C1667" t="s">
        <v>11</v>
      </c>
      <c r="D1667" t="s">
        <v>41</v>
      </c>
      <c r="E1667" t="s">
        <v>46</v>
      </c>
      <c r="F1667">
        <v>40.1</v>
      </c>
      <c r="G1667" t="s">
        <v>14</v>
      </c>
      <c r="H1667" t="s">
        <v>15</v>
      </c>
      <c r="I1667">
        <v>3.5</v>
      </c>
      <c r="J1667">
        <v>20</v>
      </c>
      <c r="K1667">
        <v>5</v>
      </c>
    </row>
    <row r="1668" spans="1:11" x14ac:dyDescent="0.35">
      <c r="A1668">
        <v>1667</v>
      </c>
      <c r="B1668">
        <v>27</v>
      </c>
      <c r="C1668" t="s">
        <v>16</v>
      </c>
      <c r="D1668" t="s">
        <v>25</v>
      </c>
      <c r="E1668" t="s">
        <v>54</v>
      </c>
      <c r="F1668">
        <v>19.89</v>
      </c>
      <c r="G1668" t="s">
        <v>31</v>
      </c>
      <c r="H1668" t="s">
        <v>15</v>
      </c>
      <c r="I1668">
        <v>4.0999999999999996</v>
      </c>
      <c r="J1668">
        <v>9</v>
      </c>
      <c r="K1668">
        <v>2</v>
      </c>
    </row>
    <row r="1669" spans="1:11" x14ac:dyDescent="0.35">
      <c r="A1669">
        <v>1668</v>
      </c>
      <c r="B1669">
        <v>61</v>
      </c>
      <c r="C1669" t="s">
        <v>16</v>
      </c>
      <c r="D1669" t="s">
        <v>20</v>
      </c>
      <c r="E1669" t="s">
        <v>36</v>
      </c>
      <c r="F1669">
        <v>135.32</v>
      </c>
      <c r="G1669" t="s">
        <v>14</v>
      </c>
      <c r="H1669" t="s">
        <v>15</v>
      </c>
      <c r="I1669">
        <v>3</v>
      </c>
      <c r="J1669">
        <v>14</v>
      </c>
      <c r="K1669">
        <v>7</v>
      </c>
    </row>
    <row r="1670" spans="1:11" x14ac:dyDescent="0.35">
      <c r="A1670">
        <v>1669</v>
      </c>
      <c r="B1670">
        <v>23</v>
      </c>
      <c r="C1670" t="s">
        <v>11</v>
      </c>
      <c r="D1670" t="s">
        <v>12</v>
      </c>
      <c r="E1670" t="s">
        <v>56</v>
      </c>
      <c r="F1670">
        <v>101.21</v>
      </c>
      <c r="G1670" t="s">
        <v>24</v>
      </c>
      <c r="H1670" t="s">
        <v>15</v>
      </c>
      <c r="I1670">
        <v>3.6</v>
      </c>
      <c r="J1670">
        <v>28</v>
      </c>
      <c r="K1670">
        <v>9</v>
      </c>
    </row>
    <row r="1671" spans="1:11" x14ac:dyDescent="0.35">
      <c r="A1671">
        <v>1670</v>
      </c>
      <c r="B1671">
        <v>60</v>
      </c>
      <c r="C1671" t="s">
        <v>11</v>
      </c>
      <c r="D1671" t="s">
        <v>20</v>
      </c>
      <c r="E1671" t="s">
        <v>36</v>
      </c>
      <c r="F1671">
        <v>163.92</v>
      </c>
      <c r="G1671" t="s">
        <v>19</v>
      </c>
      <c r="H1671" t="s">
        <v>15</v>
      </c>
      <c r="I1671">
        <v>3.1</v>
      </c>
      <c r="J1671">
        <v>15</v>
      </c>
      <c r="K1671">
        <v>5</v>
      </c>
    </row>
    <row r="1672" spans="1:11" x14ac:dyDescent="0.35">
      <c r="A1672">
        <v>1671</v>
      </c>
      <c r="B1672">
        <v>54</v>
      </c>
      <c r="C1672" t="s">
        <v>16</v>
      </c>
      <c r="D1672" t="s">
        <v>33</v>
      </c>
      <c r="E1672" t="s">
        <v>40</v>
      </c>
      <c r="F1672">
        <v>138.78</v>
      </c>
      <c r="G1672" t="s">
        <v>31</v>
      </c>
      <c r="H1672" t="s">
        <v>15</v>
      </c>
      <c r="I1672">
        <v>3.7</v>
      </c>
      <c r="J1672">
        <v>15</v>
      </c>
      <c r="K1672">
        <v>5</v>
      </c>
    </row>
    <row r="1673" spans="1:11" x14ac:dyDescent="0.35">
      <c r="A1673">
        <v>1672</v>
      </c>
      <c r="B1673">
        <v>37</v>
      </c>
      <c r="C1673" t="s">
        <v>16</v>
      </c>
      <c r="D1673" t="s">
        <v>17</v>
      </c>
      <c r="E1673" t="s">
        <v>35</v>
      </c>
      <c r="F1673">
        <v>168.61</v>
      </c>
      <c r="G1673" t="s">
        <v>14</v>
      </c>
      <c r="H1673" t="s">
        <v>15</v>
      </c>
      <c r="I1673">
        <v>4.5999999999999996</v>
      </c>
      <c r="J1673">
        <v>15</v>
      </c>
      <c r="K1673">
        <v>5</v>
      </c>
    </row>
    <row r="1674" spans="1:11" x14ac:dyDescent="0.35">
      <c r="A1674">
        <v>1673</v>
      </c>
      <c r="B1674">
        <v>60</v>
      </c>
      <c r="C1674" t="s">
        <v>11</v>
      </c>
      <c r="D1674" t="s">
        <v>41</v>
      </c>
      <c r="E1674" t="s">
        <v>44</v>
      </c>
      <c r="F1674">
        <v>177.44</v>
      </c>
      <c r="G1674" t="s">
        <v>14</v>
      </c>
      <c r="H1674" t="s">
        <v>15</v>
      </c>
      <c r="I1674">
        <v>3.8</v>
      </c>
      <c r="J1674">
        <v>9</v>
      </c>
      <c r="K1674">
        <v>2</v>
      </c>
    </row>
    <row r="1675" spans="1:11" x14ac:dyDescent="0.35">
      <c r="A1675">
        <v>1674</v>
      </c>
      <c r="B1675">
        <v>42</v>
      </c>
      <c r="C1675" t="s">
        <v>16</v>
      </c>
      <c r="D1675" t="s">
        <v>33</v>
      </c>
      <c r="E1675" t="s">
        <v>40</v>
      </c>
      <c r="F1675">
        <v>58.43</v>
      </c>
      <c r="G1675" t="s">
        <v>31</v>
      </c>
      <c r="H1675" t="s">
        <v>15</v>
      </c>
      <c r="I1675">
        <v>3.9</v>
      </c>
      <c r="J1675">
        <v>13</v>
      </c>
      <c r="K1675">
        <v>4</v>
      </c>
    </row>
    <row r="1676" spans="1:11" x14ac:dyDescent="0.35">
      <c r="A1676">
        <v>1675</v>
      </c>
      <c r="B1676">
        <v>27</v>
      </c>
      <c r="C1676" t="s">
        <v>16</v>
      </c>
      <c r="D1676" t="s">
        <v>22</v>
      </c>
      <c r="E1676" t="s">
        <v>43</v>
      </c>
      <c r="F1676">
        <v>184.18</v>
      </c>
      <c r="G1676" t="s">
        <v>24</v>
      </c>
      <c r="H1676" t="s">
        <v>15</v>
      </c>
      <c r="I1676">
        <v>4.2</v>
      </c>
      <c r="J1676">
        <v>23</v>
      </c>
      <c r="K1676">
        <v>9</v>
      </c>
    </row>
    <row r="1677" spans="1:11" x14ac:dyDescent="0.35">
      <c r="A1677">
        <v>1676</v>
      </c>
      <c r="B1677">
        <v>54</v>
      </c>
      <c r="C1677" t="s">
        <v>11</v>
      </c>
      <c r="D1677" t="s">
        <v>33</v>
      </c>
      <c r="E1677" t="s">
        <v>34</v>
      </c>
      <c r="F1677">
        <v>180.54</v>
      </c>
      <c r="G1677" t="s">
        <v>14</v>
      </c>
      <c r="H1677" t="s">
        <v>15</v>
      </c>
      <c r="I1677">
        <v>3.9</v>
      </c>
      <c r="J1677">
        <v>15</v>
      </c>
      <c r="K1677">
        <v>5</v>
      </c>
    </row>
    <row r="1678" spans="1:11" x14ac:dyDescent="0.35">
      <c r="A1678">
        <v>1677</v>
      </c>
      <c r="B1678">
        <v>56</v>
      </c>
      <c r="C1678" t="s">
        <v>16</v>
      </c>
      <c r="D1678" t="s">
        <v>17</v>
      </c>
      <c r="E1678" t="s">
        <v>42</v>
      </c>
      <c r="F1678">
        <v>135.91</v>
      </c>
      <c r="G1678" t="s">
        <v>24</v>
      </c>
      <c r="H1678" t="s">
        <v>15</v>
      </c>
      <c r="I1678">
        <v>3.6</v>
      </c>
      <c r="J1678">
        <v>22</v>
      </c>
      <c r="K1678">
        <v>6</v>
      </c>
    </row>
    <row r="1679" spans="1:11" x14ac:dyDescent="0.35">
      <c r="A1679">
        <v>1678</v>
      </c>
      <c r="B1679">
        <v>44</v>
      </c>
      <c r="C1679" t="s">
        <v>11</v>
      </c>
      <c r="D1679" t="s">
        <v>41</v>
      </c>
      <c r="E1679" t="s">
        <v>46</v>
      </c>
      <c r="F1679">
        <v>183.99</v>
      </c>
      <c r="G1679" t="s">
        <v>14</v>
      </c>
      <c r="H1679" t="s">
        <v>15</v>
      </c>
      <c r="I1679">
        <v>3.1</v>
      </c>
      <c r="J1679">
        <v>16</v>
      </c>
      <c r="K1679">
        <v>8</v>
      </c>
    </row>
    <row r="1680" spans="1:11" x14ac:dyDescent="0.35">
      <c r="A1680">
        <v>1679</v>
      </c>
      <c r="B1680">
        <v>32</v>
      </c>
      <c r="C1680" t="s">
        <v>11</v>
      </c>
      <c r="D1680" t="s">
        <v>33</v>
      </c>
      <c r="E1680" t="s">
        <v>40</v>
      </c>
      <c r="F1680">
        <v>188.12</v>
      </c>
      <c r="G1680" t="s">
        <v>24</v>
      </c>
      <c r="H1680" t="s">
        <v>15</v>
      </c>
      <c r="I1680">
        <v>2.7</v>
      </c>
      <c r="J1680">
        <v>6</v>
      </c>
      <c r="K1680">
        <v>3</v>
      </c>
    </row>
    <row r="1681" spans="1:11" x14ac:dyDescent="0.35">
      <c r="A1681">
        <v>1680</v>
      </c>
      <c r="B1681">
        <v>60</v>
      </c>
      <c r="C1681" t="s">
        <v>11</v>
      </c>
      <c r="D1681" t="s">
        <v>33</v>
      </c>
      <c r="E1681" t="s">
        <v>40</v>
      </c>
      <c r="F1681">
        <v>81.88</v>
      </c>
      <c r="G1681" t="s">
        <v>24</v>
      </c>
      <c r="H1681" t="s">
        <v>37</v>
      </c>
      <c r="I1681">
        <v>4.5</v>
      </c>
      <c r="J1681">
        <v>14</v>
      </c>
      <c r="K1681">
        <v>7</v>
      </c>
    </row>
    <row r="1682" spans="1:11" x14ac:dyDescent="0.35">
      <c r="A1682">
        <v>1681</v>
      </c>
      <c r="B1682">
        <v>55</v>
      </c>
      <c r="C1682" t="s">
        <v>11</v>
      </c>
      <c r="D1682" t="s">
        <v>33</v>
      </c>
      <c r="E1682" t="s">
        <v>40</v>
      </c>
      <c r="F1682">
        <v>134.88</v>
      </c>
      <c r="G1682" t="s">
        <v>24</v>
      </c>
      <c r="H1682" t="s">
        <v>15</v>
      </c>
      <c r="I1682">
        <v>4.0999999999999996</v>
      </c>
      <c r="J1682">
        <v>11</v>
      </c>
      <c r="K1682">
        <v>3</v>
      </c>
    </row>
    <row r="1683" spans="1:11" x14ac:dyDescent="0.35">
      <c r="A1683">
        <v>1682</v>
      </c>
      <c r="B1683">
        <v>60</v>
      </c>
      <c r="C1683" t="s">
        <v>11</v>
      </c>
      <c r="D1683" t="s">
        <v>33</v>
      </c>
      <c r="E1683" t="s">
        <v>40</v>
      </c>
      <c r="F1683">
        <v>76.8</v>
      </c>
      <c r="G1683" t="s">
        <v>24</v>
      </c>
      <c r="H1683" t="s">
        <v>15</v>
      </c>
      <c r="I1683">
        <v>3.3</v>
      </c>
      <c r="J1683">
        <v>17</v>
      </c>
      <c r="K1683">
        <v>6</v>
      </c>
    </row>
    <row r="1684" spans="1:11" x14ac:dyDescent="0.35">
      <c r="A1684">
        <v>1683</v>
      </c>
      <c r="B1684">
        <v>54</v>
      </c>
      <c r="C1684" t="s">
        <v>11</v>
      </c>
      <c r="D1684" t="s">
        <v>29</v>
      </c>
      <c r="E1684" t="s">
        <v>30</v>
      </c>
      <c r="F1684">
        <v>54.63</v>
      </c>
      <c r="G1684" t="s">
        <v>24</v>
      </c>
      <c r="H1684" t="s">
        <v>37</v>
      </c>
      <c r="I1684">
        <v>4.5</v>
      </c>
      <c r="J1684">
        <v>10</v>
      </c>
      <c r="K1684">
        <v>5</v>
      </c>
    </row>
    <row r="1685" spans="1:11" x14ac:dyDescent="0.35">
      <c r="A1685">
        <v>1684</v>
      </c>
      <c r="B1685">
        <v>39</v>
      </c>
      <c r="C1685" t="s">
        <v>16</v>
      </c>
      <c r="D1685" t="s">
        <v>17</v>
      </c>
      <c r="E1685" t="s">
        <v>42</v>
      </c>
      <c r="F1685">
        <v>47.56</v>
      </c>
      <c r="G1685" t="s">
        <v>19</v>
      </c>
      <c r="H1685" t="s">
        <v>37</v>
      </c>
      <c r="I1685">
        <v>2.1</v>
      </c>
      <c r="J1685">
        <v>6</v>
      </c>
      <c r="K1685">
        <v>3</v>
      </c>
    </row>
    <row r="1686" spans="1:11" x14ac:dyDescent="0.35">
      <c r="A1686">
        <v>1685</v>
      </c>
      <c r="B1686">
        <v>20</v>
      </c>
      <c r="C1686" t="s">
        <v>16</v>
      </c>
      <c r="D1686" t="s">
        <v>33</v>
      </c>
      <c r="E1686" t="s">
        <v>40</v>
      </c>
      <c r="F1686">
        <v>53.28</v>
      </c>
      <c r="G1686" t="s">
        <v>31</v>
      </c>
      <c r="H1686" t="s">
        <v>15</v>
      </c>
      <c r="I1686">
        <v>3</v>
      </c>
      <c r="J1686">
        <v>23</v>
      </c>
      <c r="K1686">
        <v>9</v>
      </c>
    </row>
    <row r="1687" spans="1:11" x14ac:dyDescent="0.35">
      <c r="A1687">
        <v>1686</v>
      </c>
      <c r="B1687">
        <v>31</v>
      </c>
      <c r="C1687" t="s">
        <v>11</v>
      </c>
      <c r="D1687" t="s">
        <v>25</v>
      </c>
      <c r="E1687" t="s">
        <v>47</v>
      </c>
      <c r="F1687">
        <v>78.790000000000006</v>
      </c>
      <c r="G1687" t="s">
        <v>24</v>
      </c>
      <c r="H1687" t="s">
        <v>37</v>
      </c>
      <c r="I1687">
        <v>4.8</v>
      </c>
      <c r="J1687">
        <v>14</v>
      </c>
      <c r="K1687">
        <v>2</v>
      </c>
    </row>
    <row r="1688" spans="1:11" x14ac:dyDescent="0.35">
      <c r="A1688">
        <v>1687</v>
      </c>
      <c r="B1688">
        <v>45</v>
      </c>
      <c r="C1688" t="s">
        <v>11</v>
      </c>
      <c r="D1688" t="s">
        <v>29</v>
      </c>
      <c r="E1688" t="s">
        <v>30</v>
      </c>
      <c r="F1688">
        <v>52.81</v>
      </c>
      <c r="G1688" t="s">
        <v>24</v>
      </c>
      <c r="H1688" t="s">
        <v>15</v>
      </c>
      <c r="I1688">
        <v>4.5999999999999996</v>
      </c>
      <c r="J1688">
        <v>24</v>
      </c>
      <c r="K1688">
        <v>7</v>
      </c>
    </row>
    <row r="1689" spans="1:11" x14ac:dyDescent="0.35">
      <c r="A1689">
        <v>1688</v>
      </c>
      <c r="B1689">
        <v>38</v>
      </c>
      <c r="C1689" t="s">
        <v>16</v>
      </c>
      <c r="D1689" t="s">
        <v>27</v>
      </c>
      <c r="E1689" t="s">
        <v>32</v>
      </c>
      <c r="F1689">
        <v>2403.13</v>
      </c>
      <c r="G1689" t="s">
        <v>31</v>
      </c>
      <c r="H1689" t="s">
        <v>15</v>
      </c>
      <c r="I1689">
        <v>4.9000000000000004</v>
      </c>
      <c r="J1689">
        <v>8</v>
      </c>
      <c r="K1689">
        <v>4</v>
      </c>
    </row>
    <row r="1690" spans="1:11" x14ac:dyDescent="0.35">
      <c r="A1690">
        <v>1689</v>
      </c>
      <c r="B1690">
        <v>61</v>
      </c>
      <c r="C1690" t="s">
        <v>11</v>
      </c>
      <c r="D1690" t="s">
        <v>12</v>
      </c>
      <c r="E1690" t="s">
        <v>50</v>
      </c>
      <c r="F1690">
        <v>117</v>
      </c>
      <c r="G1690" t="s">
        <v>31</v>
      </c>
      <c r="H1690" t="s">
        <v>15</v>
      </c>
      <c r="I1690">
        <v>3.4</v>
      </c>
      <c r="J1690">
        <v>15</v>
      </c>
      <c r="K1690">
        <v>5</v>
      </c>
    </row>
    <row r="1691" spans="1:11" x14ac:dyDescent="0.35">
      <c r="A1691">
        <v>1690</v>
      </c>
      <c r="B1691">
        <v>51</v>
      </c>
      <c r="C1691" t="s">
        <v>16</v>
      </c>
      <c r="D1691" t="s">
        <v>33</v>
      </c>
      <c r="E1691" t="s">
        <v>40</v>
      </c>
      <c r="F1691">
        <v>94.71</v>
      </c>
      <c r="G1691" t="s">
        <v>31</v>
      </c>
      <c r="H1691" t="s">
        <v>15</v>
      </c>
      <c r="I1691">
        <v>3.6</v>
      </c>
      <c r="J1691">
        <v>13</v>
      </c>
      <c r="K1691">
        <v>4</v>
      </c>
    </row>
    <row r="1692" spans="1:11" x14ac:dyDescent="0.35">
      <c r="A1692">
        <v>1691</v>
      </c>
      <c r="B1692">
        <v>54</v>
      </c>
      <c r="C1692" t="s">
        <v>11</v>
      </c>
      <c r="D1692" t="s">
        <v>33</v>
      </c>
      <c r="E1692" t="s">
        <v>38</v>
      </c>
      <c r="F1692">
        <v>121.85</v>
      </c>
      <c r="G1692" t="s">
        <v>14</v>
      </c>
      <c r="H1692" t="s">
        <v>15</v>
      </c>
      <c r="I1692">
        <v>4.0999999999999996</v>
      </c>
      <c r="J1692">
        <v>24</v>
      </c>
      <c r="K1692">
        <v>7</v>
      </c>
    </row>
    <row r="1693" spans="1:11" x14ac:dyDescent="0.35">
      <c r="A1693">
        <v>1692</v>
      </c>
      <c r="B1693">
        <v>49</v>
      </c>
      <c r="C1693" t="s">
        <v>16</v>
      </c>
      <c r="D1693" t="s">
        <v>25</v>
      </c>
      <c r="E1693" t="s">
        <v>57</v>
      </c>
      <c r="F1693">
        <v>72.209999999999994</v>
      </c>
      <c r="G1693" t="s">
        <v>14</v>
      </c>
      <c r="H1693" t="s">
        <v>37</v>
      </c>
      <c r="I1693">
        <v>3.8</v>
      </c>
      <c r="J1693">
        <v>16</v>
      </c>
      <c r="K1693">
        <v>3</v>
      </c>
    </row>
    <row r="1694" spans="1:11" x14ac:dyDescent="0.35">
      <c r="A1694">
        <v>1693</v>
      </c>
      <c r="B1694">
        <v>69</v>
      </c>
      <c r="C1694" t="s">
        <v>11</v>
      </c>
      <c r="D1694" t="s">
        <v>12</v>
      </c>
      <c r="E1694" t="s">
        <v>56</v>
      </c>
      <c r="F1694">
        <v>166.88</v>
      </c>
      <c r="G1694" t="s">
        <v>31</v>
      </c>
      <c r="H1694" t="s">
        <v>15</v>
      </c>
      <c r="I1694">
        <v>4.0999999999999996</v>
      </c>
      <c r="J1694">
        <v>8</v>
      </c>
      <c r="K1694">
        <v>4</v>
      </c>
    </row>
    <row r="1695" spans="1:11" x14ac:dyDescent="0.35">
      <c r="A1695">
        <v>1694</v>
      </c>
      <c r="B1695">
        <v>46</v>
      </c>
      <c r="C1695" t="s">
        <v>11</v>
      </c>
      <c r="D1695" t="s">
        <v>29</v>
      </c>
      <c r="E1695" t="s">
        <v>55</v>
      </c>
      <c r="F1695">
        <v>75.22</v>
      </c>
      <c r="G1695" t="s">
        <v>14</v>
      </c>
      <c r="H1695" t="s">
        <v>37</v>
      </c>
      <c r="I1695">
        <v>4.0999999999999996</v>
      </c>
      <c r="J1695">
        <v>10</v>
      </c>
      <c r="K1695">
        <v>5</v>
      </c>
    </row>
    <row r="1696" spans="1:11" x14ac:dyDescent="0.35">
      <c r="A1696">
        <v>1695</v>
      </c>
      <c r="B1696">
        <v>48</v>
      </c>
      <c r="C1696" t="s">
        <v>16</v>
      </c>
      <c r="D1696" t="s">
        <v>33</v>
      </c>
      <c r="E1696" t="s">
        <v>40</v>
      </c>
      <c r="F1696">
        <v>77.91</v>
      </c>
      <c r="G1696" t="s">
        <v>19</v>
      </c>
      <c r="H1696" t="s">
        <v>15</v>
      </c>
      <c r="I1696">
        <v>3.9</v>
      </c>
      <c r="J1696">
        <v>17</v>
      </c>
      <c r="K1696">
        <v>6</v>
      </c>
    </row>
    <row r="1697" spans="1:11" x14ac:dyDescent="0.35">
      <c r="A1697">
        <v>1696</v>
      </c>
      <c r="B1697">
        <v>58</v>
      </c>
      <c r="C1697" t="s">
        <v>16</v>
      </c>
      <c r="D1697" t="s">
        <v>20</v>
      </c>
      <c r="E1697" t="s">
        <v>36</v>
      </c>
      <c r="F1697">
        <v>65.28</v>
      </c>
      <c r="G1697" t="s">
        <v>24</v>
      </c>
      <c r="H1697" t="s">
        <v>15</v>
      </c>
      <c r="I1697">
        <v>4.5999999999999996</v>
      </c>
      <c r="J1697">
        <v>12</v>
      </c>
      <c r="K1697">
        <v>6</v>
      </c>
    </row>
    <row r="1698" spans="1:11" x14ac:dyDescent="0.35">
      <c r="A1698">
        <v>1697</v>
      </c>
      <c r="B1698">
        <v>47</v>
      </c>
      <c r="C1698" t="s">
        <v>11</v>
      </c>
      <c r="D1698" t="s">
        <v>33</v>
      </c>
      <c r="E1698" t="s">
        <v>38</v>
      </c>
      <c r="F1698">
        <v>132.81</v>
      </c>
      <c r="G1698" t="s">
        <v>19</v>
      </c>
      <c r="H1698" t="s">
        <v>15</v>
      </c>
      <c r="I1698">
        <v>4.0999999999999996</v>
      </c>
      <c r="J1698">
        <v>6</v>
      </c>
      <c r="K1698">
        <v>3</v>
      </c>
    </row>
    <row r="1699" spans="1:11" x14ac:dyDescent="0.35">
      <c r="A1699">
        <v>1698</v>
      </c>
      <c r="B1699">
        <v>33</v>
      </c>
      <c r="C1699" t="s">
        <v>16</v>
      </c>
      <c r="D1699" t="s">
        <v>27</v>
      </c>
      <c r="E1699" t="s">
        <v>32</v>
      </c>
      <c r="F1699">
        <v>2290.9699999999998</v>
      </c>
      <c r="G1699" t="s">
        <v>31</v>
      </c>
      <c r="H1699" t="s">
        <v>15</v>
      </c>
      <c r="I1699">
        <v>4.2</v>
      </c>
      <c r="J1699">
        <v>12</v>
      </c>
      <c r="K1699">
        <v>1</v>
      </c>
    </row>
    <row r="1700" spans="1:11" x14ac:dyDescent="0.35">
      <c r="A1700">
        <v>1699</v>
      </c>
      <c r="B1700">
        <v>34</v>
      </c>
      <c r="C1700" t="s">
        <v>11</v>
      </c>
      <c r="D1700" t="s">
        <v>29</v>
      </c>
      <c r="E1700" t="s">
        <v>55</v>
      </c>
      <c r="F1700">
        <v>31.61</v>
      </c>
      <c r="G1700" t="s">
        <v>14</v>
      </c>
      <c r="H1700" t="s">
        <v>15</v>
      </c>
      <c r="I1700">
        <v>5</v>
      </c>
      <c r="J1700">
        <v>19</v>
      </c>
      <c r="K1700">
        <v>7</v>
      </c>
    </row>
    <row r="1701" spans="1:11" x14ac:dyDescent="0.35">
      <c r="A1701">
        <v>1700</v>
      </c>
      <c r="B1701">
        <v>43</v>
      </c>
      <c r="C1701" t="s">
        <v>16</v>
      </c>
      <c r="D1701" t="s">
        <v>17</v>
      </c>
      <c r="E1701" t="s">
        <v>18</v>
      </c>
      <c r="F1701">
        <v>184.32</v>
      </c>
      <c r="G1701" t="s">
        <v>19</v>
      </c>
      <c r="H1701" t="s">
        <v>15</v>
      </c>
      <c r="I1701">
        <v>4.5999999999999996</v>
      </c>
      <c r="J1701">
        <v>22</v>
      </c>
      <c r="K1701">
        <v>6</v>
      </c>
    </row>
    <row r="1702" spans="1:11" x14ac:dyDescent="0.35">
      <c r="A1702">
        <v>1701</v>
      </c>
      <c r="B1702">
        <v>58</v>
      </c>
      <c r="C1702" t="s">
        <v>16</v>
      </c>
      <c r="D1702" t="s">
        <v>33</v>
      </c>
      <c r="E1702" t="s">
        <v>34</v>
      </c>
      <c r="F1702">
        <v>135.47</v>
      </c>
      <c r="G1702" t="s">
        <v>19</v>
      </c>
      <c r="H1702" t="s">
        <v>15</v>
      </c>
      <c r="I1702">
        <v>4.9000000000000004</v>
      </c>
      <c r="J1702">
        <v>30</v>
      </c>
      <c r="K1702">
        <v>10</v>
      </c>
    </row>
    <row r="1703" spans="1:11" x14ac:dyDescent="0.35">
      <c r="A1703">
        <v>1702</v>
      </c>
      <c r="B1703">
        <v>58</v>
      </c>
      <c r="C1703" t="s">
        <v>11</v>
      </c>
      <c r="D1703" t="s">
        <v>33</v>
      </c>
      <c r="E1703" t="s">
        <v>40</v>
      </c>
      <c r="F1703">
        <v>101.31</v>
      </c>
      <c r="G1703" t="s">
        <v>14</v>
      </c>
      <c r="H1703" t="s">
        <v>15</v>
      </c>
      <c r="I1703">
        <v>3.9</v>
      </c>
      <c r="J1703">
        <v>26</v>
      </c>
      <c r="K1703">
        <v>8</v>
      </c>
    </row>
    <row r="1704" spans="1:11" x14ac:dyDescent="0.35">
      <c r="A1704">
        <v>1703</v>
      </c>
      <c r="B1704">
        <v>41</v>
      </c>
      <c r="C1704" t="s">
        <v>11</v>
      </c>
      <c r="D1704" t="s">
        <v>41</v>
      </c>
      <c r="E1704" t="s">
        <v>46</v>
      </c>
      <c r="F1704">
        <v>162.41</v>
      </c>
      <c r="G1704" t="s">
        <v>24</v>
      </c>
      <c r="H1704" t="s">
        <v>15</v>
      </c>
      <c r="I1704">
        <v>4</v>
      </c>
      <c r="J1704">
        <v>4</v>
      </c>
      <c r="K1704">
        <v>2</v>
      </c>
    </row>
    <row r="1705" spans="1:11" x14ac:dyDescent="0.35">
      <c r="A1705">
        <v>1704</v>
      </c>
      <c r="B1705">
        <v>70</v>
      </c>
      <c r="C1705" t="s">
        <v>11</v>
      </c>
      <c r="D1705" t="s">
        <v>33</v>
      </c>
      <c r="E1705" t="s">
        <v>40</v>
      </c>
      <c r="F1705">
        <v>207.96</v>
      </c>
      <c r="G1705" t="s">
        <v>19</v>
      </c>
      <c r="H1705" t="s">
        <v>15</v>
      </c>
      <c r="I1705">
        <v>4.0999999999999996</v>
      </c>
      <c r="J1705">
        <v>13</v>
      </c>
      <c r="K1705">
        <v>4</v>
      </c>
    </row>
    <row r="1706" spans="1:11" x14ac:dyDescent="0.35">
      <c r="A1706">
        <v>1705</v>
      </c>
      <c r="B1706">
        <v>35</v>
      </c>
      <c r="C1706" t="s">
        <v>11</v>
      </c>
      <c r="D1706" t="s">
        <v>12</v>
      </c>
      <c r="E1706" t="s">
        <v>50</v>
      </c>
      <c r="F1706">
        <v>63.49</v>
      </c>
      <c r="G1706" t="s">
        <v>24</v>
      </c>
      <c r="H1706" t="s">
        <v>15</v>
      </c>
      <c r="I1706">
        <v>2.2000000000000002</v>
      </c>
      <c r="J1706">
        <v>10</v>
      </c>
      <c r="K1706">
        <v>5</v>
      </c>
    </row>
    <row r="1707" spans="1:11" x14ac:dyDescent="0.35">
      <c r="A1707">
        <v>1706</v>
      </c>
      <c r="B1707">
        <v>63</v>
      </c>
      <c r="C1707" t="s">
        <v>11</v>
      </c>
      <c r="D1707" t="s">
        <v>33</v>
      </c>
      <c r="E1707" t="s">
        <v>40</v>
      </c>
      <c r="F1707">
        <v>139.55000000000001</v>
      </c>
      <c r="G1707" t="s">
        <v>19</v>
      </c>
      <c r="H1707" t="s">
        <v>15</v>
      </c>
      <c r="I1707">
        <v>4.3</v>
      </c>
      <c r="J1707">
        <v>12</v>
      </c>
      <c r="K1707">
        <v>6</v>
      </c>
    </row>
    <row r="1708" spans="1:11" x14ac:dyDescent="0.35">
      <c r="A1708">
        <v>1707</v>
      </c>
      <c r="B1708">
        <v>38</v>
      </c>
      <c r="C1708" t="s">
        <v>16</v>
      </c>
      <c r="D1708" t="s">
        <v>27</v>
      </c>
      <c r="E1708" t="s">
        <v>49</v>
      </c>
      <c r="F1708">
        <v>2428.09</v>
      </c>
      <c r="G1708" t="s">
        <v>24</v>
      </c>
      <c r="H1708" t="s">
        <v>15</v>
      </c>
      <c r="I1708">
        <v>4.4000000000000004</v>
      </c>
      <c r="J1708">
        <v>22</v>
      </c>
      <c r="K1708">
        <v>6</v>
      </c>
    </row>
    <row r="1709" spans="1:11" x14ac:dyDescent="0.35">
      <c r="A1709">
        <v>1708</v>
      </c>
      <c r="B1709">
        <v>44</v>
      </c>
      <c r="C1709" t="s">
        <v>11</v>
      </c>
      <c r="D1709" t="s">
        <v>29</v>
      </c>
      <c r="E1709" t="s">
        <v>55</v>
      </c>
      <c r="F1709">
        <v>96.31</v>
      </c>
      <c r="G1709" t="s">
        <v>24</v>
      </c>
      <c r="H1709" t="s">
        <v>15</v>
      </c>
      <c r="I1709">
        <v>3.3</v>
      </c>
      <c r="J1709">
        <v>20</v>
      </c>
      <c r="K1709">
        <v>5</v>
      </c>
    </row>
    <row r="1710" spans="1:11" x14ac:dyDescent="0.35">
      <c r="A1710">
        <v>1709</v>
      </c>
      <c r="B1710">
        <v>67</v>
      </c>
      <c r="C1710" t="s">
        <v>11</v>
      </c>
      <c r="D1710" t="s">
        <v>33</v>
      </c>
      <c r="E1710" t="s">
        <v>34</v>
      </c>
      <c r="F1710">
        <v>161.62</v>
      </c>
      <c r="G1710" t="s">
        <v>14</v>
      </c>
      <c r="H1710" t="s">
        <v>15</v>
      </c>
      <c r="I1710">
        <v>3.6</v>
      </c>
      <c r="J1710">
        <v>18</v>
      </c>
      <c r="K1710">
        <v>4</v>
      </c>
    </row>
    <row r="1711" spans="1:11" x14ac:dyDescent="0.35">
      <c r="A1711">
        <v>1710</v>
      </c>
      <c r="B1711">
        <v>55</v>
      </c>
      <c r="C1711" t="s">
        <v>16</v>
      </c>
      <c r="D1711" t="s">
        <v>17</v>
      </c>
      <c r="E1711" t="s">
        <v>35</v>
      </c>
      <c r="F1711">
        <v>71.430000000000007</v>
      </c>
      <c r="G1711" t="s">
        <v>31</v>
      </c>
      <c r="H1711" t="s">
        <v>37</v>
      </c>
      <c r="I1711">
        <v>4.7</v>
      </c>
      <c r="J1711">
        <v>26</v>
      </c>
      <c r="K1711">
        <v>8</v>
      </c>
    </row>
    <row r="1712" spans="1:11" x14ac:dyDescent="0.35">
      <c r="A1712">
        <v>1711</v>
      </c>
      <c r="B1712">
        <v>29</v>
      </c>
      <c r="C1712" t="s">
        <v>16</v>
      </c>
      <c r="D1712" t="s">
        <v>33</v>
      </c>
      <c r="E1712" t="s">
        <v>40</v>
      </c>
      <c r="F1712">
        <v>208.05</v>
      </c>
      <c r="G1712" t="s">
        <v>14</v>
      </c>
      <c r="H1712" t="s">
        <v>15</v>
      </c>
      <c r="I1712">
        <v>3.3</v>
      </c>
      <c r="J1712">
        <v>13</v>
      </c>
      <c r="K1712">
        <v>4</v>
      </c>
    </row>
    <row r="1713" spans="1:11" x14ac:dyDescent="0.35">
      <c r="A1713">
        <v>1712</v>
      </c>
      <c r="B1713">
        <v>43</v>
      </c>
      <c r="C1713" t="s">
        <v>16</v>
      </c>
      <c r="D1713" t="s">
        <v>17</v>
      </c>
      <c r="E1713" t="s">
        <v>35</v>
      </c>
      <c r="F1713">
        <v>133.51</v>
      </c>
      <c r="G1713" t="s">
        <v>19</v>
      </c>
      <c r="H1713" t="s">
        <v>15</v>
      </c>
      <c r="I1713">
        <v>3.6</v>
      </c>
      <c r="J1713">
        <v>12</v>
      </c>
      <c r="K1713">
        <v>6</v>
      </c>
    </row>
    <row r="1714" spans="1:11" x14ac:dyDescent="0.35">
      <c r="A1714">
        <v>1713</v>
      </c>
      <c r="B1714">
        <v>68</v>
      </c>
      <c r="C1714" t="s">
        <v>11</v>
      </c>
      <c r="D1714" t="s">
        <v>41</v>
      </c>
      <c r="E1714" t="s">
        <v>46</v>
      </c>
      <c r="F1714">
        <v>64.66</v>
      </c>
      <c r="G1714" t="s">
        <v>24</v>
      </c>
      <c r="H1714" t="s">
        <v>37</v>
      </c>
      <c r="I1714">
        <v>3.6</v>
      </c>
      <c r="J1714">
        <v>4</v>
      </c>
      <c r="K1714">
        <v>2</v>
      </c>
    </row>
    <row r="1715" spans="1:11" x14ac:dyDescent="0.35">
      <c r="A1715">
        <v>1714</v>
      </c>
      <c r="B1715">
        <v>42</v>
      </c>
      <c r="C1715" t="s">
        <v>11</v>
      </c>
      <c r="D1715" t="s">
        <v>25</v>
      </c>
      <c r="E1715" t="s">
        <v>54</v>
      </c>
      <c r="F1715">
        <v>33.18</v>
      </c>
      <c r="G1715" t="s">
        <v>14</v>
      </c>
      <c r="H1715" t="s">
        <v>37</v>
      </c>
      <c r="I1715">
        <v>4.2</v>
      </c>
      <c r="J1715">
        <v>16</v>
      </c>
      <c r="K1715">
        <v>3</v>
      </c>
    </row>
    <row r="1716" spans="1:11" x14ac:dyDescent="0.35">
      <c r="A1716">
        <v>1715</v>
      </c>
      <c r="B1716">
        <v>66</v>
      </c>
      <c r="C1716" t="s">
        <v>16</v>
      </c>
      <c r="D1716" t="s">
        <v>20</v>
      </c>
      <c r="E1716" t="s">
        <v>36</v>
      </c>
      <c r="F1716">
        <v>53.42</v>
      </c>
      <c r="G1716" t="s">
        <v>24</v>
      </c>
      <c r="H1716" t="s">
        <v>15</v>
      </c>
      <c r="I1716">
        <v>5</v>
      </c>
      <c r="J1716">
        <v>13</v>
      </c>
      <c r="K1716">
        <v>4</v>
      </c>
    </row>
    <row r="1717" spans="1:11" x14ac:dyDescent="0.35">
      <c r="A1717">
        <v>1716</v>
      </c>
      <c r="B1717">
        <v>40</v>
      </c>
      <c r="C1717" t="s">
        <v>16</v>
      </c>
      <c r="D1717" t="s">
        <v>25</v>
      </c>
      <c r="E1717" t="s">
        <v>57</v>
      </c>
      <c r="F1717">
        <v>34.409999999999997</v>
      </c>
      <c r="G1717" t="s">
        <v>19</v>
      </c>
      <c r="H1717" t="s">
        <v>15</v>
      </c>
      <c r="I1717">
        <v>3.3</v>
      </c>
      <c r="J1717">
        <v>17</v>
      </c>
      <c r="K1717">
        <v>6</v>
      </c>
    </row>
    <row r="1718" spans="1:11" x14ac:dyDescent="0.35">
      <c r="A1718">
        <v>1717</v>
      </c>
      <c r="B1718">
        <v>46</v>
      </c>
      <c r="C1718" t="s">
        <v>16</v>
      </c>
      <c r="D1718" t="s">
        <v>27</v>
      </c>
      <c r="E1718" t="s">
        <v>49</v>
      </c>
      <c r="F1718">
        <v>887.32</v>
      </c>
      <c r="G1718" t="s">
        <v>14</v>
      </c>
      <c r="H1718" t="s">
        <v>15</v>
      </c>
      <c r="I1718">
        <v>3.8</v>
      </c>
      <c r="J1718">
        <v>18</v>
      </c>
      <c r="K1718">
        <v>4</v>
      </c>
    </row>
    <row r="1719" spans="1:11" x14ac:dyDescent="0.35">
      <c r="A1719">
        <v>1718</v>
      </c>
      <c r="B1719">
        <v>40</v>
      </c>
      <c r="C1719" t="s">
        <v>16</v>
      </c>
      <c r="D1719" t="s">
        <v>20</v>
      </c>
      <c r="E1719" t="s">
        <v>21</v>
      </c>
      <c r="F1719">
        <v>225.57</v>
      </c>
      <c r="G1719" t="s">
        <v>24</v>
      </c>
      <c r="H1719" t="s">
        <v>15</v>
      </c>
      <c r="I1719">
        <v>5</v>
      </c>
      <c r="J1719">
        <v>17</v>
      </c>
      <c r="K1719">
        <v>6</v>
      </c>
    </row>
    <row r="1720" spans="1:11" x14ac:dyDescent="0.35">
      <c r="A1720">
        <v>1719</v>
      </c>
      <c r="B1720">
        <v>63</v>
      </c>
      <c r="C1720" t="s">
        <v>16</v>
      </c>
      <c r="D1720" t="s">
        <v>25</v>
      </c>
      <c r="E1720" t="s">
        <v>26</v>
      </c>
      <c r="F1720">
        <v>24.77</v>
      </c>
      <c r="G1720" t="s">
        <v>24</v>
      </c>
      <c r="H1720" t="s">
        <v>37</v>
      </c>
      <c r="I1720">
        <v>4</v>
      </c>
      <c r="J1720">
        <v>13</v>
      </c>
      <c r="K1720">
        <v>4</v>
      </c>
    </row>
    <row r="1721" spans="1:11" x14ac:dyDescent="0.35">
      <c r="A1721">
        <v>1720</v>
      </c>
      <c r="B1721">
        <v>43</v>
      </c>
      <c r="C1721" t="s">
        <v>11</v>
      </c>
      <c r="D1721" t="s">
        <v>29</v>
      </c>
      <c r="E1721" t="s">
        <v>51</v>
      </c>
      <c r="F1721">
        <v>74.94</v>
      </c>
      <c r="G1721" t="s">
        <v>24</v>
      </c>
      <c r="H1721" t="s">
        <v>15</v>
      </c>
      <c r="I1721">
        <v>4.5</v>
      </c>
      <c r="J1721">
        <v>14</v>
      </c>
      <c r="K1721">
        <v>7</v>
      </c>
    </row>
    <row r="1722" spans="1:11" x14ac:dyDescent="0.35">
      <c r="A1722">
        <v>1721</v>
      </c>
      <c r="B1722">
        <v>60</v>
      </c>
      <c r="C1722" t="s">
        <v>11</v>
      </c>
      <c r="D1722" t="s">
        <v>20</v>
      </c>
      <c r="E1722" t="s">
        <v>36</v>
      </c>
      <c r="F1722">
        <v>154.94999999999999</v>
      </c>
      <c r="G1722" t="s">
        <v>31</v>
      </c>
      <c r="H1722" t="s">
        <v>15</v>
      </c>
      <c r="I1722">
        <v>2.8</v>
      </c>
      <c r="J1722">
        <v>15</v>
      </c>
      <c r="K1722">
        <v>5</v>
      </c>
    </row>
    <row r="1723" spans="1:11" x14ac:dyDescent="0.35">
      <c r="A1723">
        <v>1722</v>
      </c>
      <c r="B1723">
        <v>66</v>
      </c>
      <c r="C1723" t="s">
        <v>11</v>
      </c>
      <c r="D1723" t="s">
        <v>41</v>
      </c>
      <c r="E1723" t="s">
        <v>44</v>
      </c>
      <c r="F1723">
        <v>182.06</v>
      </c>
      <c r="G1723" t="s">
        <v>19</v>
      </c>
      <c r="H1723" t="s">
        <v>15</v>
      </c>
      <c r="I1723">
        <v>3.5</v>
      </c>
      <c r="J1723">
        <v>14</v>
      </c>
      <c r="K1723">
        <v>7</v>
      </c>
    </row>
    <row r="1724" spans="1:11" x14ac:dyDescent="0.35">
      <c r="A1724">
        <v>1723</v>
      </c>
      <c r="B1724">
        <v>28</v>
      </c>
      <c r="C1724" t="s">
        <v>11</v>
      </c>
      <c r="D1724" t="s">
        <v>29</v>
      </c>
      <c r="E1724" t="s">
        <v>30</v>
      </c>
      <c r="F1724">
        <v>102.87</v>
      </c>
      <c r="G1724" t="s">
        <v>14</v>
      </c>
      <c r="H1724" t="s">
        <v>15</v>
      </c>
      <c r="I1724">
        <v>3.6</v>
      </c>
      <c r="J1724">
        <v>22</v>
      </c>
      <c r="K1724">
        <v>6</v>
      </c>
    </row>
    <row r="1725" spans="1:11" x14ac:dyDescent="0.35">
      <c r="A1725">
        <v>1724</v>
      </c>
      <c r="B1725">
        <v>68</v>
      </c>
      <c r="C1725" t="s">
        <v>11</v>
      </c>
      <c r="D1725" t="s">
        <v>33</v>
      </c>
      <c r="E1725" t="s">
        <v>38</v>
      </c>
      <c r="F1725">
        <v>246.27</v>
      </c>
      <c r="G1725" t="s">
        <v>24</v>
      </c>
      <c r="H1725" t="s">
        <v>15</v>
      </c>
      <c r="I1725">
        <v>4.7</v>
      </c>
      <c r="J1725">
        <v>17</v>
      </c>
      <c r="K1725">
        <v>6</v>
      </c>
    </row>
    <row r="1726" spans="1:11" x14ac:dyDescent="0.35">
      <c r="A1726">
        <v>1725</v>
      </c>
      <c r="B1726">
        <v>48</v>
      </c>
      <c r="C1726" t="s">
        <v>16</v>
      </c>
      <c r="D1726" t="s">
        <v>17</v>
      </c>
      <c r="E1726" t="s">
        <v>18</v>
      </c>
      <c r="F1726">
        <v>91.82</v>
      </c>
      <c r="G1726" t="s">
        <v>14</v>
      </c>
      <c r="H1726" t="s">
        <v>37</v>
      </c>
      <c r="I1726">
        <v>4.2</v>
      </c>
      <c r="J1726">
        <v>21</v>
      </c>
      <c r="K1726">
        <v>8</v>
      </c>
    </row>
    <row r="1727" spans="1:11" x14ac:dyDescent="0.35">
      <c r="A1727">
        <v>1726</v>
      </c>
      <c r="B1727">
        <v>21</v>
      </c>
      <c r="C1727" t="s">
        <v>11</v>
      </c>
      <c r="D1727" t="s">
        <v>29</v>
      </c>
      <c r="E1727" t="s">
        <v>51</v>
      </c>
      <c r="F1727">
        <v>34.909999999999997</v>
      </c>
      <c r="G1727" t="s">
        <v>14</v>
      </c>
      <c r="H1727" t="s">
        <v>15</v>
      </c>
      <c r="I1727">
        <v>4.0999999999999996</v>
      </c>
      <c r="J1727">
        <v>16</v>
      </c>
      <c r="K1727">
        <v>3</v>
      </c>
    </row>
    <row r="1728" spans="1:11" x14ac:dyDescent="0.35">
      <c r="A1728">
        <v>1727</v>
      </c>
      <c r="B1728">
        <v>22</v>
      </c>
      <c r="C1728" t="s">
        <v>16</v>
      </c>
      <c r="D1728" t="s">
        <v>27</v>
      </c>
      <c r="E1728" t="s">
        <v>49</v>
      </c>
      <c r="F1728">
        <v>2921.73</v>
      </c>
      <c r="G1728" t="s">
        <v>19</v>
      </c>
      <c r="H1728" t="s">
        <v>15</v>
      </c>
      <c r="I1728">
        <v>4.4000000000000004</v>
      </c>
      <c r="J1728">
        <v>11</v>
      </c>
      <c r="K1728">
        <v>3</v>
      </c>
    </row>
    <row r="1729" spans="1:11" x14ac:dyDescent="0.35">
      <c r="A1729">
        <v>1728</v>
      </c>
      <c r="B1729">
        <v>20</v>
      </c>
      <c r="C1729" t="s">
        <v>11</v>
      </c>
      <c r="D1729" t="s">
        <v>12</v>
      </c>
      <c r="E1729" t="s">
        <v>13</v>
      </c>
      <c r="F1729">
        <v>141.9</v>
      </c>
      <c r="G1729" t="s">
        <v>24</v>
      </c>
      <c r="H1729" t="s">
        <v>15</v>
      </c>
      <c r="I1729">
        <v>3.4</v>
      </c>
      <c r="J1729">
        <v>11</v>
      </c>
      <c r="K1729">
        <v>3</v>
      </c>
    </row>
    <row r="1730" spans="1:11" x14ac:dyDescent="0.35">
      <c r="A1730">
        <v>1729</v>
      </c>
      <c r="B1730">
        <v>64</v>
      </c>
      <c r="C1730" t="s">
        <v>11</v>
      </c>
      <c r="D1730" t="s">
        <v>12</v>
      </c>
      <c r="E1730" t="s">
        <v>56</v>
      </c>
      <c r="F1730">
        <v>95.27</v>
      </c>
      <c r="G1730" t="s">
        <v>19</v>
      </c>
      <c r="H1730" t="s">
        <v>15</v>
      </c>
      <c r="I1730">
        <v>4.5999999999999996</v>
      </c>
      <c r="J1730">
        <v>24</v>
      </c>
      <c r="K1730">
        <v>7</v>
      </c>
    </row>
    <row r="1731" spans="1:11" x14ac:dyDescent="0.35">
      <c r="A1731">
        <v>1730</v>
      </c>
      <c r="B1731">
        <v>43</v>
      </c>
      <c r="C1731" t="s">
        <v>11</v>
      </c>
      <c r="D1731" t="s">
        <v>12</v>
      </c>
      <c r="E1731" t="s">
        <v>56</v>
      </c>
      <c r="F1731">
        <v>26.57</v>
      </c>
      <c r="G1731" t="s">
        <v>31</v>
      </c>
      <c r="H1731" t="s">
        <v>37</v>
      </c>
      <c r="I1731">
        <v>3.8</v>
      </c>
      <c r="J1731">
        <v>22</v>
      </c>
      <c r="K1731">
        <v>6</v>
      </c>
    </row>
    <row r="1732" spans="1:11" x14ac:dyDescent="0.35">
      <c r="A1732">
        <v>1731</v>
      </c>
      <c r="B1732">
        <v>41</v>
      </c>
      <c r="C1732" t="s">
        <v>11</v>
      </c>
      <c r="D1732" t="s">
        <v>33</v>
      </c>
      <c r="E1732" t="s">
        <v>40</v>
      </c>
      <c r="F1732">
        <v>232.67</v>
      </c>
      <c r="G1732" t="s">
        <v>24</v>
      </c>
      <c r="H1732" t="s">
        <v>15</v>
      </c>
      <c r="I1732">
        <v>4.3</v>
      </c>
      <c r="J1732">
        <v>20</v>
      </c>
      <c r="K1732">
        <v>5</v>
      </c>
    </row>
    <row r="1733" spans="1:11" x14ac:dyDescent="0.35">
      <c r="A1733">
        <v>1732</v>
      </c>
      <c r="B1733">
        <v>37</v>
      </c>
      <c r="C1733" t="s">
        <v>16</v>
      </c>
      <c r="D1733" t="s">
        <v>17</v>
      </c>
      <c r="E1733" t="s">
        <v>48</v>
      </c>
      <c r="F1733">
        <v>144.66999999999999</v>
      </c>
      <c r="G1733" t="s">
        <v>24</v>
      </c>
      <c r="H1733" t="s">
        <v>15</v>
      </c>
      <c r="I1733">
        <v>5</v>
      </c>
      <c r="J1733">
        <v>10</v>
      </c>
      <c r="K1733">
        <v>5</v>
      </c>
    </row>
    <row r="1734" spans="1:11" x14ac:dyDescent="0.35">
      <c r="A1734">
        <v>1733</v>
      </c>
      <c r="B1734">
        <v>37</v>
      </c>
      <c r="C1734" t="s">
        <v>16</v>
      </c>
      <c r="D1734" t="s">
        <v>20</v>
      </c>
      <c r="E1734" t="s">
        <v>21</v>
      </c>
      <c r="F1734">
        <v>38.82</v>
      </c>
      <c r="G1734" t="s">
        <v>31</v>
      </c>
      <c r="H1734" t="s">
        <v>37</v>
      </c>
      <c r="I1734">
        <v>3.8</v>
      </c>
      <c r="J1734">
        <v>22</v>
      </c>
      <c r="K1734">
        <v>6</v>
      </c>
    </row>
    <row r="1735" spans="1:11" x14ac:dyDescent="0.35">
      <c r="A1735">
        <v>1734</v>
      </c>
      <c r="B1735">
        <v>52</v>
      </c>
      <c r="C1735" t="s">
        <v>16</v>
      </c>
      <c r="D1735" t="s">
        <v>17</v>
      </c>
      <c r="E1735" t="s">
        <v>48</v>
      </c>
      <c r="F1735">
        <v>165.6</v>
      </c>
      <c r="G1735" t="s">
        <v>19</v>
      </c>
      <c r="H1735" t="s">
        <v>15</v>
      </c>
      <c r="I1735">
        <v>4.2</v>
      </c>
      <c r="J1735">
        <v>8</v>
      </c>
      <c r="K1735">
        <v>4</v>
      </c>
    </row>
    <row r="1736" spans="1:11" x14ac:dyDescent="0.35">
      <c r="A1736">
        <v>1735</v>
      </c>
      <c r="B1736">
        <v>29</v>
      </c>
      <c r="C1736" t="s">
        <v>16</v>
      </c>
      <c r="D1736" t="s">
        <v>20</v>
      </c>
      <c r="E1736" t="s">
        <v>36</v>
      </c>
      <c r="F1736">
        <v>89.4</v>
      </c>
      <c r="G1736" t="s">
        <v>19</v>
      </c>
      <c r="H1736" t="s">
        <v>15</v>
      </c>
      <c r="I1736">
        <v>4.8</v>
      </c>
      <c r="J1736">
        <v>15</v>
      </c>
      <c r="K1736">
        <v>5</v>
      </c>
    </row>
    <row r="1737" spans="1:11" x14ac:dyDescent="0.35">
      <c r="A1737">
        <v>1736</v>
      </c>
      <c r="B1737">
        <v>61</v>
      </c>
      <c r="C1737" t="s">
        <v>11</v>
      </c>
      <c r="D1737" t="s">
        <v>41</v>
      </c>
      <c r="E1737" t="s">
        <v>44</v>
      </c>
      <c r="F1737">
        <v>55.18</v>
      </c>
      <c r="G1737" t="s">
        <v>24</v>
      </c>
      <c r="H1737" t="s">
        <v>37</v>
      </c>
      <c r="I1737">
        <v>3.9</v>
      </c>
      <c r="J1737">
        <v>13</v>
      </c>
      <c r="K1737">
        <v>4</v>
      </c>
    </row>
    <row r="1738" spans="1:11" x14ac:dyDescent="0.35">
      <c r="A1738">
        <v>1737</v>
      </c>
      <c r="B1738">
        <v>27</v>
      </c>
      <c r="C1738" t="s">
        <v>16</v>
      </c>
      <c r="D1738" t="s">
        <v>27</v>
      </c>
      <c r="E1738" t="s">
        <v>49</v>
      </c>
      <c r="F1738">
        <v>2194.8200000000002</v>
      </c>
      <c r="G1738" t="s">
        <v>14</v>
      </c>
      <c r="H1738" t="s">
        <v>15</v>
      </c>
      <c r="I1738">
        <v>4.2</v>
      </c>
      <c r="J1738">
        <v>24</v>
      </c>
      <c r="K1738">
        <v>7</v>
      </c>
    </row>
    <row r="1739" spans="1:11" x14ac:dyDescent="0.35">
      <c r="A1739">
        <v>1738</v>
      </c>
      <c r="B1739">
        <v>69</v>
      </c>
      <c r="C1739" t="s">
        <v>11</v>
      </c>
      <c r="D1739" t="s">
        <v>41</v>
      </c>
      <c r="E1739" t="s">
        <v>45</v>
      </c>
      <c r="F1739">
        <v>149.44</v>
      </c>
      <c r="G1739" t="s">
        <v>14</v>
      </c>
      <c r="H1739" t="s">
        <v>15</v>
      </c>
      <c r="I1739">
        <v>4.0999999999999996</v>
      </c>
      <c r="J1739">
        <v>10</v>
      </c>
      <c r="K1739">
        <v>5</v>
      </c>
    </row>
    <row r="1740" spans="1:11" x14ac:dyDescent="0.35">
      <c r="A1740">
        <v>1739</v>
      </c>
      <c r="B1740">
        <v>53</v>
      </c>
      <c r="C1740" t="s">
        <v>16</v>
      </c>
      <c r="D1740" t="s">
        <v>17</v>
      </c>
      <c r="E1740" t="s">
        <v>48</v>
      </c>
      <c r="F1740">
        <v>181.37</v>
      </c>
      <c r="G1740" t="s">
        <v>14</v>
      </c>
      <c r="H1740" t="s">
        <v>15</v>
      </c>
      <c r="I1740">
        <v>4</v>
      </c>
      <c r="J1740">
        <v>20</v>
      </c>
      <c r="K1740">
        <v>5</v>
      </c>
    </row>
    <row r="1741" spans="1:11" x14ac:dyDescent="0.35">
      <c r="A1741">
        <v>1740</v>
      </c>
      <c r="B1741">
        <v>42</v>
      </c>
      <c r="C1741" t="s">
        <v>16</v>
      </c>
      <c r="D1741" t="s">
        <v>20</v>
      </c>
      <c r="E1741" t="s">
        <v>36</v>
      </c>
      <c r="F1741">
        <v>65.55</v>
      </c>
      <c r="G1741" t="s">
        <v>31</v>
      </c>
      <c r="H1741" t="s">
        <v>37</v>
      </c>
      <c r="I1741">
        <v>4</v>
      </c>
      <c r="J1741">
        <v>8</v>
      </c>
      <c r="K1741">
        <v>4</v>
      </c>
    </row>
    <row r="1742" spans="1:11" x14ac:dyDescent="0.35">
      <c r="A1742">
        <v>1741</v>
      </c>
      <c r="B1742">
        <v>40</v>
      </c>
      <c r="C1742" t="s">
        <v>11</v>
      </c>
      <c r="D1742" t="s">
        <v>29</v>
      </c>
      <c r="E1742" t="s">
        <v>30</v>
      </c>
      <c r="F1742">
        <v>60.6</v>
      </c>
      <c r="G1742" t="s">
        <v>24</v>
      </c>
      <c r="H1742" t="s">
        <v>15</v>
      </c>
      <c r="I1742">
        <v>4.5</v>
      </c>
      <c r="J1742">
        <v>15</v>
      </c>
      <c r="K1742">
        <v>5</v>
      </c>
    </row>
    <row r="1743" spans="1:11" x14ac:dyDescent="0.35">
      <c r="A1743">
        <v>1742</v>
      </c>
      <c r="B1743">
        <v>45</v>
      </c>
      <c r="C1743" t="s">
        <v>11</v>
      </c>
      <c r="D1743" t="s">
        <v>41</v>
      </c>
      <c r="E1743" t="s">
        <v>45</v>
      </c>
      <c r="F1743">
        <v>87.8</v>
      </c>
      <c r="G1743" t="s">
        <v>14</v>
      </c>
      <c r="H1743" t="s">
        <v>37</v>
      </c>
      <c r="I1743">
        <v>4.7</v>
      </c>
      <c r="J1743">
        <v>21</v>
      </c>
      <c r="K1743">
        <v>8</v>
      </c>
    </row>
    <row r="1744" spans="1:11" x14ac:dyDescent="0.35">
      <c r="A1744">
        <v>1743</v>
      </c>
      <c r="B1744">
        <v>37</v>
      </c>
      <c r="C1744" t="s">
        <v>16</v>
      </c>
      <c r="D1744" t="s">
        <v>20</v>
      </c>
      <c r="E1744" t="s">
        <v>36</v>
      </c>
      <c r="F1744">
        <v>223.54</v>
      </c>
      <c r="G1744" t="s">
        <v>14</v>
      </c>
      <c r="H1744" t="s">
        <v>15</v>
      </c>
      <c r="I1744">
        <v>3.7</v>
      </c>
      <c r="J1744">
        <v>15</v>
      </c>
      <c r="K1744">
        <v>5</v>
      </c>
    </row>
    <row r="1745" spans="1:11" x14ac:dyDescent="0.35">
      <c r="A1745">
        <v>1744</v>
      </c>
      <c r="B1745">
        <v>27</v>
      </c>
      <c r="C1745" t="s">
        <v>11</v>
      </c>
      <c r="D1745" t="s">
        <v>12</v>
      </c>
      <c r="E1745" t="s">
        <v>50</v>
      </c>
      <c r="F1745">
        <v>113.9</v>
      </c>
      <c r="G1745" t="s">
        <v>19</v>
      </c>
      <c r="H1745" t="s">
        <v>15</v>
      </c>
      <c r="I1745">
        <v>4.5</v>
      </c>
      <c r="J1745">
        <v>8</v>
      </c>
      <c r="K1745">
        <v>4</v>
      </c>
    </row>
    <row r="1746" spans="1:11" x14ac:dyDescent="0.35">
      <c r="A1746">
        <v>1745</v>
      </c>
      <c r="B1746">
        <v>51</v>
      </c>
      <c r="C1746" t="s">
        <v>16</v>
      </c>
      <c r="D1746" t="s">
        <v>25</v>
      </c>
      <c r="E1746" t="s">
        <v>47</v>
      </c>
      <c r="F1746">
        <v>47.16</v>
      </c>
      <c r="G1746" t="s">
        <v>24</v>
      </c>
      <c r="H1746" t="s">
        <v>15</v>
      </c>
      <c r="I1746">
        <v>5</v>
      </c>
      <c r="J1746">
        <v>32</v>
      </c>
      <c r="K1746">
        <v>11</v>
      </c>
    </row>
    <row r="1747" spans="1:11" x14ac:dyDescent="0.35">
      <c r="A1747">
        <v>1746</v>
      </c>
      <c r="B1747">
        <v>60</v>
      </c>
      <c r="C1747" t="s">
        <v>16</v>
      </c>
      <c r="D1747" t="s">
        <v>27</v>
      </c>
      <c r="E1747" t="s">
        <v>32</v>
      </c>
      <c r="F1747">
        <v>2140.91</v>
      </c>
      <c r="G1747" t="s">
        <v>19</v>
      </c>
      <c r="H1747" t="s">
        <v>15</v>
      </c>
      <c r="I1747">
        <v>3.7</v>
      </c>
      <c r="J1747">
        <v>14</v>
      </c>
      <c r="K1747">
        <v>7</v>
      </c>
    </row>
    <row r="1748" spans="1:11" x14ac:dyDescent="0.35">
      <c r="A1748">
        <v>1747</v>
      </c>
      <c r="B1748">
        <v>39</v>
      </c>
      <c r="C1748" t="s">
        <v>11</v>
      </c>
      <c r="D1748" t="s">
        <v>29</v>
      </c>
      <c r="E1748" t="s">
        <v>51</v>
      </c>
      <c r="F1748">
        <v>114.5</v>
      </c>
      <c r="G1748" t="s">
        <v>14</v>
      </c>
      <c r="H1748" t="s">
        <v>15</v>
      </c>
      <c r="I1748">
        <v>2.6</v>
      </c>
      <c r="J1748">
        <v>7</v>
      </c>
      <c r="K1748">
        <v>1</v>
      </c>
    </row>
    <row r="1749" spans="1:11" x14ac:dyDescent="0.35">
      <c r="A1749">
        <v>1748</v>
      </c>
      <c r="B1749">
        <v>38</v>
      </c>
      <c r="C1749" t="s">
        <v>16</v>
      </c>
      <c r="D1749" t="s">
        <v>27</v>
      </c>
      <c r="E1749" t="s">
        <v>32</v>
      </c>
      <c r="F1749">
        <v>1304.49</v>
      </c>
      <c r="G1749" t="s">
        <v>24</v>
      </c>
      <c r="H1749" t="s">
        <v>15</v>
      </c>
      <c r="I1749">
        <v>3.5</v>
      </c>
      <c r="J1749">
        <v>12</v>
      </c>
      <c r="K1749">
        <v>6</v>
      </c>
    </row>
    <row r="1750" spans="1:11" x14ac:dyDescent="0.35">
      <c r="A1750">
        <v>1749</v>
      </c>
      <c r="B1750">
        <v>58</v>
      </c>
      <c r="C1750" t="s">
        <v>16</v>
      </c>
      <c r="D1750" t="s">
        <v>17</v>
      </c>
      <c r="E1750" t="s">
        <v>48</v>
      </c>
      <c r="F1750">
        <v>99.6</v>
      </c>
      <c r="G1750" t="s">
        <v>19</v>
      </c>
      <c r="H1750" t="s">
        <v>37</v>
      </c>
      <c r="I1750">
        <v>4.2</v>
      </c>
      <c r="J1750">
        <v>12</v>
      </c>
      <c r="K1750">
        <v>6</v>
      </c>
    </row>
    <row r="1751" spans="1:11" x14ac:dyDescent="0.35">
      <c r="A1751">
        <v>1750</v>
      </c>
      <c r="B1751">
        <v>24</v>
      </c>
      <c r="C1751" t="s">
        <v>16</v>
      </c>
      <c r="D1751" t="s">
        <v>27</v>
      </c>
      <c r="E1751" t="s">
        <v>53</v>
      </c>
      <c r="F1751">
        <v>1953.51</v>
      </c>
      <c r="G1751" t="s">
        <v>14</v>
      </c>
      <c r="H1751" t="s">
        <v>15</v>
      </c>
      <c r="I1751">
        <v>4.9000000000000004</v>
      </c>
      <c r="J1751">
        <v>16</v>
      </c>
      <c r="K1751">
        <v>8</v>
      </c>
    </row>
    <row r="1752" spans="1:11" x14ac:dyDescent="0.35">
      <c r="A1752">
        <v>1751</v>
      </c>
      <c r="B1752">
        <v>22</v>
      </c>
      <c r="C1752" t="s">
        <v>16</v>
      </c>
      <c r="D1752" t="s">
        <v>17</v>
      </c>
      <c r="E1752" t="s">
        <v>35</v>
      </c>
      <c r="F1752">
        <v>143.30000000000001</v>
      </c>
      <c r="G1752" t="s">
        <v>24</v>
      </c>
      <c r="H1752" t="s">
        <v>15</v>
      </c>
      <c r="I1752">
        <v>3.8</v>
      </c>
      <c r="J1752">
        <v>13</v>
      </c>
      <c r="K1752">
        <v>4</v>
      </c>
    </row>
    <row r="1753" spans="1:11" x14ac:dyDescent="0.35">
      <c r="A1753">
        <v>1752</v>
      </c>
      <c r="B1753">
        <v>56</v>
      </c>
      <c r="C1753" t="s">
        <v>11</v>
      </c>
      <c r="D1753" t="s">
        <v>12</v>
      </c>
      <c r="E1753" t="s">
        <v>50</v>
      </c>
      <c r="F1753">
        <v>48.36</v>
      </c>
      <c r="G1753" t="s">
        <v>14</v>
      </c>
      <c r="H1753" t="s">
        <v>15</v>
      </c>
      <c r="I1753">
        <v>3.4</v>
      </c>
      <c r="J1753">
        <v>17</v>
      </c>
      <c r="K1753">
        <v>6</v>
      </c>
    </row>
    <row r="1754" spans="1:11" x14ac:dyDescent="0.35">
      <c r="A1754">
        <v>1753</v>
      </c>
      <c r="B1754">
        <v>68</v>
      </c>
      <c r="C1754" t="s">
        <v>16</v>
      </c>
      <c r="D1754" t="s">
        <v>27</v>
      </c>
      <c r="E1754" t="s">
        <v>49</v>
      </c>
      <c r="F1754">
        <v>566.58000000000004</v>
      </c>
      <c r="G1754" t="s">
        <v>31</v>
      </c>
      <c r="H1754" t="s">
        <v>15</v>
      </c>
      <c r="I1754">
        <v>3.2</v>
      </c>
      <c r="J1754">
        <v>11</v>
      </c>
      <c r="K1754">
        <v>3</v>
      </c>
    </row>
    <row r="1755" spans="1:11" x14ac:dyDescent="0.35">
      <c r="A1755">
        <v>1754</v>
      </c>
      <c r="B1755">
        <v>70</v>
      </c>
      <c r="C1755" t="s">
        <v>11</v>
      </c>
      <c r="D1755" t="s">
        <v>25</v>
      </c>
      <c r="E1755" t="s">
        <v>54</v>
      </c>
      <c r="F1755">
        <v>39.270000000000003</v>
      </c>
      <c r="G1755" t="s">
        <v>19</v>
      </c>
      <c r="H1755" t="s">
        <v>15</v>
      </c>
      <c r="I1755">
        <v>3.1</v>
      </c>
      <c r="J1755">
        <v>26</v>
      </c>
      <c r="K1755">
        <v>8</v>
      </c>
    </row>
    <row r="1756" spans="1:11" x14ac:dyDescent="0.35">
      <c r="A1756">
        <v>1755</v>
      </c>
      <c r="B1756">
        <v>22</v>
      </c>
      <c r="C1756" t="s">
        <v>16</v>
      </c>
      <c r="D1756" t="s">
        <v>17</v>
      </c>
      <c r="E1756" t="s">
        <v>18</v>
      </c>
      <c r="F1756">
        <v>98.74</v>
      </c>
      <c r="G1756" t="s">
        <v>31</v>
      </c>
      <c r="H1756" t="s">
        <v>15</v>
      </c>
      <c r="I1756">
        <v>4</v>
      </c>
      <c r="J1756">
        <v>12</v>
      </c>
      <c r="K1756">
        <v>6</v>
      </c>
    </row>
    <row r="1757" spans="1:11" x14ac:dyDescent="0.35">
      <c r="A1757">
        <v>1756</v>
      </c>
      <c r="B1757">
        <v>69</v>
      </c>
      <c r="C1757" t="s">
        <v>11</v>
      </c>
      <c r="D1757" t="s">
        <v>29</v>
      </c>
      <c r="E1757" t="s">
        <v>51</v>
      </c>
      <c r="F1757">
        <v>108.96</v>
      </c>
      <c r="G1757" t="s">
        <v>31</v>
      </c>
      <c r="H1757" t="s">
        <v>15</v>
      </c>
      <c r="I1757">
        <v>4.4000000000000004</v>
      </c>
      <c r="J1757">
        <v>24</v>
      </c>
      <c r="K1757">
        <v>7</v>
      </c>
    </row>
    <row r="1758" spans="1:11" x14ac:dyDescent="0.35">
      <c r="A1758">
        <v>1757</v>
      </c>
      <c r="B1758">
        <v>66</v>
      </c>
      <c r="C1758" t="s">
        <v>16</v>
      </c>
      <c r="D1758" t="s">
        <v>25</v>
      </c>
      <c r="E1758" t="s">
        <v>57</v>
      </c>
      <c r="F1758">
        <v>55.46</v>
      </c>
      <c r="G1758" t="s">
        <v>19</v>
      </c>
      <c r="H1758" t="s">
        <v>15</v>
      </c>
      <c r="I1758">
        <v>3.7</v>
      </c>
      <c r="J1758">
        <v>10</v>
      </c>
      <c r="K1758">
        <v>5</v>
      </c>
    </row>
    <row r="1759" spans="1:11" x14ac:dyDescent="0.35">
      <c r="A1759">
        <v>1758</v>
      </c>
      <c r="B1759">
        <v>43</v>
      </c>
      <c r="C1759" t="s">
        <v>11</v>
      </c>
      <c r="D1759" t="s">
        <v>20</v>
      </c>
      <c r="E1759" t="s">
        <v>21</v>
      </c>
      <c r="F1759">
        <v>80.150000000000006</v>
      </c>
      <c r="G1759" t="s">
        <v>14</v>
      </c>
      <c r="H1759" t="s">
        <v>15</v>
      </c>
      <c r="I1759">
        <v>4.7</v>
      </c>
      <c r="J1759">
        <v>11</v>
      </c>
      <c r="K1759">
        <v>3</v>
      </c>
    </row>
    <row r="1760" spans="1:11" x14ac:dyDescent="0.35">
      <c r="A1760">
        <v>1759</v>
      </c>
      <c r="B1760">
        <v>63</v>
      </c>
      <c r="C1760" t="s">
        <v>16</v>
      </c>
      <c r="D1760" t="s">
        <v>20</v>
      </c>
      <c r="E1760" t="s">
        <v>36</v>
      </c>
      <c r="F1760">
        <v>202.07</v>
      </c>
      <c r="G1760" t="s">
        <v>31</v>
      </c>
      <c r="H1760" t="s">
        <v>15</v>
      </c>
      <c r="I1760">
        <v>3.7</v>
      </c>
      <c r="J1760">
        <v>16</v>
      </c>
      <c r="K1760">
        <v>3</v>
      </c>
    </row>
    <row r="1761" spans="1:11" x14ac:dyDescent="0.35">
      <c r="A1761">
        <v>1760</v>
      </c>
      <c r="B1761">
        <v>23</v>
      </c>
      <c r="C1761" t="s">
        <v>16</v>
      </c>
      <c r="D1761" t="s">
        <v>17</v>
      </c>
      <c r="E1761" t="s">
        <v>18</v>
      </c>
      <c r="F1761">
        <v>117.84</v>
      </c>
      <c r="G1761" t="s">
        <v>24</v>
      </c>
      <c r="H1761" t="s">
        <v>15</v>
      </c>
      <c r="I1761">
        <v>3.1</v>
      </c>
      <c r="J1761">
        <v>24</v>
      </c>
      <c r="K1761">
        <v>7</v>
      </c>
    </row>
    <row r="1762" spans="1:11" x14ac:dyDescent="0.35">
      <c r="A1762">
        <v>1761</v>
      </c>
      <c r="B1762">
        <v>44</v>
      </c>
      <c r="C1762" t="s">
        <v>16</v>
      </c>
      <c r="D1762" t="s">
        <v>17</v>
      </c>
      <c r="E1762" t="s">
        <v>18</v>
      </c>
      <c r="F1762">
        <v>194.65</v>
      </c>
      <c r="G1762" t="s">
        <v>19</v>
      </c>
      <c r="H1762" t="s">
        <v>15</v>
      </c>
      <c r="I1762">
        <v>4.2</v>
      </c>
      <c r="J1762">
        <v>22</v>
      </c>
      <c r="K1762">
        <v>6</v>
      </c>
    </row>
    <row r="1763" spans="1:11" x14ac:dyDescent="0.35">
      <c r="A1763">
        <v>1762</v>
      </c>
      <c r="B1763">
        <v>68</v>
      </c>
      <c r="C1763" t="s">
        <v>11</v>
      </c>
      <c r="D1763" t="s">
        <v>29</v>
      </c>
      <c r="E1763" t="s">
        <v>51</v>
      </c>
      <c r="F1763">
        <v>107.91</v>
      </c>
      <c r="G1763" t="s">
        <v>19</v>
      </c>
      <c r="H1763" t="s">
        <v>15</v>
      </c>
      <c r="I1763">
        <v>4</v>
      </c>
      <c r="J1763">
        <v>17</v>
      </c>
      <c r="K1763">
        <v>6</v>
      </c>
    </row>
    <row r="1764" spans="1:11" x14ac:dyDescent="0.35">
      <c r="A1764">
        <v>1763</v>
      </c>
      <c r="B1764">
        <v>34</v>
      </c>
      <c r="C1764" t="s">
        <v>16</v>
      </c>
      <c r="D1764" t="s">
        <v>20</v>
      </c>
      <c r="E1764" t="s">
        <v>39</v>
      </c>
      <c r="F1764">
        <v>184.29</v>
      </c>
      <c r="G1764" t="s">
        <v>14</v>
      </c>
      <c r="H1764" t="s">
        <v>15</v>
      </c>
      <c r="I1764">
        <v>5</v>
      </c>
      <c r="J1764">
        <v>11</v>
      </c>
      <c r="K1764">
        <v>3</v>
      </c>
    </row>
    <row r="1765" spans="1:11" x14ac:dyDescent="0.35">
      <c r="A1765">
        <v>1764</v>
      </c>
      <c r="B1765">
        <v>35</v>
      </c>
      <c r="C1765" t="s">
        <v>11</v>
      </c>
      <c r="D1765" t="s">
        <v>29</v>
      </c>
      <c r="E1765" t="s">
        <v>51</v>
      </c>
      <c r="F1765">
        <v>121.94</v>
      </c>
      <c r="G1765" t="s">
        <v>19</v>
      </c>
      <c r="H1765" t="s">
        <v>15</v>
      </c>
      <c r="I1765">
        <v>3.4</v>
      </c>
      <c r="J1765">
        <v>22</v>
      </c>
      <c r="K1765">
        <v>6</v>
      </c>
    </row>
    <row r="1766" spans="1:11" x14ac:dyDescent="0.35">
      <c r="A1766">
        <v>1765</v>
      </c>
      <c r="B1766">
        <v>51</v>
      </c>
      <c r="C1766" t="s">
        <v>16</v>
      </c>
      <c r="D1766" t="s">
        <v>20</v>
      </c>
      <c r="E1766" t="s">
        <v>21</v>
      </c>
      <c r="F1766">
        <v>218.04</v>
      </c>
      <c r="G1766" t="s">
        <v>31</v>
      </c>
      <c r="H1766" t="s">
        <v>15</v>
      </c>
      <c r="I1766">
        <v>3</v>
      </c>
      <c r="J1766">
        <v>20</v>
      </c>
      <c r="K1766">
        <v>5</v>
      </c>
    </row>
    <row r="1767" spans="1:11" x14ac:dyDescent="0.35">
      <c r="A1767">
        <v>1766</v>
      </c>
      <c r="B1767">
        <v>62</v>
      </c>
      <c r="C1767" t="s">
        <v>11</v>
      </c>
      <c r="D1767" t="s">
        <v>12</v>
      </c>
      <c r="E1767" t="s">
        <v>13</v>
      </c>
      <c r="F1767">
        <v>90.96</v>
      </c>
      <c r="G1767" t="s">
        <v>24</v>
      </c>
      <c r="H1767" t="s">
        <v>15</v>
      </c>
      <c r="I1767">
        <v>3.6</v>
      </c>
      <c r="J1767">
        <v>11</v>
      </c>
      <c r="K1767">
        <v>3</v>
      </c>
    </row>
    <row r="1768" spans="1:11" x14ac:dyDescent="0.35">
      <c r="A1768">
        <v>1767</v>
      </c>
      <c r="B1768">
        <v>44</v>
      </c>
      <c r="C1768" t="s">
        <v>16</v>
      </c>
      <c r="D1768" t="s">
        <v>27</v>
      </c>
      <c r="E1768" t="s">
        <v>49</v>
      </c>
      <c r="F1768">
        <v>2617.6799999999998</v>
      </c>
      <c r="G1768" t="s">
        <v>14</v>
      </c>
      <c r="H1768" t="s">
        <v>15</v>
      </c>
      <c r="I1768">
        <v>3.7</v>
      </c>
      <c r="J1768">
        <v>12</v>
      </c>
      <c r="K1768">
        <v>6</v>
      </c>
    </row>
    <row r="1769" spans="1:11" x14ac:dyDescent="0.35">
      <c r="A1769">
        <v>1768</v>
      </c>
      <c r="B1769">
        <v>29</v>
      </c>
      <c r="C1769" t="s">
        <v>16</v>
      </c>
      <c r="D1769" t="s">
        <v>20</v>
      </c>
      <c r="E1769" t="s">
        <v>21</v>
      </c>
      <c r="F1769">
        <v>165.92</v>
      </c>
      <c r="G1769" t="s">
        <v>19</v>
      </c>
      <c r="H1769" t="s">
        <v>15</v>
      </c>
      <c r="I1769">
        <v>3.2</v>
      </c>
      <c r="J1769">
        <v>19</v>
      </c>
      <c r="K1769">
        <v>7</v>
      </c>
    </row>
    <row r="1770" spans="1:11" x14ac:dyDescent="0.35">
      <c r="A1770">
        <v>1769</v>
      </c>
      <c r="B1770">
        <v>67</v>
      </c>
      <c r="C1770" t="s">
        <v>11</v>
      </c>
      <c r="D1770" t="s">
        <v>29</v>
      </c>
      <c r="E1770" t="s">
        <v>55</v>
      </c>
      <c r="F1770">
        <v>120.75</v>
      </c>
      <c r="G1770" t="s">
        <v>14</v>
      </c>
      <c r="H1770" t="s">
        <v>15</v>
      </c>
      <c r="I1770">
        <v>3.4</v>
      </c>
      <c r="J1770">
        <v>13</v>
      </c>
      <c r="K1770">
        <v>4</v>
      </c>
    </row>
    <row r="1771" spans="1:11" x14ac:dyDescent="0.35">
      <c r="A1771">
        <v>1770</v>
      </c>
      <c r="B1771">
        <v>55</v>
      </c>
      <c r="C1771" t="s">
        <v>11</v>
      </c>
      <c r="D1771" t="s">
        <v>33</v>
      </c>
      <c r="E1771" t="s">
        <v>34</v>
      </c>
      <c r="F1771">
        <v>213.52</v>
      </c>
      <c r="G1771" t="s">
        <v>24</v>
      </c>
      <c r="H1771" t="s">
        <v>15</v>
      </c>
      <c r="I1771">
        <v>3.1</v>
      </c>
      <c r="J1771">
        <v>14</v>
      </c>
      <c r="K1771">
        <v>7</v>
      </c>
    </row>
    <row r="1772" spans="1:11" x14ac:dyDescent="0.35">
      <c r="A1772">
        <v>1771</v>
      </c>
      <c r="B1772">
        <v>55</v>
      </c>
      <c r="C1772" t="s">
        <v>16</v>
      </c>
      <c r="D1772" t="s">
        <v>27</v>
      </c>
      <c r="E1772" t="s">
        <v>28</v>
      </c>
      <c r="F1772">
        <v>2217.08</v>
      </c>
      <c r="G1772" t="s">
        <v>24</v>
      </c>
      <c r="H1772" t="s">
        <v>15</v>
      </c>
      <c r="I1772">
        <v>4.2</v>
      </c>
      <c r="J1772">
        <v>21</v>
      </c>
      <c r="K1772">
        <v>8</v>
      </c>
    </row>
    <row r="1773" spans="1:11" x14ac:dyDescent="0.35">
      <c r="A1773">
        <v>1772</v>
      </c>
      <c r="B1773">
        <v>45</v>
      </c>
      <c r="C1773" t="s">
        <v>11</v>
      </c>
      <c r="D1773" t="s">
        <v>33</v>
      </c>
      <c r="E1773" t="s">
        <v>38</v>
      </c>
      <c r="F1773">
        <v>101.95</v>
      </c>
      <c r="G1773" t="s">
        <v>24</v>
      </c>
      <c r="H1773" t="s">
        <v>15</v>
      </c>
      <c r="I1773">
        <v>3.5</v>
      </c>
      <c r="J1773">
        <v>12</v>
      </c>
      <c r="K1773">
        <v>1</v>
      </c>
    </row>
    <row r="1774" spans="1:11" x14ac:dyDescent="0.35">
      <c r="A1774">
        <v>1773</v>
      </c>
      <c r="B1774">
        <v>58</v>
      </c>
      <c r="C1774" t="s">
        <v>11</v>
      </c>
      <c r="D1774" t="s">
        <v>33</v>
      </c>
      <c r="E1774" t="s">
        <v>38</v>
      </c>
      <c r="F1774">
        <v>89.54</v>
      </c>
      <c r="G1774" t="s">
        <v>24</v>
      </c>
      <c r="H1774" t="s">
        <v>37</v>
      </c>
      <c r="I1774">
        <v>4.3</v>
      </c>
      <c r="J1774">
        <v>15</v>
      </c>
      <c r="K1774">
        <v>5</v>
      </c>
    </row>
    <row r="1775" spans="1:11" x14ac:dyDescent="0.35">
      <c r="A1775">
        <v>1774</v>
      </c>
      <c r="B1775">
        <v>25</v>
      </c>
      <c r="C1775" t="s">
        <v>11</v>
      </c>
      <c r="D1775" t="s">
        <v>29</v>
      </c>
      <c r="E1775" t="s">
        <v>51</v>
      </c>
      <c r="F1775">
        <v>53.08</v>
      </c>
      <c r="G1775" t="s">
        <v>31</v>
      </c>
      <c r="H1775" t="s">
        <v>15</v>
      </c>
      <c r="I1775">
        <v>2.9</v>
      </c>
      <c r="J1775">
        <v>8</v>
      </c>
      <c r="K1775">
        <v>4</v>
      </c>
    </row>
    <row r="1776" spans="1:11" x14ac:dyDescent="0.35">
      <c r="A1776">
        <v>1775</v>
      </c>
      <c r="B1776">
        <v>31</v>
      </c>
      <c r="C1776" t="s">
        <v>11</v>
      </c>
      <c r="D1776" t="s">
        <v>25</v>
      </c>
      <c r="E1776" t="s">
        <v>47</v>
      </c>
      <c r="F1776">
        <v>54.74</v>
      </c>
      <c r="G1776" t="s">
        <v>14</v>
      </c>
      <c r="H1776" t="s">
        <v>37</v>
      </c>
      <c r="I1776">
        <v>3.8</v>
      </c>
      <c r="J1776">
        <v>24</v>
      </c>
      <c r="K1776">
        <v>7</v>
      </c>
    </row>
    <row r="1777" spans="1:11" x14ac:dyDescent="0.35">
      <c r="A1777">
        <v>1776</v>
      </c>
      <c r="B1777">
        <v>43</v>
      </c>
      <c r="C1777" t="s">
        <v>11</v>
      </c>
      <c r="D1777" t="s">
        <v>33</v>
      </c>
      <c r="E1777" t="s">
        <v>40</v>
      </c>
      <c r="F1777">
        <v>117.15</v>
      </c>
      <c r="G1777" t="s">
        <v>31</v>
      </c>
      <c r="H1777" t="s">
        <v>15</v>
      </c>
      <c r="I1777">
        <v>3.1</v>
      </c>
      <c r="J1777">
        <v>14</v>
      </c>
      <c r="K1777">
        <v>7</v>
      </c>
    </row>
    <row r="1778" spans="1:11" x14ac:dyDescent="0.35">
      <c r="A1778">
        <v>1777</v>
      </c>
      <c r="B1778">
        <v>63</v>
      </c>
      <c r="C1778" t="s">
        <v>16</v>
      </c>
      <c r="D1778" t="s">
        <v>33</v>
      </c>
      <c r="E1778" t="s">
        <v>40</v>
      </c>
      <c r="F1778">
        <v>92.46</v>
      </c>
      <c r="G1778" t="s">
        <v>19</v>
      </c>
      <c r="H1778" t="s">
        <v>37</v>
      </c>
      <c r="I1778">
        <v>4.3</v>
      </c>
      <c r="J1778">
        <v>13</v>
      </c>
      <c r="K1778">
        <v>4</v>
      </c>
    </row>
    <row r="1779" spans="1:11" x14ac:dyDescent="0.35">
      <c r="A1779">
        <v>1778</v>
      </c>
      <c r="B1779">
        <v>40</v>
      </c>
      <c r="C1779" t="s">
        <v>11</v>
      </c>
      <c r="D1779" t="s">
        <v>25</v>
      </c>
      <c r="E1779" t="s">
        <v>54</v>
      </c>
      <c r="F1779">
        <v>25.19</v>
      </c>
      <c r="G1779" t="s">
        <v>31</v>
      </c>
      <c r="H1779" t="s">
        <v>15</v>
      </c>
      <c r="I1779">
        <v>3.4</v>
      </c>
      <c r="J1779">
        <v>17</v>
      </c>
      <c r="K1779">
        <v>6</v>
      </c>
    </row>
    <row r="1780" spans="1:11" x14ac:dyDescent="0.35">
      <c r="A1780">
        <v>1779</v>
      </c>
      <c r="B1780">
        <v>25</v>
      </c>
      <c r="C1780" t="s">
        <v>16</v>
      </c>
      <c r="D1780" t="s">
        <v>20</v>
      </c>
      <c r="E1780" t="s">
        <v>39</v>
      </c>
      <c r="F1780">
        <v>204.19</v>
      </c>
      <c r="G1780" t="s">
        <v>31</v>
      </c>
      <c r="H1780" t="s">
        <v>15</v>
      </c>
      <c r="I1780">
        <v>3.9</v>
      </c>
      <c r="J1780">
        <v>4</v>
      </c>
      <c r="K1780">
        <v>2</v>
      </c>
    </row>
    <row r="1781" spans="1:11" x14ac:dyDescent="0.35">
      <c r="A1781">
        <v>1780</v>
      </c>
      <c r="B1781">
        <v>24</v>
      </c>
      <c r="C1781" t="s">
        <v>11</v>
      </c>
      <c r="D1781" t="s">
        <v>25</v>
      </c>
      <c r="E1781" t="s">
        <v>47</v>
      </c>
      <c r="F1781">
        <v>68.44</v>
      </c>
      <c r="G1781" t="s">
        <v>14</v>
      </c>
      <c r="H1781" t="s">
        <v>15</v>
      </c>
      <c r="I1781">
        <v>3.7</v>
      </c>
      <c r="J1781">
        <v>15</v>
      </c>
      <c r="K1781">
        <v>5</v>
      </c>
    </row>
    <row r="1782" spans="1:11" x14ac:dyDescent="0.35">
      <c r="A1782">
        <v>1781</v>
      </c>
      <c r="B1782">
        <v>57</v>
      </c>
      <c r="C1782" t="s">
        <v>11</v>
      </c>
      <c r="D1782" t="s">
        <v>33</v>
      </c>
      <c r="E1782" t="s">
        <v>34</v>
      </c>
      <c r="F1782">
        <v>65.540000000000006</v>
      </c>
      <c r="G1782" t="s">
        <v>31</v>
      </c>
      <c r="H1782" t="s">
        <v>37</v>
      </c>
      <c r="I1782">
        <v>4.2</v>
      </c>
      <c r="J1782">
        <v>16</v>
      </c>
      <c r="K1782">
        <v>8</v>
      </c>
    </row>
    <row r="1783" spans="1:11" x14ac:dyDescent="0.35">
      <c r="A1783">
        <v>1782</v>
      </c>
      <c r="B1783">
        <v>57</v>
      </c>
      <c r="C1783" t="s">
        <v>16</v>
      </c>
      <c r="D1783" t="s">
        <v>33</v>
      </c>
      <c r="E1783" t="s">
        <v>34</v>
      </c>
      <c r="F1783">
        <v>90.98</v>
      </c>
      <c r="G1783" t="s">
        <v>14</v>
      </c>
      <c r="H1783" t="s">
        <v>15</v>
      </c>
      <c r="I1783">
        <v>3</v>
      </c>
      <c r="J1783">
        <v>16</v>
      </c>
      <c r="K1783">
        <v>8</v>
      </c>
    </row>
    <row r="1784" spans="1:11" x14ac:dyDescent="0.35">
      <c r="A1784">
        <v>1783</v>
      </c>
      <c r="B1784">
        <v>23</v>
      </c>
      <c r="C1784" t="s">
        <v>16</v>
      </c>
      <c r="D1784" t="s">
        <v>27</v>
      </c>
      <c r="E1784" t="s">
        <v>53</v>
      </c>
      <c r="F1784">
        <v>2369.0100000000002</v>
      </c>
      <c r="G1784" t="s">
        <v>31</v>
      </c>
      <c r="H1784" t="s">
        <v>15</v>
      </c>
      <c r="I1784">
        <v>4.0999999999999996</v>
      </c>
      <c r="J1784">
        <v>0</v>
      </c>
      <c r="K1784">
        <v>0</v>
      </c>
    </row>
    <row r="1785" spans="1:11" x14ac:dyDescent="0.35">
      <c r="A1785">
        <v>1784</v>
      </c>
      <c r="B1785">
        <v>63</v>
      </c>
      <c r="C1785" t="s">
        <v>11</v>
      </c>
      <c r="D1785" t="s">
        <v>29</v>
      </c>
      <c r="E1785" t="s">
        <v>55</v>
      </c>
      <c r="F1785">
        <v>131.24</v>
      </c>
      <c r="G1785" t="s">
        <v>14</v>
      </c>
      <c r="H1785" t="s">
        <v>15</v>
      </c>
      <c r="I1785">
        <v>4.0999999999999996</v>
      </c>
      <c r="J1785">
        <v>11</v>
      </c>
      <c r="K1785">
        <v>3</v>
      </c>
    </row>
    <row r="1786" spans="1:11" x14ac:dyDescent="0.35">
      <c r="A1786">
        <v>1785</v>
      </c>
      <c r="B1786">
        <v>34</v>
      </c>
      <c r="C1786" t="s">
        <v>16</v>
      </c>
      <c r="D1786" t="s">
        <v>20</v>
      </c>
      <c r="E1786" t="s">
        <v>39</v>
      </c>
      <c r="F1786">
        <v>152.61000000000001</v>
      </c>
      <c r="G1786" t="s">
        <v>31</v>
      </c>
      <c r="H1786" t="s">
        <v>15</v>
      </c>
      <c r="I1786">
        <v>3.7</v>
      </c>
      <c r="J1786">
        <v>8</v>
      </c>
      <c r="K1786">
        <v>4</v>
      </c>
    </row>
    <row r="1787" spans="1:11" x14ac:dyDescent="0.35">
      <c r="A1787">
        <v>1786</v>
      </c>
      <c r="B1787">
        <v>64</v>
      </c>
      <c r="C1787" t="s">
        <v>11</v>
      </c>
      <c r="D1787" t="s">
        <v>20</v>
      </c>
      <c r="E1787" t="s">
        <v>39</v>
      </c>
      <c r="F1787">
        <v>224.38</v>
      </c>
      <c r="G1787" t="s">
        <v>19</v>
      </c>
      <c r="H1787" t="s">
        <v>15</v>
      </c>
      <c r="I1787">
        <v>3.4</v>
      </c>
      <c r="J1787">
        <v>11</v>
      </c>
      <c r="K1787">
        <v>3</v>
      </c>
    </row>
    <row r="1788" spans="1:11" x14ac:dyDescent="0.35">
      <c r="A1788">
        <v>1787</v>
      </c>
      <c r="B1788">
        <v>52</v>
      </c>
      <c r="C1788" t="s">
        <v>16</v>
      </c>
      <c r="D1788" t="s">
        <v>17</v>
      </c>
      <c r="E1788" t="s">
        <v>35</v>
      </c>
      <c r="F1788">
        <v>31.54</v>
      </c>
      <c r="G1788" t="s">
        <v>19</v>
      </c>
      <c r="H1788" t="s">
        <v>37</v>
      </c>
      <c r="I1788">
        <v>3.7</v>
      </c>
      <c r="J1788">
        <v>18</v>
      </c>
      <c r="K1788">
        <v>4</v>
      </c>
    </row>
    <row r="1789" spans="1:11" x14ac:dyDescent="0.35">
      <c r="A1789">
        <v>1788</v>
      </c>
      <c r="B1789">
        <v>31</v>
      </c>
      <c r="C1789" t="s">
        <v>11</v>
      </c>
      <c r="D1789" t="s">
        <v>29</v>
      </c>
      <c r="E1789" t="s">
        <v>51</v>
      </c>
      <c r="F1789">
        <v>122.72</v>
      </c>
      <c r="G1789" t="s">
        <v>31</v>
      </c>
      <c r="H1789" t="s">
        <v>15</v>
      </c>
      <c r="I1789">
        <v>3.2</v>
      </c>
      <c r="J1789">
        <v>9</v>
      </c>
      <c r="K1789">
        <v>2</v>
      </c>
    </row>
    <row r="1790" spans="1:11" x14ac:dyDescent="0.35">
      <c r="A1790">
        <v>1789</v>
      </c>
      <c r="B1790">
        <v>56</v>
      </c>
      <c r="C1790" t="s">
        <v>11</v>
      </c>
      <c r="D1790" t="s">
        <v>12</v>
      </c>
      <c r="E1790" t="s">
        <v>50</v>
      </c>
      <c r="F1790">
        <v>60.7</v>
      </c>
      <c r="G1790" t="s">
        <v>31</v>
      </c>
      <c r="H1790" t="s">
        <v>15</v>
      </c>
      <c r="I1790">
        <v>4.0999999999999996</v>
      </c>
      <c r="J1790">
        <v>14</v>
      </c>
      <c r="K1790">
        <v>7</v>
      </c>
    </row>
    <row r="1791" spans="1:11" x14ac:dyDescent="0.35">
      <c r="A1791">
        <v>1790</v>
      </c>
      <c r="B1791">
        <v>64</v>
      </c>
      <c r="C1791" t="s">
        <v>16</v>
      </c>
      <c r="D1791" t="s">
        <v>25</v>
      </c>
      <c r="E1791" t="s">
        <v>54</v>
      </c>
      <c r="F1791">
        <v>40.94</v>
      </c>
      <c r="G1791" t="s">
        <v>14</v>
      </c>
      <c r="H1791" t="s">
        <v>15</v>
      </c>
      <c r="I1791">
        <v>3.5</v>
      </c>
      <c r="J1791">
        <v>13</v>
      </c>
      <c r="K1791">
        <v>4</v>
      </c>
    </row>
    <row r="1792" spans="1:11" x14ac:dyDescent="0.35">
      <c r="A1792">
        <v>1791</v>
      </c>
      <c r="B1792">
        <v>67</v>
      </c>
      <c r="C1792" t="s">
        <v>16</v>
      </c>
      <c r="D1792" t="s">
        <v>20</v>
      </c>
      <c r="E1792" t="s">
        <v>21</v>
      </c>
      <c r="F1792">
        <v>226.26</v>
      </c>
      <c r="G1792" t="s">
        <v>14</v>
      </c>
      <c r="H1792" t="s">
        <v>15</v>
      </c>
      <c r="I1792">
        <v>3</v>
      </c>
      <c r="J1792">
        <v>16</v>
      </c>
      <c r="K1792">
        <v>3</v>
      </c>
    </row>
    <row r="1793" spans="1:11" x14ac:dyDescent="0.35">
      <c r="A1793">
        <v>1792</v>
      </c>
      <c r="B1793">
        <v>48</v>
      </c>
      <c r="C1793" t="s">
        <v>16</v>
      </c>
      <c r="D1793" t="s">
        <v>33</v>
      </c>
      <c r="E1793" t="s">
        <v>34</v>
      </c>
      <c r="F1793">
        <v>94.74</v>
      </c>
      <c r="G1793" t="s">
        <v>24</v>
      </c>
      <c r="H1793" t="s">
        <v>37</v>
      </c>
      <c r="I1793">
        <v>3.4</v>
      </c>
      <c r="J1793">
        <v>26</v>
      </c>
      <c r="K1793">
        <v>8</v>
      </c>
    </row>
    <row r="1794" spans="1:11" x14ac:dyDescent="0.35">
      <c r="A1794">
        <v>1793</v>
      </c>
      <c r="B1794">
        <v>41</v>
      </c>
      <c r="C1794" t="s">
        <v>11</v>
      </c>
      <c r="D1794" t="s">
        <v>29</v>
      </c>
      <c r="E1794" t="s">
        <v>51</v>
      </c>
      <c r="F1794">
        <v>130.69</v>
      </c>
      <c r="G1794" t="s">
        <v>14</v>
      </c>
      <c r="H1794" t="s">
        <v>15</v>
      </c>
      <c r="I1794">
        <v>4.3</v>
      </c>
      <c r="J1794">
        <v>10</v>
      </c>
      <c r="K1794">
        <v>5</v>
      </c>
    </row>
    <row r="1795" spans="1:11" x14ac:dyDescent="0.35">
      <c r="A1795">
        <v>1794</v>
      </c>
      <c r="B1795">
        <v>62</v>
      </c>
      <c r="C1795" t="s">
        <v>16</v>
      </c>
      <c r="D1795" t="s">
        <v>20</v>
      </c>
      <c r="E1795" t="s">
        <v>36</v>
      </c>
      <c r="F1795">
        <v>176.42</v>
      </c>
      <c r="G1795" t="s">
        <v>24</v>
      </c>
      <c r="H1795" t="s">
        <v>15</v>
      </c>
      <c r="I1795">
        <v>4.0999999999999996</v>
      </c>
      <c r="J1795">
        <v>4</v>
      </c>
      <c r="K1795">
        <v>2</v>
      </c>
    </row>
    <row r="1796" spans="1:11" x14ac:dyDescent="0.35">
      <c r="A1796">
        <v>1795</v>
      </c>
      <c r="B1796">
        <v>24</v>
      </c>
      <c r="C1796" t="s">
        <v>16</v>
      </c>
      <c r="D1796" t="s">
        <v>33</v>
      </c>
      <c r="E1796" t="s">
        <v>34</v>
      </c>
      <c r="F1796">
        <v>103.89</v>
      </c>
      <c r="G1796" t="s">
        <v>24</v>
      </c>
      <c r="H1796" t="s">
        <v>15</v>
      </c>
      <c r="I1796">
        <v>4.8</v>
      </c>
      <c r="J1796">
        <v>15</v>
      </c>
      <c r="K1796">
        <v>5</v>
      </c>
    </row>
    <row r="1797" spans="1:11" x14ac:dyDescent="0.35">
      <c r="A1797">
        <v>1796</v>
      </c>
      <c r="B1797">
        <v>22</v>
      </c>
      <c r="C1797" t="s">
        <v>16</v>
      </c>
      <c r="D1797" t="s">
        <v>17</v>
      </c>
      <c r="E1797" t="s">
        <v>18</v>
      </c>
      <c r="F1797">
        <v>48.19</v>
      </c>
      <c r="G1797" t="s">
        <v>19</v>
      </c>
      <c r="H1797" t="s">
        <v>15</v>
      </c>
      <c r="I1797">
        <v>3.8</v>
      </c>
      <c r="J1797">
        <v>17</v>
      </c>
      <c r="K1797">
        <v>6</v>
      </c>
    </row>
    <row r="1798" spans="1:11" x14ac:dyDescent="0.35">
      <c r="A1798">
        <v>1797</v>
      </c>
      <c r="B1798">
        <v>68</v>
      </c>
      <c r="C1798" t="s">
        <v>16</v>
      </c>
      <c r="D1798" t="s">
        <v>20</v>
      </c>
      <c r="E1798" t="s">
        <v>36</v>
      </c>
      <c r="F1798">
        <v>57.02</v>
      </c>
      <c r="G1798" t="s">
        <v>19</v>
      </c>
      <c r="H1798" t="s">
        <v>15</v>
      </c>
      <c r="I1798">
        <v>3.7</v>
      </c>
      <c r="J1798">
        <v>0</v>
      </c>
      <c r="K1798">
        <v>0</v>
      </c>
    </row>
    <row r="1799" spans="1:11" x14ac:dyDescent="0.35">
      <c r="A1799">
        <v>1798</v>
      </c>
      <c r="B1799">
        <v>70</v>
      </c>
      <c r="C1799" t="s">
        <v>16</v>
      </c>
      <c r="D1799" t="s">
        <v>20</v>
      </c>
      <c r="E1799" t="s">
        <v>21</v>
      </c>
      <c r="F1799">
        <v>54.5</v>
      </c>
      <c r="G1799" t="s">
        <v>24</v>
      </c>
      <c r="H1799" t="s">
        <v>15</v>
      </c>
      <c r="I1799">
        <v>3.5</v>
      </c>
      <c r="J1799">
        <v>6</v>
      </c>
      <c r="K1799">
        <v>3</v>
      </c>
    </row>
    <row r="1800" spans="1:11" x14ac:dyDescent="0.35">
      <c r="A1800">
        <v>1799</v>
      </c>
      <c r="B1800">
        <v>22</v>
      </c>
      <c r="C1800" t="s">
        <v>16</v>
      </c>
      <c r="D1800" t="s">
        <v>17</v>
      </c>
      <c r="E1800" t="s">
        <v>35</v>
      </c>
      <c r="F1800">
        <v>67.459999999999994</v>
      </c>
      <c r="G1800" t="s">
        <v>19</v>
      </c>
      <c r="H1800" t="s">
        <v>37</v>
      </c>
      <c r="I1800">
        <v>3.7</v>
      </c>
      <c r="J1800">
        <v>6</v>
      </c>
      <c r="K1800">
        <v>3</v>
      </c>
    </row>
    <row r="1801" spans="1:11" x14ac:dyDescent="0.35">
      <c r="A1801">
        <v>1800</v>
      </c>
      <c r="B1801">
        <v>52</v>
      </c>
      <c r="C1801" t="s">
        <v>16</v>
      </c>
      <c r="D1801" t="s">
        <v>33</v>
      </c>
      <c r="E1801" t="s">
        <v>40</v>
      </c>
      <c r="F1801">
        <v>241.87</v>
      </c>
      <c r="G1801" t="s">
        <v>19</v>
      </c>
      <c r="H1801" t="s">
        <v>15</v>
      </c>
      <c r="I1801">
        <v>3.4</v>
      </c>
      <c r="J1801">
        <v>22</v>
      </c>
      <c r="K1801">
        <v>6</v>
      </c>
    </row>
    <row r="1802" spans="1:11" x14ac:dyDescent="0.35">
      <c r="A1802">
        <v>1801</v>
      </c>
      <c r="B1802">
        <v>28</v>
      </c>
      <c r="C1802" t="s">
        <v>11</v>
      </c>
      <c r="D1802" t="s">
        <v>22</v>
      </c>
      <c r="E1802" t="s">
        <v>52</v>
      </c>
      <c r="F1802">
        <v>117.11</v>
      </c>
      <c r="G1802" t="s">
        <v>19</v>
      </c>
      <c r="H1802" t="s">
        <v>15</v>
      </c>
      <c r="I1802">
        <v>3.2</v>
      </c>
      <c r="J1802">
        <v>13</v>
      </c>
      <c r="K1802">
        <v>4</v>
      </c>
    </row>
    <row r="1803" spans="1:11" x14ac:dyDescent="0.35">
      <c r="A1803">
        <v>1802</v>
      </c>
      <c r="B1803">
        <v>33</v>
      </c>
      <c r="C1803" t="s">
        <v>16</v>
      </c>
      <c r="D1803" t="s">
        <v>22</v>
      </c>
      <c r="E1803" t="s">
        <v>23</v>
      </c>
      <c r="F1803">
        <v>154.72</v>
      </c>
      <c r="G1803" t="s">
        <v>14</v>
      </c>
      <c r="H1803" t="s">
        <v>15</v>
      </c>
      <c r="I1803">
        <v>3.5</v>
      </c>
      <c r="J1803">
        <v>18</v>
      </c>
      <c r="K1803">
        <v>9</v>
      </c>
    </row>
    <row r="1804" spans="1:11" x14ac:dyDescent="0.35">
      <c r="A1804">
        <v>1803</v>
      </c>
      <c r="B1804">
        <v>23</v>
      </c>
      <c r="C1804" t="s">
        <v>16</v>
      </c>
      <c r="D1804" t="s">
        <v>33</v>
      </c>
      <c r="E1804" t="s">
        <v>40</v>
      </c>
      <c r="F1804">
        <v>168.45</v>
      </c>
      <c r="G1804" t="s">
        <v>31</v>
      </c>
      <c r="H1804" t="s">
        <v>15</v>
      </c>
      <c r="I1804">
        <v>3.8</v>
      </c>
      <c r="J1804">
        <v>20</v>
      </c>
      <c r="K1804">
        <v>5</v>
      </c>
    </row>
    <row r="1805" spans="1:11" x14ac:dyDescent="0.35">
      <c r="A1805">
        <v>1804</v>
      </c>
      <c r="B1805">
        <v>60</v>
      </c>
      <c r="C1805" t="s">
        <v>16</v>
      </c>
      <c r="D1805" t="s">
        <v>20</v>
      </c>
      <c r="E1805" t="s">
        <v>39</v>
      </c>
      <c r="F1805">
        <v>202.79</v>
      </c>
      <c r="G1805" t="s">
        <v>31</v>
      </c>
      <c r="H1805" t="s">
        <v>15</v>
      </c>
      <c r="I1805">
        <v>3</v>
      </c>
      <c r="J1805">
        <v>12</v>
      </c>
      <c r="K1805">
        <v>1</v>
      </c>
    </row>
    <row r="1806" spans="1:11" x14ac:dyDescent="0.35">
      <c r="A1806">
        <v>1805</v>
      </c>
      <c r="B1806">
        <v>66</v>
      </c>
      <c r="C1806" t="s">
        <v>11</v>
      </c>
      <c r="D1806" t="s">
        <v>22</v>
      </c>
      <c r="E1806" t="s">
        <v>23</v>
      </c>
      <c r="F1806">
        <v>194.2</v>
      </c>
      <c r="G1806" t="s">
        <v>19</v>
      </c>
      <c r="H1806" t="s">
        <v>15</v>
      </c>
      <c r="I1806">
        <v>4.7</v>
      </c>
      <c r="J1806">
        <v>23</v>
      </c>
      <c r="K1806">
        <v>9</v>
      </c>
    </row>
    <row r="1807" spans="1:11" x14ac:dyDescent="0.35">
      <c r="A1807">
        <v>1806</v>
      </c>
      <c r="B1807">
        <v>59</v>
      </c>
      <c r="C1807" t="s">
        <v>11</v>
      </c>
      <c r="D1807" t="s">
        <v>29</v>
      </c>
      <c r="E1807" t="s">
        <v>30</v>
      </c>
      <c r="F1807">
        <v>90.63</v>
      </c>
      <c r="G1807" t="s">
        <v>14</v>
      </c>
      <c r="H1807" t="s">
        <v>15</v>
      </c>
      <c r="I1807">
        <v>4.7</v>
      </c>
      <c r="J1807">
        <v>12</v>
      </c>
      <c r="K1807">
        <v>6</v>
      </c>
    </row>
    <row r="1808" spans="1:11" x14ac:dyDescent="0.35">
      <c r="A1808">
        <v>1807</v>
      </c>
      <c r="B1808">
        <v>53</v>
      </c>
      <c r="C1808" t="s">
        <v>11</v>
      </c>
      <c r="D1808" t="s">
        <v>33</v>
      </c>
      <c r="E1808" t="s">
        <v>34</v>
      </c>
      <c r="F1808">
        <v>243.55</v>
      </c>
      <c r="G1808" t="s">
        <v>24</v>
      </c>
      <c r="H1808" t="s">
        <v>15</v>
      </c>
      <c r="I1808">
        <v>5</v>
      </c>
      <c r="J1808">
        <v>20</v>
      </c>
      <c r="K1808">
        <v>5</v>
      </c>
    </row>
    <row r="1809" spans="1:11" x14ac:dyDescent="0.35">
      <c r="A1809">
        <v>1808</v>
      </c>
      <c r="B1809">
        <v>30</v>
      </c>
      <c r="C1809" t="s">
        <v>16</v>
      </c>
      <c r="D1809" t="s">
        <v>25</v>
      </c>
      <c r="E1809" t="s">
        <v>47</v>
      </c>
      <c r="F1809">
        <v>38.880000000000003</v>
      </c>
      <c r="G1809" t="s">
        <v>14</v>
      </c>
      <c r="H1809" t="s">
        <v>37</v>
      </c>
      <c r="I1809">
        <v>4.0999999999999996</v>
      </c>
      <c r="J1809">
        <v>13</v>
      </c>
      <c r="K1809">
        <v>4</v>
      </c>
    </row>
    <row r="1810" spans="1:11" x14ac:dyDescent="0.35">
      <c r="A1810">
        <v>1809</v>
      </c>
      <c r="B1810">
        <v>32</v>
      </c>
      <c r="C1810" t="s">
        <v>11</v>
      </c>
      <c r="D1810" t="s">
        <v>29</v>
      </c>
      <c r="E1810" t="s">
        <v>55</v>
      </c>
      <c r="F1810">
        <v>105.29</v>
      </c>
      <c r="G1810" t="s">
        <v>19</v>
      </c>
      <c r="H1810" t="s">
        <v>15</v>
      </c>
      <c r="I1810">
        <v>4</v>
      </c>
      <c r="J1810">
        <v>22</v>
      </c>
      <c r="K1810">
        <v>6</v>
      </c>
    </row>
    <row r="1811" spans="1:11" x14ac:dyDescent="0.35">
      <c r="A1811">
        <v>1810</v>
      </c>
      <c r="B1811">
        <v>38</v>
      </c>
      <c r="C1811" t="s">
        <v>16</v>
      </c>
      <c r="D1811" t="s">
        <v>20</v>
      </c>
      <c r="E1811" t="s">
        <v>21</v>
      </c>
      <c r="F1811">
        <v>140.26</v>
      </c>
      <c r="G1811" t="s">
        <v>24</v>
      </c>
      <c r="H1811" t="s">
        <v>15</v>
      </c>
      <c r="I1811">
        <v>3.7</v>
      </c>
      <c r="J1811">
        <v>18</v>
      </c>
      <c r="K1811">
        <v>4</v>
      </c>
    </row>
    <row r="1812" spans="1:11" x14ac:dyDescent="0.35">
      <c r="A1812">
        <v>1811</v>
      </c>
      <c r="B1812">
        <v>45</v>
      </c>
      <c r="C1812" t="s">
        <v>11</v>
      </c>
      <c r="D1812" t="s">
        <v>41</v>
      </c>
      <c r="E1812" t="s">
        <v>42</v>
      </c>
      <c r="F1812">
        <v>50.56</v>
      </c>
      <c r="G1812" t="s">
        <v>14</v>
      </c>
      <c r="H1812" t="s">
        <v>37</v>
      </c>
      <c r="I1812">
        <v>5</v>
      </c>
      <c r="J1812">
        <v>16</v>
      </c>
      <c r="K1812">
        <v>8</v>
      </c>
    </row>
    <row r="1813" spans="1:11" x14ac:dyDescent="0.35">
      <c r="A1813">
        <v>1812</v>
      </c>
      <c r="B1813">
        <v>53</v>
      </c>
      <c r="C1813" t="s">
        <v>11</v>
      </c>
      <c r="D1813" t="s">
        <v>25</v>
      </c>
      <c r="E1813" t="s">
        <v>54</v>
      </c>
      <c r="F1813">
        <v>40.869999999999997</v>
      </c>
      <c r="G1813" t="s">
        <v>14</v>
      </c>
      <c r="H1813" t="s">
        <v>15</v>
      </c>
      <c r="I1813">
        <v>3.9</v>
      </c>
      <c r="J1813">
        <v>12</v>
      </c>
      <c r="K1813">
        <v>1</v>
      </c>
    </row>
    <row r="1814" spans="1:11" x14ac:dyDescent="0.35">
      <c r="A1814">
        <v>1813</v>
      </c>
      <c r="B1814">
        <v>62</v>
      </c>
      <c r="C1814" t="s">
        <v>16</v>
      </c>
      <c r="D1814" t="s">
        <v>17</v>
      </c>
      <c r="E1814" t="s">
        <v>18</v>
      </c>
      <c r="F1814">
        <v>88.13</v>
      </c>
      <c r="G1814" t="s">
        <v>31</v>
      </c>
      <c r="H1814" t="s">
        <v>15</v>
      </c>
      <c r="I1814">
        <v>3.1</v>
      </c>
      <c r="J1814">
        <v>28</v>
      </c>
      <c r="K1814">
        <v>9</v>
      </c>
    </row>
    <row r="1815" spans="1:11" x14ac:dyDescent="0.35">
      <c r="A1815">
        <v>1814</v>
      </c>
      <c r="B1815">
        <v>26</v>
      </c>
      <c r="C1815" t="s">
        <v>16</v>
      </c>
      <c r="D1815" t="s">
        <v>17</v>
      </c>
      <c r="E1815" t="s">
        <v>18</v>
      </c>
      <c r="F1815">
        <v>149.41999999999999</v>
      </c>
      <c r="G1815" t="s">
        <v>24</v>
      </c>
      <c r="H1815" t="s">
        <v>15</v>
      </c>
      <c r="I1815">
        <v>3.9</v>
      </c>
      <c r="J1815">
        <v>25</v>
      </c>
      <c r="K1815">
        <v>10</v>
      </c>
    </row>
    <row r="1816" spans="1:11" x14ac:dyDescent="0.35">
      <c r="A1816">
        <v>1815</v>
      </c>
      <c r="B1816">
        <v>28</v>
      </c>
      <c r="C1816" t="s">
        <v>16</v>
      </c>
      <c r="D1816" t="s">
        <v>33</v>
      </c>
      <c r="E1816" t="s">
        <v>38</v>
      </c>
      <c r="F1816">
        <v>161.21</v>
      </c>
      <c r="G1816" t="s">
        <v>19</v>
      </c>
      <c r="H1816" t="s">
        <v>15</v>
      </c>
      <c r="I1816">
        <v>3.2</v>
      </c>
      <c r="J1816">
        <v>18</v>
      </c>
      <c r="K1816">
        <v>4</v>
      </c>
    </row>
    <row r="1817" spans="1:11" x14ac:dyDescent="0.35">
      <c r="A1817">
        <v>1816</v>
      </c>
      <c r="B1817">
        <v>49</v>
      </c>
      <c r="C1817" t="s">
        <v>11</v>
      </c>
      <c r="D1817" t="s">
        <v>29</v>
      </c>
      <c r="E1817" t="s">
        <v>51</v>
      </c>
      <c r="F1817">
        <v>37.520000000000003</v>
      </c>
      <c r="G1817" t="s">
        <v>31</v>
      </c>
      <c r="H1817" t="s">
        <v>37</v>
      </c>
      <c r="I1817">
        <v>4.5</v>
      </c>
      <c r="J1817">
        <v>6</v>
      </c>
      <c r="K1817">
        <v>3</v>
      </c>
    </row>
    <row r="1818" spans="1:11" x14ac:dyDescent="0.35">
      <c r="A1818">
        <v>1817</v>
      </c>
      <c r="B1818">
        <v>60</v>
      </c>
      <c r="C1818" t="s">
        <v>16</v>
      </c>
      <c r="D1818" t="s">
        <v>20</v>
      </c>
      <c r="E1818" t="s">
        <v>36</v>
      </c>
      <c r="F1818">
        <v>126.98</v>
      </c>
      <c r="G1818" t="s">
        <v>14</v>
      </c>
      <c r="H1818" t="s">
        <v>15</v>
      </c>
      <c r="I1818">
        <v>5</v>
      </c>
      <c r="J1818">
        <v>22</v>
      </c>
      <c r="K1818">
        <v>6</v>
      </c>
    </row>
    <row r="1819" spans="1:11" x14ac:dyDescent="0.35">
      <c r="A1819">
        <v>1818</v>
      </c>
      <c r="B1819">
        <v>36</v>
      </c>
      <c r="C1819" t="s">
        <v>16</v>
      </c>
      <c r="D1819" t="s">
        <v>33</v>
      </c>
      <c r="E1819" t="s">
        <v>38</v>
      </c>
      <c r="F1819">
        <v>229.83</v>
      </c>
      <c r="G1819" t="s">
        <v>31</v>
      </c>
      <c r="H1819" t="s">
        <v>15</v>
      </c>
      <c r="I1819">
        <v>4.8</v>
      </c>
      <c r="J1819">
        <v>8</v>
      </c>
      <c r="K1819">
        <v>4</v>
      </c>
    </row>
    <row r="1820" spans="1:11" x14ac:dyDescent="0.35">
      <c r="A1820">
        <v>1819</v>
      </c>
      <c r="B1820">
        <v>57</v>
      </c>
      <c r="C1820" t="s">
        <v>11</v>
      </c>
      <c r="D1820" t="s">
        <v>12</v>
      </c>
      <c r="E1820" t="s">
        <v>56</v>
      </c>
      <c r="F1820">
        <v>179.83</v>
      </c>
      <c r="G1820" t="s">
        <v>31</v>
      </c>
      <c r="H1820" t="s">
        <v>15</v>
      </c>
      <c r="I1820">
        <v>2.4</v>
      </c>
      <c r="J1820">
        <v>13</v>
      </c>
      <c r="K1820">
        <v>4</v>
      </c>
    </row>
    <row r="1821" spans="1:11" x14ac:dyDescent="0.35">
      <c r="A1821">
        <v>1820</v>
      </c>
      <c r="B1821">
        <v>21</v>
      </c>
      <c r="C1821" t="s">
        <v>16</v>
      </c>
      <c r="D1821" t="s">
        <v>33</v>
      </c>
      <c r="E1821" t="s">
        <v>40</v>
      </c>
      <c r="F1821">
        <v>231.92</v>
      </c>
      <c r="G1821" t="s">
        <v>24</v>
      </c>
      <c r="H1821" t="s">
        <v>15</v>
      </c>
      <c r="I1821">
        <v>4.7</v>
      </c>
      <c r="J1821">
        <v>26</v>
      </c>
      <c r="K1821">
        <v>8</v>
      </c>
    </row>
    <row r="1822" spans="1:11" x14ac:dyDescent="0.35">
      <c r="A1822">
        <v>1821</v>
      </c>
      <c r="B1822">
        <v>55</v>
      </c>
      <c r="C1822" t="s">
        <v>11</v>
      </c>
      <c r="D1822" t="s">
        <v>33</v>
      </c>
      <c r="E1822" t="s">
        <v>34</v>
      </c>
      <c r="F1822">
        <v>108.55</v>
      </c>
      <c r="G1822" t="s">
        <v>31</v>
      </c>
      <c r="H1822" t="s">
        <v>15</v>
      </c>
      <c r="I1822">
        <v>4</v>
      </c>
      <c r="J1822">
        <v>12</v>
      </c>
      <c r="K1822">
        <v>1</v>
      </c>
    </row>
    <row r="1823" spans="1:11" x14ac:dyDescent="0.35">
      <c r="A1823">
        <v>1822</v>
      </c>
      <c r="B1823">
        <v>39</v>
      </c>
      <c r="C1823" t="s">
        <v>16</v>
      </c>
      <c r="D1823" t="s">
        <v>33</v>
      </c>
      <c r="E1823" t="s">
        <v>38</v>
      </c>
      <c r="F1823">
        <v>40.97</v>
      </c>
      <c r="G1823" t="s">
        <v>14</v>
      </c>
      <c r="H1823" t="s">
        <v>15</v>
      </c>
      <c r="I1823">
        <v>3.9</v>
      </c>
      <c r="J1823">
        <v>24</v>
      </c>
      <c r="K1823">
        <v>12</v>
      </c>
    </row>
    <row r="1824" spans="1:11" x14ac:dyDescent="0.35">
      <c r="A1824">
        <v>1823</v>
      </c>
      <c r="B1824">
        <v>35</v>
      </c>
      <c r="C1824" t="s">
        <v>11</v>
      </c>
      <c r="D1824" t="s">
        <v>29</v>
      </c>
      <c r="E1824" t="s">
        <v>51</v>
      </c>
      <c r="F1824">
        <v>72.38</v>
      </c>
      <c r="G1824" t="s">
        <v>14</v>
      </c>
      <c r="H1824" t="s">
        <v>15</v>
      </c>
      <c r="I1824">
        <v>4.2</v>
      </c>
      <c r="J1824">
        <v>18</v>
      </c>
      <c r="K1824">
        <v>9</v>
      </c>
    </row>
    <row r="1825" spans="1:11" x14ac:dyDescent="0.35">
      <c r="A1825">
        <v>1824</v>
      </c>
      <c r="B1825">
        <v>54</v>
      </c>
      <c r="C1825" t="s">
        <v>16</v>
      </c>
      <c r="D1825" t="s">
        <v>17</v>
      </c>
      <c r="E1825" t="s">
        <v>42</v>
      </c>
      <c r="F1825">
        <v>77.650000000000006</v>
      </c>
      <c r="G1825" t="s">
        <v>19</v>
      </c>
      <c r="H1825" t="s">
        <v>15</v>
      </c>
      <c r="I1825">
        <v>2.7</v>
      </c>
      <c r="J1825">
        <v>15</v>
      </c>
      <c r="K1825">
        <v>5</v>
      </c>
    </row>
    <row r="1826" spans="1:11" x14ac:dyDescent="0.35">
      <c r="A1826">
        <v>1825</v>
      </c>
      <c r="B1826">
        <v>34</v>
      </c>
      <c r="C1826" t="s">
        <v>11</v>
      </c>
      <c r="D1826" t="s">
        <v>29</v>
      </c>
      <c r="E1826" t="s">
        <v>30</v>
      </c>
      <c r="F1826">
        <v>63.86</v>
      </c>
      <c r="G1826" t="s">
        <v>19</v>
      </c>
      <c r="H1826" t="s">
        <v>37</v>
      </c>
      <c r="I1826">
        <v>2.5</v>
      </c>
      <c r="J1826">
        <v>13</v>
      </c>
      <c r="K1826">
        <v>4</v>
      </c>
    </row>
    <row r="1827" spans="1:11" x14ac:dyDescent="0.35">
      <c r="A1827">
        <v>1826</v>
      </c>
      <c r="B1827">
        <v>61</v>
      </c>
      <c r="C1827" t="s">
        <v>16</v>
      </c>
      <c r="D1827" t="s">
        <v>25</v>
      </c>
      <c r="E1827" t="s">
        <v>57</v>
      </c>
      <c r="F1827">
        <v>75.86</v>
      </c>
      <c r="G1827" t="s">
        <v>14</v>
      </c>
      <c r="H1827" t="s">
        <v>15</v>
      </c>
      <c r="I1827">
        <v>4</v>
      </c>
      <c r="J1827">
        <v>10</v>
      </c>
      <c r="K1827">
        <v>5</v>
      </c>
    </row>
    <row r="1828" spans="1:11" x14ac:dyDescent="0.35">
      <c r="A1828">
        <v>1827</v>
      </c>
      <c r="B1828">
        <v>42</v>
      </c>
      <c r="C1828" t="s">
        <v>11</v>
      </c>
      <c r="D1828" t="s">
        <v>12</v>
      </c>
      <c r="E1828" t="s">
        <v>50</v>
      </c>
      <c r="F1828">
        <v>37.67</v>
      </c>
      <c r="G1828" t="s">
        <v>14</v>
      </c>
      <c r="H1828" t="s">
        <v>15</v>
      </c>
      <c r="I1828">
        <v>3.2</v>
      </c>
      <c r="J1828">
        <v>26</v>
      </c>
      <c r="K1828">
        <v>8</v>
      </c>
    </row>
    <row r="1829" spans="1:11" x14ac:dyDescent="0.35">
      <c r="A1829">
        <v>1828</v>
      </c>
      <c r="B1829">
        <v>28</v>
      </c>
      <c r="C1829" t="s">
        <v>11</v>
      </c>
      <c r="D1829" t="s">
        <v>12</v>
      </c>
      <c r="E1829" t="s">
        <v>13</v>
      </c>
      <c r="F1829">
        <v>120.28</v>
      </c>
      <c r="G1829" t="s">
        <v>24</v>
      </c>
      <c r="H1829" t="s">
        <v>15</v>
      </c>
      <c r="I1829">
        <v>3.5</v>
      </c>
      <c r="J1829">
        <v>13</v>
      </c>
      <c r="K1829">
        <v>4</v>
      </c>
    </row>
    <row r="1830" spans="1:11" x14ac:dyDescent="0.35">
      <c r="A1830">
        <v>1829</v>
      </c>
      <c r="B1830">
        <v>30</v>
      </c>
      <c r="C1830" t="s">
        <v>16</v>
      </c>
      <c r="D1830" t="s">
        <v>25</v>
      </c>
      <c r="E1830" t="s">
        <v>26</v>
      </c>
      <c r="F1830">
        <v>38.97</v>
      </c>
      <c r="G1830" t="s">
        <v>19</v>
      </c>
      <c r="H1830" t="s">
        <v>15</v>
      </c>
      <c r="I1830">
        <v>3.6</v>
      </c>
      <c r="J1830">
        <v>6</v>
      </c>
      <c r="K1830">
        <v>3</v>
      </c>
    </row>
    <row r="1831" spans="1:11" x14ac:dyDescent="0.35">
      <c r="A1831">
        <v>1830</v>
      </c>
      <c r="B1831">
        <v>32</v>
      </c>
      <c r="C1831" t="s">
        <v>11</v>
      </c>
      <c r="D1831" t="s">
        <v>20</v>
      </c>
      <c r="E1831" t="s">
        <v>39</v>
      </c>
      <c r="F1831">
        <v>140.66</v>
      </c>
      <c r="G1831" t="s">
        <v>24</v>
      </c>
      <c r="H1831" t="s">
        <v>15</v>
      </c>
      <c r="I1831">
        <v>3</v>
      </c>
      <c r="J1831">
        <v>12</v>
      </c>
      <c r="K1831">
        <v>6</v>
      </c>
    </row>
    <row r="1832" spans="1:11" x14ac:dyDescent="0.35">
      <c r="A1832">
        <v>1831</v>
      </c>
      <c r="B1832">
        <v>63</v>
      </c>
      <c r="C1832" t="s">
        <v>11</v>
      </c>
      <c r="D1832" t="s">
        <v>20</v>
      </c>
      <c r="E1832" t="s">
        <v>39</v>
      </c>
      <c r="F1832">
        <v>229.74</v>
      </c>
      <c r="G1832" t="s">
        <v>14</v>
      </c>
      <c r="H1832" t="s">
        <v>15</v>
      </c>
      <c r="I1832">
        <v>4.4000000000000004</v>
      </c>
      <c r="J1832">
        <v>17</v>
      </c>
      <c r="K1832">
        <v>6</v>
      </c>
    </row>
    <row r="1833" spans="1:11" x14ac:dyDescent="0.35">
      <c r="A1833">
        <v>1832</v>
      </c>
      <c r="B1833">
        <v>27</v>
      </c>
      <c r="C1833" t="s">
        <v>11</v>
      </c>
      <c r="D1833" t="s">
        <v>22</v>
      </c>
      <c r="E1833" t="s">
        <v>43</v>
      </c>
      <c r="F1833">
        <v>191.41</v>
      </c>
      <c r="G1833" t="s">
        <v>19</v>
      </c>
      <c r="H1833" t="s">
        <v>15</v>
      </c>
      <c r="I1833">
        <v>4.5</v>
      </c>
      <c r="J1833">
        <v>6</v>
      </c>
      <c r="K1833">
        <v>3</v>
      </c>
    </row>
    <row r="1834" spans="1:11" x14ac:dyDescent="0.35">
      <c r="A1834">
        <v>1833</v>
      </c>
      <c r="B1834">
        <v>37</v>
      </c>
      <c r="C1834" t="s">
        <v>16</v>
      </c>
      <c r="D1834" t="s">
        <v>20</v>
      </c>
      <c r="E1834" t="s">
        <v>21</v>
      </c>
      <c r="F1834">
        <v>165.73</v>
      </c>
      <c r="G1834" t="s">
        <v>14</v>
      </c>
      <c r="H1834" t="s">
        <v>15</v>
      </c>
      <c r="I1834">
        <v>3.5</v>
      </c>
      <c r="J1834">
        <v>6</v>
      </c>
      <c r="K1834">
        <v>3</v>
      </c>
    </row>
    <row r="1835" spans="1:11" x14ac:dyDescent="0.35">
      <c r="A1835">
        <v>1834</v>
      </c>
      <c r="B1835">
        <v>54</v>
      </c>
      <c r="C1835" t="s">
        <v>16</v>
      </c>
      <c r="D1835" t="s">
        <v>27</v>
      </c>
      <c r="E1835" t="s">
        <v>28</v>
      </c>
      <c r="F1835">
        <v>2817.12</v>
      </c>
      <c r="G1835" t="s">
        <v>24</v>
      </c>
      <c r="H1835" t="s">
        <v>15</v>
      </c>
      <c r="I1835">
        <v>4</v>
      </c>
      <c r="J1835">
        <v>18</v>
      </c>
      <c r="K1835">
        <v>4</v>
      </c>
    </row>
    <row r="1836" spans="1:11" x14ac:dyDescent="0.35">
      <c r="A1836">
        <v>1835</v>
      </c>
      <c r="B1836">
        <v>34</v>
      </c>
      <c r="C1836" t="s">
        <v>16</v>
      </c>
      <c r="D1836" t="s">
        <v>33</v>
      </c>
      <c r="E1836" t="s">
        <v>34</v>
      </c>
      <c r="F1836">
        <v>243.34</v>
      </c>
      <c r="G1836" t="s">
        <v>24</v>
      </c>
      <c r="H1836" t="s">
        <v>15</v>
      </c>
      <c r="I1836">
        <v>3.5</v>
      </c>
      <c r="J1836">
        <v>11</v>
      </c>
      <c r="K1836">
        <v>3</v>
      </c>
    </row>
    <row r="1837" spans="1:11" x14ac:dyDescent="0.35">
      <c r="A1837">
        <v>1836</v>
      </c>
      <c r="B1837">
        <v>56</v>
      </c>
      <c r="C1837" t="s">
        <v>16</v>
      </c>
      <c r="D1837" t="s">
        <v>27</v>
      </c>
      <c r="E1837" t="s">
        <v>32</v>
      </c>
      <c r="F1837">
        <v>1574.28</v>
      </c>
      <c r="G1837" t="s">
        <v>19</v>
      </c>
      <c r="H1837" t="s">
        <v>15</v>
      </c>
      <c r="I1837">
        <v>3.3</v>
      </c>
      <c r="J1837">
        <v>13</v>
      </c>
      <c r="K1837">
        <v>4</v>
      </c>
    </row>
    <row r="1838" spans="1:11" x14ac:dyDescent="0.35">
      <c r="A1838">
        <v>1837</v>
      </c>
      <c r="B1838">
        <v>28</v>
      </c>
      <c r="C1838" t="s">
        <v>11</v>
      </c>
      <c r="D1838" t="s">
        <v>12</v>
      </c>
      <c r="E1838" t="s">
        <v>13</v>
      </c>
      <c r="F1838">
        <v>142.54</v>
      </c>
      <c r="G1838" t="s">
        <v>31</v>
      </c>
      <c r="H1838" t="s">
        <v>15</v>
      </c>
      <c r="I1838">
        <v>4.7</v>
      </c>
      <c r="J1838">
        <v>20</v>
      </c>
      <c r="K1838">
        <v>10</v>
      </c>
    </row>
    <row r="1839" spans="1:11" x14ac:dyDescent="0.35">
      <c r="A1839">
        <v>1838</v>
      </c>
      <c r="B1839">
        <v>26</v>
      </c>
      <c r="C1839" t="s">
        <v>16</v>
      </c>
      <c r="D1839" t="s">
        <v>20</v>
      </c>
      <c r="E1839" t="s">
        <v>21</v>
      </c>
      <c r="F1839">
        <v>138.28</v>
      </c>
      <c r="G1839" t="s">
        <v>14</v>
      </c>
      <c r="H1839" t="s">
        <v>15</v>
      </c>
      <c r="I1839">
        <v>4</v>
      </c>
      <c r="J1839">
        <v>15</v>
      </c>
      <c r="K1839">
        <v>5</v>
      </c>
    </row>
    <row r="1840" spans="1:11" x14ac:dyDescent="0.35">
      <c r="A1840">
        <v>1839</v>
      </c>
      <c r="B1840">
        <v>64</v>
      </c>
      <c r="C1840" t="s">
        <v>11</v>
      </c>
      <c r="D1840" t="s">
        <v>41</v>
      </c>
      <c r="E1840" t="s">
        <v>45</v>
      </c>
      <c r="F1840">
        <v>82.07</v>
      </c>
      <c r="G1840" t="s">
        <v>24</v>
      </c>
      <c r="H1840" t="s">
        <v>15</v>
      </c>
      <c r="I1840">
        <v>4.4000000000000004</v>
      </c>
      <c r="J1840">
        <v>9</v>
      </c>
      <c r="K1840">
        <v>2</v>
      </c>
    </row>
    <row r="1841" spans="1:11" x14ac:dyDescent="0.35">
      <c r="A1841">
        <v>1840</v>
      </c>
      <c r="B1841">
        <v>64</v>
      </c>
      <c r="C1841" t="s">
        <v>11</v>
      </c>
      <c r="D1841" t="s">
        <v>12</v>
      </c>
      <c r="E1841" t="s">
        <v>56</v>
      </c>
      <c r="F1841">
        <v>137.63999999999999</v>
      </c>
      <c r="G1841" t="s">
        <v>24</v>
      </c>
      <c r="H1841" t="s">
        <v>15</v>
      </c>
      <c r="I1841">
        <v>2.9</v>
      </c>
      <c r="J1841">
        <v>24</v>
      </c>
      <c r="K1841">
        <v>7</v>
      </c>
    </row>
    <row r="1842" spans="1:11" x14ac:dyDescent="0.35">
      <c r="A1842">
        <v>1841</v>
      </c>
      <c r="B1842">
        <v>64</v>
      </c>
      <c r="C1842" t="s">
        <v>11</v>
      </c>
      <c r="D1842" t="s">
        <v>12</v>
      </c>
      <c r="E1842" t="s">
        <v>50</v>
      </c>
      <c r="F1842">
        <v>69.56</v>
      </c>
      <c r="G1842" t="s">
        <v>24</v>
      </c>
      <c r="H1842" t="s">
        <v>37</v>
      </c>
      <c r="I1842">
        <v>3.2</v>
      </c>
      <c r="J1842">
        <v>23</v>
      </c>
      <c r="K1842">
        <v>9</v>
      </c>
    </row>
    <row r="1843" spans="1:11" x14ac:dyDescent="0.35">
      <c r="A1843">
        <v>1842</v>
      </c>
      <c r="B1843">
        <v>40</v>
      </c>
      <c r="C1843" t="s">
        <v>16</v>
      </c>
      <c r="D1843" t="s">
        <v>17</v>
      </c>
      <c r="E1843" t="s">
        <v>48</v>
      </c>
      <c r="F1843">
        <v>119.18</v>
      </c>
      <c r="G1843" t="s">
        <v>31</v>
      </c>
      <c r="H1843" t="s">
        <v>15</v>
      </c>
      <c r="I1843">
        <v>4</v>
      </c>
      <c r="J1843">
        <v>24</v>
      </c>
      <c r="K1843">
        <v>7</v>
      </c>
    </row>
    <row r="1844" spans="1:11" x14ac:dyDescent="0.35">
      <c r="A1844">
        <v>1843</v>
      </c>
      <c r="B1844">
        <v>28</v>
      </c>
      <c r="C1844" t="s">
        <v>16</v>
      </c>
      <c r="D1844" t="s">
        <v>20</v>
      </c>
      <c r="E1844" t="s">
        <v>39</v>
      </c>
      <c r="F1844">
        <v>197.53</v>
      </c>
      <c r="G1844" t="s">
        <v>24</v>
      </c>
      <c r="H1844" t="s">
        <v>15</v>
      </c>
      <c r="I1844">
        <v>4.0999999999999996</v>
      </c>
      <c r="J1844">
        <v>22</v>
      </c>
      <c r="K1844">
        <v>6</v>
      </c>
    </row>
    <row r="1845" spans="1:11" x14ac:dyDescent="0.35">
      <c r="A1845">
        <v>1844</v>
      </c>
      <c r="B1845">
        <v>63</v>
      </c>
      <c r="C1845" t="s">
        <v>11</v>
      </c>
      <c r="D1845" t="s">
        <v>33</v>
      </c>
      <c r="E1845" t="s">
        <v>38</v>
      </c>
      <c r="F1845">
        <v>183.93</v>
      </c>
      <c r="G1845" t="s">
        <v>14</v>
      </c>
      <c r="H1845" t="s">
        <v>15</v>
      </c>
      <c r="I1845">
        <v>4.7</v>
      </c>
      <c r="J1845">
        <v>22</v>
      </c>
      <c r="K1845">
        <v>6</v>
      </c>
    </row>
    <row r="1846" spans="1:11" x14ac:dyDescent="0.35">
      <c r="A1846">
        <v>1845</v>
      </c>
      <c r="B1846">
        <v>54</v>
      </c>
      <c r="C1846" t="s">
        <v>16</v>
      </c>
      <c r="D1846" t="s">
        <v>27</v>
      </c>
      <c r="E1846" t="s">
        <v>28</v>
      </c>
      <c r="F1846">
        <v>1324.31</v>
      </c>
      <c r="G1846" t="s">
        <v>31</v>
      </c>
      <c r="H1846" t="s">
        <v>15</v>
      </c>
      <c r="I1846">
        <v>3.5</v>
      </c>
      <c r="J1846">
        <v>18</v>
      </c>
      <c r="K1846">
        <v>4</v>
      </c>
    </row>
    <row r="1847" spans="1:11" x14ac:dyDescent="0.35">
      <c r="A1847">
        <v>1846</v>
      </c>
      <c r="B1847">
        <v>57</v>
      </c>
      <c r="C1847" t="s">
        <v>16</v>
      </c>
      <c r="D1847" t="s">
        <v>33</v>
      </c>
      <c r="E1847" t="s">
        <v>38</v>
      </c>
      <c r="F1847">
        <v>192.19</v>
      </c>
      <c r="G1847" t="s">
        <v>14</v>
      </c>
      <c r="H1847" t="s">
        <v>15</v>
      </c>
      <c r="I1847">
        <v>3.8</v>
      </c>
      <c r="J1847">
        <v>8</v>
      </c>
      <c r="K1847">
        <v>4</v>
      </c>
    </row>
    <row r="1848" spans="1:11" x14ac:dyDescent="0.35">
      <c r="A1848">
        <v>1847</v>
      </c>
      <c r="B1848">
        <v>34</v>
      </c>
      <c r="C1848" t="s">
        <v>16</v>
      </c>
      <c r="D1848" t="s">
        <v>20</v>
      </c>
      <c r="E1848" t="s">
        <v>39</v>
      </c>
      <c r="F1848">
        <v>111.77</v>
      </c>
      <c r="G1848" t="s">
        <v>19</v>
      </c>
      <c r="H1848" t="s">
        <v>15</v>
      </c>
      <c r="I1848">
        <v>4.5999999999999996</v>
      </c>
      <c r="J1848">
        <v>12</v>
      </c>
      <c r="K1848">
        <v>1</v>
      </c>
    </row>
    <row r="1849" spans="1:11" x14ac:dyDescent="0.35">
      <c r="A1849">
        <v>1848</v>
      </c>
      <c r="B1849">
        <v>52</v>
      </c>
      <c r="C1849" t="s">
        <v>16</v>
      </c>
      <c r="D1849" t="s">
        <v>20</v>
      </c>
      <c r="E1849" t="s">
        <v>21</v>
      </c>
      <c r="F1849">
        <v>105.58</v>
      </c>
      <c r="G1849" t="s">
        <v>31</v>
      </c>
      <c r="H1849" t="s">
        <v>15</v>
      </c>
      <c r="I1849">
        <v>3.2</v>
      </c>
      <c r="J1849">
        <v>17</v>
      </c>
      <c r="K1849">
        <v>6</v>
      </c>
    </row>
    <row r="1850" spans="1:11" x14ac:dyDescent="0.35">
      <c r="A1850">
        <v>1849</v>
      </c>
      <c r="B1850">
        <v>44</v>
      </c>
      <c r="C1850" t="s">
        <v>11</v>
      </c>
      <c r="D1850" t="s">
        <v>29</v>
      </c>
      <c r="E1850" t="s">
        <v>30</v>
      </c>
      <c r="F1850">
        <v>57.25</v>
      </c>
      <c r="G1850" t="s">
        <v>31</v>
      </c>
      <c r="H1850" t="s">
        <v>37</v>
      </c>
      <c r="I1850">
        <v>3.3</v>
      </c>
      <c r="J1850">
        <v>10</v>
      </c>
      <c r="K1850">
        <v>5</v>
      </c>
    </row>
    <row r="1851" spans="1:11" x14ac:dyDescent="0.35">
      <c r="A1851">
        <v>1850</v>
      </c>
      <c r="B1851">
        <v>43</v>
      </c>
      <c r="C1851" t="s">
        <v>11</v>
      </c>
      <c r="D1851" t="s">
        <v>29</v>
      </c>
      <c r="E1851" t="s">
        <v>51</v>
      </c>
      <c r="F1851">
        <v>146.27000000000001</v>
      </c>
      <c r="G1851" t="s">
        <v>24</v>
      </c>
      <c r="H1851" t="s">
        <v>15</v>
      </c>
      <c r="I1851">
        <v>3.1</v>
      </c>
      <c r="J1851">
        <v>18</v>
      </c>
      <c r="K1851">
        <v>4</v>
      </c>
    </row>
    <row r="1852" spans="1:11" x14ac:dyDescent="0.35">
      <c r="A1852">
        <v>1851</v>
      </c>
      <c r="B1852">
        <v>63</v>
      </c>
      <c r="C1852" t="s">
        <v>11</v>
      </c>
      <c r="D1852" t="s">
        <v>12</v>
      </c>
      <c r="E1852" t="s">
        <v>56</v>
      </c>
      <c r="F1852">
        <v>137.27000000000001</v>
      </c>
      <c r="G1852" t="s">
        <v>24</v>
      </c>
      <c r="H1852" t="s">
        <v>15</v>
      </c>
      <c r="I1852">
        <v>4.4000000000000004</v>
      </c>
      <c r="J1852">
        <v>6</v>
      </c>
      <c r="K1852">
        <v>3</v>
      </c>
    </row>
    <row r="1853" spans="1:11" x14ac:dyDescent="0.35">
      <c r="A1853">
        <v>1852</v>
      </c>
      <c r="B1853">
        <v>37</v>
      </c>
      <c r="C1853" t="s">
        <v>16</v>
      </c>
      <c r="D1853" t="s">
        <v>17</v>
      </c>
      <c r="E1853" t="s">
        <v>42</v>
      </c>
      <c r="F1853">
        <v>79.69</v>
      </c>
      <c r="G1853" t="s">
        <v>14</v>
      </c>
      <c r="H1853" t="s">
        <v>37</v>
      </c>
      <c r="I1853">
        <v>4.3</v>
      </c>
      <c r="J1853">
        <v>4</v>
      </c>
      <c r="K1853">
        <v>2</v>
      </c>
    </row>
    <row r="1854" spans="1:11" x14ac:dyDescent="0.35">
      <c r="A1854">
        <v>1853</v>
      </c>
      <c r="B1854">
        <v>48</v>
      </c>
      <c r="C1854" t="s">
        <v>11</v>
      </c>
      <c r="D1854" t="s">
        <v>29</v>
      </c>
      <c r="E1854" t="s">
        <v>51</v>
      </c>
      <c r="F1854">
        <v>29.31</v>
      </c>
      <c r="G1854" t="s">
        <v>24</v>
      </c>
      <c r="H1854" t="s">
        <v>15</v>
      </c>
      <c r="I1854">
        <v>4.9000000000000004</v>
      </c>
      <c r="J1854">
        <v>18</v>
      </c>
      <c r="K1854">
        <v>4</v>
      </c>
    </row>
    <row r="1855" spans="1:11" x14ac:dyDescent="0.35">
      <c r="A1855">
        <v>1854</v>
      </c>
      <c r="B1855">
        <v>47</v>
      </c>
      <c r="C1855" t="s">
        <v>16</v>
      </c>
      <c r="D1855" t="s">
        <v>17</v>
      </c>
      <c r="E1855" t="s">
        <v>48</v>
      </c>
      <c r="F1855">
        <v>110.78</v>
      </c>
      <c r="G1855" t="s">
        <v>19</v>
      </c>
      <c r="H1855" t="s">
        <v>15</v>
      </c>
      <c r="I1855">
        <v>3.9</v>
      </c>
      <c r="J1855">
        <v>10</v>
      </c>
      <c r="K1855">
        <v>5</v>
      </c>
    </row>
    <row r="1856" spans="1:11" x14ac:dyDescent="0.35">
      <c r="A1856">
        <v>1855</v>
      </c>
      <c r="B1856">
        <v>60</v>
      </c>
      <c r="C1856" t="s">
        <v>11</v>
      </c>
      <c r="D1856" t="s">
        <v>12</v>
      </c>
      <c r="E1856" t="s">
        <v>50</v>
      </c>
      <c r="F1856">
        <v>88.27</v>
      </c>
      <c r="G1856" t="s">
        <v>14</v>
      </c>
      <c r="H1856" t="s">
        <v>15</v>
      </c>
      <c r="I1856">
        <v>2.9</v>
      </c>
      <c r="J1856">
        <v>14</v>
      </c>
      <c r="K1856">
        <v>7</v>
      </c>
    </row>
    <row r="1857" spans="1:11" x14ac:dyDescent="0.35">
      <c r="A1857">
        <v>1856</v>
      </c>
      <c r="B1857">
        <v>25</v>
      </c>
      <c r="C1857" t="s">
        <v>11</v>
      </c>
      <c r="D1857" t="s">
        <v>12</v>
      </c>
      <c r="E1857" t="s">
        <v>56</v>
      </c>
      <c r="F1857">
        <v>155.11000000000001</v>
      </c>
      <c r="G1857" t="s">
        <v>14</v>
      </c>
      <c r="H1857" t="s">
        <v>15</v>
      </c>
      <c r="I1857">
        <v>4.4000000000000004</v>
      </c>
      <c r="J1857">
        <v>13</v>
      </c>
      <c r="K1857">
        <v>4</v>
      </c>
    </row>
    <row r="1858" spans="1:11" x14ac:dyDescent="0.35">
      <c r="A1858">
        <v>1857</v>
      </c>
      <c r="B1858">
        <v>20</v>
      </c>
      <c r="C1858" t="s">
        <v>16</v>
      </c>
      <c r="D1858" t="s">
        <v>33</v>
      </c>
      <c r="E1858" t="s">
        <v>40</v>
      </c>
      <c r="F1858">
        <v>125.9</v>
      </c>
      <c r="G1858" t="s">
        <v>14</v>
      </c>
      <c r="H1858" t="s">
        <v>15</v>
      </c>
      <c r="I1858">
        <v>4.0999999999999996</v>
      </c>
      <c r="J1858">
        <v>20</v>
      </c>
      <c r="K1858">
        <v>5</v>
      </c>
    </row>
    <row r="1859" spans="1:11" x14ac:dyDescent="0.35">
      <c r="A1859">
        <v>1858</v>
      </c>
      <c r="B1859">
        <v>29</v>
      </c>
      <c r="C1859" t="s">
        <v>11</v>
      </c>
      <c r="D1859" t="s">
        <v>25</v>
      </c>
      <c r="E1859" t="s">
        <v>47</v>
      </c>
      <c r="F1859">
        <v>78.52</v>
      </c>
      <c r="G1859" t="s">
        <v>14</v>
      </c>
      <c r="H1859" t="s">
        <v>37</v>
      </c>
      <c r="I1859">
        <v>3.5</v>
      </c>
      <c r="J1859">
        <v>18</v>
      </c>
      <c r="K1859">
        <v>4</v>
      </c>
    </row>
    <row r="1860" spans="1:11" x14ac:dyDescent="0.35">
      <c r="A1860">
        <v>1859</v>
      </c>
      <c r="B1860">
        <v>49</v>
      </c>
      <c r="C1860" t="s">
        <v>11</v>
      </c>
      <c r="D1860" t="s">
        <v>25</v>
      </c>
      <c r="E1860" t="s">
        <v>26</v>
      </c>
      <c r="F1860">
        <v>21.32</v>
      </c>
      <c r="G1860" t="s">
        <v>14</v>
      </c>
      <c r="H1860" t="s">
        <v>37</v>
      </c>
      <c r="I1860">
        <v>4.5999999999999996</v>
      </c>
      <c r="J1860">
        <v>13</v>
      </c>
      <c r="K1860">
        <v>4</v>
      </c>
    </row>
    <row r="1861" spans="1:11" x14ac:dyDescent="0.35">
      <c r="A1861">
        <v>1860</v>
      </c>
      <c r="B1861">
        <v>70</v>
      </c>
      <c r="C1861" t="s">
        <v>11</v>
      </c>
      <c r="D1861" t="s">
        <v>33</v>
      </c>
      <c r="E1861" t="s">
        <v>40</v>
      </c>
      <c r="F1861">
        <v>180.88</v>
      </c>
      <c r="G1861" t="s">
        <v>24</v>
      </c>
      <c r="H1861" t="s">
        <v>15</v>
      </c>
      <c r="I1861">
        <v>3.1</v>
      </c>
      <c r="J1861">
        <v>14</v>
      </c>
      <c r="K1861">
        <v>2</v>
      </c>
    </row>
    <row r="1862" spans="1:11" x14ac:dyDescent="0.35">
      <c r="A1862">
        <v>1861</v>
      </c>
      <c r="B1862">
        <v>23</v>
      </c>
      <c r="C1862" t="s">
        <v>11</v>
      </c>
      <c r="D1862" t="s">
        <v>20</v>
      </c>
      <c r="E1862" t="s">
        <v>36</v>
      </c>
      <c r="F1862">
        <v>240.21</v>
      </c>
      <c r="G1862" t="s">
        <v>24</v>
      </c>
      <c r="H1862" t="s">
        <v>15</v>
      </c>
      <c r="I1862">
        <v>2.2999999999999998</v>
      </c>
      <c r="J1862">
        <v>18</v>
      </c>
      <c r="K1862">
        <v>4</v>
      </c>
    </row>
    <row r="1863" spans="1:11" x14ac:dyDescent="0.35">
      <c r="A1863">
        <v>1862</v>
      </c>
      <c r="B1863">
        <v>34</v>
      </c>
      <c r="C1863" t="s">
        <v>16</v>
      </c>
      <c r="D1863" t="s">
        <v>17</v>
      </c>
      <c r="E1863" t="s">
        <v>42</v>
      </c>
      <c r="F1863">
        <v>76.040000000000006</v>
      </c>
      <c r="G1863" t="s">
        <v>31</v>
      </c>
      <c r="H1863" t="s">
        <v>37</v>
      </c>
      <c r="I1863">
        <v>4</v>
      </c>
      <c r="J1863">
        <v>6</v>
      </c>
      <c r="K1863">
        <v>3</v>
      </c>
    </row>
    <row r="1864" spans="1:11" x14ac:dyDescent="0.35">
      <c r="A1864">
        <v>1863</v>
      </c>
      <c r="B1864">
        <v>68</v>
      </c>
      <c r="C1864" t="s">
        <v>16</v>
      </c>
      <c r="D1864" t="s">
        <v>33</v>
      </c>
      <c r="E1864" t="s">
        <v>38</v>
      </c>
      <c r="F1864">
        <v>52.98</v>
      </c>
      <c r="G1864" t="s">
        <v>19</v>
      </c>
      <c r="H1864" t="s">
        <v>15</v>
      </c>
      <c r="I1864">
        <v>3.8</v>
      </c>
      <c r="J1864">
        <v>22</v>
      </c>
      <c r="K1864">
        <v>6</v>
      </c>
    </row>
    <row r="1865" spans="1:11" x14ac:dyDescent="0.35">
      <c r="A1865">
        <v>1864</v>
      </c>
      <c r="B1865">
        <v>51</v>
      </c>
      <c r="C1865" t="s">
        <v>11</v>
      </c>
      <c r="D1865" t="s">
        <v>29</v>
      </c>
      <c r="E1865" t="s">
        <v>55</v>
      </c>
      <c r="F1865">
        <v>101.93</v>
      </c>
      <c r="G1865" t="s">
        <v>19</v>
      </c>
      <c r="H1865" t="s">
        <v>15</v>
      </c>
      <c r="I1865">
        <v>3.7</v>
      </c>
      <c r="J1865">
        <v>9</v>
      </c>
      <c r="K1865">
        <v>2</v>
      </c>
    </row>
    <row r="1866" spans="1:11" x14ac:dyDescent="0.35">
      <c r="A1866">
        <v>1865</v>
      </c>
      <c r="B1866">
        <v>49</v>
      </c>
      <c r="C1866" t="s">
        <v>16</v>
      </c>
      <c r="D1866" t="s">
        <v>33</v>
      </c>
      <c r="E1866" t="s">
        <v>38</v>
      </c>
      <c r="F1866">
        <v>122.96</v>
      </c>
      <c r="G1866" t="s">
        <v>24</v>
      </c>
      <c r="H1866" t="s">
        <v>15</v>
      </c>
      <c r="I1866">
        <v>4.2</v>
      </c>
      <c r="J1866">
        <v>13</v>
      </c>
      <c r="K1866">
        <v>4</v>
      </c>
    </row>
    <row r="1867" spans="1:11" x14ac:dyDescent="0.35">
      <c r="A1867">
        <v>1866</v>
      </c>
      <c r="B1867">
        <v>46</v>
      </c>
      <c r="C1867" t="s">
        <v>16</v>
      </c>
      <c r="D1867" t="s">
        <v>27</v>
      </c>
      <c r="E1867" t="s">
        <v>49</v>
      </c>
      <c r="F1867">
        <v>2820.93</v>
      </c>
      <c r="G1867" t="s">
        <v>31</v>
      </c>
      <c r="H1867" t="s">
        <v>15</v>
      </c>
      <c r="I1867">
        <v>4.5999999999999996</v>
      </c>
      <c r="J1867">
        <v>13</v>
      </c>
      <c r="K1867">
        <v>4</v>
      </c>
    </row>
    <row r="1868" spans="1:11" x14ac:dyDescent="0.35">
      <c r="A1868">
        <v>1867</v>
      </c>
      <c r="B1868">
        <v>46</v>
      </c>
      <c r="C1868" t="s">
        <v>16</v>
      </c>
      <c r="D1868" t="s">
        <v>17</v>
      </c>
      <c r="E1868" t="s">
        <v>48</v>
      </c>
      <c r="F1868">
        <v>123.87</v>
      </c>
      <c r="G1868" t="s">
        <v>31</v>
      </c>
      <c r="H1868" t="s">
        <v>15</v>
      </c>
      <c r="I1868">
        <v>3.8</v>
      </c>
      <c r="J1868">
        <v>5</v>
      </c>
      <c r="K1868">
        <v>0</v>
      </c>
    </row>
    <row r="1869" spans="1:11" x14ac:dyDescent="0.35">
      <c r="A1869">
        <v>1868</v>
      </c>
      <c r="B1869">
        <v>49</v>
      </c>
      <c r="C1869" t="s">
        <v>16</v>
      </c>
      <c r="D1869" t="s">
        <v>17</v>
      </c>
      <c r="E1869" t="s">
        <v>48</v>
      </c>
      <c r="F1869">
        <v>67.94</v>
      </c>
      <c r="G1869" t="s">
        <v>31</v>
      </c>
      <c r="H1869" t="s">
        <v>37</v>
      </c>
      <c r="I1869">
        <v>3.9</v>
      </c>
      <c r="J1869">
        <v>24</v>
      </c>
      <c r="K1869">
        <v>7</v>
      </c>
    </row>
    <row r="1870" spans="1:11" x14ac:dyDescent="0.35">
      <c r="A1870">
        <v>1869</v>
      </c>
      <c r="B1870">
        <v>56</v>
      </c>
      <c r="C1870" t="s">
        <v>16</v>
      </c>
      <c r="D1870" t="s">
        <v>17</v>
      </c>
      <c r="E1870" t="s">
        <v>48</v>
      </c>
      <c r="F1870">
        <v>50.4</v>
      </c>
      <c r="G1870" t="s">
        <v>19</v>
      </c>
      <c r="H1870" t="s">
        <v>15</v>
      </c>
      <c r="I1870">
        <v>4.2</v>
      </c>
      <c r="J1870">
        <v>18</v>
      </c>
      <c r="K1870">
        <v>4</v>
      </c>
    </row>
    <row r="1871" spans="1:11" x14ac:dyDescent="0.35">
      <c r="A1871">
        <v>1870</v>
      </c>
      <c r="B1871">
        <v>65</v>
      </c>
      <c r="C1871" t="s">
        <v>16</v>
      </c>
      <c r="D1871" t="s">
        <v>17</v>
      </c>
      <c r="E1871" t="s">
        <v>35</v>
      </c>
      <c r="F1871">
        <v>174.89</v>
      </c>
      <c r="G1871" t="s">
        <v>24</v>
      </c>
      <c r="H1871" t="s">
        <v>15</v>
      </c>
      <c r="I1871">
        <v>2.4</v>
      </c>
      <c r="J1871">
        <v>2</v>
      </c>
      <c r="K1871">
        <v>1</v>
      </c>
    </row>
    <row r="1872" spans="1:11" x14ac:dyDescent="0.35">
      <c r="A1872">
        <v>1871</v>
      </c>
      <c r="B1872">
        <v>44</v>
      </c>
      <c r="C1872" t="s">
        <v>11</v>
      </c>
      <c r="D1872" t="s">
        <v>41</v>
      </c>
      <c r="E1872" t="s">
        <v>45</v>
      </c>
      <c r="F1872">
        <v>119.31</v>
      </c>
      <c r="G1872" t="s">
        <v>19</v>
      </c>
      <c r="H1872" t="s">
        <v>15</v>
      </c>
      <c r="I1872">
        <v>3.8</v>
      </c>
      <c r="J1872">
        <v>15</v>
      </c>
      <c r="K1872">
        <v>5</v>
      </c>
    </row>
    <row r="1873" spans="1:11" x14ac:dyDescent="0.35">
      <c r="A1873">
        <v>1872</v>
      </c>
      <c r="B1873">
        <v>43</v>
      </c>
      <c r="C1873" t="s">
        <v>16</v>
      </c>
      <c r="D1873" t="s">
        <v>20</v>
      </c>
      <c r="E1873" t="s">
        <v>21</v>
      </c>
      <c r="F1873">
        <v>188.28</v>
      </c>
      <c r="G1873" t="s">
        <v>19</v>
      </c>
      <c r="H1873" t="s">
        <v>15</v>
      </c>
      <c r="I1873">
        <v>3.7</v>
      </c>
      <c r="J1873">
        <v>22</v>
      </c>
      <c r="K1873">
        <v>6</v>
      </c>
    </row>
    <row r="1874" spans="1:11" x14ac:dyDescent="0.35">
      <c r="A1874">
        <v>1873</v>
      </c>
      <c r="B1874">
        <v>58</v>
      </c>
      <c r="C1874" t="s">
        <v>16</v>
      </c>
      <c r="D1874" t="s">
        <v>33</v>
      </c>
      <c r="E1874" t="s">
        <v>40</v>
      </c>
      <c r="F1874">
        <v>75.03</v>
      </c>
      <c r="G1874" t="s">
        <v>19</v>
      </c>
      <c r="H1874" t="s">
        <v>15</v>
      </c>
      <c r="I1874">
        <v>4.3</v>
      </c>
      <c r="J1874">
        <v>10</v>
      </c>
      <c r="K1874">
        <v>5</v>
      </c>
    </row>
    <row r="1875" spans="1:11" x14ac:dyDescent="0.35">
      <c r="A1875">
        <v>1874</v>
      </c>
      <c r="B1875">
        <v>27</v>
      </c>
      <c r="C1875" t="s">
        <v>11</v>
      </c>
      <c r="D1875" t="s">
        <v>20</v>
      </c>
      <c r="E1875" t="s">
        <v>21</v>
      </c>
      <c r="F1875">
        <v>122.27</v>
      </c>
      <c r="G1875" t="s">
        <v>14</v>
      </c>
      <c r="H1875" t="s">
        <v>15</v>
      </c>
      <c r="I1875">
        <v>5</v>
      </c>
      <c r="J1875">
        <v>15</v>
      </c>
      <c r="K1875">
        <v>5</v>
      </c>
    </row>
    <row r="1876" spans="1:11" x14ac:dyDescent="0.35">
      <c r="A1876">
        <v>1875</v>
      </c>
      <c r="B1876">
        <v>67</v>
      </c>
      <c r="C1876" t="s">
        <v>11</v>
      </c>
      <c r="D1876" t="s">
        <v>41</v>
      </c>
      <c r="E1876" t="s">
        <v>42</v>
      </c>
      <c r="F1876">
        <v>48.15</v>
      </c>
      <c r="G1876" t="s">
        <v>31</v>
      </c>
      <c r="H1876" t="s">
        <v>37</v>
      </c>
      <c r="I1876">
        <v>3.5</v>
      </c>
      <c r="J1876">
        <v>12</v>
      </c>
      <c r="K1876">
        <v>6</v>
      </c>
    </row>
    <row r="1877" spans="1:11" x14ac:dyDescent="0.35">
      <c r="A1877">
        <v>1876</v>
      </c>
      <c r="B1877">
        <v>57</v>
      </c>
      <c r="C1877" t="s">
        <v>11</v>
      </c>
      <c r="D1877" t="s">
        <v>25</v>
      </c>
      <c r="E1877" t="s">
        <v>57</v>
      </c>
      <c r="F1877">
        <v>75.56</v>
      </c>
      <c r="G1877" t="s">
        <v>31</v>
      </c>
      <c r="H1877" t="s">
        <v>37</v>
      </c>
      <c r="I1877">
        <v>3.8</v>
      </c>
      <c r="J1877">
        <v>22</v>
      </c>
      <c r="K1877">
        <v>6</v>
      </c>
    </row>
    <row r="1878" spans="1:11" x14ac:dyDescent="0.35">
      <c r="A1878">
        <v>1877</v>
      </c>
      <c r="B1878">
        <v>37</v>
      </c>
      <c r="C1878" t="s">
        <v>16</v>
      </c>
      <c r="D1878" t="s">
        <v>22</v>
      </c>
      <c r="E1878" t="s">
        <v>52</v>
      </c>
      <c r="F1878">
        <v>289.68</v>
      </c>
      <c r="G1878" t="s">
        <v>19</v>
      </c>
      <c r="H1878" t="s">
        <v>15</v>
      </c>
      <c r="I1878">
        <v>5</v>
      </c>
      <c r="J1878">
        <v>24</v>
      </c>
      <c r="K1878">
        <v>7</v>
      </c>
    </row>
    <row r="1879" spans="1:11" x14ac:dyDescent="0.35">
      <c r="A1879">
        <v>1878</v>
      </c>
      <c r="B1879">
        <v>59</v>
      </c>
      <c r="C1879" t="s">
        <v>16</v>
      </c>
      <c r="D1879" t="s">
        <v>20</v>
      </c>
      <c r="E1879" t="s">
        <v>39</v>
      </c>
      <c r="F1879">
        <v>241.42</v>
      </c>
      <c r="G1879" t="s">
        <v>31</v>
      </c>
      <c r="H1879" t="s">
        <v>15</v>
      </c>
      <c r="I1879">
        <v>5</v>
      </c>
      <c r="J1879">
        <v>19</v>
      </c>
      <c r="K1879">
        <v>7</v>
      </c>
    </row>
    <row r="1880" spans="1:11" x14ac:dyDescent="0.35">
      <c r="A1880">
        <v>1879</v>
      </c>
      <c r="B1880">
        <v>51</v>
      </c>
      <c r="C1880" t="s">
        <v>11</v>
      </c>
      <c r="D1880" t="s">
        <v>29</v>
      </c>
      <c r="E1880" t="s">
        <v>30</v>
      </c>
      <c r="F1880">
        <v>138.15</v>
      </c>
      <c r="G1880" t="s">
        <v>24</v>
      </c>
      <c r="H1880" t="s">
        <v>15</v>
      </c>
      <c r="I1880">
        <v>3.5</v>
      </c>
      <c r="J1880">
        <v>15</v>
      </c>
      <c r="K1880">
        <v>5</v>
      </c>
    </row>
    <row r="1881" spans="1:11" x14ac:dyDescent="0.35">
      <c r="A1881">
        <v>1880</v>
      </c>
      <c r="B1881">
        <v>30</v>
      </c>
      <c r="C1881" t="s">
        <v>11</v>
      </c>
      <c r="D1881" t="s">
        <v>12</v>
      </c>
      <c r="E1881" t="s">
        <v>50</v>
      </c>
      <c r="F1881">
        <v>46.15</v>
      </c>
      <c r="G1881" t="s">
        <v>14</v>
      </c>
      <c r="H1881" t="s">
        <v>37</v>
      </c>
      <c r="I1881">
        <v>3.7</v>
      </c>
      <c r="J1881">
        <v>14</v>
      </c>
      <c r="K1881">
        <v>2</v>
      </c>
    </row>
    <row r="1882" spans="1:11" x14ac:dyDescent="0.35">
      <c r="A1882">
        <v>1881</v>
      </c>
      <c r="B1882">
        <v>61</v>
      </c>
      <c r="C1882" t="s">
        <v>16</v>
      </c>
      <c r="D1882" t="s">
        <v>25</v>
      </c>
      <c r="E1882" t="s">
        <v>47</v>
      </c>
      <c r="F1882">
        <v>62.19</v>
      </c>
      <c r="G1882" t="s">
        <v>31</v>
      </c>
      <c r="H1882" t="s">
        <v>15</v>
      </c>
      <c r="I1882">
        <v>2.9</v>
      </c>
      <c r="J1882">
        <v>12</v>
      </c>
      <c r="K1882">
        <v>6</v>
      </c>
    </row>
    <row r="1883" spans="1:11" x14ac:dyDescent="0.35">
      <c r="A1883">
        <v>1882</v>
      </c>
      <c r="B1883">
        <v>24</v>
      </c>
      <c r="C1883" t="s">
        <v>16</v>
      </c>
      <c r="D1883" t="s">
        <v>33</v>
      </c>
      <c r="E1883" t="s">
        <v>34</v>
      </c>
      <c r="F1883">
        <v>223.63</v>
      </c>
      <c r="G1883" t="s">
        <v>19</v>
      </c>
      <c r="H1883" t="s">
        <v>15</v>
      </c>
      <c r="I1883">
        <v>5</v>
      </c>
      <c r="J1883">
        <v>5</v>
      </c>
      <c r="K1883">
        <v>0</v>
      </c>
    </row>
    <row r="1884" spans="1:11" x14ac:dyDescent="0.35">
      <c r="A1884">
        <v>1883</v>
      </c>
      <c r="B1884">
        <v>46</v>
      </c>
      <c r="C1884" t="s">
        <v>11</v>
      </c>
      <c r="D1884" t="s">
        <v>25</v>
      </c>
      <c r="E1884" t="s">
        <v>57</v>
      </c>
      <c r="F1884">
        <v>61.01</v>
      </c>
      <c r="G1884" t="s">
        <v>19</v>
      </c>
      <c r="H1884" t="s">
        <v>37</v>
      </c>
      <c r="I1884">
        <v>3.2</v>
      </c>
      <c r="J1884">
        <v>15</v>
      </c>
      <c r="K1884">
        <v>5</v>
      </c>
    </row>
    <row r="1885" spans="1:11" x14ac:dyDescent="0.35">
      <c r="A1885">
        <v>1884</v>
      </c>
      <c r="B1885">
        <v>24</v>
      </c>
      <c r="C1885" t="s">
        <v>16</v>
      </c>
      <c r="D1885" t="s">
        <v>17</v>
      </c>
      <c r="E1885" t="s">
        <v>18</v>
      </c>
      <c r="F1885">
        <v>55.92</v>
      </c>
      <c r="G1885" t="s">
        <v>19</v>
      </c>
      <c r="H1885" t="s">
        <v>15</v>
      </c>
      <c r="I1885">
        <v>4</v>
      </c>
      <c r="J1885">
        <v>12</v>
      </c>
      <c r="K1885">
        <v>6</v>
      </c>
    </row>
    <row r="1886" spans="1:11" x14ac:dyDescent="0.35">
      <c r="A1886">
        <v>1885</v>
      </c>
      <c r="B1886">
        <v>23</v>
      </c>
      <c r="C1886" t="s">
        <v>16</v>
      </c>
      <c r="D1886" t="s">
        <v>27</v>
      </c>
      <c r="E1886" t="s">
        <v>32</v>
      </c>
      <c r="F1886">
        <v>590.1</v>
      </c>
      <c r="G1886" t="s">
        <v>19</v>
      </c>
      <c r="H1886" t="s">
        <v>15</v>
      </c>
      <c r="I1886">
        <v>4.3</v>
      </c>
      <c r="J1886">
        <v>6</v>
      </c>
      <c r="K1886">
        <v>3</v>
      </c>
    </row>
    <row r="1887" spans="1:11" x14ac:dyDescent="0.35">
      <c r="A1887">
        <v>1886</v>
      </c>
      <c r="B1887">
        <v>23</v>
      </c>
      <c r="C1887" t="s">
        <v>11</v>
      </c>
      <c r="D1887" t="s">
        <v>20</v>
      </c>
      <c r="E1887" t="s">
        <v>36</v>
      </c>
      <c r="F1887">
        <v>193.08</v>
      </c>
      <c r="G1887" t="s">
        <v>14</v>
      </c>
      <c r="H1887" t="s">
        <v>15</v>
      </c>
      <c r="I1887">
        <v>3.3</v>
      </c>
      <c r="J1887">
        <v>17</v>
      </c>
      <c r="K1887">
        <v>6</v>
      </c>
    </row>
    <row r="1888" spans="1:11" x14ac:dyDescent="0.35">
      <c r="A1888">
        <v>1887</v>
      </c>
      <c r="B1888">
        <v>24</v>
      </c>
      <c r="C1888" t="s">
        <v>11</v>
      </c>
      <c r="D1888" t="s">
        <v>41</v>
      </c>
      <c r="E1888" t="s">
        <v>45</v>
      </c>
      <c r="F1888">
        <v>165.24</v>
      </c>
      <c r="G1888" t="s">
        <v>24</v>
      </c>
      <c r="H1888" t="s">
        <v>15</v>
      </c>
      <c r="I1888">
        <v>3.9</v>
      </c>
      <c r="J1888">
        <v>15</v>
      </c>
      <c r="K1888">
        <v>5</v>
      </c>
    </row>
    <row r="1889" spans="1:11" x14ac:dyDescent="0.35">
      <c r="A1889">
        <v>1888</v>
      </c>
      <c r="B1889">
        <v>38</v>
      </c>
      <c r="C1889" t="s">
        <v>16</v>
      </c>
      <c r="D1889" t="s">
        <v>17</v>
      </c>
      <c r="E1889" t="s">
        <v>18</v>
      </c>
      <c r="F1889">
        <v>80.67</v>
      </c>
      <c r="G1889" t="s">
        <v>31</v>
      </c>
      <c r="H1889" t="s">
        <v>15</v>
      </c>
      <c r="I1889">
        <v>3.6</v>
      </c>
      <c r="J1889">
        <v>19</v>
      </c>
      <c r="K1889">
        <v>7</v>
      </c>
    </row>
    <row r="1890" spans="1:11" x14ac:dyDescent="0.35">
      <c r="A1890">
        <v>1889</v>
      </c>
      <c r="B1890">
        <v>26</v>
      </c>
      <c r="C1890" t="s">
        <v>11</v>
      </c>
      <c r="D1890" t="s">
        <v>29</v>
      </c>
      <c r="E1890" t="s">
        <v>30</v>
      </c>
      <c r="F1890">
        <v>121.33</v>
      </c>
      <c r="G1890" t="s">
        <v>19</v>
      </c>
      <c r="H1890" t="s">
        <v>15</v>
      </c>
      <c r="I1890">
        <v>5</v>
      </c>
      <c r="J1890">
        <v>16</v>
      </c>
      <c r="K1890">
        <v>8</v>
      </c>
    </row>
    <row r="1891" spans="1:11" x14ac:dyDescent="0.35">
      <c r="A1891">
        <v>1890</v>
      </c>
      <c r="B1891">
        <v>42</v>
      </c>
      <c r="C1891" t="s">
        <v>16</v>
      </c>
      <c r="D1891" t="s">
        <v>20</v>
      </c>
      <c r="E1891" t="s">
        <v>36</v>
      </c>
      <c r="F1891">
        <v>41.11</v>
      </c>
      <c r="G1891" t="s">
        <v>19</v>
      </c>
      <c r="H1891" t="s">
        <v>15</v>
      </c>
      <c r="I1891">
        <v>3.1</v>
      </c>
      <c r="J1891">
        <v>28</v>
      </c>
      <c r="K1891">
        <v>9</v>
      </c>
    </row>
    <row r="1892" spans="1:11" x14ac:dyDescent="0.35">
      <c r="A1892">
        <v>1891</v>
      </c>
      <c r="B1892">
        <v>50</v>
      </c>
      <c r="C1892" t="s">
        <v>16</v>
      </c>
      <c r="D1892" t="s">
        <v>22</v>
      </c>
      <c r="E1892" t="s">
        <v>43</v>
      </c>
      <c r="F1892">
        <v>45</v>
      </c>
      <c r="G1892" t="s">
        <v>19</v>
      </c>
      <c r="H1892" t="s">
        <v>37</v>
      </c>
      <c r="I1892">
        <v>4.0999999999999996</v>
      </c>
      <c r="J1892">
        <v>9</v>
      </c>
      <c r="K1892">
        <v>2</v>
      </c>
    </row>
    <row r="1893" spans="1:11" x14ac:dyDescent="0.35">
      <c r="A1893">
        <v>1892</v>
      </c>
      <c r="B1893">
        <v>42</v>
      </c>
      <c r="C1893" t="s">
        <v>11</v>
      </c>
      <c r="D1893" t="s">
        <v>12</v>
      </c>
      <c r="E1893" t="s">
        <v>13</v>
      </c>
      <c r="F1893">
        <v>50.74</v>
      </c>
      <c r="G1893" t="s">
        <v>14</v>
      </c>
      <c r="H1893" t="s">
        <v>15</v>
      </c>
      <c r="I1893">
        <v>4.2</v>
      </c>
      <c r="J1893">
        <v>4</v>
      </c>
      <c r="K1893">
        <v>2</v>
      </c>
    </row>
    <row r="1894" spans="1:11" x14ac:dyDescent="0.35">
      <c r="A1894">
        <v>1893</v>
      </c>
      <c r="B1894">
        <v>22</v>
      </c>
      <c r="C1894" t="s">
        <v>11</v>
      </c>
      <c r="D1894" t="s">
        <v>41</v>
      </c>
      <c r="E1894" t="s">
        <v>45</v>
      </c>
      <c r="F1894">
        <v>109.38</v>
      </c>
      <c r="G1894" t="s">
        <v>19</v>
      </c>
      <c r="H1894" t="s">
        <v>15</v>
      </c>
      <c r="I1894">
        <v>4.3</v>
      </c>
      <c r="J1894">
        <v>16</v>
      </c>
      <c r="K1894">
        <v>3</v>
      </c>
    </row>
    <row r="1895" spans="1:11" x14ac:dyDescent="0.35">
      <c r="A1895">
        <v>1894</v>
      </c>
      <c r="B1895">
        <v>40</v>
      </c>
      <c r="C1895" t="s">
        <v>11</v>
      </c>
      <c r="D1895" t="s">
        <v>41</v>
      </c>
      <c r="E1895" t="s">
        <v>45</v>
      </c>
      <c r="F1895">
        <v>55</v>
      </c>
      <c r="G1895" t="s">
        <v>24</v>
      </c>
      <c r="H1895" t="s">
        <v>37</v>
      </c>
      <c r="I1895">
        <v>4</v>
      </c>
      <c r="J1895">
        <v>18</v>
      </c>
      <c r="K1895">
        <v>4</v>
      </c>
    </row>
    <row r="1896" spans="1:11" x14ac:dyDescent="0.35">
      <c r="A1896">
        <v>1895</v>
      </c>
      <c r="B1896">
        <v>52</v>
      </c>
      <c r="C1896" t="s">
        <v>16</v>
      </c>
      <c r="D1896" t="s">
        <v>33</v>
      </c>
      <c r="E1896" t="s">
        <v>38</v>
      </c>
      <c r="F1896">
        <v>181.52</v>
      </c>
      <c r="G1896" t="s">
        <v>24</v>
      </c>
      <c r="H1896" t="s">
        <v>15</v>
      </c>
      <c r="I1896">
        <v>4.3</v>
      </c>
      <c r="J1896">
        <v>24</v>
      </c>
      <c r="K1896">
        <v>7</v>
      </c>
    </row>
    <row r="1897" spans="1:11" x14ac:dyDescent="0.35">
      <c r="A1897">
        <v>1896</v>
      </c>
      <c r="B1897">
        <v>55</v>
      </c>
      <c r="C1897" t="s">
        <v>11</v>
      </c>
      <c r="D1897" t="s">
        <v>12</v>
      </c>
      <c r="E1897" t="s">
        <v>13</v>
      </c>
      <c r="F1897">
        <v>89.11</v>
      </c>
      <c r="G1897" t="s">
        <v>24</v>
      </c>
      <c r="H1897" t="s">
        <v>37</v>
      </c>
      <c r="I1897">
        <v>2.6</v>
      </c>
      <c r="J1897">
        <v>12</v>
      </c>
      <c r="K1897">
        <v>1</v>
      </c>
    </row>
    <row r="1898" spans="1:11" x14ac:dyDescent="0.35">
      <c r="A1898">
        <v>1897</v>
      </c>
      <c r="B1898">
        <v>34</v>
      </c>
      <c r="C1898" t="s">
        <v>11</v>
      </c>
      <c r="D1898" t="s">
        <v>12</v>
      </c>
      <c r="E1898" t="s">
        <v>50</v>
      </c>
      <c r="F1898">
        <v>179.27</v>
      </c>
      <c r="G1898" t="s">
        <v>24</v>
      </c>
      <c r="H1898" t="s">
        <v>15</v>
      </c>
      <c r="I1898">
        <v>4.2</v>
      </c>
      <c r="J1898">
        <v>13</v>
      </c>
      <c r="K1898">
        <v>4</v>
      </c>
    </row>
    <row r="1899" spans="1:11" x14ac:dyDescent="0.35">
      <c r="A1899">
        <v>1898</v>
      </c>
      <c r="B1899">
        <v>28</v>
      </c>
      <c r="C1899" t="s">
        <v>16</v>
      </c>
      <c r="D1899" t="s">
        <v>17</v>
      </c>
      <c r="E1899" t="s">
        <v>35</v>
      </c>
      <c r="F1899">
        <v>147.68</v>
      </c>
      <c r="G1899" t="s">
        <v>14</v>
      </c>
      <c r="H1899" t="s">
        <v>15</v>
      </c>
      <c r="I1899">
        <v>3.5</v>
      </c>
      <c r="J1899">
        <v>24</v>
      </c>
      <c r="K1899">
        <v>7</v>
      </c>
    </row>
    <row r="1900" spans="1:11" x14ac:dyDescent="0.35">
      <c r="A1900">
        <v>1899</v>
      </c>
      <c r="B1900">
        <v>63</v>
      </c>
      <c r="C1900" t="s">
        <v>11</v>
      </c>
      <c r="D1900" t="s">
        <v>41</v>
      </c>
      <c r="E1900" t="s">
        <v>42</v>
      </c>
      <c r="F1900">
        <v>90.28</v>
      </c>
      <c r="G1900" t="s">
        <v>31</v>
      </c>
      <c r="H1900" t="s">
        <v>15</v>
      </c>
      <c r="I1900">
        <v>4</v>
      </c>
      <c r="J1900">
        <v>19</v>
      </c>
      <c r="K1900">
        <v>7</v>
      </c>
    </row>
    <row r="1901" spans="1:11" x14ac:dyDescent="0.35">
      <c r="A1901">
        <v>1900</v>
      </c>
      <c r="B1901">
        <v>43</v>
      </c>
      <c r="C1901" t="s">
        <v>11</v>
      </c>
      <c r="D1901" t="s">
        <v>22</v>
      </c>
      <c r="E1901" t="s">
        <v>52</v>
      </c>
      <c r="F1901">
        <v>261.98</v>
      </c>
      <c r="G1901" t="s">
        <v>24</v>
      </c>
      <c r="H1901" t="s">
        <v>15</v>
      </c>
      <c r="I1901">
        <v>4.2</v>
      </c>
      <c r="J1901">
        <v>24</v>
      </c>
      <c r="K1901">
        <v>7</v>
      </c>
    </row>
    <row r="1902" spans="1:11" x14ac:dyDescent="0.35">
      <c r="A1902">
        <v>1901</v>
      </c>
      <c r="B1902">
        <v>35</v>
      </c>
      <c r="C1902" t="s">
        <v>16</v>
      </c>
      <c r="D1902" t="s">
        <v>27</v>
      </c>
      <c r="E1902" t="s">
        <v>32</v>
      </c>
      <c r="F1902">
        <v>2479.4</v>
      </c>
      <c r="G1902" t="s">
        <v>31</v>
      </c>
      <c r="H1902" t="s">
        <v>15</v>
      </c>
      <c r="I1902">
        <v>3.9</v>
      </c>
      <c r="J1902">
        <v>24</v>
      </c>
      <c r="K1902">
        <v>7</v>
      </c>
    </row>
    <row r="1903" spans="1:11" x14ac:dyDescent="0.35">
      <c r="A1903">
        <v>1902</v>
      </c>
      <c r="B1903">
        <v>36</v>
      </c>
      <c r="C1903" t="s">
        <v>16</v>
      </c>
      <c r="D1903" t="s">
        <v>20</v>
      </c>
      <c r="E1903" t="s">
        <v>39</v>
      </c>
      <c r="F1903">
        <v>159.18</v>
      </c>
      <c r="G1903" t="s">
        <v>19</v>
      </c>
      <c r="H1903" t="s">
        <v>15</v>
      </c>
      <c r="I1903">
        <v>2.4</v>
      </c>
      <c r="J1903">
        <v>12</v>
      </c>
      <c r="K1903">
        <v>6</v>
      </c>
    </row>
    <row r="1904" spans="1:11" x14ac:dyDescent="0.35">
      <c r="A1904">
        <v>1903</v>
      </c>
      <c r="B1904">
        <v>48</v>
      </c>
      <c r="C1904" t="s">
        <v>16</v>
      </c>
      <c r="D1904" t="s">
        <v>20</v>
      </c>
      <c r="E1904" t="s">
        <v>21</v>
      </c>
      <c r="F1904">
        <v>144.53</v>
      </c>
      <c r="G1904" t="s">
        <v>24</v>
      </c>
      <c r="H1904" t="s">
        <v>15</v>
      </c>
      <c r="I1904">
        <v>3.7</v>
      </c>
      <c r="J1904">
        <v>12</v>
      </c>
      <c r="K1904">
        <v>6</v>
      </c>
    </row>
    <row r="1905" spans="1:11" x14ac:dyDescent="0.35">
      <c r="A1905">
        <v>1904</v>
      </c>
      <c r="B1905">
        <v>34</v>
      </c>
      <c r="C1905" t="s">
        <v>16</v>
      </c>
      <c r="D1905" t="s">
        <v>27</v>
      </c>
      <c r="E1905" t="s">
        <v>53</v>
      </c>
      <c r="F1905">
        <v>1675.77</v>
      </c>
      <c r="G1905" t="s">
        <v>14</v>
      </c>
      <c r="H1905" t="s">
        <v>15</v>
      </c>
      <c r="I1905">
        <v>3.6</v>
      </c>
      <c r="J1905">
        <v>24</v>
      </c>
      <c r="K1905">
        <v>7</v>
      </c>
    </row>
    <row r="1906" spans="1:11" x14ac:dyDescent="0.35">
      <c r="A1906">
        <v>1905</v>
      </c>
      <c r="B1906">
        <v>47</v>
      </c>
      <c r="C1906" t="s">
        <v>11</v>
      </c>
      <c r="D1906" t="s">
        <v>33</v>
      </c>
      <c r="E1906" t="s">
        <v>38</v>
      </c>
      <c r="F1906">
        <v>64.760000000000005</v>
      </c>
      <c r="G1906" t="s">
        <v>31</v>
      </c>
      <c r="H1906" t="s">
        <v>37</v>
      </c>
      <c r="I1906">
        <v>4.3</v>
      </c>
      <c r="J1906">
        <v>4</v>
      </c>
      <c r="K1906">
        <v>2</v>
      </c>
    </row>
    <row r="1907" spans="1:11" x14ac:dyDescent="0.35">
      <c r="A1907">
        <v>1906</v>
      </c>
      <c r="B1907">
        <v>48</v>
      </c>
      <c r="C1907" t="s">
        <v>11</v>
      </c>
      <c r="D1907" t="s">
        <v>41</v>
      </c>
      <c r="E1907" t="s">
        <v>45</v>
      </c>
      <c r="F1907">
        <v>118.33</v>
      </c>
      <c r="G1907" t="s">
        <v>19</v>
      </c>
      <c r="H1907" t="s">
        <v>15</v>
      </c>
      <c r="I1907">
        <v>4</v>
      </c>
      <c r="J1907">
        <v>24</v>
      </c>
      <c r="K1907">
        <v>7</v>
      </c>
    </row>
    <row r="1908" spans="1:11" x14ac:dyDescent="0.35">
      <c r="A1908">
        <v>1907</v>
      </c>
      <c r="B1908">
        <v>50</v>
      </c>
      <c r="C1908" t="s">
        <v>11</v>
      </c>
      <c r="D1908" t="s">
        <v>12</v>
      </c>
      <c r="E1908" t="s">
        <v>56</v>
      </c>
      <c r="F1908">
        <v>150.38999999999999</v>
      </c>
      <c r="G1908" t="s">
        <v>31</v>
      </c>
      <c r="H1908" t="s">
        <v>15</v>
      </c>
      <c r="I1908">
        <v>4.2</v>
      </c>
      <c r="J1908">
        <v>11</v>
      </c>
      <c r="K1908">
        <v>3</v>
      </c>
    </row>
    <row r="1909" spans="1:11" x14ac:dyDescent="0.35">
      <c r="A1909">
        <v>1908</v>
      </c>
      <c r="B1909">
        <v>25</v>
      </c>
      <c r="C1909" t="s">
        <v>16</v>
      </c>
      <c r="D1909" t="s">
        <v>33</v>
      </c>
      <c r="E1909" t="s">
        <v>40</v>
      </c>
      <c r="F1909">
        <v>120.73</v>
      </c>
      <c r="G1909" t="s">
        <v>24</v>
      </c>
      <c r="H1909" t="s">
        <v>15</v>
      </c>
      <c r="I1909">
        <v>4</v>
      </c>
      <c r="J1909">
        <v>11</v>
      </c>
      <c r="K1909">
        <v>3</v>
      </c>
    </row>
    <row r="1910" spans="1:11" x14ac:dyDescent="0.35">
      <c r="A1910">
        <v>1909</v>
      </c>
      <c r="B1910">
        <v>67</v>
      </c>
      <c r="C1910" t="s">
        <v>16</v>
      </c>
      <c r="D1910" t="s">
        <v>25</v>
      </c>
      <c r="E1910" t="s">
        <v>47</v>
      </c>
      <c r="F1910">
        <v>25.65</v>
      </c>
      <c r="G1910" t="s">
        <v>24</v>
      </c>
      <c r="H1910" t="s">
        <v>37</v>
      </c>
      <c r="I1910">
        <v>3.5</v>
      </c>
      <c r="J1910">
        <v>17</v>
      </c>
      <c r="K1910">
        <v>6</v>
      </c>
    </row>
    <row r="1911" spans="1:11" x14ac:dyDescent="0.35">
      <c r="A1911">
        <v>1910</v>
      </c>
      <c r="B1911">
        <v>65</v>
      </c>
      <c r="C1911" t="s">
        <v>11</v>
      </c>
      <c r="D1911" t="s">
        <v>25</v>
      </c>
      <c r="E1911" t="s">
        <v>47</v>
      </c>
      <c r="F1911">
        <v>25.3</v>
      </c>
      <c r="G1911" t="s">
        <v>14</v>
      </c>
      <c r="H1911" t="s">
        <v>37</v>
      </c>
      <c r="I1911">
        <v>3.4</v>
      </c>
      <c r="J1911">
        <v>21</v>
      </c>
      <c r="K1911">
        <v>8</v>
      </c>
    </row>
    <row r="1912" spans="1:11" x14ac:dyDescent="0.35">
      <c r="A1912">
        <v>1911</v>
      </c>
      <c r="B1912">
        <v>33</v>
      </c>
      <c r="C1912" t="s">
        <v>11</v>
      </c>
      <c r="D1912" t="s">
        <v>20</v>
      </c>
      <c r="E1912" t="s">
        <v>21</v>
      </c>
      <c r="F1912">
        <v>54.43</v>
      </c>
      <c r="G1912" t="s">
        <v>14</v>
      </c>
      <c r="H1912" t="s">
        <v>37</v>
      </c>
      <c r="I1912">
        <v>3.6</v>
      </c>
      <c r="J1912">
        <v>20</v>
      </c>
      <c r="K1912">
        <v>10</v>
      </c>
    </row>
    <row r="1913" spans="1:11" x14ac:dyDescent="0.35">
      <c r="A1913">
        <v>1912</v>
      </c>
      <c r="B1913">
        <v>37</v>
      </c>
      <c r="C1913" t="s">
        <v>16</v>
      </c>
      <c r="D1913" t="s">
        <v>33</v>
      </c>
      <c r="E1913" t="s">
        <v>40</v>
      </c>
      <c r="F1913">
        <v>164.63</v>
      </c>
      <c r="G1913" t="s">
        <v>24</v>
      </c>
      <c r="H1913" t="s">
        <v>15</v>
      </c>
      <c r="I1913">
        <v>2.5</v>
      </c>
      <c r="J1913">
        <v>16</v>
      </c>
      <c r="K1913">
        <v>3</v>
      </c>
    </row>
    <row r="1914" spans="1:11" x14ac:dyDescent="0.35">
      <c r="A1914">
        <v>1913</v>
      </c>
      <c r="B1914">
        <v>24</v>
      </c>
      <c r="C1914" t="s">
        <v>16</v>
      </c>
      <c r="D1914" t="s">
        <v>17</v>
      </c>
      <c r="E1914" t="s">
        <v>42</v>
      </c>
      <c r="F1914">
        <v>109.21</v>
      </c>
      <c r="G1914" t="s">
        <v>31</v>
      </c>
      <c r="H1914" t="s">
        <v>15</v>
      </c>
      <c r="I1914">
        <v>3.9</v>
      </c>
      <c r="J1914">
        <v>22</v>
      </c>
      <c r="K1914">
        <v>11</v>
      </c>
    </row>
    <row r="1915" spans="1:11" x14ac:dyDescent="0.35">
      <c r="A1915">
        <v>1914</v>
      </c>
      <c r="B1915">
        <v>40</v>
      </c>
      <c r="C1915" t="s">
        <v>11</v>
      </c>
      <c r="D1915" t="s">
        <v>41</v>
      </c>
      <c r="E1915" t="s">
        <v>46</v>
      </c>
      <c r="F1915">
        <v>96.67</v>
      </c>
      <c r="G1915" t="s">
        <v>19</v>
      </c>
      <c r="H1915" t="s">
        <v>37</v>
      </c>
      <c r="I1915">
        <v>3.5</v>
      </c>
      <c r="J1915">
        <v>17</v>
      </c>
      <c r="K1915">
        <v>6</v>
      </c>
    </row>
    <row r="1916" spans="1:11" x14ac:dyDescent="0.35">
      <c r="A1916">
        <v>1915</v>
      </c>
      <c r="B1916">
        <v>69</v>
      </c>
      <c r="C1916" t="s">
        <v>11</v>
      </c>
      <c r="D1916" t="s">
        <v>20</v>
      </c>
      <c r="E1916" t="s">
        <v>39</v>
      </c>
      <c r="F1916">
        <v>243.62</v>
      </c>
      <c r="G1916" t="s">
        <v>14</v>
      </c>
      <c r="H1916" t="s">
        <v>15</v>
      </c>
      <c r="I1916">
        <v>4</v>
      </c>
      <c r="J1916">
        <v>16</v>
      </c>
      <c r="K1916">
        <v>3</v>
      </c>
    </row>
    <row r="1917" spans="1:11" x14ac:dyDescent="0.35">
      <c r="A1917">
        <v>1916</v>
      </c>
      <c r="B1917">
        <v>68</v>
      </c>
      <c r="C1917" t="s">
        <v>16</v>
      </c>
      <c r="D1917" t="s">
        <v>20</v>
      </c>
      <c r="E1917" t="s">
        <v>36</v>
      </c>
      <c r="F1917">
        <v>241.87</v>
      </c>
      <c r="G1917" t="s">
        <v>31</v>
      </c>
      <c r="H1917" t="s">
        <v>15</v>
      </c>
      <c r="I1917">
        <v>3.7</v>
      </c>
      <c r="J1917">
        <v>10</v>
      </c>
      <c r="K1917">
        <v>5</v>
      </c>
    </row>
    <row r="1918" spans="1:11" x14ac:dyDescent="0.35">
      <c r="A1918">
        <v>1917</v>
      </c>
      <c r="B1918">
        <v>38</v>
      </c>
      <c r="C1918" t="s">
        <v>11</v>
      </c>
      <c r="D1918" t="s">
        <v>20</v>
      </c>
      <c r="E1918" t="s">
        <v>21</v>
      </c>
      <c r="F1918">
        <v>77.44</v>
      </c>
      <c r="G1918" t="s">
        <v>14</v>
      </c>
      <c r="H1918" t="s">
        <v>15</v>
      </c>
      <c r="I1918">
        <v>4.3</v>
      </c>
      <c r="J1918">
        <v>10</v>
      </c>
      <c r="K1918">
        <v>5</v>
      </c>
    </row>
    <row r="1919" spans="1:11" x14ac:dyDescent="0.35">
      <c r="A1919">
        <v>1918</v>
      </c>
      <c r="B1919">
        <v>49</v>
      </c>
      <c r="C1919" t="s">
        <v>11</v>
      </c>
      <c r="D1919" t="s">
        <v>29</v>
      </c>
      <c r="E1919" t="s">
        <v>51</v>
      </c>
      <c r="F1919">
        <v>107.16</v>
      </c>
      <c r="G1919" t="s">
        <v>24</v>
      </c>
      <c r="H1919" t="s">
        <v>15</v>
      </c>
      <c r="I1919">
        <v>3.1</v>
      </c>
      <c r="J1919">
        <v>16</v>
      </c>
      <c r="K1919">
        <v>8</v>
      </c>
    </row>
    <row r="1920" spans="1:11" x14ac:dyDescent="0.35">
      <c r="A1920">
        <v>1919</v>
      </c>
      <c r="B1920">
        <v>50</v>
      </c>
      <c r="C1920" t="s">
        <v>16</v>
      </c>
      <c r="D1920" t="s">
        <v>17</v>
      </c>
      <c r="E1920" t="s">
        <v>18</v>
      </c>
      <c r="F1920">
        <v>109.18</v>
      </c>
      <c r="G1920" t="s">
        <v>19</v>
      </c>
      <c r="H1920" t="s">
        <v>15</v>
      </c>
      <c r="I1920">
        <v>4.3</v>
      </c>
      <c r="J1920">
        <v>12</v>
      </c>
      <c r="K1920">
        <v>6</v>
      </c>
    </row>
    <row r="1921" spans="1:11" x14ac:dyDescent="0.35">
      <c r="A1921">
        <v>1920</v>
      </c>
      <c r="B1921">
        <v>62</v>
      </c>
      <c r="C1921" t="s">
        <v>11</v>
      </c>
      <c r="D1921" t="s">
        <v>41</v>
      </c>
      <c r="E1921" t="s">
        <v>44</v>
      </c>
      <c r="F1921">
        <v>135.93</v>
      </c>
      <c r="G1921" t="s">
        <v>31</v>
      </c>
      <c r="H1921" t="s">
        <v>15</v>
      </c>
      <c r="I1921">
        <v>4.0999999999999996</v>
      </c>
      <c r="J1921">
        <v>15</v>
      </c>
      <c r="K1921">
        <v>5</v>
      </c>
    </row>
    <row r="1922" spans="1:11" x14ac:dyDescent="0.35">
      <c r="A1922">
        <v>1921</v>
      </c>
      <c r="B1922">
        <v>34</v>
      </c>
      <c r="C1922" t="s">
        <v>11</v>
      </c>
      <c r="D1922" t="s">
        <v>33</v>
      </c>
      <c r="E1922" t="s">
        <v>40</v>
      </c>
      <c r="F1922">
        <v>219.3</v>
      </c>
      <c r="G1922" t="s">
        <v>14</v>
      </c>
      <c r="H1922" t="s">
        <v>15</v>
      </c>
      <c r="I1922">
        <v>2.8</v>
      </c>
      <c r="J1922">
        <v>20</v>
      </c>
      <c r="K1922">
        <v>5</v>
      </c>
    </row>
    <row r="1923" spans="1:11" x14ac:dyDescent="0.35">
      <c r="A1923">
        <v>1922</v>
      </c>
      <c r="B1923">
        <v>24</v>
      </c>
      <c r="C1923" t="s">
        <v>16</v>
      </c>
      <c r="D1923" t="s">
        <v>22</v>
      </c>
      <c r="E1923" t="s">
        <v>23</v>
      </c>
      <c r="F1923">
        <v>265</v>
      </c>
      <c r="G1923" t="s">
        <v>24</v>
      </c>
      <c r="H1923" t="s">
        <v>15</v>
      </c>
      <c r="I1923">
        <v>2.4</v>
      </c>
      <c r="J1923">
        <v>24</v>
      </c>
      <c r="K1923">
        <v>7</v>
      </c>
    </row>
    <row r="1924" spans="1:11" x14ac:dyDescent="0.35">
      <c r="A1924">
        <v>1923</v>
      </c>
      <c r="B1924">
        <v>68</v>
      </c>
      <c r="C1924" t="s">
        <v>11</v>
      </c>
      <c r="D1924" t="s">
        <v>29</v>
      </c>
      <c r="E1924" t="s">
        <v>51</v>
      </c>
      <c r="F1924">
        <v>65.91</v>
      </c>
      <c r="G1924" t="s">
        <v>14</v>
      </c>
      <c r="H1924" t="s">
        <v>37</v>
      </c>
      <c r="I1924">
        <v>5</v>
      </c>
      <c r="J1924">
        <v>9</v>
      </c>
      <c r="K1924">
        <v>2</v>
      </c>
    </row>
    <row r="1925" spans="1:11" x14ac:dyDescent="0.35">
      <c r="A1925">
        <v>1924</v>
      </c>
      <c r="B1925">
        <v>28</v>
      </c>
      <c r="C1925" t="s">
        <v>16</v>
      </c>
      <c r="D1925" t="s">
        <v>20</v>
      </c>
      <c r="E1925" t="s">
        <v>39</v>
      </c>
      <c r="F1925">
        <v>167.74</v>
      </c>
      <c r="G1925" t="s">
        <v>14</v>
      </c>
      <c r="H1925" t="s">
        <v>15</v>
      </c>
      <c r="I1925">
        <v>4.4000000000000004</v>
      </c>
      <c r="J1925">
        <v>13</v>
      </c>
      <c r="K1925">
        <v>4</v>
      </c>
    </row>
    <row r="1926" spans="1:11" x14ac:dyDescent="0.35">
      <c r="A1926">
        <v>1925</v>
      </c>
      <c r="B1926">
        <v>25</v>
      </c>
      <c r="C1926" t="s">
        <v>11</v>
      </c>
      <c r="D1926" t="s">
        <v>41</v>
      </c>
      <c r="E1926" t="s">
        <v>46</v>
      </c>
      <c r="F1926">
        <v>197.6</v>
      </c>
      <c r="G1926" t="s">
        <v>31</v>
      </c>
      <c r="H1926" t="s">
        <v>15</v>
      </c>
      <c r="I1926">
        <v>5</v>
      </c>
      <c r="J1926">
        <v>13</v>
      </c>
      <c r="K1926">
        <v>4</v>
      </c>
    </row>
    <row r="1927" spans="1:11" x14ac:dyDescent="0.35">
      <c r="A1927">
        <v>1926</v>
      </c>
      <c r="B1927">
        <v>66</v>
      </c>
      <c r="C1927" t="s">
        <v>16</v>
      </c>
      <c r="D1927" t="s">
        <v>20</v>
      </c>
      <c r="E1927" t="s">
        <v>21</v>
      </c>
      <c r="F1927">
        <v>69.37</v>
      </c>
      <c r="G1927" t="s">
        <v>14</v>
      </c>
      <c r="H1927" t="s">
        <v>15</v>
      </c>
      <c r="I1927">
        <v>3.8</v>
      </c>
      <c r="J1927">
        <v>6</v>
      </c>
      <c r="K1927">
        <v>3</v>
      </c>
    </row>
    <row r="1928" spans="1:11" x14ac:dyDescent="0.35">
      <c r="A1928">
        <v>1927</v>
      </c>
      <c r="B1928">
        <v>63</v>
      </c>
      <c r="C1928" t="s">
        <v>11</v>
      </c>
      <c r="D1928" t="s">
        <v>33</v>
      </c>
      <c r="E1928" t="s">
        <v>38</v>
      </c>
      <c r="F1928">
        <v>176.79</v>
      </c>
      <c r="G1928" t="s">
        <v>24</v>
      </c>
      <c r="H1928" t="s">
        <v>15</v>
      </c>
      <c r="I1928">
        <v>2.5</v>
      </c>
      <c r="J1928">
        <v>16</v>
      </c>
      <c r="K1928">
        <v>3</v>
      </c>
    </row>
    <row r="1929" spans="1:11" x14ac:dyDescent="0.35">
      <c r="A1929">
        <v>1928</v>
      </c>
      <c r="B1929">
        <v>57</v>
      </c>
      <c r="C1929" t="s">
        <v>11</v>
      </c>
      <c r="D1929" t="s">
        <v>29</v>
      </c>
      <c r="E1929" t="s">
        <v>51</v>
      </c>
      <c r="F1929">
        <v>30.64</v>
      </c>
      <c r="G1929" t="s">
        <v>19</v>
      </c>
      <c r="H1929" t="s">
        <v>15</v>
      </c>
      <c r="I1929">
        <v>3.2</v>
      </c>
      <c r="J1929">
        <v>22</v>
      </c>
      <c r="K1929">
        <v>6</v>
      </c>
    </row>
    <row r="1930" spans="1:11" x14ac:dyDescent="0.35">
      <c r="A1930">
        <v>1929</v>
      </c>
      <c r="B1930">
        <v>62</v>
      </c>
      <c r="C1930" t="s">
        <v>16</v>
      </c>
      <c r="D1930" t="s">
        <v>20</v>
      </c>
      <c r="E1930" t="s">
        <v>39</v>
      </c>
      <c r="F1930">
        <v>55.13</v>
      </c>
      <c r="G1930" t="s">
        <v>24</v>
      </c>
      <c r="H1930" t="s">
        <v>15</v>
      </c>
      <c r="I1930">
        <v>4.2</v>
      </c>
      <c r="J1930">
        <v>13</v>
      </c>
      <c r="K1930">
        <v>4</v>
      </c>
    </row>
    <row r="1931" spans="1:11" x14ac:dyDescent="0.35">
      <c r="A1931">
        <v>1930</v>
      </c>
      <c r="B1931">
        <v>59</v>
      </c>
      <c r="C1931" t="s">
        <v>11</v>
      </c>
      <c r="D1931" t="s">
        <v>20</v>
      </c>
      <c r="E1931" t="s">
        <v>21</v>
      </c>
      <c r="F1931">
        <v>150.71</v>
      </c>
      <c r="G1931" t="s">
        <v>19</v>
      </c>
      <c r="H1931" t="s">
        <v>15</v>
      </c>
      <c r="I1931">
        <v>3.5</v>
      </c>
      <c r="J1931">
        <v>15</v>
      </c>
      <c r="K1931">
        <v>5</v>
      </c>
    </row>
    <row r="1932" spans="1:11" x14ac:dyDescent="0.35">
      <c r="A1932">
        <v>1931</v>
      </c>
      <c r="B1932">
        <v>59</v>
      </c>
      <c r="C1932" t="s">
        <v>11</v>
      </c>
      <c r="D1932" t="s">
        <v>41</v>
      </c>
      <c r="E1932" t="s">
        <v>44</v>
      </c>
      <c r="F1932">
        <v>42.51</v>
      </c>
      <c r="G1932" t="s">
        <v>14</v>
      </c>
      <c r="H1932" t="s">
        <v>15</v>
      </c>
      <c r="I1932">
        <v>3.5</v>
      </c>
      <c r="J1932">
        <v>18</v>
      </c>
      <c r="K1932">
        <v>4</v>
      </c>
    </row>
    <row r="1933" spans="1:11" x14ac:dyDescent="0.35">
      <c r="A1933">
        <v>1932</v>
      </c>
      <c r="B1933">
        <v>64</v>
      </c>
      <c r="C1933" t="s">
        <v>11</v>
      </c>
      <c r="D1933" t="s">
        <v>29</v>
      </c>
      <c r="E1933" t="s">
        <v>30</v>
      </c>
      <c r="F1933">
        <v>83.82</v>
      </c>
      <c r="G1933" t="s">
        <v>31</v>
      </c>
      <c r="H1933" t="s">
        <v>15</v>
      </c>
      <c r="I1933">
        <v>2.9</v>
      </c>
      <c r="J1933">
        <v>12</v>
      </c>
      <c r="K1933">
        <v>6</v>
      </c>
    </row>
    <row r="1934" spans="1:11" x14ac:dyDescent="0.35">
      <c r="A1934">
        <v>1933</v>
      </c>
      <c r="B1934">
        <v>56</v>
      </c>
      <c r="C1934" t="s">
        <v>11</v>
      </c>
      <c r="D1934" t="s">
        <v>29</v>
      </c>
      <c r="E1934" t="s">
        <v>30</v>
      </c>
      <c r="F1934">
        <v>53.72</v>
      </c>
      <c r="G1934" t="s">
        <v>19</v>
      </c>
      <c r="H1934" t="s">
        <v>37</v>
      </c>
      <c r="I1934">
        <v>2.4</v>
      </c>
      <c r="J1934">
        <v>16</v>
      </c>
      <c r="K1934">
        <v>3</v>
      </c>
    </row>
    <row r="1935" spans="1:11" x14ac:dyDescent="0.35">
      <c r="A1935">
        <v>1934</v>
      </c>
      <c r="B1935">
        <v>42</v>
      </c>
      <c r="C1935" t="s">
        <v>16</v>
      </c>
      <c r="D1935" t="s">
        <v>33</v>
      </c>
      <c r="E1935" t="s">
        <v>40</v>
      </c>
      <c r="F1935">
        <v>158.32</v>
      </c>
      <c r="G1935" t="s">
        <v>14</v>
      </c>
      <c r="H1935" t="s">
        <v>15</v>
      </c>
      <c r="I1935">
        <v>4.4000000000000004</v>
      </c>
      <c r="J1935">
        <v>10</v>
      </c>
      <c r="K1935">
        <v>5</v>
      </c>
    </row>
    <row r="1936" spans="1:11" x14ac:dyDescent="0.35">
      <c r="A1936">
        <v>1935</v>
      </c>
      <c r="B1936">
        <v>61</v>
      </c>
      <c r="C1936" t="s">
        <v>11</v>
      </c>
      <c r="D1936" t="s">
        <v>33</v>
      </c>
      <c r="E1936" t="s">
        <v>40</v>
      </c>
      <c r="F1936">
        <v>232.32</v>
      </c>
      <c r="G1936" t="s">
        <v>19</v>
      </c>
      <c r="H1936" t="s">
        <v>15</v>
      </c>
      <c r="I1936">
        <v>2.7</v>
      </c>
      <c r="J1936">
        <v>4</v>
      </c>
      <c r="K1936">
        <v>2</v>
      </c>
    </row>
    <row r="1937" spans="1:11" x14ac:dyDescent="0.35">
      <c r="A1937">
        <v>1936</v>
      </c>
      <c r="B1937">
        <v>36</v>
      </c>
      <c r="C1937" t="s">
        <v>16</v>
      </c>
      <c r="D1937" t="s">
        <v>20</v>
      </c>
      <c r="E1937" t="s">
        <v>39</v>
      </c>
      <c r="F1937">
        <v>228.65</v>
      </c>
      <c r="G1937" t="s">
        <v>31</v>
      </c>
      <c r="H1937" t="s">
        <v>15</v>
      </c>
      <c r="I1937">
        <v>4.0999999999999996</v>
      </c>
      <c r="J1937">
        <v>13</v>
      </c>
      <c r="K1937">
        <v>4</v>
      </c>
    </row>
    <row r="1938" spans="1:11" x14ac:dyDescent="0.35">
      <c r="A1938">
        <v>1937</v>
      </c>
      <c r="B1938">
        <v>69</v>
      </c>
      <c r="C1938" t="s">
        <v>16</v>
      </c>
      <c r="D1938" t="s">
        <v>20</v>
      </c>
      <c r="E1938" t="s">
        <v>21</v>
      </c>
      <c r="F1938">
        <v>56.11</v>
      </c>
      <c r="G1938" t="s">
        <v>31</v>
      </c>
      <c r="H1938" t="s">
        <v>37</v>
      </c>
      <c r="I1938">
        <v>2.7</v>
      </c>
      <c r="J1938">
        <v>22</v>
      </c>
      <c r="K1938">
        <v>6</v>
      </c>
    </row>
    <row r="1939" spans="1:11" x14ac:dyDescent="0.35">
      <c r="A1939">
        <v>1938</v>
      </c>
      <c r="B1939">
        <v>32</v>
      </c>
      <c r="C1939" t="s">
        <v>11</v>
      </c>
      <c r="D1939" t="s">
        <v>22</v>
      </c>
      <c r="E1939" t="s">
        <v>23</v>
      </c>
      <c r="F1939">
        <v>175.14</v>
      </c>
      <c r="G1939" t="s">
        <v>19</v>
      </c>
      <c r="H1939" t="s">
        <v>15</v>
      </c>
      <c r="I1939">
        <v>3.6</v>
      </c>
      <c r="J1939">
        <v>20</v>
      </c>
      <c r="K1939">
        <v>10</v>
      </c>
    </row>
    <row r="1940" spans="1:11" x14ac:dyDescent="0.35">
      <c r="A1940">
        <v>1939</v>
      </c>
      <c r="B1940">
        <v>58</v>
      </c>
      <c r="C1940" t="s">
        <v>11</v>
      </c>
      <c r="D1940" t="s">
        <v>20</v>
      </c>
      <c r="E1940" t="s">
        <v>36</v>
      </c>
      <c r="F1940">
        <v>195.03</v>
      </c>
      <c r="G1940" t="s">
        <v>24</v>
      </c>
      <c r="H1940" t="s">
        <v>15</v>
      </c>
      <c r="I1940">
        <v>3.1</v>
      </c>
      <c r="J1940">
        <v>13</v>
      </c>
      <c r="K1940">
        <v>4</v>
      </c>
    </row>
    <row r="1941" spans="1:11" x14ac:dyDescent="0.35">
      <c r="A1941">
        <v>1940</v>
      </c>
      <c r="B1941">
        <v>52</v>
      </c>
      <c r="C1941" t="s">
        <v>11</v>
      </c>
      <c r="D1941" t="s">
        <v>22</v>
      </c>
      <c r="E1941" t="s">
        <v>23</v>
      </c>
      <c r="F1941">
        <v>181.83</v>
      </c>
      <c r="G1941" t="s">
        <v>19</v>
      </c>
      <c r="H1941" t="s">
        <v>15</v>
      </c>
      <c r="I1941">
        <v>3.8</v>
      </c>
      <c r="J1941">
        <v>12</v>
      </c>
      <c r="K1941">
        <v>6</v>
      </c>
    </row>
    <row r="1942" spans="1:11" x14ac:dyDescent="0.35">
      <c r="A1942">
        <v>1941</v>
      </c>
      <c r="B1942">
        <v>64</v>
      </c>
      <c r="C1942" t="s">
        <v>11</v>
      </c>
      <c r="D1942" t="s">
        <v>33</v>
      </c>
      <c r="E1942" t="s">
        <v>40</v>
      </c>
      <c r="F1942">
        <v>107.22</v>
      </c>
      <c r="G1942" t="s">
        <v>24</v>
      </c>
      <c r="H1942" t="s">
        <v>15</v>
      </c>
      <c r="I1942">
        <v>4.4000000000000004</v>
      </c>
      <c r="J1942">
        <v>11</v>
      </c>
      <c r="K1942">
        <v>3</v>
      </c>
    </row>
    <row r="1943" spans="1:11" x14ac:dyDescent="0.35">
      <c r="A1943">
        <v>1942</v>
      </c>
      <c r="B1943">
        <v>42</v>
      </c>
      <c r="C1943" t="s">
        <v>11</v>
      </c>
      <c r="D1943" t="s">
        <v>12</v>
      </c>
      <c r="E1943" t="s">
        <v>56</v>
      </c>
      <c r="F1943">
        <v>49.81</v>
      </c>
      <c r="G1943" t="s">
        <v>14</v>
      </c>
      <c r="H1943" t="s">
        <v>15</v>
      </c>
      <c r="I1943">
        <v>4.3</v>
      </c>
      <c r="J1943">
        <v>11</v>
      </c>
      <c r="K1943">
        <v>3</v>
      </c>
    </row>
    <row r="1944" spans="1:11" x14ac:dyDescent="0.35">
      <c r="A1944">
        <v>1943</v>
      </c>
      <c r="B1944">
        <v>65</v>
      </c>
      <c r="C1944" t="s">
        <v>16</v>
      </c>
      <c r="D1944" t="s">
        <v>20</v>
      </c>
      <c r="E1944" t="s">
        <v>21</v>
      </c>
      <c r="F1944">
        <v>54.39</v>
      </c>
      <c r="G1944" t="s">
        <v>24</v>
      </c>
      <c r="H1944" t="s">
        <v>37</v>
      </c>
      <c r="I1944">
        <v>3.8</v>
      </c>
      <c r="J1944">
        <v>9</v>
      </c>
      <c r="K1944">
        <v>2</v>
      </c>
    </row>
    <row r="1945" spans="1:11" x14ac:dyDescent="0.35">
      <c r="A1945">
        <v>1944</v>
      </c>
      <c r="B1945">
        <v>48</v>
      </c>
      <c r="C1945" t="s">
        <v>16</v>
      </c>
      <c r="D1945" t="s">
        <v>33</v>
      </c>
      <c r="E1945" t="s">
        <v>40</v>
      </c>
      <c r="F1945">
        <v>63.06</v>
      </c>
      <c r="G1945" t="s">
        <v>14</v>
      </c>
      <c r="H1945" t="s">
        <v>15</v>
      </c>
      <c r="I1945">
        <v>4.2</v>
      </c>
      <c r="J1945">
        <v>22</v>
      </c>
      <c r="K1945">
        <v>6</v>
      </c>
    </row>
    <row r="1946" spans="1:11" x14ac:dyDescent="0.35">
      <c r="A1946">
        <v>1945</v>
      </c>
      <c r="B1946">
        <v>66</v>
      </c>
      <c r="C1946" t="s">
        <v>16</v>
      </c>
      <c r="D1946" t="s">
        <v>27</v>
      </c>
      <c r="E1946" t="s">
        <v>49</v>
      </c>
      <c r="F1946">
        <v>1918.19</v>
      </c>
      <c r="G1946" t="s">
        <v>14</v>
      </c>
      <c r="H1946" t="s">
        <v>15</v>
      </c>
      <c r="I1946">
        <v>3.3</v>
      </c>
      <c r="J1946">
        <v>8</v>
      </c>
      <c r="K1946">
        <v>4</v>
      </c>
    </row>
    <row r="1947" spans="1:11" x14ac:dyDescent="0.35">
      <c r="A1947">
        <v>1946</v>
      </c>
      <c r="B1947">
        <v>50</v>
      </c>
      <c r="C1947" t="s">
        <v>16</v>
      </c>
      <c r="D1947" t="s">
        <v>17</v>
      </c>
      <c r="E1947" t="s">
        <v>18</v>
      </c>
      <c r="F1947">
        <v>132.11000000000001</v>
      </c>
      <c r="G1947" t="s">
        <v>19</v>
      </c>
      <c r="H1947" t="s">
        <v>15</v>
      </c>
      <c r="I1947">
        <v>3.7</v>
      </c>
      <c r="J1947">
        <v>18</v>
      </c>
      <c r="K1947">
        <v>4</v>
      </c>
    </row>
    <row r="1948" spans="1:11" x14ac:dyDescent="0.35">
      <c r="A1948">
        <v>1947</v>
      </c>
      <c r="B1948">
        <v>35</v>
      </c>
      <c r="C1948" t="s">
        <v>11</v>
      </c>
      <c r="D1948" t="s">
        <v>41</v>
      </c>
      <c r="E1948" t="s">
        <v>45</v>
      </c>
      <c r="F1948">
        <v>84.23</v>
      </c>
      <c r="G1948" t="s">
        <v>31</v>
      </c>
      <c r="H1948" t="s">
        <v>37</v>
      </c>
      <c r="I1948">
        <v>5</v>
      </c>
      <c r="J1948">
        <v>8</v>
      </c>
      <c r="K1948">
        <v>4</v>
      </c>
    </row>
    <row r="1949" spans="1:11" x14ac:dyDescent="0.35">
      <c r="A1949">
        <v>1948</v>
      </c>
      <c r="B1949">
        <v>42</v>
      </c>
      <c r="C1949" t="s">
        <v>11</v>
      </c>
      <c r="D1949" t="s">
        <v>29</v>
      </c>
      <c r="E1949" t="s">
        <v>55</v>
      </c>
      <c r="F1949">
        <v>114.27</v>
      </c>
      <c r="G1949" t="s">
        <v>19</v>
      </c>
      <c r="H1949" t="s">
        <v>15</v>
      </c>
      <c r="I1949">
        <v>5</v>
      </c>
      <c r="J1949">
        <v>12</v>
      </c>
      <c r="K1949">
        <v>6</v>
      </c>
    </row>
    <row r="1950" spans="1:11" x14ac:dyDescent="0.35">
      <c r="A1950">
        <v>1949</v>
      </c>
      <c r="B1950">
        <v>30</v>
      </c>
      <c r="C1950" t="s">
        <v>11</v>
      </c>
      <c r="D1950" t="s">
        <v>22</v>
      </c>
      <c r="E1950" t="s">
        <v>52</v>
      </c>
      <c r="F1950">
        <v>39.24</v>
      </c>
      <c r="G1950" t="s">
        <v>19</v>
      </c>
      <c r="H1950" t="s">
        <v>37</v>
      </c>
      <c r="I1950">
        <v>3.3</v>
      </c>
      <c r="J1950">
        <v>22</v>
      </c>
      <c r="K1950">
        <v>6</v>
      </c>
    </row>
    <row r="1951" spans="1:11" x14ac:dyDescent="0.35">
      <c r="A1951">
        <v>1950</v>
      </c>
      <c r="B1951">
        <v>42</v>
      </c>
      <c r="C1951" t="s">
        <v>11</v>
      </c>
      <c r="D1951" t="s">
        <v>33</v>
      </c>
      <c r="E1951" t="s">
        <v>38</v>
      </c>
      <c r="F1951">
        <v>121.16</v>
      </c>
      <c r="G1951" t="s">
        <v>19</v>
      </c>
      <c r="H1951" t="s">
        <v>15</v>
      </c>
      <c r="I1951">
        <v>2.8</v>
      </c>
      <c r="J1951">
        <v>16</v>
      </c>
      <c r="K1951">
        <v>8</v>
      </c>
    </row>
    <row r="1952" spans="1:11" x14ac:dyDescent="0.35">
      <c r="A1952">
        <v>1951</v>
      </c>
      <c r="B1952">
        <v>51</v>
      </c>
      <c r="C1952" t="s">
        <v>11</v>
      </c>
      <c r="D1952" t="s">
        <v>25</v>
      </c>
      <c r="E1952" t="s">
        <v>26</v>
      </c>
      <c r="F1952">
        <v>45.86</v>
      </c>
      <c r="G1952" t="s">
        <v>14</v>
      </c>
      <c r="H1952" t="s">
        <v>15</v>
      </c>
      <c r="I1952">
        <v>3.6</v>
      </c>
      <c r="J1952">
        <v>8</v>
      </c>
      <c r="K1952">
        <v>4</v>
      </c>
    </row>
    <row r="1953" spans="1:11" x14ac:dyDescent="0.35">
      <c r="A1953">
        <v>1952</v>
      </c>
      <c r="B1953">
        <v>38</v>
      </c>
      <c r="C1953" t="s">
        <v>16</v>
      </c>
      <c r="D1953" t="s">
        <v>17</v>
      </c>
      <c r="E1953" t="s">
        <v>42</v>
      </c>
      <c r="F1953">
        <v>38.47</v>
      </c>
      <c r="G1953" t="s">
        <v>19</v>
      </c>
      <c r="H1953" t="s">
        <v>15</v>
      </c>
      <c r="I1953">
        <v>3.6</v>
      </c>
      <c r="J1953">
        <v>17</v>
      </c>
      <c r="K1953">
        <v>6</v>
      </c>
    </row>
    <row r="1954" spans="1:11" x14ac:dyDescent="0.35">
      <c r="A1954">
        <v>1953</v>
      </c>
      <c r="B1954">
        <v>46</v>
      </c>
      <c r="C1954" t="s">
        <v>16</v>
      </c>
      <c r="D1954" t="s">
        <v>20</v>
      </c>
      <c r="E1954" t="s">
        <v>36</v>
      </c>
      <c r="F1954">
        <v>98.54</v>
      </c>
      <c r="G1954" t="s">
        <v>24</v>
      </c>
      <c r="H1954" t="s">
        <v>15</v>
      </c>
      <c r="I1954">
        <v>4.7</v>
      </c>
      <c r="J1954">
        <v>8</v>
      </c>
      <c r="K1954">
        <v>4</v>
      </c>
    </row>
    <row r="1955" spans="1:11" x14ac:dyDescent="0.35">
      <c r="A1955">
        <v>1954</v>
      </c>
      <c r="B1955">
        <v>55</v>
      </c>
      <c r="C1955" t="s">
        <v>16</v>
      </c>
      <c r="D1955" t="s">
        <v>33</v>
      </c>
      <c r="E1955" t="s">
        <v>34</v>
      </c>
      <c r="F1955">
        <v>194.32</v>
      </c>
      <c r="G1955" t="s">
        <v>19</v>
      </c>
      <c r="H1955" t="s">
        <v>15</v>
      </c>
      <c r="I1955">
        <v>3.5</v>
      </c>
      <c r="J1955">
        <v>8</v>
      </c>
      <c r="K1955">
        <v>4</v>
      </c>
    </row>
    <row r="1956" spans="1:11" x14ac:dyDescent="0.35">
      <c r="A1956">
        <v>1955</v>
      </c>
      <c r="B1956">
        <v>61</v>
      </c>
      <c r="C1956" t="s">
        <v>11</v>
      </c>
      <c r="D1956" t="s">
        <v>29</v>
      </c>
      <c r="E1956" t="s">
        <v>55</v>
      </c>
      <c r="F1956">
        <v>71.83</v>
      </c>
      <c r="G1956" t="s">
        <v>24</v>
      </c>
      <c r="H1956" t="s">
        <v>37</v>
      </c>
      <c r="I1956">
        <v>4</v>
      </c>
      <c r="J1956">
        <v>18</v>
      </c>
      <c r="K1956">
        <v>4</v>
      </c>
    </row>
    <row r="1957" spans="1:11" x14ac:dyDescent="0.35">
      <c r="A1957">
        <v>1956</v>
      </c>
      <c r="B1957">
        <v>65</v>
      </c>
      <c r="C1957" t="s">
        <v>11</v>
      </c>
      <c r="D1957" t="s">
        <v>33</v>
      </c>
      <c r="E1957" t="s">
        <v>40</v>
      </c>
      <c r="F1957">
        <v>119.74</v>
      </c>
      <c r="G1957" t="s">
        <v>24</v>
      </c>
      <c r="H1957" t="s">
        <v>15</v>
      </c>
      <c r="I1957">
        <v>3.5</v>
      </c>
      <c r="J1957">
        <v>6</v>
      </c>
      <c r="K1957">
        <v>3</v>
      </c>
    </row>
    <row r="1958" spans="1:11" x14ac:dyDescent="0.35">
      <c r="A1958">
        <v>1957</v>
      </c>
      <c r="B1958">
        <v>66</v>
      </c>
      <c r="C1958" t="s">
        <v>11</v>
      </c>
      <c r="D1958" t="s">
        <v>33</v>
      </c>
      <c r="E1958" t="s">
        <v>40</v>
      </c>
      <c r="F1958">
        <v>242.56</v>
      </c>
      <c r="G1958" t="s">
        <v>31</v>
      </c>
      <c r="H1958" t="s">
        <v>15</v>
      </c>
      <c r="I1958">
        <v>5</v>
      </c>
      <c r="J1958">
        <v>14</v>
      </c>
      <c r="K1958">
        <v>7</v>
      </c>
    </row>
    <row r="1959" spans="1:11" x14ac:dyDescent="0.35">
      <c r="A1959">
        <v>1958</v>
      </c>
      <c r="B1959">
        <v>51</v>
      </c>
      <c r="C1959" t="s">
        <v>11</v>
      </c>
      <c r="D1959" t="s">
        <v>41</v>
      </c>
      <c r="E1959" t="s">
        <v>46</v>
      </c>
      <c r="F1959">
        <v>78.03</v>
      </c>
      <c r="G1959" t="s">
        <v>14</v>
      </c>
      <c r="H1959" t="s">
        <v>37</v>
      </c>
      <c r="I1959">
        <v>4.0999999999999996</v>
      </c>
      <c r="J1959">
        <v>13</v>
      </c>
      <c r="K1959">
        <v>4</v>
      </c>
    </row>
    <row r="1960" spans="1:11" x14ac:dyDescent="0.35">
      <c r="A1960">
        <v>1959</v>
      </c>
      <c r="B1960">
        <v>52</v>
      </c>
      <c r="C1960" t="s">
        <v>16</v>
      </c>
      <c r="D1960" t="s">
        <v>20</v>
      </c>
      <c r="E1960" t="s">
        <v>21</v>
      </c>
      <c r="F1960">
        <v>82.92</v>
      </c>
      <c r="G1960" t="s">
        <v>31</v>
      </c>
      <c r="H1960" t="s">
        <v>15</v>
      </c>
      <c r="I1960">
        <v>4.2</v>
      </c>
      <c r="J1960">
        <v>24</v>
      </c>
      <c r="K1960">
        <v>7</v>
      </c>
    </row>
    <row r="1961" spans="1:11" x14ac:dyDescent="0.35">
      <c r="A1961">
        <v>1960</v>
      </c>
      <c r="B1961">
        <v>56</v>
      </c>
      <c r="C1961" t="s">
        <v>11</v>
      </c>
      <c r="D1961" t="s">
        <v>22</v>
      </c>
      <c r="E1961" t="s">
        <v>23</v>
      </c>
      <c r="F1961">
        <v>220.57</v>
      </c>
      <c r="G1961" t="s">
        <v>19</v>
      </c>
      <c r="H1961" t="s">
        <v>15</v>
      </c>
      <c r="I1961">
        <v>3.1</v>
      </c>
      <c r="J1961">
        <v>18</v>
      </c>
      <c r="K1961">
        <v>4</v>
      </c>
    </row>
    <row r="1962" spans="1:11" x14ac:dyDescent="0.35">
      <c r="A1962">
        <v>1961</v>
      </c>
      <c r="B1962">
        <v>61</v>
      </c>
      <c r="C1962" t="s">
        <v>16</v>
      </c>
      <c r="D1962" t="s">
        <v>20</v>
      </c>
      <c r="E1962" t="s">
        <v>21</v>
      </c>
      <c r="F1962">
        <v>93.71</v>
      </c>
      <c r="G1962" t="s">
        <v>24</v>
      </c>
      <c r="H1962" t="s">
        <v>37</v>
      </c>
      <c r="I1962">
        <v>3.6</v>
      </c>
      <c r="J1962">
        <v>2</v>
      </c>
      <c r="K1962">
        <v>1</v>
      </c>
    </row>
    <row r="1963" spans="1:11" x14ac:dyDescent="0.35">
      <c r="A1963">
        <v>1962</v>
      </c>
      <c r="B1963">
        <v>55</v>
      </c>
      <c r="C1963" t="s">
        <v>16</v>
      </c>
      <c r="D1963" t="s">
        <v>33</v>
      </c>
      <c r="E1963" t="s">
        <v>40</v>
      </c>
      <c r="F1963">
        <v>237.85</v>
      </c>
      <c r="G1963" t="s">
        <v>19</v>
      </c>
      <c r="H1963" t="s">
        <v>15</v>
      </c>
      <c r="I1963">
        <v>3.4</v>
      </c>
      <c r="J1963">
        <v>24</v>
      </c>
      <c r="K1963">
        <v>7</v>
      </c>
    </row>
    <row r="1964" spans="1:11" x14ac:dyDescent="0.35">
      <c r="A1964">
        <v>1963</v>
      </c>
      <c r="B1964">
        <v>43</v>
      </c>
      <c r="C1964" t="s">
        <v>11</v>
      </c>
      <c r="D1964" t="s">
        <v>22</v>
      </c>
      <c r="E1964" t="s">
        <v>43</v>
      </c>
      <c r="F1964">
        <v>209.95</v>
      </c>
      <c r="G1964" t="s">
        <v>19</v>
      </c>
      <c r="H1964" t="s">
        <v>15</v>
      </c>
      <c r="I1964">
        <v>2.5</v>
      </c>
      <c r="J1964">
        <v>16</v>
      </c>
      <c r="K1964">
        <v>3</v>
      </c>
    </row>
    <row r="1965" spans="1:11" x14ac:dyDescent="0.35">
      <c r="A1965">
        <v>1964</v>
      </c>
      <c r="B1965">
        <v>67</v>
      </c>
      <c r="C1965" t="s">
        <v>16</v>
      </c>
      <c r="D1965" t="s">
        <v>33</v>
      </c>
      <c r="E1965" t="s">
        <v>38</v>
      </c>
      <c r="F1965">
        <v>208.53</v>
      </c>
      <c r="G1965" t="s">
        <v>24</v>
      </c>
      <c r="H1965" t="s">
        <v>15</v>
      </c>
      <c r="I1965">
        <v>4.4000000000000004</v>
      </c>
      <c r="J1965">
        <v>25</v>
      </c>
      <c r="K1965">
        <v>10</v>
      </c>
    </row>
    <row r="1966" spans="1:11" x14ac:dyDescent="0.35">
      <c r="A1966">
        <v>1965</v>
      </c>
      <c r="B1966">
        <v>23</v>
      </c>
      <c r="C1966" t="s">
        <v>16</v>
      </c>
      <c r="D1966" t="s">
        <v>33</v>
      </c>
      <c r="E1966" t="s">
        <v>38</v>
      </c>
      <c r="F1966">
        <v>79.069999999999993</v>
      </c>
      <c r="G1966" t="s">
        <v>31</v>
      </c>
      <c r="H1966" t="s">
        <v>37</v>
      </c>
      <c r="I1966">
        <v>5</v>
      </c>
      <c r="J1966">
        <v>11</v>
      </c>
      <c r="K1966">
        <v>3</v>
      </c>
    </row>
    <row r="1967" spans="1:11" x14ac:dyDescent="0.35">
      <c r="A1967">
        <v>1966</v>
      </c>
      <c r="B1967">
        <v>54</v>
      </c>
      <c r="C1967" t="s">
        <v>11</v>
      </c>
      <c r="D1967" t="s">
        <v>41</v>
      </c>
      <c r="E1967" t="s">
        <v>44</v>
      </c>
      <c r="F1967">
        <v>86</v>
      </c>
      <c r="G1967" t="s">
        <v>19</v>
      </c>
      <c r="H1967" t="s">
        <v>37</v>
      </c>
      <c r="I1967">
        <v>3.2</v>
      </c>
      <c r="J1967">
        <v>18</v>
      </c>
      <c r="K1967">
        <v>9</v>
      </c>
    </row>
    <row r="1968" spans="1:11" x14ac:dyDescent="0.35">
      <c r="A1968">
        <v>1967</v>
      </c>
      <c r="B1968">
        <v>37</v>
      </c>
      <c r="C1968" t="s">
        <v>11</v>
      </c>
      <c r="D1968" t="s">
        <v>41</v>
      </c>
      <c r="E1968" t="s">
        <v>46</v>
      </c>
      <c r="F1968">
        <v>118.51</v>
      </c>
      <c r="G1968" t="s">
        <v>31</v>
      </c>
      <c r="H1968" t="s">
        <v>15</v>
      </c>
      <c r="I1968">
        <v>4.5999999999999996</v>
      </c>
      <c r="J1968">
        <v>9</v>
      </c>
      <c r="K1968">
        <v>2</v>
      </c>
    </row>
    <row r="1969" spans="1:11" x14ac:dyDescent="0.35">
      <c r="A1969">
        <v>1968</v>
      </c>
      <c r="B1969">
        <v>44</v>
      </c>
      <c r="C1969" t="s">
        <v>16</v>
      </c>
      <c r="D1969" t="s">
        <v>27</v>
      </c>
      <c r="E1969" t="s">
        <v>49</v>
      </c>
      <c r="F1969">
        <v>1102.43</v>
      </c>
      <c r="G1969" t="s">
        <v>19</v>
      </c>
      <c r="H1969" t="s">
        <v>15</v>
      </c>
      <c r="I1969">
        <v>3.9</v>
      </c>
      <c r="J1969">
        <v>30</v>
      </c>
      <c r="K1969">
        <v>10</v>
      </c>
    </row>
    <row r="1970" spans="1:11" x14ac:dyDescent="0.35">
      <c r="A1970">
        <v>1969</v>
      </c>
      <c r="B1970">
        <v>54</v>
      </c>
      <c r="C1970" t="s">
        <v>11</v>
      </c>
      <c r="D1970" t="s">
        <v>41</v>
      </c>
      <c r="E1970" t="s">
        <v>42</v>
      </c>
      <c r="F1970">
        <v>130.37</v>
      </c>
      <c r="G1970" t="s">
        <v>19</v>
      </c>
      <c r="H1970" t="s">
        <v>15</v>
      </c>
      <c r="I1970">
        <v>2.8</v>
      </c>
      <c r="J1970">
        <v>17</v>
      </c>
      <c r="K1970">
        <v>6</v>
      </c>
    </row>
    <row r="1971" spans="1:11" x14ac:dyDescent="0.35">
      <c r="A1971">
        <v>1970</v>
      </c>
      <c r="B1971">
        <v>39</v>
      </c>
      <c r="C1971" t="s">
        <v>16</v>
      </c>
      <c r="D1971" t="s">
        <v>20</v>
      </c>
      <c r="E1971" t="s">
        <v>39</v>
      </c>
      <c r="F1971">
        <v>26.25</v>
      </c>
      <c r="G1971" t="s">
        <v>14</v>
      </c>
      <c r="H1971" t="s">
        <v>37</v>
      </c>
      <c r="I1971">
        <v>3</v>
      </c>
      <c r="J1971">
        <v>22</v>
      </c>
      <c r="K1971">
        <v>6</v>
      </c>
    </row>
    <row r="1972" spans="1:11" x14ac:dyDescent="0.35">
      <c r="A1972">
        <v>1971</v>
      </c>
      <c r="B1972">
        <v>41</v>
      </c>
      <c r="C1972" t="s">
        <v>16</v>
      </c>
      <c r="D1972" t="s">
        <v>20</v>
      </c>
      <c r="E1972" t="s">
        <v>21</v>
      </c>
      <c r="F1972">
        <v>229.64</v>
      </c>
      <c r="G1972" t="s">
        <v>31</v>
      </c>
      <c r="H1972" t="s">
        <v>15</v>
      </c>
      <c r="I1972">
        <v>4.2</v>
      </c>
      <c r="J1972">
        <v>10</v>
      </c>
      <c r="K1972">
        <v>5</v>
      </c>
    </row>
    <row r="1973" spans="1:11" x14ac:dyDescent="0.35">
      <c r="A1973">
        <v>1972</v>
      </c>
      <c r="B1973">
        <v>48</v>
      </c>
      <c r="C1973" t="s">
        <v>11</v>
      </c>
      <c r="D1973" t="s">
        <v>41</v>
      </c>
      <c r="E1973" t="s">
        <v>42</v>
      </c>
      <c r="F1973">
        <v>144.76</v>
      </c>
      <c r="G1973" t="s">
        <v>31</v>
      </c>
      <c r="H1973" t="s">
        <v>15</v>
      </c>
      <c r="I1973">
        <v>4.2</v>
      </c>
      <c r="J1973">
        <v>10</v>
      </c>
      <c r="K1973">
        <v>5</v>
      </c>
    </row>
    <row r="1974" spans="1:11" x14ac:dyDescent="0.35">
      <c r="A1974">
        <v>1973</v>
      </c>
      <c r="B1974">
        <v>39</v>
      </c>
      <c r="C1974" t="s">
        <v>11</v>
      </c>
      <c r="D1974" t="s">
        <v>41</v>
      </c>
      <c r="E1974" t="s">
        <v>46</v>
      </c>
      <c r="F1974">
        <v>188.91</v>
      </c>
      <c r="G1974" t="s">
        <v>24</v>
      </c>
      <c r="H1974" t="s">
        <v>15</v>
      </c>
      <c r="I1974">
        <v>3.4</v>
      </c>
      <c r="J1974">
        <v>20</v>
      </c>
      <c r="K1974">
        <v>5</v>
      </c>
    </row>
    <row r="1975" spans="1:11" x14ac:dyDescent="0.35">
      <c r="A1975">
        <v>1974</v>
      </c>
      <c r="B1975">
        <v>44</v>
      </c>
      <c r="C1975" t="s">
        <v>16</v>
      </c>
      <c r="D1975" t="s">
        <v>33</v>
      </c>
      <c r="E1975" t="s">
        <v>38</v>
      </c>
      <c r="F1975">
        <v>108.13</v>
      </c>
      <c r="G1975" t="s">
        <v>24</v>
      </c>
      <c r="H1975" t="s">
        <v>15</v>
      </c>
      <c r="I1975">
        <v>3.5</v>
      </c>
      <c r="J1975">
        <v>4</v>
      </c>
      <c r="K1975">
        <v>2</v>
      </c>
    </row>
    <row r="1976" spans="1:11" x14ac:dyDescent="0.35">
      <c r="A1976">
        <v>1975</v>
      </c>
      <c r="B1976">
        <v>60</v>
      </c>
      <c r="C1976" t="s">
        <v>11</v>
      </c>
      <c r="D1976" t="s">
        <v>33</v>
      </c>
      <c r="E1976" t="s">
        <v>38</v>
      </c>
      <c r="F1976">
        <v>49.64</v>
      </c>
      <c r="G1976" t="s">
        <v>19</v>
      </c>
      <c r="H1976" t="s">
        <v>37</v>
      </c>
      <c r="I1976">
        <v>3.2</v>
      </c>
      <c r="J1976">
        <v>12</v>
      </c>
      <c r="K1976">
        <v>6</v>
      </c>
    </row>
    <row r="1977" spans="1:11" x14ac:dyDescent="0.35">
      <c r="A1977">
        <v>1976</v>
      </c>
      <c r="B1977">
        <v>57</v>
      </c>
      <c r="C1977" t="s">
        <v>11</v>
      </c>
      <c r="D1977" t="s">
        <v>41</v>
      </c>
      <c r="E1977" t="s">
        <v>46</v>
      </c>
      <c r="F1977">
        <v>33.5</v>
      </c>
      <c r="G1977" t="s">
        <v>31</v>
      </c>
      <c r="H1977" t="s">
        <v>15</v>
      </c>
      <c r="I1977">
        <v>1.7</v>
      </c>
      <c r="J1977">
        <v>11</v>
      </c>
      <c r="K1977">
        <v>3</v>
      </c>
    </row>
    <row r="1978" spans="1:11" x14ac:dyDescent="0.35">
      <c r="A1978">
        <v>1977</v>
      </c>
      <c r="B1978">
        <v>48</v>
      </c>
      <c r="C1978" t="s">
        <v>16</v>
      </c>
      <c r="D1978" t="s">
        <v>17</v>
      </c>
      <c r="E1978" t="s">
        <v>48</v>
      </c>
      <c r="F1978">
        <v>176.4</v>
      </c>
      <c r="G1978" t="s">
        <v>14</v>
      </c>
      <c r="H1978" t="s">
        <v>15</v>
      </c>
      <c r="I1978">
        <v>4.3</v>
      </c>
      <c r="J1978">
        <v>2</v>
      </c>
      <c r="K1978">
        <v>1</v>
      </c>
    </row>
    <row r="1979" spans="1:11" x14ac:dyDescent="0.35">
      <c r="A1979">
        <v>1978</v>
      </c>
      <c r="B1979">
        <v>38</v>
      </c>
      <c r="C1979" t="s">
        <v>11</v>
      </c>
      <c r="D1979" t="s">
        <v>33</v>
      </c>
      <c r="E1979" t="s">
        <v>38</v>
      </c>
      <c r="F1979">
        <v>177.52</v>
      </c>
      <c r="G1979" t="s">
        <v>24</v>
      </c>
      <c r="H1979" t="s">
        <v>15</v>
      </c>
      <c r="I1979">
        <v>4.7</v>
      </c>
      <c r="J1979">
        <v>11</v>
      </c>
      <c r="K1979">
        <v>3</v>
      </c>
    </row>
    <row r="1980" spans="1:11" x14ac:dyDescent="0.35">
      <c r="A1980">
        <v>1979</v>
      </c>
      <c r="B1980">
        <v>66</v>
      </c>
      <c r="C1980" t="s">
        <v>11</v>
      </c>
      <c r="D1980" t="s">
        <v>41</v>
      </c>
      <c r="E1980" t="s">
        <v>42</v>
      </c>
      <c r="F1980">
        <v>48.85</v>
      </c>
      <c r="G1980" t="s">
        <v>19</v>
      </c>
      <c r="H1980" t="s">
        <v>15</v>
      </c>
      <c r="I1980">
        <v>4.3</v>
      </c>
      <c r="J1980">
        <v>24</v>
      </c>
      <c r="K1980">
        <v>7</v>
      </c>
    </row>
    <row r="1981" spans="1:11" x14ac:dyDescent="0.35">
      <c r="A1981">
        <v>1980</v>
      </c>
      <c r="B1981">
        <v>70</v>
      </c>
      <c r="C1981" t="s">
        <v>11</v>
      </c>
      <c r="D1981" t="s">
        <v>41</v>
      </c>
      <c r="E1981" t="s">
        <v>46</v>
      </c>
      <c r="F1981">
        <v>139.16999999999999</v>
      </c>
      <c r="G1981" t="s">
        <v>31</v>
      </c>
      <c r="H1981" t="s">
        <v>15</v>
      </c>
      <c r="I1981">
        <v>4.3</v>
      </c>
      <c r="J1981">
        <v>19</v>
      </c>
      <c r="K1981">
        <v>7</v>
      </c>
    </row>
    <row r="1982" spans="1:11" x14ac:dyDescent="0.35">
      <c r="A1982">
        <v>1981</v>
      </c>
      <c r="B1982">
        <v>24</v>
      </c>
      <c r="C1982" t="s">
        <v>16</v>
      </c>
      <c r="D1982" t="s">
        <v>17</v>
      </c>
      <c r="E1982" t="s">
        <v>35</v>
      </c>
      <c r="F1982">
        <v>196.55</v>
      </c>
      <c r="G1982" t="s">
        <v>31</v>
      </c>
      <c r="H1982" t="s">
        <v>15</v>
      </c>
      <c r="I1982">
        <v>3.2</v>
      </c>
      <c r="J1982">
        <v>8</v>
      </c>
      <c r="K1982">
        <v>4</v>
      </c>
    </row>
    <row r="1983" spans="1:11" x14ac:dyDescent="0.35">
      <c r="A1983">
        <v>1982</v>
      </c>
      <c r="B1983">
        <v>41</v>
      </c>
      <c r="C1983" t="s">
        <v>11</v>
      </c>
      <c r="D1983" t="s">
        <v>29</v>
      </c>
      <c r="E1983" t="s">
        <v>30</v>
      </c>
      <c r="F1983">
        <v>26.86</v>
      </c>
      <c r="G1983" t="s">
        <v>24</v>
      </c>
      <c r="H1983" t="s">
        <v>15</v>
      </c>
      <c r="I1983">
        <v>3.5</v>
      </c>
      <c r="J1983">
        <v>9</v>
      </c>
      <c r="K1983">
        <v>2</v>
      </c>
    </row>
    <row r="1984" spans="1:11" x14ac:dyDescent="0.35">
      <c r="A1984">
        <v>1983</v>
      </c>
      <c r="B1984">
        <v>63</v>
      </c>
      <c r="C1984" t="s">
        <v>16</v>
      </c>
      <c r="D1984" t="s">
        <v>20</v>
      </c>
      <c r="E1984" t="s">
        <v>36</v>
      </c>
      <c r="F1984">
        <v>161.59</v>
      </c>
      <c r="G1984" t="s">
        <v>19</v>
      </c>
      <c r="H1984" t="s">
        <v>15</v>
      </c>
      <c r="I1984">
        <v>5</v>
      </c>
      <c r="J1984">
        <v>21</v>
      </c>
      <c r="K1984">
        <v>8</v>
      </c>
    </row>
    <row r="1985" spans="1:11" x14ac:dyDescent="0.35">
      <c r="A1985">
        <v>1984</v>
      </c>
      <c r="B1985">
        <v>40</v>
      </c>
      <c r="C1985" t="s">
        <v>11</v>
      </c>
      <c r="D1985" t="s">
        <v>41</v>
      </c>
      <c r="E1985" t="s">
        <v>45</v>
      </c>
      <c r="F1985">
        <v>171.74</v>
      </c>
      <c r="G1985" t="s">
        <v>14</v>
      </c>
      <c r="H1985" t="s">
        <v>15</v>
      </c>
      <c r="I1985">
        <v>2.9</v>
      </c>
      <c r="J1985">
        <v>18</v>
      </c>
      <c r="K1985">
        <v>4</v>
      </c>
    </row>
    <row r="1986" spans="1:11" x14ac:dyDescent="0.35">
      <c r="A1986">
        <v>1985</v>
      </c>
      <c r="B1986">
        <v>52</v>
      </c>
      <c r="C1986" t="s">
        <v>16</v>
      </c>
      <c r="D1986" t="s">
        <v>20</v>
      </c>
      <c r="E1986" t="s">
        <v>39</v>
      </c>
      <c r="F1986">
        <v>46.83</v>
      </c>
      <c r="G1986" t="s">
        <v>24</v>
      </c>
      <c r="H1986" t="s">
        <v>15</v>
      </c>
      <c r="I1986">
        <v>3.7</v>
      </c>
      <c r="J1986">
        <v>22</v>
      </c>
      <c r="K1986">
        <v>6</v>
      </c>
    </row>
    <row r="1987" spans="1:11" x14ac:dyDescent="0.35">
      <c r="A1987">
        <v>1986</v>
      </c>
      <c r="B1987">
        <v>38</v>
      </c>
      <c r="C1987" t="s">
        <v>16</v>
      </c>
      <c r="D1987" t="s">
        <v>20</v>
      </c>
      <c r="E1987" t="s">
        <v>21</v>
      </c>
      <c r="F1987">
        <v>61.79</v>
      </c>
      <c r="G1987" t="s">
        <v>14</v>
      </c>
      <c r="H1987" t="s">
        <v>15</v>
      </c>
      <c r="I1987">
        <v>2.9</v>
      </c>
      <c r="J1987">
        <v>28</v>
      </c>
      <c r="K1987">
        <v>9</v>
      </c>
    </row>
    <row r="1988" spans="1:11" x14ac:dyDescent="0.35">
      <c r="A1988">
        <v>1987</v>
      </c>
      <c r="B1988">
        <v>25</v>
      </c>
      <c r="C1988" t="s">
        <v>16</v>
      </c>
      <c r="D1988" t="s">
        <v>17</v>
      </c>
      <c r="E1988" t="s">
        <v>48</v>
      </c>
      <c r="F1988">
        <v>111.92</v>
      </c>
      <c r="G1988" t="s">
        <v>14</v>
      </c>
      <c r="H1988" t="s">
        <v>15</v>
      </c>
      <c r="I1988">
        <v>4.3</v>
      </c>
      <c r="J1988">
        <v>21</v>
      </c>
      <c r="K1988">
        <v>8</v>
      </c>
    </row>
    <row r="1989" spans="1:11" x14ac:dyDescent="0.35">
      <c r="A1989">
        <v>1988</v>
      </c>
      <c r="B1989">
        <v>56</v>
      </c>
      <c r="C1989" t="s">
        <v>16</v>
      </c>
      <c r="D1989" t="s">
        <v>27</v>
      </c>
      <c r="E1989" t="s">
        <v>49</v>
      </c>
      <c r="F1989">
        <v>1616.64</v>
      </c>
      <c r="G1989" t="s">
        <v>31</v>
      </c>
      <c r="H1989" t="s">
        <v>15</v>
      </c>
      <c r="I1989">
        <v>4.2</v>
      </c>
      <c r="J1989">
        <v>16</v>
      </c>
      <c r="K1989">
        <v>3</v>
      </c>
    </row>
    <row r="1990" spans="1:11" x14ac:dyDescent="0.35">
      <c r="A1990">
        <v>1989</v>
      </c>
      <c r="B1990">
        <v>48</v>
      </c>
      <c r="C1990" t="s">
        <v>16</v>
      </c>
      <c r="D1990" t="s">
        <v>20</v>
      </c>
      <c r="E1990" t="s">
        <v>36</v>
      </c>
      <c r="F1990">
        <v>217.52</v>
      </c>
      <c r="G1990" t="s">
        <v>31</v>
      </c>
      <c r="H1990" t="s">
        <v>15</v>
      </c>
      <c r="I1990">
        <v>4.5</v>
      </c>
      <c r="J1990">
        <v>22</v>
      </c>
      <c r="K1990">
        <v>6</v>
      </c>
    </row>
    <row r="1991" spans="1:11" x14ac:dyDescent="0.35">
      <c r="A1991">
        <v>1990</v>
      </c>
      <c r="B1991">
        <v>64</v>
      </c>
      <c r="C1991" t="s">
        <v>16</v>
      </c>
      <c r="D1991" t="s">
        <v>20</v>
      </c>
      <c r="E1991" t="s">
        <v>36</v>
      </c>
      <c r="F1991">
        <v>162.80000000000001</v>
      </c>
      <c r="G1991" t="s">
        <v>19</v>
      </c>
      <c r="H1991" t="s">
        <v>15</v>
      </c>
      <c r="I1991">
        <v>4.9000000000000004</v>
      </c>
      <c r="J1991">
        <v>18</v>
      </c>
      <c r="K1991">
        <v>4</v>
      </c>
    </row>
    <row r="1992" spans="1:11" x14ac:dyDescent="0.35">
      <c r="A1992">
        <v>1991</v>
      </c>
      <c r="B1992">
        <v>22</v>
      </c>
      <c r="C1992" t="s">
        <v>16</v>
      </c>
      <c r="D1992" t="s">
        <v>17</v>
      </c>
      <c r="E1992" t="s">
        <v>48</v>
      </c>
      <c r="F1992">
        <v>65.02</v>
      </c>
      <c r="G1992" t="s">
        <v>31</v>
      </c>
      <c r="H1992" t="s">
        <v>15</v>
      </c>
      <c r="I1992">
        <v>3.9</v>
      </c>
      <c r="J1992">
        <v>16</v>
      </c>
      <c r="K1992">
        <v>3</v>
      </c>
    </row>
    <row r="1993" spans="1:11" x14ac:dyDescent="0.35">
      <c r="A1993">
        <v>1992</v>
      </c>
      <c r="B1993">
        <v>36</v>
      </c>
      <c r="C1993" t="s">
        <v>16</v>
      </c>
      <c r="D1993" t="s">
        <v>33</v>
      </c>
      <c r="E1993" t="s">
        <v>34</v>
      </c>
      <c r="F1993">
        <v>138.44999999999999</v>
      </c>
      <c r="G1993" t="s">
        <v>31</v>
      </c>
      <c r="H1993" t="s">
        <v>15</v>
      </c>
      <c r="I1993">
        <v>3.2</v>
      </c>
      <c r="J1993">
        <v>20</v>
      </c>
      <c r="K1993">
        <v>5</v>
      </c>
    </row>
    <row r="1994" spans="1:11" x14ac:dyDescent="0.35">
      <c r="A1994">
        <v>1993</v>
      </c>
      <c r="B1994">
        <v>45</v>
      </c>
      <c r="C1994" t="s">
        <v>11</v>
      </c>
      <c r="D1994" t="s">
        <v>20</v>
      </c>
      <c r="E1994" t="s">
        <v>21</v>
      </c>
      <c r="F1994">
        <v>184.55</v>
      </c>
      <c r="G1994" t="s">
        <v>19</v>
      </c>
      <c r="H1994" t="s">
        <v>15</v>
      </c>
      <c r="I1994">
        <v>4.2</v>
      </c>
      <c r="J1994">
        <v>8</v>
      </c>
      <c r="K1994">
        <v>4</v>
      </c>
    </row>
    <row r="1995" spans="1:11" x14ac:dyDescent="0.35">
      <c r="A1995">
        <v>1994</v>
      </c>
      <c r="B1995">
        <v>33</v>
      </c>
      <c r="C1995" t="s">
        <v>11</v>
      </c>
      <c r="D1995" t="s">
        <v>41</v>
      </c>
      <c r="E1995" t="s">
        <v>45</v>
      </c>
      <c r="F1995">
        <v>109.48</v>
      </c>
      <c r="G1995" t="s">
        <v>19</v>
      </c>
      <c r="H1995" t="s">
        <v>15</v>
      </c>
      <c r="I1995">
        <v>3.8</v>
      </c>
      <c r="J1995">
        <v>12</v>
      </c>
      <c r="K1995">
        <v>6</v>
      </c>
    </row>
    <row r="1996" spans="1:11" x14ac:dyDescent="0.35">
      <c r="A1996">
        <v>1995</v>
      </c>
      <c r="B1996">
        <v>59</v>
      </c>
      <c r="C1996" t="s">
        <v>11</v>
      </c>
      <c r="D1996" t="s">
        <v>41</v>
      </c>
      <c r="E1996" t="s">
        <v>42</v>
      </c>
      <c r="F1996">
        <v>147.63</v>
      </c>
      <c r="G1996" t="s">
        <v>24</v>
      </c>
      <c r="H1996" t="s">
        <v>15</v>
      </c>
      <c r="I1996">
        <v>5</v>
      </c>
      <c r="J1996">
        <v>17</v>
      </c>
      <c r="K1996">
        <v>6</v>
      </c>
    </row>
    <row r="1997" spans="1:11" x14ac:dyDescent="0.35">
      <c r="A1997">
        <v>1996</v>
      </c>
      <c r="B1997">
        <v>49</v>
      </c>
      <c r="C1997" t="s">
        <v>16</v>
      </c>
      <c r="D1997" t="s">
        <v>17</v>
      </c>
      <c r="E1997" t="s">
        <v>18</v>
      </c>
      <c r="F1997">
        <v>176.47</v>
      </c>
      <c r="G1997" t="s">
        <v>31</v>
      </c>
      <c r="H1997" t="s">
        <v>15</v>
      </c>
      <c r="I1997">
        <v>3.2</v>
      </c>
      <c r="J1997">
        <v>18</v>
      </c>
      <c r="K1997">
        <v>4</v>
      </c>
    </row>
    <row r="1998" spans="1:11" x14ac:dyDescent="0.35">
      <c r="A1998">
        <v>1997</v>
      </c>
      <c r="B1998">
        <v>36</v>
      </c>
      <c r="C1998" t="s">
        <v>16</v>
      </c>
      <c r="D1998" t="s">
        <v>27</v>
      </c>
      <c r="E1998" t="s">
        <v>28</v>
      </c>
      <c r="F1998">
        <v>1270.98</v>
      </c>
      <c r="G1998" t="s">
        <v>19</v>
      </c>
      <c r="H1998" t="s">
        <v>15</v>
      </c>
      <c r="I1998">
        <v>5</v>
      </c>
      <c r="J1998">
        <v>12</v>
      </c>
      <c r="K1998">
        <v>6</v>
      </c>
    </row>
    <row r="1999" spans="1:11" x14ac:dyDescent="0.35">
      <c r="A1999">
        <v>1998</v>
      </c>
      <c r="B1999">
        <v>59</v>
      </c>
      <c r="C1999" t="s">
        <v>16</v>
      </c>
      <c r="D1999" t="s">
        <v>20</v>
      </c>
      <c r="E1999" t="s">
        <v>21</v>
      </c>
      <c r="F1999">
        <v>158.36000000000001</v>
      </c>
      <c r="G1999" t="s">
        <v>31</v>
      </c>
      <c r="H1999" t="s">
        <v>15</v>
      </c>
      <c r="I1999">
        <v>4.0999999999999996</v>
      </c>
      <c r="J1999">
        <v>21</v>
      </c>
      <c r="K1999">
        <v>8</v>
      </c>
    </row>
    <row r="2000" spans="1:11" x14ac:dyDescent="0.35">
      <c r="A2000">
        <v>1999</v>
      </c>
      <c r="B2000">
        <v>47</v>
      </c>
      <c r="C2000" t="s">
        <v>16</v>
      </c>
      <c r="D2000" t="s">
        <v>20</v>
      </c>
      <c r="E2000" t="s">
        <v>21</v>
      </c>
      <c r="F2000">
        <v>25.96</v>
      </c>
      <c r="G2000" t="s">
        <v>24</v>
      </c>
      <c r="H2000" t="s">
        <v>37</v>
      </c>
      <c r="I2000">
        <v>3.5</v>
      </c>
      <c r="J2000">
        <v>24</v>
      </c>
      <c r="K2000">
        <v>7</v>
      </c>
    </row>
    <row r="2001" spans="1:11" x14ac:dyDescent="0.35">
      <c r="A2001">
        <v>2000</v>
      </c>
      <c r="B2001">
        <v>45</v>
      </c>
      <c r="C2001" t="s">
        <v>11</v>
      </c>
      <c r="D2001" t="s">
        <v>33</v>
      </c>
      <c r="E2001" t="s">
        <v>34</v>
      </c>
      <c r="F2001">
        <v>219.08</v>
      </c>
      <c r="G2001" t="s">
        <v>19</v>
      </c>
      <c r="H2001" t="s">
        <v>15</v>
      </c>
      <c r="I2001">
        <v>3.9</v>
      </c>
      <c r="J2001">
        <v>25</v>
      </c>
      <c r="K2001">
        <v>10</v>
      </c>
    </row>
    <row r="2002" spans="1:11" x14ac:dyDescent="0.35">
      <c r="A2002">
        <v>2001</v>
      </c>
      <c r="B2002">
        <v>44</v>
      </c>
      <c r="C2002" t="s">
        <v>16</v>
      </c>
      <c r="D2002" t="s">
        <v>20</v>
      </c>
      <c r="E2002" t="s">
        <v>36</v>
      </c>
      <c r="F2002">
        <v>216.53</v>
      </c>
      <c r="G2002" t="s">
        <v>19</v>
      </c>
      <c r="H2002" t="s">
        <v>15</v>
      </c>
      <c r="I2002">
        <v>3.4</v>
      </c>
      <c r="J2002">
        <v>2</v>
      </c>
      <c r="K2002">
        <v>1</v>
      </c>
    </row>
    <row r="2003" spans="1:11" x14ac:dyDescent="0.35">
      <c r="A2003">
        <v>2002</v>
      </c>
      <c r="B2003">
        <v>58</v>
      </c>
      <c r="C2003" t="s">
        <v>16</v>
      </c>
      <c r="D2003" t="s">
        <v>20</v>
      </c>
      <c r="E2003" t="s">
        <v>36</v>
      </c>
      <c r="F2003">
        <v>155.38999999999999</v>
      </c>
      <c r="G2003" t="s">
        <v>24</v>
      </c>
      <c r="H2003" t="s">
        <v>15</v>
      </c>
      <c r="I2003">
        <v>3.5</v>
      </c>
      <c r="J2003">
        <v>21</v>
      </c>
      <c r="K2003">
        <v>8</v>
      </c>
    </row>
    <row r="2004" spans="1:11" x14ac:dyDescent="0.35">
      <c r="A2004">
        <v>2003</v>
      </c>
      <c r="B2004">
        <v>65</v>
      </c>
      <c r="C2004" t="s">
        <v>16</v>
      </c>
      <c r="D2004" t="s">
        <v>33</v>
      </c>
      <c r="E2004" t="s">
        <v>38</v>
      </c>
      <c r="F2004">
        <v>178.96</v>
      </c>
      <c r="G2004" t="s">
        <v>24</v>
      </c>
      <c r="H2004" t="s">
        <v>15</v>
      </c>
      <c r="I2004">
        <v>3.1</v>
      </c>
      <c r="J2004">
        <v>16</v>
      </c>
      <c r="K2004">
        <v>3</v>
      </c>
    </row>
    <row r="2005" spans="1:11" x14ac:dyDescent="0.35">
      <c r="A2005">
        <v>2004</v>
      </c>
      <c r="B2005">
        <v>50</v>
      </c>
      <c r="C2005" t="s">
        <v>16</v>
      </c>
      <c r="D2005" t="s">
        <v>17</v>
      </c>
      <c r="E2005" t="s">
        <v>35</v>
      </c>
      <c r="F2005">
        <v>156.35</v>
      </c>
      <c r="G2005" t="s">
        <v>24</v>
      </c>
      <c r="H2005" t="s">
        <v>15</v>
      </c>
      <c r="I2005">
        <v>3.1</v>
      </c>
      <c r="J2005">
        <v>9</v>
      </c>
      <c r="K2005">
        <v>2</v>
      </c>
    </row>
    <row r="2006" spans="1:11" x14ac:dyDescent="0.35">
      <c r="A2006">
        <v>2005</v>
      </c>
      <c r="B2006">
        <v>32</v>
      </c>
      <c r="C2006" t="s">
        <v>11</v>
      </c>
      <c r="D2006" t="s">
        <v>25</v>
      </c>
      <c r="E2006" t="s">
        <v>54</v>
      </c>
      <c r="F2006">
        <v>30.91</v>
      </c>
      <c r="G2006" t="s">
        <v>19</v>
      </c>
      <c r="H2006" t="s">
        <v>15</v>
      </c>
      <c r="I2006">
        <v>3.4</v>
      </c>
      <c r="J2006">
        <v>14</v>
      </c>
      <c r="K2006">
        <v>2</v>
      </c>
    </row>
    <row r="2007" spans="1:11" x14ac:dyDescent="0.35">
      <c r="A2007">
        <v>2006</v>
      </c>
      <c r="B2007">
        <v>33</v>
      </c>
      <c r="C2007" t="s">
        <v>11</v>
      </c>
      <c r="D2007" t="s">
        <v>25</v>
      </c>
      <c r="E2007" t="s">
        <v>57</v>
      </c>
      <c r="F2007">
        <v>33.28</v>
      </c>
      <c r="G2007" t="s">
        <v>14</v>
      </c>
      <c r="H2007" t="s">
        <v>15</v>
      </c>
      <c r="I2007">
        <v>4.2</v>
      </c>
      <c r="J2007">
        <v>8</v>
      </c>
      <c r="K2007">
        <v>4</v>
      </c>
    </row>
    <row r="2008" spans="1:11" x14ac:dyDescent="0.35">
      <c r="A2008">
        <v>2007</v>
      </c>
      <c r="B2008">
        <v>41</v>
      </c>
      <c r="C2008" t="s">
        <v>11</v>
      </c>
      <c r="D2008" t="s">
        <v>25</v>
      </c>
      <c r="E2008" t="s">
        <v>26</v>
      </c>
      <c r="F2008">
        <v>14.36</v>
      </c>
      <c r="G2008" t="s">
        <v>24</v>
      </c>
      <c r="H2008" t="s">
        <v>37</v>
      </c>
      <c r="I2008">
        <v>3.6</v>
      </c>
      <c r="J2008">
        <v>15</v>
      </c>
      <c r="K2008">
        <v>5</v>
      </c>
    </row>
    <row r="2009" spans="1:11" x14ac:dyDescent="0.35">
      <c r="A2009">
        <v>2008</v>
      </c>
      <c r="B2009">
        <v>60</v>
      </c>
      <c r="C2009" t="s">
        <v>16</v>
      </c>
      <c r="D2009" t="s">
        <v>20</v>
      </c>
      <c r="E2009" t="s">
        <v>21</v>
      </c>
      <c r="F2009">
        <v>164.7</v>
      </c>
      <c r="G2009" t="s">
        <v>31</v>
      </c>
      <c r="H2009" t="s">
        <v>15</v>
      </c>
      <c r="I2009">
        <v>4.8</v>
      </c>
      <c r="J2009">
        <v>26</v>
      </c>
      <c r="K2009">
        <v>8</v>
      </c>
    </row>
    <row r="2010" spans="1:11" x14ac:dyDescent="0.35">
      <c r="A2010">
        <v>2009</v>
      </c>
      <c r="B2010">
        <v>54</v>
      </c>
      <c r="C2010" t="s">
        <v>16</v>
      </c>
      <c r="D2010" t="s">
        <v>20</v>
      </c>
      <c r="E2010" t="s">
        <v>39</v>
      </c>
      <c r="F2010">
        <v>156.24</v>
      </c>
      <c r="G2010" t="s">
        <v>31</v>
      </c>
      <c r="H2010" t="s">
        <v>15</v>
      </c>
      <c r="I2010">
        <v>4.5999999999999996</v>
      </c>
      <c r="J2010">
        <v>16</v>
      </c>
      <c r="K2010">
        <v>3</v>
      </c>
    </row>
    <row r="2011" spans="1:11" x14ac:dyDescent="0.35">
      <c r="A2011">
        <v>2010</v>
      </c>
      <c r="B2011">
        <v>34</v>
      </c>
      <c r="C2011" t="s">
        <v>11</v>
      </c>
      <c r="D2011" t="s">
        <v>41</v>
      </c>
      <c r="E2011" t="s">
        <v>44</v>
      </c>
      <c r="F2011">
        <v>153.01</v>
      </c>
      <c r="G2011" t="s">
        <v>31</v>
      </c>
      <c r="H2011" t="s">
        <v>15</v>
      </c>
      <c r="I2011">
        <v>3.8</v>
      </c>
      <c r="J2011">
        <v>13</v>
      </c>
      <c r="K2011">
        <v>4</v>
      </c>
    </row>
    <row r="2012" spans="1:11" x14ac:dyDescent="0.35">
      <c r="A2012">
        <v>2011</v>
      </c>
      <c r="B2012">
        <v>46</v>
      </c>
      <c r="C2012" t="s">
        <v>11</v>
      </c>
      <c r="D2012" t="s">
        <v>33</v>
      </c>
      <c r="E2012" t="s">
        <v>38</v>
      </c>
      <c r="F2012">
        <v>120.06</v>
      </c>
      <c r="G2012" t="s">
        <v>14</v>
      </c>
      <c r="H2012" t="s">
        <v>15</v>
      </c>
      <c r="I2012">
        <v>4.0999999999999996</v>
      </c>
      <c r="J2012">
        <v>6</v>
      </c>
      <c r="K2012">
        <v>3</v>
      </c>
    </row>
    <row r="2013" spans="1:11" x14ac:dyDescent="0.35">
      <c r="A2013">
        <v>2012</v>
      </c>
      <c r="B2013">
        <v>38</v>
      </c>
      <c r="C2013" t="s">
        <v>11</v>
      </c>
      <c r="D2013" t="s">
        <v>41</v>
      </c>
      <c r="E2013" t="s">
        <v>45</v>
      </c>
      <c r="F2013">
        <v>162.6</v>
      </c>
      <c r="G2013" t="s">
        <v>31</v>
      </c>
      <c r="H2013" t="s">
        <v>15</v>
      </c>
      <c r="I2013">
        <v>4.4000000000000004</v>
      </c>
      <c r="J2013">
        <v>26</v>
      </c>
      <c r="K2013">
        <v>8</v>
      </c>
    </row>
    <row r="2014" spans="1:11" x14ac:dyDescent="0.35">
      <c r="A2014">
        <v>2013</v>
      </c>
      <c r="B2014">
        <v>51</v>
      </c>
      <c r="C2014" t="s">
        <v>11</v>
      </c>
      <c r="D2014" t="s">
        <v>29</v>
      </c>
      <c r="E2014" t="s">
        <v>30</v>
      </c>
      <c r="F2014">
        <v>89.47</v>
      </c>
      <c r="G2014" t="s">
        <v>19</v>
      </c>
      <c r="H2014" t="s">
        <v>15</v>
      </c>
      <c r="I2014">
        <v>3.6</v>
      </c>
      <c r="J2014">
        <v>10</v>
      </c>
      <c r="K2014">
        <v>5</v>
      </c>
    </row>
    <row r="2015" spans="1:11" x14ac:dyDescent="0.35">
      <c r="A2015">
        <v>2014</v>
      </c>
      <c r="B2015">
        <v>20</v>
      </c>
      <c r="C2015" t="s">
        <v>11</v>
      </c>
      <c r="D2015" t="s">
        <v>33</v>
      </c>
      <c r="E2015" t="s">
        <v>40</v>
      </c>
      <c r="F2015">
        <v>88.2</v>
      </c>
      <c r="G2015" t="s">
        <v>24</v>
      </c>
      <c r="H2015" t="s">
        <v>37</v>
      </c>
      <c r="I2015">
        <v>3.4</v>
      </c>
      <c r="J2015">
        <v>17</v>
      </c>
      <c r="K2015">
        <v>6</v>
      </c>
    </row>
    <row r="2016" spans="1:11" x14ac:dyDescent="0.35">
      <c r="A2016">
        <v>2015</v>
      </c>
      <c r="B2016">
        <v>35</v>
      </c>
      <c r="C2016" t="s">
        <v>16</v>
      </c>
      <c r="D2016" t="s">
        <v>33</v>
      </c>
      <c r="E2016" t="s">
        <v>38</v>
      </c>
      <c r="F2016">
        <v>199.05</v>
      </c>
      <c r="G2016" t="s">
        <v>24</v>
      </c>
      <c r="H2016" t="s">
        <v>15</v>
      </c>
      <c r="I2016">
        <v>3.4</v>
      </c>
      <c r="J2016">
        <v>10</v>
      </c>
      <c r="K2016">
        <v>5</v>
      </c>
    </row>
    <row r="2017" spans="1:11" x14ac:dyDescent="0.35">
      <c r="A2017">
        <v>2016</v>
      </c>
      <c r="B2017">
        <v>57</v>
      </c>
      <c r="C2017" t="s">
        <v>16</v>
      </c>
      <c r="D2017" t="s">
        <v>22</v>
      </c>
      <c r="E2017" t="s">
        <v>23</v>
      </c>
      <c r="F2017">
        <v>97.73</v>
      </c>
      <c r="G2017" t="s">
        <v>24</v>
      </c>
      <c r="H2017" t="s">
        <v>37</v>
      </c>
      <c r="I2017">
        <v>4.0999999999999996</v>
      </c>
      <c r="J2017">
        <v>12</v>
      </c>
      <c r="K2017">
        <v>6</v>
      </c>
    </row>
    <row r="2018" spans="1:11" x14ac:dyDescent="0.35">
      <c r="A2018">
        <v>2017</v>
      </c>
      <c r="B2018">
        <v>35</v>
      </c>
      <c r="C2018" t="s">
        <v>16</v>
      </c>
      <c r="D2018" t="s">
        <v>25</v>
      </c>
      <c r="E2018" t="s">
        <v>54</v>
      </c>
      <c r="F2018">
        <v>21.46</v>
      </c>
      <c r="G2018" t="s">
        <v>31</v>
      </c>
      <c r="H2018" t="s">
        <v>37</v>
      </c>
      <c r="I2018">
        <v>3.7</v>
      </c>
      <c r="J2018">
        <v>8</v>
      </c>
      <c r="K2018">
        <v>4</v>
      </c>
    </row>
    <row r="2019" spans="1:11" x14ac:dyDescent="0.35">
      <c r="A2019">
        <v>2018</v>
      </c>
      <c r="B2019">
        <v>51</v>
      </c>
      <c r="C2019" t="s">
        <v>11</v>
      </c>
      <c r="D2019" t="s">
        <v>41</v>
      </c>
      <c r="E2019" t="s">
        <v>45</v>
      </c>
      <c r="F2019">
        <v>196.16</v>
      </c>
      <c r="G2019" t="s">
        <v>14</v>
      </c>
      <c r="H2019" t="s">
        <v>15</v>
      </c>
      <c r="I2019">
        <v>3.4</v>
      </c>
      <c r="J2019">
        <v>20</v>
      </c>
      <c r="K2019">
        <v>5</v>
      </c>
    </row>
    <row r="2020" spans="1:11" x14ac:dyDescent="0.35">
      <c r="A2020">
        <v>2019</v>
      </c>
      <c r="B2020">
        <v>45</v>
      </c>
      <c r="C2020" t="s">
        <v>11</v>
      </c>
      <c r="D2020" t="s">
        <v>29</v>
      </c>
      <c r="E2020" t="s">
        <v>55</v>
      </c>
      <c r="F2020">
        <v>89.54</v>
      </c>
      <c r="G2020" t="s">
        <v>19</v>
      </c>
      <c r="H2020" t="s">
        <v>37</v>
      </c>
      <c r="I2020">
        <v>4.5999999999999996</v>
      </c>
      <c r="J2020">
        <v>20</v>
      </c>
      <c r="K2020">
        <v>5</v>
      </c>
    </row>
    <row r="2021" spans="1:11" x14ac:dyDescent="0.35">
      <c r="A2021">
        <v>2020</v>
      </c>
      <c r="B2021">
        <v>48</v>
      </c>
      <c r="C2021" t="s">
        <v>16</v>
      </c>
      <c r="D2021" t="s">
        <v>33</v>
      </c>
      <c r="E2021" t="s">
        <v>40</v>
      </c>
      <c r="F2021">
        <v>65.63</v>
      </c>
      <c r="G2021" t="s">
        <v>14</v>
      </c>
      <c r="H2021" t="s">
        <v>15</v>
      </c>
      <c r="I2021">
        <v>3.4</v>
      </c>
      <c r="J2021">
        <v>20</v>
      </c>
      <c r="K2021">
        <v>5</v>
      </c>
    </row>
    <row r="2022" spans="1:11" x14ac:dyDescent="0.35">
      <c r="A2022">
        <v>2021</v>
      </c>
      <c r="B2022">
        <v>29</v>
      </c>
      <c r="C2022" t="s">
        <v>16</v>
      </c>
      <c r="D2022" t="s">
        <v>25</v>
      </c>
      <c r="E2022" t="s">
        <v>54</v>
      </c>
      <c r="F2022">
        <v>50.38</v>
      </c>
      <c r="G2022" t="s">
        <v>14</v>
      </c>
      <c r="H2022" t="s">
        <v>37</v>
      </c>
      <c r="I2022">
        <v>4.5</v>
      </c>
      <c r="J2022">
        <v>12</v>
      </c>
      <c r="K2022">
        <v>6</v>
      </c>
    </row>
    <row r="2023" spans="1:11" x14ac:dyDescent="0.35">
      <c r="A2023">
        <v>2022</v>
      </c>
      <c r="B2023">
        <v>58</v>
      </c>
      <c r="C2023" t="s">
        <v>16</v>
      </c>
      <c r="D2023" t="s">
        <v>25</v>
      </c>
      <c r="E2023" t="s">
        <v>26</v>
      </c>
      <c r="F2023">
        <v>10.55</v>
      </c>
      <c r="G2023" t="s">
        <v>14</v>
      </c>
      <c r="H2023" t="s">
        <v>15</v>
      </c>
      <c r="I2023">
        <v>4.2</v>
      </c>
      <c r="J2023">
        <v>16</v>
      </c>
      <c r="K2023">
        <v>3</v>
      </c>
    </row>
    <row r="2024" spans="1:11" x14ac:dyDescent="0.35">
      <c r="A2024">
        <v>2023</v>
      </c>
      <c r="B2024">
        <v>22</v>
      </c>
      <c r="C2024" t="s">
        <v>11</v>
      </c>
      <c r="D2024" t="s">
        <v>25</v>
      </c>
      <c r="E2024" t="s">
        <v>47</v>
      </c>
      <c r="F2024">
        <v>9.68</v>
      </c>
      <c r="G2024" t="s">
        <v>31</v>
      </c>
      <c r="H2024" t="s">
        <v>37</v>
      </c>
      <c r="I2024">
        <v>4.4000000000000004</v>
      </c>
      <c r="J2024">
        <v>18</v>
      </c>
      <c r="K2024">
        <v>4</v>
      </c>
    </row>
    <row r="2025" spans="1:11" x14ac:dyDescent="0.35">
      <c r="A2025">
        <v>2024</v>
      </c>
      <c r="B2025">
        <v>69</v>
      </c>
      <c r="C2025" t="s">
        <v>11</v>
      </c>
      <c r="D2025" t="s">
        <v>22</v>
      </c>
      <c r="E2025" t="s">
        <v>52</v>
      </c>
      <c r="F2025">
        <v>58.08</v>
      </c>
      <c r="G2025" t="s">
        <v>14</v>
      </c>
      <c r="H2025" t="s">
        <v>37</v>
      </c>
      <c r="I2025">
        <v>3.3</v>
      </c>
      <c r="J2025">
        <v>20</v>
      </c>
      <c r="K2025">
        <v>5</v>
      </c>
    </row>
    <row r="2026" spans="1:11" x14ac:dyDescent="0.35">
      <c r="A2026">
        <v>2025</v>
      </c>
      <c r="B2026">
        <v>50</v>
      </c>
      <c r="C2026" t="s">
        <v>16</v>
      </c>
      <c r="D2026" t="s">
        <v>33</v>
      </c>
      <c r="E2026" t="s">
        <v>40</v>
      </c>
      <c r="F2026">
        <v>87.66</v>
      </c>
      <c r="G2026" t="s">
        <v>24</v>
      </c>
      <c r="H2026" t="s">
        <v>15</v>
      </c>
      <c r="I2026">
        <v>3</v>
      </c>
      <c r="J2026">
        <v>16</v>
      </c>
      <c r="K2026">
        <v>3</v>
      </c>
    </row>
    <row r="2027" spans="1:11" x14ac:dyDescent="0.35">
      <c r="A2027">
        <v>2026</v>
      </c>
      <c r="B2027">
        <v>58</v>
      </c>
      <c r="C2027" t="s">
        <v>16</v>
      </c>
      <c r="D2027" t="s">
        <v>27</v>
      </c>
      <c r="E2027" t="s">
        <v>49</v>
      </c>
      <c r="F2027">
        <v>715.45</v>
      </c>
      <c r="G2027" t="s">
        <v>14</v>
      </c>
      <c r="H2027" t="s">
        <v>15</v>
      </c>
      <c r="I2027">
        <v>3.3</v>
      </c>
      <c r="J2027">
        <v>20</v>
      </c>
      <c r="K2027">
        <v>5</v>
      </c>
    </row>
    <row r="2028" spans="1:11" x14ac:dyDescent="0.35">
      <c r="A2028">
        <v>2027</v>
      </c>
      <c r="B2028">
        <v>30</v>
      </c>
      <c r="C2028" t="s">
        <v>11</v>
      </c>
      <c r="D2028" t="s">
        <v>12</v>
      </c>
      <c r="E2028" t="s">
        <v>56</v>
      </c>
      <c r="F2028">
        <v>96.49</v>
      </c>
      <c r="G2028" t="s">
        <v>24</v>
      </c>
      <c r="H2028" t="s">
        <v>37</v>
      </c>
      <c r="I2028">
        <v>4.7</v>
      </c>
      <c r="J2028">
        <v>29</v>
      </c>
      <c r="K2028">
        <v>12</v>
      </c>
    </row>
    <row r="2029" spans="1:11" x14ac:dyDescent="0.35">
      <c r="A2029">
        <v>2028</v>
      </c>
      <c r="B2029">
        <v>25</v>
      </c>
      <c r="C2029" t="s">
        <v>11</v>
      </c>
      <c r="D2029" t="s">
        <v>12</v>
      </c>
      <c r="E2029" t="s">
        <v>56</v>
      </c>
      <c r="F2029">
        <v>152.71</v>
      </c>
      <c r="G2029" t="s">
        <v>24</v>
      </c>
      <c r="H2029" t="s">
        <v>15</v>
      </c>
      <c r="I2029">
        <v>3.8</v>
      </c>
      <c r="J2029">
        <v>18</v>
      </c>
      <c r="K2029">
        <v>4</v>
      </c>
    </row>
    <row r="2030" spans="1:11" x14ac:dyDescent="0.35">
      <c r="A2030">
        <v>2029</v>
      </c>
      <c r="B2030">
        <v>51</v>
      </c>
      <c r="C2030" t="s">
        <v>11</v>
      </c>
      <c r="D2030" t="s">
        <v>12</v>
      </c>
      <c r="E2030" t="s">
        <v>13</v>
      </c>
      <c r="F2030">
        <v>72.38</v>
      </c>
      <c r="G2030" t="s">
        <v>19</v>
      </c>
      <c r="H2030" t="s">
        <v>37</v>
      </c>
      <c r="I2030">
        <v>5</v>
      </c>
      <c r="J2030">
        <v>11</v>
      </c>
      <c r="K2030">
        <v>3</v>
      </c>
    </row>
    <row r="2031" spans="1:11" x14ac:dyDescent="0.35">
      <c r="A2031">
        <v>2030</v>
      </c>
      <c r="B2031">
        <v>46</v>
      </c>
      <c r="C2031" t="s">
        <v>11</v>
      </c>
      <c r="D2031" t="s">
        <v>12</v>
      </c>
      <c r="E2031" t="s">
        <v>56</v>
      </c>
      <c r="F2031">
        <v>67.510000000000005</v>
      </c>
      <c r="G2031" t="s">
        <v>24</v>
      </c>
      <c r="H2031" t="s">
        <v>37</v>
      </c>
      <c r="I2031">
        <v>3.8</v>
      </c>
      <c r="J2031">
        <v>13</v>
      </c>
      <c r="K2031">
        <v>4</v>
      </c>
    </row>
    <row r="2032" spans="1:11" x14ac:dyDescent="0.35">
      <c r="A2032">
        <v>2031</v>
      </c>
      <c r="B2032">
        <v>54</v>
      </c>
      <c r="C2032" t="s">
        <v>11</v>
      </c>
      <c r="D2032" t="s">
        <v>22</v>
      </c>
      <c r="E2032" t="s">
        <v>43</v>
      </c>
      <c r="F2032">
        <v>174.89</v>
      </c>
      <c r="G2032" t="s">
        <v>31</v>
      </c>
      <c r="H2032" t="s">
        <v>15</v>
      </c>
      <c r="I2032">
        <v>4.2</v>
      </c>
      <c r="J2032">
        <v>11</v>
      </c>
      <c r="K2032">
        <v>3</v>
      </c>
    </row>
    <row r="2033" spans="1:11" x14ac:dyDescent="0.35">
      <c r="A2033">
        <v>2032</v>
      </c>
      <c r="B2033">
        <v>27</v>
      </c>
      <c r="C2033" t="s">
        <v>16</v>
      </c>
      <c r="D2033" t="s">
        <v>20</v>
      </c>
      <c r="E2033" t="s">
        <v>36</v>
      </c>
      <c r="F2033">
        <v>96.73</v>
      </c>
      <c r="G2033" t="s">
        <v>24</v>
      </c>
      <c r="H2033" t="s">
        <v>15</v>
      </c>
      <c r="I2033">
        <v>2.6</v>
      </c>
      <c r="J2033">
        <v>9</v>
      </c>
      <c r="K2033">
        <v>2</v>
      </c>
    </row>
    <row r="2034" spans="1:11" x14ac:dyDescent="0.35">
      <c r="A2034">
        <v>2033</v>
      </c>
      <c r="B2034">
        <v>63</v>
      </c>
      <c r="C2034" t="s">
        <v>16</v>
      </c>
      <c r="D2034" t="s">
        <v>17</v>
      </c>
      <c r="E2034" t="s">
        <v>18</v>
      </c>
      <c r="F2034">
        <v>68.14</v>
      </c>
      <c r="G2034" t="s">
        <v>31</v>
      </c>
      <c r="H2034" t="s">
        <v>15</v>
      </c>
      <c r="I2034">
        <v>5</v>
      </c>
      <c r="J2034">
        <v>19</v>
      </c>
      <c r="K2034">
        <v>7</v>
      </c>
    </row>
    <row r="2035" spans="1:11" x14ac:dyDescent="0.35">
      <c r="A2035">
        <v>2034</v>
      </c>
      <c r="B2035">
        <v>66</v>
      </c>
      <c r="C2035" t="s">
        <v>11</v>
      </c>
      <c r="D2035" t="s">
        <v>33</v>
      </c>
      <c r="E2035" t="s">
        <v>38</v>
      </c>
      <c r="F2035">
        <v>54.49</v>
      </c>
      <c r="G2035" t="s">
        <v>14</v>
      </c>
      <c r="H2035" t="s">
        <v>15</v>
      </c>
      <c r="I2035">
        <v>4.8</v>
      </c>
      <c r="J2035">
        <v>4</v>
      </c>
      <c r="K2035">
        <v>2</v>
      </c>
    </row>
    <row r="2036" spans="1:11" x14ac:dyDescent="0.35">
      <c r="A2036">
        <v>2035</v>
      </c>
      <c r="B2036">
        <v>70</v>
      </c>
      <c r="C2036" t="s">
        <v>16</v>
      </c>
      <c r="D2036" t="s">
        <v>27</v>
      </c>
      <c r="E2036" t="s">
        <v>49</v>
      </c>
      <c r="F2036">
        <v>896.45</v>
      </c>
      <c r="G2036" t="s">
        <v>31</v>
      </c>
      <c r="H2036" t="s">
        <v>15</v>
      </c>
      <c r="I2036">
        <v>4.4000000000000004</v>
      </c>
      <c r="J2036">
        <v>15</v>
      </c>
      <c r="K2036">
        <v>5</v>
      </c>
    </row>
    <row r="2037" spans="1:11" x14ac:dyDescent="0.35">
      <c r="A2037">
        <v>2036</v>
      </c>
      <c r="B2037">
        <v>60</v>
      </c>
      <c r="C2037" t="s">
        <v>11</v>
      </c>
      <c r="D2037" t="s">
        <v>12</v>
      </c>
      <c r="E2037" t="s">
        <v>56</v>
      </c>
      <c r="F2037">
        <v>129.05000000000001</v>
      </c>
      <c r="G2037" t="s">
        <v>31</v>
      </c>
      <c r="H2037" t="s">
        <v>15</v>
      </c>
      <c r="I2037">
        <v>2.5</v>
      </c>
      <c r="J2037">
        <v>12</v>
      </c>
      <c r="K2037">
        <v>6</v>
      </c>
    </row>
    <row r="2038" spans="1:11" x14ac:dyDescent="0.35">
      <c r="A2038">
        <v>2037</v>
      </c>
      <c r="B2038">
        <v>57</v>
      </c>
      <c r="C2038" t="s">
        <v>16</v>
      </c>
      <c r="D2038" t="s">
        <v>25</v>
      </c>
      <c r="E2038" t="s">
        <v>54</v>
      </c>
      <c r="F2038">
        <v>74.010000000000005</v>
      </c>
      <c r="G2038" t="s">
        <v>19</v>
      </c>
      <c r="H2038" t="s">
        <v>15</v>
      </c>
      <c r="I2038">
        <v>2.7</v>
      </c>
      <c r="J2038">
        <v>20</v>
      </c>
      <c r="K2038">
        <v>5</v>
      </c>
    </row>
    <row r="2039" spans="1:11" x14ac:dyDescent="0.35">
      <c r="A2039">
        <v>2038</v>
      </c>
      <c r="B2039">
        <v>47</v>
      </c>
      <c r="C2039" t="s">
        <v>11</v>
      </c>
      <c r="D2039" t="s">
        <v>25</v>
      </c>
      <c r="E2039" t="s">
        <v>54</v>
      </c>
      <c r="F2039">
        <v>28.94</v>
      </c>
      <c r="G2039" t="s">
        <v>24</v>
      </c>
      <c r="H2039" t="s">
        <v>15</v>
      </c>
      <c r="I2039">
        <v>4.2</v>
      </c>
      <c r="J2039">
        <v>10</v>
      </c>
      <c r="K2039">
        <v>5</v>
      </c>
    </row>
    <row r="2040" spans="1:11" x14ac:dyDescent="0.35">
      <c r="A2040">
        <v>2039</v>
      </c>
      <c r="B2040">
        <v>60</v>
      </c>
      <c r="C2040" t="s">
        <v>16</v>
      </c>
      <c r="D2040" t="s">
        <v>17</v>
      </c>
      <c r="E2040" t="s">
        <v>42</v>
      </c>
      <c r="F2040">
        <v>97.47</v>
      </c>
      <c r="G2040" t="s">
        <v>24</v>
      </c>
      <c r="H2040" t="s">
        <v>37</v>
      </c>
      <c r="I2040">
        <v>4.4000000000000004</v>
      </c>
      <c r="J2040">
        <v>9</v>
      </c>
      <c r="K2040">
        <v>2</v>
      </c>
    </row>
    <row r="2041" spans="1:11" x14ac:dyDescent="0.35">
      <c r="A2041">
        <v>2040</v>
      </c>
      <c r="B2041">
        <v>59</v>
      </c>
      <c r="C2041" t="s">
        <v>11</v>
      </c>
      <c r="D2041" t="s">
        <v>33</v>
      </c>
      <c r="E2041" t="s">
        <v>40</v>
      </c>
      <c r="F2041">
        <v>145.79</v>
      </c>
      <c r="G2041" t="s">
        <v>31</v>
      </c>
      <c r="H2041" t="s">
        <v>15</v>
      </c>
      <c r="I2041">
        <v>4</v>
      </c>
      <c r="J2041">
        <v>17</v>
      </c>
      <c r="K2041">
        <v>6</v>
      </c>
    </row>
    <row r="2042" spans="1:11" x14ac:dyDescent="0.35">
      <c r="A2042">
        <v>2041</v>
      </c>
      <c r="B2042">
        <v>54</v>
      </c>
      <c r="C2042" t="s">
        <v>11</v>
      </c>
      <c r="D2042" t="s">
        <v>22</v>
      </c>
      <c r="E2042" t="s">
        <v>43</v>
      </c>
      <c r="F2042">
        <v>39.020000000000003</v>
      </c>
      <c r="G2042" t="s">
        <v>14</v>
      </c>
      <c r="H2042" t="s">
        <v>15</v>
      </c>
      <c r="I2042">
        <v>3.5</v>
      </c>
      <c r="J2042">
        <v>17</v>
      </c>
      <c r="K2042">
        <v>6</v>
      </c>
    </row>
    <row r="2043" spans="1:11" x14ac:dyDescent="0.35">
      <c r="A2043">
        <v>2042</v>
      </c>
      <c r="B2043">
        <v>49</v>
      </c>
      <c r="C2043" t="s">
        <v>16</v>
      </c>
      <c r="D2043" t="s">
        <v>20</v>
      </c>
      <c r="E2043" t="s">
        <v>36</v>
      </c>
      <c r="F2043">
        <v>186.01</v>
      </c>
      <c r="G2043" t="s">
        <v>24</v>
      </c>
      <c r="H2043" t="s">
        <v>15</v>
      </c>
      <c r="I2043">
        <v>4.3</v>
      </c>
      <c r="J2043">
        <v>18</v>
      </c>
      <c r="K2043">
        <v>4</v>
      </c>
    </row>
    <row r="2044" spans="1:11" x14ac:dyDescent="0.35">
      <c r="A2044">
        <v>2043</v>
      </c>
      <c r="B2044">
        <v>67</v>
      </c>
      <c r="C2044" t="s">
        <v>16</v>
      </c>
      <c r="D2044" t="s">
        <v>33</v>
      </c>
      <c r="E2044" t="s">
        <v>40</v>
      </c>
      <c r="F2044">
        <v>58.17</v>
      </c>
      <c r="G2044" t="s">
        <v>31</v>
      </c>
      <c r="H2044" t="s">
        <v>15</v>
      </c>
      <c r="I2044">
        <v>4.9000000000000004</v>
      </c>
      <c r="J2044">
        <v>15</v>
      </c>
      <c r="K2044">
        <v>5</v>
      </c>
    </row>
    <row r="2045" spans="1:11" x14ac:dyDescent="0.35">
      <c r="A2045">
        <v>2044</v>
      </c>
      <c r="B2045">
        <v>69</v>
      </c>
      <c r="C2045" t="s">
        <v>16</v>
      </c>
      <c r="D2045" t="s">
        <v>33</v>
      </c>
      <c r="E2045" t="s">
        <v>40</v>
      </c>
      <c r="F2045">
        <v>173.95</v>
      </c>
      <c r="G2045" t="s">
        <v>31</v>
      </c>
      <c r="H2045" t="s">
        <v>15</v>
      </c>
      <c r="I2045">
        <v>3.6</v>
      </c>
      <c r="J2045">
        <v>21</v>
      </c>
      <c r="K2045">
        <v>8</v>
      </c>
    </row>
    <row r="2046" spans="1:11" x14ac:dyDescent="0.35">
      <c r="A2046">
        <v>2045</v>
      </c>
      <c r="B2046">
        <v>48</v>
      </c>
      <c r="C2046" t="s">
        <v>16</v>
      </c>
      <c r="D2046" t="s">
        <v>33</v>
      </c>
      <c r="E2046" t="s">
        <v>38</v>
      </c>
      <c r="F2046">
        <v>249.92</v>
      </c>
      <c r="G2046" t="s">
        <v>14</v>
      </c>
      <c r="H2046" t="s">
        <v>15</v>
      </c>
      <c r="I2046">
        <v>4.5</v>
      </c>
      <c r="J2046">
        <v>9</v>
      </c>
      <c r="K2046">
        <v>2</v>
      </c>
    </row>
    <row r="2047" spans="1:11" x14ac:dyDescent="0.35">
      <c r="A2047">
        <v>2046</v>
      </c>
      <c r="B2047">
        <v>21</v>
      </c>
      <c r="C2047" t="s">
        <v>16</v>
      </c>
      <c r="D2047" t="s">
        <v>33</v>
      </c>
      <c r="E2047" t="s">
        <v>40</v>
      </c>
      <c r="F2047">
        <v>96.58</v>
      </c>
      <c r="G2047" t="s">
        <v>14</v>
      </c>
      <c r="H2047" t="s">
        <v>15</v>
      </c>
      <c r="I2047">
        <v>2.2000000000000002</v>
      </c>
      <c r="J2047">
        <v>6</v>
      </c>
      <c r="K2047">
        <v>3</v>
      </c>
    </row>
    <row r="2048" spans="1:11" x14ac:dyDescent="0.35">
      <c r="A2048">
        <v>2047</v>
      </c>
      <c r="B2048">
        <v>33</v>
      </c>
      <c r="C2048" t="s">
        <v>16</v>
      </c>
      <c r="D2048" t="s">
        <v>20</v>
      </c>
      <c r="E2048" t="s">
        <v>21</v>
      </c>
      <c r="F2048">
        <v>80.86</v>
      </c>
      <c r="G2048" t="s">
        <v>24</v>
      </c>
      <c r="H2048" t="s">
        <v>15</v>
      </c>
      <c r="I2048">
        <v>4.5</v>
      </c>
      <c r="J2048">
        <v>8</v>
      </c>
      <c r="K2048">
        <v>4</v>
      </c>
    </row>
    <row r="2049" spans="1:11" x14ac:dyDescent="0.35">
      <c r="A2049">
        <v>2048</v>
      </c>
      <c r="B2049">
        <v>37</v>
      </c>
      <c r="C2049" t="s">
        <v>16</v>
      </c>
      <c r="D2049" t="s">
        <v>17</v>
      </c>
      <c r="E2049" t="s">
        <v>18</v>
      </c>
      <c r="F2049">
        <v>50.27</v>
      </c>
      <c r="G2049" t="s">
        <v>31</v>
      </c>
      <c r="H2049" t="s">
        <v>15</v>
      </c>
      <c r="I2049">
        <v>3</v>
      </c>
      <c r="J2049">
        <v>10</v>
      </c>
      <c r="K2049">
        <v>5</v>
      </c>
    </row>
    <row r="2050" spans="1:11" x14ac:dyDescent="0.35">
      <c r="A2050">
        <v>2049</v>
      </c>
      <c r="B2050">
        <v>24</v>
      </c>
      <c r="C2050" t="s">
        <v>11</v>
      </c>
      <c r="D2050" t="s">
        <v>29</v>
      </c>
      <c r="E2050" t="s">
        <v>51</v>
      </c>
      <c r="F2050">
        <v>34.42</v>
      </c>
      <c r="G2050" t="s">
        <v>14</v>
      </c>
      <c r="H2050" t="s">
        <v>37</v>
      </c>
      <c r="I2050">
        <v>4.5</v>
      </c>
      <c r="J2050">
        <v>17</v>
      </c>
      <c r="K2050">
        <v>6</v>
      </c>
    </row>
    <row r="2051" spans="1:11" x14ac:dyDescent="0.35">
      <c r="A2051">
        <v>2050</v>
      </c>
      <c r="B2051">
        <v>34</v>
      </c>
      <c r="C2051" t="s">
        <v>11</v>
      </c>
      <c r="D2051" t="s">
        <v>29</v>
      </c>
      <c r="E2051" t="s">
        <v>51</v>
      </c>
      <c r="F2051">
        <v>49.63</v>
      </c>
      <c r="G2051" t="s">
        <v>31</v>
      </c>
      <c r="H2051" t="s">
        <v>15</v>
      </c>
      <c r="I2051">
        <v>3.7</v>
      </c>
      <c r="J2051">
        <v>19</v>
      </c>
      <c r="K2051">
        <v>7</v>
      </c>
    </row>
    <row r="2052" spans="1:11" x14ac:dyDescent="0.35">
      <c r="A2052">
        <v>2051</v>
      </c>
      <c r="B2052">
        <v>25</v>
      </c>
      <c r="C2052" t="s">
        <v>11</v>
      </c>
      <c r="D2052" t="s">
        <v>22</v>
      </c>
      <c r="E2052" t="s">
        <v>23</v>
      </c>
      <c r="F2052">
        <v>219.43</v>
      </c>
      <c r="G2052" t="s">
        <v>19</v>
      </c>
      <c r="H2052" t="s">
        <v>15</v>
      </c>
      <c r="I2052">
        <v>2.9</v>
      </c>
      <c r="J2052">
        <v>20</v>
      </c>
      <c r="K2052">
        <v>5</v>
      </c>
    </row>
    <row r="2053" spans="1:11" x14ac:dyDescent="0.35">
      <c r="A2053">
        <v>2052</v>
      </c>
      <c r="B2053">
        <v>69</v>
      </c>
      <c r="C2053" t="s">
        <v>16</v>
      </c>
      <c r="D2053" t="s">
        <v>33</v>
      </c>
      <c r="E2053" t="s">
        <v>40</v>
      </c>
      <c r="F2053">
        <v>145.47999999999999</v>
      </c>
      <c r="G2053" t="s">
        <v>14</v>
      </c>
      <c r="H2053" t="s">
        <v>15</v>
      </c>
      <c r="I2053">
        <v>3.7</v>
      </c>
      <c r="J2053">
        <v>13</v>
      </c>
      <c r="K2053">
        <v>4</v>
      </c>
    </row>
    <row r="2054" spans="1:11" x14ac:dyDescent="0.35">
      <c r="A2054">
        <v>2053</v>
      </c>
      <c r="B2054">
        <v>64</v>
      </c>
      <c r="C2054" t="s">
        <v>11</v>
      </c>
      <c r="D2054" t="s">
        <v>33</v>
      </c>
      <c r="E2054" t="s">
        <v>38</v>
      </c>
      <c r="F2054">
        <v>194.52</v>
      </c>
      <c r="G2054" t="s">
        <v>31</v>
      </c>
      <c r="H2054" t="s">
        <v>15</v>
      </c>
      <c r="I2054">
        <v>4.0999999999999996</v>
      </c>
      <c r="J2054">
        <v>8</v>
      </c>
      <c r="K2054">
        <v>4</v>
      </c>
    </row>
    <row r="2055" spans="1:11" x14ac:dyDescent="0.35">
      <c r="A2055">
        <v>2054</v>
      </c>
      <c r="B2055">
        <v>65</v>
      </c>
      <c r="C2055" t="s">
        <v>16</v>
      </c>
      <c r="D2055" t="s">
        <v>33</v>
      </c>
      <c r="E2055" t="s">
        <v>40</v>
      </c>
      <c r="F2055">
        <v>230.37</v>
      </c>
      <c r="G2055" t="s">
        <v>19</v>
      </c>
      <c r="H2055" t="s">
        <v>15</v>
      </c>
      <c r="I2055">
        <v>2.6</v>
      </c>
      <c r="J2055">
        <v>9</v>
      </c>
      <c r="K2055">
        <v>2</v>
      </c>
    </row>
    <row r="2056" spans="1:11" x14ac:dyDescent="0.35">
      <c r="A2056">
        <v>2055</v>
      </c>
      <c r="B2056">
        <v>45</v>
      </c>
      <c r="C2056" t="s">
        <v>16</v>
      </c>
      <c r="D2056" t="s">
        <v>33</v>
      </c>
      <c r="E2056" t="s">
        <v>38</v>
      </c>
      <c r="F2056">
        <v>60.13</v>
      </c>
      <c r="G2056" t="s">
        <v>19</v>
      </c>
      <c r="H2056" t="s">
        <v>15</v>
      </c>
      <c r="I2056">
        <v>2.8</v>
      </c>
      <c r="J2056">
        <v>19</v>
      </c>
      <c r="K2056">
        <v>7</v>
      </c>
    </row>
    <row r="2057" spans="1:11" x14ac:dyDescent="0.35">
      <c r="A2057">
        <v>2056</v>
      </c>
      <c r="B2057">
        <v>64</v>
      </c>
      <c r="C2057" t="s">
        <v>16</v>
      </c>
      <c r="D2057" t="s">
        <v>20</v>
      </c>
      <c r="E2057" t="s">
        <v>39</v>
      </c>
      <c r="F2057">
        <v>34.24</v>
      </c>
      <c r="G2057" t="s">
        <v>24</v>
      </c>
      <c r="H2057" t="s">
        <v>15</v>
      </c>
      <c r="I2057">
        <v>4</v>
      </c>
      <c r="J2057">
        <v>16</v>
      </c>
      <c r="K2057">
        <v>8</v>
      </c>
    </row>
    <row r="2058" spans="1:11" x14ac:dyDescent="0.35">
      <c r="A2058">
        <v>2057</v>
      </c>
      <c r="B2058">
        <v>60</v>
      </c>
      <c r="C2058" t="s">
        <v>16</v>
      </c>
      <c r="D2058" t="s">
        <v>17</v>
      </c>
      <c r="E2058" t="s">
        <v>48</v>
      </c>
      <c r="F2058">
        <v>167.44</v>
      </c>
      <c r="G2058" t="s">
        <v>24</v>
      </c>
      <c r="H2058" t="s">
        <v>15</v>
      </c>
      <c r="I2058">
        <v>3.9</v>
      </c>
      <c r="J2058">
        <v>18</v>
      </c>
      <c r="K2058">
        <v>4</v>
      </c>
    </row>
    <row r="2059" spans="1:11" x14ac:dyDescent="0.35">
      <c r="A2059">
        <v>2058</v>
      </c>
      <c r="B2059">
        <v>24</v>
      </c>
      <c r="C2059" t="s">
        <v>11</v>
      </c>
      <c r="D2059" t="s">
        <v>29</v>
      </c>
      <c r="E2059" t="s">
        <v>51</v>
      </c>
      <c r="F2059">
        <v>115.74</v>
      </c>
      <c r="G2059" t="s">
        <v>19</v>
      </c>
      <c r="H2059" t="s">
        <v>15</v>
      </c>
      <c r="I2059">
        <v>3.2</v>
      </c>
      <c r="J2059">
        <v>14</v>
      </c>
      <c r="K2059">
        <v>2</v>
      </c>
    </row>
    <row r="2060" spans="1:11" x14ac:dyDescent="0.35">
      <c r="A2060">
        <v>2059</v>
      </c>
      <c r="B2060">
        <v>54</v>
      </c>
      <c r="C2060" t="s">
        <v>11</v>
      </c>
      <c r="D2060" t="s">
        <v>33</v>
      </c>
      <c r="E2060" t="s">
        <v>38</v>
      </c>
      <c r="F2060">
        <v>62.32</v>
      </c>
      <c r="G2060" t="s">
        <v>31</v>
      </c>
      <c r="H2060" t="s">
        <v>37</v>
      </c>
      <c r="I2060">
        <v>3.2</v>
      </c>
      <c r="J2060">
        <v>18</v>
      </c>
      <c r="K2060">
        <v>4</v>
      </c>
    </row>
    <row r="2061" spans="1:11" x14ac:dyDescent="0.35">
      <c r="A2061">
        <v>2060</v>
      </c>
      <c r="B2061">
        <v>22</v>
      </c>
      <c r="C2061" t="s">
        <v>11</v>
      </c>
      <c r="D2061" t="s">
        <v>25</v>
      </c>
      <c r="E2061" t="s">
        <v>54</v>
      </c>
      <c r="F2061">
        <v>63.29</v>
      </c>
      <c r="G2061" t="s">
        <v>19</v>
      </c>
      <c r="H2061" t="s">
        <v>15</v>
      </c>
      <c r="I2061">
        <v>4.3</v>
      </c>
      <c r="J2061">
        <v>13</v>
      </c>
      <c r="K2061">
        <v>4</v>
      </c>
    </row>
    <row r="2062" spans="1:11" x14ac:dyDescent="0.35">
      <c r="A2062">
        <v>2061</v>
      </c>
      <c r="B2062">
        <v>34</v>
      </c>
      <c r="C2062" t="s">
        <v>11</v>
      </c>
      <c r="D2062" t="s">
        <v>12</v>
      </c>
      <c r="E2062" t="s">
        <v>56</v>
      </c>
      <c r="F2062">
        <v>32.61</v>
      </c>
      <c r="G2062" t="s">
        <v>31</v>
      </c>
      <c r="H2062" t="s">
        <v>37</v>
      </c>
      <c r="I2062">
        <v>3.4</v>
      </c>
      <c r="J2062">
        <v>22</v>
      </c>
      <c r="K2062">
        <v>6</v>
      </c>
    </row>
    <row r="2063" spans="1:11" x14ac:dyDescent="0.35">
      <c r="A2063">
        <v>2062</v>
      </c>
      <c r="B2063">
        <v>51</v>
      </c>
      <c r="C2063" t="s">
        <v>11</v>
      </c>
      <c r="D2063" t="s">
        <v>22</v>
      </c>
      <c r="E2063" t="s">
        <v>43</v>
      </c>
      <c r="F2063">
        <v>108.64</v>
      </c>
      <c r="G2063" t="s">
        <v>19</v>
      </c>
      <c r="H2063" t="s">
        <v>15</v>
      </c>
      <c r="I2063">
        <v>2.8</v>
      </c>
      <c r="J2063">
        <v>12</v>
      </c>
      <c r="K2063">
        <v>6</v>
      </c>
    </row>
    <row r="2064" spans="1:11" x14ac:dyDescent="0.35">
      <c r="A2064">
        <v>2063</v>
      </c>
      <c r="B2064">
        <v>36</v>
      </c>
      <c r="C2064" t="s">
        <v>16</v>
      </c>
      <c r="D2064" t="s">
        <v>17</v>
      </c>
      <c r="E2064" t="s">
        <v>35</v>
      </c>
      <c r="F2064">
        <v>193.29</v>
      </c>
      <c r="G2064" t="s">
        <v>31</v>
      </c>
      <c r="H2064" t="s">
        <v>15</v>
      </c>
      <c r="I2064">
        <v>3.3</v>
      </c>
      <c r="J2064">
        <v>20</v>
      </c>
      <c r="K2064">
        <v>5</v>
      </c>
    </row>
    <row r="2065" spans="1:11" x14ac:dyDescent="0.35">
      <c r="A2065">
        <v>2064</v>
      </c>
      <c r="B2065">
        <v>45</v>
      </c>
      <c r="C2065" t="s">
        <v>16</v>
      </c>
      <c r="D2065" t="s">
        <v>17</v>
      </c>
      <c r="E2065" t="s">
        <v>48</v>
      </c>
      <c r="F2065">
        <v>58.73</v>
      </c>
      <c r="G2065" t="s">
        <v>31</v>
      </c>
      <c r="H2065" t="s">
        <v>37</v>
      </c>
      <c r="I2065">
        <v>3.9</v>
      </c>
      <c r="J2065">
        <v>14</v>
      </c>
      <c r="K2065">
        <v>7</v>
      </c>
    </row>
    <row r="2066" spans="1:11" x14ac:dyDescent="0.35">
      <c r="A2066">
        <v>2065</v>
      </c>
      <c r="B2066">
        <v>55</v>
      </c>
      <c r="C2066" t="s">
        <v>11</v>
      </c>
      <c r="D2066" t="s">
        <v>33</v>
      </c>
      <c r="E2066" t="s">
        <v>34</v>
      </c>
      <c r="F2066">
        <v>178.52</v>
      </c>
      <c r="G2066" t="s">
        <v>14</v>
      </c>
      <c r="H2066" t="s">
        <v>15</v>
      </c>
      <c r="I2066">
        <v>3.8</v>
      </c>
      <c r="J2066">
        <v>11</v>
      </c>
      <c r="K2066">
        <v>3</v>
      </c>
    </row>
    <row r="2067" spans="1:11" x14ac:dyDescent="0.35">
      <c r="A2067">
        <v>2066</v>
      </c>
      <c r="B2067">
        <v>29</v>
      </c>
      <c r="C2067" t="s">
        <v>16</v>
      </c>
      <c r="D2067" t="s">
        <v>27</v>
      </c>
      <c r="E2067" t="s">
        <v>32</v>
      </c>
      <c r="F2067">
        <v>636.49</v>
      </c>
      <c r="G2067" t="s">
        <v>31</v>
      </c>
      <c r="H2067" t="s">
        <v>15</v>
      </c>
      <c r="I2067">
        <v>3.7</v>
      </c>
      <c r="J2067">
        <v>12</v>
      </c>
      <c r="K2067">
        <v>6</v>
      </c>
    </row>
    <row r="2068" spans="1:11" x14ac:dyDescent="0.35">
      <c r="A2068">
        <v>2067</v>
      </c>
      <c r="B2068">
        <v>46</v>
      </c>
      <c r="C2068" t="s">
        <v>11</v>
      </c>
      <c r="D2068" t="s">
        <v>29</v>
      </c>
      <c r="E2068" t="s">
        <v>55</v>
      </c>
      <c r="F2068">
        <v>86.93</v>
      </c>
      <c r="G2068" t="s">
        <v>19</v>
      </c>
      <c r="H2068" t="s">
        <v>37</v>
      </c>
      <c r="I2068">
        <v>2.6</v>
      </c>
      <c r="J2068">
        <v>13</v>
      </c>
      <c r="K2068">
        <v>4</v>
      </c>
    </row>
    <row r="2069" spans="1:11" x14ac:dyDescent="0.35">
      <c r="A2069">
        <v>2068</v>
      </c>
      <c r="B2069">
        <v>63</v>
      </c>
      <c r="C2069" t="s">
        <v>16</v>
      </c>
      <c r="D2069" t="s">
        <v>17</v>
      </c>
      <c r="E2069" t="s">
        <v>42</v>
      </c>
      <c r="F2069">
        <v>101.13</v>
      </c>
      <c r="G2069" t="s">
        <v>24</v>
      </c>
      <c r="H2069" t="s">
        <v>15</v>
      </c>
      <c r="I2069">
        <v>3.7</v>
      </c>
      <c r="J2069">
        <v>24</v>
      </c>
      <c r="K2069">
        <v>7</v>
      </c>
    </row>
    <row r="2070" spans="1:11" x14ac:dyDescent="0.35">
      <c r="A2070">
        <v>2069</v>
      </c>
      <c r="B2070">
        <v>42</v>
      </c>
      <c r="C2070" t="s">
        <v>16</v>
      </c>
      <c r="D2070" t="s">
        <v>22</v>
      </c>
      <c r="E2070" t="s">
        <v>52</v>
      </c>
      <c r="F2070">
        <v>143.76</v>
      </c>
      <c r="G2070" t="s">
        <v>31</v>
      </c>
      <c r="H2070" t="s">
        <v>15</v>
      </c>
      <c r="I2070">
        <v>3.8</v>
      </c>
      <c r="J2070">
        <v>14</v>
      </c>
      <c r="K2070">
        <v>7</v>
      </c>
    </row>
    <row r="2071" spans="1:11" x14ac:dyDescent="0.35">
      <c r="A2071">
        <v>2070</v>
      </c>
      <c r="B2071">
        <v>42</v>
      </c>
      <c r="C2071" t="s">
        <v>16</v>
      </c>
      <c r="D2071" t="s">
        <v>22</v>
      </c>
      <c r="E2071" t="s">
        <v>52</v>
      </c>
      <c r="F2071">
        <v>204.7</v>
      </c>
      <c r="G2071" t="s">
        <v>19</v>
      </c>
      <c r="H2071" t="s">
        <v>15</v>
      </c>
      <c r="I2071">
        <v>4.2</v>
      </c>
      <c r="J2071">
        <v>20</v>
      </c>
      <c r="K2071">
        <v>5</v>
      </c>
    </row>
    <row r="2072" spans="1:11" x14ac:dyDescent="0.35">
      <c r="A2072">
        <v>2071</v>
      </c>
      <c r="B2072">
        <v>54</v>
      </c>
      <c r="C2072" t="s">
        <v>11</v>
      </c>
      <c r="D2072" t="s">
        <v>29</v>
      </c>
      <c r="E2072" t="s">
        <v>55</v>
      </c>
      <c r="F2072">
        <v>78.61</v>
      </c>
      <c r="G2072" t="s">
        <v>19</v>
      </c>
      <c r="H2072" t="s">
        <v>15</v>
      </c>
      <c r="I2072">
        <v>4.5999999999999996</v>
      </c>
      <c r="J2072">
        <v>13</v>
      </c>
      <c r="K2072">
        <v>4</v>
      </c>
    </row>
    <row r="2073" spans="1:11" x14ac:dyDescent="0.35">
      <c r="A2073">
        <v>2072</v>
      </c>
      <c r="B2073">
        <v>43</v>
      </c>
      <c r="C2073" t="s">
        <v>16</v>
      </c>
      <c r="D2073" t="s">
        <v>27</v>
      </c>
      <c r="E2073" t="s">
        <v>28</v>
      </c>
      <c r="F2073">
        <v>2249.9499999999998</v>
      </c>
      <c r="G2073" t="s">
        <v>19</v>
      </c>
      <c r="H2073" t="s">
        <v>15</v>
      </c>
      <c r="I2073">
        <v>3.8</v>
      </c>
      <c r="J2073">
        <v>14</v>
      </c>
      <c r="K2073">
        <v>2</v>
      </c>
    </row>
    <row r="2074" spans="1:11" x14ac:dyDescent="0.35">
      <c r="A2074">
        <v>2073</v>
      </c>
      <c r="B2074">
        <v>47</v>
      </c>
      <c r="C2074" t="s">
        <v>16</v>
      </c>
      <c r="D2074" t="s">
        <v>22</v>
      </c>
      <c r="E2074" t="s">
        <v>43</v>
      </c>
      <c r="F2074">
        <v>129.09</v>
      </c>
      <c r="G2074" t="s">
        <v>31</v>
      </c>
      <c r="H2074" t="s">
        <v>15</v>
      </c>
      <c r="I2074">
        <v>4</v>
      </c>
      <c r="J2074">
        <v>19</v>
      </c>
      <c r="K2074">
        <v>7</v>
      </c>
    </row>
    <row r="2075" spans="1:11" x14ac:dyDescent="0.35">
      <c r="A2075">
        <v>2074</v>
      </c>
      <c r="B2075">
        <v>36</v>
      </c>
      <c r="C2075" t="s">
        <v>16</v>
      </c>
      <c r="D2075" t="s">
        <v>27</v>
      </c>
      <c r="E2075" t="s">
        <v>53</v>
      </c>
      <c r="F2075">
        <v>2297.54</v>
      </c>
      <c r="G2075" t="s">
        <v>14</v>
      </c>
      <c r="H2075" t="s">
        <v>15</v>
      </c>
      <c r="I2075">
        <v>3.2</v>
      </c>
      <c r="J2075">
        <v>4</v>
      </c>
      <c r="K2075">
        <v>2</v>
      </c>
    </row>
    <row r="2076" spans="1:11" x14ac:dyDescent="0.35">
      <c r="A2076">
        <v>2075</v>
      </c>
      <c r="B2076">
        <v>23</v>
      </c>
      <c r="C2076" t="s">
        <v>11</v>
      </c>
      <c r="D2076" t="s">
        <v>22</v>
      </c>
      <c r="E2076" t="s">
        <v>23</v>
      </c>
      <c r="F2076">
        <v>219.81</v>
      </c>
      <c r="G2076" t="s">
        <v>19</v>
      </c>
      <c r="H2076" t="s">
        <v>15</v>
      </c>
      <c r="I2076">
        <v>3.7</v>
      </c>
      <c r="J2076">
        <v>11</v>
      </c>
      <c r="K2076">
        <v>3</v>
      </c>
    </row>
    <row r="2077" spans="1:11" x14ac:dyDescent="0.35">
      <c r="A2077">
        <v>2076</v>
      </c>
      <c r="B2077">
        <v>40</v>
      </c>
      <c r="C2077" t="s">
        <v>11</v>
      </c>
      <c r="D2077" t="s">
        <v>20</v>
      </c>
      <c r="E2077" t="s">
        <v>39</v>
      </c>
      <c r="F2077">
        <v>211.71</v>
      </c>
      <c r="G2077" t="s">
        <v>19</v>
      </c>
      <c r="H2077" t="s">
        <v>15</v>
      </c>
      <c r="I2077">
        <v>2.5</v>
      </c>
      <c r="J2077">
        <v>17</v>
      </c>
      <c r="K2077">
        <v>6</v>
      </c>
    </row>
    <row r="2078" spans="1:11" x14ac:dyDescent="0.35">
      <c r="A2078">
        <v>2077</v>
      </c>
      <c r="B2078">
        <v>62</v>
      </c>
      <c r="C2078" t="s">
        <v>11</v>
      </c>
      <c r="D2078" t="s">
        <v>25</v>
      </c>
      <c r="E2078" t="s">
        <v>26</v>
      </c>
      <c r="F2078">
        <v>65.47</v>
      </c>
      <c r="G2078" t="s">
        <v>24</v>
      </c>
      <c r="H2078" t="s">
        <v>15</v>
      </c>
      <c r="I2078">
        <v>4.8</v>
      </c>
      <c r="J2078">
        <v>14</v>
      </c>
      <c r="K2078">
        <v>2</v>
      </c>
    </row>
    <row r="2079" spans="1:11" x14ac:dyDescent="0.35">
      <c r="A2079">
        <v>2078</v>
      </c>
      <c r="B2079">
        <v>21</v>
      </c>
      <c r="C2079" t="s">
        <v>16</v>
      </c>
      <c r="D2079" t="s">
        <v>27</v>
      </c>
      <c r="E2079" t="s">
        <v>28</v>
      </c>
      <c r="F2079">
        <v>854.78</v>
      </c>
      <c r="G2079" t="s">
        <v>24</v>
      </c>
      <c r="H2079" t="s">
        <v>15</v>
      </c>
      <c r="I2079">
        <v>2.2999999999999998</v>
      </c>
      <c r="J2079">
        <v>13</v>
      </c>
      <c r="K2079">
        <v>4</v>
      </c>
    </row>
    <row r="2080" spans="1:11" x14ac:dyDescent="0.35">
      <c r="A2080">
        <v>2079</v>
      </c>
      <c r="B2080">
        <v>60</v>
      </c>
      <c r="C2080" t="s">
        <v>11</v>
      </c>
      <c r="D2080" t="s">
        <v>12</v>
      </c>
      <c r="E2080" t="s">
        <v>13</v>
      </c>
      <c r="F2080">
        <v>177.57</v>
      </c>
      <c r="G2080" t="s">
        <v>19</v>
      </c>
      <c r="H2080" t="s">
        <v>15</v>
      </c>
      <c r="I2080">
        <v>5</v>
      </c>
      <c r="J2080">
        <v>32</v>
      </c>
      <c r="K2080">
        <v>11</v>
      </c>
    </row>
    <row r="2081" spans="1:11" x14ac:dyDescent="0.35">
      <c r="A2081">
        <v>2080</v>
      </c>
      <c r="B2081">
        <v>45</v>
      </c>
      <c r="C2081" t="s">
        <v>11</v>
      </c>
      <c r="D2081" t="s">
        <v>12</v>
      </c>
      <c r="E2081" t="s">
        <v>56</v>
      </c>
      <c r="F2081">
        <v>145.21</v>
      </c>
      <c r="G2081" t="s">
        <v>14</v>
      </c>
      <c r="H2081" t="s">
        <v>15</v>
      </c>
      <c r="I2081">
        <v>3.1</v>
      </c>
      <c r="J2081">
        <v>17</v>
      </c>
      <c r="K2081">
        <v>6</v>
      </c>
    </row>
    <row r="2082" spans="1:11" x14ac:dyDescent="0.35">
      <c r="A2082">
        <v>2081</v>
      </c>
      <c r="B2082">
        <v>30</v>
      </c>
      <c r="C2082" t="s">
        <v>16</v>
      </c>
      <c r="D2082" t="s">
        <v>33</v>
      </c>
      <c r="E2082" t="s">
        <v>34</v>
      </c>
      <c r="F2082">
        <v>162.9</v>
      </c>
      <c r="G2082" t="s">
        <v>19</v>
      </c>
      <c r="H2082" t="s">
        <v>15</v>
      </c>
      <c r="I2082">
        <v>3.7</v>
      </c>
      <c r="J2082">
        <v>10</v>
      </c>
      <c r="K2082">
        <v>5</v>
      </c>
    </row>
    <row r="2083" spans="1:11" x14ac:dyDescent="0.35">
      <c r="A2083">
        <v>2082</v>
      </c>
      <c r="B2083">
        <v>31</v>
      </c>
      <c r="C2083" t="s">
        <v>16</v>
      </c>
      <c r="D2083" t="s">
        <v>33</v>
      </c>
      <c r="E2083" t="s">
        <v>38</v>
      </c>
      <c r="F2083">
        <v>89.34</v>
      </c>
      <c r="G2083" t="s">
        <v>19</v>
      </c>
      <c r="H2083" t="s">
        <v>37</v>
      </c>
      <c r="I2083">
        <v>3</v>
      </c>
      <c r="J2083">
        <v>6</v>
      </c>
      <c r="K2083">
        <v>3</v>
      </c>
    </row>
    <row r="2084" spans="1:11" x14ac:dyDescent="0.35">
      <c r="A2084">
        <v>2083</v>
      </c>
      <c r="B2084">
        <v>37</v>
      </c>
      <c r="C2084" t="s">
        <v>11</v>
      </c>
      <c r="D2084" t="s">
        <v>29</v>
      </c>
      <c r="E2084" t="s">
        <v>55</v>
      </c>
      <c r="F2084">
        <v>138.25</v>
      </c>
      <c r="G2084" t="s">
        <v>24</v>
      </c>
      <c r="H2084" t="s">
        <v>15</v>
      </c>
      <c r="I2084">
        <v>4.5999999999999996</v>
      </c>
      <c r="J2084">
        <v>6</v>
      </c>
      <c r="K2084">
        <v>3</v>
      </c>
    </row>
    <row r="2085" spans="1:11" x14ac:dyDescent="0.35">
      <c r="A2085">
        <v>2084</v>
      </c>
      <c r="B2085">
        <v>62</v>
      </c>
      <c r="C2085" t="s">
        <v>16</v>
      </c>
      <c r="D2085" t="s">
        <v>20</v>
      </c>
      <c r="E2085" t="s">
        <v>36</v>
      </c>
      <c r="F2085">
        <v>99.57</v>
      </c>
      <c r="G2085" t="s">
        <v>19</v>
      </c>
      <c r="H2085" t="s">
        <v>15</v>
      </c>
      <c r="I2085">
        <v>4.8</v>
      </c>
      <c r="J2085">
        <v>27</v>
      </c>
      <c r="K2085">
        <v>11</v>
      </c>
    </row>
    <row r="2086" spans="1:11" x14ac:dyDescent="0.35">
      <c r="A2086">
        <v>2085</v>
      </c>
      <c r="B2086">
        <v>56</v>
      </c>
      <c r="C2086" t="s">
        <v>11</v>
      </c>
      <c r="D2086" t="s">
        <v>12</v>
      </c>
      <c r="E2086" t="s">
        <v>50</v>
      </c>
      <c r="F2086">
        <v>63.46</v>
      </c>
      <c r="G2086" t="s">
        <v>31</v>
      </c>
      <c r="H2086" t="s">
        <v>37</v>
      </c>
      <c r="I2086">
        <v>3.5</v>
      </c>
      <c r="J2086">
        <v>13</v>
      </c>
      <c r="K2086">
        <v>4</v>
      </c>
    </row>
    <row r="2087" spans="1:11" x14ac:dyDescent="0.35">
      <c r="A2087">
        <v>2086</v>
      </c>
      <c r="B2087">
        <v>21</v>
      </c>
      <c r="C2087" t="s">
        <v>16</v>
      </c>
      <c r="D2087" t="s">
        <v>20</v>
      </c>
      <c r="E2087" t="s">
        <v>21</v>
      </c>
      <c r="F2087">
        <v>245.31</v>
      </c>
      <c r="G2087" t="s">
        <v>14</v>
      </c>
      <c r="H2087" t="s">
        <v>15</v>
      </c>
      <c r="I2087">
        <v>4.7</v>
      </c>
      <c r="J2087">
        <v>15</v>
      </c>
      <c r="K2087">
        <v>5</v>
      </c>
    </row>
    <row r="2088" spans="1:11" x14ac:dyDescent="0.35">
      <c r="A2088">
        <v>2087</v>
      </c>
      <c r="B2088">
        <v>39</v>
      </c>
      <c r="C2088" t="s">
        <v>11</v>
      </c>
      <c r="D2088" t="s">
        <v>22</v>
      </c>
      <c r="E2088" t="s">
        <v>52</v>
      </c>
      <c r="F2088">
        <v>214</v>
      </c>
      <c r="G2088" t="s">
        <v>19</v>
      </c>
      <c r="H2088" t="s">
        <v>15</v>
      </c>
      <c r="I2088">
        <v>4</v>
      </c>
      <c r="J2088">
        <v>24</v>
      </c>
      <c r="K2088">
        <v>7</v>
      </c>
    </row>
    <row r="2089" spans="1:11" x14ac:dyDescent="0.35">
      <c r="A2089">
        <v>2088</v>
      </c>
      <c r="B2089">
        <v>39</v>
      </c>
      <c r="C2089" t="s">
        <v>11</v>
      </c>
      <c r="D2089" t="s">
        <v>25</v>
      </c>
      <c r="E2089" t="s">
        <v>47</v>
      </c>
      <c r="F2089">
        <v>16.440000000000001</v>
      </c>
      <c r="G2089" t="s">
        <v>14</v>
      </c>
      <c r="H2089" t="s">
        <v>15</v>
      </c>
      <c r="I2089">
        <v>4.7</v>
      </c>
      <c r="J2089">
        <v>14</v>
      </c>
      <c r="K2089">
        <v>7</v>
      </c>
    </row>
    <row r="2090" spans="1:11" x14ac:dyDescent="0.35">
      <c r="A2090">
        <v>2089</v>
      </c>
      <c r="B2090">
        <v>37</v>
      </c>
      <c r="C2090" t="s">
        <v>11</v>
      </c>
      <c r="D2090" t="s">
        <v>41</v>
      </c>
      <c r="E2090" t="s">
        <v>45</v>
      </c>
      <c r="F2090">
        <v>141.18</v>
      </c>
      <c r="G2090" t="s">
        <v>19</v>
      </c>
      <c r="H2090" t="s">
        <v>15</v>
      </c>
      <c r="I2090">
        <v>3.9</v>
      </c>
      <c r="J2090">
        <v>20</v>
      </c>
      <c r="K2090">
        <v>5</v>
      </c>
    </row>
    <row r="2091" spans="1:11" x14ac:dyDescent="0.35">
      <c r="A2091">
        <v>2090</v>
      </c>
      <c r="B2091">
        <v>45</v>
      </c>
      <c r="C2091" t="s">
        <v>16</v>
      </c>
      <c r="D2091" t="s">
        <v>33</v>
      </c>
      <c r="E2091" t="s">
        <v>40</v>
      </c>
      <c r="F2091">
        <v>178.77</v>
      </c>
      <c r="G2091" t="s">
        <v>31</v>
      </c>
      <c r="H2091" t="s">
        <v>15</v>
      </c>
      <c r="I2091">
        <v>4.2</v>
      </c>
      <c r="J2091">
        <v>12</v>
      </c>
      <c r="K2091">
        <v>1</v>
      </c>
    </row>
    <row r="2092" spans="1:11" x14ac:dyDescent="0.35">
      <c r="A2092">
        <v>2091</v>
      </c>
      <c r="B2092">
        <v>30</v>
      </c>
      <c r="C2092" t="s">
        <v>16</v>
      </c>
      <c r="D2092" t="s">
        <v>33</v>
      </c>
      <c r="E2092" t="s">
        <v>38</v>
      </c>
      <c r="F2092">
        <v>109.01</v>
      </c>
      <c r="G2092" t="s">
        <v>31</v>
      </c>
      <c r="H2092" t="s">
        <v>15</v>
      </c>
      <c r="I2092">
        <v>2.5</v>
      </c>
      <c r="J2092">
        <v>20</v>
      </c>
      <c r="K2092">
        <v>5</v>
      </c>
    </row>
    <row r="2093" spans="1:11" x14ac:dyDescent="0.35">
      <c r="A2093">
        <v>2092</v>
      </c>
      <c r="B2093">
        <v>28</v>
      </c>
      <c r="C2093" t="s">
        <v>11</v>
      </c>
      <c r="D2093" t="s">
        <v>12</v>
      </c>
      <c r="E2093" t="s">
        <v>56</v>
      </c>
      <c r="F2093">
        <v>167.86</v>
      </c>
      <c r="G2093" t="s">
        <v>19</v>
      </c>
      <c r="H2093" t="s">
        <v>15</v>
      </c>
      <c r="I2093">
        <v>4.0999999999999996</v>
      </c>
      <c r="J2093">
        <v>12</v>
      </c>
      <c r="K2093">
        <v>6</v>
      </c>
    </row>
    <row r="2094" spans="1:11" x14ac:dyDescent="0.35">
      <c r="A2094">
        <v>2093</v>
      </c>
      <c r="B2094">
        <v>49</v>
      </c>
      <c r="C2094" t="s">
        <v>11</v>
      </c>
      <c r="D2094" t="s">
        <v>29</v>
      </c>
      <c r="E2094" t="s">
        <v>55</v>
      </c>
      <c r="F2094">
        <v>115.21</v>
      </c>
      <c r="G2094" t="s">
        <v>14</v>
      </c>
      <c r="H2094" t="s">
        <v>15</v>
      </c>
      <c r="I2094">
        <v>3.4</v>
      </c>
      <c r="J2094">
        <v>9</v>
      </c>
      <c r="K2094">
        <v>2</v>
      </c>
    </row>
    <row r="2095" spans="1:11" x14ac:dyDescent="0.35">
      <c r="A2095">
        <v>2094</v>
      </c>
      <c r="B2095">
        <v>61</v>
      </c>
      <c r="C2095" t="s">
        <v>11</v>
      </c>
      <c r="D2095" t="s">
        <v>33</v>
      </c>
      <c r="E2095" t="s">
        <v>38</v>
      </c>
      <c r="F2095">
        <v>54</v>
      </c>
      <c r="G2095" t="s">
        <v>31</v>
      </c>
      <c r="H2095" t="s">
        <v>15</v>
      </c>
      <c r="I2095">
        <v>2</v>
      </c>
      <c r="J2095">
        <v>13</v>
      </c>
      <c r="K2095">
        <v>4</v>
      </c>
    </row>
    <row r="2096" spans="1:11" x14ac:dyDescent="0.35">
      <c r="A2096">
        <v>2095</v>
      </c>
      <c r="B2096">
        <v>46</v>
      </c>
      <c r="C2096" t="s">
        <v>16</v>
      </c>
      <c r="D2096" t="s">
        <v>27</v>
      </c>
      <c r="E2096" t="s">
        <v>49</v>
      </c>
      <c r="F2096">
        <v>2492.66</v>
      </c>
      <c r="G2096" t="s">
        <v>31</v>
      </c>
      <c r="H2096" t="s">
        <v>15</v>
      </c>
      <c r="I2096">
        <v>3.3</v>
      </c>
      <c r="J2096">
        <v>12</v>
      </c>
      <c r="K2096">
        <v>6</v>
      </c>
    </row>
    <row r="2097" spans="1:11" x14ac:dyDescent="0.35">
      <c r="A2097">
        <v>2096</v>
      </c>
      <c r="B2097">
        <v>64</v>
      </c>
      <c r="C2097" t="s">
        <v>11</v>
      </c>
      <c r="D2097" t="s">
        <v>29</v>
      </c>
      <c r="E2097" t="s">
        <v>55</v>
      </c>
      <c r="F2097">
        <v>124.33</v>
      </c>
      <c r="G2097" t="s">
        <v>19</v>
      </c>
      <c r="H2097" t="s">
        <v>15</v>
      </c>
      <c r="I2097">
        <v>4</v>
      </c>
      <c r="J2097">
        <v>18</v>
      </c>
      <c r="K2097">
        <v>4</v>
      </c>
    </row>
    <row r="2098" spans="1:11" x14ac:dyDescent="0.35">
      <c r="A2098">
        <v>2097</v>
      </c>
      <c r="B2098">
        <v>69</v>
      </c>
      <c r="C2098" t="s">
        <v>11</v>
      </c>
      <c r="D2098" t="s">
        <v>20</v>
      </c>
      <c r="E2098" t="s">
        <v>39</v>
      </c>
      <c r="F2098">
        <v>238.61</v>
      </c>
      <c r="G2098" t="s">
        <v>31</v>
      </c>
      <c r="H2098" t="s">
        <v>15</v>
      </c>
      <c r="I2098">
        <v>5</v>
      </c>
      <c r="J2098">
        <v>18</v>
      </c>
      <c r="K2098">
        <v>4</v>
      </c>
    </row>
    <row r="2099" spans="1:11" x14ac:dyDescent="0.35">
      <c r="A2099">
        <v>2098</v>
      </c>
      <c r="B2099">
        <v>64</v>
      </c>
      <c r="C2099" t="s">
        <v>16</v>
      </c>
      <c r="D2099" t="s">
        <v>33</v>
      </c>
      <c r="E2099" t="s">
        <v>38</v>
      </c>
      <c r="F2099">
        <v>93.33</v>
      </c>
      <c r="G2099" t="s">
        <v>14</v>
      </c>
      <c r="H2099" t="s">
        <v>37</v>
      </c>
      <c r="I2099">
        <v>3.7</v>
      </c>
      <c r="J2099">
        <v>14</v>
      </c>
      <c r="K2099">
        <v>2</v>
      </c>
    </row>
    <row r="2100" spans="1:11" x14ac:dyDescent="0.35">
      <c r="A2100">
        <v>2099</v>
      </c>
      <c r="B2100">
        <v>54</v>
      </c>
      <c r="C2100" t="s">
        <v>16</v>
      </c>
      <c r="D2100" t="s">
        <v>25</v>
      </c>
      <c r="E2100" t="s">
        <v>47</v>
      </c>
      <c r="F2100">
        <v>63.11</v>
      </c>
      <c r="G2100" t="s">
        <v>14</v>
      </c>
      <c r="H2100" t="s">
        <v>37</v>
      </c>
      <c r="I2100">
        <v>5</v>
      </c>
      <c r="J2100">
        <v>24</v>
      </c>
      <c r="K2100">
        <v>7</v>
      </c>
    </row>
    <row r="2101" spans="1:11" x14ac:dyDescent="0.35">
      <c r="A2101">
        <v>2100</v>
      </c>
      <c r="B2101">
        <v>35</v>
      </c>
      <c r="C2101" t="s">
        <v>16</v>
      </c>
      <c r="D2101" t="s">
        <v>17</v>
      </c>
      <c r="E2101" t="s">
        <v>18</v>
      </c>
      <c r="F2101">
        <v>187.27</v>
      </c>
      <c r="G2101" t="s">
        <v>31</v>
      </c>
      <c r="H2101" t="s">
        <v>15</v>
      </c>
      <c r="I2101">
        <v>4.4000000000000004</v>
      </c>
      <c r="J2101">
        <v>20</v>
      </c>
      <c r="K2101">
        <v>5</v>
      </c>
    </row>
    <row r="2102" spans="1:11" x14ac:dyDescent="0.35">
      <c r="A2102">
        <v>2101</v>
      </c>
      <c r="B2102">
        <v>62</v>
      </c>
      <c r="C2102" t="s">
        <v>11</v>
      </c>
      <c r="D2102" t="s">
        <v>33</v>
      </c>
      <c r="E2102" t="s">
        <v>38</v>
      </c>
      <c r="F2102">
        <v>106.67</v>
      </c>
      <c r="G2102" t="s">
        <v>19</v>
      </c>
      <c r="H2102" t="s">
        <v>15</v>
      </c>
      <c r="I2102">
        <v>3.3</v>
      </c>
      <c r="J2102">
        <v>16</v>
      </c>
      <c r="K2102">
        <v>8</v>
      </c>
    </row>
    <row r="2103" spans="1:11" x14ac:dyDescent="0.35">
      <c r="A2103">
        <v>2102</v>
      </c>
      <c r="B2103">
        <v>63</v>
      </c>
      <c r="C2103" t="s">
        <v>16</v>
      </c>
      <c r="D2103" t="s">
        <v>17</v>
      </c>
      <c r="E2103" t="s">
        <v>35</v>
      </c>
      <c r="F2103">
        <v>52.94</v>
      </c>
      <c r="G2103" t="s">
        <v>19</v>
      </c>
      <c r="H2103" t="s">
        <v>15</v>
      </c>
      <c r="I2103">
        <v>4.3</v>
      </c>
      <c r="J2103">
        <v>15</v>
      </c>
      <c r="K2103">
        <v>5</v>
      </c>
    </row>
    <row r="2104" spans="1:11" x14ac:dyDescent="0.35">
      <c r="A2104">
        <v>2103</v>
      </c>
      <c r="B2104">
        <v>56</v>
      </c>
      <c r="C2104" t="s">
        <v>16</v>
      </c>
      <c r="D2104" t="s">
        <v>17</v>
      </c>
      <c r="E2104" t="s">
        <v>35</v>
      </c>
      <c r="F2104">
        <v>124.47</v>
      </c>
      <c r="G2104" t="s">
        <v>14</v>
      </c>
      <c r="H2104" t="s">
        <v>15</v>
      </c>
      <c r="I2104">
        <v>3.6</v>
      </c>
      <c r="J2104">
        <v>12</v>
      </c>
      <c r="K2104">
        <v>6</v>
      </c>
    </row>
    <row r="2105" spans="1:11" x14ac:dyDescent="0.35">
      <c r="A2105">
        <v>2104</v>
      </c>
      <c r="B2105">
        <v>36</v>
      </c>
      <c r="C2105" t="s">
        <v>11</v>
      </c>
      <c r="D2105" t="s">
        <v>41</v>
      </c>
      <c r="E2105" t="s">
        <v>46</v>
      </c>
      <c r="F2105">
        <v>165.8</v>
      </c>
      <c r="G2105" t="s">
        <v>19</v>
      </c>
      <c r="H2105" t="s">
        <v>15</v>
      </c>
      <c r="I2105">
        <v>3.5</v>
      </c>
      <c r="J2105">
        <v>22</v>
      </c>
      <c r="K2105">
        <v>6</v>
      </c>
    </row>
    <row r="2106" spans="1:11" x14ac:dyDescent="0.35">
      <c r="A2106">
        <v>2105</v>
      </c>
      <c r="B2106">
        <v>30</v>
      </c>
      <c r="C2106" t="s">
        <v>11</v>
      </c>
      <c r="D2106" t="s">
        <v>12</v>
      </c>
      <c r="E2106" t="s">
        <v>13</v>
      </c>
      <c r="F2106">
        <v>103.79</v>
      </c>
      <c r="G2106" t="s">
        <v>14</v>
      </c>
      <c r="H2106" t="s">
        <v>15</v>
      </c>
      <c r="I2106">
        <v>3.3</v>
      </c>
      <c r="J2106">
        <v>14</v>
      </c>
      <c r="K2106">
        <v>7</v>
      </c>
    </row>
    <row r="2107" spans="1:11" x14ac:dyDescent="0.35">
      <c r="A2107">
        <v>2106</v>
      </c>
      <c r="B2107">
        <v>20</v>
      </c>
      <c r="C2107" t="s">
        <v>16</v>
      </c>
      <c r="D2107" t="s">
        <v>27</v>
      </c>
      <c r="E2107" t="s">
        <v>49</v>
      </c>
      <c r="F2107">
        <v>647.02</v>
      </c>
      <c r="G2107" t="s">
        <v>19</v>
      </c>
      <c r="H2107" t="s">
        <v>15</v>
      </c>
      <c r="I2107">
        <v>3.5</v>
      </c>
      <c r="J2107">
        <v>10</v>
      </c>
      <c r="K2107">
        <v>5</v>
      </c>
    </row>
    <row r="2108" spans="1:11" x14ac:dyDescent="0.35">
      <c r="A2108">
        <v>2107</v>
      </c>
      <c r="B2108">
        <v>57</v>
      </c>
      <c r="C2108" t="s">
        <v>16</v>
      </c>
      <c r="D2108" t="s">
        <v>20</v>
      </c>
      <c r="E2108" t="s">
        <v>39</v>
      </c>
      <c r="F2108">
        <v>70.3</v>
      </c>
      <c r="G2108" t="s">
        <v>19</v>
      </c>
      <c r="H2108" t="s">
        <v>37</v>
      </c>
      <c r="I2108">
        <v>3.9</v>
      </c>
      <c r="J2108">
        <v>17</v>
      </c>
      <c r="K2108">
        <v>6</v>
      </c>
    </row>
    <row r="2109" spans="1:11" x14ac:dyDescent="0.35">
      <c r="A2109">
        <v>2108</v>
      </c>
      <c r="B2109">
        <v>38</v>
      </c>
      <c r="C2109" t="s">
        <v>16</v>
      </c>
      <c r="D2109" t="s">
        <v>27</v>
      </c>
      <c r="E2109" t="s">
        <v>49</v>
      </c>
      <c r="F2109">
        <v>1795.05</v>
      </c>
      <c r="G2109" t="s">
        <v>24</v>
      </c>
      <c r="H2109" t="s">
        <v>15</v>
      </c>
      <c r="I2109">
        <v>3.6</v>
      </c>
      <c r="J2109">
        <v>18</v>
      </c>
      <c r="K2109">
        <v>4</v>
      </c>
    </row>
    <row r="2110" spans="1:11" x14ac:dyDescent="0.35">
      <c r="A2110">
        <v>2109</v>
      </c>
      <c r="B2110">
        <v>64</v>
      </c>
      <c r="C2110" t="s">
        <v>11</v>
      </c>
      <c r="D2110" t="s">
        <v>33</v>
      </c>
      <c r="E2110" t="s">
        <v>34</v>
      </c>
      <c r="F2110">
        <v>247.74</v>
      </c>
      <c r="G2110" t="s">
        <v>19</v>
      </c>
      <c r="H2110" t="s">
        <v>15</v>
      </c>
      <c r="I2110">
        <v>3.6</v>
      </c>
      <c r="J2110">
        <v>19</v>
      </c>
      <c r="K2110">
        <v>7</v>
      </c>
    </row>
    <row r="2111" spans="1:11" x14ac:dyDescent="0.35">
      <c r="A2111">
        <v>2110</v>
      </c>
      <c r="B2111">
        <v>54</v>
      </c>
      <c r="C2111" t="s">
        <v>11</v>
      </c>
      <c r="D2111" t="s">
        <v>12</v>
      </c>
      <c r="E2111" t="s">
        <v>56</v>
      </c>
      <c r="F2111">
        <v>161.25</v>
      </c>
      <c r="G2111" t="s">
        <v>31</v>
      </c>
      <c r="H2111" t="s">
        <v>15</v>
      </c>
      <c r="I2111">
        <v>3.8</v>
      </c>
      <c r="J2111">
        <v>15</v>
      </c>
      <c r="K2111">
        <v>5</v>
      </c>
    </row>
    <row r="2112" spans="1:11" x14ac:dyDescent="0.35">
      <c r="A2112">
        <v>2111</v>
      </c>
      <c r="B2112">
        <v>70</v>
      </c>
      <c r="C2112" t="s">
        <v>11</v>
      </c>
      <c r="D2112" t="s">
        <v>29</v>
      </c>
      <c r="E2112" t="s">
        <v>55</v>
      </c>
      <c r="F2112">
        <v>75.11</v>
      </c>
      <c r="G2112" t="s">
        <v>31</v>
      </c>
      <c r="H2112" t="s">
        <v>37</v>
      </c>
      <c r="I2112">
        <v>4.2</v>
      </c>
      <c r="J2112">
        <v>16</v>
      </c>
      <c r="K2112">
        <v>3</v>
      </c>
    </row>
    <row r="2113" spans="1:11" x14ac:dyDescent="0.35">
      <c r="A2113">
        <v>2112</v>
      </c>
      <c r="B2113">
        <v>28</v>
      </c>
      <c r="C2113" t="s">
        <v>16</v>
      </c>
      <c r="D2113" t="s">
        <v>17</v>
      </c>
      <c r="E2113" t="s">
        <v>18</v>
      </c>
      <c r="F2113">
        <v>47.83</v>
      </c>
      <c r="G2113" t="s">
        <v>24</v>
      </c>
      <c r="H2113" t="s">
        <v>15</v>
      </c>
      <c r="I2113">
        <v>2.2000000000000002</v>
      </c>
      <c r="J2113">
        <v>16</v>
      </c>
      <c r="K2113">
        <v>3</v>
      </c>
    </row>
    <row r="2114" spans="1:11" x14ac:dyDescent="0.35">
      <c r="A2114">
        <v>2113</v>
      </c>
      <c r="B2114">
        <v>65</v>
      </c>
      <c r="C2114" t="s">
        <v>16</v>
      </c>
      <c r="D2114" t="s">
        <v>22</v>
      </c>
      <c r="E2114" t="s">
        <v>52</v>
      </c>
      <c r="F2114">
        <v>214.25</v>
      </c>
      <c r="G2114" t="s">
        <v>14</v>
      </c>
      <c r="H2114" t="s">
        <v>15</v>
      </c>
      <c r="I2114">
        <v>3.1</v>
      </c>
      <c r="J2114">
        <v>9</v>
      </c>
      <c r="K2114">
        <v>2</v>
      </c>
    </row>
    <row r="2115" spans="1:11" x14ac:dyDescent="0.35">
      <c r="A2115">
        <v>2114</v>
      </c>
      <c r="B2115">
        <v>42</v>
      </c>
      <c r="C2115" t="s">
        <v>16</v>
      </c>
      <c r="D2115" t="s">
        <v>33</v>
      </c>
      <c r="E2115" t="s">
        <v>34</v>
      </c>
      <c r="F2115">
        <v>246.94</v>
      </c>
      <c r="G2115" t="s">
        <v>14</v>
      </c>
      <c r="H2115" t="s">
        <v>15</v>
      </c>
      <c r="I2115">
        <v>2.5</v>
      </c>
      <c r="J2115">
        <v>9</v>
      </c>
      <c r="K2115">
        <v>2</v>
      </c>
    </row>
    <row r="2116" spans="1:11" x14ac:dyDescent="0.35">
      <c r="A2116">
        <v>2115</v>
      </c>
      <c r="B2116">
        <v>65</v>
      </c>
      <c r="C2116" t="s">
        <v>11</v>
      </c>
      <c r="D2116" t="s">
        <v>41</v>
      </c>
      <c r="E2116" t="s">
        <v>46</v>
      </c>
      <c r="F2116">
        <v>32.9</v>
      </c>
      <c r="G2116" t="s">
        <v>24</v>
      </c>
      <c r="H2116" t="s">
        <v>15</v>
      </c>
      <c r="I2116">
        <v>4.5999999999999996</v>
      </c>
      <c r="J2116">
        <v>16</v>
      </c>
      <c r="K2116">
        <v>3</v>
      </c>
    </row>
    <row r="2117" spans="1:11" x14ac:dyDescent="0.35">
      <c r="A2117">
        <v>2116</v>
      </c>
      <c r="B2117">
        <v>20</v>
      </c>
      <c r="C2117" t="s">
        <v>16</v>
      </c>
      <c r="D2117" t="s">
        <v>25</v>
      </c>
      <c r="E2117" t="s">
        <v>26</v>
      </c>
      <c r="F2117">
        <v>53.05</v>
      </c>
      <c r="G2117" t="s">
        <v>19</v>
      </c>
      <c r="H2117" t="s">
        <v>15</v>
      </c>
      <c r="I2117">
        <v>4.8</v>
      </c>
      <c r="J2117">
        <v>28</v>
      </c>
      <c r="K2117">
        <v>9</v>
      </c>
    </row>
    <row r="2118" spans="1:11" x14ac:dyDescent="0.35">
      <c r="A2118">
        <v>2117</v>
      </c>
      <c r="B2118">
        <v>68</v>
      </c>
      <c r="C2118" t="s">
        <v>16</v>
      </c>
      <c r="D2118" t="s">
        <v>17</v>
      </c>
      <c r="E2118" t="s">
        <v>48</v>
      </c>
      <c r="F2118">
        <v>68.39</v>
      </c>
      <c r="G2118" t="s">
        <v>14</v>
      </c>
      <c r="H2118" t="s">
        <v>37</v>
      </c>
      <c r="I2118">
        <v>4.0999999999999996</v>
      </c>
      <c r="J2118">
        <v>26</v>
      </c>
      <c r="K2118">
        <v>8</v>
      </c>
    </row>
    <row r="2119" spans="1:11" x14ac:dyDescent="0.35">
      <c r="A2119">
        <v>2118</v>
      </c>
      <c r="B2119">
        <v>49</v>
      </c>
      <c r="C2119" t="s">
        <v>16</v>
      </c>
      <c r="D2119" t="s">
        <v>17</v>
      </c>
      <c r="E2119" t="s">
        <v>18</v>
      </c>
      <c r="F2119">
        <v>153.15</v>
      </c>
      <c r="G2119" t="s">
        <v>24</v>
      </c>
      <c r="H2119" t="s">
        <v>15</v>
      </c>
      <c r="I2119">
        <v>3.1</v>
      </c>
      <c r="J2119">
        <v>8</v>
      </c>
      <c r="K2119">
        <v>4</v>
      </c>
    </row>
    <row r="2120" spans="1:11" x14ac:dyDescent="0.35">
      <c r="A2120">
        <v>2119</v>
      </c>
      <c r="B2120">
        <v>63</v>
      </c>
      <c r="C2120" t="s">
        <v>11</v>
      </c>
      <c r="D2120" t="s">
        <v>12</v>
      </c>
      <c r="E2120" t="s">
        <v>13</v>
      </c>
      <c r="F2120">
        <v>50.16</v>
      </c>
      <c r="G2120" t="s">
        <v>24</v>
      </c>
      <c r="H2120" t="s">
        <v>15</v>
      </c>
      <c r="I2120">
        <v>4.3</v>
      </c>
      <c r="J2120">
        <v>12</v>
      </c>
      <c r="K2120">
        <v>6</v>
      </c>
    </row>
    <row r="2121" spans="1:11" x14ac:dyDescent="0.35">
      <c r="A2121">
        <v>2120</v>
      </c>
      <c r="B2121">
        <v>30</v>
      </c>
      <c r="C2121" t="s">
        <v>16</v>
      </c>
      <c r="D2121" t="s">
        <v>33</v>
      </c>
      <c r="E2121" t="s">
        <v>38</v>
      </c>
      <c r="F2121">
        <v>103.58</v>
      </c>
      <c r="G2121" t="s">
        <v>19</v>
      </c>
      <c r="H2121" t="s">
        <v>15</v>
      </c>
      <c r="I2121">
        <v>4.5</v>
      </c>
      <c r="J2121">
        <v>15</v>
      </c>
      <c r="K2121">
        <v>5</v>
      </c>
    </row>
    <row r="2122" spans="1:11" x14ac:dyDescent="0.35">
      <c r="A2122">
        <v>2121</v>
      </c>
      <c r="B2122">
        <v>65</v>
      </c>
      <c r="C2122" t="s">
        <v>11</v>
      </c>
      <c r="D2122" t="s">
        <v>41</v>
      </c>
      <c r="E2122" t="s">
        <v>45</v>
      </c>
      <c r="F2122">
        <v>159.66999999999999</v>
      </c>
      <c r="G2122" t="s">
        <v>14</v>
      </c>
      <c r="H2122" t="s">
        <v>15</v>
      </c>
      <c r="I2122">
        <v>3.8</v>
      </c>
      <c r="J2122">
        <v>10</v>
      </c>
      <c r="K2122">
        <v>5</v>
      </c>
    </row>
    <row r="2123" spans="1:11" x14ac:dyDescent="0.35">
      <c r="A2123">
        <v>2122</v>
      </c>
      <c r="B2123">
        <v>22</v>
      </c>
      <c r="C2123" t="s">
        <v>11</v>
      </c>
      <c r="D2123" t="s">
        <v>29</v>
      </c>
      <c r="E2123" t="s">
        <v>55</v>
      </c>
      <c r="F2123">
        <v>100.76</v>
      </c>
      <c r="G2123" t="s">
        <v>14</v>
      </c>
      <c r="H2123" t="s">
        <v>15</v>
      </c>
      <c r="I2123">
        <v>5</v>
      </c>
      <c r="J2123">
        <v>19</v>
      </c>
      <c r="K2123">
        <v>7</v>
      </c>
    </row>
    <row r="2124" spans="1:11" x14ac:dyDescent="0.35">
      <c r="A2124">
        <v>2123</v>
      </c>
      <c r="B2124">
        <v>64</v>
      </c>
      <c r="C2124" t="s">
        <v>16</v>
      </c>
      <c r="D2124" t="s">
        <v>20</v>
      </c>
      <c r="E2124" t="s">
        <v>21</v>
      </c>
      <c r="F2124">
        <v>229.26</v>
      </c>
      <c r="G2124" t="s">
        <v>14</v>
      </c>
      <c r="H2124" t="s">
        <v>15</v>
      </c>
      <c r="I2124">
        <v>4</v>
      </c>
      <c r="J2124">
        <v>22</v>
      </c>
      <c r="K2124">
        <v>6</v>
      </c>
    </row>
    <row r="2125" spans="1:11" x14ac:dyDescent="0.35">
      <c r="A2125">
        <v>2124</v>
      </c>
      <c r="B2125">
        <v>20</v>
      </c>
      <c r="C2125" t="s">
        <v>16</v>
      </c>
      <c r="D2125" t="s">
        <v>17</v>
      </c>
      <c r="E2125" t="s">
        <v>35</v>
      </c>
      <c r="F2125">
        <v>121.19</v>
      </c>
      <c r="G2125" t="s">
        <v>19</v>
      </c>
      <c r="H2125" t="s">
        <v>15</v>
      </c>
      <c r="I2125">
        <v>3.6</v>
      </c>
      <c r="J2125">
        <v>20</v>
      </c>
      <c r="K2125">
        <v>5</v>
      </c>
    </row>
    <row r="2126" spans="1:11" x14ac:dyDescent="0.35">
      <c r="A2126">
        <v>2125</v>
      </c>
      <c r="B2126">
        <v>36</v>
      </c>
      <c r="C2126" t="s">
        <v>16</v>
      </c>
      <c r="D2126" t="s">
        <v>17</v>
      </c>
      <c r="E2126" t="s">
        <v>42</v>
      </c>
      <c r="F2126">
        <v>172.85</v>
      </c>
      <c r="G2126" t="s">
        <v>24</v>
      </c>
      <c r="H2126" t="s">
        <v>15</v>
      </c>
      <c r="I2126">
        <v>3.6</v>
      </c>
      <c r="J2126">
        <v>13</v>
      </c>
      <c r="K2126">
        <v>4</v>
      </c>
    </row>
    <row r="2127" spans="1:11" x14ac:dyDescent="0.35">
      <c r="A2127">
        <v>2126</v>
      </c>
      <c r="B2127">
        <v>37</v>
      </c>
      <c r="C2127" t="s">
        <v>16</v>
      </c>
      <c r="D2127" t="s">
        <v>27</v>
      </c>
      <c r="E2127" t="s">
        <v>32</v>
      </c>
      <c r="F2127">
        <v>2994.75</v>
      </c>
      <c r="G2127" t="s">
        <v>24</v>
      </c>
      <c r="H2127" t="s">
        <v>15</v>
      </c>
      <c r="I2127">
        <v>3.4</v>
      </c>
      <c r="J2127">
        <v>12</v>
      </c>
      <c r="K2127">
        <v>6</v>
      </c>
    </row>
    <row r="2128" spans="1:11" x14ac:dyDescent="0.35">
      <c r="A2128">
        <v>2127</v>
      </c>
      <c r="B2128">
        <v>24</v>
      </c>
      <c r="C2128" t="s">
        <v>11</v>
      </c>
      <c r="D2128" t="s">
        <v>33</v>
      </c>
      <c r="E2128" t="s">
        <v>38</v>
      </c>
      <c r="F2128">
        <v>169.29</v>
      </c>
      <c r="G2128" t="s">
        <v>19</v>
      </c>
      <c r="H2128" t="s">
        <v>15</v>
      </c>
      <c r="I2128">
        <v>3.5</v>
      </c>
      <c r="J2128">
        <v>22</v>
      </c>
      <c r="K2128">
        <v>6</v>
      </c>
    </row>
    <row r="2129" spans="1:11" x14ac:dyDescent="0.35">
      <c r="A2129">
        <v>2128</v>
      </c>
      <c r="B2129">
        <v>45</v>
      </c>
      <c r="C2129" t="s">
        <v>11</v>
      </c>
      <c r="D2129" t="s">
        <v>12</v>
      </c>
      <c r="E2129" t="s">
        <v>50</v>
      </c>
      <c r="F2129">
        <v>48</v>
      </c>
      <c r="G2129" t="s">
        <v>19</v>
      </c>
      <c r="H2129" t="s">
        <v>15</v>
      </c>
      <c r="I2129">
        <v>3.6</v>
      </c>
      <c r="J2129">
        <v>16</v>
      </c>
      <c r="K2129">
        <v>8</v>
      </c>
    </row>
    <row r="2130" spans="1:11" x14ac:dyDescent="0.35">
      <c r="A2130">
        <v>2129</v>
      </c>
      <c r="B2130">
        <v>28</v>
      </c>
      <c r="C2130" t="s">
        <v>16</v>
      </c>
      <c r="D2130" t="s">
        <v>20</v>
      </c>
      <c r="E2130" t="s">
        <v>21</v>
      </c>
      <c r="F2130">
        <v>73.95</v>
      </c>
      <c r="G2130" t="s">
        <v>31</v>
      </c>
      <c r="H2130" t="s">
        <v>15</v>
      </c>
      <c r="I2130">
        <v>3.8</v>
      </c>
      <c r="J2130">
        <v>7</v>
      </c>
      <c r="K2130">
        <v>1</v>
      </c>
    </row>
    <row r="2131" spans="1:11" x14ac:dyDescent="0.35">
      <c r="A2131">
        <v>2130</v>
      </c>
      <c r="B2131">
        <v>38</v>
      </c>
      <c r="C2131" t="s">
        <v>16</v>
      </c>
      <c r="D2131" t="s">
        <v>25</v>
      </c>
      <c r="E2131" t="s">
        <v>57</v>
      </c>
      <c r="F2131">
        <v>44.44</v>
      </c>
      <c r="G2131" t="s">
        <v>19</v>
      </c>
      <c r="H2131" t="s">
        <v>37</v>
      </c>
      <c r="I2131">
        <v>4.9000000000000004</v>
      </c>
      <c r="J2131">
        <v>20</v>
      </c>
      <c r="K2131">
        <v>5</v>
      </c>
    </row>
    <row r="2132" spans="1:11" x14ac:dyDescent="0.35">
      <c r="A2132">
        <v>2131</v>
      </c>
      <c r="B2132">
        <v>42</v>
      </c>
      <c r="C2132" t="s">
        <v>11</v>
      </c>
      <c r="D2132" t="s">
        <v>12</v>
      </c>
      <c r="E2132" t="s">
        <v>56</v>
      </c>
      <c r="F2132">
        <v>162.6</v>
      </c>
      <c r="G2132" t="s">
        <v>19</v>
      </c>
      <c r="H2132" t="s">
        <v>15</v>
      </c>
      <c r="I2132">
        <v>4.7</v>
      </c>
      <c r="J2132">
        <v>12</v>
      </c>
      <c r="K2132">
        <v>1</v>
      </c>
    </row>
    <row r="2133" spans="1:11" x14ac:dyDescent="0.35">
      <c r="A2133">
        <v>2132</v>
      </c>
      <c r="B2133">
        <v>36</v>
      </c>
      <c r="C2133" t="s">
        <v>16</v>
      </c>
      <c r="D2133" t="s">
        <v>27</v>
      </c>
      <c r="E2133" t="s">
        <v>53</v>
      </c>
      <c r="F2133">
        <v>1381.61</v>
      </c>
      <c r="G2133" t="s">
        <v>19</v>
      </c>
      <c r="H2133" t="s">
        <v>15</v>
      </c>
      <c r="I2133">
        <v>4.8</v>
      </c>
      <c r="J2133">
        <v>13</v>
      </c>
      <c r="K2133">
        <v>4</v>
      </c>
    </row>
    <row r="2134" spans="1:11" x14ac:dyDescent="0.35">
      <c r="A2134">
        <v>2133</v>
      </c>
      <c r="B2134">
        <v>37</v>
      </c>
      <c r="C2134" t="s">
        <v>16</v>
      </c>
      <c r="D2134" t="s">
        <v>27</v>
      </c>
      <c r="E2134" t="s">
        <v>53</v>
      </c>
      <c r="F2134">
        <v>2720.99</v>
      </c>
      <c r="G2134" t="s">
        <v>19</v>
      </c>
      <c r="H2134" t="s">
        <v>15</v>
      </c>
      <c r="I2134">
        <v>3.1</v>
      </c>
      <c r="J2134">
        <v>20</v>
      </c>
      <c r="K2134">
        <v>5</v>
      </c>
    </row>
    <row r="2135" spans="1:11" x14ac:dyDescent="0.35">
      <c r="A2135">
        <v>2134</v>
      </c>
      <c r="B2135">
        <v>24</v>
      </c>
      <c r="C2135" t="s">
        <v>16</v>
      </c>
      <c r="D2135" t="s">
        <v>33</v>
      </c>
      <c r="E2135" t="s">
        <v>38</v>
      </c>
      <c r="F2135">
        <v>53.39</v>
      </c>
      <c r="G2135" t="s">
        <v>19</v>
      </c>
      <c r="H2135" t="s">
        <v>37</v>
      </c>
      <c r="I2135">
        <v>3.3</v>
      </c>
      <c r="J2135">
        <v>10</v>
      </c>
      <c r="K2135">
        <v>5</v>
      </c>
    </row>
    <row r="2136" spans="1:11" x14ac:dyDescent="0.35">
      <c r="A2136">
        <v>2135</v>
      </c>
      <c r="B2136">
        <v>42</v>
      </c>
      <c r="C2136" t="s">
        <v>16</v>
      </c>
      <c r="D2136" t="s">
        <v>33</v>
      </c>
      <c r="E2136" t="s">
        <v>40</v>
      </c>
      <c r="F2136">
        <v>156.01</v>
      </c>
      <c r="G2136" t="s">
        <v>31</v>
      </c>
      <c r="H2136" t="s">
        <v>15</v>
      </c>
      <c r="I2136">
        <v>3.9</v>
      </c>
      <c r="J2136">
        <v>8</v>
      </c>
      <c r="K2136">
        <v>4</v>
      </c>
    </row>
    <row r="2137" spans="1:11" x14ac:dyDescent="0.35">
      <c r="A2137">
        <v>2136</v>
      </c>
      <c r="B2137">
        <v>23</v>
      </c>
      <c r="C2137" t="s">
        <v>11</v>
      </c>
      <c r="D2137" t="s">
        <v>29</v>
      </c>
      <c r="E2137" t="s">
        <v>30</v>
      </c>
      <c r="F2137">
        <v>107.23</v>
      </c>
      <c r="G2137" t="s">
        <v>24</v>
      </c>
      <c r="H2137" t="s">
        <v>15</v>
      </c>
      <c r="I2137">
        <v>3.3</v>
      </c>
      <c r="J2137">
        <v>9</v>
      </c>
      <c r="K2137">
        <v>2</v>
      </c>
    </row>
    <row r="2138" spans="1:11" x14ac:dyDescent="0.35">
      <c r="A2138">
        <v>2137</v>
      </c>
      <c r="B2138">
        <v>31</v>
      </c>
      <c r="C2138" t="s">
        <v>11</v>
      </c>
      <c r="D2138" t="s">
        <v>29</v>
      </c>
      <c r="E2138" t="s">
        <v>30</v>
      </c>
      <c r="F2138">
        <v>72.150000000000006</v>
      </c>
      <c r="G2138" t="s">
        <v>14</v>
      </c>
      <c r="H2138" t="s">
        <v>37</v>
      </c>
      <c r="I2138">
        <v>4.0999999999999996</v>
      </c>
      <c r="J2138">
        <v>16</v>
      </c>
      <c r="K2138">
        <v>3</v>
      </c>
    </row>
    <row r="2139" spans="1:11" x14ac:dyDescent="0.35">
      <c r="A2139">
        <v>2138</v>
      </c>
      <c r="B2139">
        <v>28</v>
      </c>
      <c r="C2139" t="s">
        <v>11</v>
      </c>
      <c r="D2139" t="s">
        <v>33</v>
      </c>
      <c r="E2139" t="s">
        <v>40</v>
      </c>
      <c r="F2139">
        <v>235.98</v>
      </c>
      <c r="G2139" t="s">
        <v>24</v>
      </c>
      <c r="H2139" t="s">
        <v>15</v>
      </c>
      <c r="I2139">
        <v>2.6</v>
      </c>
      <c r="J2139">
        <v>26</v>
      </c>
      <c r="K2139">
        <v>8</v>
      </c>
    </row>
    <row r="2140" spans="1:11" x14ac:dyDescent="0.35">
      <c r="A2140">
        <v>2139</v>
      </c>
      <c r="B2140">
        <v>65</v>
      </c>
      <c r="C2140" t="s">
        <v>11</v>
      </c>
      <c r="D2140" t="s">
        <v>33</v>
      </c>
      <c r="E2140" t="s">
        <v>40</v>
      </c>
      <c r="F2140">
        <v>216.73</v>
      </c>
      <c r="G2140" t="s">
        <v>31</v>
      </c>
      <c r="H2140" t="s">
        <v>15</v>
      </c>
      <c r="I2140">
        <v>5</v>
      </c>
      <c r="J2140">
        <v>16</v>
      </c>
      <c r="K2140">
        <v>3</v>
      </c>
    </row>
    <row r="2141" spans="1:11" x14ac:dyDescent="0.35">
      <c r="A2141">
        <v>2140</v>
      </c>
      <c r="B2141">
        <v>57</v>
      </c>
      <c r="C2141" t="s">
        <v>16</v>
      </c>
      <c r="D2141" t="s">
        <v>17</v>
      </c>
      <c r="E2141" t="s">
        <v>48</v>
      </c>
      <c r="F2141">
        <v>76.98</v>
      </c>
      <c r="G2141" t="s">
        <v>31</v>
      </c>
      <c r="H2141" t="s">
        <v>15</v>
      </c>
      <c r="I2141">
        <v>3.9</v>
      </c>
      <c r="J2141">
        <v>24</v>
      </c>
      <c r="K2141">
        <v>7</v>
      </c>
    </row>
    <row r="2142" spans="1:11" x14ac:dyDescent="0.35">
      <c r="A2142">
        <v>2141</v>
      </c>
      <c r="B2142">
        <v>66</v>
      </c>
      <c r="C2142" t="s">
        <v>11</v>
      </c>
      <c r="D2142" t="s">
        <v>41</v>
      </c>
      <c r="E2142" t="s">
        <v>46</v>
      </c>
      <c r="F2142">
        <v>104.42</v>
      </c>
      <c r="G2142" t="s">
        <v>19</v>
      </c>
      <c r="H2142" t="s">
        <v>15</v>
      </c>
      <c r="I2142">
        <v>3.6</v>
      </c>
      <c r="J2142">
        <v>10</v>
      </c>
      <c r="K2142">
        <v>5</v>
      </c>
    </row>
    <row r="2143" spans="1:11" x14ac:dyDescent="0.35">
      <c r="A2143">
        <v>2142</v>
      </c>
      <c r="B2143">
        <v>30</v>
      </c>
      <c r="C2143" t="s">
        <v>11</v>
      </c>
      <c r="D2143" t="s">
        <v>41</v>
      </c>
      <c r="E2143" t="s">
        <v>42</v>
      </c>
      <c r="F2143">
        <v>190.44</v>
      </c>
      <c r="G2143" t="s">
        <v>24</v>
      </c>
      <c r="H2143" t="s">
        <v>15</v>
      </c>
      <c r="I2143">
        <v>4</v>
      </c>
      <c r="J2143">
        <v>8</v>
      </c>
      <c r="K2143">
        <v>4</v>
      </c>
    </row>
    <row r="2144" spans="1:11" x14ac:dyDescent="0.35">
      <c r="A2144">
        <v>2143</v>
      </c>
      <c r="B2144">
        <v>52</v>
      </c>
      <c r="C2144" t="s">
        <v>16</v>
      </c>
      <c r="D2144" t="s">
        <v>33</v>
      </c>
      <c r="E2144" t="s">
        <v>38</v>
      </c>
      <c r="F2144">
        <v>140.52000000000001</v>
      </c>
      <c r="G2144" t="s">
        <v>19</v>
      </c>
      <c r="H2144" t="s">
        <v>15</v>
      </c>
      <c r="I2144">
        <v>3.5</v>
      </c>
      <c r="J2144">
        <v>15</v>
      </c>
      <c r="K2144">
        <v>5</v>
      </c>
    </row>
    <row r="2145" spans="1:11" x14ac:dyDescent="0.35">
      <c r="A2145">
        <v>2144</v>
      </c>
      <c r="B2145">
        <v>59</v>
      </c>
      <c r="C2145" t="s">
        <v>16</v>
      </c>
      <c r="D2145" t="s">
        <v>33</v>
      </c>
      <c r="E2145" t="s">
        <v>38</v>
      </c>
      <c r="F2145">
        <v>109.11</v>
      </c>
      <c r="G2145" t="s">
        <v>24</v>
      </c>
      <c r="H2145" t="s">
        <v>15</v>
      </c>
      <c r="I2145">
        <v>4.3</v>
      </c>
      <c r="J2145">
        <v>8</v>
      </c>
      <c r="K2145">
        <v>4</v>
      </c>
    </row>
    <row r="2146" spans="1:11" x14ac:dyDescent="0.35">
      <c r="A2146">
        <v>2145</v>
      </c>
      <c r="B2146">
        <v>46</v>
      </c>
      <c r="C2146" t="s">
        <v>16</v>
      </c>
      <c r="D2146" t="s">
        <v>20</v>
      </c>
      <c r="E2146" t="s">
        <v>21</v>
      </c>
      <c r="F2146">
        <v>179.23</v>
      </c>
      <c r="G2146" t="s">
        <v>19</v>
      </c>
      <c r="H2146" t="s">
        <v>15</v>
      </c>
      <c r="I2146">
        <v>3.8</v>
      </c>
      <c r="J2146">
        <v>12</v>
      </c>
      <c r="K2146">
        <v>6</v>
      </c>
    </row>
    <row r="2147" spans="1:11" x14ac:dyDescent="0.35">
      <c r="A2147">
        <v>2146</v>
      </c>
      <c r="B2147">
        <v>40</v>
      </c>
      <c r="C2147" t="s">
        <v>16</v>
      </c>
      <c r="D2147" t="s">
        <v>25</v>
      </c>
      <c r="E2147" t="s">
        <v>54</v>
      </c>
      <c r="F2147">
        <v>23.38</v>
      </c>
      <c r="G2147" t="s">
        <v>14</v>
      </c>
      <c r="H2147" t="s">
        <v>37</v>
      </c>
      <c r="I2147">
        <v>2.9</v>
      </c>
      <c r="J2147">
        <v>12</v>
      </c>
      <c r="K2147">
        <v>6</v>
      </c>
    </row>
    <row r="2148" spans="1:11" x14ac:dyDescent="0.35">
      <c r="A2148">
        <v>2147</v>
      </c>
      <c r="B2148">
        <v>60</v>
      </c>
      <c r="C2148" t="s">
        <v>11</v>
      </c>
      <c r="D2148" t="s">
        <v>20</v>
      </c>
      <c r="E2148" t="s">
        <v>36</v>
      </c>
      <c r="F2148">
        <v>243.83</v>
      </c>
      <c r="G2148" t="s">
        <v>14</v>
      </c>
      <c r="H2148" t="s">
        <v>15</v>
      </c>
      <c r="I2148">
        <v>4</v>
      </c>
      <c r="J2148">
        <v>20</v>
      </c>
      <c r="K2148">
        <v>5</v>
      </c>
    </row>
    <row r="2149" spans="1:11" x14ac:dyDescent="0.35">
      <c r="A2149">
        <v>2148</v>
      </c>
      <c r="B2149">
        <v>57</v>
      </c>
      <c r="C2149" t="s">
        <v>16</v>
      </c>
      <c r="D2149" t="s">
        <v>20</v>
      </c>
      <c r="E2149" t="s">
        <v>36</v>
      </c>
      <c r="F2149">
        <v>111.73</v>
      </c>
      <c r="G2149" t="s">
        <v>19</v>
      </c>
      <c r="H2149" t="s">
        <v>15</v>
      </c>
      <c r="I2149">
        <v>5</v>
      </c>
      <c r="J2149">
        <v>26</v>
      </c>
      <c r="K2149">
        <v>8</v>
      </c>
    </row>
    <row r="2150" spans="1:11" x14ac:dyDescent="0.35">
      <c r="A2150">
        <v>2149</v>
      </c>
      <c r="B2150">
        <v>46</v>
      </c>
      <c r="C2150" t="s">
        <v>16</v>
      </c>
      <c r="D2150" t="s">
        <v>17</v>
      </c>
      <c r="E2150" t="s">
        <v>35</v>
      </c>
      <c r="F2150">
        <v>86.78</v>
      </c>
      <c r="G2150" t="s">
        <v>24</v>
      </c>
      <c r="H2150" t="s">
        <v>15</v>
      </c>
      <c r="I2150">
        <v>4.4000000000000004</v>
      </c>
      <c r="J2150">
        <v>12</v>
      </c>
      <c r="K2150">
        <v>6</v>
      </c>
    </row>
    <row r="2151" spans="1:11" x14ac:dyDescent="0.35">
      <c r="A2151">
        <v>2150</v>
      </c>
      <c r="B2151">
        <v>66</v>
      </c>
      <c r="C2151" t="s">
        <v>16</v>
      </c>
      <c r="D2151" t="s">
        <v>33</v>
      </c>
      <c r="E2151" t="s">
        <v>34</v>
      </c>
      <c r="F2151">
        <v>115.51</v>
      </c>
      <c r="G2151" t="s">
        <v>14</v>
      </c>
      <c r="H2151" t="s">
        <v>15</v>
      </c>
      <c r="I2151">
        <v>3.8</v>
      </c>
      <c r="J2151">
        <v>8</v>
      </c>
      <c r="K2151">
        <v>4</v>
      </c>
    </row>
    <row r="2152" spans="1:11" x14ac:dyDescent="0.35">
      <c r="A2152">
        <v>2151</v>
      </c>
      <c r="B2152">
        <v>25</v>
      </c>
      <c r="C2152" t="s">
        <v>16</v>
      </c>
      <c r="D2152" t="s">
        <v>27</v>
      </c>
      <c r="E2152" t="s">
        <v>32</v>
      </c>
      <c r="F2152">
        <v>2459.81</v>
      </c>
      <c r="G2152" t="s">
        <v>24</v>
      </c>
      <c r="H2152" t="s">
        <v>15</v>
      </c>
      <c r="I2152">
        <v>4.0999999999999996</v>
      </c>
      <c r="J2152">
        <v>6</v>
      </c>
      <c r="K2152">
        <v>3</v>
      </c>
    </row>
    <row r="2153" spans="1:11" x14ac:dyDescent="0.35">
      <c r="A2153">
        <v>2152</v>
      </c>
      <c r="B2153">
        <v>43</v>
      </c>
      <c r="C2153" t="s">
        <v>11</v>
      </c>
      <c r="D2153" t="s">
        <v>41</v>
      </c>
      <c r="E2153" t="s">
        <v>44</v>
      </c>
      <c r="F2153">
        <v>89.23</v>
      </c>
      <c r="G2153" t="s">
        <v>31</v>
      </c>
      <c r="H2153" t="s">
        <v>15</v>
      </c>
      <c r="I2153">
        <v>3.2</v>
      </c>
      <c r="J2153">
        <v>10</v>
      </c>
      <c r="K2153">
        <v>5</v>
      </c>
    </row>
    <row r="2154" spans="1:11" x14ac:dyDescent="0.35">
      <c r="A2154">
        <v>2153</v>
      </c>
      <c r="B2154">
        <v>48</v>
      </c>
      <c r="C2154" t="s">
        <v>11</v>
      </c>
      <c r="D2154" t="s">
        <v>29</v>
      </c>
      <c r="E2154" t="s">
        <v>51</v>
      </c>
      <c r="F2154">
        <v>108.66</v>
      </c>
      <c r="G2154" t="s">
        <v>19</v>
      </c>
      <c r="H2154" t="s">
        <v>15</v>
      </c>
      <c r="I2154">
        <v>3.7</v>
      </c>
      <c r="J2154">
        <v>12</v>
      </c>
      <c r="K2154">
        <v>6</v>
      </c>
    </row>
    <row r="2155" spans="1:11" x14ac:dyDescent="0.35">
      <c r="A2155">
        <v>2154</v>
      </c>
      <c r="B2155">
        <v>32</v>
      </c>
      <c r="C2155" t="s">
        <v>11</v>
      </c>
      <c r="D2155" t="s">
        <v>20</v>
      </c>
      <c r="E2155" t="s">
        <v>39</v>
      </c>
      <c r="F2155">
        <v>156.96</v>
      </c>
      <c r="G2155" t="s">
        <v>14</v>
      </c>
      <c r="H2155" t="s">
        <v>15</v>
      </c>
      <c r="I2155">
        <v>3.4</v>
      </c>
      <c r="J2155">
        <v>22</v>
      </c>
      <c r="K2155">
        <v>6</v>
      </c>
    </row>
    <row r="2156" spans="1:11" x14ac:dyDescent="0.35">
      <c r="A2156">
        <v>2155</v>
      </c>
      <c r="B2156">
        <v>51</v>
      </c>
      <c r="C2156" t="s">
        <v>11</v>
      </c>
      <c r="D2156" t="s">
        <v>41</v>
      </c>
      <c r="E2156" t="s">
        <v>45</v>
      </c>
      <c r="F2156">
        <v>162.77000000000001</v>
      </c>
      <c r="G2156" t="s">
        <v>24</v>
      </c>
      <c r="H2156" t="s">
        <v>15</v>
      </c>
      <c r="I2156">
        <v>3.3</v>
      </c>
      <c r="J2156">
        <v>20</v>
      </c>
      <c r="K2156">
        <v>5</v>
      </c>
    </row>
    <row r="2157" spans="1:11" x14ac:dyDescent="0.35">
      <c r="A2157">
        <v>2156</v>
      </c>
      <c r="B2157">
        <v>24</v>
      </c>
      <c r="C2157" t="s">
        <v>11</v>
      </c>
      <c r="D2157" t="s">
        <v>41</v>
      </c>
      <c r="E2157" t="s">
        <v>46</v>
      </c>
      <c r="F2157">
        <v>134.74</v>
      </c>
      <c r="G2157" t="s">
        <v>31</v>
      </c>
      <c r="H2157" t="s">
        <v>15</v>
      </c>
      <c r="I2157">
        <v>4.4000000000000004</v>
      </c>
      <c r="J2157">
        <v>12</v>
      </c>
      <c r="K2157">
        <v>6</v>
      </c>
    </row>
    <row r="2158" spans="1:11" x14ac:dyDescent="0.35">
      <c r="A2158">
        <v>2157</v>
      </c>
      <c r="B2158">
        <v>25</v>
      </c>
      <c r="C2158" t="s">
        <v>11</v>
      </c>
      <c r="D2158" t="s">
        <v>41</v>
      </c>
      <c r="E2158" t="s">
        <v>44</v>
      </c>
      <c r="F2158">
        <v>62.82</v>
      </c>
      <c r="G2158" t="s">
        <v>31</v>
      </c>
      <c r="H2158" t="s">
        <v>15</v>
      </c>
      <c r="I2158">
        <v>3.4</v>
      </c>
      <c r="J2158">
        <v>15</v>
      </c>
      <c r="K2158">
        <v>5</v>
      </c>
    </row>
    <row r="2159" spans="1:11" x14ac:dyDescent="0.35">
      <c r="A2159">
        <v>2158</v>
      </c>
      <c r="B2159">
        <v>21</v>
      </c>
      <c r="C2159" t="s">
        <v>16</v>
      </c>
      <c r="D2159" t="s">
        <v>17</v>
      </c>
      <c r="E2159" t="s">
        <v>48</v>
      </c>
      <c r="F2159">
        <v>185.24</v>
      </c>
      <c r="G2159" t="s">
        <v>31</v>
      </c>
      <c r="H2159" t="s">
        <v>15</v>
      </c>
      <c r="I2159">
        <v>3.7</v>
      </c>
      <c r="J2159">
        <v>20</v>
      </c>
      <c r="K2159">
        <v>5</v>
      </c>
    </row>
    <row r="2160" spans="1:11" x14ac:dyDescent="0.35">
      <c r="A2160">
        <v>2159</v>
      </c>
      <c r="B2160">
        <v>21</v>
      </c>
      <c r="C2160" t="s">
        <v>11</v>
      </c>
      <c r="D2160" t="s">
        <v>29</v>
      </c>
      <c r="E2160" t="s">
        <v>30</v>
      </c>
      <c r="F2160">
        <v>52.12</v>
      </c>
      <c r="G2160" t="s">
        <v>31</v>
      </c>
      <c r="H2160" t="s">
        <v>15</v>
      </c>
      <c r="I2160">
        <v>2.2000000000000002</v>
      </c>
      <c r="J2160">
        <v>14</v>
      </c>
      <c r="K2160">
        <v>7</v>
      </c>
    </row>
    <row r="2161" spans="1:11" x14ac:dyDescent="0.35">
      <c r="A2161">
        <v>2160</v>
      </c>
      <c r="B2161">
        <v>26</v>
      </c>
      <c r="C2161" t="s">
        <v>16</v>
      </c>
      <c r="D2161" t="s">
        <v>17</v>
      </c>
      <c r="E2161" t="s">
        <v>42</v>
      </c>
      <c r="F2161">
        <v>117.39</v>
      </c>
      <c r="G2161" t="s">
        <v>24</v>
      </c>
      <c r="H2161" t="s">
        <v>15</v>
      </c>
      <c r="I2161">
        <v>4.0999999999999996</v>
      </c>
      <c r="J2161">
        <v>17</v>
      </c>
      <c r="K2161">
        <v>6</v>
      </c>
    </row>
    <row r="2162" spans="1:11" x14ac:dyDescent="0.35">
      <c r="A2162">
        <v>2161</v>
      </c>
      <c r="B2162">
        <v>64</v>
      </c>
      <c r="C2162" t="s">
        <v>16</v>
      </c>
      <c r="D2162" t="s">
        <v>27</v>
      </c>
      <c r="E2162" t="s">
        <v>53</v>
      </c>
      <c r="F2162">
        <v>1748.62</v>
      </c>
      <c r="G2162" t="s">
        <v>19</v>
      </c>
      <c r="H2162" t="s">
        <v>15</v>
      </c>
      <c r="I2162">
        <v>4.5999999999999996</v>
      </c>
      <c r="J2162">
        <v>13</v>
      </c>
      <c r="K2162">
        <v>4</v>
      </c>
    </row>
    <row r="2163" spans="1:11" x14ac:dyDescent="0.35">
      <c r="A2163">
        <v>2162</v>
      </c>
      <c r="B2163">
        <v>47</v>
      </c>
      <c r="C2163" t="s">
        <v>11</v>
      </c>
      <c r="D2163" t="s">
        <v>41</v>
      </c>
      <c r="E2163" t="s">
        <v>45</v>
      </c>
      <c r="F2163">
        <v>156.93</v>
      </c>
      <c r="G2163" t="s">
        <v>14</v>
      </c>
      <c r="H2163" t="s">
        <v>15</v>
      </c>
      <c r="I2163">
        <v>3.4</v>
      </c>
      <c r="J2163">
        <v>11</v>
      </c>
      <c r="K2163">
        <v>3</v>
      </c>
    </row>
    <row r="2164" spans="1:11" x14ac:dyDescent="0.35">
      <c r="A2164">
        <v>2163</v>
      </c>
      <c r="B2164">
        <v>58</v>
      </c>
      <c r="C2164" t="s">
        <v>11</v>
      </c>
      <c r="D2164" t="s">
        <v>25</v>
      </c>
      <c r="E2164" t="s">
        <v>54</v>
      </c>
      <c r="F2164">
        <v>10.97</v>
      </c>
      <c r="G2164" t="s">
        <v>14</v>
      </c>
      <c r="H2164" t="s">
        <v>15</v>
      </c>
      <c r="I2164">
        <v>3.3</v>
      </c>
      <c r="J2164">
        <v>10</v>
      </c>
      <c r="K2164">
        <v>5</v>
      </c>
    </row>
    <row r="2165" spans="1:11" x14ac:dyDescent="0.35">
      <c r="A2165">
        <v>2164</v>
      </c>
      <c r="B2165">
        <v>38</v>
      </c>
      <c r="C2165" t="s">
        <v>16</v>
      </c>
      <c r="D2165" t="s">
        <v>17</v>
      </c>
      <c r="E2165" t="s">
        <v>48</v>
      </c>
      <c r="F2165">
        <v>196.58</v>
      </c>
      <c r="G2165" t="s">
        <v>31</v>
      </c>
      <c r="H2165" t="s">
        <v>15</v>
      </c>
      <c r="I2165">
        <v>4.0999999999999996</v>
      </c>
      <c r="J2165">
        <v>15</v>
      </c>
      <c r="K2165">
        <v>5</v>
      </c>
    </row>
    <row r="2166" spans="1:11" x14ac:dyDescent="0.35">
      <c r="A2166">
        <v>2165</v>
      </c>
      <c r="B2166">
        <v>33</v>
      </c>
      <c r="C2166" t="s">
        <v>11</v>
      </c>
      <c r="D2166" t="s">
        <v>29</v>
      </c>
      <c r="E2166" t="s">
        <v>55</v>
      </c>
      <c r="F2166">
        <v>124.79</v>
      </c>
      <c r="G2166" t="s">
        <v>19</v>
      </c>
      <c r="H2166" t="s">
        <v>15</v>
      </c>
      <c r="I2166">
        <v>3.2</v>
      </c>
      <c r="J2166">
        <v>13</v>
      </c>
      <c r="K2166">
        <v>4</v>
      </c>
    </row>
    <row r="2167" spans="1:11" x14ac:dyDescent="0.35">
      <c r="A2167">
        <v>2166</v>
      </c>
      <c r="B2167">
        <v>58</v>
      </c>
      <c r="C2167" t="s">
        <v>16</v>
      </c>
      <c r="D2167" t="s">
        <v>17</v>
      </c>
      <c r="E2167" t="s">
        <v>18</v>
      </c>
      <c r="F2167">
        <v>126.22</v>
      </c>
      <c r="G2167" t="s">
        <v>14</v>
      </c>
      <c r="H2167" t="s">
        <v>15</v>
      </c>
      <c r="I2167">
        <v>4.9000000000000004</v>
      </c>
      <c r="J2167">
        <v>16</v>
      </c>
      <c r="K2167">
        <v>3</v>
      </c>
    </row>
    <row r="2168" spans="1:11" x14ac:dyDescent="0.35">
      <c r="A2168">
        <v>2167</v>
      </c>
      <c r="B2168">
        <v>43</v>
      </c>
      <c r="C2168" t="s">
        <v>11</v>
      </c>
      <c r="D2168" t="s">
        <v>29</v>
      </c>
      <c r="E2168" t="s">
        <v>55</v>
      </c>
      <c r="F2168">
        <v>55.3</v>
      </c>
      <c r="G2168" t="s">
        <v>24</v>
      </c>
      <c r="H2168" t="s">
        <v>37</v>
      </c>
      <c r="I2168">
        <v>2.7</v>
      </c>
      <c r="J2168">
        <v>8</v>
      </c>
      <c r="K2168">
        <v>4</v>
      </c>
    </row>
    <row r="2169" spans="1:11" x14ac:dyDescent="0.35">
      <c r="A2169">
        <v>2168</v>
      </c>
      <c r="B2169">
        <v>49</v>
      </c>
      <c r="C2169" t="s">
        <v>11</v>
      </c>
      <c r="D2169" t="s">
        <v>41</v>
      </c>
      <c r="E2169" t="s">
        <v>42</v>
      </c>
      <c r="F2169">
        <v>153.03</v>
      </c>
      <c r="G2169" t="s">
        <v>19</v>
      </c>
      <c r="H2169" t="s">
        <v>15</v>
      </c>
      <c r="I2169">
        <v>3.9</v>
      </c>
      <c r="J2169">
        <v>23</v>
      </c>
      <c r="K2169">
        <v>9</v>
      </c>
    </row>
    <row r="2170" spans="1:11" x14ac:dyDescent="0.35">
      <c r="A2170">
        <v>2169</v>
      </c>
      <c r="B2170">
        <v>36</v>
      </c>
      <c r="C2170" t="s">
        <v>16</v>
      </c>
      <c r="D2170" t="s">
        <v>27</v>
      </c>
      <c r="E2170" t="s">
        <v>28</v>
      </c>
      <c r="F2170">
        <v>2044.39</v>
      </c>
      <c r="G2170" t="s">
        <v>24</v>
      </c>
      <c r="H2170" t="s">
        <v>15</v>
      </c>
      <c r="I2170">
        <v>3.5</v>
      </c>
      <c r="J2170">
        <v>28</v>
      </c>
      <c r="K2170">
        <v>9</v>
      </c>
    </row>
    <row r="2171" spans="1:11" x14ac:dyDescent="0.35">
      <c r="A2171">
        <v>2170</v>
      </c>
      <c r="B2171">
        <v>69</v>
      </c>
      <c r="C2171" t="s">
        <v>11</v>
      </c>
      <c r="D2171" t="s">
        <v>20</v>
      </c>
      <c r="E2171" t="s">
        <v>21</v>
      </c>
      <c r="F2171">
        <v>125.7</v>
      </c>
      <c r="G2171" t="s">
        <v>24</v>
      </c>
      <c r="H2171" t="s">
        <v>15</v>
      </c>
      <c r="I2171">
        <v>4.4000000000000004</v>
      </c>
      <c r="J2171">
        <v>15</v>
      </c>
      <c r="K2171">
        <v>5</v>
      </c>
    </row>
    <row r="2172" spans="1:11" x14ac:dyDescent="0.35">
      <c r="A2172">
        <v>2171</v>
      </c>
      <c r="B2172">
        <v>50</v>
      </c>
      <c r="C2172" t="s">
        <v>16</v>
      </c>
      <c r="D2172" t="s">
        <v>20</v>
      </c>
      <c r="E2172" t="s">
        <v>21</v>
      </c>
      <c r="F2172">
        <v>57.74</v>
      </c>
      <c r="G2172" t="s">
        <v>31</v>
      </c>
      <c r="H2172" t="s">
        <v>37</v>
      </c>
      <c r="I2172">
        <v>3</v>
      </c>
      <c r="J2172">
        <v>16</v>
      </c>
      <c r="K2172">
        <v>8</v>
      </c>
    </row>
    <row r="2173" spans="1:11" x14ac:dyDescent="0.35">
      <c r="A2173">
        <v>2172</v>
      </c>
      <c r="B2173">
        <v>35</v>
      </c>
      <c r="C2173" t="s">
        <v>11</v>
      </c>
      <c r="D2173" t="s">
        <v>33</v>
      </c>
      <c r="E2173" t="s">
        <v>34</v>
      </c>
      <c r="F2173">
        <v>42.14</v>
      </c>
      <c r="G2173" t="s">
        <v>31</v>
      </c>
      <c r="H2173" t="s">
        <v>15</v>
      </c>
      <c r="I2173">
        <v>2.9</v>
      </c>
      <c r="J2173">
        <v>17</v>
      </c>
      <c r="K2173">
        <v>6</v>
      </c>
    </row>
    <row r="2174" spans="1:11" x14ac:dyDescent="0.35">
      <c r="A2174">
        <v>2173</v>
      </c>
      <c r="B2174">
        <v>29</v>
      </c>
      <c r="C2174" t="s">
        <v>11</v>
      </c>
      <c r="D2174" t="s">
        <v>12</v>
      </c>
      <c r="E2174" t="s">
        <v>56</v>
      </c>
      <c r="F2174">
        <v>65.650000000000006</v>
      </c>
      <c r="G2174" t="s">
        <v>31</v>
      </c>
      <c r="H2174" t="s">
        <v>37</v>
      </c>
      <c r="I2174">
        <v>3.6</v>
      </c>
      <c r="J2174">
        <v>11</v>
      </c>
      <c r="K2174">
        <v>3</v>
      </c>
    </row>
    <row r="2175" spans="1:11" x14ac:dyDescent="0.35">
      <c r="A2175">
        <v>2174</v>
      </c>
      <c r="B2175">
        <v>23</v>
      </c>
      <c r="C2175" t="s">
        <v>16</v>
      </c>
      <c r="D2175" t="s">
        <v>27</v>
      </c>
      <c r="E2175" t="s">
        <v>32</v>
      </c>
      <c r="F2175">
        <v>899.3</v>
      </c>
      <c r="G2175" t="s">
        <v>19</v>
      </c>
      <c r="H2175" t="s">
        <v>15</v>
      </c>
      <c r="I2175">
        <v>3.8</v>
      </c>
      <c r="J2175">
        <v>14</v>
      </c>
      <c r="K2175">
        <v>2</v>
      </c>
    </row>
    <row r="2176" spans="1:11" x14ac:dyDescent="0.35">
      <c r="A2176">
        <v>2175</v>
      </c>
      <c r="B2176">
        <v>70</v>
      </c>
      <c r="C2176" t="s">
        <v>16</v>
      </c>
      <c r="D2176" t="s">
        <v>22</v>
      </c>
      <c r="E2176" t="s">
        <v>43</v>
      </c>
      <c r="F2176">
        <v>189.01</v>
      </c>
      <c r="G2176" t="s">
        <v>19</v>
      </c>
      <c r="H2176" t="s">
        <v>15</v>
      </c>
      <c r="I2176">
        <v>4.8</v>
      </c>
      <c r="J2176">
        <v>24</v>
      </c>
      <c r="K2176">
        <v>7</v>
      </c>
    </row>
    <row r="2177" spans="1:11" x14ac:dyDescent="0.35">
      <c r="A2177">
        <v>2176</v>
      </c>
      <c r="B2177">
        <v>55</v>
      </c>
      <c r="C2177" t="s">
        <v>11</v>
      </c>
      <c r="D2177" t="s">
        <v>12</v>
      </c>
      <c r="E2177" t="s">
        <v>50</v>
      </c>
      <c r="F2177">
        <v>155.94999999999999</v>
      </c>
      <c r="G2177" t="s">
        <v>19</v>
      </c>
      <c r="H2177" t="s">
        <v>15</v>
      </c>
      <c r="I2177">
        <v>3.1</v>
      </c>
      <c r="J2177">
        <v>15</v>
      </c>
      <c r="K2177">
        <v>5</v>
      </c>
    </row>
    <row r="2178" spans="1:11" x14ac:dyDescent="0.35">
      <c r="A2178">
        <v>2177</v>
      </c>
      <c r="B2178">
        <v>28</v>
      </c>
      <c r="C2178" t="s">
        <v>11</v>
      </c>
      <c r="D2178" t="s">
        <v>29</v>
      </c>
      <c r="E2178" t="s">
        <v>51</v>
      </c>
      <c r="F2178">
        <v>90.72</v>
      </c>
      <c r="G2178" t="s">
        <v>24</v>
      </c>
      <c r="H2178" t="s">
        <v>37</v>
      </c>
      <c r="I2178">
        <v>1.4</v>
      </c>
      <c r="J2178">
        <v>8</v>
      </c>
      <c r="K2178">
        <v>4</v>
      </c>
    </row>
    <row r="2179" spans="1:11" x14ac:dyDescent="0.35">
      <c r="A2179">
        <v>2178</v>
      </c>
      <c r="B2179">
        <v>24</v>
      </c>
      <c r="C2179" t="s">
        <v>11</v>
      </c>
      <c r="D2179" t="s">
        <v>29</v>
      </c>
      <c r="E2179" t="s">
        <v>51</v>
      </c>
      <c r="F2179">
        <v>58.6</v>
      </c>
      <c r="G2179" t="s">
        <v>24</v>
      </c>
      <c r="H2179" t="s">
        <v>15</v>
      </c>
      <c r="I2179">
        <v>3.1</v>
      </c>
      <c r="J2179">
        <v>17</v>
      </c>
      <c r="K2179">
        <v>6</v>
      </c>
    </row>
    <row r="2180" spans="1:11" x14ac:dyDescent="0.35">
      <c r="A2180">
        <v>2179</v>
      </c>
      <c r="B2180">
        <v>69</v>
      </c>
      <c r="C2180" t="s">
        <v>11</v>
      </c>
      <c r="D2180" t="s">
        <v>41</v>
      </c>
      <c r="E2180" t="s">
        <v>45</v>
      </c>
      <c r="F2180">
        <v>58.78</v>
      </c>
      <c r="G2180" t="s">
        <v>31</v>
      </c>
      <c r="H2180" t="s">
        <v>15</v>
      </c>
      <c r="I2180">
        <v>3.7</v>
      </c>
      <c r="J2180">
        <v>18</v>
      </c>
      <c r="K2180">
        <v>4</v>
      </c>
    </row>
    <row r="2181" spans="1:11" x14ac:dyDescent="0.35">
      <c r="A2181">
        <v>2180</v>
      </c>
      <c r="B2181">
        <v>54</v>
      </c>
      <c r="C2181" t="s">
        <v>11</v>
      </c>
      <c r="D2181" t="s">
        <v>33</v>
      </c>
      <c r="E2181" t="s">
        <v>40</v>
      </c>
      <c r="F2181">
        <v>249.37</v>
      </c>
      <c r="G2181" t="s">
        <v>31</v>
      </c>
      <c r="H2181" t="s">
        <v>15</v>
      </c>
      <c r="I2181">
        <v>3.8</v>
      </c>
      <c r="J2181">
        <v>8</v>
      </c>
      <c r="K2181">
        <v>4</v>
      </c>
    </row>
    <row r="2182" spans="1:11" x14ac:dyDescent="0.35">
      <c r="A2182">
        <v>2181</v>
      </c>
      <c r="B2182">
        <v>39</v>
      </c>
      <c r="C2182" t="s">
        <v>16</v>
      </c>
      <c r="D2182" t="s">
        <v>20</v>
      </c>
      <c r="E2182" t="s">
        <v>39</v>
      </c>
      <c r="F2182">
        <v>66.75</v>
      </c>
      <c r="G2182" t="s">
        <v>31</v>
      </c>
      <c r="H2182" t="s">
        <v>15</v>
      </c>
      <c r="I2182">
        <v>3.3</v>
      </c>
      <c r="J2182">
        <v>8</v>
      </c>
      <c r="K2182">
        <v>4</v>
      </c>
    </row>
    <row r="2183" spans="1:11" x14ac:dyDescent="0.35">
      <c r="A2183">
        <v>2182</v>
      </c>
      <c r="B2183">
        <v>21</v>
      </c>
      <c r="C2183" t="s">
        <v>16</v>
      </c>
      <c r="D2183" t="s">
        <v>20</v>
      </c>
      <c r="E2183" t="s">
        <v>39</v>
      </c>
      <c r="F2183">
        <v>232.78</v>
      </c>
      <c r="G2183" t="s">
        <v>19</v>
      </c>
      <c r="H2183" t="s">
        <v>15</v>
      </c>
      <c r="I2183">
        <v>4.0999999999999996</v>
      </c>
      <c r="J2183">
        <v>16</v>
      </c>
      <c r="K2183">
        <v>3</v>
      </c>
    </row>
    <row r="2184" spans="1:11" x14ac:dyDescent="0.35">
      <c r="A2184">
        <v>2183</v>
      </c>
      <c r="B2184">
        <v>55</v>
      </c>
      <c r="C2184" t="s">
        <v>16</v>
      </c>
      <c r="D2184" t="s">
        <v>22</v>
      </c>
      <c r="E2184" t="s">
        <v>43</v>
      </c>
      <c r="F2184">
        <v>271.73</v>
      </c>
      <c r="G2184" t="s">
        <v>14</v>
      </c>
      <c r="H2184" t="s">
        <v>15</v>
      </c>
      <c r="I2184">
        <v>2.8</v>
      </c>
      <c r="J2184">
        <v>4</v>
      </c>
      <c r="K2184">
        <v>2</v>
      </c>
    </row>
    <row r="2185" spans="1:11" x14ac:dyDescent="0.35">
      <c r="A2185">
        <v>2184</v>
      </c>
      <c r="B2185">
        <v>32</v>
      </c>
      <c r="C2185" t="s">
        <v>11</v>
      </c>
      <c r="D2185" t="s">
        <v>20</v>
      </c>
      <c r="E2185" t="s">
        <v>36</v>
      </c>
      <c r="F2185">
        <v>117.69</v>
      </c>
      <c r="G2185" t="s">
        <v>14</v>
      </c>
      <c r="H2185" t="s">
        <v>15</v>
      </c>
      <c r="I2185">
        <v>3.4</v>
      </c>
      <c r="J2185">
        <v>22</v>
      </c>
      <c r="K2185">
        <v>6</v>
      </c>
    </row>
    <row r="2186" spans="1:11" x14ac:dyDescent="0.35">
      <c r="A2186">
        <v>2185</v>
      </c>
      <c r="B2186">
        <v>21</v>
      </c>
      <c r="C2186" t="s">
        <v>11</v>
      </c>
      <c r="D2186" t="s">
        <v>20</v>
      </c>
      <c r="E2186" t="s">
        <v>36</v>
      </c>
      <c r="F2186">
        <v>248.21</v>
      </c>
      <c r="G2186" t="s">
        <v>19</v>
      </c>
      <c r="H2186" t="s">
        <v>15</v>
      </c>
      <c r="I2186">
        <v>4</v>
      </c>
      <c r="J2186">
        <v>8</v>
      </c>
      <c r="K2186">
        <v>4</v>
      </c>
    </row>
    <row r="2187" spans="1:11" x14ac:dyDescent="0.35">
      <c r="A2187">
        <v>2186</v>
      </c>
      <c r="B2187">
        <v>20</v>
      </c>
      <c r="C2187" t="s">
        <v>11</v>
      </c>
      <c r="D2187" t="s">
        <v>20</v>
      </c>
      <c r="E2187" t="s">
        <v>21</v>
      </c>
      <c r="F2187">
        <v>83.38</v>
      </c>
      <c r="G2187" t="s">
        <v>24</v>
      </c>
      <c r="H2187" t="s">
        <v>37</v>
      </c>
      <c r="I2187">
        <v>3.5</v>
      </c>
      <c r="J2187">
        <v>4</v>
      </c>
      <c r="K2187">
        <v>2</v>
      </c>
    </row>
    <row r="2188" spans="1:11" x14ac:dyDescent="0.35">
      <c r="A2188">
        <v>2187</v>
      </c>
      <c r="B2188">
        <v>39</v>
      </c>
      <c r="C2188" t="s">
        <v>11</v>
      </c>
      <c r="D2188" t="s">
        <v>22</v>
      </c>
      <c r="E2188" t="s">
        <v>23</v>
      </c>
      <c r="F2188">
        <v>113.79</v>
      </c>
      <c r="G2188" t="s">
        <v>14</v>
      </c>
      <c r="H2188" t="s">
        <v>15</v>
      </c>
      <c r="I2188">
        <v>5</v>
      </c>
      <c r="J2188">
        <v>14</v>
      </c>
      <c r="K2188">
        <v>2</v>
      </c>
    </row>
    <row r="2189" spans="1:11" x14ac:dyDescent="0.35">
      <c r="A2189">
        <v>2188</v>
      </c>
      <c r="B2189">
        <v>44</v>
      </c>
      <c r="C2189" t="s">
        <v>11</v>
      </c>
      <c r="D2189" t="s">
        <v>22</v>
      </c>
      <c r="E2189" t="s">
        <v>52</v>
      </c>
      <c r="F2189">
        <v>278.16000000000003</v>
      </c>
      <c r="G2189" t="s">
        <v>19</v>
      </c>
      <c r="H2189" t="s">
        <v>15</v>
      </c>
      <c r="I2189">
        <v>2.7</v>
      </c>
      <c r="J2189">
        <v>7</v>
      </c>
      <c r="K2189">
        <v>1</v>
      </c>
    </row>
    <row r="2190" spans="1:11" x14ac:dyDescent="0.35">
      <c r="A2190">
        <v>2189</v>
      </c>
      <c r="B2190">
        <v>45</v>
      </c>
      <c r="C2190" t="s">
        <v>11</v>
      </c>
      <c r="D2190" t="s">
        <v>33</v>
      </c>
      <c r="E2190" t="s">
        <v>40</v>
      </c>
      <c r="F2190">
        <v>136.82</v>
      </c>
      <c r="G2190" t="s">
        <v>14</v>
      </c>
      <c r="H2190" t="s">
        <v>15</v>
      </c>
      <c r="I2190">
        <v>3.7</v>
      </c>
      <c r="J2190">
        <v>13</v>
      </c>
      <c r="K2190">
        <v>4</v>
      </c>
    </row>
    <row r="2191" spans="1:11" x14ac:dyDescent="0.35">
      <c r="A2191">
        <v>2190</v>
      </c>
      <c r="B2191">
        <v>22</v>
      </c>
      <c r="C2191" t="s">
        <v>11</v>
      </c>
      <c r="D2191" t="s">
        <v>41</v>
      </c>
      <c r="E2191" t="s">
        <v>45</v>
      </c>
      <c r="F2191">
        <v>198.84</v>
      </c>
      <c r="G2191" t="s">
        <v>24</v>
      </c>
      <c r="H2191" t="s">
        <v>15</v>
      </c>
      <c r="I2191">
        <v>3.5</v>
      </c>
      <c r="J2191">
        <v>15</v>
      </c>
      <c r="K2191">
        <v>5</v>
      </c>
    </row>
    <row r="2192" spans="1:11" x14ac:dyDescent="0.35">
      <c r="A2192">
        <v>2191</v>
      </c>
      <c r="B2192">
        <v>55</v>
      </c>
      <c r="C2192" t="s">
        <v>11</v>
      </c>
      <c r="D2192" t="s">
        <v>33</v>
      </c>
      <c r="E2192" t="s">
        <v>40</v>
      </c>
      <c r="F2192">
        <v>228.85</v>
      </c>
      <c r="G2192" t="s">
        <v>31</v>
      </c>
      <c r="H2192" t="s">
        <v>15</v>
      </c>
      <c r="I2192">
        <v>4.3</v>
      </c>
      <c r="J2192">
        <v>18</v>
      </c>
      <c r="K2192">
        <v>4</v>
      </c>
    </row>
    <row r="2193" spans="1:11" x14ac:dyDescent="0.35">
      <c r="A2193">
        <v>2192</v>
      </c>
      <c r="B2193">
        <v>59</v>
      </c>
      <c r="C2193" t="s">
        <v>16</v>
      </c>
      <c r="D2193" t="s">
        <v>20</v>
      </c>
      <c r="E2193" t="s">
        <v>21</v>
      </c>
      <c r="F2193">
        <v>46.03</v>
      </c>
      <c r="G2193" t="s">
        <v>31</v>
      </c>
      <c r="H2193" t="s">
        <v>37</v>
      </c>
      <c r="I2193">
        <v>3.2</v>
      </c>
      <c r="J2193">
        <v>12</v>
      </c>
      <c r="K2193">
        <v>6</v>
      </c>
    </row>
    <row r="2194" spans="1:11" x14ac:dyDescent="0.35">
      <c r="A2194">
        <v>2193</v>
      </c>
      <c r="B2194">
        <v>42</v>
      </c>
      <c r="C2194" t="s">
        <v>11</v>
      </c>
      <c r="D2194" t="s">
        <v>41</v>
      </c>
      <c r="E2194" t="s">
        <v>46</v>
      </c>
      <c r="F2194">
        <v>66.91</v>
      </c>
      <c r="G2194" t="s">
        <v>19</v>
      </c>
      <c r="H2194" t="s">
        <v>37</v>
      </c>
      <c r="I2194">
        <v>4.5</v>
      </c>
      <c r="J2194">
        <v>20</v>
      </c>
      <c r="K2194">
        <v>5</v>
      </c>
    </row>
    <row r="2195" spans="1:11" x14ac:dyDescent="0.35">
      <c r="A2195">
        <v>2194</v>
      </c>
      <c r="B2195">
        <v>63</v>
      </c>
      <c r="C2195" t="s">
        <v>11</v>
      </c>
      <c r="D2195" t="s">
        <v>41</v>
      </c>
      <c r="E2195" t="s">
        <v>42</v>
      </c>
      <c r="F2195">
        <v>70.959999999999994</v>
      </c>
      <c r="G2195" t="s">
        <v>24</v>
      </c>
      <c r="H2195" t="s">
        <v>37</v>
      </c>
      <c r="I2195">
        <v>2.5</v>
      </c>
      <c r="J2195">
        <v>6</v>
      </c>
      <c r="K2195">
        <v>3</v>
      </c>
    </row>
    <row r="2196" spans="1:11" x14ac:dyDescent="0.35">
      <c r="A2196">
        <v>2195</v>
      </c>
      <c r="B2196">
        <v>24</v>
      </c>
      <c r="C2196" t="s">
        <v>11</v>
      </c>
      <c r="D2196" t="s">
        <v>29</v>
      </c>
      <c r="E2196" t="s">
        <v>55</v>
      </c>
      <c r="F2196">
        <v>33.03</v>
      </c>
      <c r="G2196" t="s">
        <v>19</v>
      </c>
      <c r="H2196" t="s">
        <v>37</v>
      </c>
      <c r="I2196">
        <v>4.7</v>
      </c>
      <c r="J2196">
        <v>12</v>
      </c>
      <c r="K2196">
        <v>6</v>
      </c>
    </row>
    <row r="2197" spans="1:11" x14ac:dyDescent="0.35">
      <c r="A2197">
        <v>2196</v>
      </c>
      <c r="B2197">
        <v>27</v>
      </c>
      <c r="C2197" t="s">
        <v>11</v>
      </c>
      <c r="D2197" t="s">
        <v>33</v>
      </c>
      <c r="E2197" t="s">
        <v>34</v>
      </c>
      <c r="F2197">
        <v>167.37</v>
      </c>
      <c r="G2197" t="s">
        <v>24</v>
      </c>
      <c r="H2197" t="s">
        <v>15</v>
      </c>
      <c r="I2197">
        <v>3.4</v>
      </c>
      <c r="J2197">
        <v>19</v>
      </c>
      <c r="K2197">
        <v>7</v>
      </c>
    </row>
    <row r="2198" spans="1:11" x14ac:dyDescent="0.35">
      <c r="A2198">
        <v>2197</v>
      </c>
      <c r="B2198">
        <v>46</v>
      </c>
      <c r="C2198" t="s">
        <v>16</v>
      </c>
      <c r="D2198" t="s">
        <v>27</v>
      </c>
      <c r="E2198" t="s">
        <v>28</v>
      </c>
      <c r="F2198">
        <v>1442.61</v>
      </c>
      <c r="G2198" t="s">
        <v>14</v>
      </c>
      <c r="H2198" t="s">
        <v>15</v>
      </c>
      <c r="I2198">
        <v>2.9</v>
      </c>
      <c r="J2198">
        <v>17</v>
      </c>
      <c r="K2198">
        <v>6</v>
      </c>
    </row>
    <row r="2199" spans="1:11" x14ac:dyDescent="0.35">
      <c r="A2199">
        <v>2198</v>
      </c>
      <c r="B2199">
        <v>67</v>
      </c>
      <c r="C2199" t="s">
        <v>16</v>
      </c>
      <c r="D2199" t="s">
        <v>20</v>
      </c>
      <c r="E2199" t="s">
        <v>21</v>
      </c>
      <c r="F2199">
        <v>246</v>
      </c>
      <c r="G2199" t="s">
        <v>14</v>
      </c>
      <c r="H2199" t="s">
        <v>15</v>
      </c>
      <c r="I2199">
        <v>5</v>
      </c>
      <c r="J2199">
        <v>18</v>
      </c>
      <c r="K2199">
        <v>4</v>
      </c>
    </row>
    <row r="2200" spans="1:11" x14ac:dyDescent="0.35">
      <c r="A2200">
        <v>2199</v>
      </c>
      <c r="B2200">
        <v>46</v>
      </c>
      <c r="C2200" t="s">
        <v>16</v>
      </c>
      <c r="D2200" t="s">
        <v>20</v>
      </c>
      <c r="E2200" t="s">
        <v>39</v>
      </c>
      <c r="F2200">
        <v>68.17</v>
      </c>
      <c r="G2200" t="s">
        <v>24</v>
      </c>
      <c r="H2200" t="s">
        <v>37</v>
      </c>
      <c r="I2200">
        <v>3.4</v>
      </c>
      <c r="J2200">
        <v>17</v>
      </c>
      <c r="K2200">
        <v>6</v>
      </c>
    </row>
    <row r="2201" spans="1:11" x14ac:dyDescent="0.35">
      <c r="A2201">
        <v>2200</v>
      </c>
      <c r="B2201">
        <v>41</v>
      </c>
      <c r="C2201" t="s">
        <v>16</v>
      </c>
      <c r="D2201" t="s">
        <v>33</v>
      </c>
      <c r="E2201" t="s">
        <v>40</v>
      </c>
      <c r="F2201">
        <v>74.88</v>
      </c>
      <c r="G2201" t="s">
        <v>31</v>
      </c>
      <c r="H2201" t="s">
        <v>15</v>
      </c>
      <c r="I2201">
        <v>4.7</v>
      </c>
      <c r="J2201">
        <v>16</v>
      </c>
      <c r="K2201">
        <v>3</v>
      </c>
    </row>
    <row r="2202" spans="1:11" x14ac:dyDescent="0.35">
      <c r="A2202">
        <v>2201</v>
      </c>
      <c r="B2202">
        <v>36</v>
      </c>
      <c r="C2202" t="s">
        <v>16</v>
      </c>
      <c r="D2202" t="s">
        <v>20</v>
      </c>
      <c r="E2202" t="s">
        <v>36</v>
      </c>
      <c r="F2202">
        <v>105.09</v>
      </c>
      <c r="G2202" t="s">
        <v>19</v>
      </c>
      <c r="H2202" t="s">
        <v>15</v>
      </c>
      <c r="I2202">
        <v>3.6</v>
      </c>
      <c r="J2202">
        <v>22</v>
      </c>
      <c r="K2202">
        <v>6</v>
      </c>
    </row>
    <row r="2203" spans="1:11" x14ac:dyDescent="0.35">
      <c r="A2203">
        <v>2202</v>
      </c>
      <c r="B2203">
        <v>23</v>
      </c>
      <c r="C2203" t="s">
        <v>16</v>
      </c>
      <c r="D2203" t="s">
        <v>20</v>
      </c>
      <c r="E2203" t="s">
        <v>21</v>
      </c>
      <c r="F2203">
        <v>109.86</v>
      </c>
      <c r="G2203" t="s">
        <v>14</v>
      </c>
      <c r="H2203" t="s">
        <v>15</v>
      </c>
      <c r="I2203">
        <v>5</v>
      </c>
      <c r="J2203">
        <v>7</v>
      </c>
      <c r="K2203">
        <v>1</v>
      </c>
    </row>
    <row r="2204" spans="1:11" x14ac:dyDescent="0.35">
      <c r="A2204">
        <v>2203</v>
      </c>
      <c r="B2204">
        <v>32</v>
      </c>
      <c r="C2204" t="s">
        <v>11</v>
      </c>
      <c r="D2204" t="s">
        <v>33</v>
      </c>
      <c r="E2204" t="s">
        <v>34</v>
      </c>
      <c r="F2204">
        <v>232.22</v>
      </c>
      <c r="G2204" t="s">
        <v>19</v>
      </c>
      <c r="H2204" t="s">
        <v>15</v>
      </c>
      <c r="I2204">
        <v>3.5</v>
      </c>
      <c r="J2204">
        <v>11</v>
      </c>
      <c r="K2204">
        <v>3</v>
      </c>
    </row>
    <row r="2205" spans="1:11" x14ac:dyDescent="0.35">
      <c r="A2205">
        <v>2204</v>
      </c>
      <c r="B2205">
        <v>60</v>
      </c>
      <c r="C2205" t="s">
        <v>16</v>
      </c>
      <c r="D2205" t="s">
        <v>17</v>
      </c>
      <c r="E2205" t="s">
        <v>35</v>
      </c>
      <c r="F2205">
        <v>170.41</v>
      </c>
      <c r="G2205" t="s">
        <v>31</v>
      </c>
      <c r="H2205" t="s">
        <v>15</v>
      </c>
      <c r="I2205">
        <v>2.6</v>
      </c>
      <c r="J2205">
        <v>17</v>
      </c>
      <c r="K2205">
        <v>6</v>
      </c>
    </row>
    <row r="2206" spans="1:11" x14ac:dyDescent="0.35">
      <c r="A2206">
        <v>2205</v>
      </c>
      <c r="B2206">
        <v>43</v>
      </c>
      <c r="C2206" t="s">
        <v>16</v>
      </c>
      <c r="D2206" t="s">
        <v>17</v>
      </c>
      <c r="E2206" t="s">
        <v>42</v>
      </c>
      <c r="F2206">
        <v>122.14</v>
      </c>
      <c r="G2206" t="s">
        <v>19</v>
      </c>
      <c r="H2206" t="s">
        <v>15</v>
      </c>
      <c r="I2206">
        <v>4</v>
      </c>
      <c r="J2206">
        <v>10</v>
      </c>
      <c r="K2206">
        <v>5</v>
      </c>
    </row>
    <row r="2207" spans="1:11" x14ac:dyDescent="0.35">
      <c r="A2207">
        <v>2206</v>
      </c>
      <c r="B2207">
        <v>58</v>
      </c>
      <c r="C2207" t="s">
        <v>11</v>
      </c>
      <c r="D2207" t="s">
        <v>12</v>
      </c>
      <c r="E2207" t="s">
        <v>13</v>
      </c>
      <c r="F2207">
        <v>98.65</v>
      </c>
      <c r="G2207" t="s">
        <v>19</v>
      </c>
      <c r="H2207" t="s">
        <v>37</v>
      </c>
      <c r="I2207">
        <v>3.9</v>
      </c>
      <c r="J2207">
        <v>8</v>
      </c>
      <c r="K2207">
        <v>4</v>
      </c>
    </row>
    <row r="2208" spans="1:11" x14ac:dyDescent="0.35">
      <c r="A2208">
        <v>2207</v>
      </c>
      <c r="B2208">
        <v>70</v>
      </c>
      <c r="C2208" t="s">
        <v>16</v>
      </c>
      <c r="D2208" t="s">
        <v>20</v>
      </c>
      <c r="E2208" t="s">
        <v>21</v>
      </c>
      <c r="F2208">
        <v>43.95</v>
      </c>
      <c r="G2208" t="s">
        <v>14</v>
      </c>
      <c r="H2208" t="s">
        <v>37</v>
      </c>
      <c r="I2208">
        <v>3.4</v>
      </c>
      <c r="J2208">
        <v>15</v>
      </c>
      <c r="K2208">
        <v>5</v>
      </c>
    </row>
    <row r="2209" spans="1:11" x14ac:dyDescent="0.35">
      <c r="A2209">
        <v>2208</v>
      </c>
      <c r="B2209">
        <v>43</v>
      </c>
      <c r="C2209" t="s">
        <v>16</v>
      </c>
      <c r="D2209" t="s">
        <v>20</v>
      </c>
      <c r="E2209" t="s">
        <v>21</v>
      </c>
      <c r="F2209">
        <v>127.93</v>
      </c>
      <c r="G2209" t="s">
        <v>24</v>
      </c>
      <c r="H2209" t="s">
        <v>15</v>
      </c>
      <c r="I2209">
        <v>2.9</v>
      </c>
      <c r="J2209">
        <v>13</v>
      </c>
      <c r="K2209">
        <v>4</v>
      </c>
    </row>
    <row r="2210" spans="1:11" x14ac:dyDescent="0.35">
      <c r="A2210">
        <v>2209</v>
      </c>
      <c r="B2210">
        <v>55</v>
      </c>
      <c r="C2210" t="s">
        <v>16</v>
      </c>
      <c r="D2210" t="s">
        <v>25</v>
      </c>
      <c r="E2210" t="s">
        <v>26</v>
      </c>
      <c r="F2210">
        <v>62.57</v>
      </c>
      <c r="G2210" t="s">
        <v>14</v>
      </c>
      <c r="H2210" t="s">
        <v>37</v>
      </c>
      <c r="I2210">
        <v>3.6</v>
      </c>
      <c r="J2210">
        <v>12</v>
      </c>
      <c r="K2210">
        <v>6</v>
      </c>
    </row>
    <row r="2211" spans="1:11" x14ac:dyDescent="0.35">
      <c r="A2211">
        <v>2210</v>
      </c>
      <c r="B2211">
        <v>24</v>
      </c>
      <c r="C2211" t="s">
        <v>11</v>
      </c>
      <c r="D2211" t="s">
        <v>41</v>
      </c>
      <c r="E2211" t="s">
        <v>42</v>
      </c>
      <c r="F2211">
        <v>106.76</v>
      </c>
      <c r="G2211" t="s">
        <v>14</v>
      </c>
      <c r="H2211" t="s">
        <v>15</v>
      </c>
      <c r="I2211">
        <v>3.2</v>
      </c>
      <c r="J2211">
        <v>8</v>
      </c>
      <c r="K2211">
        <v>4</v>
      </c>
    </row>
    <row r="2212" spans="1:11" x14ac:dyDescent="0.35">
      <c r="A2212">
        <v>2211</v>
      </c>
      <c r="B2212">
        <v>41</v>
      </c>
      <c r="C2212" t="s">
        <v>11</v>
      </c>
      <c r="D2212" t="s">
        <v>22</v>
      </c>
      <c r="E2212" t="s">
        <v>52</v>
      </c>
      <c r="F2212">
        <v>245.42</v>
      </c>
      <c r="G2212" t="s">
        <v>31</v>
      </c>
      <c r="H2212" t="s">
        <v>15</v>
      </c>
      <c r="I2212">
        <v>3.6</v>
      </c>
      <c r="J2212">
        <v>20</v>
      </c>
      <c r="K2212">
        <v>5</v>
      </c>
    </row>
    <row r="2213" spans="1:11" x14ac:dyDescent="0.35">
      <c r="A2213">
        <v>2212</v>
      </c>
      <c r="B2213">
        <v>33</v>
      </c>
      <c r="C2213" t="s">
        <v>16</v>
      </c>
      <c r="D2213" t="s">
        <v>20</v>
      </c>
      <c r="E2213" t="s">
        <v>36</v>
      </c>
      <c r="F2213">
        <v>184.79</v>
      </c>
      <c r="G2213" t="s">
        <v>24</v>
      </c>
      <c r="H2213" t="s">
        <v>15</v>
      </c>
      <c r="I2213">
        <v>2.8</v>
      </c>
      <c r="J2213">
        <v>11</v>
      </c>
      <c r="K2213">
        <v>3</v>
      </c>
    </row>
    <row r="2214" spans="1:11" x14ac:dyDescent="0.35">
      <c r="A2214">
        <v>2213</v>
      </c>
      <c r="B2214">
        <v>64</v>
      </c>
      <c r="C2214" t="s">
        <v>11</v>
      </c>
      <c r="D2214" t="s">
        <v>12</v>
      </c>
      <c r="E2214" t="s">
        <v>56</v>
      </c>
      <c r="F2214">
        <v>176.59</v>
      </c>
      <c r="G2214" t="s">
        <v>14</v>
      </c>
      <c r="H2214" t="s">
        <v>15</v>
      </c>
      <c r="I2214">
        <v>3.9</v>
      </c>
      <c r="J2214">
        <v>20</v>
      </c>
      <c r="K2214">
        <v>5</v>
      </c>
    </row>
    <row r="2215" spans="1:11" x14ac:dyDescent="0.35">
      <c r="A2215">
        <v>2214</v>
      </c>
      <c r="B2215">
        <v>26</v>
      </c>
      <c r="C2215" t="s">
        <v>11</v>
      </c>
      <c r="D2215" t="s">
        <v>41</v>
      </c>
      <c r="E2215" t="s">
        <v>45</v>
      </c>
      <c r="F2215">
        <v>58.44</v>
      </c>
      <c r="G2215" t="s">
        <v>24</v>
      </c>
      <c r="H2215" t="s">
        <v>37</v>
      </c>
      <c r="I2215">
        <v>2.1</v>
      </c>
      <c r="J2215">
        <v>19</v>
      </c>
      <c r="K2215">
        <v>7</v>
      </c>
    </row>
    <row r="2216" spans="1:11" x14ac:dyDescent="0.35">
      <c r="A2216">
        <v>2215</v>
      </c>
      <c r="B2216">
        <v>53</v>
      </c>
      <c r="C2216" t="s">
        <v>11</v>
      </c>
      <c r="D2216" t="s">
        <v>25</v>
      </c>
      <c r="E2216" t="s">
        <v>57</v>
      </c>
      <c r="F2216">
        <v>9.7200000000000006</v>
      </c>
      <c r="G2216" t="s">
        <v>24</v>
      </c>
      <c r="H2216" t="s">
        <v>15</v>
      </c>
      <c r="I2216">
        <v>3.9</v>
      </c>
      <c r="J2216">
        <v>24</v>
      </c>
      <c r="K2216">
        <v>7</v>
      </c>
    </row>
    <row r="2217" spans="1:11" x14ac:dyDescent="0.35">
      <c r="A2217">
        <v>2216</v>
      </c>
      <c r="B2217">
        <v>34</v>
      </c>
      <c r="C2217" t="s">
        <v>11</v>
      </c>
      <c r="D2217" t="s">
        <v>33</v>
      </c>
      <c r="E2217" t="s">
        <v>40</v>
      </c>
      <c r="F2217">
        <v>97.08</v>
      </c>
      <c r="G2217" t="s">
        <v>31</v>
      </c>
      <c r="H2217" t="s">
        <v>15</v>
      </c>
      <c r="I2217">
        <v>2.7</v>
      </c>
      <c r="J2217">
        <v>12</v>
      </c>
      <c r="K2217">
        <v>1</v>
      </c>
    </row>
    <row r="2218" spans="1:11" x14ac:dyDescent="0.35">
      <c r="A2218">
        <v>2217</v>
      </c>
      <c r="B2218">
        <v>35</v>
      </c>
      <c r="C2218" t="s">
        <v>11</v>
      </c>
      <c r="D2218" t="s">
        <v>12</v>
      </c>
      <c r="E2218" t="s">
        <v>13</v>
      </c>
      <c r="F2218">
        <v>150.88</v>
      </c>
      <c r="G2218" t="s">
        <v>24</v>
      </c>
      <c r="H2218" t="s">
        <v>15</v>
      </c>
      <c r="I2218">
        <v>4.3</v>
      </c>
      <c r="J2218">
        <v>16</v>
      </c>
      <c r="K2218">
        <v>8</v>
      </c>
    </row>
    <row r="2219" spans="1:11" x14ac:dyDescent="0.35">
      <c r="A2219">
        <v>2218</v>
      </c>
      <c r="B2219">
        <v>24</v>
      </c>
      <c r="C2219" t="s">
        <v>11</v>
      </c>
      <c r="D2219" t="s">
        <v>33</v>
      </c>
      <c r="E2219" t="s">
        <v>38</v>
      </c>
      <c r="F2219">
        <v>173.83</v>
      </c>
      <c r="G2219" t="s">
        <v>14</v>
      </c>
      <c r="H2219" t="s">
        <v>15</v>
      </c>
      <c r="I2219">
        <v>2.7</v>
      </c>
      <c r="J2219">
        <v>6</v>
      </c>
      <c r="K2219">
        <v>3</v>
      </c>
    </row>
    <row r="2220" spans="1:11" x14ac:dyDescent="0.35">
      <c r="A2220">
        <v>2219</v>
      </c>
      <c r="B2220">
        <v>57</v>
      </c>
      <c r="C2220" t="s">
        <v>16</v>
      </c>
      <c r="D2220" t="s">
        <v>27</v>
      </c>
      <c r="E2220" t="s">
        <v>28</v>
      </c>
      <c r="F2220">
        <v>1857.16</v>
      </c>
      <c r="G2220" t="s">
        <v>14</v>
      </c>
      <c r="H2220" t="s">
        <v>15</v>
      </c>
      <c r="I2220">
        <v>4</v>
      </c>
      <c r="J2220">
        <v>13</v>
      </c>
      <c r="K2220">
        <v>4</v>
      </c>
    </row>
    <row r="2221" spans="1:11" x14ac:dyDescent="0.35">
      <c r="A2221">
        <v>2220</v>
      </c>
      <c r="B2221">
        <v>31</v>
      </c>
      <c r="C2221" t="s">
        <v>16</v>
      </c>
      <c r="D2221" t="s">
        <v>20</v>
      </c>
      <c r="E2221" t="s">
        <v>36</v>
      </c>
      <c r="F2221">
        <v>227.4</v>
      </c>
      <c r="G2221" t="s">
        <v>24</v>
      </c>
      <c r="H2221" t="s">
        <v>15</v>
      </c>
      <c r="I2221">
        <v>3.5</v>
      </c>
      <c r="J2221">
        <v>11</v>
      </c>
      <c r="K2221">
        <v>3</v>
      </c>
    </row>
    <row r="2222" spans="1:11" x14ac:dyDescent="0.35">
      <c r="A2222">
        <v>2221</v>
      </c>
      <c r="B2222">
        <v>52</v>
      </c>
      <c r="C2222" t="s">
        <v>11</v>
      </c>
      <c r="D2222" t="s">
        <v>12</v>
      </c>
      <c r="E2222" t="s">
        <v>13</v>
      </c>
      <c r="F2222">
        <v>119.11</v>
      </c>
      <c r="G2222" t="s">
        <v>31</v>
      </c>
      <c r="H2222" t="s">
        <v>15</v>
      </c>
      <c r="I2222">
        <v>4.8</v>
      </c>
      <c r="J2222">
        <v>25</v>
      </c>
      <c r="K2222">
        <v>10</v>
      </c>
    </row>
    <row r="2223" spans="1:11" x14ac:dyDescent="0.35">
      <c r="A2223">
        <v>2222</v>
      </c>
      <c r="B2223">
        <v>30</v>
      </c>
      <c r="C2223" t="s">
        <v>16</v>
      </c>
      <c r="D2223" t="s">
        <v>27</v>
      </c>
      <c r="E2223" t="s">
        <v>53</v>
      </c>
      <c r="F2223">
        <v>1425.84</v>
      </c>
      <c r="G2223" t="s">
        <v>19</v>
      </c>
      <c r="H2223" t="s">
        <v>15</v>
      </c>
      <c r="I2223">
        <v>3.6</v>
      </c>
      <c r="J2223">
        <v>14</v>
      </c>
      <c r="K2223">
        <v>2</v>
      </c>
    </row>
    <row r="2224" spans="1:11" x14ac:dyDescent="0.35">
      <c r="A2224">
        <v>2223</v>
      </c>
      <c r="B2224">
        <v>32</v>
      </c>
      <c r="C2224" t="s">
        <v>16</v>
      </c>
      <c r="D2224" t="s">
        <v>33</v>
      </c>
      <c r="E2224" t="s">
        <v>34</v>
      </c>
      <c r="F2224">
        <v>170.66</v>
      </c>
      <c r="G2224" t="s">
        <v>19</v>
      </c>
      <c r="H2224" t="s">
        <v>15</v>
      </c>
      <c r="I2224">
        <v>4.2</v>
      </c>
      <c r="J2224">
        <v>17</v>
      </c>
      <c r="K2224">
        <v>6</v>
      </c>
    </row>
    <row r="2225" spans="1:11" x14ac:dyDescent="0.35">
      <c r="A2225">
        <v>2224</v>
      </c>
      <c r="B2225">
        <v>21</v>
      </c>
      <c r="C2225" t="s">
        <v>16</v>
      </c>
      <c r="D2225" t="s">
        <v>20</v>
      </c>
      <c r="E2225" t="s">
        <v>39</v>
      </c>
      <c r="F2225">
        <v>246.8</v>
      </c>
      <c r="G2225" t="s">
        <v>14</v>
      </c>
      <c r="H2225" t="s">
        <v>15</v>
      </c>
      <c r="I2225">
        <v>3.2</v>
      </c>
      <c r="J2225">
        <v>13</v>
      </c>
      <c r="K2225">
        <v>4</v>
      </c>
    </row>
    <row r="2226" spans="1:11" x14ac:dyDescent="0.35">
      <c r="A2226">
        <v>2225</v>
      </c>
      <c r="B2226">
        <v>63</v>
      </c>
      <c r="C2226" t="s">
        <v>11</v>
      </c>
      <c r="D2226" t="s">
        <v>29</v>
      </c>
      <c r="E2226" t="s">
        <v>55</v>
      </c>
      <c r="F2226">
        <v>40.06</v>
      </c>
      <c r="G2226" t="s">
        <v>31</v>
      </c>
      <c r="H2226" t="s">
        <v>37</v>
      </c>
      <c r="I2226">
        <v>4</v>
      </c>
      <c r="J2226">
        <v>20</v>
      </c>
      <c r="K2226">
        <v>5</v>
      </c>
    </row>
    <row r="2227" spans="1:11" x14ac:dyDescent="0.35">
      <c r="A2227">
        <v>2226</v>
      </c>
      <c r="B2227">
        <v>38</v>
      </c>
      <c r="C2227" t="s">
        <v>11</v>
      </c>
      <c r="D2227" t="s">
        <v>33</v>
      </c>
      <c r="E2227" t="s">
        <v>34</v>
      </c>
      <c r="F2227">
        <v>47</v>
      </c>
      <c r="G2227" t="s">
        <v>31</v>
      </c>
      <c r="H2227" t="s">
        <v>15</v>
      </c>
      <c r="I2227">
        <v>3.4</v>
      </c>
      <c r="J2227">
        <v>18</v>
      </c>
      <c r="K2227">
        <v>9</v>
      </c>
    </row>
    <row r="2228" spans="1:11" x14ac:dyDescent="0.35">
      <c r="A2228">
        <v>2227</v>
      </c>
      <c r="B2228">
        <v>46</v>
      </c>
      <c r="C2228" t="s">
        <v>11</v>
      </c>
      <c r="D2228" t="s">
        <v>41</v>
      </c>
      <c r="E2228" t="s">
        <v>45</v>
      </c>
      <c r="F2228">
        <v>149.94999999999999</v>
      </c>
      <c r="G2228" t="s">
        <v>31</v>
      </c>
      <c r="H2228" t="s">
        <v>15</v>
      </c>
      <c r="I2228">
        <v>4.2</v>
      </c>
      <c r="J2228">
        <v>9</v>
      </c>
      <c r="K2228">
        <v>2</v>
      </c>
    </row>
    <row r="2229" spans="1:11" x14ac:dyDescent="0.35">
      <c r="A2229">
        <v>2228</v>
      </c>
      <c r="B2229">
        <v>68</v>
      </c>
      <c r="C2229" t="s">
        <v>16</v>
      </c>
      <c r="D2229" t="s">
        <v>27</v>
      </c>
      <c r="E2229" t="s">
        <v>32</v>
      </c>
      <c r="F2229">
        <v>1383.02</v>
      </c>
      <c r="G2229" t="s">
        <v>19</v>
      </c>
      <c r="H2229" t="s">
        <v>15</v>
      </c>
      <c r="I2229">
        <v>4.5999999999999996</v>
      </c>
      <c r="J2229">
        <v>16</v>
      </c>
      <c r="K2229">
        <v>3</v>
      </c>
    </row>
    <row r="2230" spans="1:11" x14ac:dyDescent="0.35">
      <c r="A2230">
        <v>2229</v>
      </c>
      <c r="B2230">
        <v>30</v>
      </c>
      <c r="C2230" t="s">
        <v>11</v>
      </c>
      <c r="D2230" t="s">
        <v>41</v>
      </c>
      <c r="E2230" t="s">
        <v>45</v>
      </c>
      <c r="F2230">
        <v>170.78</v>
      </c>
      <c r="G2230" t="s">
        <v>24</v>
      </c>
      <c r="H2230" t="s">
        <v>15</v>
      </c>
      <c r="I2230">
        <v>5</v>
      </c>
      <c r="J2230">
        <v>22</v>
      </c>
      <c r="K2230">
        <v>6</v>
      </c>
    </row>
    <row r="2231" spans="1:11" x14ac:dyDescent="0.35">
      <c r="A2231">
        <v>2230</v>
      </c>
      <c r="B2231">
        <v>26</v>
      </c>
      <c r="C2231" t="s">
        <v>16</v>
      </c>
      <c r="D2231" t="s">
        <v>17</v>
      </c>
      <c r="E2231" t="s">
        <v>35</v>
      </c>
      <c r="F2231">
        <v>119.83</v>
      </c>
      <c r="G2231" t="s">
        <v>14</v>
      </c>
      <c r="H2231" t="s">
        <v>15</v>
      </c>
      <c r="I2231">
        <v>3.4</v>
      </c>
      <c r="J2231">
        <v>8</v>
      </c>
      <c r="K2231">
        <v>4</v>
      </c>
    </row>
    <row r="2232" spans="1:11" x14ac:dyDescent="0.35">
      <c r="A2232">
        <v>2231</v>
      </c>
      <c r="B2232">
        <v>49</v>
      </c>
      <c r="C2232" t="s">
        <v>16</v>
      </c>
      <c r="D2232" t="s">
        <v>27</v>
      </c>
      <c r="E2232" t="s">
        <v>28</v>
      </c>
      <c r="F2232">
        <v>2780.13</v>
      </c>
      <c r="G2232" t="s">
        <v>24</v>
      </c>
      <c r="H2232" t="s">
        <v>15</v>
      </c>
      <c r="I2232">
        <v>3.6</v>
      </c>
      <c r="J2232">
        <v>15</v>
      </c>
      <c r="K2232">
        <v>5</v>
      </c>
    </row>
    <row r="2233" spans="1:11" x14ac:dyDescent="0.35">
      <c r="A2233">
        <v>2232</v>
      </c>
      <c r="B2233">
        <v>68</v>
      </c>
      <c r="C2233" t="s">
        <v>16</v>
      </c>
      <c r="D2233" t="s">
        <v>33</v>
      </c>
      <c r="E2233" t="s">
        <v>38</v>
      </c>
      <c r="F2233">
        <v>206.56</v>
      </c>
      <c r="G2233" t="s">
        <v>19</v>
      </c>
      <c r="H2233" t="s">
        <v>15</v>
      </c>
      <c r="I2233">
        <v>3.3</v>
      </c>
      <c r="J2233">
        <v>10</v>
      </c>
      <c r="K2233">
        <v>5</v>
      </c>
    </row>
    <row r="2234" spans="1:11" x14ac:dyDescent="0.35">
      <c r="A2234">
        <v>2233</v>
      </c>
      <c r="B2234">
        <v>30</v>
      </c>
      <c r="C2234" t="s">
        <v>11</v>
      </c>
      <c r="D2234" t="s">
        <v>41</v>
      </c>
      <c r="E2234" t="s">
        <v>42</v>
      </c>
      <c r="F2234">
        <v>186.33</v>
      </c>
      <c r="G2234" t="s">
        <v>19</v>
      </c>
      <c r="H2234" t="s">
        <v>15</v>
      </c>
      <c r="I2234">
        <v>3.5</v>
      </c>
      <c r="J2234">
        <v>12</v>
      </c>
      <c r="K2234">
        <v>6</v>
      </c>
    </row>
    <row r="2235" spans="1:11" x14ac:dyDescent="0.3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>
        <v>156.71</v>
      </c>
      <c r="G2235" t="s">
        <v>24</v>
      </c>
      <c r="H2235" t="s">
        <v>15</v>
      </c>
      <c r="I2235">
        <v>3.4</v>
      </c>
      <c r="J2235">
        <v>16</v>
      </c>
      <c r="K2235">
        <v>8</v>
      </c>
    </row>
    <row r="2236" spans="1:11" x14ac:dyDescent="0.35">
      <c r="A2236">
        <v>2235</v>
      </c>
      <c r="B2236">
        <v>42</v>
      </c>
      <c r="C2236" t="s">
        <v>11</v>
      </c>
      <c r="D2236" t="s">
        <v>29</v>
      </c>
      <c r="E2236" t="s">
        <v>51</v>
      </c>
      <c r="F2236">
        <v>78.39</v>
      </c>
      <c r="G2236" t="s">
        <v>31</v>
      </c>
      <c r="H2236" t="s">
        <v>15</v>
      </c>
      <c r="I2236">
        <v>3.7</v>
      </c>
      <c r="J2236">
        <v>22</v>
      </c>
      <c r="K2236">
        <v>6</v>
      </c>
    </row>
    <row r="2237" spans="1:11" x14ac:dyDescent="0.35">
      <c r="A2237">
        <v>2236</v>
      </c>
      <c r="B2237">
        <v>63</v>
      </c>
      <c r="C2237" t="s">
        <v>16</v>
      </c>
      <c r="D2237" t="s">
        <v>20</v>
      </c>
      <c r="E2237" t="s">
        <v>39</v>
      </c>
      <c r="F2237">
        <v>214.61</v>
      </c>
      <c r="G2237" t="s">
        <v>24</v>
      </c>
      <c r="H2237" t="s">
        <v>15</v>
      </c>
      <c r="I2237">
        <v>3.4</v>
      </c>
      <c r="J2237">
        <v>9</v>
      </c>
      <c r="K2237">
        <v>2</v>
      </c>
    </row>
    <row r="2238" spans="1:11" x14ac:dyDescent="0.35">
      <c r="A2238">
        <v>2237</v>
      </c>
      <c r="B2238">
        <v>34</v>
      </c>
      <c r="C2238" t="s">
        <v>16</v>
      </c>
      <c r="D2238" t="s">
        <v>25</v>
      </c>
      <c r="E2238" t="s">
        <v>57</v>
      </c>
      <c r="F2238">
        <v>10.119999999999999</v>
      </c>
      <c r="G2238" t="s">
        <v>19</v>
      </c>
      <c r="H2238" t="s">
        <v>37</v>
      </c>
      <c r="I2238">
        <v>4.3</v>
      </c>
      <c r="J2238">
        <v>10</v>
      </c>
      <c r="K2238">
        <v>5</v>
      </c>
    </row>
    <row r="2239" spans="1:11" x14ac:dyDescent="0.35">
      <c r="A2239">
        <v>2238</v>
      </c>
      <c r="B2239">
        <v>28</v>
      </c>
      <c r="C2239" t="s">
        <v>11</v>
      </c>
      <c r="D2239" t="s">
        <v>12</v>
      </c>
      <c r="E2239" t="s">
        <v>56</v>
      </c>
      <c r="F2239">
        <v>125.16</v>
      </c>
      <c r="G2239" t="s">
        <v>24</v>
      </c>
      <c r="H2239" t="s">
        <v>15</v>
      </c>
      <c r="I2239">
        <v>3.8</v>
      </c>
      <c r="J2239">
        <v>8</v>
      </c>
      <c r="K2239">
        <v>4</v>
      </c>
    </row>
    <row r="2240" spans="1:11" x14ac:dyDescent="0.35">
      <c r="A2240">
        <v>2239</v>
      </c>
      <c r="B2240">
        <v>34</v>
      </c>
      <c r="C2240" t="s">
        <v>11</v>
      </c>
      <c r="D2240" t="s">
        <v>41</v>
      </c>
      <c r="E2240" t="s">
        <v>45</v>
      </c>
      <c r="F2240">
        <v>90.17</v>
      </c>
      <c r="G2240" t="s">
        <v>19</v>
      </c>
      <c r="H2240" t="s">
        <v>37</v>
      </c>
      <c r="I2240">
        <v>3.1</v>
      </c>
      <c r="J2240">
        <v>19</v>
      </c>
      <c r="K2240">
        <v>7</v>
      </c>
    </row>
    <row r="2241" spans="1:11" x14ac:dyDescent="0.35">
      <c r="A2241">
        <v>2240</v>
      </c>
      <c r="B2241">
        <v>60</v>
      </c>
      <c r="C2241" t="s">
        <v>16</v>
      </c>
      <c r="D2241" t="s">
        <v>27</v>
      </c>
      <c r="E2241" t="s">
        <v>32</v>
      </c>
      <c r="F2241">
        <v>1445.76</v>
      </c>
      <c r="G2241" t="s">
        <v>19</v>
      </c>
      <c r="H2241" t="s">
        <v>15</v>
      </c>
      <c r="I2241">
        <v>4.5</v>
      </c>
      <c r="J2241">
        <v>16</v>
      </c>
      <c r="K2241">
        <v>3</v>
      </c>
    </row>
    <row r="2242" spans="1:11" x14ac:dyDescent="0.35">
      <c r="A2242">
        <v>2241</v>
      </c>
      <c r="B2242">
        <v>64</v>
      </c>
      <c r="C2242" t="s">
        <v>16</v>
      </c>
      <c r="D2242" t="s">
        <v>33</v>
      </c>
      <c r="E2242" t="s">
        <v>34</v>
      </c>
      <c r="F2242">
        <v>45.29</v>
      </c>
      <c r="G2242" t="s">
        <v>31</v>
      </c>
      <c r="H2242" t="s">
        <v>37</v>
      </c>
      <c r="I2242">
        <v>4</v>
      </c>
      <c r="J2242">
        <v>30</v>
      </c>
      <c r="K2242">
        <v>10</v>
      </c>
    </row>
    <row r="2243" spans="1:11" x14ac:dyDescent="0.35">
      <c r="A2243">
        <v>2242</v>
      </c>
      <c r="B2243">
        <v>36</v>
      </c>
      <c r="C2243" t="s">
        <v>11</v>
      </c>
      <c r="D2243" t="s">
        <v>33</v>
      </c>
      <c r="E2243" t="s">
        <v>38</v>
      </c>
      <c r="F2243">
        <v>120.65</v>
      </c>
      <c r="G2243" t="s">
        <v>19</v>
      </c>
      <c r="H2243" t="s">
        <v>15</v>
      </c>
      <c r="I2243">
        <v>4.9000000000000004</v>
      </c>
      <c r="J2243">
        <v>6</v>
      </c>
      <c r="K2243">
        <v>3</v>
      </c>
    </row>
    <row r="2244" spans="1:11" x14ac:dyDescent="0.35">
      <c r="A2244">
        <v>2243</v>
      </c>
      <c r="B2244">
        <v>69</v>
      </c>
      <c r="C2244" t="s">
        <v>16</v>
      </c>
      <c r="D2244" t="s">
        <v>20</v>
      </c>
      <c r="E2244" t="s">
        <v>36</v>
      </c>
      <c r="F2244">
        <v>204.74</v>
      </c>
      <c r="G2244" t="s">
        <v>31</v>
      </c>
      <c r="H2244" t="s">
        <v>15</v>
      </c>
      <c r="I2244">
        <v>4.0999999999999996</v>
      </c>
      <c r="J2244">
        <v>15</v>
      </c>
      <c r="K2244">
        <v>5</v>
      </c>
    </row>
    <row r="2245" spans="1:11" x14ac:dyDescent="0.35">
      <c r="A2245">
        <v>2244</v>
      </c>
      <c r="B2245">
        <v>37</v>
      </c>
      <c r="C2245" t="s">
        <v>11</v>
      </c>
      <c r="D2245" t="s">
        <v>29</v>
      </c>
      <c r="E2245" t="s">
        <v>51</v>
      </c>
      <c r="F2245">
        <v>23.24</v>
      </c>
      <c r="G2245" t="s">
        <v>31</v>
      </c>
      <c r="H2245" t="s">
        <v>15</v>
      </c>
      <c r="I2245">
        <v>3.6</v>
      </c>
      <c r="J2245">
        <v>20</v>
      </c>
      <c r="K2245">
        <v>5</v>
      </c>
    </row>
    <row r="2246" spans="1:11" x14ac:dyDescent="0.35">
      <c r="A2246">
        <v>2245</v>
      </c>
      <c r="B2246">
        <v>52</v>
      </c>
      <c r="C2246" t="s">
        <v>11</v>
      </c>
      <c r="D2246" t="s">
        <v>29</v>
      </c>
      <c r="E2246" t="s">
        <v>30</v>
      </c>
      <c r="F2246">
        <v>32.67</v>
      </c>
      <c r="G2246" t="s">
        <v>24</v>
      </c>
      <c r="H2246" t="s">
        <v>37</v>
      </c>
      <c r="I2246">
        <v>3.6</v>
      </c>
      <c r="J2246">
        <v>17</v>
      </c>
      <c r="K2246">
        <v>6</v>
      </c>
    </row>
    <row r="2247" spans="1:11" x14ac:dyDescent="0.35">
      <c r="A2247">
        <v>2246</v>
      </c>
      <c r="B2247">
        <v>31</v>
      </c>
      <c r="C2247" t="s">
        <v>16</v>
      </c>
      <c r="D2247" t="s">
        <v>27</v>
      </c>
      <c r="E2247" t="s">
        <v>28</v>
      </c>
      <c r="F2247">
        <v>2789.38</v>
      </c>
      <c r="G2247" t="s">
        <v>19</v>
      </c>
      <c r="H2247" t="s">
        <v>15</v>
      </c>
      <c r="I2247">
        <v>4.7</v>
      </c>
      <c r="J2247">
        <v>12</v>
      </c>
      <c r="K2247">
        <v>6</v>
      </c>
    </row>
    <row r="2248" spans="1:11" x14ac:dyDescent="0.35">
      <c r="A2248">
        <v>2247</v>
      </c>
      <c r="B2248">
        <v>67</v>
      </c>
      <c r="C2248" t="s">
        <v>16</v>
      </c>
      <c r="D2248" t="s">
        <v>33</v>
      </c>
      <c r="E2248" t="s">
        <v>34</v>
      </c>
      <c r="F2248">
        <v>54.61</v>
      </c>
      <c r="G2248" t="s">
        <v>14</v>
      </c>
      <c r="H2248" t="s">
        <v>15</v>
      </c>
      <c r="I2248">
        <v>4.0999999999999996</v>
      </c>
      <c r="J2248">
        <v>8</v>
      </c>
      <c r="K2248">
        <v>4</v>
      </c>
    </row>
    <row r="2249" spans="1:11" x14ac:dyDescent="0.35">
      <c r="A2249">
        <v>2248</v>
      </c>
      <c r="B2249">
        <v>28</v>
      </c>
      <c r="C2249" t="s">
        <v>16</v>
      </c>
      <c r="D2249" t="s">
        <v>20</v>
      </c>
      <c r="E2249" t="s">
        <v>36</v>
      </c>
      <c r="F2249">
        <v>157.25</v>
      </c>
      <c r="G2249" t="s">
        <v>19</v>
      </c>
      <c r="H2249" t="s">
        <v>15</v>
      </c>
      <c r="I2249">
        <v>4.2</v>
      </c>
      <c r="J2249">
        <v>18</v>
      </c>
      <c r="K2249">
        <v>4</v>
      </c>
    </row>
    <row r="2250" spans="1:11" x14ac:dyDescent="0.35">
      <c r="A2250">
        <v>2249</v>
      </c>
      <c r="B2250">
        <v>43</v>
      </c>
      <c r="C2250" t="s">
        <v>16</v>
      </c>
      <c r="D2250" t="s">
        <v>25</v>
      </c>
      <c r="E2250" t="s">
        <v>26</v>
      </c>
      <c r="F2250">
        <v>20.079999999999998</v>
      </c>
      <c r="G2250" t="s">
        <v>31</v>
      </c>
      <c r="H2250" t="s">
        <v>15</v>
      </c>
      <c r="I2250">
        <v>4.2</v>
      </c>
      <c r="J2250">
        <v>9</v>
      </c>
      <c r="K2250">
        <v>2</v>
      </c>
    </row>
    <row r="2251" spans="1:11" x14ac:dyDescent="0.35">
      <c r="A2251">
        <v>2250</v>
      </c>
      <c r="B2251">
        <v>45</v>
      </c>
      <c r="C2251" t="s">
        <v>11</v>
      </c>
      <c r="D2251" t="s">
        <v>12</v>
      </c>
      <c r="E2251" t="s">
        <v>50</v>
      </c>
      <c r="F2251">
        <v>50.5</v>
      </c>
      <c r="G2251" t="s">
        <v>14</v>
      </c>
      <c r="H2251" t="s">
        <v>37</v>
      </c>
      <c r="I2251">
        <v>2.5</v>
      </c>
      <c r="J2251">
        <v>20</v>
      </c>
      <c r="K2251">
        <v>5</v>
      </c>
    </row>
    <row r="2252" spans="1:11" x14ac:dyDescent="0.35">
      <c r="A2252">
        <v>2251</v>
      </c>
      <c r="B2252">
        <v>57</v>
      </c>
      <c r="C2252" t="s">
        <v>11</v>
      </c>
      <c r="D2252" t="s">
        <v>41</v>
      </c>
      <c r="E2252" t="s">
        <v>42</v>
      </c>
      <c r="F2252">
        <v>106.78</v>
      </c>
      <c r="G2252" t="s">
        <v>19</v>
      </c>
      <c r="H2252" t="s">
        <v>15</v>
      </c>
      <c r="I2252">
        <v>5</v>
      </c>
      <c r="J2252">
        <v>28</v>
      </c>
      <c r="K2252">
        <v>9</v>
      </c>
    </row>
    <row r="2253" spans="1:11" x14ac:dyDescent="0.35">
      <c r="A2253">
        <v>2252</v>
      </c>
      <c r="B2253">
        <v>33</v>
      </c>
      <c r="C2253" t="s">
        <v>11</v>
      </c>
      <c r="D2253" t="s">
        <v>12</v>
      </c>
      <c r="E2253" t="s">
        <v>56</v>
      </c>
      <c r="F2253">
        <v>21.35</v>
      </c>
      <c r="G2253" t="s">
        <v>24</v>
      </c>
      <c r="H2253" t="s">
        <v>37</v>
      </c>
      <c r="I2253">
        <v>3.9</v>
      </c>
      <c r="J2253">
        <v>13</v>
      </c>
      <c r="K2253">
        <v>4</v>
      </c>
    </row>
    <row r="2254" spans="1:11" x14ac:dyDescent="0.35">
      <c r="A2254">
        <v>2253</v>
      </c>
      <c r="B2254">
        <v>69</v>
      </c>
      <c r="C2254" t="s">
        <v>11</v>
      </c>
      <c r="D2254" t="s">
        <v>41</v>
      </c>
      <c r="E2254" t="s">
        <v>45</v>
      </c>
      <c r="F2254">
        <v>59.4</v>
      </c>
      <c r="G2254" t="s">
        <v>19</v>
      </c>
      <c r="H2254" t="s">
        <v>15</v>
      </c>
      <c r="I2254">
        <v>3.6</v>
      </c>
      <c r="J2254">
        <v>17</v>
      </c>
      <c r="K2254">
        <v>6</v>
      </c>
    </row>
    <row r="2255" spans="1:11" x14ac:dyDescent="0.35">
      <c r="A2255">
        <v>2254</v>
      </c>
      <c r="B2255">
        <v>60</v>
      </c>
      <c r="C2255" t="s">
        <v>16</v>
      </c>
      <c r="D2255" t="s">
        <v>20</v>
      </c>
      <c r="E2255" t="s">
        <v>39</v>
      </c>
      <c r="F2255">
        <v>196.16</v>
      </c>
      <c r="G2255" t="s">
        <v>14</v>
      </c>
      <c r="H2255" t="s">
        <v>15</v>
      </c>
      <c r="I2255">
        <v>1.9</v>
      </c>
      <c r="J2255">
        <v>4</v>
      </c>
      <c r="K2255">
        <v>2</v>
      </c>
    </row>
    <row r="2256" spans="1:11" x14ac:dyDescent="0.35">
      <c r="A2256">
        <v>2255</v>
      </c>
      <c r="B2256">
        <v>34</v>
      </c>
      <c r="C2256" t="s">
        <v>11</v>
      </c>
      <c r="D2256" t="s">
        <v>22</v>
      </c>
      <c r="E2256" t="s">
        <v>52</v>
      </c>
      <c r="F2256">
        <v>228.6</v>
      </c>
      <c r="G2256" t="s">
        <v>31</v>
      </c>
      <c r="H2256" t="s">
        <v>15</v>
      </c>
      <c r="I2256">
        <v>3.6</v>
      </c>
      <c r="J2256">
        <v>22</v>
      </c>
      <c r="K2256">
        <v>6</v>
      </c>
    </row>
    <row r="2257" spans="1:11" x14ac:dyDescent="0.35">
      <c r="A2257">
        <v>2256</v>
      </c>
      <c r="B2257">
        <v>62</v>
      </c>
      <c r="C2257" t="s">
        <v>11</v>
      </c>
      <c r="D2257" t="s">
        <v>29</v>
      </c>
      <c r="E2257" t="s">
        <v>51</v>
      </c>
      <c r="F2257">
        <v>146.15</v>
      </c>
      <c r="G2257" t="s">
        <v>14</v>
      </c>
      <c r="H2257" t="s">
        <v>15</v>
      </c>
      <c r="I2257">
        <v>2.4</v>
      </c>
      <c r="J2257">
        <v>14</v>
      </c>
      <c r="K2257">
        <v>7</v>
      </c>
    </row>
    <row r="2258" spans="1:11" x14ac:dyDescent="0.35">
      <c r="A2258">
        <v>2257</v>
      </c>
      <c r="B2258">
        <v>44</v>
      </c>
      <c r="C2258" t="s">
        <v>11</v>
      </c>
      <c r="D2258" t="s">
        <v>29</v>
      </c>
      <c r="E2258" t="s">
        <v>30</v>
      </c>
      <c r="F2258">
        <v>118.63</v>
      </c>
      <c r="G2258" t="s">
        <v>19</v>
      </c>
      <c r="H2258" t="s">
        <v>15</v>
      </c>
      <c r="I2258">
        <v>3.1</v>
      </c>
      <c r="J2258">
        <v>8</v>
      </c>
      <c r="K2258">
        <v>4</v>
      </c>
    </row>
    <row r="2259" spans="1:11" x14ac:dyDescent="0.35">
      <c r="A2259">
        <v>2258</v>
      </c>
      <c r="B2259">
        <v>21</v>
      </c>
      <c r="C2259" t="s">
        <v>16</v>
      </c>
      <c r="D2259" t="s">
        <v>27</v>
      </c>
      <c r="E2259" t="s">
        <v>28</v>
      </c>
      <c r="F2259">
        <v>1725.52</v>
      </c>
      <c r="G2259" t="s">
        <v>19</v>
      </c>
      <c r="H2259" t="s">
        <v>15</v>
      </c>
      <c r="I2259">
        <v>4.3</v>
      </c>
      <c r="J2259">
        <v>10</v>
      </c>
      <c r="K2259">
        <v>5</v>
      </c>
    </row>
    <row r="2260" spans="1:11" x14ac:dyDescent="0.35">
      <c r="A2260">
        <v>2259</v>
      </c>
      <c r="B2260">
        <v>42</v>
      </c>
      <c r="C2260" t="s">
        <v>16</v>
      </c>
      <c r="D2260" t="s">
        <v>33</v>
      </c>
      <c r="E2260" t="s">
        <v>38</v>
      </c>
      <c r="F2260">
        <v>217.85</v>
      </c>
      <c r="G2260" t="s">
        <v>14</v>
      </c>
      <c r="H2260" t="s">
        <v>15</v>
      </c>
      <c r="I2260">
        <v>4</v>
      </c>
      <c r="J2260">
        <v>26</v>
      </c>
      <c r="K2260">
        <v>8</v>
      </c>
    </row>
    <row r="2261" spans="1:11" x14ac:dyDescent="0.35">
      <c r="A2261">
        <v>2260</v>
      </c>
      <c r="B2261">
        <v>39</v>
      </c>
      <c r="C2261" t="s">
        <v>16</v>
      </c>
      <c r="D2261" t="s">
        <v>33</v>
      </c>
      <c r="E2261" t="s">
        <v>34</v>
      </c>
      <c r="F2261">
        <v>106.65</v>
      </c>
      <c r="G2261" t="s">
        <v>24</v>
      </c>
      <c r="H2261" t="s">
        <v>15</v>
      </c>
      <c r="I2261">
        <v>4.4000000000000004</v>
      </c>
      <c r="J2261">
        <v>16</v>
      </c>
      <c r="K2261">
        <v>3</v>
      </c>
    </row>
    <row r="2262" spans="1:11" x14ac:dyDescent="0.35">
      <c r="A2262">
        <v>2261</v>
      </c>
      <c r="B2262">
        <v>44</v>
      </c>
      <c r="C2262" t="s">
        <v>11</v>
      </c>
      <c r="D2262" t="s">
        <v>20</v>
      </c>
      <c r="E2262" t="s">
        <v>39</v>
      </c>
      <c r="F2262">
        <v>108.39</v>
      </c>
      <c r="G2262" t="s">
        <v>24</v>
      </c>
      <c r="H2262" t="s">
        <v>15</v>
      </c>
      <c r="I2262">
        <v>3.3</v>
      </c>
      <c r="J2262">
        <v>23</v>
      </c>
      <c r="K2262">
        <v>9</v>
      </c>
    </row>
    <row r="2263" spans="1:11" x14ac:dyDescent="0.35">
      <c r="A2263">
        <v>2262</v>
      </c>
      <c r="B2263">
        <v>20</v>
      </c>
      <c r="C2263" t="s">
        <v>16</v>
      </c>
      <c r="D2263" t="s">
        <v>17</v>
      </c>
      <c r="E2263" t="s">
        <v>35</v>
      </c>
      <c r="F2263">
        <v>167.57</v>
      </c>
      <c r="G2263" t="s">
        <v>24</v>
      </c>
      <c r="H2263" t="s">
        <v>15</v>
      </c>
      <c r="I2263">
        <v>3.5</v>
      </c>
      <c r="J2263">
        <v>11</v>
      </c>
      <c r="K2263">
        <v>3</v>
      </c>
    </row>
    <row r="2264" spans="1:11" x14ac:dyDescent="0.35">
      <c r="A2264">
        <v>2263</v>
      </c>
      <c r="B2264">
        <v>57</v>
      </c>
      <c r="C2264" t="s">
        <v>11</v>
      </c>
      <c r="D2264" t="s">
        <v>29</v>
      </c>
      <c r="E2264" t="s">
        <v>55</v>
      </c>
      <c r="F2264">
        <v>102.35</v>
      </c>
      <c r="G2264" t="s">
        <v>14</v>
      </c>
      <c r="H2264" t="s">
        <v>15</v>
      </c>
      <c r="I2264">
        <v>4</v>
      </c>
      <c r="J2264">
        <v>10</v>
      </c>
      <c r="K2264">
        <v>5</v>
      </c>
    </row>
    <row r="2265" spans="1:11" x14ac:dyDescent="0.35">
      <c r="A2265">
        <v>2264</v>
      </c>
      <c r="B2265">
        <v>44</v>
      </c>
      <c r="C2265" t="s">
        <v>16</v>
      </c>
      <c r="D2265" t="s">
        <v>17</v>
      </c>
      <c r="E2265" t="s">
        <v>48</v>
      </c>
      <c r="F2265">
        <v>121.98</v>
      </c>
      <c r="G2265" t="s">
        <v>24</v>
      </c>
      <c r="H2265" t="s">
        <v>15</v>
      </c>
      <c r="I2265">
        <v>2.2000000000000002</v>
      </c>
      <c r="J2265">
        <v>9</v>
      </c>
      <c r="K2265">
        <v>2</v>
      </c>
    </row>
    <row r="2266" spans="1:11" x14ac:dyDescent="0.35">
      <c r="A2266">
        <v>2265</v>
      </c>
      <c r="B2266">
        <v>35</v>
      </c>
      <c r="C2266" t="s">
        <v>16</v>
      </c>
      <c r="D2266" t="s">
        <v>33</v>
      </c>
      <c r="E2266" t="s">
        <v>34</v>
      </c>
      <c r="F2266">
        <v>248.74</v>
      </c>
      <c r="G2266" t="s">
        <v>19</v>
      </c>
      <c r="H2266" t="s">
        <v>15</v>
      </c>
      <c r="I2266">
        <v>2.5</v>
      </c>
      <c r="J2266">
        <v>14</v>
      </c>
      <c r="K2266">
        <v>2</v>
      </c>
    </row>
    <row r="2267" spans="1:11" x14ac:dyDescent="0.35">
      <c r="A2267">
        <v>2266</v>
      </c>
      <c r="B2267">
        <v>43</v>
      </c>
      <c r="C2267" t="s">
        <v>11</v>
      </c>
      <c r="D2267" t="s">
        <v>29</v>
      </c>
      <c r="E2267" t="s">
        <v>30</v>
      </c>
      <c r="F2267">
        <v>73.459999999999994</v>
      </c>
      <c r="G2267" t="s">
        <v>24</v>
      </c>
      <c r="H2267" t="s">
        <v>37</v>
      </c>
      <c r="I2267">
        <v>3.6</v>
      </c>
      <c r="J2267">
        <v>20</v>
      </c>
      <c r="K2267">
        <v>5</v>
      </c>
    </row>
    <row r="2268" spans="1:11" x14ac:dyDescent="0.35">
      <c r="A2268">
        <v>2267</v>
      </c>
      <c r="B2268">
        <v>29</v>
      </c>
      <c r="C2268" t="s">
        <v>16</v>
      </c>
      <c r="D2268" t="s">
        <v>27</v>
      </c>
      <c r="E2268" t="s">
        <v>49</v>
      </c>
      <c r="F2268">
        <v>1145.69</v>
      </c>
      <c r="G2268" t="s">
        <v>24</v>
      </c>
      <c r="H2268" t="s">
        <v>15</v>
      </c>
      <c r="I2268">
        <v>3.3</v>
      </c>
      <c r="J2268">
        <v>18</v>
      </c>
      <c r="K2268">
        <v>4</v>
      </c>
    </row>
    <row r="2269" spans="1:11" x14ac:dyDescent="0.35">
      <c r="A2269">
        <v>2268</v>
      </c>
      <c r="B2269">
        <v>21</v>
      </c>
      <c r="C2269" t="s">
        <v>11</v>
      </c>
      <c r="D2269" t="s">
        <v>25</v>
      </c>
      <c r="E2269" t="s">
        <v>54</v>
      </c>
      <c r="F2269">
        <v>52.42</v>
      </c>
      <c r="G2269" t="s">
        <v>31</v>
      </c>
      <c r="H2269" t="s">
        <v>15</v>
      </c>
      <c r="I2269">
        <v>3.7</v>
      </c>
      <c r="J2269">
        <v>6</v>
      </c>
      <c r="K2269">
        <v>3</v>
      </c>
    </row>
    <row r="2270" spans="1:11" x14ac:dyDescent="0.35">
      <c r="A2270">
        <v>2269</v>
      </c>
      <c r="B2270">
        <v>50</v>
      </c>
      <c r="C2270" t="s">
        <v>16</v>
      </c>
      <c r="D2270" t="s">
        <v>17</v>
      </c>
      <c r="E2270" t="s">
        <v>18</v>
      </c>
      <c r="F2270">
        <v>173.36</v>
      </c>
      <c r="G2270" t="s">
        <v>24</v>
      </c>
      <c r="H2270" t="s">
        <v>15</v>
      </c>
      <c r="I2270">
        <v>3.5</v>
      </c>
      <c r="J2270">
        <v>4</v>
      </c>
      <c r="K2270">
        <v>2</v>
      </c>
    </row>
    <row r="2271" spans="1:11" x14ac:dyDescent="0.35">
      <c r="A2271">
        <v>2270</v>
      </c>
      <c r="B2271">
        <v>51</v>
      </c>
      <c r="C2271" t="s">
        <v>16</v>
      </c>
      <c r="D2271" t="s">
        <v>27</v>
      </c>
      <c r="E2271" t="s">
        <v>32</v>
      </c>
      <c r="F2271">
        <v>1611.83</v>
      </c>
      <c r="G2271" t="s">
        <v>19</v>
      </c>
      <c r="H2271" t="s">
        <v>15</v>
      </c>
      <c r="I2271">
        <v>2.6</v>
      </c>
      <c r="J2271">
        <v>24</v>
      </c>
      <c r="K2271">
        <v>7</v>
      </c>
    </row>
    <row r="2272" spans="1:11" x14ac:dyDescent="0.35">
      <c r="A2272">
        <v>2271</v>
      </c>
      <c r="B2272">
        <v>49</v>
      </c>
      <c r="C2272" t="s">
        <v>11</v>
      </c>
      <c r="D2272" t="s">
        <v>41</v>
      </c>
      <c r="E2272" t="s">
        <v>46</v>
      </c>
      <c r="F2272">
        <v>189.27</v>
      </c>
      <c r="G2272" t="s">
        <v>31</v>
      </c>
      <c r="H2272" t="s">
        <v>15</v>
      </c>
      <c r="I2272">
        <v>4.0999999999999996</v>
      </c>
      <c r="J2272">
        <v>12</v>
      </c>
      <c r="K2272">
        <v>1</v>
      </c>
    </row>
    <row r="2273" spans="1:11" x14ac:dyDescent="0.35">
      <c r="A2273">
        <v>2272</v>
      </c>
      <c r="B2273">
        <v>38</v>
      </c>
      <c r="C2273" t="s">
        <v>11</v>
      </c>
      <c r="D2273" t="s">
        <v>25</v>
      </c>
      <c r="E2273" t="s">
        <v>54</v>
      </c>
      <c r="F2273">
        <v>36.090000000000003</v>
      </c>
      <c r="G2273" t="s">
        <v>19</v>
      </c>
      <c r="H2273" t="s">
        <v>37</v>
      </c>
      <c r="I2273">
        <v>3.3</v>
      </c>
      <c r="J2273">
        <v>7</v>
      </c>
      <c r="K2273">
        <v>1</v>
      </c>
    </row>
    <row r="2274" spans="1:11" x14ac:dyDescent="0.35">
      <c r="A2274">
        <v>2273</v>
      </c>
      <c r="B2274">
        <v>33</v>
      </c>
      <c r="C2274" t="s">
        <v>11</v>
      </c>
      <c r="D2274" t="s">
        <v>12</v>
      </c>
      <c r="E2274" t="s">
        <v>56</v>
      </c>
      <c r="F2274">
        <v>107.15</v>
      </c>
      <c r="G2274" t="s">
        <v>19</v>
      </c>
      <c r="H2274" t="s">
        <v>15</v>
      </c>
      <c r="I2274">
        <v>4.5</v>
      </c>
      <c r="J2274">
        <v>17</v>
      </c>
      <c r="K2274">
        <v>6</v>
      </c>
    </row>
    <row r="2275" spans="1:11" x14ac:dyDescent="0.35">
      <c r="A2275">
        <v>2274</v>
      </c>
      <c r="B2275">
        <v>59</v>
      </c>
      <c r="C2275" t="s">
        <v>11</v>
      </c>
      <c r="D2275" t="s">
        <v>12</v>
      </c>
      <c r="E2275" t="s">
        <v>50</v>
      </c>
      <c r="F2275">
        <v>23.3</v>
      </c>
      <c r="G2275" t="s">
        <v>19</v>
      </c>
      <c r="H2275" t="s">
        <v>15</v>
      </c>
      <c r="I2275">
        <v>3.7</v>
      </c>
      <c r="J2275">
        <v>12</v>
      </c>
      <c r="K2275">
        <v>6</v>
      </c>
    </row>
    <row r="2276" spans="1:11" x14ac:dyDescent="0.35">
      <c r="A2276">
        <v>2275</v>
      </c>
      <c r="B2276">
        <v>51</v>
      </c>
      <c r="C2276" t="s">
        <v>11</v>
      </c>
      <c r="D2276" t="s">
        <v>25</v>
      </c>
      <c r="E2276" t="s">
        <v>57</v>
      </c>
      <c r="F2276">
        <v>37.909999999999997</v>
      </c>
      <c r="G2276" t="s">
        <v>14</v>
      </c>
      <c r="H2276" t="s">
        <v>37</v>
      </c>
      <c r="I2276">
        <v>4.2</v>
      </c>
      <c r="J2276">
        <v>20</v>
      </c>
      <c r="K2276">
        <v>5</v>
      </c>
    </row>
    <row r="2277" spans="1:11" x14ac:dyDescent="0.35">
      <c r="A2277">
        <v>2276</v>
      </c>
      <c r="B2277">
        <v>21</v>
      </c>
      <c r="C2277" t="s">
        <v>11</v>
      </c>
      <c r="D2277" t="s">
        <v>25</v>
      </c>
      <c r="E2277" t="s">
        <v>57</v>
      </c>
      <c r="F2277">
        <v>14.56</v>
      </c>
      <c r="G2277" t="s">
        <v>14</v>
      </c>
      <c r="H2277" t="s">
        <v>37</v>
      </c>
      <c r="I2277">
        <v>4.2</v>
      </c>
      <c r="J2277">
        <v>11</v>
      </c>
      <c r="K2277">
        <v>3</v>
      </c>
    </row>
    <row r="2278" spans="1:11" x14ac:dyDescent="0.35">
      <c r="A2278">
        <v>2277</v>
      </c>
      <c r="B2278">
        <v>25</v>
      </c>
      <c r="C2278" t="s">
        <v>11</v>
      </c>
      <c r="D2278" t="s">
        <v>29</v>
      </c>
      <c r="E2278" t="s">
        <v>51</v>
      </c>
      <c r="F2278">
        <v>95.41</v>
      </c>
      <c r="G2278" t="s">
        <v>14</v>
      </c>
      <c r="H2278" t="s">
        <v>37</v>
      </c>
      <c r="I2278">
        <v>2.7</v>
      </c>
      <c r="J2278">
        <v>18</v>
      </c>
      <c r="K2278">
        <v>4</v>
      </c>
    </row>
    <row r="2279" spans="1:11" x14ac:dyDescent="0.35">
      <c r="A2279">
        <v>2278</v>
      </c>
      <c r="B2279">
        <v>35</v>
      </c>
      <c r="C2279" t="s">
        <v>16</v>
      </c>
      <c r="D2279" t="s">
        <v>27</v>
      </c>
      <c r="E2279" t="s">
        <v>32</v>
      </c>
      <c r="F2279">
        <v>549.72</v>
      </c>
      <c r="G2279" t="s">
        <v>14</v>
      </c>
      <c r="H2279" t="s">
        <v>15</v>
      </c>
      <c r="I2279">
        <v>2.4</v>
      </c>
      <c r="J2279">
        <v>18</v>
      </c>
      <c r="K2279">
        <v>4</v>
      </c>
    </row>
    <row r="2280" spans="1:11" x14ac:dyDescent="0.35">
      <c r="A2280">
        <v>2279</v>
      </c>
      <c r="B2280">
        <v>21</v>
      </c>
      <c r="C2280" t="s">
        <v>16</v>
      </c>
      <c r="D2280" t="s">
        <v>27</v>
      </c>
      <c r="E2280" t="s">
        <v>28</v>
      </c>
      <c r="F2280">
        <v>2756.53</v>
      </c>
      <c r="G2280" t="s">
        <v>24</v>
      </c>
      <c r="H2280" t="s">
        <v>15</v>
      </c>
      <c r="I2280">
        <v>3.4</v>
      </c>
      <c r="J2280">
        <v>4</v>
      </c>
      <c r="K2280">
        <v>2</v>
      </c>
    </row>
    <row r="2281" spans="1:11" x14ac:dyDescent="0.35">
      <c r="A2281">
        <v>2280</v>
      </c>
      <c r="B2281">
        <v>44</v>
      </c>
      <c r="C2281" t="s">
        <v>11</v>
      </c>
      <c r="D2281" t="s">
        <v>33</v>
      </c>
      <c r="E2281" t="s">
        <v>38</v>
      </c>
      <c r="F2281">
        <v>189.21</v>
      </c>
      <c r="G2281" t="s">
        <v>31</v>
      </c>
      <c r="H2281" t="s">
        <v>15</v>
      </c>
      <c r="I2281">
        <v>5</v>
      </c>
      <c r="J2281">
        <v>12</v>
      </c>
      <c r="K2281">
        <v>6</v>
      </c>
    </row>
    <row r="2282" spans="1:11" x14ac:dyDescent="0.35">
      <c r="A2282">
        <v>2281</v>
      </c>
      <c r="B2282">
        <v>47</v>
      </c>
      <c r="C2282" t="s">
        <v>11</v>
      </c>
      <c r="D2282" t="s">
        <v>41</v>
      </c>
      <c r="E2282" t="s">
        <v>45</v>
      </c>
      <c r="F2282">
        <v>110.42</v>
      </c>
      <c r="G2282" t="s">
        <v>14</v>
      </c>
      <c r="H2282" t="s">
        <v>15</v>
      </c>
      <c r="I2282">
        <v>3.7</v>
      </c>
      <c r="J2282">
        <v>15</v>
      </c>
      <c r="K2282">
        <v>5</v>
      </c>
    </row>
    <row r="2283" spans="1:11" x14ac:dyDescent="0.35">
      <c r="A2283">
        <v>2282</v>
      </c>
      <c r="B2283">
        <v>24</v>
      </c>
      <c r="C2283" t="s">
        <v>16</v>
      </c>
      <c r="D2283" t="s">
        <v>27</v>
      </c>
      <c r="E2283" t="s">
        <v>28</v>
      </c>
      <c r="F2283">
        <v>1152.0999999999999</v>
      </c>
      <c r="G2283" t="s">
        <v>31</v>
      </c>
      <c r="H2283" t="s">
        <v>15</v>
      </c>
      <c r="I2283">
        <v>3.8</v>
      </c>
      <c r="J2283">
        <v>17</v>
      </c>
      <c r="K2283">
        <v>6</v>
      </c>
    </row>
    <row r="2284" spans="1:11" x14ac:dyDescent="0.35">
      <c r="A2284">
        <v>2283</v>
      </c>
      <c r="B2284">
        <v>56</v>
      </c>
      <c r="C2284" t="s">
        <v>16</v>
      </c>
      <c r="D2284" t="s">
        <v>20</v>
      </c>
      <c r="E2284" t="s">
        <v>39</v>
      </c>
      <c r="F2284">
        <v>114.65</v>
      </c>
      <c r="G2284" t="s">
        <v>19</v>
      </c>
      <c r="H2284" t="s">
        <v>15</v>
      </c>
      <c r="I2284">
        <v>4</v>
      </c>
      <c r="J2284">
        <v>20</v>
      </c>
      <c r="K2284">
        <v>5</v>
      </c>
    </row>
    <row r="2285" spans="1:11" x14ac:dyDescent="0.35">
      <c r="A2285">
        <v>2284</v>
      </c>
      <c r="B2285">
        <v>42</v>
      </c>
      <c r="C2285" t="s">
        <v>11</v>
      </c>
      <c r="D2285" t="s">
        <v>20</v>
      </c>
      <c r="E2285" t="s">
        <v>36</v>
      </c>
      <c r="F2285">
        <v>41.07</v>
      </c>
      <c r="G2285" t="s">
        <v>19</v>
      </c>
      <c r="H2285" t="s">
        <v>37</v>
      </c>
      <c r="I2285">
        <v>4.0999999999999996</v>
      </c>
      <c r="J2285">
        <v>12</v>
      </c>
      <c r="K2285">
        <v>6</v>
      </c>
    </row>
    <row r="2286" spans="1:11" x14ac:dyDescent="0.35">
      <c r="A2286">
        <v>2285</v>
      </c>
      <c r="B2286">
        <v>61</v>
      </c>
      <c r="C2286" t="s">
        <v>16</v>
      </c>
      <c r="D2286" t="s">
        <v>17</v>
      </c>
      <c r="E2286" t="s">
        <v>18</v>
      </c>
      <c r="F2286">
        <v>74.099999999999994</v>
      </c>
      <c r="G2286" t="s">
        <v>14</v>
      </c>
      <c r="H2286" t="s">
        <v>15</v>
      </c>
      <c r="I2286">
        <v>3.9</v>
      </c>
      <c r="J2286">
        <v>19</v>
      </c>
      <c r="K2286">
        <v>7</v>
      </c>
    </row>
    <row r="2287" spans="1:11" x14ac:dyDescent="0.35">
      <c r="A2287">
        <v>2286</v>
      </c>
      <c r="B2287">
        <v>53</v>
      </c>
      <c r="C2287" t="s">
        <v>11</v>
      </c>
      <c r="D2287" t="s">
        <v>22</v>
      </c>
      <c r="E2287" t="s">
        <v>52</v>
      </c>
      <c r="F2287">
        <v>168.46</v>
      </c>
      <c r="G2287" t="s">
        <v>14</v>
      </c>
      <c r="H2287" t="s">
        <v>15</v>
      </c>
      <c r="I2287">
        <v>3</v>
      </c>
      <c r="J2287">
        <v>21</v>
      </c>
      <c r="K2287">
        <v>8</v>
      </c>
    </row>
    <row r="2288" spans="1:11" x14ac:dyDescent="0.35">
      <c r="A2288">
        <v>2287</v>
      </c>
      <c r="B2288">
        <v>39</v>
      </c>
      <c r="C2288" t="s">
        <v>16</v>
      </c>
      <c r="D2288" t="s">
        <v>27</v>
      </c>
      <c r="E2288" t="s">
        <v>53</v>
      </c>
      <c r="F2288">
        <v>1717.63</v>
      </c>
      <c r="G2288" t="s">
        <v>14</v>
      </c>
      <c r="H2288" t="s">
        <v>15</v>
      </c>
      <c r="I2288">
        <v>4.3</v>
      </c>
      <c r="J2288">
        <v>18</v>
      </c>
      <c r="K2288">
        <v>4</v>
      </c>
    </row>
    <row r="2289" spans="1:11" x14ac:dyDescent="0.35">
      <c r="A2289">
        <v>2288</v>
      </c>
      <c r="B2289">
        <v>58</v>
      </c>
      <c r="C2289" t="s">
        <v>11</v>
      </c>
      <c r="D2289" t="s">
        <v>12</v>
      </c>
      <c r="E2289" t="s">
        <v>56</v>
      </c>
      <c r="F2289">
        <v>74.28</v>
      </c>
      <c r="G2289" t="s">
        <v>24</v>
      </c>
      <c r="H2289" t="s">
        <v>37</v>
      </c>
      <c r="I2289">
        <v>5</v>
      </c>
      <c r="J2289">
        <v>18</v>
      </c>
      <c r="K2289">
        <v>4</v>
      </c>
    </row>
    <row r="2290" spans="1:11" x14ac:dyDescent="0.35">
      <c r="A2290">
        <v>2289</v>
      </c>
      <c r="B2290">
        <v>70</v>
      </c>
      <c r="C2290" t="s">
        <v>11</v>
      </c>
      <c r="D2290" t="s">
        <v>25</v>
      </c>
      <c r="E2290" t="s">
        <v>57</v>
      </c>
      <c r="F2290">
        <v>52.34</v>
      </c>
      <c r="G2290" t="s">
        <v>24</v>
      </c>
      <c r="H2290" t="s">
        <v>15</v>
      </c>
      <c r="I2290">
        <v>3.8</v>
      </c>
      <c r="J2290">
        <v>18</v>
      </c>
      <c r="K2290">
        <v>4</v>
      </c>
    </row>
    <row r="2291" spans="1:11" x14ac:dyDescent="0.35">
      <c r="A2291">
        <v>2290</v>
      </c>
      <c r="B2291">
        <v>62</v>
      </c>
      <c r="C2291" t="s">
        <v>16</v>
      </c>
      <c r="D2291" t="s">
        <v>17</v>
      </c>
      <c r="E2291" t="s">
        <v>18</v>
      </c>
      <c r="F2291">
        <v>174.7</v>
      </c>
      <c r="G2291" t="s">
        <v>24</v>
      </c>
      <c r="H2291" t="s">
        <v>15</v>
      </c>
      <c r="I2291">
        <v>4.2</v>
      </c>
      <c r="J2291">
        <v>10</v>
      </c>
      <c r="K2291">
        <v>5</v>
      </c>
    </row>
    <row r="2292" spans="1:11" x14ac:dyDescent="0.35">
      <c r="A2292">
        <v>2291</v>
      </c>
      <c r="B2292">
        <v>45</v>
      </c>
      <c r="C2292" t="s">
        <v>16</v>
      </c>
      <c r="D2292" t="s">
        <v>20</v>
      </c>
      <c r="E2292" t="s">
        <v>21</v>
      </c>
      <c r="F2292">
        <v>169.77</v>
      </c>
      <c r="G2292" t="s">
        <v>14</v>
      </c>
      <c r="H2292" t="s">
        <v>15</v>
      </c>
      <c r="I2292">
        <v>4.5999999999999996</v>
      </c>
      <c r="J2292">
        <v>14</v>
      </c>
      <c r="K2292">
        <v>7</v>
      </c>
    </row>
    <row r="2293" spans="1:11" x14ac:dyDescent="0.35">
      <c r="A2293">
        <v>2292</v>
      </c>
      <c r="B2293">
        <v>60</v>
      </c>
      <c r="C2293" t="s">
        <v>16</v>
      </c>
      <c r="D2293" t="s">
        <v>33</v>
      </c>
      <c r="E2293" t="s">
        <v>38</v>
      </c>
      <c r="F2293">
        <v>70.959999999999994</v>
      </c>
      <c r="G2293" t="s">
        <v>19</v>
      </c>
      <c r="H2293" t="s">
        <v>15</v>
      </c>
      <c r="I2293">
        <v>3.6</v>
      </c>
      <c r="J2293">
        <v>20</v>
      </c>
      <c r="K2293">
        <v>5</v>
      </c>
    </row>
    <row r="2294" spans="1:11" x14ac:dyDescent="0.35">
      <c r="A2294">
        <v>2293</v>
      </c>
      <c r="B2294">
        <v>68</v>
      </c>
      <c r="C2294" t="s">
        <v>16</v>
      </c>
      <c r="D2294" t="s">
        <v>20</v>
      </c>
      <c r="E2294" t="s">
        <v>21</v>
      </c>
      <c r="F2294">
        <v>177.66</v>
      </c>
      <c r="G2294" t="s">
        <v>31</v>
      </c>
      <c r="H2294" t="s">
        <v>15</v>
      </c>
      <c r="I2294">
        <v>4.7</v>
      </c>
      <c r="J2294">
        <v>22</v>
      </c>
      <c r="K2294">
        <v>6</v>
      </c>
    </row>
    <row r="2295" spans="1:11" x14ac:dyDescent="0.35">
      <c r="A2295">
        <v>2294</v>
      </c>
      <c r="B2295">
        <v>58</v>
      </c>
      <c r="C2295" t="s">
        <v>11</v>
      </c>
      <c r="D2295" t="s">
        <v>12</v>
      </c>
      <c r="E2295" t="s">
        <v>13</v>
      </c>
      <c r="F2295">
        <v>114.19</v>
      </c>
      <c r="G2295" t="s">
        <v>19</v>
      </c>
      <c r="H2295" t="s">
        <v>15</v>
      </c>
      <c r="I2295">
        <v>1.8</v>
      </c>
      <c r="J2295">
        <v>10</v>
      </c>
      <c r="K2295">
        <v>5</v>
      </c>
    </row>
    <row r="2296" spans="1:11" x14ac:dyDescent="0.35">
      <c r="A2296">
        <v>2295</v>
      </c>
      <c r="B2296">
        <v>66</v>
      </c>
      <c r="C2296" t="s">
        <v>16</v>
      </c>
      <c r="D2296" t="s">
        <v>20</v>
      </c>
      <c r="E2296" t="s">
        <v>36</v>
      </c>
      <c r="F2296">
        <v>242.46</v>
      </c>
      <c r="G2296" t="s">
        <v>19</v>
      </c>
      <c r="H2296" t="s">
        <v>15</v>
      </c>
      <c r="I2296">
        <v>3.9</v>
      </c>
      <c r="J2296">
        <v>12</v>
      </c>
      <c r="K2296">
        <v>6</v>
      </c>
    </row>
    <row r="2297" spans="1:11" x14ac:dyDescent="0.35">
      <c r="A2297">
        <v>2296</v>
      </c>
      <c r="B2297">
        <v>51</v>
      </c>
      <c r="C2297" t="s">
        <v>11</v>
      </c>
      <c r="D2297" t="s">
        <v>12</v>
      </c>
      <c r="E2297" t="s">
        <v>56</v>
      </c>
      <c r="F2297">
        <v>140.91999999999999</v>
      </c>
      <c r="G2297" t="s">
        <v>19</v>
      </c>
      <c r="H2297" t="s">
        <v>15</v>
      </c>
      <c r="I2297">
        <v>2.7</v>
      </c>
      <c r="J2297">
        <v>28</v>
      </c>
      <c r="K2297">
        <v>9</v>
      </c>
    </row>
    <row r="2298" spans="1:11" x14ac:dyDescent="0.35">
      <c r="A2298">
        <v>2297</v>
      </c>
      <c r="B2298">
        <v>55</v>
      </c>
      <c r="C2298" t="s">
        <v>11</v>
      </c>
      <c r="D2298" t="s">
        <v>33</v>
      </c>
      <c r="E2298" t="s">
        <v>40</v>
      </c>
      <c r="F2298">
        <v>81.99</v>
      </c>
      <c r="G2298" t="s">
        <v>31</v>
      </c>
      <c r="H2298" t="s">
        <v>37</v>
      </c>
      <c r="I2298">
        <v>4.7</v>
      </c>
      <c r="J2298">
        <v>18</v>
      </c>
      <c r="K2298">
        <v>9</v>
      </c>
    </row>
    <row r="2299" spans="1:11" x14ac:dyDescent="0.35">
      <c r="A2299">
        <v>2298</v>
      </c>
      <c r="B2299">
        <v>50</v>
      </c>
      <c r="C2299" t="s">
        <v>16</v>
      </c>
      <c r="D2299" t="s">
        <v>33</v>
      </c>
      <c r="E2299" t="s">
        <v>38</v>
      </c>
      <c r="F2299">
        <v>72.37</v>
      </c>
      <c r="G2299" t="s">
        <v>14</v>
      </c>
      <c r="H2299" t="s">
        <v>15</v>
      </c>
      <c r="I2299">
        <v>4.2</v>
      </c>
      <c r="J2299">
        <v>12</v>
      </c>
      <c r="K2299">
        <v>6</v>
      </c>
    </row>
    <row r="2300" spans="1:11" x14ac:dyDescent="0.35">
      <c r="A2300">
        <v>2299</v>
      </c>
      <c r="B2300">
        <v>36</v>
      </c>
      <c r="C2300" t="s">
        <v>11</v>
      </c>
      <c r="D2300" t="s">
        <v>33</v>
      </c>
      <c r="E2300" t="s">
        <v>38</v>
      </c>
      <c r="F2300">
        <v>174.35</v>
      </c>
      <c r="G2300" t="s">
        <v>14</v>
      </c>
      <c r="H2300" t="s">
        <v>15</v>
      </c>
      <c r="I2300">
        <v>4.2</v>
      </c>
      <c r="J2300">
        <v>16</v>
      </c>
      <c r="K2300">
        <v>3</v>
      </c>
    </row>
    <row r="2301" spans="1:11" x14ac:dyDescent="0.35">
      <c r="A2301">
        <v>2300</v>
      </c>
      <c r="B2301">
        <v>31</v>
      </c>
      <c r="C2301" t="s">
        <v>16</v>
      </c>
      <c r="D2301" t="s">
        <v>17</v>
      </c>
      <c r="E2301" t="s">
        <v>42</v>
      </c>
      <c r="F2301">
        <v>78.33</v>
      </c>
      <c r="G2301" t="s">
        <v>31</v>
      </c>
      <c r="H2301" t="s">
        <v>37</v>
      </c>
      <c r="I2301">
        <v>3.5</v>
      </c>
      <c r="J2301">
        <v>18</v>
      </c>
      <c r="K2301">
        <v>9</v>
      </c>
    </row>
    <row r="2302" spans="1:11" x14ac:dyDescent="0.35">
      <c r="A2302">
        <v>2301</v>
      </c>
      <c r="B2302">
        <v>44</v>
      </c>
      <c r="C2302" t="s">
        <v>11</v>
      </c>
      <c r="D2302" t="s">
        <v>29</v>
      </c>
      <c r="E2302" t="s">
        <v>30</v>
      </c>
      <c r="F2302">
        <v>39.78</v>
      </c>
      <c r="G2302" t="s">
        <v>31</v>
      </c>
      <c r="H2302" t="s">
        <v>37</v>
      </c>
      <c r="I2302">
        <v>3.2</v>
      </c>
      <c r="J2302">
        <v>14</v>
      </c>
      <c r="K2302">
        <v>2</v>
      </c>
    </row>
    <row r="2303" spans="1:11" x14ac:dyDescent="0.35">
      <c r="A2303">
        <v>2302</v>
      </c>
      <c r="B2303">
        <v>48</v>
      </c>
      <c r="C2303" t="s">
        <v>16</v>
      </c>
      <c r="D2303" t="s">
        <v>17</v>
      </c>
      <c r="E2303" t="s">
        <v>18</v>
      </c>
      <c r="F2303">
        <v>185.38</v>
      </c>
      <c r="G2303" t="s">
        <v>24</v>
      </c>
      <c r="H2303" t="s">
        <v>15</v>
      </c>
      <c r="I2303">
        <v>4</v>
      </c>
      <c r="J2303">
        <v>21</v>
      </c>
      <c r="K2303">
        <v>8</v>
      </c>
    </row>
    <row r="2304" spans="1:11" x14ac:dyDescent="0.35">
      <c r="A2304">
        <v>2303</v>
      </c>
      <c r="B2304">
        <v>56</v>
      </c>
      <c r="C2304" t="s">
        <v>16</v>
      </c>
      <c r="D2304" t="s">
        <v>27</v>
      </c>
      <c r="E2304" t="s">
        <v>49</v>
      </c>
      <c r="F2304">
        <v>1705.8</v>
      </c>
      <c r="G2304" t="s">
        <v>24</v>
      </c>
      <c r="H2304" t="s">
        <v>15</v>
      </c>
      <c r="I2304">
        <v>4.4000000000000004</v>
      </c>
      <c r="J2304">
        <v>12</v>
      </c>
      <c r="K2304">
        <v>6</v>
      </c>
    </row>
    <row r="2305" spans="1:11" x14ac:dyDescent="0.35">
      <c r="A2305">
        <v>2304</v>
      </c>
      <c r="B2305">
        <v>64</v>
      </c>
      <c r="C2305" t="s">
        <v>11</v>
      </c>
      <c r="D2305" t="s">
        <v>22</v>
      </c>
      <c r="E2305" t="s">
        <v>23</v>
      </c>
      <c r="F2305">
        <v>169.94</v>
      </c>
      <c r="G2305" t="s">
        <v>24</v>
      </c>
      <c r="H2305" t="s">
        <v>15</v>
      </c>
      <c r="I2305">
        <v>4.5</v>
      </c>
      <c r="J2305">
        <v>11</v>
      </c>
      <c r="K2305">
        <v>3</v>
      </c>
    </row>
    <row r="2306" spans="1:11" x14ac:dyDescent="0.35">
      <c r="A2306">
        <v>2305</v>
      </c>
      <c r="B2306">
        <v>61</v>
      </c>
      <c r="C2306" t="s">
        <v>11</v>
      </c>
      <c r="D2306" t="s">
        <v>33</v>
      </c>
      <c r="E2306" t="s">
        <v>34</v>
      </c>
      <c r="F2306">
        <v>50</v>
      </c>
      <c r="G2306" t="s">
        <v>31</v>
      </c>
      <c r="H2306" t="s">
        <v>37</v>
      </c>
      <c r="I2306">
        <v>3.8</v>
      </c>
      <c r="J2306">
        <v>15</v>
      </c>
      <c r="K2306">
        <v>5</v>
      </c>
    </row>
    <row r="2307" spans="1:11" x14ac:dyDescent="0.35">
      <c r="A2307">
        <v>2306</v>
      </c>
      <c r="B2307">
        <v>27</v>
      </c>
      <c r="C2307" t="s">
        <v>11</v>
      </c>
      <c r="D2307" t="s">
        <v>41</v>
      </c>
      <c r="E2307" t="s">
        <v>42</v>
      </c>
      <c r="F2307">
        <v>60.07</v>
      </c>
      <c r="G2307" t="s">
        <v>14</v>
      </c>
      <c r="H2307" t="s">
        <v>37</v>
      </c>
      <c r="I2307">
        <v>4.2</v>
      </c>
      <c r="J2307">
        <v>13</v>
      </c>
      <c r="K2307">
        <v>4</v>
      </c>
    </row>
    <row r="2308" spans="1:11" x14ac:dyDescent="0.35">
      <c r="A2308">
        <v>2307</v>
      </c>
      <c r="B2308">
        <v>27</v>
      </c>
      <c r="C2308" t="s">
        <v>11</v>
      </c>
      <c r="D2308" t="s">
        <v>12</v>
      </c>
      <c r="E2308" t="s">
        <v>50</v>
      </c>
      <c r="F2308">
        <v>20.49</v>
      </c>
      <c r="G2308" t="s">
        <v>19</v>
      </c>
      <c r="H2308" t="s">
        <v>15</v>
      </c>
      <c r="I2308">
        <v>4.7</v>
      </c>
      <c r="J2308">
        <v>19</v>
      </c>
      <c r="K2308">
        <v>7</v>
      </c>
    </row>
    <row r="2309" spans="1:11" x14ac:dyDescent="0.35">
      <c r="A2309">
        <v>2308</v>
      </c>
      <c r="B2309">
        <v>50</v>
      </c>
      <c r="C2309" t="s">
        <v>11</v>
      </c>
      <c r="D2309" t="s">
        <v>12</v>
      </c>
      <c r="E2309" t="s">
        <v>56</v>
      </c>
      <c r="F2309">
        <v>140.16</v>
      </c>
      <c r="G2309" t="s">
        <v>31</v>
      </c>
      <c r="H2309" t="s">
        <v>15</v>
      </c>
      <c r="I2309">
        <v>4.5</v>
      </c>
      <c r="J2309">
        <v>9</v>
      </c>
      <c r="K2309">
        <v>2</v>
      </c>
    </row>
    <row r="2310" spans="1:11" x14ac:dyDescent="0.35">
      <c r="A2310">
        <v>2309</v>
      </c>
      <c r="B2310">
        <v>21</v>
      </c>
      <c r="C2310" t="s">
        <v>11</v>
      </c>
      <c r="D2310" t="s">
        <v>29</v>
      </c>
      <c r="E2310" t="s">
        <v>51</v>
      </c>
      <c r="F2310">
        <v>108.17</v>
      </c>
      <c r="G2310" t="s">
        <v>14</v>
      </c>
      <c r="H2310" t="s">
        <v>15</v>
      </c>
      <c r="I2310">
        <v>4.5</v>
      </c>
      <c r="J2310">
        <v>12</v>
      </c>
      <c r="K2310">
        <v>6</v>
      </c>
    </row>
    <row r="2311" spans="1:11" x14ac:dyDescent="0.35">
      <c r="A2311">
        <v>2310</v>
      </c>
      <c r="B2311">
        <v>65</v>
      </c>
      <c r="C2311" t="s">
        <v>16</v>
      </c>
      <c r="D2311" t="s">
        <v>20</v>
      </c>
      <c r="E2311" t="s">
        <v>21</v>
      </c>
      <c r="F2311">
        <v>153.65</v>
      </c>
      <c r="G2311" t="s">
        <v>14</v>
      </c>
      <c r="H2311" t="s">
        <v>15</v>
      </c>
      <c r="I2311">
        <v>2.9</v>
      </c>
      <c r="J2311">
        <v>23</v>
      </c>
      <c r="K2311">
        <v>9</v>
      </c>
    </row>
    <row r="2312" spans="1:11" x14ac:dyDescent="0.35">
      <c r="A2312">
        <v>2311</v>
      </c>
      <c r="B2312">
        <v>68</v>
      </c>
      <c r="C2312" t="s">
        <v>16</v>
      </c>
      <c r="D2312" t="s">
        <v>33</v>
      </c>
      <c r="E2312" t="s">
        <v>40</v>
      </c>
      <c r="F2312">
        <v>224.62</v>
      </c>
      <c r="G2312" t="s">
        <v>31</v>
      </c>
      <c r="H2312" t="s">
        <v>15</v>
      </c>
      <c r="I2312">
        <v>3.9</v>
      </c>
      <c r="J2312">
        <v>4</v>
      </c>
      <c r="K2312">
        <v>2</v>
      </c>
    </row>
    <row r="2313" spans="1:11" x14ac:dyDescent="0.35">
      <c r="A2313">
        <v>2312</v>
      </c>
      <c r="B2313">
        <v>45</v>
      </c>
      <c r="C2313" t="s">
        <v>16</v>
      </c>
      <c r="D2313" t="s">
        <v>20</v>
      </c>
      <c r="E2313" t="s">
        <v>21</v>
      </c>
      <c r="F2313">
        <v>111.02</v>
      </c>
      <c r="G2313" t="s">
        <v>24</v>
      </c>
      <c r="H2313" t="s">
        <v>15</v>
      </c>
      <c r="I2313">
        <v>3.4</v>
      </c>
      <c r="J2313">
        <v>10</v>
      </c>
      <c r="K2313">
        <v>5</v>
      </c>
    </row>
    <row r="2314" spans="1:11" x14ac:dyDescent="0.35">
      <c r="A2314">
        <v>2313</v>
      </c>
      <c r="B2314">
        <v>34</v>
      </c>
      <c r="C2314" t="s">
        <v>16</v>
      </c>
      <c r="D2314" t="s">
        <v>17</v>
      </c>
      <c r="E2314" t="s">
        <v>35</v>
      </c>
      <c r="F2314">
        <v>149.08000000000001</v>
      </c>
      <c r="G2314" t="s">
        <v>31</v>
      </c>
      <c r="H2314" t="s">
        <v>15</v>
      </c>
      <c r="I2314">
        <v>3.8</v>
      </c>
      <c r="J2314">
        <v>20</v>
      </c>
      <c r="K2314">
        <v>5</v>
      </c>
    </row>
    <row r="2315" spans="1:11" x14ac:dyDescent="0.35">
      <c r="A2315">
        <v>2314</v>
      </c>
      <c r="B2315">
        <v>25</v>
      </c>
      <c r="C2315" t="s">
        <v>16</v>
      </c>
      <c r="D2315" t="s">
        <v>25</v>
      </c>
      <c r="E2315" t="s">
        <v>26</v>
      </c>
      <c r="F2315">
        <v>13.2</v>
      </c>
      <c r="G2315" t="s">
        <v>14</v>
      </c>
      <c r="H2315" t="s">
        <v>15</v>
      </c>
      <c r="I2315">
        <v>3.9</v>
      </c>
      <c r="J2315">
        <v>26</v>
      </c>
      <c r="K2315">
        <v>8</v>
      </c>
    </row>
    <row r="2316" spans="1:11" x14ac:dyDescent="0.35">
      <c r="A2316">
        <v>2315</v>
      </c>
      <c r="B2316">
        <v>37</v>
      </c>
      <c r="C2316" t="s">
        <v>16</v>
      </c>
      <c r="D2316" t="s">
        <v>22</v>
      </c>
      <c r="E2316" t="s">
        <v>43</v>
      </c>
      <c r="F2316">
        <v>64.239999999999995</v>
      </c>
      <c r="G2316" t="s">
        <v>31</v>
      </c>
      <c r="H2316" t="s">
        <v>15</v>
      </c>
      <c r="I2316">
        <v>3.6</v>
      </c>
      <c r="J2316">
        <v>4</v>
      </c>
      <c r="K2316">
        <v>2</v>
      </c>
    </row>
    <row r="2317" spans="1:11" x14ac:dyDescent="0.35">
      <c r="A2317">
        <v>2316</v>
      </c>
      <c r="B2317">
        <v>41</v>
      </c>
      <c r="C2317" t="s">
        <v>16</v>
      </c>
      <c r="D2317" t="s">
        <v>20</v>
      </c>
      <c r="E2317" t="s">
        <v>36</v>
      </c>
      <c r="F2317">
        <v>124.84</v>
      </c>
      <c r="G2317" t="s">
        <v>14</v>
      </c>
      <c r="H2317" t="s">
        <v>15</v>
      </c>
      <c r="I2317">
        <v>3.9</v>
      </c>
      <c r="J2317">
        <v>22</v>
      </c>
      <c r="K2317">
        <v>6</v>
      </c>
    </row>
    <row r="2318" spans="1:11" x14ac:dyDescent="0.35">
      <c r="A2318">
        <v>2317</v>
      </c>
      <c r="B2318">
        <v>68</v>
      </c>
      <c r="C2318" t="s">
        <v>16</v>
      </c>
      <c r="D2318" t="s">
        <v>33</v>
      </c>
      <c r="E2318" t="s">
        <v>38</v>
      </c>
      <c r="F2318">
        <v>102.27</v>
      </c>
      <c r="G2318" t="s">
        <v>31</v>
      </c>
      <c r="H2318" t="s">
        <v>15</v>
      </c>
      <c r="I2318">
        <v>3.9</v>
      </c>
      <c r="J2318">
        <v>12</v>
      </c>
      <c r="K2318">
        <v>6</v>
      </c>
    </row>
    <row r="2319" spans="1:11" x14ac:dyDescent="0.35">
      <c r="A2319">
        <v>2318</v>
      </c>
      <c r="B2319">
        <v>46</v>
      </c>
      <c r="C2319" t="s">
        <v>11</v>
      </c>
      <c r="D2319" t="s">
        <v>22</v>
      </c>
      <c r="E2319" t="s">
        <v>23</v>
      </c>
      <c r="F2319">
        <v>186.17</v>
      </c>
      <c r="G2319" t="s">
        <v>19</v>
      </c>
      <c r="H2319" t="s">
        <v>15</v>
      </c>
      <c r="I2319">
        <v>3.7</v>
      </c>
      <c r="J2319">
        <v>22</v>
      </c>
      <c r="K2319">
        <v>6</v>
      </c>
    </row>
    <row r="2320" spans="1:11" x14ac:dyDescent="0.35">
      <c r="A2320">
        <v>2319</v>
      </c>
      <c r="B2320">
        <v>39</v>
      </c>
      <c r="C2320" t="s">
        <v>11</v>
      </c>
      <c r="D2320" t="s">
        <v>41</v>
      </c>
      <c r="E2320" t="s">
        <v>45</v>
      </c>
      <c r="F2320">
        <v>143.51</v>
      </c>
      <c r="G2320" t="s">
        <v>31</v>
      </c>
      <c r="H2320" t="s">
        <v>15</v>
      </c>
      <c r="I2320">
        <v>3.7</v>
      </c>
      <c r="J2320">
        <v>22</v>
      </c>
      <c r="K2320">
        <v>6</v>
      </c>
    </row>
    <row r="2321" spans="1:11" x14ac:dyDescent="0.35">
      <c r="A2321">
        <v>2320</v>
      </c>
      <c r="B2321">
        <v>53</v>
      </c>
      <c r="C2321" t="s">
        <v>16</v>
      </c>
      <c r="D2321" t="s">
        <v>33</v>
      </c>
      <c r="E2321" t="s">
        <v>40</v>
      </c>
      <c r="F2321">
        <v>97.72</v>
      </c>
      <c r="G2321" t="s">
        <v>14</v>
      </c>
      <c r="H2321" t="s">
        <v>15</v>
      </c>
      <c r="I2321">
        <v>3.3</v>
      </c>
      <c r="J2321">
        <v>24</v>
      </c>
      <c r="K2321">
        <v>7</v>
      </c>
    </row>
    <row r="2322" spans="1:11" x14ac:dyDescent="0.35">
      <c r="A2322">
        <v>2321</v>
      </c>
      <c r="B2322">
        <v>47</v>
      </c>
      <c r="C2322" t="s">
        <v>11</v>
      </c>
      <c r="D2322" t="s">
        <v>20</v>
      </c>
      <c r="E2322" t="s">
        <v>21</v>
      </c>
      <c r="F2322">
        <v>212.99</v>
      </c>
      <c r="G2322" t="s">
        <v>14</v>
      </c>
      <c r="H2322" t="s">
        <v>15</v>
      </c>
      <c r="I2322">
        <v>4.0999999999999996</v>
      </c>
      <c r="J2322">
        <v>15</v>
      </c>
      <c r="K2322">
        <v>5</v>
      </c>
    </row>
    <row r="2323" spans="1:11" x14ac:dyDescent="0.35">
      <c r="A2323">
        <v>2322</v>
      </c>
      <c r="B2323">
        <v>70</v>
      </c>
      <c r="C2323" t="s">
        <v>11</v>
      </c>
      <c r="D2323" t="s">
        <v>12</v>
      </c>
      <c r="E2323" t="s">
        <v>50</v>
      </c>
      <c r="F2323">
        <v>149.53</v>
      </c>
      <c r="G2323" t="s">
        <v>31</v>
      </c>
      <c r="H2323" t="s">
        <v>15</v>
      </c>
      <c r="I2323">
        <v>3.8</v>
      </c>
      <c r="J2323">
        <v>8</v>
      </c>
      <c r="K2323">
        <v>4</v>
      </c>
    </row>
    <row r="2324" spans="1:11" x14ac:dyDescent="0.35">
      <c r="A2324">
        <v>2323</v>
      </c>
      <c r="B2324">
        <v>27</v>
      </c>
      <c r="C2324" t="s">
        <v>16</v>
      </c>
      <c r="D2324" t="s">
        <v>33</v>
      </c>
      <c r="E2324" t="s">
        <v>40</v>
      </c>
      <c r="F2324">
        <v>104.13</v>
      </c>
      <c r="G2324" t="s">
        <v>24</v>
      </c>
      <c r="H2324" t="s">
        <v>15</v>
      </c>
      <c r="I2324">
        <v>3</v>
      </c>
      <c r="J2324">
        <v>19</v>
      </c>
      <c r="K2324">
        <v>7</v>
      </c>
    </row>
    <row r="2325" spans="1:11" x14ac:dyDescent="0.35">
      <c r="A2325">
        <v>2324</v>
      </c>
      <c r="B2325">
        <v>66</v>
      </c>
      <c r="C2325" t="s">
        <v>16</v>
      </c>
      <c r="D2325" t="s">
        <v>33</v>
      </c>
      <c r="E2325" t="s">
        <v>40</v>
      </c>
      <c r="F2325">
        <v>86.86</v>
      </c>
      <c r="G2325" t="s">
        <v>19</v>
      </c>
      <c r="H2325" t="s">
        <v>37</v>
      </c>
      <c r="I2325">
        <v>2.6</v>
      </c>
      <c r="J2325">
        <v>12</v>
      </c>
      <c r="K2325">
        <v>6</v>
      </c>
    </row>
    <row r="2326" spans="1:11" x14ac:dyDescent="0.35">
      <c r="A2326">
        <v>2325</v>
      </c>
      <c r="B2326">
        <v>50</v>
      </c>
      <c r="C2326" t="s">
        <v>16</v>
      </c>
      <c r="D2326" t="s">
        <v>33</v>
      </c>
      <c r="E2326" t="s">
        <v>40</v>
      </c>
      <c r="F2326">
        <v>155.91999999999999</v>
      </c>
      <c r="G2326" t="s">
        <v>24</v>
      </c>
      <c r="H2326" t="s">
        <v>15</v>
      </c>
      <c r="I2326">
        <v>2.6</v>
      </c>
      <c r="J2326">
        <v>6</v>
      </c>
      <c r="K2326">
        <v>3</v>
      </c>
    </row>
    <row r="2327" spans="1:11" x14ac:dyDescent="0.35">
      <c r="A2327">
        <v>2326</v>
      </c>
      <c r="B2327">
        <v>46</v>
      </c>
      <c r="C2327" t="s">
        <v>11</v>
      </c>
      <c r="D2327" t="s">
        <v>29</v>
      </c>
      <c r="E2327" t="s">
        <v>55</v>
      </c>
      <c r="F2327">
        <v>42.37</v>
      </c>
      <c r="G2327" t="s">
        <v>31</v>
      </c>
      <c r="H2327" t="s">
        <v>15</v>
      </c>
      <c r="I2327">
        <v>3.3</v>
      </c>
      <c r="J2327">
        <v>11</v>
      </c>
      <c r="K2327">
        <v>3</v>
      </c>
    </row>
    <row r="2328" spans="1:11" x14ac:dyDescent="0.35">
      <c r="A2328">
        <v>2327</v>
      </c>
      <c r="B2328">
        <v>34</v>
      </c>
      <c r="C2328" t="s">
        <v>16</v>
      </c>
      <c r="D2328" t="s">
        <v>17</v>
      </c>
      <c r="E2328" t="s">
        <v>35</v>
      </c>
      <c r="F2328">
        <v>55.77</v>
      </c>
      <c r="G2328" t="s">
        <v>14</v>
      </c>
      <c r="H2328" t="s">
        <v>15</v>
      </c>
      <c r="I2328">
        <v>2.4</v>
      </c>
      <c r="J2328">
        <v>10</v>
      </c>
      <c r="K2328">
        <v>5</v>
      </c>
    </row>
    <row r="2329" spans="1:11" x14ac:dyDescent="0.35">
      <c r="A2329">
        <v>2328</v>
      </c>
      <c r="B2329">
        <v>35</v>
      </c>
      <c r="C2329" t="s">
        <v>11</v>
      </c>
      <c r="D2329" t="s">
        <v>33</v>
      </c>
      <c r="E2329" t="s">
        <v>38</v>
      </c>
      <c r="F2329">
        <v>202.39</v>
      </c>
      <c r="G2329" t="s">
        <v>24</v>
      </c>
      <c r="H2329" t="s">
        <v>15</v>
      </c>
      <c r="I2329">
        <v>2.5</v>
      </c>
      <c r="J2329">
        <v>11</v>
      </c>
      <c r="K2329">
        <v>3</v>
      </c>
    </row>
    <row r="2330" spans="1:11" x14ac:dyDescent="0.35">
      <c r="A2330">
        <v>2329</v>
      </c>
      <c r="B2330">
        <v>30</v>
      </c>
      <c r="C2330" t="s">
        <v>11</v>
      </c>
      <c r="D2330" t="s">
        <v>29</v>
      </c>
      <c r="E2330" t="s">
        <v>51</v>
      </c>
      <c r="F2330">
        <v>146.26</v>
      </c>
      <c r="G2330" t="s">
        <v>24</v>
      </c>
      <c r="H2330" t="s">
        <v>15</v>
      </c>
      <c r="I2330">
        <v>3.9</v>
      </c>
      <c r="J2330">
        <v>7</v>
      </c>
      <c r="K2330">
        <v>1</v>
      </c>
    </row>
    <row r="2331" spans="1:11" x14ac:dyDescent="0.35">
      <c r="A2331">
        <v>2330</v>
      </c>
      <c r="B2331">
        <v>64</v>
      </c>
      <c r="C2331" t="s">
        <v>16</v>
      </c>
      <c r="D2331" t="s">
        <v>27</v>
      </c>
      <c r="E2331" t="s">
        <v>53</v>
      </c>
      <c r="F2331">
        <v>1531.63</v>
      </c>
      <c r="G2331" t="s">
        <v>19</v>
      </c>
      <c r="H2331" t="s">
        <v>15</v>
      </c>
      <c r="I2331">
        <v>4.0999999999999996</v>
      </c>
      <c r="J2331">
        <v>28</v>
      </c>
      <c r="K2331">
        <v>9</v>
      </c>
    </row>
    <row r="2332" spans="1:11" x14ac:dyDescent="0.35">
      <c r="A2332">
        <v>2331</v>
      </c>
      <c r="B2332">
        <v>42</v>
      </c>
      <c r="C2332" t="s">
        <v>16</v>
      </c>
      <c r="D2332" t="s">
        <v>33</v>
      </c>
      <c r="E2332" t="s">
        <v>38</v>
      </c>
      <c r="F2332">
        <v>53.4</v>
      </c>
      <c r="G2332" t="s">
        <v>31</v>
      </c>
      <c r="H2332" t="s">
        <v>37</v>
      </c>
      <c r="I2332">
        <v>4.4000000000000004</v>
      </c>
      <c r="J2332">
        <v>16</v>
      </c>
      <c r="K2332">
        <v>3</v>
      </c>
    </row>
    <row r="2333" spans="1:11" x14ac:dyDescent="0.35">
      <c r="A2333">
        <v>2332</v>
      </c>
      <c r="B2333">
        <v>70</v>
      </c>
      <c r="C2333" t="s">
        <v>16</v>
      </c>
      <c r="D2333" t="s">
        <v>22</v>
      </c>
      <c r="E2333" t="s">
        <v>23</v>
      </c>
      <c r="F2333">
        <v>255.78</v>
      </c>
      <c r="G2333" t="s">
        <v>14</v>
      </c>
      <c r="H2333" t="s">
        <v>15</v>
      </c>
      <c r="I2333">
        <v>2.9</v>
      </c>
      <c r="J2333">
        <v>20</v>
      </c>
      <c r="K2333">
        <v>5</v>
      </c>
    </row>
    <row r="2334" spans="1:11" x14ac:dyDescent="0.35">
      <c r="A2334">
        <v>2333</v>
      </c>
      <c r="B2334">
        <v>48</v>
      </c>
      <c r="C2334" t="s">
        <v>11</v>
      </c>
      <c r="D2334" t="s">
        <v>41</v>
      </c>
      <c r="E2334" t="s">
        <v>44</v>
      </c>
      <c r="F2334">
        <v>171.19</v>
      </c>
      <c r="G2334" t="s">
        <v>24</v>
      </c>
      <c r="H2334" t="s">
        <v>15</v>
      </c>
      <c r="I2334">
        <v>3.8</v>
      </c>
      <c r="J2334">
        <v>14</v>
      </c>
      <c r="K2334">
        <v>7</v>
      </c>
    </row>
    <row r="2335" spans="1:11" x14ac:dyDescent="0.35">
      <c r="A2335">
        <v>2334</v>
      </c>
      <c r="B2335">
        <v>43</v>
      </c>
      <c r="C2335" t="s">
        <v>11</v>
      </c>
      <c r="D2335" t="s">
        <v>12</v>
      </c>
      <c r="E2335" t="s">
        <v>13</v>
      </c>
      <c r="F2335">
        <v>38.450000000000003</v>
      </c>
      <c r="G2335" t="s">
        <v>24</v>
      </c>
      <c r="H2335" t="s">
        <v>15</v>
      </c>
      <c r="I2335">
        <v>4.2</v>
      </c>
      <c r="J2335">
        <v>19</v>
      </c>
      <c r="K2335">
        <v>7</v>
      </c>
    </row>
    <row r="2336" spans="1:11" x14ac:dyDescent="0.35">
      <c r="A2336">
        <v>2335</v>
      </c>
      <c r="B2336">
        <v>68</v>
      </c>
      <c r="C2336" t="s">
        <v>16</v>
      </c>
      <c r="D2336" t="s">
        <v>33</v>
      </c>
      <c r="E2336" t="s">
        <v>34</v>
      </c>
      <c r="F2336">
        <v>117.49</v>
      </c>
      <c r="G2336" t="s">
        <v>14</v>
      </c>
      <c r="H2336" t="s">
        <v>15</v>
      </c>
      <c r="I2336">
        <v>4.3</v>
      </c>
      <c r="J2336">
        <v>19</v>
      </c>
      <c r="K2336">
        <v>7</v>
      </c>
    </row>
    <row r="2337" spans="1:11" x14ac:dyDescent="0.35">
      <c r="A2337">
        <v>2336</v>
      </c>
      <c r="B2337">
        <v>64</v>
      </c>
      <c r="C2337" t="s">
        <v>16</v>
      </c>
      <c r="D2337" t="s">
        <v>25</v>
      </c>
      <c r="E2337" t="s">
        <v>54</v>
      </c>
      <c r="F2337">
        <v>8.3699999999999992</v>
      </c>
      <c r="G2337" t="s">
        <v>31</v>
      </c>
      <c r="H2337" t="s">
        <v>37</v>
      </c>
      <c r="I2337">
        <v>4.4000000000000004</v>
      </c>
      <c r="J2337">
        <v>22</v>
      </c>
      <c r="K2337">
        <v>11</v>
      </c>
    </row>
    <row r="2338" spans="1:11" x14ac:dyDescent="0.35">
      <c r="A2338">
        <v>2337</v>
      </c>
      <c r="B2338">
        <v>45</v>
      </c>
      <c r="C2338" t="s">
        <v>16</v>
      </c>
      <c r="D2338" t="s">
        <v>17</v>
      </c>
      <c r="E2338" t="s">
        <v>18</v>
      </c>
      <c r="F2338">
        <v>157.65</v>
      </c>
      <c r="G2338" t="s">
        <v>24</v>
      </c>
      <c r="H2338" t="s">
        <v>15</v>
      </c>
      <c r="I2338">
        <v>2.7</v>
      </c>
      <c r="J2338">
        <v>15</v>
      </c>
      <c r="K2338">
        <v>5</v>
      </c>
    </row>
    <row r="2339" spans="1:11" x14ac:dyDescent="0.35">
      <c r="A2339">
        <v>2338</v>
      </c>
      <c r="B2339">
        <v>37</v>
      </c>
      <c r="C2339" t="s">
        <v>11</v>
      </c>
      <c r="D2339" t="s">
        <v>12</v>
      </c>
      <c r="E2339" t="s">
        <v>50</v>
      </c>
      <c r="F2339">
        <v>172.44</v>
      </c>
      <c r="G2339" t="s">
        <v>31</v>
      </c>
      <c r="H2339" t="s">
        <v>15</v>
      </c>
      <c r="I2339">
        <v>3.9</v>
      </c>
      <c r="J2339">
        <v>18</v>
      </c>
      <c r="K2339">
        <v>9</v>
      </c>
    </row>
    <row r="2340" spans="1:11" x14ac:dyDescent="0.35">
      <c r="A2340">
        <v>2339</v>
      </c>
      <c r="B2340">
        <v>55</v>
      </c>
      <c r="C2340" t="s">
        <v>11</v>
      </c>
      <c r="D2340" t="s">
        <v>12</v>
      </c>
      <c r="E2340" t="s">
        <v>56</v>
      </c>
      <c r="F2340">
        <v>109.99</v>
      </c>
      <c r="G2340" t="s">
        <v>31</v>
      </c>
      <c r="H2340" t="s">
        <v>15</v>
      </c>
      <c r="I2340">
        <v>3.8</v>
      </c>
      <c r="J2340">
        <v>6</v>
      </c>
      <c r="K2340">
        <v>3</v>
      </c>
    </row>
    <row r="2341" spans="1:11" x14ac:dyDescent="0.35">
      <c r="A2341">
        <v>2340</v>
      </c>
      <c r="B2341">
        <v>26</v>
      </c>
      <c r="C2341" t="s">
        <v>16</v>
      </c>
      <c r="D2341" t="s">
        <v>33</v>
      </c>
      <c r="E2341" t="s">
        <v>38</v>
      </c>
      <c r="F2341">
        <v>123.73</v>
      </c>
      <c r="G2341" t="s">
        <v>19</v>
      </c>
      <c r="H2341" t="s">
        <v>15</v>
      </c>
      <c r="I2341">
        <v>3.3</v>
      </c>
      <c r="J2341">
        <v>23</v>
      </c>
      <c r="K2341">
        <v>9</v>
      </c>
    </row>
    <row r="2342" spans="1:11" x14ac:dyDescent="0.35">
      <c r="A2342">
        <v>2341</v>
      </c>
      <c r="B2342">
        <v>66</v>
      </c>
      <c r="C2342" t="s">
        <v>11</v>
      </c>
      <c r="D2342" t="s">
        <v>29</v>
      </c>
      <c r="E2342" t="s">
        <v>55</v>
      </c>
      <c r="F2342">
        <v>102.25</v>
      </c>
      <c r="G2342" t="s">
        <v>19</v>
      </c>
      <c r="H2342" t="s">
        <v>15</v>
      </c>
      <c r="I2342">
        <v>3.4</v>
      </c>
      <c r="J2342">
        <v>16</v>
      </c>
      <c r="K2342">
        <v>3</v>
      </c>
    </row>
    <row r="2343" spans="1:11" x14ac:dyDescent="0.35">
      <c r="A2343">
        <v>2342</v>
      </c>
      <c r="B2343">
        <v>49</v>
      </c>
      <c r="C2343" t="s">
        <v>11</v>
      </c>
      <c r="D2343" t="s">
        <v>41</v>
      </c>
      <c r="E2343" t="s">
        <v>46</v>
      </c>
      <c r="F2343">
        <v>46.77</v>
      </c>
      <c r="G2343" t="s">
        <v>31</v>
      </c>
      <c r="H2343" t="s">
        <v>37</v>
      </c>
      <c r="I2343">
        <v>4.4000000000000004</v>
      </c>
      <c r="J2343">
        <v>14</v>
      </c>
      <c r="K2343">
        <v>2</v>
      </c>
    </row>
    <row r="2344" spans="1:11" x14ac:dyDescent="0.35">
      <c r="A2344">
        <v>2343</v>
      </c>
      <c r="B2344">
        <v>52</v>
      </c>
      <c r="C2344" t="s">
        <v>16</v>
      </c>
      <c r="D2344" t="s">
        <v>33</v>
      </c>
      <c r="E2344" t="s">
        <v>38</v>
      </c>
      <c r="F2344">
        <v>107.99</v>
      </c>
      <c r="G2344" t="s">
        <v>24</v>
      </c>
      <c r="H2344" t="s">
        <v>15</v>
      </c>
      <c r="I2344">
        <v>3.7</v>
      </c>
      <c r="J2344">
        <v>14</v>
      </c>
      <c r="K2344">
        <v>7</v>
      </c>
    </row>
    <row r="2345" spans="1:11" x14ac:dyDescent="0.35">
      <c r="A2345">
        <v>2344</v>
      </c>
      <c r="B2345">
        <v>57</v>
      </c>
      <c r="C2345" t="s">
        <v>11</v>
      </c>
      <c r="D2345" t="s">
        <v>20</v>
      </c>
      <c r="E2345" t="s">
        <v>36</v>
      </c>
      <c r="F2345">
        <v>133.57</v>
      </c>
      <c r="G2345" t="s">
        <v>14</v>
      </c>
      <c r="H2345" t="s">
        <v>15</v>
      </c>
      <c r="I2345">
        <v>3.8</v>
      </c>
      <c r="J2345">
        <v>24</v>
      </c>
      <c r="K2345">
        <v>7</v>
      </c>
    </row>
    <row r="2346" spans="1:11" x14ac:dyDescent="0.35">
      <c r="A2346">
        <v>2345</v>
      </c>
      <c r="B2346">
        <v>66</v>
      </c>
      <c r="C2346" t="s">
        <v>16</v>
      </c>
      <c r="D2346" t="s">
        <v>17</v>
      </c>
      <c r="E2346" t="s">
        <v>35</v>
      </c>
      <c r="F2346">
        <v>95.73</v>
      </c>
      <c r="G2346" t="s">
        <v>24</v>
      </c>
      <c r="H2346" t="s">
        <v>37</v>
      </c>
      <c r="I2346">
        <v>2.7</v>
      </c>
      <c r="J2346">
        <v>19</v>
      </c>
      <c r="K2346">
        <v>7</v>
      </c>
    </row>
    <row r="2347" spans="1:11" x14ac:dyDescent="0.35">
      <c r="A2347">
        <v>2346</v>
      </c>
      <c r="B2347">
        <v>55</v>
      </c>
      <c r="C2347" t="s">
        <v>16</v>
      </c>
      <c r="D2347" t="s">
        <v>33</v>
      </c>
      <c r="E2347" t="s">
        <v>38</v>
      </c>
      <c r="F2347">
        <v>97.58</v>
      </c>
      <c r="G2347" t="s">
        <v>19</v>
      </c>
      <c r="H2347" t="s">
        <v>15</v>
      </c>
      <c r="I2347">
        <v>3.5</v>
      </c>
      <c r="J2347">
        <v>16</v>
      </c>
      <c r="K2347">
        <v>3</v>
      </c>
    </row>
    <row r="2348" spans="1:11" x14ac:dyDescent="0.35">
      <c r="A2348">
        <v>2347</v>
      </c>
      <c r="B2348">
        <v>34</v>
      </c>
      <c r="C2348" t="s">
        <v>11</v>
      </c>
      <c r="D2348" t="s">
        <v>33</v>
      </c>
      <c r="E2348" t="s">
        <v>38</v>
      </c>
      <c r="F2348">
        <v>46.66</v>
      </c>
      <c r="G2348" t="s">
        <v>14</v>
      </c>
      <c r="H2348" t="s">
        <v>15</v>
      </c>
      <c r="I2348">
        <v>4.0999999999999996</v>
      </c>
      <c r="J2348">
        <v>15</v>
      </c>
      <c r="K2348">
        <v>5</v>
      </c>
    </row>
    <row r="2349" spans="1:11" x14ac:dyDescent="0.35">
      <c r="A2349">
        <v>2348</v>
      </c>
      <c r="B2349">
        <v>57</v>
      </c>
      <c r="C2349" t="s">
        <v>11</v>
      </c>
      <c r="D2349" t="s">
        <v>41</v>
      </c>
      <c r="E2349" t="s">
        <v>44</v>
      </c>
      <c r="F2349">
        <v>120.4</v>
      </c>
      <c r="G2349" t="s">
        <v>19</v>
      </c>
      <c r="H2349" t="s">
        <v>15</v>
      </c>
      <c r="I2349">
        <v>3.5</v>
      </c>
      <c r="J2349">
        <v>18</v>
      </c>
      <c r="K2349">
        <v>4</v>
      </c>
    </row>
    <row r="2350" spans="1:11" x14ac:dyDescent="0.35">
      <c r="A2350">
        <v>2349</v>
      </c>
      <c r="B2350">
        <v>25</v>
      </c>
      <c r="C2350" t="s">
        <v>11</v>
      </c>
      <c r="D2350" t="s">
        <v>25</v>
      </c>
      <c r="E2350" t="s">
        <v>57</v>
      </c>
      <c r="F2350">
        <v>32.25</v>
      </c>
      <c r="G2350" t="s">
        <v>24</v>
      </c>
      <c r="H2350" t="s">
        <v>37</v>
      </c>
      <c r="I2350">
        <v>3.5</v>
      </c>
      <c r="J2350">
        <v>15</v>
      </c>
      <c r="K2350">
        <v>5</v>
      </c>
    </row>
    <row r="2351" spans="1:11" x14ac:dyDescent="0.35">
      <c r="A2351">
        <v>2350</v>
      </c>
      <c r="B2351">
        <v>56</v>
      </c>
      <c r="C2351" t="s">
        <v>11</v>
      </c>
      <c r="D2351" t="s">
        <v>29</v>
      </c>
      <c r="E2351" t="s">
        <v>51</v>
      </c>
      <c r="F2351">
        <v>140.52000000000001</v>
      </c>
      <c r="G2351" t="s">
        <v>14</v>
      </c>
      <c r="H2351" t="s">
        <v>15</v>
      </c>
      <c r="I2351">
        <v>3.7</v>
      </c>
      <c r="J2351">
        <v>6</v>
      </c>
      <c r="K2351">
        <v>3</v>
      </c>
    </row>
    <row r="2352" spans="1:11" x14ac:dyDescent="0.35">
      <c r="A2352">
        <v>2351</v>
      </c>
      <c r="B2352">
        <v>63</v>
      </c>
      <c r="C2352" t="s">
        <v>16</v>
      </c>
      <c r="D2352" t="s">
        <v>17</v>
      </c>
      <c r="E2352" t="s">
        <v>35</v>
      </c>
      <c r="F2352">
        <v>56.51</v>
      </c>
      <c r="G2352" t="s">
        <v>19</v>
      </c>
      <c r="H2352" t="s">
        <v>15</v>
      </c>
      <c r="I2352">
        <v>3.4</v>
      </c>
      <c r="J2352">
        <v>13</v>
      </c>
      <c r="K2352">
        <v>4</v>
      </c>
    </row>
    <row r="2353" spans="1:11" x14ac:dyDescent="0.35">
      <c r="A2353">
        <v>2352</v>
      </c>
      <c r="B2353">
        <v>41</v>
      </c>
      <c r="C2353" t="s">
        <v>16</v>
      </c>
      <c r="D2353" t="s">
        <v>27</v>
      </c>
      <c r="E2353" t="s">
        <v>32</v>
      </c>
      <c r="F2353">
        <v>1053.68</v>
      </c>
      <c r="G2353" t="s">
        <v>31</v>
      </c>
      <c r="H2353" t="s">
        <v>15</v>
      </c>
      <c r="I2353">
        <v>3.5</v>
      </c>
      <c r="J2353">
        <v>6</v>
      </c>
      <c r="K2353">
        <v>3</v>
      </c>
    </row>
    <row r="2354" spans="1:11" x14ac:dyDescent="0.35">
      <c r="A2354">
        <v>2353</v>
      </c>
      <c r="B2354">
        <v>57</v>
      </c>
      <c r="C2354" t="s">
        <v>16</v>
      </c>
      <c r="D2354" t="s">
        <v>17</v>
      </c>
      <c r="E2354" t="s">
        <v>18</v>
      </c>
      <c r="F2354">
        <v>147.72999999999999</v>
      </c>
      <c r="G2354" t="s">
        <v>24</v>
      </c>
      <c r="H2354" t="s">
        <v>15</v>
      </c>
      <c r="I2354">
        <v>3.6</v>
      </c>
      <c r="J2354">
        <v>15</v>
      </c>
      <c r="K2354">
        <v>5</v>
      </c>
    </row>
    <row r="2355" spans="1:11" x14ac:dyDescent="0.35">
      <c r="A2355">
        <v>2354</v>
      </c>
      <c r="B2355">
        <v>29</v>
      </c>
      <c r="C2355" t="s">
        <v>11</v>
      </c>
      <c r="D2355" t="s">
        <v>22</v>
      </c>
      <c r="E2355" t="s">
        <v>23</v>
      </c>
      <c r="F2355">
        <v>58.79</v>
      </c>
      <c r="G2355" t="s">
        <v>14</v>
      </c>
      <c r="H2355" t="s">
        <v>37</v>
      </c>
      <c r="I2355">
        <v>2.4</v>
      </c>
      <c r="J2355">
        <v>18</v>
      </c>
      <c r="K2355">
        <v>9</v>
      </c>
    </row>
    <row r="2356" spans="1:11" x14ac:dyDescent="0.35">
      <c r="A2356">
        <v>2355</v>
      </c>
      <c r="B2356">
        <v>52</v>
      </c>
      <c r="C2356" t="s">
        <v>11</v>
      </c>
      <c r="D2356" t="s">
        <v>25</v>
      </c>
      <c r="E2356" t="s">
        <v>47</v>
      </c>
      <c r="F2356">
        <v>17.37</v>
      </c>
      <c r="G2356" t="s">
        <v>24</v>
      </c>
      <c r="H2356" t="s">
        <v>37</v>
      </c>
      <c r="I2356">
        <v>4.3</v>
      </c>
      <c r="J2356">
        <v>17</v>
      </c>
      <c r="K2356">
        <v>6</v>
      </c>
    </row>
    <row r="2357" spans="1:11" x14ac:dyDescent="0.35">
      <c r="A2357">
        <v>2356</v>
      </c>
      <c r="B2357">
        <v>59</v>
      </c>
      <c r="C2357" t="s">
        <v>11</v>
      </c>
      <c r="D2357" t="s">
        <v>12</v>
      </c>
      <c r="E2357" t="s">
        <v>56</v>
      </c>
      <c r="F2357">
        <v>153.74</v>
      </c>
      <c r="G2357" t="s">
        <v>24</v>
      </c>
      <c r="H2357" t="s">
        <v>15</v>
      </c>
      <c r="I2357">
        <v>4</v>
      </c>
      <c r="J2357">
        <v>15</v>
      </c>
      <c r="K2357">
        <v>5</v>
      </c>
    </row>
    <row r="2358" spans="1:11" x14ac:dyDescent="0.35">
      <c r="A2358">
        <v>2357</v>
      </c>
      <c r="B2358">
        <v>70</v>
      </c>
      <c r="C2358" t="s">
        <v>16</v>
      </c>
      <c r="D2358" t="s">
        <v>25</v>
      </c>
      <c r="E2358" t="s">
        <v>54</v>
      </c>
      <c r="F2358">
        <v>22.29</v>
      </c>
      <c r="G2358" t="s">
        <v>24</v>
      </c>
      <c r="H2358" t="s">
        <v>37</v>
      </c>
      <c r="I2358">
        <v>4.2</v>
      </c>
      <c r="J2358">
        <v>12</v>
      </c>
      <c r="K2358">
        <v>6</v>
      </c>
    </row>
    <row r="2359" spans="1:11" x14ac:dyDescent="0.35">
      <c r="A2359">
        <v>2358</v>
      </c>
      <c r="B2359">
        <v>50</v>
      </c>
      <c r="C2359" t="s">
        <v>11</v>
      </c>
      <c r="D2359" t="s">
        <v>29</v>
      </c>
      <c r="E2359" t="s">
        <v>51</v>
      </c>
      <c r="F2359">
        <v>29.51</v>
      </c>
      <c r="G2359" t="s">
        <v>19</v>
      </c>
      <c r="H2359" t="s">
        <v>37</v>
      </c>
      <c r="I2359">
        <v>4.2</v>
      </c>
      <c r="J2359">
        <v>34</v>
      </c>
      <c r="K2359">
        <v>12</v>
      </c>
    </row>
    <row r="2360" spans="1:11" x14ac:dyDescent="0.35">
      <c r="A2360">
        <v>2359</v>
      </c>
      <c r="B2360">
        <v>24</v>
      </c>
      <c r="C2360" t="s">
        <v>16</v>
      </c>
      <c r="D2360" t="s">
        <v>20</v>
      </c>
      <c r="E2360" t="s">
        <v>36</v>
      </c>
      <c r="F2360">
        <v>232.38</v>
      </c>
      <c r="G2360" t="s">
        <v>19</v>
      </c>
      <c r="H2360" t="s">
        <v>15</v>
      </c>
      <c r="I2360">
        <v>4.7</v>
      </c>
      <c r="J2360">
        <v>22</v>
      </c>
      <c r="K2360">
        <v>6</v>
      </c>
    </row>
    <row r="2361" spans="1:11" x14ac:dyDescent="0.35">
      <c r="A2361">
        <v>2360</v>
      </c>
      <c r="B2361">
        <v>45</v>
      </c>
      <c r="C2361" t="s">
        <v>11</v>
      </c>
      <c r="D2361" t="s">
        <v>20</v>
      </c>
      <c r="E2361" t="s">
        <v>36</v>
      </c>
      <c r="F2361">
        <v>107.39</v>
      </c>
      <c r="G2361" t="s">
        <v>19</v>
      </c>
      <c r="H2361" t="s">
        <v>15</v>
      </c>
      <c r="I2361">
        <v>4.0999999999999996</v>
      </c>
      <c r="J2361">
        <v>12</v>
      </c>
      <c r="K2361">
        <v>6</v>
      </c>
    </row>
    <row r="2362" spans="1:11" x14ac:dyDescent="0.35">
      <c r="A2362">
        <v>2361</v>
      </c>
      <c r="B2362">
        <v>59</v>
      </c>
      <c r="C2362" t="s">
        <v>11</v>
      </c>
      <c r="D2362" t="s">
        <v>12</v>
      </c>
      <c r="E2362" t="s">
        <v>13</v>
      </c>
      <c r="F2362">
        <v>97.16</v>
      </c>
      <c r="G2362" t="s">
        <v>24</v>
      </c>
      <c r="H2362" t="s">
        <v>37</v>
      </c>
      <c r="I2362">
        <v>2.9</v>
      </c>
      <c r="J2362">
        <v>17</v>
      </c>
      <c r="K2362">
        <v>6</v>
      </c>
    </row>
    <row r="2363" spans="1:11" x14ac:dyDescent="0.35">
      <c r="A2363">
        <v>2362</v>
      </c>
      <c r="B2363">
        <v>46</v>
      </c>
      <c r="C2363" t="s">
        <v>16</v>
      </c>
      <c r="D2363" t="s">
        <v>20</v>
      </c>
      <c r="E2363" t="s">
        <v>39</v>
      </c>
      <c r="F2363">
        <v>173.47</v>
      </c>
      <c r="G2363" t="s">
        <v>19</v>
      </c>
      <c r="H2363" t="s">
        <v>15</v>
      </c>
      <c r="I2363">
        <v>4</v>
      </c>
      <c r="J2363">
        <v>24</v>
      </c>
      <c r="K2363">
        <v>7</v>
      </c>
    </row>
    <row r="2364" spans="1:11" x14ac:dyDescent="0.35">
      <c r="A2364">
        <v>2363</v>
      </c>
      <c r="B2364">
        <v>42</v>
      </c>
      <c r="C2364" t="s">
        <v>11</v>
      </c>
      <c r="D2364" t="s">
        <v>33</v>
      </c>
      <c r="E2364" t="s">
        <v>34</v>
      </c>
      <c r="F2364">
        <v>119.21</v>
      </c>
      <c r="G2364" t="s">
        <v>31</v>
      </c>
      <c r="H2364" t="s">
        <v>15</v>
      </c>
      <c r="I2364">
        <v>2.7</v>
      </c>
      <c r="J2364">
        <v>6</v>
      </c>
      <c r="K2364">
        <v>3</v>
      </c>
    </row>
    <row r="2365" spans="1:11" x14ac:dyDescent="0.35">
      <c r="A2365">
        <v>2364</v>
      </c>
      <c r="B2365">
        <v>56</v>
      </c>
      <c r="C2365" t="s">
        <v>16</v>
      </c>
      <c r="D2365" t="s">
        <v>20</v>
      </c>
      <c r="E2365" t="s">
        <v>36</v>
      </c>
      <c r="F2365">
        <v>39.86</v>
      </c>
      <c r="G2365" t="s">
        <v>24</v>
      </c>
      <c r="H2365" t="s">
        <v>15</v>
      </c>
      <c r="I2365">
        <v>2.9</v>
      </c>
      <c r="J2365">
        <v>4</v>
      </c>
      <c r="K2365">
        <v>2</v>
      </c>
    </row>
    <row r="2366" spans="1:11" x14ac:dyDescent="0.35">
      <c r="A2366">
        <v>2365</v>
      </c>
      <c r="B2366">
        <v>22</v>
      </c>
      <c r="C2366" t="s">
        <v>16</v>
      </c>
      <c r="D2366" t="s">
        <v>27</v>
      </c>
      <c r="E2366" t="s">
        <v>32</v>
      </c>
      <c r="F2366">
        <v>504.91</v>
      </c>
      <c r="G2366" t="s">
        <v>31</v>
      </c>
      <c r="H2366" t="s">
        <v>15</v>
      </c>
      <c r="I2366">
        <v>3.8</v>
      </c>
      <c r="J2366">
        <v>15</v>
      </c>
      <c r="K2366">
        <v>5</v>
      </c>
    </row>
    <row r="2367" spans="1:11" x14ac:dyDescent="0.35">
      <c r="A2367">
        <v>2366</v>
      </c>
      <c r="B2367">
        <v>45</v>
      </c>
      <c r="C2367" t="s">
        <v>16</v>
      </c>
      <c r="D2367" t="s">
        <v>33</v>
      </c>
      <c r="E2367" t="s">
        <v>40</v>
      </c>
      <c r="F2367">
        <v>96.52</v>
      </c>
      <c r="G2367" t="s">
        <v>19</v>
      </c>
      <c r="H2367" t="s">
        <v>37</v>
      </c>
      <c r="I2367">
        <v>3.3</v>
      </c>
      <c r="J2367">
        <v>11</v>
      </c>
      <c r="K2367">
        <v>3</v>
      </c>
    </row>
    <row r="2368" spans="1:11" x14ac:dyDescent="0.35">
      <c r="A2368">
        <v>2367</v>
      </c>
      <c r="B2368">
        <v>34</v>
      </c>
      <c r="C2368" t="s">
        <v>16</v>
      </c>
      <c r="D2368" t="s">
        <v>33</v>
      </c>
      <c r="E2368" t="s">
        <v>34</v>
      </c>
      <c r="F2368">
        <v>109.16</v>
      </c>
      <c r="G2368" t="s">
        <v>19</v>
      </c>
      <c r="H2368" t="s">
        <v>15</v>
      </c>
      <c r="I2368">
        <v>3.7</v>
      </c>
      <c r="J2368">
        <v>13</v>
      </c>
      <c r="K2368">
        <v>4</v>
      </c>
    </row>
    <row r="2369" spans="1:11" x14ac:dyDescent="0.35">
      <c r="A2369">
        <v>2368</v>
      </c>
      <c r="B2369">
        <v>69</v>
      </c>
      <c r="C2369" t="s">
        <v>11</v>
      </c>
      <c r="D2369" t="s">
        <v>12</v>
      </c>
      <c r="E2369" t="s">
        <v>56</v>
      </c>
      <c r="F2369">
        <v>145.25</v>
      </c>
      <c r="G2369" t="s">
        <v>24</v>
      </c>
      <c r="H2369" t="s">
        <v>15</v>
      </c>
      <c r="I2369">
        <v>4.7</v>
      </c>
      <c r="J2369">
        <v>11</v>
      </c>
      <c r="K2369">
        <v>3</v>
      </c>
    </row>
    <row r="2370" spans="1:11" x14ac:dyDescent="0.35">
      <c r="A2370">
        <v>2369</v>
      </c>
      <c r="B2370">
        <v>57</v>
      </c>
      <c r="C2370" t="s">
        <v>11</v>
      </c>
      <c r="D2370" t="s">
        <v>41</v>
      </c>
      <c r="E2370" t="s">
        <v>45</v>
      </c>
      <c r="F2370">
        <v>193.36</v>
      </c>
      <c r="G2370" t="s">
        <v>31</v>
      </c>
      <c r="H2370" t="s">
        <v>15</v>
      </c>
      <c r="I2370">
        <v>3.8</v>
      </c>
      <c r="J2370">
        <v>20</v>
      </c>
      <c r="K2370">
        <v>5</v>
      </c>
    </row>
    <row r="2371" spans="1:11" x14ac:dyDescent="0.35">
      <c r="A2371">
        <v>2370</v>
      </c>
      <c r="B2371">
        <v>36</v>
      </c>
      <c r="C2371" t="s">
        <v>16</v>
      </c>
      <c r="D2371" t="s">
        <v>33</v>
      </c>
      <c r="E2371" t="s">
        <v>38</v>
      </c>
      <c r="F2371">
        <v>116.93</v>
      </c>
      <c r="G2371" t="s">
        <v>14</v>
      </c>
      <c r="H2371" t="s">
        <v>15</v>
      </c>
      <c r="I2371">
        <v>4.8</v>
      </c>
      <c r="J2371">
        <v>32</v>
      </c>
      <c r="K2371">
        <v>11</v>
      </c>
    </row>
    <row r="2372" spans="1:11" x14ac:dyDescent="0.35">
      <c r="A2372">
        <v>2371</v>
      </c>
      <c r="B2372">
        <v>53</v>
      </c>
      <c r="C2372" t="s">
        <v>11</v>
      </c>
      <c r="D2372" t="s">
        <v>12</v>
      </c>
      <c r="E2372" t="s">
        <v>50</v>
      </c>
      <c r="F2372">
        <v>152.31</v>
      </c>
      <c r="G2372" t="s">
        <v>24</v>
      </c>
      <c r="H2372" t="s">
        <v>15</v>
      </c>
      <c r="I2372">
        <v>4.7</v>
      </c>
      <c r="J2372">
        <v>18</v>
      </c>
      <c r="K2372">
        <v>4</v>
      </c>
    </row>
    <row r="2373" spans="1:11" x14ac:dyDescent="0.35">
      <c r="A2373">
        <v>2372</v>
      </c>
      <c r="B2373">
        <v>27</v>
      </c>
      <c r="C2373" t="s">
        <v>16</v>
      </c>
      <c r="D2373" t="s">
        <v>20</v>
      </c>
      <c r="E2373" t="s">
        <v>36</v>
      </c>
      <c r="F2373">
        <v>52.75</v>
      </c>
      <c r="G2373" t="s">
        <v>19</v>
      </c>
      <c r="H2373" t="s">
        <v>15</v>
      </c>
      <c r="I2373">
        <v>3.8</v>
      </c>
      <c r="J2373">
        <v>19</v>
      </c>
      <c r="K2373">
        <v>7</v>
      </c>
    </row>
    <row r="2374" spans="1:11" x14ac:dyDescent="0.35">
      <c r="A2374">
        <v>2373</v>
      </c>
      <c r="B2374">
        <v>49</v>
      </c>
      <c r="C2374" t="s">
        <v>11</v>
      </c>
      <c r="D2374" t="s">
        <v>29</v>
      </c>
      <c r="E2374" t="s">
        <v>55</v>
      </c>
      <c r="F2374">
        <v>141.08000000000001</v>
      </c>
      <c r="G2374" t="s">
        <v>31</v>
      </c>
      <c r="H2374" t="s">
        <v>15</v>
      </c>
      <c r="I2374">
        <v>4.5</v>
      </c>
      <c r="J2374">
        <v>23</v>
      </c>
      <c r="K2374">
        <v>9</v>
      </c>
    </row>
    <row r="2375" spans="1:11" x14ac:dyDescent="0.35">
      <c r="A2375">
        <v>2374</v>
      </c>
      <c r="B2375">
        <v>45</v>
      </c>
      <c r="C2375" t="s">
        <v>11</v>
      </c>
      <c r="D2375" t="s">
        <v>25</v>
      </c>
      <c r="E2375" t="s">
        <v>26</v>
      </c>
      <c r="F2375">
        <v>79</v>
      </c>
      <c r="G2375" t="s">
        <v>19</v>
      </c>
      <c r="H2375" t="s">
        <v>37</v>
      </c>
      <c r="I2375">
        <v>3.1</v>
      </c>
      <c r="J2375">
        <v>11</v>
      </c>
      <c r="K2375">
        <v>3</v>
      </c>
    </row>
    <row r="2376" spans="1:11" x14ac:dyDescent="0.35">
      <c r="A2376">
        <v>2375</v>
      </c>
      <c r="B2376">
        <v>58</v>
      </c>
      <c r="C2376" t="s">
        <v>11</v>
      </c>
      <c r="D2376" t="s">
        <v>22</v>
      </c>
      <c r="E2376" t="s">
        <v>23</v>
      </c>
      <c r="F2376">
        <v>53.86</v>
      </c>
      <c r="G2376" t="s">
        <v>19</v>
      </c>
      <c r="H2376" t="s">
        <v>15</v>
      </c>
      <c r="I2376">
        <v>4</v>
      </c>
      <c r="J2376">
        <v>8</v>
      </c>
      <c r="K2376">
        <v>4</v>
      </c>
    </row>
    <row r="2377" spans="1:11" x14ac:dyDescent="0.35">
      <c r="A2377">
        <v>2376</v>
      </c>
      <c r="B2377">
        <v>57</v>
      </c>
      <c r="C2377" t="s">
        <v>16</v>
      </c>
      <c r="D2377" t="s">
        <v>20</v>
      </c>
      <c r="E2377" t="s">
        <v>39</v>
      </c>
      <c r="F2377">
        <v>143.78</v>
      </c>
      <c r="G2377" t="s">
        <v>31</v>
      </c>
      <c r="H2377" t="s">
        <v>15</v>
      </c>
      <c r="I2377">
        <v>3.1</v>
      </c>
      <c r="J2377">
        <v>8</v>
      </c>
      <c r="K2377">
        <v>4</v>
      </c>
    </row>
    <row r="2378" spans="1:11" x14ac:dyDescent="0.35">
      <c r="A2378">
        <v>2377</v>
      </c>
      <c r="B2378">
        <v>50</v>
      </c>
      <c r="C2378" t="s">
        <v>11</v>
      </c>
      <c r="D2378" t="s">
        <v>33</v>
      </c>
      <c r="E2378" t="s">
        <v>38</v>
      </c>
      <c r="F2378">
        <v>225.05</v>
      </c>
      <c r="G2378" t="s">
        <v>31</v>
      </c>
      <c r="H2378" t="s">
        <v>15</v>
      </c>
      <c r="I2378">
        <v>3.8</v>
      </c>
      <c r="J2378">
        <v>11</v>
      </c>
      <c r="K2378">
        <v>3</v>
      </c>
    </row>
    <row r="2379" spans="1:11" x14ac:dyDescent="0.35">
      <c r="A2379">
        <v>2378</v>
      </c>
      <c r="B2379">
        <v>26</v>
      </c>
      <c r="C2379" t="s">
        <v>16</v>
      </c>
      <c r="D2379" t="s">
        <v>20</v>
      </c>
      <c r="E2379" t="s">
        <v>39</v>
      </c>
      <c r="F2379">
        <v>180.74</v>
      </c>
      <c r="G2379" t="s">
        <v>19</v>
      </c>
      <c r="H2379" t="s">
        <v>15</v>
      </c>
      <c r="I2379">
        <v>4.2</v>
      </c>
      <c r="J2379">
        <v>32</v>
      </c>
      <c r="K2379">
        <v>11</v>
      </c>
    </row>
    <row r="2380" spans="1:11" x14ac:dyDescent="0.35">
      <c r="A2380">
        <v>2379</v>
      </c>
      <c r="B2380">
        <v>31</v>
      </c>
      <c r="C2380" t="s">
        <v>16</v>
      </c>
      <c r="D2380" t="s">
        <v>20</v>
      </c>
      <c r="E2380" t="s">
        <v>21</v>
      </c>
      <c r="F2380">
        <v>197.61</v>
      </c>
      <c r="G2380" t="s">
        <v>14</v>
      </c>
      <c r="H2380" t="s">
        <v>15</v>
      </c>
      <c r="I2380">
        <v>3.5</v>
      </c>
      <c r="J2380">
        <v>12</v>
      </c>
      <c r="K2380">
        <v>6</v>
      </c>
    </row>
    <row r="2381" spans="1:11" x14ac:dyDescent="0.35">
      <c r="A2381">
        <v>2380</v>
      </c>
      <c r="B2381">
        <v>59</v>
      </c>
      <c r="C2381" t="s">
        <v>11</v>
      </c>
      <c r="D2381" t="s">
        <v>41</v>
      </c>
      <c r="E2381" t="s">
        <v>45</v>
      </c>
      <c r="F2381">
        <v>192.86</v>
      </c>
      <c r="G2381" t="s">
        <v>19</v>
      </c>
      <c r="H2381" t="s">
        <v>15</v>
      </c>
      <c r="I2381">
        <v>4.2</v>
      </c>
      <c r="J2381">
        <v>18</v>
      </c>
      <c r="K2381">
        <v>4</v>
      </c>
    </row>
    <row r="2382" spans="1:11" x14ac:dyDescent="0.35">
      <c r="A2382">
        <v>2381</v>
      </c>
      <c r="B2382">
        <v>36</v>
      </c>
      <c r="C2382" t="s">
        <v>11</v>
      </c>
      <c r="D2382" t="s">
        <v>41</v>
      </c>
      <c r="E2382" t="s">
        <v>46</v>
      </c>
      <c r="F2382">
        <v>71.03</v>
      </c>
      <c r="G2382" t="s">
        <v>31</v>
      </c>
      <c r="H2382" t="s">
        <v>15</v>
      </c>
      <c r="I2382">
        <v>4.8</v>
      </c>
      <c r="J2382">
        <v>22</v>
      </c>
      <c r="K2382">
        <v>6</v>
      </c>
    </row>
    <row r="2383" spans="1:11" x14ac:dyDescent="0.35">
      <c r="A2383">
        <v>2382</v>
      </c>
      <c r="B2383">
        <v>37</v>
      </c>
      <c r="C2383" t="s">
        <v>11</v>
      </c>
      <c r="D2383" t="s">
        <v>29</v>
      </c>
      <c r="E2383" t="s">
        <v>30</v>
      </c>
      <c r="F2383">
        <v>90.69</v>
      </c>
      <c r="G2383" t="s">
        <v>14</v>
      </c>
      <c r="H2383" t="s">
        <v>15</v>
      </c>
      <c r="I2383">
        <v>4.3</v>
      </c>
      <c r="J2383">
        <v>10</v>
      </c>
      <c r="K2383">
        <v>0</v>
      </c>
    </row>
    <row r="2384" spans="1:11" x14ac:dyDescent="0.35">
      <c r="A2384">
        <v>2383</v>
      </c>
      <c r="B2384">
        <v>60</v>
      </c>
      <c r="C2384" t="s">
        <v>11</v>
      </c>
      <c r="D2384" t="s">
        <v>29</v>
      </c>
      <c r="E2384" t="s">
        <v>55</v>
      </c>
      <c r="F2384">
        <v>75.290000000000006</v>
      </c>
      <c r="G2384" t="s">
        <v>19</v>
      </c>
      <c r="H2384" t="s">
        <v>15</v>
      </c>
      <c r="I2384">
        <v>5</v>
      </c>
      <c r="J2384">
        <v>20</v>
      </c>
      <c r="K2384">
        <v>5</v>
      </c>
    </row>
    <row r="2385" spans="1:11" x14ac:dyDescent="0.35">
      <c r="A2385">
        <v>2384</v>
      </c>
      <c r="B2385">
        <v>27</v>
      </c>
      <c r="C2385" t="s">
        <v>16</v>
      </c>
      <c r="D2385" t="s">
        <v>17</v>
      </c>
      <c r="E2385" t="s">
        <v>48</v>
      </c>
      <c r="F2385">
        <v>62.41</v>
      </c>
      <c r="G2385" t="s">
        <v>19</v>
      </c>
      <c r="H2385" t="s">
        <v>37</v>
      </c>
      <c r="I2385">
        <v>2.9</v>
      </c>
      <c r="J2385">
        <v>13</v>
      </c>
      <c r="K2385">
        <v>4</v>
      </c>
    </row>
    <row r="2386" spans="1:11" x14ac:dyDescent="0.35">
      <c r="A2386">
        <v>2385</v>
      </c>
      <c r="B2386">
        <v>65</v>
      </c>
      <c r="C2386" t="s">
        <v>16</v>
      </c>
      <c r="D2386" t="s">
        <v>17</v>
      </c>
      <c r="E2386" t="s">
        <v>48</v>
      </c>
      <c r="F2386">
        <v>169.17</v>
      </c>
      <c r="G2386" t="s">
        <v>14</v>
      </c>
      <c r="H2386" t="s">
        <v>15</v>
      </c>
      <c r="I2386">
        <v>3.8</v>
      </c>
      <c r="J2386">
        <v>10</v>
      </c>
      <c r="K2386">
        <v>5</v>
      </c>
    </row>
    <row r="2387" spans="1:11" x14ac:dyDescent="0.35">
      <c r="A2387">
        <v>2386</v>
      </c>
      <c r="B2387">
        <v>39</v>
      </c>
      <c r="C2387" t="s">
        <v>16</v>
      </c>
      <c r="D2387" t="s">
        <v>27</v>
      </c>
      <c r="E2387" t="s">
        <v>28</v>
      </c>
      <c r="F2387">
        <v>2886.67</v>
      </c>
      <c r="G2387" t="s">
        <v>31</v>
      </c>
      <c r="H2387" t="s">
        <v>15</v>
      </c>
      <c r="I2387">
        <v>3.6</v>
      </c>
      <c r="J2387">
        <v>19</v>
      </c>
      <c r="K2387">
        <v>7</v>
      </c>
    </row>
    <row r="2388" spans="1:11" x14ac:dyDescent="0.35">
      <c r="A2388">
        <v>2387</v>
      </c>
      <c r="B2388">
        <v>60</v>
      </c>
      <c r="C2388" t="s">
        <v>16</v>
      </c>
      <c r="D2388" t="s">
        <v>33</v>
      </c>
      <c r="E2388" t="s">
        <v>40</v>
      </c>
      <c r="F2388">
        <v>144.37</v>
      </c>
      <c r="G2388" t="s">
        <v>24</v>
      </c>
      <c r="H2388" t="s">
        <v>15</v>
      </c>
      <c r="I2388">
        <v>4.4000000000000004</v>
      </c>
      <c r="J2388">
        <v>18</v>
      </c>
      <c r="K2388">
        <v>4</v>
      </c>
    </row>
    <row r="2389" spans="1:11" x14ac:dyDescent="0.35">
      <c r="A2389">
        <v>2388</v>
      </c>
      <c r="B2389">
        <v>56</v>
      </c>
      <c r="C2389" t="s">
        <v>16</v>
      </c>
      <c r="D2389" t="s">
        <v>25</v>
      </c>
      <c r="E2389" t="s">
        <v>54</v>
      </c>
      <c r="F2389">
        <v>23.35</v>
      </c>
      <c r="G2389" t="s">
        <v>24</v>
      </c>
      <c r="H2389" t="s">
        <v>15</v>
      </c>
      <c r="I2389">
        <v>4.9000000000000004</v>
      </c>
      <c r="J2389">
        <v>17</v>
      </c>
      <c r="K2389">
        <v>6</v>
      </c>
    </row>
    <row r="2390" spans="1:11" x14ac:dyDescent="0.35">
      <c r="A2390">
        <v>2389</v>
      </c>
      <c r="B2390">
        <v>32</v>
      </c>
      <c r="C2390" t="s">
        <v>16</v>
      </c>
      <c r="D2390" t="s">
        <v>17</v>
      </c>
      <c r="E2390" t="s">
        <v>42</v>
      </c>
      <c r="F2390">
        <v>191.09</v>
      </c>
      <c r="G2390" t="s">
        <v>31</v>
      </c>
      <c r="H2390" t="s">
        <v>15</v>
      </c>
      <c r="I2390">
        <v>4.2</v>
      </c>
      <c r="J2390">
        <v>14</v>
      </c>
      <c r="K2390">
        <v>7</v>
      </c>
    </row>
    <row r="2391" spans="1:11" x14ac:dyDescent="0.35">
      <c r="A2391">
        <v>2390</v>
      </c>
      <c r="B2391">
        <v>47</v>
      </c>
      <c r="C2391" t="s">
        <v>11</v>
      </c>
      <c r="D2391" t="s">
        <v>33</v>
      </c>
      <c r="E2391" t="s">
        <v>34</v>
      </c>
      <c r="F2391">
        <v>69.52</v>
      </c>
      <c r="G2391" t="s">
        <v>31</v>
      </c>
      <c r="H2391" t="s">
        <v>37</v>
      </c>
      <c r="I2391">
        <v>3.2</v>
      </c>
      <c r="J2391">
        <v>20</v>
      </c>
      <c r="K2391">
        <v>5</v>
      </c>
    </row>
    <row r="2392" spans="1:11" x14ac:dyDescent="0.35">
      <c r="A2392">
        <v>2391</v>
      </c>
      <c r="B2392">
        <v>55</v>
      </c>
      <c r="C2392" t="s">
        <v>16</v>
      </c>
      <c r="D2392" t="s">
        <v>17</v>
      </c>
      <c r="E2392" t="s">
        <v>42</v>
      </c>
      <c r="F2392">
        <v>119.06</v>
      </c>
      <c r="G2392" t="s">
        <v>14</v>
      </c>
      <c r="H2392" t="s">
        <v>15</v>
      </c>
      <c r="I2392">
        <v>3.6</v>
      </c>
      <c r="J2392">
        <v>8</v>
      </c>
      <c r="K2392">
        <v>4</v>
      </c>
    </row>
    <row r="2393" spans="1:11" x14ac:dyDescent="0.35">
      <c r="A2393">
        <v>2392</v>
      </c>
      <c r="B2393">
        <v>52</v>
      </c>
      <c r="C2393" t="s">
        <v>11</v>
      </c>
      <c r="D2393" t="s">
        <v>29</v>
      </c>
      <c r="E2393" t="s">
        <v>51</v>
      </c>
      <c r="F2393">
        <v>64.56</v>
      </c>
      <c r="G2393" t="s">
        <v>24</v>
      </c>
      <c r="H2393" t="s">
        <v>15</v>
      </c>
      <c r="I2393">
        <v>3.2</v>
      </c>
      <c r="J2393">
        <v>12</v>
      </c>
      <c r="K2393">
        <v>6</v>
      </c>
    </row>
    <row r="2394" spans="1:11" x14ac:dyDescent="0.35">
      <c r="A2394">
        <v>2393</v>
      </c>
      <c r="B2394">
        <v>59</v>
      </c>
      <c r="C2394" t="s">
        <v>11</v>
      </c>
      <c r="D2394" t="s">
        <v>33</v>
      </c>
      <c r="E2394" t="s">
        <v>40</v>
      </c>
      <c r="F2394">
        <v>90.14</v>
      </c>
      <c r="G2394" t="s">
        <v>19</v>
      </c>
      <c r="H2394" t="s">
        <v>37</v>
      </c>
      <c r="I2394">
        <v>3.9</v>
      </c>
      <c r="J2394">
        <v>11</v>
      </c>
      <c r="K2394">
        <v>3</v>
      </c>
    </row>
    <row r="2395" spans="1:11" x14ac:dyDescent="0.35">
      <c r="A2395">
        <v>2394</v>
      </c>
      <c r="B2395">
        <v>32</v>
      </c>
      <c r="C2395" t="s">
        <v>16</v>
      </c>
      <c r="D2395" t="s">
        <v>27</v>
      </c>
      <c r="E2395" t="s">
        <v>53</v>
      </c>
      <c r="F2395">
        <v>1690.64</v>
      </c>
      <c r="G2395" t="s">
        <v>19</v>
      </c>
      <c r="H2395" t="s">
        <v>15</v>
      </c>
      <c r="I2395">
        <v>4.5999999999999996</v>
      </c>
      <c r="J2395">
        <v>18</v>
      </c>
      <c r="K2395">
        <v>4</v>
      </c>
    </row>
    <row r="2396" spans="1:11" x14ac:dyDescent="0.35">
      <c r="A2396">
        <v>2395</v>
      </c>
      <c r="B2396">
        <v>60</v>
      </c>
      <c r="C2396" t="s">
        <v>11</v>
      </c>
      <c r="D2396" t="s">
        <v>33</v>
      </c>
      <c r="E2396" t="s">
        <v>38</v>
      </c>
      <c r="F2396">
        <v>136.97</v>
      </c>
      <c r="G2396" t="s">
        <v>31</v>
      </c>
      <c r="H2396" t="s">
        <v>15</v>
      </c>
      <c r="I2396">
        <v>4.5</v>
      </c>
      <c r="J2396">
        <v>11</v>
      </c>
      <c r="K2396">
        <v>3</v>
      </c>
    </row>
    <row r="2397" spans="1:11" x14ac:dyDescent="0.35">
      <c r="A2397">
        <v>2396</v>
      </c>
      <c r="B2397">
        <v>66</v>
      </c>
      <c r="C2397" t="s">
        <v>16</v>
      </c>
      <c r="D2397" t="s">
        <v>22</v>
      </c>
      <c r="E2397" t="s">
        <v>43</v>
      </c>
      <c r="F2397">
        <v>116.48</v>
      </c>
      <c r="G2397" t="s">
        <v>19</v>
      </c>
      <c r="H2397" t="s">
        <v>15</v>
      </c>
      <c r="I2397">
        <v>5</v>
      </c>
      <c r="J2397">
        <v>24</v>
      </c>
      <c r="K2397">
        <v>12</v>
      </c>
    </row>
    <row r="2398" spans="1:11" x14ac:dyDescent="0.35">
      <c r="A2398">
        <v>2397</v>
      </c>
      <c r="B2398">
        <v>22</v>
      </c>
      <c r="C2398" t="s">
        <v>16</v>
      </c>
      <c r="D2398" t="s">
        <v>27</v>
      </c>
      <c r="E2398" t="s">
        <v>28</v>
      </c>
      <c r="F2398">
        <v>503.66</v>
      </c>
      <c r="G2398" t="s">
        <v>24</v>
      </c>
      <c r="H2398" t="s">
        <v>15</v>
      </c>
      <c r="I2398">
        <v>2.8</v>
      </c>
      <c r="J2398">
        <v>14</v>
      </c>
      <c r="K2398">
        <v>7</v>
      </c>
    </row>
    <row r="2399" spans="1:11" x14ac:dyDescent="0.35">
      <c r="A2399">
        <v>2398</v>
      </c>
      <c r="B2399">
        <v>21</v>
      </c>
      <c r="C2399" t="s">
        <v>11</v>
      </c>
      <c r="D2399" t="s">
        <v>33</v>
      </c>
      <c r="E2399" t="s">
        <v>40</v>
      </c>
      <c r="F2399">
        <v>176.14</v>
      </c>
      <c r="G2399" t="s">
        <v>14</v>
      </c>
      <c r="H2399" t="s">
        <v>15</v>
      </c>
      <c r="I2399">
        <v>3.6</v>
      </c>
      <c r="J2399">
        <v>26</v>
      </c>
      <c r="K2399">
        <v>8</v>
      </c>
    </row>
    <row r="2400" spans="1:11" x14ac:dyDescent="0.35">
      <c r="A2400">
        <v>2399</v>
      </c>
      <c r="B2400">
        <v>61</v>
      </c>
      <c r="C2400" t="s">
        <v>11</v>
      </c>
      <c r="D2400" t="s">
        <v>33</v>
      </c>
      <c r="E2400" t="s">
        <v>34</v>
      </c>
      <c r="F2400">
        <v>202.84</v>
      </c>
      <c r="G2400" t="s">
        <v>19</v>
      </c>
      <c r="H2400" t="s">
        <v>15</v>
      </c>
      <c r="I2400">
        <v>3.2</v>
      </c>
      <c r="J2400">
        <v>10</v>
      </c>
      <c r="K2400">
        <v>5</v>
      </c>
    </row>
    <row r="2401" spans="1:11" x14ac:dyDescent="0.35">
      <c r="A2401">
        <v>2400</v>
      </c>
      <c r="B2401">
        <v>45</v>
      </c>
      <c r="C2401" t="s">
        <v>16</v>
      </c>
      <c r="D2401" t="s">
        <v>33</v>
      </c>
      <c r="E2401" t="s">
        <v>38</v>
      </c>
      <c r="F2401">
        <v>95.24</v>
      </c>
      <c r="G2401" t="s">
        <v>24</v>
      </c>
      <c r="H2401" t="s">
        <v>37</v>
      </c>
      <c r="I2401">
        <v>4.5999999999999996</v>
      </c>
      <c r="J2401">
        <v>11</v>
      </c>
      <c r="K2401">
        <v>3</v>
      </c>
    </row>
    <row r="2402" spans="1:11" x14ac:dyDescent="0.35">
      <c r="A2402">
        <v>2401</v>
      </c>
      <c r="B2402">
        <v>59</v>
      </c>
      <c r="C2402" t="s">
        <v>11</v>
      </c>
      <c r="D2402" t="s">
        <v>41</v>
      </c>
      <c r="E2402" t="s">
        <v>45</v>
      </c>
      <c r="F2402">
        <v>188.01</v>
      </c>
      <c r="G2402" t="s">
        <v>24</v>
      </c>
      <c r="H2402" t="s">
        <v>15</v>
      </c>
      <c r="I2402">
        <v>2.8</v>
      </c>
      <c r="J2402">
        <v>12</v>
      </c>
      <c r="K2402">
        <v>6</v>
      </c>
    </row>
    <row r="2403" spans="1:11" x14ac:dyDescent="0.35">
      <c r="A2403">
        <v>2402</v>
      </c>
      <c r="B2403">
        <v>50</v>
      </c>
      <c r="C2403" t="s">
        <v>16</v>
      </c>
      <c r="D2403" t="s">
        <v>25</v>
      </c>
      <c r="E2403" t="s">
        <v>57</v>
      </c>
      <c r="F2403">
        <v>11.64</v>
      </c>
      <c r="G2403" t="s">
        <v>31</v>
      </c>
      <c r="H2403" t="s">
        <v>37</v>
      </c>
      <c r="I2403">
        <v>2.8</v>
      </c>
      <c r="J2403">
        <v>2</v>
      </c>
      <c r="K2403">
        <v>1</v>
      </c>
    </row>
    <row r="2404" spans="1:11" x14ac:dyDescent="0.35">
      <c r="A2404">
        <v>2403</v>
      </c>
      <c r="B2404">
        <v>61</v>
      </c>
      <c r="C2404" t="s">
        <v>16</v>
      </c>
      <c r="D2404" t="s">
        <v>25</v>
      </c>
      <c r="E2404" t="s">
        <v>57</v>
      </c>
      <c r="F2404">
        <v>49.05</v>
      </c>
      <c r="G2404" t="s">
        <v>31</v>
      </c>
      <c r="H2404" t="s">
        <v>15</v>
      </c>
      <c r="I2404">
        <v>2.7</v>
      </c>
      <c r="J2404">
        <v>22</v>
      </c>
      <c r="K2404">
        <v>6</v>
      </c>
    </row>
    <row r="2405" spans="1:11" x14ac:dyDescent="0.35">
      <c r="A2405">
        <v>2404</v>
      </c>
      <c r="B2405">
        <v>36</v>
      </c>
      <c r="C2405" t="s">
        <v>11</v>
      </c>
      <c r="D2405" t="s">
        <v>20</v>
      </c>
      <c r="E2405" t="s">
        <v>36</v>
      </c>
      <c r="F2405">
        <v>51.28</v>
      </c>
      <c r="G2405" t="s">
        <v>19</v>
      </c>
      <c r="H2405" t="s">
        <v>15</v>
      </c>
      <c r="I2405">
        <v>4.5</v>
      </c>
      <c r="J2405">
        <v>22</v>
      </c>
      <c r="K2405">
        <v>6</v>
      </c>
    </row>
    <row r="2406" spans="1:11" x14ac:dyDescent="0.35">
      <c r="A2406">
        <v>2405</v>
      </c>
      <c r="B2406">
        <v>45</v>
      </c>
      <c r="C2406" t="s">
        <v>16</v>
      </c>
      <c r="D2406" t="s">
        <v>33</v>
      </c>
      <c r="E2406" t="s">
        <v>40</v>
      </c>
      <c r="F2406">
        <v>53.31</v>
      </c>
      <c r="G2406" t="s">
        <v>31</v>
      </c>
      <c r="H2406" t="s">
        <v>37</v>
      </c>
      <c r="I2406">
        <v>3.8</v>
      </c>
      <c r="J2406">
        <v>20</v>
      </c>
      <c r="K2406">
        <v>5</v>
      </c>
    </row>
    <row r="2407" spans="1:11" x14ac:dyDescent="0.35">
      <c r="A2407">
        <v>2406</v>
      </c>
      <c r="B2407">
        <v>23</v>
      </c>
      <c r="C2407" t="s">
        <v>16</v>
      </c>
      <c r="D2407" t="s">
        <v>33</v>
      </c>
      <c r="E2407" t="s">
        <v>38</v>
      </c>
      <c r="F2407">
        <v>70.92</v>
      </c>
      <c r="G2407" t="s">
        <v>31</v>
      </c>
      <c r="H2407" t="s">
        <v>15</v>
      </c>
      <c r="I2407">
        <v>2.8</v>
      </c>
      <c r="J2407">
        <v>24</v>
      </c>
      <c r="K2407">
        <v>7</v>
      </c>
    </row>
    <row r="2408" spans="1:11" x14ac:dyDescent="0.35">
      <c r="A2408">
        <v>2407</v>
      </c>
      <c r="B2408">
        <v>66</v>
      </c>
      <c r="C2408" t="s">
        <v>11</v>
      </c>
      <c r="D2408" t="s">
        <v>22</v>
      </c>
      <c r="E2408" t="s">
        <v>43</v>
      </c>
      <c r="F2408">
        <v>245.8</v>
      </c>
      <c r="G2408" t="s">
        <v>24</v>
      </c>
      <c r="H2408" t="s">
        <v>15</v>
      </c>
      <c r="I2408">
        <v>3.1</v>
      </c>
      <c r="J2408">
        <v>14</v>
      </c>
      <c r="K2408">
        <v>7</v>
      </c>
    </row>
    <row r="2409" spans="1:11" x14ac:dyDescent="0.35">
      <c r="A2409">
        <v>2408</v>
      </c>
      <c r="B2409">
        <v>62</v>
      </c>
      <c r="C2409" t="s">
        <v>16</v>
      </c>
      <c r="D2409" t="s">
        <v>33</v>
      </c>
      <c r="E2409" t="s">
        <v>38</v>
      </c>
      <c r="F2409">
        <v>111.93</v>
      </c>
      <c r="G2409" t="s">
        <v>31</v>
      </c>
      <c r="H2409" t="s">
        <v>15</v>
      </c>
      <c r="I2409">
        <v>2.2999999999999998</v>
      </c>
      <c r="J2409">
        <v>10</v>
      </c>
      <c r="K2409">
        <v>5</v>
      </c>
    </row>
    <row r="2410" spans="1:11" x14ac:dyDescent="0.35">
      <c r="A2410">
        <v>2409</v>
      </c>
      <c r="B2410">
        <v>33</v>
      </c>
      <c r="C2410" t="s">
        <v>16</v>
      </c>
      <c r="D2410" t="s">
        <v>17</v>
      </c>
      <c r="E2410" t="s">
        <v>35</v>
      </c>
      <c r="F2410">
        <v>81.37</v>
      </c>
      <c r="G2410" t="s">
        <v>31</v>
      </c>
      <c r="H2410" t="s">
        <v>37</v>
      </c>
      <c r="I2410">
        <v>4.2</v>
      </c>
      <c r="J2410">
        <v>18</v>
      </c>
      <c r="K2410">
        <v>4</v>
      </c>
    </row>
    <row r="2411" spans="1:11" x14ac:dyDescent="0.35">
      <c r="A2411">
        <v>2410</v>
      </c>
      <c r="B2411">
        <v>64</v>
      </c>
      <c r="C2411" t="s">
        <v>11</v>
      </c>
      <c r="D2411" t="s">
        <v>29</v>
      </c>
      <c r="E2411" t="s">
        <v>51</v>
      </c>
      <c r="F2411">
        <v>49.12</v>
      </c>
      <c r="G2411" t="s">
        <v>14</v>
      </c>
      <c r="H2411" t="s">
        <v>37</v>
      </c>
      <c r="I2411">
        <v>3.6</v>
      </c>
      <c r="J2411">
        <v>19</v>
      </c>
      <c r="K2411">
        <v>7</v>
      </c>
    </row>
    <row r="2412" spans="1:11" x14ac:dyDescent="0.35">
      <c r="A2412">
        <v>2411</v>
      </c>
      <c r="B2412">
        <v>34</v>
      </c>
      <c r="C2412" t="s">
        <v>11</v>
      </c>
      <c r="D2412" t="s">
        <v>12</v>
      </c>
      <c r="E2412" t="s">
        <v>13</v>
      </c>
      <c r="F2412">
        <v>23.82</v>
      </c>
      <c r="G2412" t="s">
        <v>24</v>
      </c>
      <c r="H2412" t="s">
        <v>15</v>
      </c>
      <c r="I2412">
        <v>4.5999999999999996</v>
      </c>
      <c r="J2412">
        <v>24</v>
      </c>
      <c r="K2412">
        <v>7</v>
      </c>
    </row>
    <row r="2413" spans="1:11" x14ac:dyDescent="0.35">
      <c r="A2413">
        <v>2412</v>
      </c>
      <c r="B2413">
        <v>41</v>
      </c>
      <c r="C2413" t="s">
        <v>16</v>
      </c>
      <c r="D2413" t="s">
        <v>22</v>
      </c>
      <c r="E2413" t="s">
        <v>23</v>
      </c>
      <c r="F2413">
        <v>295.39</v>
      </c>
      <c r="G2413" t="s">
        <v>14</v>
      </c>
      <c r="H2413" t="s">
        <v>15</v>
      </c>
      <c r="I2413">
        <v>3.8</v>
      </c>
      <c r="J2413">
        <v>6</v>
      </c>
      <c r="K2413">
        <v>3</v>
      </c>
    </row>
    <row r="2414" spans="1:11" x14ac:dyDescent="0.35">
      <c r="A2414">
        <v>2413</v>
      </c>
      <c r="B2414">
        <v>62</v>
      </c>
      <c r="C2414" t="s">
        <v>11</v>
      </c>
      <c r="D2414" t="s">
        <v>41</v>
      </c>
      <c r="E2414" t="s">
        <v>46</v>
      </c>
      <c r="F2414">
        <v>191.31</v>
      </c>
      <c r="G2414" t="s">
        <v>24</v>
      </c>
      <c r="H2414" t="s">
        <v>15</v>
      </c>
      <c r="I2414">
        <v>3.6</v>
      </c>
      <c r="J2414">
        <v>12</v>
      </c>
      <c r="K2414">
        <v>6</v>
      </c>
    </row>
    <row r="2415" spans="1:11" x14ac:dyDescent="0.35">
      <c r="A2415">
        <v>2414</v>
      </c>
      <c r="B2415">
        <v>63</v>
      </c>
      <c r="C2415" t="s">
        <v>11</v>
      </c>
      <c r="D2415" t="s">
        <v>33</v>
      </c>
      <c r="E2415" t="s">
        <v>38</v>
      </c>
      <c r="F2415">
        <v>75.31</v>
      </c>
      <c r="G2415" t="s">
        <v>14</v>
      </c>
      <c r="H2415" t="s">
        <v>37</v>
      </c>
      <c r="I2415">
        <v>4</v>
      </c>
      <c r="J2415">
        <v>22</v>
      </c>
      <c r="K2415">
        <v>11</v>
      </c>
    </row>
    <row r="2416" spans="1:11" x14ac:dyDescent="0.35">
      <c r="A2416">
        <v>2415</v>
      </c>
      <c r="B2416">
        <v>65</v>
      </c>
      <c r="C2416" t="s">
        <v>16</v>
      </c>
      <c r="D2416" t="s">
        <v>17</v>
      </c>
      <c r="E2416" t="s">
        <v>35</v>
      </c>
      <c r="F2416">
        <v>191.04</v>
      </c>
      <c r="G2416" t="s">
        <v>14</v>
      </c>
      <c r="H2416" t="s">
        <v>15</v>
      </c>
      <c r="I2416">
        <v>4.2</v>
      </c>
      <c r="J2416">
        <v>16</v>
      </c>
      <c r="K2416">
        <v>3</v>
      </c>
    </row>
    <row r="2417" spans="1:11" x14ac:dyDescent="0.35">
      <c r="A2417">
        <v>2416</v>
      </c>
      <c r="B2417">
        <v>44</v>
      </c>
      <c r="C2417" t="s">
        <v>11</v>
      </c>
      <c r="D2417" t="s">
        <v>29</v>
      </c>
      <c r="E2417" t="s">
        <v>51</v>
      </c>
      <c r="F2417">
        <v>68.39</v>
      </c>
      <c r="G2417" t="s">
        <v>31</v>
      </c>
      <c r="H2417" t="s">
        <v>37</v>
      </c>
      <c r="I2417">
        <v>3.2</v>
      </c>
      <c r="J2417">
        <v>15</v>
      </c>
      <c r="K2417">
        <v>5</v>
      </c>
    </row>
    <row r="2418" spans="1:11" x14ac:dyDescent="0.35">
      <c r="A2418">
        <v>2417</v>
      </c>
      <c r="B2418">
        <v>53</v>
      </c>
      <c r="C2418" t="s">
        <v>16</v>
      </c>
      <c r="D2418" t="s">
        <v>33</v>
      </c>
      <c r="E2418" t="s">
        <v>40</v>
      </c>
      <c r="F2418">
        <v>192.28</v>
      </c>
      <c r="G2418" t="s">
        <v>19</v>
      </c>
      <c r="H2418" t="s">
        <v>15</v>
      </c>
      <c r="I2418">
        <v>3.7</v>
      </c>
      <c r="J2418">
        <v>14</v>
      </c>
      <c r="K2418">
        <v>7</v>
      </c>
    </row>
    <row r="2419" spans="1:11" x14ac:dyDescent="0.35">
      <c r="A2419">
        <v>2418</v>
      </c>
      <c r="B2419">
        <v>40</v>
      </c>
      <c r="C2419" t="s">
        <v>16</v>
      </c>
      <c r="D2419" t="s">
        <v>33</v>
      </c>
      <c r="E2419" t="s">
        <v>34</v>
      </c>
      <c r="F2419">
        <v>236.78</v>
      </c>
      <c r="G2419" t="s">
        <v>19</v>
      </c>
      <c r="H2419" t="s">
        <v>15</v>
      </c>
      <c r="I2419">
        <v>4.0999999999999996</v>
      </c>
      <c r="J2419">
        <v>22</v>
      </c>
      <c r="K2419">
        <v>6</v>
      </c>
    </row>
    <row r="2420" spans="1:11" x14ac:dyDescent="0.35">
      <c r="A2420">
        <v>2419</v>
      </c>
      <c r="B2420">
        <v>31</v>
      </c>
      <c r="C2420" t="s">
        <v>11</v>
      </c>
      <c r="D2420" t="s">
        <v>25</v>
      </c>
      <c r="E2420" t="s">
        <v>57</v>
      </c>
      <c r="F2420">
        <v>52.19</v>
      </c>
      <c r="G2420" t="s">
        <v>24</v>
      </c>
      <c r="H2420" t="s">
        <v>37</v>
      </c>
      <c r="I2420">
        <v>5</v>
      </c>
      <c r="J2420">
        <v>2</v>
      </c>
      <c r="K2420">
        <v>1</v>
      </c>
    </row>
    <row r="2421" spans="1:11" x14ac:dyDescent="0.35">
      <c r="A2421">
        <v>2420</v>
      </c>
      <c r="B2421">
        <v>46</v>
      </c>
      <c r="C2421" t="s">
        <v>11</v>
      </c>
      <c r="D2421" t="s">
        <v>29</v>
      </c>
      <c r="E2421" t="s">
        <v>55</v>
      </c>
      <c r="F2421">
        <v>63.26</v>
      </c>
      <c r="G2421" t="s">
        <v>14</v>
      </c>
      <c r="H2421" t="s">
        <v>37</v>
      </c>
      <c r="I2421">
        <v>4.2</v>
      </c>
      <c r="J2421">
        <v>22</v>
      </c>
      <c r="K2421">
        <v>6</v>
      </c>
    </row>
    <row r="2422" spans="1:11" x14ac:dyDescent="0.35">
      <c r="A2422">
        <v>2421</v>
      </c>
      <c r="B2422">
        <v>43</v>
      </c>
      <c r="C2422" t="s">
        <v>11</v>
      </c>
      <c r="D2422" t="s">
        <v>29</v>
      </c>
      <c r="E2422" t="s">
        <v>30</v>
      </c>
      <c r="F2422">
        <v>57.97</v>
      </c>
      <c r="G2422" t="s">
        <v>31</v>
      </c>
      <c r="H2422" t="s">
        <v>37</v>
      </c>
      <c r="I2422">
        <v>4.8</v>
      </c>
      <c r="J2422">
        <v>20</v>
      </c>
      <c r="K2422">
        <v>5</v>
      </c>
    </row>
    <row r="2423" spans="1:11" x14ac:dyDescent="0.35">
      <c r="A2423">
        <v>2422</v>
      </c>
      <c r="B2423">
        <v>58</v>
      </c>
      <c r="C2423" t="s">
        <v>16</v>
      </c>
      <c r="D2423" t="s">
        <v>27</v>
      </c>
      <c r="E2423" t="s">
        <v>28</v>
      </c>
      <c r="F2423">
        <v>2430.6</v>
      </c>
      <c r="G2423" t="s">
        <v>14</v>
      </c>
      <c r="H2423" t="s">
        <v>15</v>
      </c>
      <c r="I2423">
        <v>3.1</v>
      </c>
      <c r="J2423">
        <v>6</v>
      </c>
      <c r="K2423">
        <v>3</v>
      </c>
    </row>
    <row r="2424" spans="1:11" x14ac:dyDescent="0.35">
      <c r="A2424">
        <v>2423</v>
      </c>
      <c r="B2424">
        <v>63</v>
      </c>
      <c r="C2424" t="s">
        <v>16</v>
      </c>
      <c r="D2424" t="s">
        <v>22</v>
      </c>
      <c r="E2424" t="s">
        <v>52</v>
      </c>
      <c r="F2424">
        <v>50.59</v>
      </c>
      <c r="G2424" t="s">
        <v>19</v>
      </c>
      <c r="H2424" t="s">
        <v>37</v>
      </c>
      <c r="I2424">
        <v>3.2</v>
      </c>
      <c r="J2424">
        <v>6</v>
      </c>
      <c r="K2424">
        <v>3</v>
      </c>
    </row>
    <row r="2425" spans="1:11" x14ac:dyDescent="0.35">
      <c r="A2425">
        <v>2424</v>
      </c>
      <c r="B2425">
        <v>31</v>
      </c>
      <c r="C2425" t="s">
        <v>16</v>
      </c>
      <c r="D2425" t="s">
        <v>27</v>
      </c>
      <c r="E2425" t="s">
        <v>28</v>
      </c>
      <c r="F2425">
        <v>2025.94</v>
      </c>
      <c r="G2425" t="s">
        <v>31</v>
      </c>
      <c r="H2425" t="s">
        <v>15</v>
      </c>
      <c r="I2425">
        <v>3.8</v>
      </c>
      <c r="J2425">
        <v>18</v>
      </c>
      <c r="K2425">
        <v>9</v>
      </c>
    </row>
    <row r="2426" spans="1:11" x14ac:dyDescent="0.35">
      <c r="A2426">
        <v>2425</v>
      </c>
      <c r="B2426">
        <v>29</v>
      </c>
      <c r="C2426" t="s">
        <v>16</v>
      </c>
      <c r="D2426" t="s">
        <v>20</v>
      </c>
      <c r="E2426" t="s">
        <v>36</v>
      </c>
      <c r="F2426">
        <v>217.27</v>
      </c>
      <c r="G2426" t="s">
        <v>19</v>
      </c>
      <c r="H2426" t="s">
        <v>15</v>
      </c>
      <c r="I2426">
        <v>4.5</v>
      </c>
      <c r="J2426">
        <v>18</v>
      </c>
      <c r="K2426">
        <v>4</v>
      </c>
    </row>
    <row r="2427" spans="1:11" x14ac:dyDescent="0.35">
      <c r="A2427">
        <v>2426</v>
      </c>
      <c r="B2427">
        <v>61</v>
      </c>
      <c r="C2427" t="s">
        <v>11</v>
      </c>
      <c r="D2427" t="s">
        <v>29</v>
      </c>
      <c r="E2427" t="s">
        <v>55</v>
      </c>
      <c r="F2427">
        <v>81.17</v>
      </c>
      <c r="G2427" t="s">
        <v>19</v>
      </c>
      <c r="H2427" t="s">
        <v>37</v>
      </c>
      <c r="I2427">
        <v>3.7</v>
      </c>
      <c r="J2427">
        <v>18</v>
      </c>
      <c r="K2427">
        <v>4</v>
      </c>
    </row>
    <row r="2428" spans="1:11" x14ac:dyDescent="0.35">
      <c r="A2428">
        <v>2427</v>
      </c>
      <c r="B2428">
        <v>22</v>
      </c>
      <c r="C2428" t="s">
        <v>11</v>
      </c>
      <c r="D2428" t="s">
        <v>20</v>
      </c>
      <c r="E2428" t="s">
        <v>36</v>
      </c>
      <c r="F2428">
        <v>88.1</v>
      </c>
      <c r="G2428" t="s">
        <v>19</v>
      </c>
      <c r="H2428" t="s">
        <v>37</v>
      </c>
      <c r="I2428">
        <v>3.3</v>
      </c>
      <c r="J2428">
        <v>25</v>
      </c>
      <c r="K2428">
        <v>10</v>
      </c>
    </row>
    <row r="2429" spans="1:11" x14ac:dyDescent="0.35">
      <c r="A2429">
        <v>2428</v>
      </c>
      <c r="B2429">
        <v>45</v>
      </c>
      <c r="C2429" t="s">
        <v>11</v>
      </c>
      <c r="D2429" t="s">
        <v>41</v>
      </c>
      <c r="E2429" t="s">
        <v>42</v>
      </c>
      <c r="F2429">
        <v>174.75</v>
      </c>
      <c r="G2429" t="s">
        <v>14</v>
      </c>
      <c r="H2429" t="s">
        <v>15</v>
      </c>
      <c r="I2429">
        <v>3.5</v>
      </c>
      <c r="J2429">
        <v>14</v>
      </c>
      <c r="K2429">
        <v>2</v>
      </c>
    </row>
    <row r="2430" spans="1:11" x14ac:dyDescent="0.35">
      <c r="A2430">
        <v>2429</v>
      </c>
      <c r="B2430">
        <v>39</v>
      </c>
      <c r="C2430" t="s">
        <v>16</v>
      </c>
      <c r="D2430" t="s">
        <v>25</v>
      </c>
      <c r="E2430" t="s">
        <v>47</v>
      </c>
      <c r="F2430">
        <v>56.99</v>
      </c>
      <c r="G2430" t="s">
        <v>14</v>
      </c>
      <c r="H2430" t="s">
        <v>37</v>
      </c>
      <c r="I2430">
        <v>3.3</v>
      </c>
      <c r="J2430">
        <v>25</v>
      </c>
      <c r="K2430">
        <v>10</v>
      </c>
    </row>
    <row r="2431" spans="1:11" x14ac:dyDescent="0.35">
      <c r="A2431">
        <v>2430</v>
      </c>
      <c r="B2431">
        <v>20</v>
      </c>
      <c r="C2431" t="s">
        <v>11</v>
      </c>
      <c r="D2431" t="s">
        <v>41</v>
      </c>
      <c r="E2431" t="s">
        <v>45</v>
      </c>
      <c r="F2431">
        <v>95.46</v>
      </c>
      <c r="G2431" t="s">
        <v>14</v>
      </c>
      <c r="H2431" t="s">
        <v>37</v>
      </c>
      <c r="I2431">
        <v>4.5</v>
      </c>
      <c r="J2431">
        <v>23</v>
      </c>
      <c r="K2431">
        <v>9</v>
      </c>
    </row>
    <row r="2432" spans="1:11" x14ac:dyDescent="0.35">
      <c r="A2432">
        <v>2431</v>
      </c>
      <c r="B2432">
        <v>22</v>
      </c>
      <c r="C2432" t="s">
        <v>16</v>
      </c>
      <c r="D2432" t="s">
        <v>20</v>
      </c>
      <c r="E2432" t="s">
        <v>39</v>
      </c>
      <c r="F2432">
        <v>108.86</v>
      </c>
      <c r="G2432" t="s">
        <v>19</v>
      </c>
      <c r="H2432" t="s">
        <v>15</v>
      </c>
      <c r="I2432">
        <v>3.6</v>
      </c>
      <c r="J2432">
        <v>15</v>
      </c>
      <c r="K2432">
        <v>5</v>
      </c>
    </row>
    <row r="2433" spans="1:11" x14ac:dyDescent="0.35">
      <c r="A2433">
        <v>2432</v>
      </c>
      <c r="B2433">
        <v>54</v>
      </c>
      <c r="C2433" t="s">
        <v>11</v>
      </c>
      <c r="D2433" t="s">
        <v>41</v>
      </c>
      <c r="E2433" t="s">
        <v>44</v>
      </c>
      <c r="F2433">
        <v>166.88</v>
      </c>
      <c r="G2433" t="s">
        <v>19</v>
      </c>
      <c r="H2433" t="s">
        <v>15</v>
      </c>
      <c r="I2433">
        <v>3.5</v>
      </c>
      <c r="J2433">
        <v>18</v>
      </c>
      <c r="K2433">
        <v>4</v>
      </c>
    </row>
    <row r="2434" spans="1:11" x14ac:dyDescent="0.35">
      <c r="A2434">
        <v>2433</v>
      </c>
      <c r="B2434">
        <v>52</v>
      </c>
      <c r="C2434" t="s">
        <v>16</v>
      </c>
      <c r="D2434" t="s">
        <v>27</v>
      </c>
      <c r="E2434" t="s">
        <v>28</v>
      </c>
      <c r="F2434">
        <v>523.38</v>
      </c>
      <c r="G2434" t="s">
        <v>31</v>
      </c>
      <c r="H2434" t="s">
        <v>15</v>
      </c>
      <c r="I2434">
        <v>3.9</v>
      </c>
      <c r="J2434">
        <v>18</v>
      </c>
      <c r="K2434">
        <v>4</v>
      </c>
    </row>
    <row r="2435" spans="1:11" x14ac:dyDescent="0.35">
      <c r="A2435">
        <v>2434</v>
      </c>
      <c r="B2435">
        <v>25</v>
      </c>
      <c r="C2435" t="s">
        <v>16</v>
      </c>
      <c r="D2435" t="s">
        <v>17</v>
      </c>
      <c r="E2435" t="s">
        <v>35</v>
      </c>
      <c r="F2435">
        <v>109.68</v>
      </c>
      <c r="G2435" t="s">
        <v>24</v>
      </c>
      <c r="H2435" t="s">
        <v>15</v>
      </c>
      <c r="I2435">
        <v>2.8</v>
      </c>
      <c r="J2435">
        <v>13</v>
      </c>
      <c r="K2435">
        <v>4</v>
      </c>
    </row>
    <row r="2436" spans="1:11" x14ac:dyDescent="0.35">
      <c r="A2436">
        <v>2435</v>
      </c>
      <c r="B2436">
        <v>67</v>
      </c>
      <c r="C2436" t="s">
        <v>16</v>
      </c>
      <c r="D2436" t="s">
        <v>22</v>
      </c>
      <c r="E2436" t="s">
        <v>43</v>
      </c>
      <c r="F2436">
        <v>222.65</v>
      </c>
      <c r="G2436" t="s">
        <v>14</v>
      </c>
      <c r="H2436" t="s">
        <v>15</v>
      </c>
      <c r="I2436">
        <v>3</v>
      </c>
      <c r="J2436">
        <v>9</v>
      </c>
      <c r="K2436">
        <v>2</v>
      </c>
    </row>
    <row r="2437" spans="1:11" x14ac:dyDescent="0.35">
      <c r="A2437">
        <v>2436</v>
      </c>
      <c r="B2437">
        <v>59</v>
      </c>
      <c r="C2437" t="s">
        <v>16</v>
      </c>
      <c r="D2437" t="s">
        <v>33</v>
      </c>
      <c r="E2437" t="s">
        <v>38</v>
      </c>
      <c r="F2437">
        <v>141.41</v>
      </c>
      <c r="G2437" t="s">
        <v>19</v>
      </c>
      <c r="H2437" t="s">
        <v>15</v>
      </c>
      <c r="I2437">
        <v>3.3</v>
      </c>
      <c r="J2437">
        <v>12</v>
      </c>
      <c r="K2437">
        <v>6</v>
      </c>
    </row>
    <row r="2438" spans="1:11" x14ac:dyDescent="0.35">
      <c r="A2438">
        <v>2437</v>
      </c>
      <c r="B2438">
        <v>59</v>
      </c>
      <c r="C2438" t="s">
        <v>16</v>
      </c>
      <c r="D2438" t="s">
        <v>20</v>
      </c>
      <c r="E2438" t="s">
        <v>36</v>
      </c>
      <c r="F2438">
        <v>165.82</v>
      </c>
      <c r="G2438" t="s">
        <v>24</v>
      </c>
      <c r="H2438" t="s">
        <v>15</v>
      </c>
      <c r="I2438">
        <v>3.8</v>
      </c>
      <c r="J2438">
        <v>17</v>
      </c>
      <c r="K2438">
        <v>6</v>
      </c>
    </row>
    <row r="2439" spans="1:11" x14ac:dyDescent="0.35">
      <c r="A2439">
        <v>2438</v>
      </c>
      <c r="B2439">
        <v>66</v>
      </c>
      <c r="C2439" t="s">
        <v>11</v>
      </c>
      <c r="D2439" t="s">
        <v>41</v>
      </c>
      <c r="E2439" t="s">
        <v>44</v>
      </c>
      <c r="F2439">
        <v>52.02</v>
      </c>
      <c r="G2439" t="s">
        <v>14</v>
      </c>
      <c r="H2439" t="s">
        <v>37</v>
      </c>
      <c r="I2439">
        <v>3.9</v>
      </c>
      <c r="J2439">
        <v>20</v>
      </c>
      <c r="K2439">
        <v>5</v>
      </c>
    </row>
    <row r="2440" spans="1:11" x14ac:dyDescent="0.35">
      <c r="A2440">
        <v>2439</v>
      </c>
      <c r="B2440">
        <v>45</v>
      </c>
      <c r="C2440" t="s">
        <v>11</v>
      </c>
      <c r="D2440" t="s">
        <v>29</v>
      </c>
      <c r="E2440" t="s">
        <v>30</v>
      </c>
      <c r="F2440">
        <v>130.55000000000001</v>
      </c>
      <c r="G2440" t="s">
        <v>14</v>
      </c>
      <c r="H2440" t="s">
        <v>15</v>
      </c>
      <c r="I2440">
        <v>4.8</v>
      </c>
      <c r="J2440">
        <v>8</v>
      </c>
      <c r="K2440">
        <v>4</v>
      </c>
    </row>
    <row r="2441" spans="1:11" x14ac:dyDescent="0.35">
      <c r="A2441">
        <v>2440</v>
      </c>
      <c r="B2441">
        <v>36</v>
      </c>
      <c r="C2441" t="s">
        <v>16</v>
      </c>
      <c r="D2441" t="s">
        <v>17</v>
      </c>
      <c r="E2441" t="s">
        <v>48</v>
      </c>
      <c r="F2441">
        <v>108.9</v>
      </c>
      <c r="G2441" t="s">
        <v>31</v>
      </c>
      <c r="H2441" t="s">
        <v>15</v>
      </c>
      <c r="I2441">
        <v>3</v>
      </c>
      <c r="J2441">
        <v>16</v>
      </c>
      <c r="K2441">
        <v>8</v>
      </c>
    </row>
    <row r="2442" spans="1:11" x14ac:dyDescent="0.35">
      <c r="A2442">
        <v>2441</v>
      </c>
      <c r="B2442">
        <v>48</v>
      </c>
      <c r="C2442" t="s">
        <v>11</v>
      </c>
      <c r="D2442" t="s">
        <v>29</v>
      </c>
      <c r="E2442" t="s">
        <v>55</v>
      </c>
      <c r="F2442">
        <v>88.67</v>
      </c>
      <c r="G2442" t="s">
        <v>24</v>
      </c>
      <c r="H2442" t="s">
        <v>15</v>
      </c>
      <c r="I2442">
        <v>4.2</v>
      </c>
      <c r="J2442">
        <v>20</v>
      </c>
      <c r="K2442">
        <v>5</v>
      </c>
    </row>
    <row r="2443" spans="1:11" x14ac:dyDescent="0.35">
      <c r="A2443">
        <v>2442</v>
      </c>
      <c r="B2443">
        <v>26</v>
      </c>
      <c r="C2443" t="s">
        <v>16</v>
      </c>
      <c r="D2443" t="s">
        <v>20</v>
      </c>
      <c r="E2443" t="s">
        <v>39</v>
      </c>
      <c r="F2443">
        <v>231.99</v>
      </c>
      <c r="G2443" t="s">
        <v>24</v>
      </c>
      <c r="H2443" t="s">
        <v>15</v>
      </c>
      <c r="I2443">
        <v>3</v>
      </c>
      <c r="J2443">
        <v>20</v>
      </c>
      <c r="K2443">
        <v>5</v>
      </c>
    </row>
    <row r="2444" spans="1:11" x14ac:dyDescent="0.35">
      <c r="A2444">
        <v>2443</v>
      </c>
      <c r="B2444">
        <v>34</v>
      </c>
      <c r="C2444" t="s">
        <v>16</v>
      </c>
      <c r="D2444" t="s">
        <v>27</v>
      </c>
      <c r="E2444" t="s">
        <v>53</v>
      </c>
      <c r="F2444">
        <v>585.57000000000005</v>
      </c>
      <c r="G2444" t="s">
        <v>31</v>
      </c>
      <c r="H2444" t="s">
        <v>15</v>
      </c>
      <c r="I2444">
        <v>4.5999999999999996</v>
      </c>
      <c r="J2444">
        <v>26</v>
      </c>
      <c r="K2444">
        <v>8</v>
      </c>
    </row>
    <row r="2445" spans="1:11" x14ac:dyDescent="0.35">
      <c r="A2445">
        <v>2444</v>
      </c>
      <c r="B2445">
        <v>63</v>
      </c>
      <c r="C2445" t="s">
        <v>11</v>
      </c>
      <c r="D2445" t="s">
        <v>29</v>
      </c>
      <c r="E2445" t="s">
        <v>30</v>
      </c>
      <c r="F2445">
        <v>33.49</v>
      </c>
      <c r="G2445" t="s">
        <v>31</v>
      </c>
      <c r="H2445" t="s">
        <v>37</v>
      </c>
      <c r="I2445">
        <v>3.6</v>
      </c>
      <c r="J2445">
        <v>21</v>
      </c>
      <c r="K2445">
        <v>8</v>
      </c>
    </row>
    <row r="2446" spans="1:11" x14ac:dyDescent="0.35">
      <c r="A2446">
        <v>2445</v>
      </c>
      <c r="B2446">
        <v>68</v>
      </c>
      <c r="C2446" t="s">
        <v>16</v>
      </c>
      <c r="D2446" t="s">
        <v>33</v>
      </c>
      <c r="E2446" t="s">
        <v>38</v>
      </c>
      <c r="F2446">
        <v>145.49</v>
      </c>
      <c r="G2446" t="s">
        <v>31</v>
      </c>
      <c r="H2446" t="s">
        <v>15</v>
      </c>
      <c r="I2446">
        <v>3.9</v>
      </c>
      <c r="J2446">
        <v>10</v>
      </c>
      <c r="K2446">
        <v>5</v>
      </c>
    </row>
    <row r="2447" spans="1:11" x14ac:dyDescent="0.35">
      <c r="A2447">
        <v>2446</v>
      </c>
      <c r="B2447">
        <v>65</v>
      </c>
      <c r="C2447" t="s">
        <v>11</v>
      </c>
      <c r="D2447" t="s">
        <v>22</v>
      </c>
      <c r="E2447" t="s">
        <v>23</v>
      </c>
      <c r="F2447">
        <v>39.99</v>
      </c>
      <c r="G2447" t="s">
        <v>14</v>
      </c>
      <c r="H2447" t="s">
        <v>37</v>
      </c>
      <c r="I2447">
        <v>2.8</v>
      </c>
      <c r="J2447">
        <v>17</v>
      </c>
      <c r="K2447">
        <v>6</v>
      </c>
    </row>
    <row r="2448" spans="1:11" x14ac:dyDescent="0.35">
      <c r="A2448">
        <v>2447</v>
      </c>
      <c r="B2448">
        <v>39</v>
      </c>
      <c r="C2448" t="s">
        <v>16</v>
      </c>
      <c r="D2448" t="s">
        <v>27</v>
      </c>
      <c r="E2448" t="s">
        <v>49</v>
      </c>
      <c r="F2448">
        <v>1959.09</v>
      </c>
      <c r="G2448" t="s">
        <v>24</v>
      </c>
      <c r="H2448" t="s">
        <v>15</v>
      </c>
      <c r="I2448">
        <v>4.2</v>
      </c>
      <c r="J2448">
        <v>12</v>
      </c>
      <c r="K2448">
        <v>1</v>
      </c>
    </row>
    <row r="2449" spans="1:11" x14ac:dyDescent="0.35">
      <c r="A2449">
        <v>2448</v>
      </c>
      <c r="B2449">
        <v>66</v>
      </c>
      <c r="C2449" t="s">
        <v>11</v>
      </c>
      <c r="D2449" t="s">
        <v>20</v>
      </c>
      <c r="E2449" t="s">
        <v>21</v>
      </c>
      <c r="F2449">
        <v>109.15</v>
      </c>
      <c r="G2449" t="s">
        <v>24</v>
      </c>
      <c r="H2449" t="s">
        <v>15</v>
      </c>
      <c r="I2449">
        <v>2.8</v>
      </c>
      <c r="J2449">
        <v>18</v>
      </c>
      <c r="K2449">
        <v>4</v>
      </c>
    </row>
    <row r="2450" spans="1:11" x14ac:dyDescent="0.35">
      <c r="A2450">
        <v>2449</v>
      </c>
      <c r="B2450">
        <v>31</v>
      </c>
      <c r="C2450" t="s">
        <v>16</v>
      </c>
      <c r="D2450" t="s">
        <v>20</v>
      </c>
      <c r="E2450" t="s">
        <v>36</v>
      </c>
      <c r="F2450">
        <v>247.77</v>
      </c>
      <c r="G2450" t="s">
        <v>19</v>
      </c>
      <c r="H2450" t="s">
        <v>15</v>
      </c>
      <c r="I2450">
        <v>2.8</v>
      </c>
      <c r="J2450">
        <v>10</v>
      </c>
      <c r="K2450">
        <v>5</v>
      </c>
    </row>
    <row r="2451" spans="1:11" x14ac:dyDescent="0.35">
      <c r="A2451">
        <v>2450</v>
      </c>
      <c r="B2451">
        <v>29</v>
      </c>
      <c r="C2451" t="s">
        <v>11</v>
      </c>
      <c r="D2451" t="s">
        <v>33</v>
      </c>
      <c r="E2451" t="s">
        <v>34</v>
      </c>
      <c r="F2451">
        <v>175.99</v>
      </c>
      <c r="G2451" t="s">
        <v>19</v>
      </c>
      <c r="H2451" t="s">
        <v>15</v>
      </c>
      <c r="I2451">
        <v>5</v>
      </c>
      <c r="J2451">
        <v>24</v>
      </c>
      <c r="K2451">
        <v>7</v>
      </c>
    </row>
    <row r="2452" spans="1:11" x14ac:dyDescent="0.35">
      <c r="A2452">
        <v>2451</v>
      </c>
      <c r="B2452">
        <v>33</v>
      </c>
      <c r="C2452" t="s">
        <v>11</v>
      </c>
      <c r="D2452" t="s">
        <v>29</v>
      </c>
      <c r="E2452" t="s">
        <v>51</v>
      </c>
      <c r="F2452">
        <v>20.03</v>
      </c>
      <c r="G2452" t="s">
        <v>31</v>
      </c>
      <c r="H2452" t="s">
        <v>15</v>
      </c>
      <c r="I2452">
        <v>3.6</v>
      </c>
      <c r="J2452">
        <v>20</v>
      </c>
      <c r="K2452">
        <v>5</v>
      </c>
    </row>
    <row r="2453" spans="1:11" x14ac:dyDescent="0.35">
      <c r="A2453">
        <v>2452</v>
      </c>
      <c r="B2453">
        <v>23</v>
      </c>
      <c r="C2453" t="s">
        <v>11</v>
      </c>
      <c r="D2453" t="s">
        <v>41</v>
      </c>
      <c r="E2453" t="s">
        <v>44</v>
      </c>
      <c r="F2453">
        <v>194.96</v>
      </c>
      <c r="G2453" t="s">
        <v>19</v>
      </c>
      <c r="H2453" t="s">
        <v>15</v>
      </c>
      <c r="I2453">
        <v>2.9</v>
      </c>
      <c r="J2453">
        <v>14</v>
      </c>
      <c r="K2453">
        <v>7</v>
      </c>
    </row>
    <row r="2454" spans="1:11" x14ac:dyDescent="0.35">
      <c r="A2454">
        <v>2453</v>
      </c>
      <c r="B2454">
        <v>47</v>
      </c>
      <c r="C2454" t="s">
        <v>11</v>
      </c>
      <c r="D2454" t="s">
        <v>29</v>
      </c>
      <c r="E2454" t="s">
        <v>51</v>
      </c>
      <c r="F2454">
        <v>132.65</v>
      </c>
      <c r="G2454" t="s">
        <v>24</v>
      </c>
      <c r="H2454" t="s">
        <v>15</v>
      </c>
      <c r="I2454">
        <v>3.9</v>
      </c>
      <c r="J2454">
        <v>19</v>
      </c>
      <c r="K2454">
        <v>7</v>
      </c>
    </row>
    <row r="2455" spans="1:11" x14ac:dyDescent="0.35">
      <c r="A2455">
        <v>2454</v>
      </c>
      <c r="B2455">
        <v>32</v>
      </c>
      <c r="C2455" t="s">
        <v>11</v>
      </c>
      <c r="D2455" t="s">
        <v>20</v>
      </c>
      <c r="E2455" t="s">
        <v>36</v>
      </c>
      <c r="F2455">
        <v>119.74</v>
      </c>
      <c r="G2455" t="s">
        <v>19</v>
      </c>
      <c r="H2455" t="s">
        <v>15</v>
      </c>
      <c r="I2455">
        <v>3.3</v>
      </c>
      <c r="J2455">
        <v>22</v>
      </c>
      <c r="K2455">
        <v>11</v>
      </c>
    </row>
    <row r="2456" spans="1:11" x14ac:dyDescent="0.35">
      <c r="A2456">
        <v>2455</v>
      </c>
      <c r="B2456">
        <v>49</v>
      </c>
      <c r="C2456" t="s">
        <v>11</v>
      </c>
      <c r="D2456" t="s">
        <v>20</v>
      </c>
      <c r="E2456" t="s">
        <v>21</v>
      </c>
      <c r="F2456">
        <v>105.64</v>
      </c>
      <c r="G2456" t="s">
        <v>19</v>
      </c>
      <c r="H2456" t="s">
        <v>15</v>
      </c>
      <c r="I2456">
        <v>3.3</v>
      </c>
      <c r="J2456">
        <v>24</v>
      </c>
      <c r="K2456">
        <v>7</v>
      </c>
    </row>
    <row r="2457" spans="1:11" x14ac:dyDescent="0.35">
      <c r="A2457">
        <v>2456</v>
      </c>
      <c r="B2457">
        <v>37</v>
      </c>
      <c r="C2457" t="s">
        <v>16</v>
      </c>
      <c r="D2457" t="s">
        <v>33</v>
      </c>
      <c r="E2457" t="s">
        <v>34</v>
      </c>
      <c r="F2457">
        <v>232.32</v>
      </c>
      <c r="G2457" t="s">
        <v>31</v>
      </c>
      <c r="H2457" t="s">
        <v>15</v>
      </c>
      <c r="I2457">
        <v>3.8</v>
      </c>
      <c r="J2457">
        <v>16</v>
      </c>
      <c r="K2457">
        <v>3</v>
      </c>
    </row>
    <row r="2458" spans="1:11" x14ac:dyDescent="0.35">
      <c r="A2458">
        <v>2457</v>
      </c>
      <c r="B2458">
        <v>41</v>
      </c>
      <c r="C2458" t="s">
        <v>16</v>
      </c>
      <c r="D2458" t="s">
        <v>20</v>
      </c>
      <c r="E2458" t="s">
        <v>21</v>
      </c>
      <c r="F2458">
        <v>142.71</v>
      </c>
      <c r="G2458" t="s">
        <v>24</v>
      </c>
      <c r="H2458" t="s">
        <v>15</v>
      </c>
      <c r="I2458">
        <v>4.2</v>
      </c>
      <c r="J2458">
        <v>20</v>
      </c>
      <c r="K2458">
        <v>5</v>
      </c>
    </row>
    <row r="2459" spans="1:11" x14ac:dyDescent="0.35">
      <c r="A2459">
        <v>2458</v>
      </c>
      <c r="B2459">
        <v>37</v>
      </c>
      <c r="C2459" t="s">
        <v>16</v>
      </c>
      <c r="D2459" t="s">
        <v>20</v>
      </c>
      <c r="E2459" t="s">
        <v>39</v>
      </c>
      <c r="F2459">
        <v>163.30000000000001</v>
      </c>
      <c r="G2459" t="s">
        <v>14</v>
      </c>
      <c r="H2459" t="s">
        <v>15</v>
      </c>
      <c r="I2459">
        <v>3.6</v>
      </c>
      <c r="J2459">
        <v>12</v>
      </c>
      <c r="K2459">
        <v>6</v>
      </c>
    </row>
    <row r="2460" spans="1:11" x14ac:dyDescent="0.35">
      <c r="A2460">
        <v>2459</v>
      </c>
      <c r="B2460">
        <v>55</v>
      </c>
      <c r="C2460" t="s">
        <v>16</v>
      </c>
      <c r="D2460" t="s">
        <v>27</v>
      </c>
      <c r="E2460" t="s">
        <v>49</v>
      </c>
      <c r="F2460">
        <v>2997.94</v>
      </c>
      <c r="G2460" t="s">
        <v>14</v>
      </c>
      <c r="H2460" t="s">
        <v>15</v>
      </c>
      <c r="I2460">
        <v>4.2</v>
      </c>
      <c r="J2460">
        <v>14</v>
      </c>
      <c r="K2460">
        <v>2</v>
      </c>
    </row>
    <row r="2461" spans="1:11" x14ac:dyDescent="0.35">
      <c r="A2461">
        <v>2460</v>
      </c>
      <c r="B2461">
        <v>42</v>
      </c>
      <c r="C2461" t="s">
        <v>16</v>
      </c>
      <c r="D2461" t="s">
        <v>27</v>
      </c>
      <c r="E2461" t="s">
        <v>32</v>
      </c>
      <c r="F2461">
        <v>1412.92</v>
      </c>
      <c r="G2461" t="s">
        <v>14</v>
      </c>
      <c r="H2461" t="s">
        <v>15</v>
      </c>
      <c r="I2461">
        <v>3.9</v>
      </c>
      <c r="J2461">
        <v>19</v>
      </c>
      <c r="K2461">
        <v>7</v>
      </c>
    </row>
    <row r="2462" spans="1:11" x14ac:dyDescent="0.35">
      <c r="A2462">
        <v>2461</v>
      </c>
      <c r="B2462">
        <v>60</v>
      </c>
      <c r="C2462" t="s">
        <v>11</v>
      </c>
      <c r="D2462" t="s">
        <v>33</v>
      </c>
      <c r="E2462" t="s">
        <v>38</v>
      </c>
      <c r="F2462">
        <v>104.02</v>
      </c>
      <c r="G2462" t="s">
        <v>24</v>
      </c>
      <c r="H2462" t="s">
        <v>15</v>
      </c>
      <c r="I2462">
        <v>5</v>
      </c>
      <c r="J2462">
        <v>8</v>
      </c>
      <c r="K2462">
        <v>4</v>
      </c>
    </row>
    <row r="2463" spans="1:11" x14ac:dyDescent="0.35">
      <c r="A2463">
        <v>2462</v>
      </c>
      <c r="B2463">
        <v>62</v>
      </c>
      <c r="C2463" t="s">
        <v>11</v>
      </c>
      <c r="D2463" t="s">
        <v>29</v>
      </c>
      <c r="E2463" t="s">
        <v>51</v>
      </c>
      <c r="F2463">
        <v>20.71</v>
      </c>
      <c r="G2463" t="s">
        <v>14</v>
      </c>
      <c r="H2463" t="s">
        <v>15</v>
      </c>
      <c r="I2463">
        <v>3.8</v>
      </c>
      <c r="J2463">
        <v>20</v>
      </c>
      <c r="K2463">
        <v>5</v>
      </c>
    </row>
    <row r="2464" spans="1:11" x14ac:dyDescent="0.35">
      <c r="A2464">
        <v>2463</v>
      </c>
      <c r="B2464">
        <v>56</v>
      </c>
      <c r="C2464" t="s">
        <v>11</v>
      </c>
      <c r="D2464" t="s">
        <v>41</v>
      </c>
      <c r="E2464" t="s">
        <v>46</v>
      </c>
      <c r="F2464">
        <v>83.87</v>
      </c>
      <c r="G2464" t="s">
        <v>19</v>
      </c>
      <c r="H2464" t="s">
        <v>15</v>
      </c>
      <c r="I2464">
        <v>3.9</v>
      </c>
      <c r="J2464">
        <v>17</v>
      </c>
      <c r="K2464">
        <v>6</v>
      </c>
    </row>
    <row r="2465" spans="1:11" x14ac:dyDescent="0.35">
      <c r="A2465">
        <v>2464</v>
      </c>
      <c r="B2465">
        <v>67</v>
      </c>
      <c r="C2465" t="s">
        <v>16</v>
      </c>
      <c r="D2465" t="s">
        <v>17</v>
      </c>
      <c r="E2465" t="s">
        <v>35</v>
      </c>
      <c r="F2465">
        <v>43.13</v>
      </c>
      <c r="G2465" t="s">
        <v>24</v>
      </c>
      <c r="H2465" t="s">
        <v>37</v>
      </c>
      <c r="I2465">
        <v>3</v>
      </c>
      <c r="J2465">
        <v>9</v>
      </c>
      <c r="K2465">
        <v>2</v>
      </c>
    </row>
    <row r="2466" spans="1:11" x14ac:dyDescent="0.35">
      <c r="A2466">
        <v>2465</v>
      </c>
      <c r="B2466">
        <v>59</v>
      </c>
      <c r="C2466" t="s">
        <v>16</v>
      </c>
      <c r="D2466" t="s">
        <v>20</v>
      </c>
      <c r="E2466" t="s">
        <v>21</v>
      </c>
      <c r="F2466">
        <v>73.739999999999995</v>
      </c>
      <c r="G2466" t="s">
        <v>31</v>
      </c>
      <c r="H2466" t="s">
        <v>15</v>
      </c>
      <c r="I2466">
        <v>3.8</v>
      </c>
      <c r="J2466">
        <v>15</v>
      </c>
      <c r="K2466">
        <v>5</v>
      </c>
    </row>
    <row r="2467" spans="1:11" x14ac:dyDescent="0.35">
      <c r="A2467">
        <v>2466</v>
      </c>
      <c r="B2467">
        <v>32</v>
      </c>
      <c r="C2467" t="s">
        <v>16</v>
      </c>
      <c r="D2467" t="s">
        <v>20</v>
      </c>
      <c r="E2467" t="s">
        <v>21</v>
      </c>
      <c r="F2467">
        <v>144.04</v>
      </c>
      <c r="G2467" t="s">
        <v>31</v>
      </c>
      <c r="H2467" t="s">
        <v>15</v>
      </c>
      <c r="I2467">
        <v>3.8</v>
      </c>
      <c r="J2467">
        <v>13</v>
      </c>
      <c r="K2467">
        <v>4</v>
      </c>
    </row>
    <row r="2468" spans="1:11" x14ac:dyDescent="0.35">
      <c r="A2468">
        <v>2467</v>
      </c>
      <c r="B2468">
        <v>24</v>
      </c>
      <c r="C2468" t="s">
        <v>11</v>
      </c>
      <c r="D2468" t="s">
        <v>29</v>
      </c>
      <c r="E2468" t="s">
        <v>51</v>
      </c>
      <c r="F2468">
        <v>82.17</v>
      </c>
      <c r="G2468" t="s">
        <v>24</v>
      </c>
      <c r="H2468" t="s">
        <v>15</v>
      </c>
      <c r="I2468">
        <v>3.4</v>
      </c>
      <c r="J2468">
        <v>15</v>
      </c>
      <c r="K2468">
        <v>5</v>
      </c>
    </row>
    <row r="2469" spans="1:11" x14ac:dyDescent="0.35">
      <c r="A2469">
        <v>2468</v>
      </c>
      <c r="B2469">
        <v>31</v>
      </c>
      <c r="C2469" t="s">
        <v>11</v>
      </c>
      <c r="D2469" t="s">
        <v>41</v>
      </c>
      <c r="E2469" t="s">
        <v>44</v>
      </c>
      <c r="F2469">
        <v>128.18</v>
      </c>
      <c r="G2469" t="s">
        <v>14</v>
      </c>
      <c r="H2469" t="s">
        <v>15</v>
      </c>
      <c r="I2469">
        <v>4</v>
      </c>
      <c r="J2469">
        <v>17</v>
      </c>
      <c r="K2469">
        <v>6</v>
      </c>
    </row>
    <row r="2470" spans="1:11" x14ac:dyDescent="0.35">
      <c r="A2470">
        <v>2469</v>
      </c>
      <c r="B2470">
        <v>67</v>
      </c>
      <c r="C2470" t="s">
        <v>11</v>
      </c>
      <c r="D2470" t="s">
        <v>41</v>
      </c>
      <c r="E2470" t="s">
        <v>45</v>
      </c>
      <c r="F2470">
        <v>74.73</v>
      </c>
      <c r="G2470" t="s">
        <v>14</v>
      </c>
      <c r="H2470" t="s">
        <v>37</v>
      </c>
      <c r="I2470">
        <v>3.7</v>
      </c>
      <c r="J2470">
        <v>20</v>
      </c>
      <c r="K2470">
        <v>5</v>
      </c>
    </row>
    <row r="2471" spans="1:11" x14ac:dyDescent="0.35">
      <c r="A2471">
        <v>2470</v>
      </c>
      <c r="B2471">
        <v>41</v>
      </c>
      <c r="C2471" t="s">
        <v>11</v>
      </c>
      <c r="D2471" t="s">
        <v>22</v>
      </c>
      <c r="E2471" t="s">
        <v>23</v>
      </c>
      <c r="F2471">
        <v>159.58000000000001</v>
      </c>
      <c r="G2471" t="s">
        <v>19</v>
      </c>
      <c r="H2471" t="s">
        <v>15</v>
      </c>
      <c r="I2471">
        <v>4.4000000000000004</v>
      </c>
      <c r="J2471">
        <v>8</v>
      </c>
      <c r="K2471">
        <v>4</v>
      </c>
    </row>
    <row r="2472" spans="1:11" x14ac:dyDescent="0.35">
      <c r="A2472">
        <v>2471</v>
      </c>
      <c r="B2472">
        <v>58</v>
      </c>
      <c r="C2472" t="s">
        <v>11</v>
      </c>
      <c r="D2472" t="s">
        <v>41</v>
      </c>
      <c r="E2472" t="s">
        <v>44</v>
      </c>
      <c r="F2472">
        <v>142.94999999999999</v>
      </c>
      <c r="G2472" t="s">
        <v>24</v>
      </c>
      <c r="H2472" t="s">
        <v>15</v>
      </c>
      <c r="I2472">
        <v>4.8</v>
      </c>
      <c r="J2472">
        <v>15</v>
      </c>
      <c r="K2472">
        <v>5</v>
      </c>
    </row>
    <row r="2473" spans="1:11" x14ac:dyDescent="0.35">
      <c r="A2473">
        <v>2472</v>
      </c>
      <c r="B2473">
        <v>22</v>
      </c>
      <c r="C2473" t="s">
        <v>11</v>
      </c>
      <c r="D2473" t="s">
        <v>29</v>
      </c>
      <c r="E2473" t="s">
        <v>30</v>
      </c>
      <c r="F2473">
        <v>56.67</v>
      </c>
      <c r="G2473" t="s">
        <v>31</v>
      </c>
      <c r="H2473" t="s">
        <v>37</v>
      </c>
      <c r="I2473">
        <v>4.3</v>
      </c>
      <c r="J2473">
        <v>15</v>
      </c>
      <c r="K2473">
        <v>5</v>
      </c>
    </row>
    <row r="2474" spans="1:11" x14ac:dyDescent="0.35">
      <c r="A2474">
        <v>2473</v>
      </c>
      <c r="B2474">
        <v>56</v>
      </c>
      <c r="C2474" t="s">
        <v>11</v>
      </c>
      <c r="D2474" t="s">
        <v>12</v>
      </c>
      <c r="E2474" t="s">
        <v>56</v>
      </c>
      <c r="F2474">
        <v>60.82</v>
      </c>
      <c r="G2474" t="s">
        <v>19</v>
      </c>
      <c r="H2474" t="s">
        <v>37</v>
      </c>
      <c r="I2474">
        <v>3.5</v>
      </c>
      <c r="J2474">
        <v>8</v>
      </c>
      <c r="K2474">
        <v>4</v>
      </c>
    </row>
    <row r="2475" spans="1:11" x14ac:dyDescent="0.35">
      <c r="A2475">
        <v>2474</v>
      </c>
      <c r="B2475">
        <v>64</v>
      </c>
      <c r="C2475" t="s">
        <v>11</v>
      </c>
      <c r="D2475" t="s">
        <v>33</v>
      </c>
      <c r="E2475" t="s">
        <v>40</v>
      </c>
      <c r="F2475">
        <v>249.17</v>
      </c>
      <c r="G2475" t="s">
        <v>19</v>
      </c>
      <c r="H2475" t="s">
        <v>15</v>
      </c>
      <c r="I2475">
        <v>4.8</v>
      </c>
      <c r="J2475">
        <v>8</v>
      </c>
      <c r="K2475">
        <v>4</v>
      </c>
    </row>
    <row r="2476" spans="1:11" x14ac:dyDescent="0.35">
      <c r="A2476">
        <v>2475</v>
      </c>
      <c r="B2476">
        <v>58</v>
      </c>
      <c r="C2476" t="s">
        <v>11</v>
      </c>
      <c r="D2476" t="s">
        <v>41</v>
      </c>
      <c r="E2476" t="s">
        <v>46</v>
      </c>
      <c r="F2476">
        <v>105.75</v>
      </c>
      <c r="G2476" t="s">
        <v>14</v>
      </c>
      <c r="H2476" t="s">
        <v>15</v>
      </c>
      <c r="I2476">
        <v>4.5</v>
      </c>
      <c r="J2476">
        <v>19</v>
      </c>
      <c r="K2476">
        <v>7</v>
      </c>
    </row>
    <row r="2477" spans="1:11" x14ac:dyDescent="0.35">
      <c r="A2477">
        <v>2476</v>
      </c>
      <c r="B2477">
        <v>57</v>
      </c>
      <c r="C2477" t="s">
        <v>16</v>
      </c>
      <c r="D2477" t="s">
        <v>20</v>
      </c>
      <c r="E2477" t="s">
        <v>39</v>
      </c>
      <c r="F2477">
        <v>89.44</v>
      </c>
      <c r="G2477" t="s">
        <v>14</v>
      </c>
      <c r="H2477" t="s">
        <v>37</v>
      </c>
      <c r="I2477">
        <v>4.9000000000000004</v>
      </c>
      <c r="J2477">
        <v>10</v>
      </c>
      <c r="K2477">
        <v>5</v>
      </c>
    </row>
    <row r="2478" spans="1:11" x14ac:dyDescent="0.35">
      <c r="A2478">
        <v>2477</v>
      </c>
      <c r="B2478">
        <v>37</v>
      </c>
      <c r="C2478" t="s">
        <v>16</v>
      </c>
      <c r="D2478" t="s">
        <v>20</v>
      </c>
      <c r="E2478" t="s">
        <v>21</v>
      </c>
      <c r="F2478">
        <v>182.81</v>
      </c>
      <c r="G2478" t="s">
        <v>31</v>
      </c>
      <c r="H2478" t="s">
        <v>15</v>
      </c>
      <c r="I2478">
        <v>3.2</v>
      </c>
      <c r="J2478">
        <v>16</v>
      </c>
      <c r="K2478">
        <v>3</v>
      </c>
    </row>
    <row r="2479" spans="1:11" x14ac:dyDescent="0.35">
      <c r="A2479">
        <v>2478</v>
      </c>
      <c r="B2479">
        <v>30</v>
      </c>
      <c r="C2479" t="s">
        <v>16</v>
      </c>
      <c r="D2479" t="s">
        <v>20</v>
      </c>
      <c r="E2479" t="s">
        <v>21</v>
      </c>
      <c r="F2479">
        <v>49.64</v>
      </c>
      <c r="G2479" t="s">
        <v>19</v>
      </c>
      <c r="H2479" t="s">
        <v>37</v>
      </c>
      <c r="I2479">
        <v>4.0999999999999996</v>
      </c>
      <c r="J2479">
        <v>9</v>
      </c>
      <c r="K2479">
        <v>2</v>
      </c>
    </row>
    <row r="2480" spans="1:11" x14ac:dyDescent="0.35">
      <c r="A2480">
        <v>2479</v>
      </c>
      <c r="B2480">
        <v>56</v>
      </c>
      <c r="C2480" t="s">
        <v>16</v>
      </c>
      <c r="D2480" t="s">
        <v>20</v>
      </c>
      <c r="E2480" t="s">
        <v>36</v>
      </c>
      <c r="F2480">
        <v>118.27</v>
      </c>
      <c r="G2480" t="s">
        <v>14</v>
      </c>
      <c r="H2480" t="s">
        <v>15</v>
      </c>
      <c r="I2480">
        <v>4</v>
      </c>
      <c r="J2480">
        <v>19</v>
      </c>
      <c r="K2480">
        <v>7</v>
      </c>
    </row>
    <row r="2481" spans="1:11" x14ac:dyDescent="0.35">
      <c r="A2481">
        <v>2480</v>
      </c>
      <c r="B2481">
        <v>41</v>
      </c>
      <c r="C2481" t="s">
        <v>11</v>
      </c>
      <c r="D2481" t="s">
        <v>12</v>
      </c>
      <c r="E2481" t="s">
        <v>56</v>
      </c>
      <c r="F2481">
        <v>155.41</v>
      </c>
      <c r="G2481" t="s">
        <v>24</v>
      </c>
      <c r="H2481" t="s">
        <v>15</v>
      </c>
      <c r="I2481">
        <v>5</v>
      </c>
      <c r="J2481">
        <v>22</v>
      </c>
      <c r="K2481">
        <v>6</v>
      </c>
    </row>
    <row r="2482" spans="1:11" x14ac:dyDescent="0.35">
      <c r="A2482">
        <v>2481</v>
      </c>
      <c r="B2482">
        <v>47</v>
      </c>
      <c r="C2482" t="s">
        <v>16</v>
      </c>
      <c r="D2482" t="s">
        <v>33</v>
      </c>
      <c r="E2482" t="s">
        <v>38</v>
      </c>
      <c r="F2482">
        <v>162.15</v>
      </c>
      <c r="G2482" t="s">
        <v>14</v>
      </c>
      <c r="H2482" t="s">
        <v>15</v>
      </c>
      <c r="I2482">
        <v>4.9000000000000004</v>
      </c>
      <c r="J2482">
        <v>22</v>
      </c>
      <c r="K2482">
        <v>6</v>
      </c>
    </row>
    <row r="2483" spans="1:11" x14ac:dyDescent="0.35">
      <c r="A2483">
        <v>2482</v>
      </c>
      <c r="B2483">
        <v>62</v>
      </c>
      <c r="C2483" t="s">
        <v>16</v>
      </c>
      <c r="D2483" t="s">
        <v>17</v>
      </c>
      <c r="E2483" t="s">
        <v>18</v>
      </c>
      <c r="F2483">
        <v>122.41</v>
      </c>
      <c r="G2483" t="s">
        <v>19</v>
      </c>
      <c r="H2483" t="s">
        <v>15</v>
      </c>
      <c r="I2483">
        <v>3</v>
      </c>
      <c r="J2483">
        <v>17</v>
      </c>
      <c r="K2483">
        <v>6</v>
      </c>
    </row>
    <row r="2484" spans="1:11" x14ac:dyDescent="0.35">
      <c r="A2484">
        <v>2483</v>
      </c>
      <c r="B2484">
        <v>42</v>
      </c>
      <c r="C2484" t="s">
        <v>16</v>
      </c>
      <c r="D2484" t="s">
        <v>33</v>
      </c>
      <c r="E2484" t="s">
        <v>38</v>
      </c>
      <c r="F2484">
        <v>166.76</v>
      </c>
      <c r="G2484" t="s">
        <v>19</v>
      </c>
      <c r="H2484" t="s">
        <v>15</v>
      </c>
      <c r="I2484">
        <v>3.4</v>
      </c>
      <c r="J2484">
        <v>18</v>
      </c>
      <c r="K2484">
        <v>9</v>
      </c>
    </row>
    <row r="2485" spans="1:11" x14ac:dyDescent="0.35">
      <c r="A2485">
        <v>2484</v>
      </c>
      <c r="B2485">
        <v>55</v>
      </c>
      <c r="C2485" t="s">
        <v>16</v>
      </c>
      <c r="D2485" t="s">
        <v>20</v>
      </c>
      <c r="E2485" t="s">
        <v>21</v>
      </c>
      <c r="F2485">
        <v>91.77</v>
      </c>
      <c r="G2485" t="s">
        <v>14</v>
      </c>
      <c r="H2485" t="s">
        <v>37</v>
      </c>
      <c r="I2485">
        <v>3.8</v>
      </c>
      <c r="J2485">
        <v>20</v>
      </c>
      <c r="K2485">
        <v>5</v>
      </c>
    </row>
    <row r="2486" spans="1:11" x14ac:dyDescent="0.35">
      <c r="A2486">
        <v>2485</v>
      </c>
      <c r="B2486">
        <v>70</v>
      </c>
      <c r="C2486" t="s">
        <v>11</v>
      </c>
      <c r="D2486" t="s">
        <v>41</v>
      </c>
      <c r="E2486" t="s">
        <v>45</v>
      </c>
      <c r="F2486">
        <v>112.59</v>
      </c>
      <c r="G2486" t="s">
        <v>19</v>
      </c>
      <c r="H2486" t="s">
        <v>15</v>
      </c>
      <c r="I2486">
        <v>4.7</v>
      </c>
      <c r="J2486">
        <v>18</v>
      </c>
      <c r="K2486">
        <v>4</v>
      </c>
    </row>
    <row r="2487" spans="1:11" x14ac:dyDescent="0.35">
      <c r="A2487">
        <v>2486</v>
      </c>
      <c r="B2487">
        <v>30</v>
      </c>
      <c r="C2487" t="s">
        <v>11</v>
      </c>
      <c r="D2487" t="s">
        <v>41</v>
      </c>
      <c r="E2487" t="s">
        <v>45</v>
      </c>
      <c r="F2487">
        <v>77.540000000000006</v>
      </c>
      <c r="G2487" t="s">
        <v>31</v>
      </c>
      <c r="H2487" t="s">
        <v>37</v>
      </c>
      <c r="I2487">
        <v>3.8</v>
      </c>
      <c r="J2487">
        <v>18</v>
      </c>
      <c r="K2487">
        <v>4</v>
      </c>
    </row>
    <row r="2488" spans="1:11" x14ac:dyDescent="0.35">
      <c r="A2488">
        <v>2487</v>
      </c>
      <c r="B2488">
        <v>58</v>
      </c>
      <c r="C2488" t="s">
        <v>11</v>
      </c>
      <c r="D2488" t="s">
        <v>12</v>
      </c>
      <c r="E2488" t="s">
        <v>50</v>
      </c>
      <c r="F2488">
        <v>125.61</v>
      </c>
      <c r="G2488" t="s">
        <v>14</v>
      </c>
      <c r="H2488" t="s">
        <v>15</v>
      </c>
      <c r="I2488">
        <v>3.3</v>
      </c>
      <c r="J2488">
        <v>12</v>
      </c>
      <c r="K2488">
        <v>6</v>
      </c>
    </row>
    <row r="2489" spans="1:11" x14ac:dyDescent="0.35">
      <c r="A2489">
        <v>2488</v>
      </c>
      <c r="B2489">
        <v>66</v>
      </c>
      <c r="C2489" t="s">
        <v>11</v>
      </c>
      <c r="D2489" t="s">
        <v>12</v>
      </c>
      <c r="E2489" t="s">
        <v>13</v>
      </c>
      <c r="F2489">
        <v>175.38</v>
      </c>
      <c r="G2489" t="s">
        <v>14</v>
      </c>
      <c r="H2489" t="s">
        <v>15</v>
      </c>
      <c r="I2489">
        <v>4.0999999999999996</v>
      </c>
      <c r="J2489">
        <v>12</v>
      </c>
      <c r="K2489">
        <v>6</v>
      </c>
    </row>
    <row r="2490" spans="1:11" x14ac:dyDescent="0.35">
      <c r="A2490">
        <v>2489</v>
      </c>
      <c r="B2490">
        <v>45</v>
      </c>
      <c r="C2490" t="s">
        <v>11</v>
      </c>
      <c r="D2490" t="s">
        <v>33</v>
      </c>
      <c r="E2490" t="s">
        <v>38</v>
      </c>
      <c r="F2490">
        <v>199.34</v>
      </c>
      <c r="G2490" t="s">
        <v>31</v>
      </c>
      <c r="H2490" t="s">
        <v>15</v>
      </c>
      <c r="I2490">
        <v>5</v>
      </c>
      <c r="J2490">
        <v>16</v>
      </c>
      <c r="K2490">
        <v>3</v>
      </c>
    </row>
    <row r="2491" spans="1:11" x14ac:dyDescent="0.35">
      <c r="A2491">
        <v>2490</v>
      </c>
      <c r="B2491">
        <v>57</v>
      </c>
      <c r="C2491" t="s">
        <v>16</v>
      </c>
      <c r="D2491" t="s">
        <v>33</v>
      </c>
      <c r="E2491" t="s">
        <v>40</v>
      </c>
      <c r="F2491">
        <v>102.02</v>
      </c>
      <c r="G2491" t="s">
        <v>24</v>
      </c>
      <c r="H2491" t="s">
        <v>15</v>
      </c>
      <c r="I2491">
        <v>4</v>
      </c>
      <c r="J2491">
        <v>19</v>
      </c>
      <c r="K2491">
        <v>7</v>
      </c>
    </row>
    <row r="2492" spans="1:11" x14ac:dyDescent="0.35">
      <c r="A2492">
        <v>2491</v>
      </c>
      <c r="B2492">
        <v>27</v>
      </c>
      <c r="C2492" t="s">
        <v>16</v>
      </c>
      <c r="D2492" t="s">
        <v>27</v>
      </c>
      <c r="E2492" t="s">
        <v>32</v>
      </c>
      <c r="F2492">
        <v>736.82</v>
      </c>
      <c r="G2492" t="s">
        <v>14</v>
      </c>
      <c r="H2492" t="s">
        <v>15</v>
      </c>
      <c r="I2492">
        <v>4.4000000000000004</v>
      </c>
      <c r="J2492">
        <v>10</v>
      </c>
      <c r="K2492">
        <v>5</v>
      </c>
    </row>
    <row r="2493" spans="1:11" x14ac:dyDescent="0.35">
      <c r="A2493">
        <v>2492</v>
      </c>
      <c r="B2493">
        <v>61</v>
      </c>
      <c r="C2493" t="s">
        <v>16</v>
      </c>
      <c r="D2493" t="s">
        <v>17</v>
      </c>
      <c r="E2493" t="s">
        <v>18</v>
      </c>
      <c r="F2493">
        <v>67.64</v>
      </c>
      <c r="G2493" t="s">
        <v>31</v>
      </c>
      <c r="H2493" t="s">
        <v>37</v>
      </c>
      <c r="I2493">
        <v>3.6</v>
      </c>
      <c r="J2493">
        <v>18</v>
      </c>
      <c r="K2493">
        <v>4</v>
      </c>
    </row>
    <row r="2494" spans="1:11" x14ac:dyDescent="0.35">
      <c r="A2494">
        <v>2493</v>
      </c>
      <c r="B2494">
        <v>61</v>
      </c>
      <c r="C2494" t="s">
        <v>16</v>
      </c>
      <c r="D2494" t="s">
        <v>17</v>
      </c>
      <c r="E2494" t="s">
        <v>18</v>
      </c>
      <c r="F2494">
        <v>97.18</v>
      </c>
      <c r="G2494" t="s">
        <v>31</v>
      </c>
      <c r="H2494" t="s">
        <v>15</v>
      </c>
      <c r="I2494">
        <v>3.9</v>
      </c>
      <c r="J2494">
        <v>19</v>
      </c>
      <c r="K2494">
        <v>7</v>
      </c>
    </row>
    <row r="2495" spans="1:11" x14ac:dyDescent="0.35">
      <c r="A2495">
        <v>2494</v>
      </c>
      <c r="B2495">
        <v>36</v>
      </c>
      <c r="C2495" t="s">
        <v>11</v>
      </c>
      <c r="D2495" t="s">
        <v>41</v>
      </c>
      <c r="E2495" t="s">
        <v>45</v>
      </c>
      <c r="F2495">
        <v>96.2</v>
      </c>
      <c r="G2495" t="s">
        <v>24</v>
      </c>
      <c r="H2495" t="s">
        <v>37</v>
      </c>
      <c r="I2495">
        <v>5</v>
      </c>
      <c r="J2495">
        <v>6</v>
      </c>
      <c r="K2495">
        <v>3</v>
      </c>
    </row>
    <row r="2496" spans="1:11" x14ac:dyDescent="0.35">
      <c r="A2496">
        <v>2495</v>
      </c>
      <c r="B2496">
        <v>30</v>
      </c>
      <c r="C2496" t="s">
        <v>16</v>
      </c>
      <c r="D2496" t="s">
        <v>33</v>
      </c>
      <c r="E2496" t="s">
        <v>34</v>
      </c>
      <c r="F2496">
        <v>178.66</v>
      </c>
      <c r="G2496" t="s">
        <v>24</v>
      </c>
      <c r="H2496" t="s">
        <v>15</v>
      </c>
      <c r="I2496">
        <v>3.1</v>
      </c>
      <c r="J2496">
        <v>16</v>
      </c>
      <c r="K2496">
        <v>3</v>
      </c>
    </row>
    <row r="2497" spans="1:11" x14ac:dyDescent="0.35">
      <c r="A2497">
        <v>2496</v>
      </c>
      <c r="B2497">
        <v>58</v>
      </c>
      <c r="C2497" t="s">
        <v>16</v>
      </c>
      <c r="D2497" t="s">
        <v>17</v>
      </c>
      <c r="E2497" t="s">
        <v>18</v>
      </c>
      <c r="F2497">
        <v>59.56</v>
      </c>
      <c r="G2497" t="s">
        <v>14</v>
      </c>
      <c r="H2497" t="s">
        <v>15</v>
      </c>
      <c r="I2497">
        <v>4.5</v>
      </c>
      <c r="J2497">
        <v>24</v>
      </c>
      <c r="K2497">
        <v>7</v>
      </c>
    </row>
    <row r="2498" spans="1:11" x14ac:dyDescent="0.35">
      <c r="A2498">
        <v>2497</v>
      </c>
      <c r="B2498">
        <v>44</v>
      </c>
      <c r="C2498" t="s">
        <v>16</v>
      </c>
      <c r="D2498" t="s">
        <v>20</v>
      </c>
      <c r="E2498" t="s">
        <v>21</v>
      </c>
      <c r="F2498">
        <v>211.96</v>
      </c>
      <c r="G2498" t="s">
        <v>19</v>
      </c>
      <c r="H2498" t="s">
        <v>15</v>
      </c>
      <c r="I2498">
        <v>2.7</v>
      </c>
      <c r="J2498">
        <v>24</v>
      </c>
      <c r="K2498">
        <v>7</v>
      </c>
    </row>
    <row r="2499" spans="1:11" x14ac:dyDescent="0.35">
      <c r="A2499">
        <v>2498</v>
      </c>
      <c r="B2499">
        <v>28</v>
      </c>
      <c r="C2499" t="s">
        <v>16</v>
      </c>
      <c r="D2499" t="s">
        <v>33</v>
      </c>
      <c r="E2499" t="s">
        <v>34</v>
      </c>
      <c r="F2499">
        <v>54.72</v>
      </c>
      <c r="G2499" t="s">
        <v>24</v>
      </c>
      <c r="H2499" t="s">
        <v>37</v>
      </c>
      <c r="I2499">
        <v>3</v>
      </c>
      <c r="J2499">
        <v>8</v>
      </c>
      <c r="K2499">
        <v>4</v>
      </c>
    </row>
    <row r="2500" spans="1:11" x14ac:dyDescent="0.35">
      <c r="A2500">
        <v>2499</v>
      </c>
      <c r="B2500">
        <v>50</v>
      </c>
      <c r="C2500" t="s">
        <v>11</v>
      </c>
      <c r="D2500" t="s">
        <v>41</v>
      </c>
      <c r="E2500" t="s">
        <v>42</v>
      </c>
      <c r="F2500">
        <v>166.8</v>
      </c>
      <c r="G2500" t="s">
        <v>14</v>
      </c>
      <c r="H2500" t="s">
        <v>15</v>
      </c>
      <c r="I2500">
        <v>4.8</v>
      </c>
      <c r="J2500">
        <v>15</v>
      </c>
      <c r="K2500">
        <v>5</v>
      </c>
    </row>
    <row r="2501" spans="1:11" x14ac:dyDescent="0.35">
      <c r="A2501">
        <v>2500</v>
      </c>
      <c r="B2501">
        <v>36</v>
      </c>
      <c r="C2501" t="s">
        <v>11</v>
      </c>
      <c r="D2501" t="s">
        <v>20</v>
      </c>
      <c r="E2501" t="s">
        <v>21</v>
      </c>
      <c r="F2501">
        <v>180.09</v>
      </c>
      <c r="G2501" t="s">
        <v>24</v>
      </c>
      <c r="H2501" t="s">
        <v>15</v>
      </c>
      <c r="I2501">
        <v>4.9000000000000004</v>
      </c>
      <c r="J2501">
        <v>19</v>
      </c>
      <c r="K2501">
        <v>7</v>
      </c>
    </row>
    <row r="2502" spans="1:11" x14ac:dyDescent="0.35">
      <c r="A2502">
        <v>2501</v>
      </c>
      <c r="B2502">
        <v>55</v>
      </c>
      <c r="C2502" t="s">
        <v>11</v>
      </c>
      <c r="D2502" t="s">
        <v>20</v>
      </c>
      <c r="E2502" t="s">
        <v>21</v>
      </c>
      <c r="F2502">
        <v>73.290000000000006</v>
      </c>
      <c r="G2502" t="s">
        <v>24</v>
      </c>
      <c r="H2502" t="s">
        <v>15</v>
      </c>
      <c r="I2502">
        <v>4.5999999999999996</v>
      </c>
      <c r="J2502">
        <v>19</v>
      </c>
      <c r="K2502">
        <v>7</v>
      </c>
    </row>
    <row r="2503" spans="1:11" x14ac:dyDescent="0.35">
      <c r="A2503">
        <v>2502</v>
      </c>
      <c r="B2503">
        <v>49</v>
      </c>
      <c r="C2503" t="s">
        <v>16</v>
      </c>
      <c r="D2503" t="s">
        <v>20</v>
      </c>
      <c r="E2503" t="s">
        <v>21</v>
      </c>
      <c r="F2503">
        <v>240.58</v>
      </c>
      <c r="G2503" t="s">
        <v>19</v>
      </c>
      <c r="H2503" t="s">
        <v>15</v>
      </c>
      <c r="I2503">
        <v>4.2</v>
      </c>
      <c r="J2503">
        <v>24</v>
      </c>
      <c r="K2503">
        <v>7</v>
      </c>
    </row>
    <row r="2504" spans="1:11" x14ac:dyDescent="0.35">
      <c r="A2504">
        <v>2503</v>
      </c>
      <c r="B2504">
        <v>58</v>
      </c>
      <c r="C2504" t="s">
        <v>11</v>
      </c>
      <c r="D2504" t="s">
        <v>22</v>
      </c>
      <c r="E2504" t="s">
        <v>52</v>
      </c>
      <c r="F2504">
        <v>80.55</v>
      </c>
      <c r="G2504" t="s">
        <v>19</v>
      </c>
      <c r="H2504" t="s">
        <v>15</v>
      </c>
      <c r="I2504">
        <v>4.8</v>
      </c>
      <c r="J2504">
        <v>13</v>
      </c>
      <c r="K2504">
        <v>4</v>
      </c>
    </row>
    <row r="2505" spans="1:11" x14ac:dyDescent="0.35">
      <c r="A2505">
        <v>2504</v>
      </c>
      <c r="B2505">
        <v>57</v>
      </c>
      <c r="C2505" t="s">
        <v>16</v>
      </c>
      <c r="D2505" t="s">
        <v>27</v>
      </c>
      <c r="E2505" t="s">
        <v>32</v>
      </c>
      <c r="F2505">
        <v>1635.17</v>
      </c>
      <c r="G2505" t="s">
        <v>31</v>
      </c>
      <c r="H2505" t="s">
        <v>15</v>
      </c>
      <c r="I2505">
        <v>4.0999999999999996</v>
      </c>
      <c r="J2505">
        <v>9</v>
      </c>
      <c r="K2505">
        <v>2</v>
      </c>
    </row>
    <row r="2506" spans="1:11" x14ac:dyDescent="0.35">
      <c r="A2506">
        <v>2505</v>
      </c>
      <c r="B2506">
        <v>25</v>
      </c>
      <c r="C2506" t="s">
        <v>16</v>
      </c>
      <c r="D2506" t="s">
        <v>33</v>
      </c>
      <c r="E2506" t="s">
        <v>34</v>
      </c>
      <c r="F2506">
        <v>226.76</v>
      </c>
      <c r="G2506" t="s">
        <v>24</v>
      </c>
      <c r="H2506" t="s">
        <v>15</v>
      </c>
      <c r="I2506">
        <v>4.2</v>
      </c>
      <c r="J2506">
        <v>21</v>
      </c>
      <c r="K2506">
        <v>8</v>
      </c>
    </row>
    <row r="2507" spans="1:11" x14ac:dyDescent="0.35">
      <c r="A2507">
        <v>2506</v>
      </c>
      <c r="B2507">
        <v>42</v>
      </c>
      <c r="C2507" t="s">
        <v>16</v>
      </c>
      <c r="D2507" t="s">
        <v>20</v>
      </c>
      <c r="E2507" t="s">
        <v>21</v>
      </c>
      <c r="F2507">
        <v>132.34</v>
      </c>
      <c r="G2507" t="s">
        <v>19</v>
      </c>
      <c r="H2507" t="s">
        <v>15</v>
      </c>
      <c r="I2507">
        <v>4.5</v>
      </c>
      <c r="J2507">
        <v>20</v>
      </c>
      <c r="K2507">
        <v>5</v>
      </c>
    </row>
    <row r="2508" spans="1:11" x14ac:dyDescent="0.35">
      <c r="A2508">
        <v>2507</v>
      </c>
      <c r="B2508">
        <v>42</v>
      </c>
      <c r="C2508" t="s">
        <v>11</v>
      </c>
      <c r="D2508" t="s">
        <v>12</v>
      </c>
      <c r="E2508" t="s">
        <v>56</v>
      </c>
      <c r="F2508">
        <v>151.58000000000001</v>
      </c>
      <c r="G2508" t="s">
        <v>19</v>
      </c>
      <c r="H2508" t="s">
        <v>15</v>
      </c>
      <c r="I2508">
        <v>4.0999999999999996</v>
      </c>
      <c r="J2508">
        <v>2</v>
      </c>
      <c r="K2508">
        <v>1</v>
      </c>
    </row>
    <row r="2509" spans="1:11" x14ac:dyDescent="0.35">
      <c r="A2509">
        <v>2508</v>
      </c>
      <c r="B2509">
        <v>35</v>
      </c>
      <c r="C2509" t="s">
        <v>16</v>
      </c>
      <c r="D2509" t="s">
        <v>25</v>
      </c>
      <c r="E2509" t="s">
        <v>54</v>
      </c>
      <c r="F2509">
        <v>6.79</v>
      </c>
      <c r="G2509" t="s">
        <v>14</v>
      </c>
      <c r="H2509" t="s">
        <v>37</v>
      </c>
      <c r="I2509">
        <v>3.4</v>
      </c>
      <c r="J2509">
        <v>16</v>
      </c>
      <c r="K2509">
        <v>8</v>
      </c>
    </row>
    <row r="2510" spans="1:11" x14ac:dyDescent="0.35">
      <c r="A2510">
        <v>2509</v>
      </c>
      <c r="B2510">
        <v>53</v>
      </c>
      <c r="C2510" t="s">
        <v>11</v>
      </c>
      <c r="D2510" t="s">
        <v>33</v>
      </c>
      <c r="E2510" t="s">
        <v>38</v>
      </c>
      <c r="F2510">
        <v>177.6</v>
      </c>
      <c r="G2510" t="s">
        <v>14</v>
      </c>
      <c r="H2510" t="s">
        <v>15</v>
      </c>
      <c r="I2510">
        <v>5</v>
      </c>
      <c r="J2510">
        <v>26</v>
      </c>
      <c r="K2510">
        <v>8</v>
      </c>
    </row>
    <row r="2511" spans="1:11" x14ac:dyDescent="0.35">
      <c r="A2511">
        <v>2510</v>
      </c>
      <c r="B2511">
        <v>49</v>
      </c>
      <c r="C2511" t="s">
        <v>16</v>
      </c>
      <c r="D2511" t="s">
        <v>27</v>
      </c>
      <c r="E2511" t="s">
        <v>32</v>
      </c>
      <c r="F2511">
        <v>1297.0899999999999</v>
      </c>
      <c r="G2511" t="s">
        <v>19</v>
      </c>
      <c r="H2511" t="s">
        <v>15</v>
      </c>
      <c r="I2511">
        <v>4.8</v>
      </c>
      <c r="J2511">
        <v>20</v>
      </c>
      <c r="K2511">
        <v>5</v>
      </c>
    </row>
    <row r="2512" spans="1:11" x14ac:dyDescent="0.35">
      <c r="A2512">
        <v>2511</v>
      </c>
      <c r="B2512">
        <v>28</v>
      </c>
      <c r="C2512" t="s">
        <v>11</v>
      </c>
      <c r="D2512" t="s">
        <v>12</v>
      </c>
      <c r="E2512" t="s">
        <v>50</v>
      </c>
      <c r="F2512">
        <v>76.02</v>
      </c>
      <c r="G2512" t="s">
        <v>14</v>
      </c>
      <c r="H2512" t="s">
        <v>15</v>
      </c>
      <c r="I2512">
        <v>4</v>
      </c>
      <c r="J2512">
        <v>22</v>
      </c>
      <c r="K2512">
        <v>6</v>
      </c>
    </row>
    <row r="2513" spans="1:11" x14ac:dyDescent="0.35">
      <c r="A2513">
        <v>2512</v>
      </c>
      <c r="B2513">
        <v>37</v>
      </c>
      <c r="C2513" t="s">
        <v>11</v>
      </c>
      <c r="D2513" t="s">
        <v>33</v>
      </c>
      <c r="E2513" t="s">
        <v>34</v>
      </c>
      <c r="F2513">
        <v>158.57</v>
      </c>
      <c r="G2513" t="s">
        <v>19</v>
      </c>
      <c r="H2513" t="s">
        <v>15</v>
      </c>
      <c r="I2513">
        <v>3.3</v>
      </c>
      <c r="J2513">
        <v>6</v>
      </c>
      <c r="K2513">
        <v>3</v>
      </c>
    </row>
    <row r="2514" spans="1:11" x14ac:dyDescent="0.35">
      <c r="A2514">
        <v>2513</v>
      </c>
      <c r="B2514">
        <v>27</v>
      </c>
      <c r="C2514" t="s">
        <v>11</v>
      </c>
      <c r="D2514" t="s">
        <v>41</v>
      </c>
      <c r="E2514" t="s">
        <v>44</v>
      </c>
      <c r="F2514">
        <v>88.33</v>
      </c>
      <c r="G2514" t="s">
        <v>24</v>
      </c>
      <c r="H2514" t="s">
        <v>15</v>
      </c>
      <c r="I2514">
        <v>3.8</v>
      </c>
      <c r="J2514">
        <v>10</v>
      </c>
      <c r="K2514">
        <v>5</v>
      </c>
    </row>
    <row r="2515" spans="1:11" x14ac:dyDescent="0.35">
      <c r="A2515">
        <v>2514</v>
      </c>
      <c r="B2515">
        <v>54</v>
      </c>
      <c r="C2515" t="s">
        <v>16</v>
      </c>
      <c r="D2515" t="s">
        <v>17</v>
      </c>
      <c r="E2515" t="s">
        <v>18</v>
      </c>
      <c r="F2515">
        <v>181.51</v>
      </c>
      <c r="G2515" t="s">
        <v>14</v>
      </c>
      <c r="H2515" t="s">
        <v>15</v>
      </c>
      <c r="I2515">
        <v>4.8</v>
      </c>
      <c r="J2515">
        <v>13</v>
      </c>
      <c r="K2515">
        <v>4</v>
      </c>
    </row>
    <row r="2516" spans="1:11" x14ac:dyDescent="0.35">
      <c r="A2516">
        <v>2515</v>
      </c>
      <c r="B2516">
        <v>27</v>
      </c>
      <c r="C2516" t="s">
        <v>16</v>
      </c>
      <c r="D2516" t="s">
        <v>17</v>
      </c>
      <c r="E2516" t="s">
        <v>18</v>
      </c>
      <c r="F2516">
        <v>48.86</v>
      </c>
      <c r="G2516" t="s">
        <v>24</v>
      </c>
      <c r="H2516" t="s">
        <v>37</v>
      </c>
      <c r="I2516">
        <v>4.8</v>
      </c>
      <c r="J2516">
        <v>8</v>
      </c>
      <c r="K2516">
        <v>4</v>
      </c>
    </row>
    <row r="2517" spans="1:11" x14ac:dyDescent="0.35">
      <c r="A2517">
        <v>2516</v>
      </c>
      <c r="B2517">
        <v>55</v>
      </c>
      <c r="C2517" t="s">
        <v>11</v>
      </c>
      <c r="D2517" t="s">
        <v>12</v>
      </c>
      <c r="E2517" t="s">
        <v>13</v>
      </c>
      <c r="F2517">
        <v>124.2</v>
      </c>
      <c r="G2517" t="s">
        <v>19</v>
      </c>
      <c r="H2517" t="s">
        <v>15</v>
      </c>
      <c r="I2517">
        <v>3.6</v>
      </c>
      <c r="J2517">
        <v>12</v>
      </c>
      <c r="K2517">
        <v>6</v>
      </c>
    </row>
    <row r="2518" spans="1:11" x14ac:dyDescent="0.35">
      <c r="A2518">
        <v>2517</v>
      </c>
      <c r="B2518">
        <v>37</v>
      </c>
      <c r="C2518" t="s">
        <v>11</v>
      </c>
      <c r="D2518" t="s">
        <v>29</v>
      </c>
      <c r="E2518" t="s">
        <v>55</v>
      </c>
      <c r="F2518">
        <v>130.83000000000001</v>
      </c>
      <c r="G2518" t="s">
        <v>19</v>
      </c>
      <c r="H2518" t="s">
        <v>15</v>
      </c>
      <c r="I2518">
        <v>5</v>
      </c>
      <c r="J2518">
        <v>18</v>
      </c>
      <c r="K2518">
        <v>4</v>
      </c>
    </row>
    <row r="2519" spans="1:11" x14ac:dyDescent="0.35">
      <c r="A2519">
        <v>2518</v>
      </c>
      <c r="B2519">
        <v>21</v>
      </c>
      <c r="C2519" t="s">
        <v>16</v>
      </c>
      <c r="D2519" t="s">
        <v>17</v>
      </c>
      <c r="E2519" t="s">
        <v>18</v>
      </c>
      <c r="F2519">
        <v>46.83</v>
      </c>
      <c r="G2519" t="s">
        <v>19</v>
      </c>
      <c r="H2519" t="s">
        <v>15</v>
      </c>
      <c r="I2519">
        <v>5</v>
      </c>
      <c r="J2519">
        <v>16</v>
      </c>
      <c r="K2519">
        <v>3</v>
      </c>
    </row>
    <row r="2520" spans="1:11" x14ac:dyDescent="0.35">
      <c r="A2520">
        <v>2519</v>
      </c>
      <c r="B2520">
        <v>47</v>
      </c>
      <c r="C2520" t="s">
        <v>16</v>
      </c>
      <c r="D2520" t="s">
        <v>33</v>
      </c>
      <c r="E2520" t="s">
        <v>34</v>
      </c>
      <c r="F2520">
        <v>43.11</v>
      </c>
      <c r="G2520" t="s">
        <v>19</v>
      </c>
      <c r="H2520" t="s">
        <v>15</v>
      </c>
      <c r="I2520">
        <v>3.6</v>
      </c>
      <c r="J2520">
        <v>16</v>
      </c>
      <c r="K2520">
        <v>8</v>
      </c>
    </row>
    <row r="2521" spans="1:11" x14ac:dyDescent="0.35">
      <c r="A2521">
        <v>2520</v>
      </c>
      <c r="B2521">
        <v>55</v>
      </c>
      <c r="C2521" t="s">
        <v>11</v>
      </c>
      <c r="D2521" t="s">
        <v>29</v>
      </c>
      <c r="E2521" t="s">
        <v>51</v>
      </c>
      <c r="F2521">
        <v>131.37</v>
      </c>
      <c r="G2521" t="s">
        <v>14</v>
      </c>
      <c r="H2521" t="s">
        <v>15</v>
      </c>
      <c r="I2521">
        <v>3.4</v>
      </c>
      <c r="J2521">
        <v>14</v>
      </c>
      <c r="K2521">
        <v>2</v>
      </c>
    </row>
    <row r="2522" spans="1:11" x14ac:dyDescent="0.35">
      <c r="A2522">
        <v>2521</v>
      </c>
      <c r="B2522">
        <v>35</v>
      </c>
      <c r="C2522" t="s">
        <v>11</v>
      </c>
      <c r="D2522" t="s">
        <v>33</v>
      </c>
      <c r="E2522" t="s">
        <v>34</v>
      </c>
      <c r="F2522">
        <v>216.78</v>
      </c>
      <c r="G2522" t="s">
        <v>14</v>
      </c>
      <c r="H2522" t="s">
        <v>15</v>
      </c>
      <c r="I2522">
        <v>3.7</v>
      </c>
      <c r="J2522">
        <v>10</v>
      </c>
      <c r="K2522">
        <v>5</v>
      </c>
    </row>
    <row r="2523" spans="1:11" x14ac:dyDescent="0.35">
      <c r="A2523">
        <v>2522</v>
      </c>
      <c r="B2523">
        <v>45</v>
      </c>
      <c r="C2523" t="s">
        <v>11</v>
      </c>
      <c r="D2523" t="s">
        <v>25</v>
      </c>
      <c r="E2523" t="s">
        <v>26</v>
      </c>
      <c r="F2523">
        <v>21.14</v>
      </c>
      <c r="G2523" t="s">
        <v>24</v>
      </c>
      <c r="H2523" t="s">
        <v>15</v>
      </c>
      <c r="I2523">
        <v>3.7</v>
      </c>
      <c r="J2523">
        <v>22</v>
      </c>
      <c r="K2523">
        <v>6</v>
      </c>
    </row>
    <row r="2524" spans="1:11" x14ac:dyDescent="0.35">
      <c r="A2524">
        <v>2523</v>
      </c>
      <c r="B2524">
        <v>69</v>
      </c>
      <c r="C2524" t="s">
        <v>11</v>
      </c>
      <c r="D2524" t="s">
        <v>33</v>
      </c>
      <c r="E2524" t="s">
        <v>34</v>
      </c>
      <c r="F2524">
        <v>237.37</v>
      </c>
      <c r="G2524" t="s">
        <v>14</v>
      </c>
      <c r="H2524" t="s">
        <v>15</v>
      </c>
      <c r="I2524">
        <v>3.1</v>
      </c>
      <c r="J2524">
        <v>16</v>
      </c>
      <c r="K2524">
        <v>3</v>
      </c>
    </row>
    <row r="2525" spans="1:11" x14ac:dyDescent="0.35">
      <c r="A2525">
        <v>2524</v>
      </c>
      <c r="B2525">
        <v>35</v>
      </c>
      <c r="C2525" t="s">
        <v>11</v>
      </c>
      <c r="D2525" t="s">
        <v>33</v>
      </c>
      <c r="E2525" t="s">
        <v>38</v>
      </c>
      <c r="F2525">
        <v>112.58</v>
      </c>
      <c r="G2525" t="s">
        <v>24</v>
      </c>
      <c r="H2525" t="s">
        <v>15</v>
      </c>
      <c r="I2525">
        <v>4</v>
      </c>
      <c r="J2525">
        <v>8</v>
      </c>
      <c r="K2525">
        <v>4</v>
      </c>
    </row>
    <row r="2526" spans="1:11" x14ac:dyDescent="0.35">
      <c r="A2526">
        <v>2525</v>
      </c>
      <c r="B2526">
        <v>47</v>
      </c>
      <c r="C2526" t="s">
        <v>16</v>
      </c>
      <c r="D2526" t="s">
        <v>25</v>
      </c>
      <c r="E2526" t="s">
        <v>47</v>
      </c>
      <c r="F2526">
        <v>38.119999999999997</v>
      </c>
      <c r="G2526" t="s">
        <v>14</v>
      </c>
      <c r="H2526" t="s">
        <v>37</v>
      </c>
      <c r="I2526">
        <v>3.7</v>
      </c>
      <c r="J2526">
        <v>8</v>
      </c>
      <c r="K2526">
        <v>4</v>
      </c>
    </row>
    <row r="2527" spans="1:11" x14ac:dyDescent="0.35">
      <c r="A2527">
        <v>2526</v>
      </c>
      <c r="B2527">
        <v>40</v>
      </c>
      <c r="C2527" t="s">
        <v>11</v>
      </c>
      <c r="D2527" t="s">
        <v>29</v>
      </c>
      <c r="E2527" t="s">
        <v>30</v>
      </c>
      <c r="F2527">
        <v>79.73</v>
      </c>
      <c r="G2527" t="s">
        <v>14</v>
      </c>
      <c r="H2527" t="s">
        <v>15</v>
      </c>
      <c r="I2527">
        <v>3.5</v>
      </c>
      <c r="J2527">
        <v>12</v>
      </c>
      <c r="K2527">
        <v>1</v>
      </c>
    </row>
    <row r="2528" spans="1:11" x14ac:dyDescent="0.35">
      <c r="A2528">
        <v>2527</v>
      </c>
      <c r="B2528">
        <v>40</v>
      </c>
      <c r="C2528" t="s">
        <v>11</v>
      </c>
      <c r="D2528" t="s">
        <v>25</v>
      </c>
      <c r="E2528" t="s">
        <v>26</v>
      </c>
      <c r="F2528">
        <v>23.39</v>
      </c>
      <c r="G2528" t="s">
        <v>24</v>
      </c>
      <c r="H2528" t="s">
        <v>37</v>
      </c>
      <c r="I2528">
        <v>3.7</v>
      </c>
      <c r="J2528">
        <v>18</v>
      </c>
      <c r="K2528">
        <v>4</v>
      </c>
    </row>
    <row r="2529" spans="1:11" x14ac:dyDescent="0.35">
      <c r="A2529">
        <v>2528</v>
      </c>
      <c r="B2529">
        <v>49</v>
      </c>
      <c r="C2529" t="s">
        <v>11</v>
      </c>
      <c r="D2529" t="s">
        <v>20</v>
      </c>
      <c r="E2529" t="s">
        <v>21</v>
      </c>
      <c r="F2529">
        <v>155.91999999999999</v>
      </c>
      <c r="G2529" t="s">
        <v>31</v>
      </c>
      <c r="H2529" t="s">
        <v>15</v>
      </c>
      <c r="I2529">
        <v>4.0999999999999996</v>
      </c>
      <c r="J2529">
        <v>8</v>
      </c>
      <c r="K2529">
        <v>4</v>
      </c>
    </row>
    <row r="2530" spans="1:11" x14ac:dyDescent="0.35">
      <c r="A2530">
        <v>2529</v>
      </c>
      <c r="B2530">
        <v>25</v>
      </c>
      <c r="C2530" t="s">
        <v>16</v>
      </c>
      <c r="D2530" t="s">
        <v>27</v>
      </c>
      <c r="E2530" t="s">
        <v>53</v>
      </c>
      <c r="F2530">
        <v>1144.23</v>
      </c>
      <c r="G2530" t="s">
        <v>31</v>
      </c>
      <c r="H2530" t="s">
        <v>15</v>
      </c>
      <c r="I2530">
        <v>3.4</v>
      </c>
      <c r="J2530">
        <v>2</v>
      </c>
      <c r="K2530">
        <v>1</v>
      </c>
    </row>
    <row r="2531" spans="1:11" x14ac:dyDescent="0.35">
      <c r="A2531">
        <v>2530</v>
      </c>
      <c r="B2531">
        <v>35</v>
      </c>
      <c r="C2531" t="s">
        <v>16</v>
      </c>
      <c r="D2531" t="s">
        <v>17</v>
      </c>
      <c r="E2531" t="s">
        <v>35</v>
      </c>
      <c r="F2531">
        <v>180.47</v>
      </c>
      <c r="G2531" t="s">
        <v>24</v>
      </c>
      <c r="H2531" t="s">
        <v>15</v>
      </c>
      <c r="I2531">
        <v>4</v>
      </c>
      <c r="J2531">
        <v>12</v>
      </c>
      <c r="K2531">
        <v>6</v>
      </c>
    </row>
    <row r="2532" spans="1:11" x14ac:dyDescent="0.35">
      <c r="A2532">
        <v>2531</v>
      </c>
      <c r="B2532">
        <v>67</v>
      </c>
      <c r="C2532" t="s">
        <v>11</v>
      </c>
      <c r="D2532" t="s">
        <v>22</v>
      </c>
      <c r="E2532" t="s">
        <v>43</v>
      </c>
      <c r="F2532">
        <v>127.66</v>
      </c>
      <c r="G2532" t="s">
        <v>31</v>
      </c>
      <c r="H2532" t="s">
        <v>15</v>
      </c>
      <c r="I2532">
        <v>4.3</v>
      </c>
      <c r="J2532">
        <v>15</v>
      </c>
      <c r="K2532">
        <v>5</v>
      </c>
    </row>
    <row r="2533" spans="1:11" x14ac:dyDescent="0.35">
      <c r="A2533">
        <v>2532</v>
      </c>
      <c r="B2533">
        <v>58</v>
      </c>
      <c r="C2533" t="s">
        <v>11</v>
      </c>
      <c r="D2533" t="s">
        <v>25</v>
      </c>
      <c r="E2533" t="s">
        <v>54</v>
      </c>
      <c r="F2533">
        <v>24.67</v>
      </c>
      <c r="G2533" t="s">
        <v>19</v>
      </c>
      <c r="H2533" t="s">
        <v>15</v>
      </c>
      <c r="I2533">
        <v>5</v>
      </c>
      <c r="J2533">
        <v>8</v>
      </c>
      <c r="K2533">
        <v>4</v>
      </c>
    </row>
    <row r="2534" spans="1:11" x14ac:dyDescent="0.35">
      <c r="A2534">
        <v>2533</v>
      </c>
      <c r="B2534">
        <v>57</v>
      </c>
      <c r="C2534" t="s">
        <v>16</v>
      </c>
      <c r="D2534" t="s">
        <v>22</v>
      </c>
      <c r="E2534" t="s">
        <v>23</v>
      </c>
      <c r="F2534">
        <v>146.46</v>
      </c>
      <c r="G2534" t="s">
        <v>19</v>
      </c>
      <c r="H2534" t="s">
        <v>15</v>
      </c>
      <c r="I2534">
        <v>4.4000000000000004</v>
      </c>
      <c r="J2534">
        <v>6</v>
      </c>
      <c r="K2534">
        <v>3</v>
      </c>
    </row>
    <row r="2535" spans="1:11" x14ac:dyDescent="0.35">
      <c r="A2535">
        <v>2534</v>
      </c>
      <c r="B2535">
        <v>44</v>
      </c>
      <c r="C2535" t="s">
        <v>11</v>
      </c>
      <c r="D2535" t="s">
        <v>41</v>
      </c>
      <c r="E2535" t="s">
        <v>44</v>
      </c>
      <c r="F2535">
        <v>88.66</v>
      </c>
      <c r="G2535" t="s">
        <v>19</v>
      </c>
      <c r="H2535" t="s">
        <v>37</v>
      </c>
      <c r="I2535">
        <v>3.1</v>
      </c>
      <c r="J2535">
        <v>15</v>
      </c>
      <c r="K2535">
        <v>5</v>
      </c>
    </row>
    <row r="2536" spans="1:11" x14ac:dyDescent="0.35">
      <c r="A2536">
        <v>2535</v>
      </c>
      <c r="B2536">
        <v>22</v>
      </c>
      <c r="C2536" t="s">
        <v>16</v>
      </c>
      <c r="D2536" t="s">
        <v>20</v>
      </c>
      <c r="E2536" t="s">
        <v>39</v>
      </c>
      <c r="F2536">
        <v>174.54</v>
      </c>
      <c r="G2536" t="s">
        <v>24</v>
      </c>
      <c r="H2536" t="s">
        <v>15</v>
      </c>
      <c r="I2536">
        <v>3.3</v>
      </c>
      <c r="J2536">
        <v>18</v>
      </c>
      <c r="K2536">
        <v>9</v>
      </c>
    </row>
    <row r="2537" spans="1:11" x14ac:dyDescent="0.35">
      <c r="A2537">
        <v>2536</v>
      </c>
      <c r="B2537">
        <v>26</v>
      </c>
      <c r="C2537" t="s">
        <v>16</v>
      </c>
      <c r="D2537" t="s">
        <v>27</v>
      </c>
      <c r="E2537" t="s">
        <v>49</v>
      </c>
      <c r="F2537">
        <v>689.29</v>
      </c>
      <c r="G2537" t="s">
        <v>14</v>
      </c>
      <c r="H2537" t="s">
        <v>15</v>
      </c>
      <c r="I2537">
        <v>3.7</v>
      </c>
      <c r="J2537">
        <v>4</v>
      </c>
      <c r="K2537">
        <v>2</v>
      </c>
    </row>
    <row r="2538" spans="1:11" x14ac:dyDescent="0.35">
      <c r="A2538">
        <v>2537</v>
      </c>
      <c r="B2538">
        <v>48</v>
      </c>
      <c r="C2538" t="s">
        <v>11</v>
      </c>
      <c r="D2538" t="s">
        <v>41</v>
      </c>
      <c r="E2538" t="s">
        <v>45</v>
      </c>
      <c r="F2538">
        <v>102.81</v>
      </c>
      <c r="G2538" t="s">
        <v>31</v>
      </c>
      <c r="H2538" t="s">
        <v>15</v>
      </c>
      <c r="I2538">
        <v>2.8</v>
      </c>
      <c r="J2538">
        <v>13</v>
      </c>
      <c r="K2538">
        <v>4</v>
      </c>
    </row>
    <row r="2539" spans="1:11" x14ac:dyDescent="0.35">
      <c r="A2539">
        <v>2538</v>
      </c>
      <c r="B2539">
        <v>53</v>
      </c>
      <c r="C2539" t="s">
        <v>11</v>
      </c>
      <c r="D2539" t="s">
        <v>41</v>
      </c>
      <c r="E2539" t="s">
        <v>44</v>
      </c>
      <c r="F2539">
        <v>98.94</v>
      </c>
      <c r="G2539" t="s">
        <v>14</v>
      </c>
      <c r="H2539" t="s">
        <v>15</v>
      </c>
      <c r="I2539">
        <v>4.8</v>
      </c>
      <c r="J2539">
        <v>15</v>
      </c>
      <c r="K2539">
        <v>5</v>
      </c>
    </row>
    <row r="2540" spans="1:11" x14ac:dyDescent="0.35">
      <c r="A2540">
        <v>2539</v>
      </c>
      <c r="B2540">
        <v>63</v>
      </c>
      <c r="C2540" t="s">
        <v>16</v>
      </c>
      <c r="D2540" t="s">
        <v>17</v>
      </c>
      <c r="E2540" t="s">
        <v>35</v>
      </c>
      <c r="F2540">
        <v>111.55</v>
      </c>
      <c r="G2540" t="s">
        <v>24</v>
      </c>
      <c r="H2540" t="s">
        <v>15</v>
      </c>
      <c r="I2540">
        <v>3.4</v>
      </c>
      <c r="J2540">
        <v>12</v>
      </c>
      <c r="K2540">
        <v>6</v>
      </c>
    </row>
    <row r="2541" spans="1:11" x14ac:dyDescent="0.35">
      <c r="A2541">
        <v>2540</v>
      </c>
      <c r="B2541">
        <v>56</v>
      </c>
      <c r="C2541" t="s">
        <v>11</v>
      </c>
      <c r="D2541" t="s">
        <v>33</v>
      </c>
      <c r="E2541" t="s">
        <v>34</v>
      </c>
      <c r="F2541">
        <v>97.22</v>
      </c>
      <c r="G2541" t="s">
        <v>14</v>
      </c>
      <c r="H2541" t="s">
        <v>15</v>
      </c>
      <c r="I2541">
        <v>2.8</v>
      </c>
      <c r="J2541">
        <v>4</v>
      </c>
      <c r="K2541">
        <v>2</v>
      </c>
    </row>
    <row r="2542" spans="1:11" x14ac:dyDescent="0.35">
      <c r="A2542">
        <v>2541</v>
      </c>
      <c r="B2542">
        <v>61</v>
      </c>
      <c r="C2542" t="s">
        <v>11</v>
      </c>
      <c r="D2542" t="s">
        <v>20</v>
      </c>
      <c r="E2542" t="s">
        <v>36</v>
      </c>
      <c r="F2542">
        <v>25.02</v>
      </c>
      <c r="G2542" t="s">
        <v>19</v>
      </c>
      <c r="H2542" t="s">
        <v>37</v>
      </c>
      <c r="I2542">
        <v>4.2</v>
      </c>
      <c r="J2542">
        <v>16</v>
      </c>
      <c r="K2542">
        <v>3</v>
      </c>
    </row>
    <row r="2543" spans="1:11" x14ac:dyDescent="0.35">
      <c r="A2543">
        <v>2542</v>
      </c>
      <c r="B2543">
        <v>36</v>
      </c>
      <c r="C2543" t="s">
        <v>11</v>
      </c>
      <c r="D2543" t="s">
        <v>33</v>
      </c>
      <c r="E2543" t="s">
        <v>40</v>
      </c>
      <c r="F2543">
        <v>96.04</v>
      </c>
      <c r="G2543" t="s">
        <v>14</v>
      </c>
      <c r="H2543" t="s">
        <v>37</v>
      </c>
      <c r="I2543">
        <v>2.8</v>
      </c>
      <c r="J2543">
        <v>20</v>
      </c>
      <c r="K2543">
        <v>5</v>
      </c>
    </row>
    <row r="2544" spans="1:11" x14ac:dyDescent="0.35">
      <c r="A2544">
        <v>2543</v>
      </c>
      <c r="B2544">
        <v>25</v>
      </c>
      <c r="C2544" t="s">
        <v>16</v>
      </c>
      <c r="D2544" t="s">
        <v>33</v>
      </c>
      <c r="E2544" t="s">
        <v>38</v>
      </c>
      <c r="F2544">
        <v>77.540000000000006</v>
      </c>
      <c r="G2544" t="s">
        <v>31</v>
      </c>
      <c r="H2544" t="s">
        <v>15</v>
      </c>
      <c r="I2544">
        <v>4</v>
      </c>
      <c r="J2544">
        <v>15</v>
      </c>
      <c r="K2544">
        <v>5</v>
      </c>
    </row>
    <row r="2545" spans="1:11" x14ac:dyDescent="0.35">
      <c r="A2545">
        <v>2544</v>
      </c>
      <c r="B2545">
        <v>23</v>
      </c>
      <c r="C2545" t="s">
        <v>11</v>
      </c>
      <c r="D2545" t="s">
        <v>33</v>
      </c>
      <c r="E2545" t="s">
        <v>38</v>
      </c>
      <c r="F2545">
        <v>128.30000000000001</v>
      </c>
      <c r="G2545" t="s">
        <v>14</v>
      </c>
      <c r="H2545" t="s">
        <v>15</v>
      </c>
      <c r="I2545">
        <v>2.7</v>
      </c>
      <c r="J2545">
        <v>10</v>
      </c>
      <c r="K2545">
        <v>5</v>
      </c>
    </row>
    <row r="2546" spans="1:11" x14ac:dyDescent="0.35">
      <c r="A2546">
        <v>2545</v>
      </c>
      <c r="B2546">
        <v>64</v>
      </c>
      <c r="C2546" t="s">
        <v>11</v>
      </c>
      <c r="D2546" t="s">
        <v>33</v>
      </c>
      <c r="E2546" t="s">
        <v>40</v>
      </c>
      <c r="F2546">
        <v>123.62</v>
      </c>
      <c r="G2546" t="s">
        <v>24</v>
      </c>
      <c r="H2546" t="s">
        <v>15</v>
      </c>
      <c r="I2546">
        <v>4.2</v>
      </c>
      <c r="J2546">
        <v>10</v>
      </c>
      <c r="K2546">
        <v>5</v>
      </c>
    </row>
    <row r="2547" spans="1:11" x14ac:dyDescent="0.35">
      <c r="A2547">
        <v>2546</v>
      </c>
      <c r="B2547">
        <v>54</v>
      </c>
      <c r="C2547" t="s">
        <v>16</v>
      </c>
      <c r="D2547" t="s">
        <v>20</v>
      </c>
      <c r="E2547" t="s">
        <v>36</v>
      </c>
      <c r="F2547">
        <v>113.57</v>
      </c>
      <c r="G2547" t="s">
        <v>14</v>
      </c>
      <c r="H2547" t="s">
        <v>15</v>
      </c>
      <c r="I2547">
        <v>3</v>
      </c>
      <c r="J2547">
        <v>15</v>
      </c>
      <c r="K2547">
        <v>5</v>
      </c>
    </row>
    <row r="2548" spans="1:11" x14ac:dyDescent="0.35">
      <c r="A2548">
        <v>2547</v>
      </c>
      <c r="B2548">
        <v>22</v>
      </c>
      <c r="C2548" t="s">
        <v>11</v>
      </c>
      <c r="D2548" t="s">
        <v>12</v>
      </c>
      <c r="E2548" t="s">
        <v>50</v>
      </c>
      <c r="F2548">
        <v>76.34</v>
      </c>
      <c r="G2548" t="s">
        <v>31</v>
      </c>
      <c r="H2548" t="s">
        <v>37</v>
      </c>
      <c r="I2548">
        <v>3.9</v>
      </c>
      <c r="J2548">
        <v>17</v>
      </c>
      <c r="K2548">
        <v>6</v>
      </c>
    </row>
    <row r="2549" spans="1:11" x14ac:dyDescent="0.35">
      <c r="A2549">
        <v>2548</v>
      </c>
      <c r="B2549">
        <v>61</v>
      </c>
      <c r="C2549" t="s">
        <v>16</v>
      </c>
      <c r="D2549" t="s">
        <v>17</v>
      </c>
      <c r="E2549" t="s">
        <v>35</v>
      </c>
      <c r="F2549">
        <v>128.18</v>
      </c>
      <c r="G2549" t="s">
        <v>19</v>
      </c>
      <c r="H2549" t="s">
        <v>15</v>
      </c>
      <c r="I2549">
        <v>3.6</v>
      </c>
      <c r="J2549">
        <v>16</v>
      </c>
      <c r="K2549">
        <v>3</v>
      </c>
    </row>
    <row r="2550" spans="1:11" x14ac:dyDescent="0.35">
      <c r="A2550">
        <v>2549</v>
      </c>
      <c r="B2550">
        <v>26</v>
      </c>
      <c r="C2550" t="s">
        <v>16</v>
      </c>
      <c r="D2550" t="s">
        <v>20</v>
      </c>
      <c r="E2550" t="s">
        <v>21</v>
      </c>
      <c r="F2550">
        <v>98.3</v>
      </c>
      <c r="G2550" t="s">
        <v>14</v>
      </c>
      <c r="H2550" t="s">
        <v>15</v>
      </c>
      <c r="I2550">
        <v>3.9</v>
      </c>
      <c r="J2550">
        <v>16</v>
      </c>
      <c r="K2550">
        <v>3</v>
      </c>
    </row>
    <row r="2551" spans="1:11" x14ac:dyDescent="0.35">
      <c r="A2551">
        <v>2550</v>
      </c>
      <c r="B2551">
        <v>42</v>
      </c>
      <c r="C2551" t="s">
        <v>11</v>
      </c>
      <c r="D2551" t="s">
        <v>29</v>
      </c>
      <c r="E2551" t="s">
        <v>55</v>
      </c>
      <c r="F2551">
        <v>74.72</v>
      </c>
      <c r="G2551" t="s">
        <v>19</v>
      </c>
      <c r="H2551" t="s">
        <v>15</v>
      </c>
      <c r="I2551">
        <v>4.3</v>
      </c>
      <c r="J2551">
        <v>25</v>
      </c>
      <c r="K2551">
        <v>10</v>
      </c>
    </row>
    <row r="2552" spans="1:11" x14ac:dyDescent="0.35">
      <c r="A2552">
        <v>2551</v>
      </c>
      <c r="B2552">
        <v>56</v>
      </c>
      <c r="C2552" t="s">
        <v>11</v>
      </c>
      <c r="D2552" t="s">
        <v>41</v>
      </c>
      <c r="E2552" t="s">
        <v>45</v>
      </c>
      <c r="F2552">
        <v>104.87</v>
      </c>
      <c r="G2552" t="s">
        <v>14</v>
      </c>
      <c r="H2552" t="s">
        <v>15</v>
      </c>
      <c r="I2552">
        <v>4.4000000000000004</v>
      </c>
      <c r="J2552">
        <v>22</v>
      </c>
      <c r="K2552">
        <v>11</v>
      </c>
    </row>
    <row r="2553" spans="1:11" x14ac:dyDescent="0.35">
      <c r="A2553">
        <v>2552</v>
      </c>
      <c r="B2553">
        <v>54</v>
      </c>
      <c r="C2553" t="s">
        <v>11</v>
      </c>
      <c r="D2553" t="s">
        <v>12</v>
      </c>
      <c r="E2553" t="s">
        <v>56</v>
      </c>
      <c r="F2553">
        <v>54.62</v>
      </c>
      <c r="G2553" t="s">
        <v>31</v>
      </c>
      <c r="H2553" t="s">
        <v>37</v>
      </c>
      <c r="I2553">
        <v>3.7</v>
      </c>
      <c r="J2553">
        <v>8</v>
      </c>
      <c r="K2553">
        <v>4</v>
      </c>
    </row>
    <row r="2554" spans="1:11" x14ac:dyDescent="0.35">
      <c r="A2554">
        <v>2553</v>
      </c>
      <c r="B2554">
        <v>50</v>
      </c>
      <c r="C2554" t="s">
        <v>11</v>
      </c>
      <c r="D2554" t="s">
        <v>12</v>
      </c>
      <c r="E2554" t="s">
        <v>56</v>
      </c>
      <c r="F2554">
        <v>161.18</v>
      </c>
      <c r="G2554" t="s">
        <v>31</v>
      </c>
      <c r="H2554" t="s">
        <v>15</v>
      </c>
      <c r="I2554">
        <v>3.9</v>
      </c>
      <c r="J2554">
        <v>22</v>
      </c>
      <c r="K2554">
        <v>6</v>
      </c>
    </row>
    <row r="2555" spans="1:11" x14ac:dyDescent="0.35">
      <c r="A2555">
        <v>2554</v>
      </c>
      <c r="B2555">
        <v>52</v>
      </c>
      <c r="C2555" t="s">
        <v>11</v>
      </c>
      <c r="D2555" t="s">
        <v>25</v>
      </c>
      <c r="E2555" t="s">
        <v>54</v>
      </c>
      <c r="F2555">
        <v>36.75</v>
      </c>
      <c r="G2555" t="s">
        <v>14</v>
      </c>
      <c r="H2555" t="s">
        <v>15</v>
      </c>
      <c r="I2555">
        <v>4</v>
      </c>
      <c r="J2555">
        <v>8</v>
      </c>
      <c r="K2555">
        <v>4</v>
      </c>
    </row>
    <row r="2556" spans="1:11" x14ac:dyDescent="0.35">
      <c r="A2556">
        <v>2555</v>
      </c>
      <c r="B2556">
        <v>41</v>
      </c>
      <c r="C2556" t="s">
        <v>11</v>
      </c>
      <c r="D2556" t="s">
        <v>12</v>
      </c>
      <c r="E2556" t="s">
        <v>50</v>
      </c>
      <c r="F2556">
        <v>101.23</v>
      </c>
      <c r="G2556" t="s">
        <v>19</v>
      </c>
      <c r="H2556" t="s">
        <v>15</v>
      </c>
      <c r="I2556">
        <v>2.8</v>
      </c>
      <c r="J2556">
        <v>15</v>
      </c>
      <c r="K2556">
        <v>5</v>
      </c>
    </row>
    <row r="2557" spans="1:11" x14ac:dyDescent="0.35">
      <c r="A2557">
        <v>2556</v>
      </c>
      <c r="B2557">
        <v>63</v>
      </c>
      <c r="C2557" t="s">
        <v>11</v>
      </c>
      <c r="D2557" t="s">
        <v>25</v>
      </c>
      <c r="E2557" t="s">
        <v>57</v>
      </c>
      <c r="F2557">
        <v>69.8</v>
      </c>
      <c r="G2557" t="s">
        <v>14</v>
      </c>
      <c r="H2557" t="s">
        <v>37</v>
      </c>
      <c r="I2557">
        <v>5</v>
      </c>
      <c r="J2557">
        <v>10</v>
      </c>
      <c r="K2557">
        <v>5</v>
      </c>
    </row>
    <row r="2558" spans="1:11" x14ac:dyDescent="0.35">
      <c r="A2558">
        <v>2557</v>
      </c>
      <c r="B2558">
        <v>57</v>
      </c>
      <c r="C2558" t="s">
        <v>11</v>
      </c>
      <c r="D2558" t="s">
        <v>25</v>
      </c>
      <c r="E2558" t="s">
        <v>57</v>
      </c>
      <c r="F2558">
        <v>56.76</v>
      </c>
      <c r="G2558" t="s">
        <v>31</v>
      </c>
      <c r="H2558" t="s">
        <v>15</v>
      </c>
      <c r="I2558">
        <v>3.9</v>
      </c>
      <c r="J2558">
        <v>22</v>
      </c>
      <c r="K2558">
        <v>6</v>
      </c>
    </row>
    <row r="2559" spans="1:11" x14ac:dyDescent="0.35">
      <c r="A2559">
        <v>2558</v>
      </c>
      <c r="B2559">
        <v>44</v>
      </c>
      <c r="C2559" t="s">
        <v>11</v>
      </c>
      <c r="D2559" t="s">
        <v>20</v>
      </c>
      <c r="E2559" t="s">
        <v>39</v>
      </c>
      <c r="F2559">
        <v>192.76</v>
      </c>
      <c r="G2559" t="s">
        <v>14</v>
      </c>
      <c r="H2559" t="s">
        <v>15</v>
      </c>
      <c r="I2559">
        <v>3.5</v>
      </c>
      <c r="J2559">
        <v>15</v>
      </c>
      <c r="K2559">
        <v>5</v>
      </c>
    </row>
    <row r="2560" spans="1:11" x14ac:dyDescent="0.35">
      <c r="A2560">
        <v>2559</v>
      </c>
      <c r="B2560">
        <v>47</v>
      </c>
      <c r="C2560" t="s">
        <v>16</v>
      </c>
      <c r="D2560" t="s">
        <v>20</v>
      </c>
      <c r="E2560" t="s">
        <v>39</v>
      </c>
      <c r="F2560">
        <v>133.84</v>
      </c>
      <c r="G2560" t="s">
        <v>31</v>
      </c>
      <c r="H2560" t="s">
        <v>15</v>
      </c>
      <c r="I2560">
        <v>5</v>
      </c>
      <c r="J2560">
        <v>14</v>
      </c>
      <c r="K2560">
        <v>7</v>
      </c>
    </row>
    <row r="2561" spans="1:11" x14ac:dyDescent="0.35">
      <c r="A2561">
        <v>2560</v>
      </c>
      <c r="B2561">
        <v>66</v>
      </c>
      <c r="C2561" t="s">
        <v>11</v>
      </c>
      <c r="D2561" t="s">
        <v>12</v>
      </c>
      <c r="E2561" t="s">
        <v>50</v>
      </c>
      <c r="F2561">
        <v>48.53</v>
      </c>
      <c r="G2561" t="s">
        <v>31</v>
      </c>
      <c r="H2561" t="s">
        <v>15</v>
      </c>
      <c r="I2561">
        <v>2.9</v>
      </c>
      <c r="J2561">
        <v>11</v>
      </c>
      <c r="K2561">
        <v>3</v>
      </c>
    </row>
    <row r="2562" spans="1:11" x14ac:dyDescent="0.35">
      <c r="A2562">
        <v>2561</v>
      </c>
      <c r="B2562">
        <v>65</v>
      </c>
      <c r="C2562" t="s">
        <v>11</v>
      </c>
      <c r="D2562" t="s">
        <v>22</v>
      </c>
      <c r="E2562" t="s">
        <v>52</v>
      </c>
      <c r="F2562">
        <v>157.49</v>
      </c>
      <c r="G2562" t="s">
        <v>19</v>
      </c>
      <c r="H2562" t="s">
        <v>15</v>
      </c>
      <c r="I2562">
        <v>3.8</v>
      </c>
      <c r="J2562">
        <v>17</v>
      </c>
      <c r="K2562">
        <v>6</v>
      </c>
    </row>
    <row r="2563" spans="1:11" x14ac:dyDescent="0.35">
      <c r="A2563">
        <v>2562</v>
      </c>
      <c r="B2563">
        <v>69</v>
      </c>
      <c r="C2563" t="s">
        <v>16</v>
      </c>
      <c r="D2563" t="s">
        <v>33</v>
      </c>
      <c r="E2563" t="s">
        <v>34</v>
      </c>
      <c r="F2563">
        <v>157.19999999999999</v>
      </c>
      <c r="G2563" t="s">
        <v>24</v>
      </c>
      <c r="H2563" t="s">
        <v>15</v>
      </c>
      <c r="I2563">
        <v>4.4000000000000004</v>
      </c>
      <c r="J2563">
        <v>11</v>
      </c>
      <c r="K2563">
        <v>3</v>
      </c>
    </row>
    <row r="2564" spans="1:11" x14ac:dyDescent="0.35">
      <c r="A2564">
        <v>2563</v>
      </c>
      <c r="B2564">
        <v>45</v>
      </c>
      <c r="C2564" t="s">
        <v>11</v>
      </c>
      <c r="D2564" t="s">
        <v>29</v>
      </c>
      <c r="E2564" t="s">
        <v>55</v>
      </c>
      <c r="F2564">
        <v>59.66</v>
      </c>
      <c r="G2564" t="s">
        <v>14</v>
      </c>
      <c r="H2564" t="s">
        <v>15</v>
      </c>
      <c r="I2564">
        <v>3.8</v>
      </c>
      <c r="J2564">
        <v>11</v>
      </c>
      <c r="K2564">
        <v>3</v>
      </c>
    </row>
    <row r="2565" spans="1:11" x14ac:dyDescent="0.35">
      <c r="A2565">
        <v>2564</v>
      </c>
      <c r="B2565">
        <v>37</v>
      </c>
      <c r="C2565" t="s">
        <v>11</v>
      </c>
      <c r="D2565" t="s">
        <v>41</v>
      </c>
      <c r="E2565" t="s">
        <v>42</v>
      </c>
      <c r="F2565">
        <v>181.19</v>
      </c>
      <c r="G2565" t="s">
        <v>31</v>
      </c>
      <c r="H2565" t="s">
        <v>15</v>
      </c>
      <c r="I2565">
        <v>4.3</v>
      </c>
      <c r="J2565">
        <v>22</v>
      </c>
      <c r="K2565">
        <v>6</v>
      </c>
    </row>
    <row r="2566" spans="1:11" x14ac:dyDescent="0.35">
      <c r="A2566">
        <v>2565</v>
      </c>
      <c r="B2566">
        <v>47</v>
      </c>
      <c r="C2566" t="s">
        <v>11</v>
      </c>
      <c r="D2566" t="s">
        <v>41</v>
      </c>
      <c r="E2566" t="s">
        <v>46</v>
      </c>
      <c r="F2566">
        <v>123.24</v>
      </c>
      <c r="G2566" t="s">
        <v>19</v>
      </c>
      <c r="H2566" t="s">
        <v>15</v>
      </c>
      <c r="I2566">
        <v>3.6</v>
      </c>
      <c r="J2566">
        <v>10</v>
      </c>
      <c r="K2566">
        <v>5</v>
      </c>
    </row>
    <row r="2567" spans="1:11" x14ac:dyDescent="0.35">
      <c r="A2567">
        <v>2566</v>
      </c>
      <c r="B2567">
        <v>33</v>
      </c>
      <c r="C2567" t="s">
        <v>11</v>
      </c>
      <c r="D2567" t="s">
        <v>41</v>
      </c>
      <c r="E2567" t="s">
        <v>46</v>
      </c>
      <c r="F2567">
        <v>53.56</v>
      </c>
      <c r="G2567" t="s">
        <v>19</v>
      </c>
      <c r="H2567" t="s">
        <v>15</v>
      </c>
      <c r="I2567">
        <v>3.1</v>
      </c>
      <c r="J2567">
        <v>10</v>
      </c>
      <c r="K2567">
        <v>5</v>
      </c>
    </row>
    <row r="2568" spans="1:11" x14ac:dyDescent="0.35">
      <c r="A2568">
        <v>2567</v>
      </c>
      <c r="B2568">
        <v>44</v>
      </c>
      <c r="C2568" t="s">
        <v>11</v>
      </c>
      <c r="D2568" t="s">
        <v>12</v>
      </c>
      <c r="E2568" t="s">
        <v>13</v>
      </c>
      <c r="F2568">
        <v>153.44999999999999</v>
      </c>
      <c r="G2568" t="s">
        <v>19</v>
      </c>
      <c r="H2568" t="s">
        <v>15</v>
      </c>
      <c r="I2568">
        <v>4.0999999999999996</v>
      </c>
      <c r="J2568">
        <v>13</v>
      </c>
      <c r="K2568">
        <v>4</v>
      </c>
    </row>
    <row r="2569" spans="1:11" x14ac:dyDescent="0.35">
      <c r="A2569">
        <v>2568</v>
      </c>
      <c r="B2569">
        <v>30</v>
      </c>
      <c r="C2569" t="s">
        <v>11</v>
      </c>
      <c r="D2569" t="s">
        <v>33</v>
      </c>
      <c r="E2569" t="s">
        <v>40</v>
      </c>
      <c r="F2569">
        <v>136.93</v>
      </c>
      <c r="G2569" t="s">
        <v>31</v>
      </c>
      <c r="H2569" t="s">
        <v>15</v>
      </c>
      <c r="I2569">
        <v>5</v>
      </c>
      <c r="J2569">
        <v>9</v>
      </c>
      <c r="K2569">
        <v>2</v>
      </c>
    </row>
    <row r="2570" spans="1:11" x14ac:dyDescent="0.35">
      <c r="A2570">
        <v>2569</v>
      </c>
      <c r="B2570">
        <v>70</v>
      </c>
      <c r="C2570" t="s">
        <v>16</v>
      </c>
      <c r="D2570" t="s">
        <v>17</v>
      </c>
      <c r="E2570" t="s">
        <v>42</v>
      </c>
      <c r="F2570">
        <v>198.86</v>
      </c>
      <c r="G2570" t="s">
        <v>19</v>
      </c>
      <c r="H2570" t="s">
        <v>15</v>
      </c>
      <c r="I2570">
        <v>4.0999999999999996</v>
      </c>
      <c r="J2570">
        <v>8</v>
      </c>
      <c r="K2570">
        <v>4</v>
      </c>
    </row>
    <row r="2571" spans="1:11" x14ac:dyDescent="0.35">
      <c r="A2571">
        <v>2570</v>
      </c>
      <c r="B2571">
        <v>44</v>
      </c>
      <c r="C2571" t="s">
        <v>16</v>
      </c>
      <c r="D2571" t="s">
        <v>20</v>
      </c>
      <c r="E2571" t="s">
        <v>36</v>
      </c>
      <c r="F2571">
        <v>154.32</v>
      </c>
      <c r="G2571" t="s">
        <v>24</v>
      </c>
      <c r="H2571" t="s">
        <v>15</v>
      </c>
      <c r="I2571">
        <v>4.5999999999999996</v>
      </c>
      <c r="J2571">
        <v>10</v>
      </c>
      <c r="K2571">
        <v>5</v>
      </c>
    </row>
    <row r="2572" spans="1:11" x14ac:dyDescent="0.35">
      <c r="A2572">
        <v>2571</v>
      </c>
      <c r="B2572">
        <v>69</v>
      </c>
      <c r="C2572" t="s">
        <v>16</v>
      </c>
      <c r="D2572" t="s">
        <v>17</v>
      </c>
      <c r="E2572" t="s">
        <v>48</v>
      </c>
      <c r="F2572">
        <v>176.88</v>
      </c>
      <c r="G2572" t="s">
        <v>19</v>
      </c>
      <c r="H2572" t="s">
        <v>15</v>
      </c>
      <c r="I2572">
        <v>4.3</v>
      </c>
      <c r="J2572">
        <v>9</v>
      </c>
      <c r="K2572">
        <v>2</v>
      </c>
    </row>
    <row r="2573" spans="1:11" x14ac:dyDescent="0.35">
      <c r="A2573">
        <v>2572</v>
      </c>
      <c r="B2573">
        <v>48</v>
      </c>
      <c r="C2573" t="s">
        <v>11</v>
      </c>
      <c r="D2573" t="s">
        <v>20</v>
      </c>
      <c r="E2573" t="s">
        <v>36</v>
      </c>
      <c r="F2573">
        <v>91.06</v>
      </c>
      <c r="G2573" t="s">
        <v>31</v>
      </c>
      <c r="H2573" t="s">
        <v>15</v>
      </c>
      <c r="I2573">
        <v>4.2</v>
      </c>
      <c r="J2573">
        <v>11</v>
      </c>
      <c r="K2573">
        <v>3</v>
      </c>
    </row>
    <row r="2574" spans="1:11" x14ac:dyDescent="0.35">
      <c r="A2574">
        <v>2573</v>
      </c>
      <c r="B2574">
        <v>33</v>
      </c>
      <c r="C2574" t="s">
        <v>11</v>
      </c>
      <c r="D2574" t="s">
        <v>33</v>
      </c>
      <c r="E2574" t="s">
        <v>38</v>
      </c>
      <c r="F2574">
        <v>76.06</v>
      </c>
      <c r="G2574" t="s">
        <v>14</v>
      </c>
      <c r="H2574" t="s">
        <v>15</v>
      </c>
      <c r="I2574">
        <v>4</v>
      </c>
      <c r="J2574">
        <v>15</v>
      </c>
      <c r="K2574">
        <v>5</v>
      </c>
    </row>
    <row r="2575" spans="1:11" x14ac:dyDescent="0.35">
      <c r="A2575">
        <v>2574</v>
      </c>
      <c r="B2575">
        <v>52</v>
      </c>
      <c r="C2575" t="s">
        <v>11</v>
      </c>
      <c r="D2575" t="s">
        <v>12</v>
      </c>
      <c r="E2575" t="s">
        <v>56</v>
      </c>
      <c r="F2575">
        <v>65.97</v>
      </c>
      <c r="G2575" t="s">
        <v>19</v>
      </c>
      <c r="H2575" t="s">
        <v>15</v>
      </c>
      <c r="I2575">
        <v>2.9</v>
      </c>
      <c r="J2575">
        <v>6</v>
      </c>
      <c r="K2575">
        <v>3</v>
      </c>
    </row>
    <row r="2576" spans="1:11" x14ac:dyDescent="0.35">
      <c r="A2576">
        <v>2575</v>
      </c>
      <c r="B2576">
        <v>65</v>
      </c>
      <c r="C2576" t="s">
        <v>16</v>
      </c>
      <c r="D2576" t="s">
        <v>17</v>
      </c>
      <c r="E2576" t="s">
        <v>42</v>
      </c>
      <c r="F2576">
        <v>119.34</v>
      </c>
      <c r="G2576" t="s">
        <v>24</v>
      </c>
      <c r="H2576" t="s">
        <v>15</v>
      </c>
      <c r="I2576">
        <v>4.0999999999999996</v>
      </c>
      <c r="J2576">
        <v>8</v>
      </c>
      <c r="K2576">
        <v>4</v>
      </c>
    </row>
    <row r="2577" spans="1:11" x14ac:dyDescent="0.35">
      <c r="A2577">
        <v>2576</v>
      </c>
      <c r="B2577">
        <v>70</v>
      </c>
      <c r="C2577" t="s">
        <v>11</v>
      </c>
      <c r="D2577" t="s">
        <v>41</v>
      </c>
      <c r="E2577" t="s">
        <v>42</v>
      </c>
      <c r="F2577">
        <v>140.91</v>
      </c>
      <c r="G2577" t="s">
        <v>19</v>
      </c>
      <c r="H2577" t="s">
        <v>15</v>
      </c>
      <c r="I2577">
        <v>3.1</v>
      </c>
      <c r="J2577">
        <v>10</v>
      </c>
      <c r="K2577">
        <v>5</v>
      </c>
    </row>
    <row r="2578" spans="1:11" x14ac:dyDescent="0.35">
      <c r="A2578">
        <v>2577</v>
      </c>
      <c r="B2578">
        <v>29</v>
      </c>
      <c r="C2578" t="s">
        <v>16</v>
      </c>
      <c r="D2578" t="s">
        <v>25</v>
      </c>
      <c r="E2578" t="s">
        <v>26</v>
      </c>
      <c r="F2578">
        <v>51.55</v>
      </c>
      <c r="G2578" t="s">
        <v>14</v>
      </c>
      <c r="H2578" t="s">
        <v>15</v>
      </c>
      <c r="I2578">
        <v>4.2</v>
      </c>
      <c r="J2578">
        <v>7</v>
      </c>
      <c r="K2578">
        <v>1</v>
      </c>
    </row>
    <row r="2579" spans="1:11" x14ac:dyDescent="0.35">
      <c r="A2579">
        <v>2578</v>
      </c>
      <c r="B2579">
        <v>47</v>
      </c>
      <c r="C2579" t="s">
        <v>16</v>
      </c>
      <c r="D2579" t="s">
        <v>33</v>
      </c>
      <c r="E2579" t="s">
        <v>38</v>
      </c>
      <c r="F2579">
        <v>45.39</v>
      </c>
      <c r="G2579" t="s">
        <v>14</v>
      </c>
      <c r="H2579" t="s">
        <v>15</v>
      </c>
      <c r="I2579">
        <v>4.0999999999999996</v>
      </c>
      <c r="J2579">
        <v>19</v>
      </c>
      <c r="K2579">
        <v>7</v>
      </c>
    </row>
    <row r="2580" spans="1:11" x14ac:dyDescent="0.35">
      <c r="A2580">
        <v>2579</v>
      </c>
      <c r="B2580">
        <v>69</v>
      </c>
      <c r="C2580" t="s">
        <v>11</v>
      </c>
      <c r="D2580" t="s">
        <v>20</v>
      </c>
      <c r="E2580" t="s">
        <v>21</v>
      </c>
      <c r="F2580">
        <v>116.25</v>
      </c>
      <c r="G2580" t="s">
        <v>24</v>
      </c>
      <c r="H2580" t="s">
        <v>15</v>
      </c>
      <c r="I2580">
        <v>4.5999999999999996</v>
      </c>
      <c r="J2580">
        <v>24</v>
      </c>
      <c r="K2580">
        <v>7</v>
      </c>
    </row>
    <row r="2581" spans="1:11" x14ac:dyDescent="0.35">
      <c r="A2581">
        <v>2580</v>
      </c>
      <c r="B2581">
        <v>43</v>
      </c>
      <c r="C2581" t="s">
        <v>11</v>
      </c>
      <c r="D2581" t="s">
        <v>25</v>
      </c>
      <c r="E2581" t="s">
        <v>47</v>
      </c>
      <c r="F2581">
        <v>65.16</v>
      </c>
      <c r="G2581" t="s">
        <v>24</v>
      </c>
      <c r="H2581" t="s">
        <v>37</v>
      </c>
      <c r="I2581">
        <v>4.7</v>
      </c>
      <c r="J2581">
        <v>18</v>
      </c>
      <c r="K2581">
        <v>4</v>
      </c>
    </row>
    <row r="2582" spans="1:11" x14ac:dyDescent="0.35">
      <c r="A2582">
        <v>2581</v>
      </c>
      <c r="B2582">
        <v>33</v>
      </c>
      <c r="C2582" t="s">
        <v>11</v>
      </c>
      <c r="D2582" t="s">
        <v>41</v>
      </c>
      <c r="E2582" t="s">
        <v>45</v>
      </c>
      <c r="F2582">
        <v>123.96</v>
      </c>
      <c r="G2582" t="s">
        <v>19</v>
      </c>
      <c r="H2582" t="s">
        <v>15</v>
      </c>
      <c r="I2582">
        <v>3.1</v>
      </c>
      <c r="J2582">
        <v>15</v>
      </c>
      <c r="K2582">
        <v>5</v>
      </c>
    </row>
    <row r="2583" spans="1:11" x14ac:dyDescent="0.35">
      <c r="A2583">
        <v>2582</v>
      </c>
      <c r="B2583">
        <v>66</v>
      </c>
      <c r="C2583" t="s">
        <v>16</v>
      </c>
      <c r="D2583" t="s">
        <v>33</v>
      </c>
      <c r="E2583" t="s">
        <v>38</v>
      </c>
      <c r="F2583">
        <v>58.45</v>
      </c>
      <c r="G2583" t="s">
        <v>24</v>
      </c>
      <c r="H2583" t="s">
        <v>15</v>
      </c>
      <c r="I2583">
        <v>3.5</v>
      </c>
      <c r="J2583">
        <v>20</v>
      </c>
      <c r="K2583">
        <v>5</v>
      </c>
    </row>
    <row r="2584" spans="1:11" x14ac:dyDescent="0.35">
      <c r="A2584">
        <v>2583</v>
      </c>
      <c r="B2584">
        <v>59</v>
      </c>
      <c r="C2584" t="s">
        <v>11</v>
      </c>
      <c r="D2584" t="s">
        <v>33</v>
      </c>
      <c r="E2584" t="s">
        <v>34</v>
      </c>
      <c r="F2584">
        <v>183.81</v>
      </c>
      <c r="G2584" t="s">
        <v>19</v>
      </c>
      <c r="H2584" t="s">
        <v>15</v>
      </c>
      <c r="I2584">
        <v>4.0999999999999996</v>
      </c>
      <c r="J2584">
        <v>22</v>
      </c>
      <c r="K2584">
        <v>6</v>
      </c>
    </row>
    <row r="2585" spans="1:11" x14ac:dyDescent="0.35">
      <c r="A2585">
        <v>2584</v>
      </c>
      <c r="B2585">
        <v>30</v>
      </c>
      <c r="C2585" t="s">
        <v>11</v>
      </c>
      <c r="D2585" t="s">
        <v>29</v>
      </c>
      <c r="E2585" t="s">
        <v>55</v>
      </c>
      <c r="F2585">
        <v>129.88999999999999</v>
      </c>
      <c r="G2585" t="s">
        <v>31</v>
      </c>
      <c r="H2585" t="s">
        <v>15</v>
      </c>
      <c r="I2585">
        <v>4.2</v>
      </c>
      <c r="J2585">
        <v>17</v>
      </c>
      <c r="K2585">
        <v>6</v>
      </c>
    </row>
    <row r="2586" spans="1:11" x14ac:dyDescent="0.35">
      <c r="A2586">
        <v>2585</v>
      </c>
      <c r="B2586">
        <v>47</v>
      </c>
      <c r="C2586" t="s">
        <v>16</v>
      </c>
      <c r="D2586" t="s">
        <v>17</v>
      </c>
      <c r="E2586" t="s">
        <v>48</v>
      </c>
      <c r="F2586">
        <v>97.5</v>
      </c>
      <c r="G2586" t="s">
        <v>19</v>
      </c>
      <c r="H2586" t="s">
        <v>37</v>
      </c>
      <c r="I2586">
        <v>4.7</v>
      </c>
      <c r="J2586">
        <v>12</v>
      </c>
      <c r="K2586">
        <v>6</v>
      </c>
    </row>
    <row r="2587" spans="1:11" x14ac:dyDescent="0.35">
      <c r="A2587">
        <v>2586</v>
      </c>
      <c r="B2587">
        <v>68</v>
      </c>
      <c r="C2587" t="s">
        <v>16</v>
      </c>
      <c r="D2587" t="s">
        <v>20</v>
      </c>
      <c r="E2587" t="s">
        <v>39</v>
      </c>
      <c r="F2587">
        <v>123.53</v>
      </c>
      <c r="G2587" t="s">
        <v>19</v>
      </c>
      <c r="H2587" t="s">
        <v>15</v>
      </c>
      <c r="I2587">
        <v>4.4000000000000004</v>
      </c>
      <c r="J2587">
        <v>14</v>
      </c>
      <c r="K2587">
        <v>2</v>
      </c>
    </row>
    <row r="2588" spans="1:11" x14ac:dyDescent="0.35">
      <c r="A2588">
        <v>2587</v>
      </c>
      <c r="B2588">
        <v>53</v>
      </c>
      <c r="C2588" t="s">
        <v>16</v>
      </c>
      <c r="D2588" t="s">
        <v>20</v>
      </c>
      <c r="E2588" t="s">
        <v>36</v>
      </c>
      <c r="F2588">
        <v>152.44999999999999</v>
      </c>
      <c r="G2588" t="s">
        <v>19</v>
      </c>
      <c r="H2588" t="s">
        <v>15</v>
      </c>
      <c r="I2588">
        <v>3</v>
      </c>
      <c r="J2588">
        <v>19</v>
      </c>
      <c r="K2588">
        <v>7</v>
      </c>
    </row>
    <row r="2589" spans="1:11" x14ac:dyDescent="0.35">
      <c r="A2589">
        <v>2588</v>
      </c>
      <c r="B2589">
        <v>30</v>
      </c>
      <c r="C2589" t="s">
        <v>11</v>
      </c>
      <c r="D2589" t="s">
        <v>41</v>
      </c>
      <c r="E2589" t="s">
        <v>45</v>
      </c>
      <c r="F2589">
        <v>148.18</v>
      </c>
      <c r="G2589" t="s">
        <v>24</v>
      </c>
      <c r="H2589" t="s">
        <v>15</v>
      </c>
      <c r="I2589">
        <v>4.7</v>
      </c>
      <c r="J2589">
        <v>24</v>
      </c>
      <c r="K2589">
        <v>7</v>
      </c>
    </row>
    <row r="2590" spans="1:11" x14ac:dyDescent="0.35">
      <c r="A2590">
        <v>2589</v>
      </c>
      <c r="B2590">
        <v>52</v>
      </c>
      <c r="C2590" t="s">
        <v>11</v>
      </c>
      <c r="D2590" t="s">
        <v>25</v>
      </c>
      <c r="E2590" t="s">
        <v>57</v>
      </c>
      <c r="F2590">
        <v>69.489999999999995</v>
      </c>
      <c r="G2590" t="s">
        <v>19</v>
      </c>
      <c r="H2590" t="s">
        <v>37</v>
      </c>
      <c r="I2590">
        <v>3.9</v>
      </c>
      <c r="J2590">
        <v>12</v>
      </c>
      <c r="K2590">
        <v>6</v>
      </c>
    </row>
    <row r="2591" spans="1:11" x14ac:dyDescent="0.35">
      <c r="A2591">
        <v>2590</v>
      </c>
      <c r="B2591">
        <v>28</v>
      </c>
      <c r="C2591" t="s">
        <v>11</v>
      </c>
      <c r="D2591" t="s">
        <v>33</v>
      </c>
      <c r="E2591" t="s">
        <v>38</v>
      </c>
      <c r="F2591">
        <v>221.51</v>
      </c>
      <c r="G2591" t="s">
        <v>19</v>
      </c>
      <c r="H2591" t="s">
        <v>15</v>
      </c>
      <c r="I2591">
        <v>3</v>
      </c>
      <c r="J2591">
        <v>8</v>
      </c>
      <c r="K2591">
        <v>4</v>
      </c>
    </row>
    <row r="2592" spans="1:11" x14ac:dyDescent="0.35">
      <c r="A2592">
        <v>2591</v>
      </c>
      <c r="B2592">
        <v>40</v>
      </c>
      <c r="C2592" t="s">
        <v>11</v>
      </c>
      <c r="D2592" t="s">
        <v>20</v>
      </c>
      <c r="E2592" t="s">
        <v>36</v>
      </c>
      <c r="F2592">
        <v>129.22</v>
      </c>
      <c r="G2592" t="s">
        <v>14</v>
      </c>
      <c r="H2592" t="s">
        <v>15</v>
      </c>
      <c r="I2592">
        <v>4.3</v>
      </c>
      <c r="J2592">
        <v>12</v>
      </c>
      <c r="K2592">
        <v>6</v>
      </c>
    </row>
    <row r="2593" spans="1:11" x14ac:dyDescent="0.35">
      <c r="A2593">
        <v>2592</v>
      </c>
      <c r="B2593">
        <v>46</v>
      </c>
      <c r="C2593" t="s">
        <v>16</v>
      </c>
      <c r="D2593" t="s">
        <v>20</v>
      </c>
      <c r="E2593" t="s">
        <v>39</v>
      </c>
      <c r="F2593">
        <v>67.89</v>
      </c>
      <c r="G2593" t="s">
        <v>31</v>
      </c>
      <c r="H2593" t="s">
        <v>15</v>
      </c>
      <c r="I2593">
        <v>3.3</v>
      </c>
      <c r="J2593">
        <v>8</v>
      </c>
      <c r="K2593">
        <v>4</v>
      </c>
    </row>
    <row r="2594" spans="1:11" x14ac:dyDescent="0.35">
      <c r="A2594">
        <v>2593</v>
      </c>
      <c r="B2594">
        <v>26</v>
      </c>
      <c r="C2594" t="s">
        <v>16</v>
      </c>
      <c r="D2594" t="s">
        <v>25</v>
      </c>
      <c r="E2594" t="s">
        <v>47</v>
      </c>
      <c r="F2594">
        <v>31.17</v>
      </c>
      <c r="G2594" t="s">
        <v>14</v>
      </c>
      <c r="H2594" t="s">
        <v>37</v>
      </c>
      <c r="I2594">
        <v>3.4</v>
      </c>
      <c r="J2594">
        <v>11</v>
      </c>
      <c r="K2594">
        <v>3</v>
      </c>
    </row>
    <row r="2595" spans="1:11" x14ac:dyDescent="0.35">
      <c r="A2595">
        <v>2594</v>
      </c>
      <c r="B2595">
        <v>54</v>
      </c>
      <c r="C2595" t="s">
        <v>11</v>
      </c>
      <c r="D2595" t="s">
        <v>12</v>
      </c>
      <c r="E2595" t="s">
        <v>50</v>
      </c>
      <c r="F2595">
        <v>90.54</v>
      </c>
      <c r="G2595" t="s">
        <v>31</v>
      </c>
      <c r="H2595" t="s">
        <v>37</v>
      </c>
      <c r="I2595">
        <v>3.4</v>
      </c>
      <c r="J2595">
        <v>18</v>
      </c>
      <c r="K2595">
        <v>4</v>
      </c>
    </row>
    <row r="2596" spans="1:11" x14ac:dyDescent="0.35">
      <c r="A2596">
        <v>2595</v>
      </c>
      <c r="B2596">
        <v>34</v>
      </c>
      <c r="C2596" t="s">
        <v>16</v>
      </c>
      <c r="D2596" t="s">
        <v>17</v>
      </c>
      <c r="E2596" t="s">
        <v>18</v>
      </c>
      <c r="F2596">
        <v>62.19</v>
      </c>
      <c r="G2596" t="s">
        <v>24</v>
      </c>
      <c r="H2596" t="s">
        <v>37</v>
      </c>
      <c r="I2596">
        <v>4.0999999999999996</v>
      </c>
      <c r="J2596">
        <v>18</v>
      </c>
      <c r="K2596">
        <v>4</v>
      </c>
    </row>
    <row r="2597" spans="1:11" x14ac:dyDescent="0.35">
      <c r="A2597">
        <v>2596</v>
      </c>
      <c r="B2597">
        <v>53</v>
      </c>
      <c r="C2597" t="s">
        <v>11</v>
      </c>
      <c r="D2597" t="s">
        <v>33</v>
      </c>
      <c r="E2597" t="s">
        <v>40</v>
      </c>
      <c r="F2597">
        <v>160.62</v>
      </c>
      <c r="G2597" t="s">
        <v>31</v>
      </c>
      <c r="H2597" t="s">
        <v>15</v>
      </c>
      <c r="I2597">
        <v>3.4</v>
      </c>
      <c r="J2597">
        <v>21</v>
      </c>
      <c r="K2597">
        <v>8</v>
      </c>
    </row>
    <row r="2598" spans="1:11" x14ac:dyDescent="0.35">
      <c r="A2598">
        <v>2597</v>
      </c>
      <c r="B2598">
        <v>53</v>
      </c>
      <c r="C2598" t="s">
        <v>16</v>
      </c>
      <c r="D2598" t="s">
        <v>27</v>
      </c>
      <c r="E2598" t="s">
        <v>49</v>
      </c>
      <c r="F2598">
        <v>2661.25</v>
      </c>
      <c r="G2598" t="s">
        <v>19</v>
      </c>
      <c r="H2598" t="s">
        <v>15</v>
      </c>
      <c r="I2598">
        <v>4.5</v>
      </c>
      <c r="J2598">
        <v>24</v>
      </c>
      <c r="K2598">
        <v>7</v>
      </c>
    </row>
    <row r="2599" spans="1:11" x14ac:dyDescent="0.35">
      <c r="A2599">
        <v>2598</v>
      </c>
      <c r="B2599">
        <v>60</v>
      </c>
      <c r="C2599" t="s">
        <v>11</v>
      </c>
      <c r="D2599" t="s">
        <v>41</v>
      </c>
      <c r="E2599" t="s">
        <v>45</v>
      </c>
      <c r="F2599">
        <v>57.4</v>
      </c>
      <c r="G2599" t="s">
        <v>24</v>
      </c>
      <c r="H2599" t="s">
        <v>37</v>
      </c>
      <c r="I2599">
        <v>3.3</v>
      </c>
      <c r="J2599">
        <v>17</v>
      </c>
      <c r="K2599">
        <v>6</v>
      </c>
    </row>
    <row r="2600" spans="1:11" x14ac:dyDescent="0.35">
      <c r="A2600">
        <v>2599</v>
      </c>
      <c r="B2600">
        <v>24</v>
      </c>
      <c r="C2600" t="s">
        <v>16</v>
      </c>
      <c r="D2600" t="s">
        <v>17</v>
      </c>
      <c r="E2600" t="s">
        <v>48</v>
      </c>
      <c r="F2600">
        <v>38.57</v>
      </c>
      <c r="G2600" t="s">
        <v>31</v>
      </c>
      <c r="H2600" t="s">
        <v>15</v>
      </c>
      <c r="I2600">
        <v>3.5</v>
      </c>
      <c r="J2600">
        <v>6</v>
      </c>
      <c r="K2600">
        <v>3</v>
      </c>
    </row>
    <row r="2601" spans="1:11" x14ac:dyDescent="0.35">
      <c r="A2601">
        <v>2600</v>
      </c>
      <c r="B2601">
        <v>29</v>
      </c>
      <c r="C2601" t="s">
        <v>11</v>
      </c>
      <c r="D2601" t="s">
        <v>33</v>
      </c>
      <c r="E2601" t="s">
        <v>38</v>
      </c>
      <c r="F2601">
        <v>57.06</v>
      </c>
      <c r="G2601" t="s">
        <v>14</v>
      </c>
      <c r="H2601" t="s">
        <v>15</v>
      </c>
      <c r="I2601">
        <v>4.0999999999999996</v>
      </c>
      <c r="J2601">
        <v>12</v>
      </c>
      <c r="K2601">
        <v>6</v>
      </c>
    </row>
    <row r="2602" spans="1:11" x14ac:dyDescent="0.35">
      <c r="A2602">
        <v>2601</v>
      </c>
      <c r="B2602">
        <v>64</v>
      </c>
      <c r="C2602" t="s">
        <v>16</v>
      </c>
      <c r="D2602" t="s">
        <v>25</v>
      </c>
      <c r="E2602" t="s">
        <v>47</v>
      </c>
      <c r="F2602">
        <v>49.9</v>
      </c>
      <c r="G2602" t="s">
        <v>31</v>
      </c>
      <c r="H2602" t="s">
        <v>15</v>
      </c>
      <c r="I2602">
        <v>4.2</v>
      </c>
      <c r="J2602">
        <v>14</v>
      </c>
      <c r="K2602">
        <v>7</v>
      </c>
    </row>
    <row r="2603" spans="1:11" x14ac:dyDescent="0.35">
      <c r="A2603">
        <v>2602</v>
      </c>
      <c r="B2603">
        <v>48</v>
      </c>
      <c r="C2603" t="s">
        <v>11</v>
      </c>
      <c r="D2603" t="s">
        <v>12</v>
      </c>
      <c r="E2603" t="s">
        <v>13</v>
      </c>
      <c r="F2603">
        <v>142.62</v>
      </c>
      <c r="G2603" t="s">
        <v>14</v>
      </c>
      <c r="H2603" t="s">
        <v>15</v>
      </c>
      <c r="I2603">
        <v>3.6</v>
      </c>
      <c r="J2603">
        <v>18</v>
      </c>
      <c r="K2603">
        <v>9</v>
      </c>
    </row>
    <row r="2604" spans="1:11" x14ac:dyDescent="0.35">
      <c r="A2604">
        <v>2603</v>
      </c>
      <c r="B2604">
        <v>55</v>
      </c>
      <c r="C2604" t="s">
        <v>16</v>
      </c>
      <c r="D2604" t="s">
        <v>17</v>
      </c>
      <c r="E2604" t="s">
        <v>42</v>
      </c>
      <c r="F2604">
        <v>90.45</v>
      </c>
      <c r="G2604" t="s">
        <v>19</v>
      </c>
      <c r="H2604" t="s">
        <v>37</v>
      </c>
      <c r="I2604">
        <v>3.3</v>
      </c>
      <c r="J2604">
        <v>8</v>
      </c>
      <c r="K2604">
        <v>4</v>
      </c>
    </row>
    <row r="2605" spans="1:11" x14ac:dyDescent="0.35">
      <c r="A2605">
        <v>2604</v>
      </c>
      <c r="B2605">
        <v>59</v>
      </c>
      <c r="C2605" t="s">
        <v>16</v>
      </c>
      <c r="D2605" t="s">
        <v>20</v>
      </c>
      <c r="E2605" t="s">
        <v>36</v>
      </c>
      <c r="F2605">
        <v>207.97</v>
      </c>
      <c r="G2605" t="s">
        <v>19</v>
      </c>
      <c r="H2605" t="s">
        <v>15</v>
      </c>
      <c r="I2605">
        <v>4.5</v>
      </c>
      <c r="J2605">
        <v>13</v>
      </c>
      <c r="K2605">
        <v>4</v>
      </c>
    </row>
    <row r="2606" spans="1:11" x14ac:dyDescent="0.35">
      <c r="A2606">
        <v>2605</v>
      </c>
      <c r="B2606">
        <v>29</v>
      </c>
      <c r="C2606" t="s">
        <v>16</v>
      </c>
      <c r="D2606" t="s">
        <v>20</v>
      </c>
      <c r="E2606" t="s">
        <v>39</v>
      </c>
      <c r="F2606">
        <v>78.87</v>
      </c>
      <c r="G2606" t="s">
        <v>31</v>
      </c>
      <c r="H2606" t="s">
        <v>37</v>
      </c>
      <c r="I2606">
        <v>3.9</v>
      </c>
      <c r="J2606">
        <v>17</v>
      </c>
      <c r="K2606">
        <v>6</v>
      </c>
    </row>
    <row r="2607" spans="1:11" x14ac:dyDescent="0.35">
      <c r="A2607">
        <v>2606</v>
      </c>
      <c r="B2607">
        <v>47</v>
      </c>
      <c r="C2607" t="s">
        <v>16</v>
      </c>
      <c r="D2607" t="s">
        <v>17</v>
      </c>
      <c r="E2607" t="s">
        <v>35</v>
      </c>
      <c r="F2607">
        <v>160.26</v>
      </c>
      <c r="G2607" t="s">
        <v>31</v>
      </c>
      <c r="H2607" t="s">
        <v>15</v>
      </c>
      <c r="I2607">
        <v>3.7</v>
      </c>
      <c r="J2607">
        <v>20</v>
      </c>
      <c r="K2607">
        <v>5</v>
      </c>
    </row>
    <row r="2608" spans="1:11" x14ac:dyDescent="0.35">
      <c r="A2608">
        <v>2607</v>
      </c>
      <c r="B2608">
        <v>27</v>
      </c>
      <c r="C2608" t="s">
        <v>16</v>
      </c>
      <c r="D2608" t="s">
        <v>20</v>
      </c>
      <c r="E2608" t="s">
        <v>21</v>
      </c>
      <c r="F2608">
        <v>227.6</v>
      </c>
      <c r="G2608" t="s">
        <v>24</v>
      </c>
      <c r="H2608" t="s">
        <v>15</v>
      </c>
      <c r="I2608">
        <v>4.9000000000000004</v>
      </c>
      <c r="J2608">
        <v>14</v>
      </c>
      <c r="K2608">
        <v>2</v>
      </c>
    </row>
    <row r="2609" spans="1:11" x14ac:dyDescent="0.35">
      <c r="A2609">
        <v>2608</v>
      </c>
      <c r="B2609">
        <v>37</v>
      </c>
      <c r="C2609" t="s">
        <v>11</v>
      </c>
      <c r="D2609" t="s">
        <v>33</v>
      </c>
      <c r="E2609" t="s">
        <v>38</v>
      </c>
      <c r="F2609">
        <v>62.2</v>
      </c>
      <c r="G2609" t="s">
        <v>31</v>
      </c>
      <c r="H2609" t="s">
        <v>37</v>
      </c>
      <c r="I2609">
        <v>4</v>
      </c>
      <c r="J2609">
        <v>18</v>
      </c>
      <c r="K2609">
        <v>9</v>
      </c>
    </row>
    <row r="2610" spans="1:11" x14ac:dyDescent="0.35">
      <c r="A2610">
        <v>2609</v>
      </c>
      <c r="B2610">
        <v>30</v>
      </c>
      <c r="C2610" t="s">
        <v>16</v>
      </c>
      <c r="D2610" t="s">
        <v>17</v>
      </c>
      <c r="E2610" t="s">
        <v>18</v>
      </c>
      <c r="F2610">
        <v>111.07</v>
      </c>
      <c r="G2610" t="s">
        <v>19</v>
      </c>
      <c r="H2610" t="s">
        <v>15</v>
      </c>
      <c r="I2610">
        <v>3.9</v>
      </c>
      <c r="J2610">
        <v>23</v>
      </c>
      <c r="K2610">
        <v>9</v>
      </c>
    </row>
    <row r="2611" spans="1:11" x14ac:dyDescent="0.35">
      <c r="A2611">
        <v>2610</v>
      </c>
      <c r="B2611">
        <v>44</v>
      </c>
      <c r="C2611" t="s">
        <v>16</v>
      </c>
      <c r="D2611" t="s">
        <v>22</v>
      </c>
      <c r="E2611" t="s">
        <v>43</v>
      </c>
      <c r="F2611">
        <v>136.96</v>
      </c>
      <c r="G2611" t="s">
        <v>31</v>
      </c>
      <c r="H2611" t="s">
        <v>15</v>
      </c>
      <c r="I2611">
        <v>2.5</v>
      </c>
      <c r="J2611">
        <v>19</v>
      </c>
      <c r="K2611">
        <v>7</v>
      </c>
    </row>
    <row r="2612" spans="1:11" x14ac:dyDescent="0.35">
      <c r="A2612">
        <v>2611</v>
      </c>
      <c r="B2612">
        <v>28</v>
      </c>
      <c r="C2612" t="s">
        <v>11</v>
      </c>
      <c r="D2612" t="s">
        <v>20</v>
      </c>
      <c r="E2612" t="s">
        <v>39</v>
      </c>
      <c r="F2612">
        <v>99.34</v>
      </c>
      <c r="G2612" t="s">
        <v>24</v>
      </c>
      <c r="H2612" t="s">
        <v>37</v>
      </c>
      <c r="I2612">
        <v>4.0999999999999996</v>
      </c>
      <c r="J2612">
        <v>15</v>
      </c>
      <c r="K2612">
        <v>5</v>
      </c>
    </row>
    <row r="2613" spans="1:11" x14ac:dyDescent="0.35">
      <c r="A2613">
        <v>2612</v>
      </c>
      <c r="B2613">
        <v>58</v>
      </c>
      <c r="C2613" t="s">
        <v>11</v>
      </c>
      <c r="D2613" t="s">
        <v>29</v>
      </c>
      <c r="E2613" t="s">
        <v>55</v>
      </c>
      <c r="F2613">
        <v>59.64</v>
      </c>
      <c r="G2613" t="s">
        <v>19</v>
      </c>
      <c r="H2613" t="s">
        <v>37</v>
      </c>
      <c r="I2613">
        <v>3.1</v>
      </c>
      <c r="J2613">
        <v>15</v>
      </c>
      <c r="K2613">
        <v>5</v>
      </c>
    </row>
    <row r="2614" spans="1:11" x14ac:dyDescent="0.35">
      <c r="A2614">
        <v>2613</v>
      </c>
      <c r="B2614">
        <v>67</v>
      </c>
      <c r="C2614" t="s">
        <v>11</v>
      </c>
      <c r="D2614" t="s">
        <v>41</v>
      </c>
      <c r="E2614" t="s">
        <v>46</v>
      </c>
      <c r="F2614">
        <v>44.95</v>
      </c>
      <c r="G2614" t="s">
        <v>24</v>
      </c>
      <c r="H2614" t="s">
        <v>15</v>
      </c>
      <c r="I2614">
        <v>2.8</v>
      </c>
      <c r="J2614">
        <v>12</v>
      </c>
      <c r="K2614">
        <v>6</v>
      </c>
    </row>
    <row r="2615" spans="1:11" x14ac:dyDescent="0.35">
      <c r="A2615">
        <v>2614</v>
      </c>
      <c r="B2615">
        <v>58</v>
      </c>
      <c r="C2615" t="s">
        <v>16</v>
      </c>
      <c r="D2615" t="s">
        <v>27</v>
      </c>
      <c r="E2615" t="s">
        <v>28</v>
      </c>
      <c r="F2615">
        <v>926.5</v>
      </c>
      <c r="G2615" t="s">
        <v>31</v>
      </c>
      <c r="H2615" t="s">
        <v>15</v>
      </c>
      <c r="I2615">
        <v>4.3</v>
      </c>
      <c r="J2615">
        <v>6</v>
      </c>
      <c r="K2615">
        <v>3</v>
      </c>
    </row>
    <row r="2616" spans="1:11" x14ac:dyDescent="0.35">
      <c r="A2616">
        <v>2615</v>
      </c>
      <c r="B2616">
        <v>45</v>
      </c>
      <c r="C2616" t="s">
        <v>11</v>
      </c>
      <c r="D2616" t="s">
        <v>25</v>
      </c>
      <c r="E2616" t="s">
        <v>57</v>
      </c>
      <c r="F2616">
        <v>59.98</v>
      </c>
      <c r="G2616" t="s">
        <v>31</v>
      </c>
      <c r="H2616" t="s">
        <v>15</v>
      </c>
      <c r="I2616">
        <v>4</v>
      </c>
      <c r="J2616">
        <v>6</v>
      </c>
      <c r="K2616">
        <v>3</v>
      </c>
    </row>
    <row r="2617" spans="1:11" x14ac:dyDescent="0.35">
      <c r="A2617">
        <v>2616</v>
      </c>
      <c r="B2617">
        <v>26</v>
      </c>
      <c r="C2617" t="s">
        <v>16</v>
      </c>
      <c r="D2617" t="s">
        <v>20</v>
      </c>
      <c r="E2617" t="s">
        <v>36</v>
      </c>
      <c r="F2617">
        <v>188.94</v>
      </c>
      <c r="G2617" t="s">
        <v>24</v>
      </c>
      <c r="H2617" t="s">
        <v>15</v>
      </c>
      <c r="I2617">
        <v>4.3</v>
      </c>
      <c r="J2617">
        <v>18</v>
      </c>
      <c r="K2617">
        <v>4</v>
      </c>
    </row>
    <row r="2618" spans="1:11" x14ac:dyDescent="0.35">
      <c r="A2618">
        <v>2617</v>
      </c>
      <c r="B2618">
        <v>56</v>
      </c>
      <c r="C2618" t="s">
        <v>11</v>
      </c>
      <c r="D2618" t="s">
        <v>33</v>
      </c>
      <c r="E2618" t="s">
        <v>40</v>
      </c>
      <c r="F2618">
        <v>177.97</v>
      </c>
      <c r="G2618" t="s">
        <v>19</v>
      </c>
      <c r="H2618" t="s">
        <v>15</v>
      </c>
      <c r="I2618">
        <v>4</v>
      </c>
      <c r="J2618">
        <v>20</v>
      </c>
      <c r="K2618">
        <v>10</v>
      </c>
    </row>
    <row r="2619" spans="1:11" x14ac:dyDescent="0.35">
      <c r="A2619">
        <v>2618</v>
      </c>
      <c r="B2619">
        <v>50</v>
      </c>
      <c r="C2619" t="s">
        <v>11</v>
      </c>
      <c r="D2619" t="s">
        <v>12</v>
      </c>
      <c r="E2619" t="s">
        <v>56</v>
      </c>
      <c r="F2619">
        <v>128.68</v>
      </c>
      <c r="G2619" t="s">
        <v>19</v>
      </c>
      <c r="H2619" t="s">
        <v>15</v>
      </c>
      <c r="I2619">
        <v>3.7</v>
      </c>
      <c r="J2619">
        <v>11</v>
      </c>
      <c r="K2619">
        <v>3</v>
      </c>
    </row>
    <row r="2620" spans="1:11" x14ac:dyDescent="0.35">
      <c r="A2620">
        <v>2619</v>
      </c>
      <c r="B2620">
        <v>48</v>
      </c>
      <c r="C2620" t="s">
        <v>16</v>
      </c>
      <c r="D2620" t="s">
        <v>20</v>
      </c>
      <c r="E2620" t="s">
        <v>21</v>
      </c>
      <c r="F2620">
        <v>137.66999999999999</v>
      </c>
      <c r="G2620" t="s">
        <v>19</v>
      </c>
      <c r="H2620" t="s">
        <v>15</v>
      </c>
      <c r="I2620">
        <v>3.7</v>
      </c>
      <c r="J2620">
        <v>4</v>
      </c>
      <c r="K2620">
        <v>2</v>
      </c>
    </row>
    <row r="2621" spans="1:11" x14ac:dyDescent="0.35">
      <c r="A2621">
        <v>2620</v>
      </c>
      <c r="B2621">
        <v>28</v>
      </c>
      <c r="C2621" t="s">
        <v>16</v>
      </c>
      <c r="D2621" t="s">
        <v>17</v>
      </c>
      <c r="E2621" t="s">
        <v>42</v>
      </c>
      <c r="F2621">
        <v>138.24</v>
      </c>
      <c r="G2621" t="s">
        <v>14</v>
      </c>
      <c r="H2621" t="s">
        <v>15</v>
      </c>
      <c r="I2621">
        <v>3.1</v>
      </c>
      <c r="J2621">
        <v>11</v>
      </c>
      <c r="K2621">
        <v>3</v>
      </c>
    </row>
    <row r="2622" spans="1:11" x14ac:dyDescent="0.35">
      <c r="A2622">
        <v>2621</v>
      </c>
      <c r="B2622">
        <v>60</v>
      </c>
      <c r="C2622" t="s">
        <v>16</v>
      </c>
      <c r="D2622" t="s">
        <v>20</v>
      </c>
      <c r="E2622" t="s">
        <v>36</v>
      </c>
      <c r="F2622">
        <v>26.82</v>
      </c>
      <c r="G2622" t="s">
        <v>24</v>
      </c>
      <c r="H2622" t="s">
        <v>15</v>
      </c>
      <c r="I2622">
        <v>4.5</v>
      </c>
      <c r="J2622">
        <v>11</v>
      </c>
      <c r="K2622">
        <v>3</v>
      </c>
    </row>
    <row r="2623" spans="1:11" x14ac:dyDescent="0.35">
      <c r="A2623">
        <v>2622</v>
      </c>
      <c r="B2623">
        <v>64</v>
      </c>
      <c r="C2623" t="s">
        <v>11</v>
      </c>
      <c r="D2623" t="s">
        <v>41</v>
      </c>
      <c r="E2623" t="s">
        <v>44</v>
      </c>
      <c r="F2623">
        <v>83.11</v>
      </c>
      <c r="G2623" t="s">
        <v>19</v>
      </c>
      <c r="H2623" t="s">
        <v>37</v>
      </c>
      <c r="I2623">
        <v>2.9</v>
      </c>
      <c r="J2623">
        <v>11</v>
      </c>
      <c r="K2623">
        <v>3</v>
      </c>
    </row>
    <row r="2624" spans="1:11" x14ac:dyDescent="0.35">
      <c r="A2624">
        <v>2623</v>
      </c>
      <c r="B2624">
        <v>47</v>
      </c>
      <c r="C2624" t="s">
        <v>16</v>
      </c>
      <c r="D2624" t="s">
        <v>20</v>
      </c>
      <c r="E2624" t="s">
        <v>36</v>
      </c>
      <c r="F2624">
        <v>126.93</v>
      </c>
      <c r="G2624" t="s">
        <v>31</v>
      </c>
      <c r="H2624" t="s">
        <v>15</v>
      </c>
      <c r="I2624">
        <v>3.6</v>
      </c>
      <c r="J2624">
        <v>20</v>
      </c>
      <c r="K2624">
        <v>10</v>
      </c>
    </row>
    <row r="2625" spans="1:11" x14ac:dyDescent="0.35">
      <c r="A2625">
        <v>2624</v>
      </c>
      <c r="B2625">
        <v>28</v>
      </c>
      <c r="C2625" t="s">
        <v>16</v>
      </c>
      <c r="D2625" t="s">
        <v>22</v>
      </c>
      <c r="E2625" t="s">
        <v>52</v>
      </c>
      <c r="F2625">
        <v>241.39</v>
      </c>
      <c r="G2625" t="s">
        <v>19</v>
      </c>
      <c r="H2625" t="s">
        <v>15</v>
      </c>
      <c r="I2625">
        <v>3.2</v>
      </c>
      <c r="J2625">
        <v>17</v>
      </c>
      <c r="K2625">
        <v>6</v>
      </c>
    </row>
    <row r="2626" spans="1:11" x14ac:dyDescent="0.35">
      <c r="A2626">
        <v>2625</v>
      </c>
      <c r="B2626">
        <v>48</v>
      </c>
      <c r="C2626" t="s">
        <v>11</v>
      </c>
      <c r="D2626" t="s">
        <v>29</v>
      </c>
      <c r="E2626" t="s">
        <v>55</v>
      </c>
      <c r="F2626">
        <v>128.09</v>
      </c>
      <c r="G2626" t="s">
        <v>24</v>
      </c>
      <c r="H2626" t="s">
        <v>15</v>
      </c>
      <c r="I2626">
        <v>4.2</v>
      </c>
      <c r="J2626">
        <v>14</v>
      </c>
      <c r="K2626">
        <v>7</v>
      </c>
    </row>
    <row r="2627" spans="1:11" x14ac:dyDescent="0.35">
      <c r="A2627">
        <v>2626</v>
      </c>
      <c r="B2627">
        <v>29</v>
      </c>
      <c r="C2627" t="s">
        <v>16</v>
      </c>
      <c r="D2627" t="s">
        <v>33</v>
      </c>
      <c r="E2627" t="s">
        <v>34</v>
      </c>
      <c r="F2627">
        <v>184.29</v>
      </c>
      <c r="G2627" t="s">
        <v>19</v>
      </c>
      <c r="H2627" t="s">
        <v>15</v>
      </c>
      <c r="I2627">
        <v>2.8</v>
      </c>
      <c r="J2627">
        <v>24</v>
      </c>
      <c r="K2627">
        <v>7</v>
      </c>
    </row>
    <row r="2628" spans="1:11" x14ac:dyDescent="0.35">
      <c r="A2628">
        <v>2627</v>
      </c>
      <c r="B2628">
        <v>60</v>
      </c>
      <c r="C2628" t="s">
        <v>11</v>
      </c>
      <c r="D2628" t="s">
        <v>29</v>
      </c>
      <c r="E2628" t="s">
        <v>55</v>
      </c>
      <c r="F2628">
        <v>144.08000000000001</v>
      </c>
      <c r="G2628" t="s">
        <v>14</v>
      </c>
      <c r="H2628" t="s">
        <v>15</v>
      </c>
      <c r="I2628">
        <v>2.5</v>
      </c>
      <c r="J2628">
        <v>6</v>
      </c>
      <c r="K2628">
        <v>3</v>
      </c>
    </row>
    <row r="2629" spans="1:11" x14ac:dyDescent="0.35">
      <c r="A2629">
        <v>2628</v>
      </c>
      <c r="B2629">
        <v>48</v>
      </c>
      <c r="C2629" t="s">
        <v>11</v>
      </c>
      <c r="D2629" t="s">
        <v>41</v>
      </c>
      <c r="E2629" t="s">
        <v>44</v>
      </c>
      <c r="F2629">
        <v>74.56</v>
      </c>
      <c r="G2629" t="s">
        <v>14</v>
      </c>
      <c r="H2629" t="s">
        <v>37</v>
      </c>
      <c r="I2629">
        <v>3.3</v>
      </c>
      <c r="J2629">
        <v>8</v>
      </c>
      <c r="K2629">
        <v>4</v>
      </c>
    </row>
    <row r="2630" spans="1:11" x14ac:dyDescent="0.35">
      <c r="A2630">
        <v>2629</v>
      </c>
      <c r="B2630">
        <v>66</v>
      </c>
      <c r="C2630" t="s">
        <v>16</v>
      </c>
      <c r="D2630" t="s">
        <v>33</v>
      </c>
      <c r="E2630" t="s">
        <v>34</v>
      </c>
      <c r="F2630">
        <v>127.67</v>
      </c>
      <c r="G2630" t="s">
        <v>14</v>
      </c>
      <c r="H2630" t="s">
        <v>15</v>
      </c>
      <c r="I2630">
        <v>3.4</v>
      </c>
      <c r="J2630">
        <v>0</v>
      </c>
      <c r="K2630">
        <v>0</v>
      </c>
    </row>
    <row r="2631" spans="1:11" x14ac:dyDescent="0.35">
      <c r="A2631">
        <v>2630</v>
      </c>
      <c r="B2631">
        <v>49</v>
      </c>
      <c r="C2631" t="s">
        <v>11</v>
      </c>
      <c r="D2631" t="s">
        <v>33</v>
      </c>
      <c r="E2631" t="s">
        <v>34</v>
      </c>
      <c r="F2631">
        <v>73.3</v>
      </c>
      <c r="G2631" t="s">
        <v>31</v>
      </c>
      <c r="H2631" t="s">
        <v>37</v>
      </c>
      <c r="I2631">
        <v>3.3</v>
      </c>
      <c r="J2631">
        <v>8</v>
      </c>
      <c r="K2631">
        <v>4</v>
      </c>
    </row>
    <row r="2632" spans="1:11" x14ac:dyDescent="0.35">
      <c r="A2632">
        <v>2631</v>
      </c>
      <c r="B2632">
        <v>25</v>
      </c>
      <c r="C2632" t="s">
        <v>16</v>
      </c>
      <c r="D2632" t="s">
        <v>20</v>
      </c>
      <c r="E2632" t="s">
        <v>21</v>
      </c>
      <c r="F2632">
        <v>106.6</v>
      </c>
      <c r="G2632" t="s">
        <v>14</v>
      </c>
      <c r="H2632" t="s">
        <v>15</v>
      </c>
      <c r="I2632">
        <v>3.8</v>
      </c>
      <c r="J2632">
        <v>17</v>
      </c>
      <c r="K2632">
        <v>6</v>
      </c>
    </row>
    <row r="2633" spans="1:11" x14ac:dyDescent="0.35">
      <c r="A2633">
        <v>2632</v>
      </c>
      <c r="B2633">
        <v>52</v>
      </c>
      <c r="C2633" t="s">
        <v>16</v>
      </c>
      <c r="D2633" t="s">
        <v>27</v>
      </c>
      <c r="E2633" t="s">
        <v>28</v>
      </c>
      <c r="F2633">
        <v>1302.45</v>
      </c>
      <c r="G2633" t="s">
        <v>14</v>
      </c>
      <c r="H2633" t="s">
        <v>15</v>
      </c>
      <c r="I2633">
        <v>4.5</v>
      </c>
      <c r="J2633">
        <v>18</v>
      </c>
      <c r="K2633">
        <v>9</v>
      </c>
    </row>
    <row r="2634" spans="1:11" x14ac:dyDescent="0.35">
      <c r="A2634">
        <v>2633</v>
      </c>
      <c r="B2634">
        <v>65</v>
      </c>
      <c r="C2634" t="s">
        <v>16</v>
      </c>
      <c r="D2634" t="s">
        <v>22</v>
      </c>
      <c r="E2634" t="s">
        <v>52</v>
      </c>
      <c r="F2634">
        <v>275.33999999999997</v>
      </c>
      <c r="G2634" t="s">
        <v>14</v>
      </c>
      <c r="H2634" t="s">
        <v>15</v>
      </c>
      <c r="I2634">
        <v>3</v>
      </c>
      <c r="J2634">
        <v>14</v>
      </c>
      <c r="K2634">
        <v>7</v>
      </c>
    </row>
    <row r="2635" spans="1:11" x14ac:dyDescent="0.35">
      <c r="A2635">
        <v>2634</v>
      </c>
      <c r="B2635">
        <v>62</v>
      </c>
      <c r="C2635" t="s">
        <v>11</v>
      </c>
      <c r="D2635" t="s">
        <v>41</v>
      </c>
      <c r="E2635" t="s">
        <v>42</v>
      </c>
      <c r="F2635">
        <v>167.27</v>
      </c>
      <c r="G2635" t="s">
        <v>31</v>
      </c>
      <c r="H2635" t="s">
        <v>15</v>
      </c>
      <c r="I2635">
        <v>3.3</v>
      </c>
      <c r="J2635">
        <v>18</v>
      </c>
      <c r="K2635">
        <v>4</v>
      </c>
    </row>
    <row r="2636" spans="1:11" x14ac:dyDescent="0.35">
      <c r="A2636">
        <v>2635</v>
      </c>
      <c r="B2636">
        <v>70</v>
      </c>
      <c r="C2636" t="s">
        <v>16</v>
      </c>
      <c r="D2636" t="s">
        <v>17</v>
      </c>
      <c r="E2636" t="s">
        <v>18</v>
      </c>
      <c r="F2636">
        <v>191.8</v>
      </c>
      <c r="G2636" t="s">
        <v>14</v>
      </c>
      <c r="H2636" t="s">
        <v>15</v>
      </c>
      <c r="I2636">
        <v>2.4</v>
      </c>
      <c r="J2636">
        <v>13</v>
      </c>
      <c r="K2636">
        <v>4</v>
      </c>
    </row>
    <row r="2637" spans="1:11" x14ac:dyDescent="0.35">
      <c r="A2637">
        <v>2636</v>
      </c>
      <c r="B2637">
        <v>64</v>
      </c>
      <c r="C2637" t="s">
        <v>16</v>
      </c>
      <c r="D2637" t="s">
        <v>33</v>
      </c>
      <c r="E2637" t="s">
        <v>40</v>
      </c>
      <c r="F2637">
        <v>62.44</v>
      </c>
      <c r="G2637" t="s">
        <v>14</v>
      </c>
      <c r="H2637" t="s">
        <v>15</v>
      </c>
      <c r="I2637">
        <v>5</v>
      </c>
      <c r="J2637">
        <v>16</v>
      </c>
      <c r="K2637">
        <v>8</v>
      </c>
    </row>
    <row r="2638" spans="1:11" x14ac:dyDescent="0.35">
      <c r="A2638">
        <v>2637</v>
      </c>
      <c r="B2638">
        <v>22</v>
      </c>
      <c r="C2638" t="s">
        <v>11</v>
      </c>
      <c r="D2638" t="s">
        <v>33</v>
      </c>
      <c r="E2638" t="s">
        <v>40</v>
      </c>
      <c r="F2638">
        <v>146.36000000000001</v>
      </c>
      <c r="G2638" t="s">
        <v>31</v>
      </c>
      <c r="H2638" t="s">
        <v>15</v>
      </c>
      <c r="I2638">
        <v>4.5999999999999996</v>
      </c>
      <c r="J2638">
        <v>10</v>
      </c>
      <c r="K2638">
        <v>5</v>
      </c>
    </row>
    <row r="2639" spans="1:11" x14ac:dyDescent="0.35">
      <c r="A2639">
        <v>2638</v>
      </c>
      <c r="B2639">
        <v>61</v>
      </c>
      <c r="C2639" t="s">
        <v>16</v>
      </c>
      <c r="D2639" t="s">
        <v>20</v>
      </c>
      <c r="E2639" t="s">
        <v>36</v>
      </c>
      <c r="F2639">
        <v>237.45</v>
      </c>
      <c r="G2639" t="s">
        <v>31</v>
      </c>
      <c r="H2639" t="s">
        <v>15</v>
      </c>
      <c r="I2639">
        <v>5</v>
      </c>
      <c r="J2639">
        <v>24</v>
      </c>
      <c r="K2639">
        <v>7</v>
      </c>
    </row>
    <row r="2640" spans="1:11" x14ac:dyDescent="0.35">
      <c r="A2640">
        <v>2639</v>
      </c>
      <c r="B2640">
        <v>63</v>
      </c>
      <c r="C2640" t="s">
        <v>11</v>
      </c>
      <c r="D2640" t="s">
        <v>29</v>
      </c>
      <c r="E2640" t="s">
        <v>30</v>
      </c>
      <c r="F2640">
        <v>85.28</v>
      </c>
      <c r="G2640" t="s">
        <v>31</v>
      </c>
      <c r="H2640" t="s">
        <v>15</v>
      </c>
      <c r="I2640">
        <v>4.9000000000000004</v>
      </c>
      <c r="J2640">
        <v>20</v>
      </c>
      <c r="K2640">
        <v>10</v>
      </c>
    </row>
    <row r="2641" spans="1:11" x14ac:dyDescent="0.35">
      <c r="A2641">
        <v>2640</v>
      </c>
      <c r="B2641">
        <v>45</v>
      </c>
      <c r="C2641" t="s">
        <v>16</v>
      </c>
      <c r="D2641" t="s">
        <v>27</v>
      </c>
      <c r="E2641" t="s">
        <v>49</v>
      </c>
      <c r="F2641">
        <v>1766.89</v>
      </c>
      <c r="G2641" t="s">
        <v>14</v>
      </c>
      <c r="H2641" t="s">
        <v>15</v>
      </c>
      <c r="I2641">
        <v>4.5</v>
      </c>
      <c r="J2641">
        <v>20</v>
      </c>
      <c r="K2641">
        <v>5</v>
      </c>
    </row>
    <row r="2642" spans="1:11" x14ac:dyDescent="0.35">
      <c r="A2642">
        <v>2641</v>
      </c>
      <c r="B2642">
        <v>26</v>
      </c>
      <c r="C2642" t="s">
        <v>11</v>
      </c>
      <c r="D2642" t="s">
        <v>41</v>
      </c>
      <c r="E2642" t="s">
        <v>44</v>
      </c>
      <c r="F2642">
        <v>56.74</v>
      </c>
      <c r="G2642" t="s">
        <v>31</v>
      </c>
      <c r="H2642" t="s">
        <v>37</v>
      </c>
      <c r="I2642">
        <v>3.8</v>
      </c>
      <c r="J2642">
        <v>19</v>
      </c>
      <c r="K2642">
        <v>7</v>
      </c>
    </row>
    <row r="2643" spans="1:11" x14ac:dyDescent="0.35">
      <c r="A2643">
        <v>2642</v>
      </c>
      <c r="B2643">
        <v>48</v>
      </c>
      <c r="C2643" t="s">
        <v>11</v>
      </c>
      <c r="D2643" t="s">
        <v>29</v>
      </c>
      <c r="E2643" t="s">
        <v>51</v>
      </c>
      <c r="F2643">
        <v>39.32</v>
      </c>
      <c r="G2643" t="s">
        <v>24</v>
      </c>
      <c r="H2643" t="s">
        <v>37</v>
      </c>
      <c r="I2643">
        <v>4.2</v>
      </c>
      <c r="J2643">
        <v>13</v>
      </c>
      <c r="K2643">
        <v>4</v>
      </c>
    </row>
    <row r="2644" spans="1:11" x14ac:dyDescent="0.35">
      <c r="A2644">
        <v>2643</v>
      </c>
      <c r="B2644">
        <v>64</v>
      </c>
      <c r="C2644" t="s">
        <v>11</v>
      </c>
      <c r="D2644" t="s">
        <v>12</v>
      </c>
      <c r="E2644" t="s">
        <v>13</v>
      </c>
      <c r="F2644">
        <v>98.93</v>
      </c>
      <c r="G2644" t="s">
        <v>19</v>
      </c>
      <c r="H2644" t="s">
        <v>37</v>
      </c>
      <c r="I2644">
        <v>3.9</v>
      </c>
      <c r="J2644">
        <v>16</v>
      </c>
      <c r="K2644">
        <v>3</v>
      </c>
    </row>
    <row r="2645" spans="1:11" x14ac:dyDescent="0.35">
      <c r="A2645">
        <v>2644</v>
      </c>
      <c r="B2645">
        <v>61</v>
      </c>
      <c r="C2645" t="s">
        <v>16</v>
      </c>
      <c r="D2645" t="s">
        <v>25</v>
      </c>
      <c r="E2645" t="s">
        <v>54</v>
      </c>
      <c r="F2645">
        <v>57.47</v>
      </c>
      <c r="G2645" t="s">
        <v>31</v>
      </c>
      <c r="H2645" t="s">
        <v>37</v>
      </c>
      <c r="I2645">
        <v>3.4</v>
      </c>
      <c r="J2645">
        <v>18</v>
      </c>
      <c r="K2645">
        <v>4</v>
      </c>
    </row>
    <row r="2646" spans="1:11" x14ac:dyDescent="0.35">
      <c r="A2646">
        <v>2645</v>
      </c>
      <c r="B2646">
        <v>36</v>
      </c>
      <c r="C2646" t="s">
        <v>11</v>
      </c>
      <c r="D2646" t="s">
        <v>25</v>
      </c>
      <c r="E2646" t="s">
        <v>47</v>
      </c>
      <c r="F2646">
        <v>57.01</v>
      </c>
      <c r="G2646" t="s">
        <v>14</v>
      </c>
      <c r="H2646" t="s">
        <v>15</v>
      </c>
      <c r="I2646">
        <v>3.9</v>
      </c>
      <c r="J2646">
        <v>6</v>
      </c>
      <c r="K2646">
        <v>3</v>
      </c>
    </row>
    <row r="2647" spans="1:11" x14ac:dyDescent="0.35">
      <c r="A2647">
        <v>2646</v>
      </c>
      <c r="B2647">
        <v>64</v>
      </c>
      <c r="C2647" t="s">
        <v>16</v>
      </c>
      <c r="D2647" t="s">
        <v>17</v>
      </c>
      <c r="E2647" t="s">
        <v>35</v>
      </c>
      <c r="F2647">
        <v>150.52000000000001</v>
      </c>
      <c r="G2647" t="s">
        <v>24</v>
      </c>
      <c r="H2647" t="s">
        <v>15</v>
      </c>
      <c r="I2647">
        <v>4.3</v>
      </c>
      <c r="J2647">
        <v>18</v>
      </c>
      <c r="K2647">
        <v>4</v>
      </c>
    </row>
    <row r="2648" spans="1:11" x14ac:dyDescent="0.35">
      <c r="A2648">
        <v>2647</v>
      </c>
      <c r="B2648">
        <v>50</v>
      </c>
      <c r="C2648" t="s">
        <v>11</v>
      </c>
      <c r="D2648" t="s">
        <v>29</v>
      </c>
      <c r="E2648" t="s">
        <v>30</v>
      </c>
      <c r="F2648">
        <v>58.55</v>
      </c>
      <c r="G2648" t="s">
        <v>19</v>
      </c>
      <c r="H2648" t="s">
        <v>15</v>
      </c>
      <c r="I2648">
        <v>3.4</v>
      </c>
      <c r="J2648">
        <v>19</v>
      </c>
      <c r="K2648">
        <v>7</v>
      </c>
    </row>
    <row r="2649" spans="1:11" x14ac:dyDescent="0.35">
      <c r="A2649">
        <v>2648</v>
      </c>
      <c r="B2649">
        <v>64</v>
      </c>
      <c r="C2649" t="s">
        <v>11</v>
      </c>
      <c r="D2649" t="s">
        <v>41</v>
      </c>
      <c r="E2649" t="s">
        <v>44</v>
      </c>
      <c r="F2649">
        <v>32.29</v>
      </c>
      <c r="G2649" t="s">
        <v>24</v>
      </c>
      <c r="H2649" t="s">
        <v>37</v>
      </c>
      <c r="I2649">
        <v>4.2</v>
      </c>
      <c r="J2649">
        <v>12</v>
      </c>
      <c r="K2649">
        <v>6</v>
      </c>
    </row>
    <row r="2650" spans="1:11" x14ac:dyDescent="0.35">
      <c r="A2650">
        <v>2649</v>
      </c>
      <c r="B2650">
        <v>65</v>
      </c>
      <c r="C2650" t="s">
        <v>16</v>
      </c>
      <c r="D2650" t="s">
        <v>27</v>
      </c>
      <c r="E2650" t="s">
        <v>28</v>
      </c>
      <c r="F2650">
        <v>1042.54</v>
      </c>
      <c r="G2650" t="s">
        <v>14</v>
      </c>
      <c r="H2650" t="s">
        <v>15</v>
      </c>
      <c r="I2650">
        <v>3.7</v>
      </c>
      <c r="J2650">
        <v>12</v>
      </c>
      <c r="K2650">
        <v>6</v>
      </c>
    </row>
    <row r="2651" spans="1:11" x14ac:dyDescent="0.35">
      <c r="A2651">
        <v>2650</v>
      </c>
      <c r="B2651">
        <v>69</v>
      </c>
      <c r="C2651" t="s">
        <v>11</v>
      </c>
      <c r="D2651" t="s">
        <v>25</v>
      </c>
      <c r="E2651" t="s">
        <v>57</v>
      </c>
      <c r="F2651">
        <v>26.45</v>
      </c>
      <c r="G2651" t="s">
        <v>31</v>
      </c>
      <c r="H2651" t="s">
        <v>37</v>
      </c>
      <c r="I2651">
        <v>4.5</v>
      </c>
      <c r="J2651">
        <v>20</v>
      </c>
      <c r="K2651">
        <v>5</v>
      </c>
    </row>
    <row r="2652" spans="1:11" x14ac:dyDescent="0.35">
      <c r="A2652">
        <v>2651</v>
      </c>
      <c r="B2652">
        <v>32</v>
      </c>
      <c r="C2652" t="s">
        <v>11</v>
      </c>
      <c r="D2652" t="s">
        <v>33</v>
      </c>
      <c r="E2652" t="s">
        <v>38</v>
      </c>
      <c r="F2652">
        <v>90.64</v>
      </c>
      <c r="G2652" t="s">
        <v>31</v>
      </c>
      <c r="H2652" t="s">
        <v>37</v>
      </c>
      <c r="I2652">
        <v>3.7</v>
      </c>
      <c r="J2652">
        <v>17</v>
      </c>
      <c r="K2652">
        <v>6</v>
      </c>
    </row>
    <row r="2653" spans="1:11" x14ac:dyDescent="0.35">
      <c r="A2653">
        <v>2652</v>
      </c>
      <c r="B2653">
        <v>33</v>
      </c>
      <c r="C2653" t="s">
        <v>16</v>
      </c>
      <c r="D2653" t="s">
        <v>33</v>
      </c>
      <c r="E2653" t="s">
        <v>34</v>
      </c>
      <c r="F2653">
        <v>44.23</v>
      </c>
      <c r="G2653" t="s">
        <v>19</v>
      </c>
      <c r="H2653" t="s">
        <v>37</v>
      </c>
      <c r="I2653">
        <v>2.4</v>
      </c>
      <c r="J2653">
        <v>8</v>
      </c>
      <c r="K2653">
        <v>4</v>
      </c>
    </row>
    <row r="2654" spans="1:11" x14ac:dyDescent="0.35">
      <c r="A2654">
        <v>2653</v>
      </c>
      <c r="B2654">
        <v>58</v>
      </c>
      <c r="C2654" t="s">
        <v>16</v>
      </c>
      <c r="D2654" t="s">
        <v>33</v>
      </c>
      <c r="E2654" t="s">
        <v>34</v>
      </c>
      <c r="F2654">
        <v>54.47</v>
      </c>
      <c r="G2654" t="s">
        <v>14</v>
      </c>
      <c r="H2654" t="s">
        <v>15</v>
      </c>
      <c r="I2654">
        <v>3.1</v>
      </c>
      <c r="J2654">
        <v>12</v>
      </c>
      <c r="K2654">
        <v>6</v>
      </c>
    </row>
    <row r="2655" spans="1:11" x14ac:dyDescent="0.35">
      <c r="A2655">
        <v>2654</v>
      </c>
      <c r="B2655">
        <v>51</v>
      </c>
      <c r="C2655" t="s">
        <v>11</v>
      </c>
      <c r="D2655" t="s">
        <v>12</v>
      </c>
      <c r="E2655" t="s">
        <v>56</v>
      </c>
      <c r="F2655">
        <v>121.74</v>
      </c>
      <c r="G2655" t="s">
        <v>24</v>
      </c>
      <c r="H2655" t="s">
        <v>15</v>
      </c>
      <c r="I2655">
        <v>4.5999999999999996</v>
      </c>
      <c r="J2655">
        <v>4</v>
      </c>
      <c r="K2655">
        <v>2</v>
      </c>
    </row>
    <row r="2656" spans="1:11" x14ac:dyDescent="0.35">
      <c r="A2656">
        <v>2655</v>
      </c>
      <c r="B2656">
        <v>69</v>
      </c>
      <c r="C2656" t="s">
        <v>11</v>
      </c>
      <c r="D2656" t="s">
        <v>22</v>
      </c>
      <c r="E2656" t="s">
        <v>52</v>
      </c>
      <c r="F2656">
        <v>51.27</v>
      </c>
      <c r="G2656" t="s">
        <v>31</v>
      </c>
      <c r="H2656" t="s">
        <v>15</v>
      </c>
      <c r="I2656">
        <v>3.9</v>
      </c>
      <c r="J2656">
        <v>16</v>
      </c>
      <c r="K2656">
        <v>3</v>
      </c>
    </row>
    <row r="2657" spans="1:11" x14ac:dyDescent="0.35">
      <c r="A2657">
        <v>2656</v>
      </c>
      <c r="B2657">
        <v>39</v>
      </c>
      <c r="C2657" t="s">
        <v>16</v>
      </c>
      <c r="D2657" t="s">
        <v>22</v>
      </c>
      <c r="E2657" t="s">
        <v>43</v>
      </c>
      <c r="F2657">
        <v>188.31</v>
      </c>
      <c r="G2657" t="s">
        <v>14</v>
      </c>
      <c r="H2657" t="s">
        <v>15</v>
      </c>
      <c r="I2657">
        <v>2.8</v>
      </c>
      <c r="J2657">
        <v>8</v>
      </c>
      <c r="K2657">
        <v>4</v>
      </c>
    </row>
    <row r="2658" spans="1:11" x14ac:dyDescent="0.35">
      <c r="A2658">
        <v>2657</v>
      </c>
      <c r="B2658">
        <v>63</v>
      </c>
      <c r="C2658" t="s">
        <v>11</v>
      </c>
      <c r="D2658" t="s">
        <v>33</v>
      </c>
      <c r="E2658" t="s">
        <v>38</v>
      </c>
      <c r="F2658">
        <v>230.43</v>
      </c>
      <c r="G2658" t="s">
        <v>24</v>
      </c>
      <c r="H2658" t="s">
        <v>15</v>
      </c>
      <c r="I2658">
        <v>3.8</v>
      </c>
      <c r="J2658">
        <v>8</v>
      </c>
      <c r="K2658">
        <v>4</v>
      </c>
    </row>
    <row r="2659" spans="1:11" x14ac:dyDescent="0.35">
      <c r="A2659">
        <v>2658</v>
      </c>
      <c r="B2659">
        <v>56</v>
      </c>
      <c r="C2659" t="s">
        <v>16</v>
      </c>
      <c r="D2659" t="s">
        <v>17</v>
      </c>
      <c r="E2659" t="s">
        <v>35</v>
      </c>
      <c r="F2659">
        <v>47.11</v>
      </c>
      <c r="G2659" t="s">
        <v>19</v>
      </c>
      <c r="H2659" t="s">
        <v>37</v>
      </c>
      <c r="I2659">
        <v>4.4000000000000004</v>
      </c>
      <c r="J2659">
        <v>8</v>
      </c>
      <c r="K2659">
        <v>4</v>
      </c>
    </row>
    <row r="2660" spans="1:11" x14ac:dyDescent="0.35">
      <c r="A2660">
        <v>2659</v>
      </c>
      <c r="B2660">
        <v>70</v>
      </c>
      <c r="C2660" t="s">
        <v>11</v>
      </c>
      <c r="D2660" t="s">
        <v>41</v>
      </c>
      <c r="E2660" t="s">
        <v>42</v>
      </c>
      <c r="F2660">
        <v>30.45</v>
      </c>
      <c r="G2660" t="s">
        <v>24</v>
      </c>
      <c r="H2660" t="s">
        <v>15</v>
      </c>
      <c r="I2660">
        <v>3.8</v>
      </c>
      <c r="J2660">
        <v>12</v>
      </c>
      <c r="K2660">
        <v>6</v>
      </c>
    </row>
    <row r="2661" spans="1:11" x14ac:dyDescent="0.35">
      <c r="A2661">
        <v>2660</v>
      </c>
      <c r="B2661">
        <v>50</v>
      </c>
      <c r="C2661" t="s">
        <v>11</v>
      </c>
      <c r="D2661" t="s">
        <v>29</v>
      </c>
      <c r="E2661" t="s">
        <v>55</v>
      </c>
      <c r="F2661">
        <v>54.62</v>
      </c>
      <c r="G2661" t="s">
        <v>19</v>
      </c>
      <c r="H2661" t="s">
        <v>37</v>
      </c>
      <c r="I2661">
        <v>4.0999999999999996</v>
      </c>
      <c r="J2661">
        <v>16</v>
      </c>
      <c r="K2661">
        <v>3</v>
      </c>
    </row>
    <row r="2662" spans="1:11" x14ac:dyDescent="0.35">
      <c r="A2662">
        <v>2661</v>
      </c>
      <c r="B2662">
        <v>45</v>
      </c>
      <c r="C2662" t="s">
        <v>16</v>
      </c>
      <c r="D2662" t="s">
        <v>25</v>
      </c>
      <c r="E2662" t="s">
        <v>54</v>
      </c>
      <c r="F2662">
        <v>5.85</v>
      </c>
      <c r="G2662" t="s">
        <v>24</v>
      </c>
      <c r="H2662" t="s">
        <v>15</v>
      </c>
      <c r="I2662">
        <v>4.5</v>
      </c>
      <c r="J2662">
        <v>13</v>
      </c>
      <c r="K2662">
        <v>4</v>
      </c>
    </row>
    <row r="2663" spans="1:11" x14ac:dyDescent="0.35">
      <c r="A2663">
        <v>2662</v>
      </c>
      <c r="B2663">
        <v>55</v>
      </c>
      <c r="C2663" t="s">
        <v>16</v>
      </c>
      <c r="D2663" t="s">
        <v>20</v>
      </c>
      <c r="E2663" t="s">
        <v>39</v>
      </c>
      <c r="F2663">
        <v>175.82</v>
      </c>
      <c r="G2663" t="s">
        <v>31</v>
      </c>
      <c r="H2663" t="s">
        <v>15</v>
      </c>
      <c r="I2663">
        <v>4.5999999999999996</v>
      </c>
      <c r="J2663">
        <v>7</v>
      </c>
      <c r="K2663">
        <v>1</v>
      </c>
    </row>
    <row r="2664" spans="1:11" x14ac:dyDescent="0.35">
      <c r="A2664">
        <v>2663</v>
      </c>
      <c r="B2664">
        <v>26</v>
      </c>
      <c r="C2664" t="s">
        <v>16</v>
      </c>
      <c r="D2664" t="s">
        <v>20</v>
      </c>
      <c r="E2664" t="s">
        <v>39</v>
      </c>
      <c r="F2664">
        <v>34.479999999999997</v>
      </c>
      <c r="G2664" t="s">
        <v>14</v>
      </c>
      <c r="H2664" t="s">
        <v>37</v>
      </c>
      <c r="I2664">
        <v>4</v>
      </c>
      <c r="J2664">
        <v>17</v>
      </c>
      <c r="K2664">
        <v>6</v>
      </c>
    </row>
    <row r="2665" spans="1:11" x14ac:dyDescent="0.35">
      <c r="A2665">
        <v>2664</v>
      </c>
      <c r="B2665">
        <v>69</v>
      </c>
      <c r="C2665" t="s">
        <v>16</v>
      </c>
      <c r="D2665" t="s">
        <v>27</v>
      </c>
      <c r="E2665" t="s">
        <v>28</v>
      </c>
      <c r="F2665">
        <v>2410.79</v>
      </c>
      <c r="G2665" t="s">
        <v>24</v>
      </c>
      <c r="H2665" t="s">
        <v>15</v>
      </c>
      <c r="I2665">
        <v>4.3</v>
      </c>
      <c r="J2665">
        <v>16</v>
      </c>
      <c r="K2665">
        <v>8</v>
      </c>
    </row>
    <row r="2666" spans="1:11" x14ac:dyDescent="0.35">
      <c r="A2666">
        <v>2665</v>
      </c>
      <c r="B2666">
        <v>64</v>
      </c>
      <c r="C2666" t="s">
        <v>16</v>
      </c>
      <c r="D2666" t="s">
        <v>20</v>
      </c>
      <c r="E2666" t="s">
        <v>21</v>
      </c>
      <c r="F2666">
        <v>232.53</v>
      </c>
      <c r="G2666" t="s">
        <v>14</v>
      </c>
      <c r="H2666" t="s">
        <v>15</v>
      </c>
      <c r="I2666">
        <v>4.3</v>
      </c>
      <c r="J2666">
        <v>19</v>
      </c>
      <c r="K2666">
        <v>7</v>
      </c>
    </row>
    <row r="2667" spans="1:11" x14ac:dyDescent="0.35">
      <c r="A2667">
        <v>2666</v>
      </c>
      <c r="B2667">
        <v>31</v>
      </c>
      <c r="C2667" t="s">
        <v>16</v>
      </c>
      <c r="D2667" t="s">
        <v>33</v>
      </c>
      <c r="E2667" t="s">
        <v>38</v>
      </c>
      <c r="F2667">
        <v>112.63</v>
      </c>
      <c r="G2667" t="s">
        <v>14</v>
      </c>
      <c r="H2667" t="s">
        <v>15</v>
      </c>
      <c r="I2667">
        <v>2.7</v>
      </c>
      <c r="J2667">
        <v>8</v>
      </c>
      <c r="K2667">
        <v>4</v>
      </c>
    </row>
    <row r="2668" spans="1:11" x14ac:dyDescent="0.35">
      <c r="A2668">
        <v>2667</v>
      </c>
      <c r="B2668">
        <v>60</v>
      </c>
      <c r="C2668" t="s">
        <v>11</v>
      </c>
      <c r="D2668" t="s">
        <v>12</v>
      </c>
      <c r="E2668" t="s">
        <v>13</v>
      </c>
      <c r="F2668">
        <v>138.91</v>
      </c>
      <c r="G2668" t="s">
        <v>14</v>
      </c>
      <c r="H2668" t="s">
        <v>15</v>
      </c>
      <c r="I2668">
        <v>4.4000000000000004</v>
      </c>
      <c r="J2668">
        <v>13</v>
      </c>
      <c r="K2668">
        <v>4</v>
      </c>
    </row>
    <row r="2669" spans="1:11" x14ac:dyDescent="0.35">
      <c r="A2669">
        <v>2668</v>
      </c>
      <c r="B2669">
        <v>26</v>
      </c>
      <c r="C2669" t="s">
        <v>16</v>
      </c>
      <c r="D2669" t="s">
        <v>33</v>
      </c>
      <c r="E2669" t="s">
        <v>38</v>
      </c>
      <c r="F2669">
        <v>221.47</v>
      </c>
      <c r="G2669" t="s">
        <v>14</v>
      </c>
      <c r="H2669" t="s">
        <v>15</v>
      </c>
      <c r="I2669">
        <v>3.1</v>
      </c>
      <c r="J2669">
        <v>12</v>
      </c>
      <c r="K2669">
        <v>6</v>
      </c>
    </row>
    <row r="2670" spans="1:11" x14ac:dyDescent="0.35">
      <c r="A2670">
        <v>2669</v>
      </c>
      <c r="B2670">
        <v>21</v>
      </c>
      <c r="C2670" t="s">
        <v>11</v>
      </c>
      <c r="D2670" t="s">
        <v>41</v>
      </c>
      <c r="E2670" t="s">
        <v>42</v>
      </c>
      <c r="F2670">
        <v>52.43</v>
      </c>
      <c r="G2670" t="s">
        <v>14</v>
      </c>
      <c r="H2670" t="s">
        <v>37</v>
      </c>
      <c r="I2670">
        <v>3.6</v>
      </c>
      <c r="J2670">
        <v>25</v>
      </c>
      <c r="K2670">
        <v>10</v>
      </c>
    </row>
    <row r="2671" spans="1:11" x14ac:dyDescent="0.35">
      <c r="A2671">
        <v>2670</v>
      </c>
      <c r="B2671">
        <v>37</v>
      </c>
      <c r="C2671" t="s">
        <v>16</v>
      </c>
      <c r="D2671" t="s">
        <v>20</v>
      </c>
      <c r="E2671" t="s">
        <v>39</v>
      </c>
      <c r="F2671">
        <v>172.83</v>
      </c>
      <c r="G2671" t="s">
        <v>19</v>
      </c>
      <c r="H2671" t="s">
        <v>15</v>
      </c>
      <c r="I2671">
        <v>3.1</v>
      </c>
      <c r="J2671">
        <v>22</v>
      </c>
      <c r="K2671">
        <v>6</v>
      </c>
    </row>
    <row r="2672" spans="1:11" x14ac:dyDescent="0.35">
      <c r="A2672">
        <v>2671</v>
      </c>
      <c r="B2672">
        <v>35</v>
      </c>
      <c r="C2672" t="s">
        <v>11</v>
      </c>
      <c r="D2672" t="s">
        <v>22</v>
      </c>
      <c r="E2672" t="s">
        <v>23</v>
      </c>
      <c r="F2672">
        <v>217.67</v>
      </c>
      <c r="G2672" t="s">
        <v>24</v>
      </c>
      <c r="H2672" t="s">
        <v>15</v>
      </c>
      <c r="I2672">
        <v>3.5</v>
      </c>
      <c r="J2672">
        <v>10</v>
      </c>
      <c r="K2672">
        <v>5</v>
      </c>
    </row>
    <row r="2673" spans="1:11" x14ac:dyDescent="0.35">
      <c r="A2673">
        <v>2672</v>
      </c>
      <c r="B2673">
        <v>29</v>
      </c>
      <c r="C2673" t="s">
        <v>16</v>
      </c>
      <c r="D2673" t="s">
        <v>33</v>
      </c>
      <c r="E2673" t="s">
        <v>40</v>
      </c>
      <c r="F2673">
        <v>217.41</v>
      </c>
      <c r="G2673" t="s">
        <v>14</v>
      </c>
      <c r="H2673" t="s">
        <v>15</v>
      </c>
      <c r="I2673">
        <v>4.3</v>
      </c>
      <c r="J2673">
        <v>14</v>
      </c>
      <c r="K2673">
        <v>7</v>
      </c>
    </row>
    <row r="2674" spans="1:11" x14ac:dyDescent="0.35">
      <c r="A2674">
        <v>2673</v>
      </c>
      <c r="B2674">
        <v>41</v>
      </c>
      <c r="C2674" t="s">
        <v>16</v>
      </c>
      <c r="D2674" t="s">
        <v>33</v>
      </c>
      <c r="E2674" t="s">
        <v>40</v>
      </c>
      <c r="F2674">
        <v>171.5</v>
      </c>
      <c r="G2674" t="s">
        <v>24</v>
      </c>
      <c r="H2674" t="s">
        <v>15</v>
      </c>
      <c r="I2674">
        <v>3.3</v>
      </c>
      <c r="J2674">
        <v>19</v>
      </c>
      <c r="K2674">
        <v>7</v>
      </c>
    </row>
    <row r="2675" spans="1:11" x14ac:dyDescent="0.35">
      <c r="A2675">
        <v>2674</v>
      </c>
      <c r="B2675">
        <v>35</v>
      </c>
      <c r="C2675" t="s">
        <v>16</v>
      </c>
      <c r="D2675" t="s">
        <v>27</v>
      </c>
      <c r="E2675" t="s">
        <v>49</v>
      </c>
      <c r="F2675">
        <v>2366.84</v>
      </c>
      <c r="G2675" t="s">
        <v>24</v>
      </c>
      <c r="H2675" t="s">
        <v>15</v>
      </c>
      <c r="I2675">
        <v>3.6</v>
      </c>
      <c r="J2675">
        <v>26</v>
      </c>
      <c r="K2675">
        <v>8</v>
      </c>
    </row>
    <row r="2676" spans="1:11" x14ac:dyDescent="0.35">
      <c r="A2676">
        <v>2675</v>
      </c>
      <c r="B2676">
        <v>70</v>
      </c>
      <c r="C2676" t="s">
        <v>11</v>
      </c>
      <c r="D2676" t="s">
        <v>12</v>
      </c>
      <c r="E2676" t="s">
        <v>56</v>
      </c>
      <c r="F2676">
        <v>169.45</v>
      </c>
      <c r="G2676" t="s">
        <v>19</v>
      </c>
      <c r="H2676" t="s">
        <v>15</v>
      </c>
      <c r="I2676">
        <v>3.1</v>
      </c>
      <c r="J2676">
        <v>15</v>
      </c>
      <c r="K2676">
        <v>5</v>
      </c>
    </row>
    <row r="2677" spans="1:11" x14ac:dyDescent="0.35">
      <c r="A2677">
        <v>2676</v>
      </c>
      <c r="B2677">
        <v>50</v>
      </c>
      <c r="C2677" t="s">
        <v>11</v>
      </c>
      <c r="D2677" t="s">
        <v>12</v>
      </c>
      <c r="E2677" t="s">
        <v>13</v>
      </c>
      <c r="F2677">
        <v>51.73</v>
      </c>
      <c r="G2677" t="s">
        <v>14</v>
      </c>
      <c r="H2677" t="s">
        <v>37</v>
      </c>
      <c r="I2677">
        <v>3.4</v>
      </c>
      <c r="J2677">
        <v>10</v>
      </c>
      <c r="K2677">
        <v>5</v>
      </c>
    </row>
    <row r="2678" spans="1:11" x14ac:dyDescent="0.35">
      <c r="A2678">
        <v>2677</v>
      </c>
      <c r="B2678">
        <v>43</v>
      </c>
      <c r="C2678" t="s">
        <v>11</v>
      </c>
      <c r="D2678" t="s">
        <v>33</v>
      </c>
      <c r="E2678" t="s">
        <v>34</v>
      </c>
      <c r="F2678">
        <v>111.39</v>
      </c>
      <c r="G2678" t="s">
        <v>14</v>
      </c>
      <c r="H2678" t="s">
        <v>15</v>
      </c>
      <c r="I2678">
        <v>2.8</v>
      </c>
      <c r="J2678">
        <v>6</v>
      </c>
      <c r="K2678">
        <v>3</v>
      </c>
    </row>
    <row r="2679" spans="1:11" x14ac:dyDescent="0.35">
      <c r="A2679">
        <v>2678</v>
      </c>
      <c r="B2679">
        <v>40</v>
      </c>
      <c r="C2679" t="s">
        <v>11</v>
      </c>
      <c r="D2679" t="s">
        <v>33</v>
      </c>
      <c r="E2679" t="s">
        <v>40</v>
      </c>
      <c r="F2679">
        <v>184.33</v>
      </c>
      <c r="G2679" t="s">
        <v>31</v>
      </c>
      <c r="H2679" t="s">
        <v>15</v>
      </c>
      <c r="I2679">
        <v>4.3</v>
      </c>
      <c r="J2679">
        <v>26</v>
      </c>
      <c r="K2679">
        <v>8</v>
      </c>
    </row>
    <row r="2680" spans="1:11" x14ac:dyDescent="0.35">
      <c r="A2680">
        <v>2679</v>
      </c>
      <c r="B2680">
        <v>32</v>
      </c>
      <c r="C2680" t="s">
        <v>11</v>
      </c>
      <c r="D2680" t="s">
        <v>41</v>
      </c>
      <c r="E2680" t="s">
        <v>46</v>
      </c>
      <c r="F2680">
        <v>110.27</v>
      </c>
      <c r="G2680" t="s">
        <v>24</v>
      </c>
      <c r="H2680" t="s">
        <v>15</v>
      </c>
      <c r="I2680">
        <v>4.4000000000000004</v>
      </c>
      <c r="J2680">
        <v>18</v>
      </c>
      <c r="K2680">
        <v>4</v>
      </c>
    </row>
    <row r="2681" spans="1:11" x14ac:dyDescent="0.35">
      <c r="A2681">
        <v>2680</v>
      </c>
      <c r="B2681">
        <v>61</v>
      </c>
      <c r="C2681" t="s">
        <v>11</v>
      </c>
      <c r="D2681" t="s">
        <v>41</v>
      </c>
      <c r="E2681" t="s">
        <v>45</v>
      </c>
      <c r="F2681">
        <v>79.69</v>
      </c>
      <c r="G2681" t="s">
        <v>14</v>
      </c>
      <c r="H2681" t="s">
        <v>37</v>
      </c>
      <c r="I2681">
        <v>3.3</v>
      </c>
      <c r="J2681">
        <v>18</v>
      </c>
      <c r="K2681">
        <v>4</v>
      </c>
    </row>
    <row r="2682" spans="1:11" x14ac:dyDescent="0.35">
      <c r="A2682">
        <v>2681</v>
      </c>
      <c r="B2682">
        <v>54</v>
      </c>
      <c r="C2682" t="s">
        <v>11</v>
      </c>
      <c r="D2682" t="s">
        <v>29</v>
      </c>
      <c r="E2682" t="s">
        <v>30</v>
      </c>
      <c r="F2682">
        <v>125.21</v>
      </c>
      <c r="G2682" t="s">
        <v>14</v>
      </c>
      <c r="H2682" t="s">
        <v>15</v>
      </c>
      <c r="I2682">
        <v>4.0999999999999996</v>
      </c>
      <c r="J2682">
        <v>8</v>
      </c>
      <c r="K2682">
        <v>4</v>
      </c>
    </row>
    <row r="2683" spans="1:11" x14ac:dyDescent="0.35">
      <c r="A2683">
        <v>2682</v>
      </c>
      <c r="B2683">
        <v>66</v>
      </c>
      <c r="C2683" t="s">
        <v>16</v>
      </c>
      <c r="D2683" t="s">
        <v>25</v>
      </c>
      <c r="E2683" t="s">
        <v>57</v>
      </c>
      <c r="F2683">
        <v>5.08</v>
      </c>
      <c r="G2683" t="s">
        <v>24</v>
      </c>
      <c r="H2683" t="s">
        <v>37</v>
      </c>
      <c r="I2683">
        <v>4.9000000000000004</v>
      </c>
      <c r="J2683">
        <v>17</v>
      </c>
      <c r="K2683">
        <v>6</v>
      </c>
    </row>
    <row r="2684" spans="1:11" x14ac:dyDescent="0.35">
      <c r="A2684">
        <v>2683</v>
      </c>
      <c r="B2684">
        <v>69</v>
      </c>
      <c r="C2684" t="s">
        <v>11</v>
      </c>
      <c r="D2684" t="s">
        <v>33</v>
      </c>
      <c r="E2684" t="s">
        <v>40</v>
      </c>
      <c r="F2684">
        <v>228.38</v>
      </c>
      <c r="G2684" t="s">
        <v>14</v>
      </c>
      <c r="H2684" t="s">
        <v>15</v>
      </c>
      <c r="I2684">
        <v>4</v>
      </c>
      <c r="J2684">
        <v>14</v>
      </c>
      <c r="K2684">
        <v>7</v>
      </c>
    </row>
    <row r="2685" spans="1:11" x14ac:dyDescent="0.35">
      <c r="A2685">
        <v>2684</v>
      </c>
      <c r="B2685">
        <v>27</v>
      </c>
      <c r="C2685" t="s">
        <v>16</v>
      </c>
      <c r="D2685" t="s">
        <v>33</v>
      </c>
      <c r="E2685" t="s">
        <v>38</v>
      </c>
      <c r="F2685">
        <v>146.57</v>
      </c>
      <c r="G2685" t="s">
        <v>24</v>
      </c>
      <c r="H2685" t="s">
        <v>15</v>
      </c>
      <c r="I2685">
        <v>3.2</v>
      </c>
      <c r="J2685">
        <v>15</v>
      </c>
      <c r="K2685">
        <v>5</v>
      </c>
    </row>
    <row r="2686" spans="1:11" x14ac:dyDescent="0.35">
      <c r="A2686">
        <v>2685</v>
      </c>
      <c r="B2686">
        <v>64</v>
      </c>
      <c r="C2686" t="s">
        <v>11</v>
      </c>
      <c r="D2686" t="s">
        <v>33</v>
      </c>
      <c r="E2686" t="s">
        <v>38</v>
      </c>
      <c r="F2686">
        <v>90.12</v>
      </c>
      <c r="G2686" t="s">
        <v>24</v>
      </c>
      <c r="H2686" t="s">
        <v>15</v>
      </c>
      <c r="I2686">
        <v>5</v>
      </c>
      <c r="J2686">
        <v>13</v>
      </c>
      <c r="K2686">
        <v>4</v>
      </c>
    </row>
    <row r="2687" spans="1:11" x14ac:dyDescent="0.35">
      <c r="A2687">
        <v>2686</v>
      </c>
      <c r="B2687">
        <v>46</v>
      </c>
      <c r="C2687" t="s">
        <v>16</v>
      </c>
      <c r="D2687" t="s">
        <v>20</v>
      </c>
      <c r="E2687" t="s">
        <v>39</v>
      </c>
      <c r="F2687">
        <v>180.39</v>
      </c>
      <c r="G2687" t="s">
        <v>24</v>
      </c>
      <c r="H2687" t="s">
        <v>15</v>
      </c>
      <c r="I2687">
        <v>5</v>
      </c>
      <c r="J2687">
        <v>11</v>
      </c>
      <c r="K2687">
        <v>3</v>
      </c>
    </row>
    <row r="2688" spans="1:11" x14ac:dyDescent="0.35">
      <c r="A2688">
        <v>2687</v>
      </c>
      <c r="B2688">
        <v>21</v>
      </c>
      <c r="C2688" t="s">
        <v>11</v>
      </c>
      <c r="D2688" t="s">
        <v>33</v>
      </c>
      <c r="E2688" t="s">
        <v>38</v>
      </c>
      <c r="F2688">
        <v>234.56</v>
      </c>
      <c r="G2688" t="s">
        <v>31</v>
      </c>
      <c r="H2688" t="s">
        <v>15</v>
      </c>
      <c r="I2688">
        <v>4.0999999999999996</v>
      </c>
      <c r="J2688">
        <v>15</v>
      </c>
      <c r="K2688">
        <v>5</v>
      </c>
    </row>
    <row r="2689" spans="1:11" x14ac:dyDescent="0.35">
      <c r="A2689">
        <v>2688</v>
      </c>
      <c r="B2689">
        <v>31</v>
      </c>
      <c r="C2689" t="s">
        <v>16</v>
      </c>
      <c r="D2689" t="s">
        <v>17</v>
      </c>
      <c r="E2689" t="s">
        <v>42</v>
      </c>
      <c r="F2689">
        <v>172.58</v>
      </c>
      <c r="G2689" t="s">
        <v>14</v>
      </c>
      <c r="H2689" t="s">
        <v>15</v>
      </c>
      <c r="I2689">
        <v>2.4</v>
      </c>
      <c r="J2689">
        <v>18</v>
      </c>
      <c r="K2689">
        <v>4</v>
      </c>
    </row>
    <row r="2690" spans="1:11" x14ac:dyDescent="0.35">
      <c r="A2690">
        <v>2689</v>
      </c>
      <c r="B2690">
        <v>69</v>
      </c>
      <c r="C2690" t="s">
        <v>11</v>
      </c>
      <c r="D2690" t="s">
        <v>33</v>
      </c>
      <c r="E2690" t="s">
        <v>34</v>
      </c>
      <c r="F2690">
        <v>90.11</v>
      </c>
      <c r="G2690" t="s">
        <v>14</v>
      </c>
      <c r="H2690" t="s">
        <v>37</v>
      </c>
      <c r="I2690">
        <v>3.3</v>
      </c>
      <c r="J2690">
        <v>15</v>
      </c>
      <c r="K2690">
        <v>5</v>
      </c>
    </row>
    <row r="2691" spans="1:11" x14ac:dyDescent="0.35">
      <c r="A2691">
        <v>2690</v>
      </c>
      <c r="B2691">
        <v>55</v>
      </c>
      <c r="C2691" t="s">
        <v>11</v>
      </c>
      <c r="D2691" t="s">
        <v>41</v>
      </c>
      <c r="E2691" t="s">
        <v>44</v>
      </c>
      <c r="F2691">
        <v>159.87</v>
      </c>
      <c r="G2691" t="s">
        <v>24</v>
      </c>
      <c r="H2691" t="s">
        <v>15</v>
      </c>
      <c r="I2691">
        <v>3.6</v>
      </c>
      <c r="J2691">
        <v>8</v>
      </c>
      <c r="K2691">
        <v>4</v>
      </c>
    </row>
    <row r="2692" spans="1:11" x14ac:dyDescent="0.35">
      <c r="A2692">
        <v>2691</v>
      </c>
      <c r="B2692">
        <v>50</v>
      </c>
      <c r="C2692" t="s">
        <v>11</v>
      </c>
      <c r="D2692" t="s">
        <v>33</v>
      </c>
      <c r="E2692" t="s">
        <v>38</v>
      </c>
      <c r="F2692">
        <v>95.51</v>
      </c>
      <c r="G2692" t="s">
        <v>19</v>
      </c>
      <c r="H2692" t="s">
        <v>15</v>
      </c>
      <c r="I2692">
        <v>5</v>
      </c>
      <c r="J2692">
        <v>20</v>
      </c>
      <c r="K2692">
        <v>5</v>
      </c>
    </row>
    <row r="2693" spans="1:11" x14ac:dyDescent="0.35">
      <c r="A2693">
        <v>2692</v>
      </c>
      <c r="B2693">
        <v>68</v>
      </c>
      <c r="C2693" t="s">
        <v>16</v>
      </c>
      <c r="D2693" t="s">
        <v>20</v>
      </c>
      <c r="E2693" t="s">
        <v>39</v>
      </c>
      <c r="F2693">
        <v>84.67</v>
      </c>
      <c r="G2693" t="s">
        <v>14</v>
      </c>
      <c r="H2693" t="s">
        <v>15</v>
      </c>
      <c r="I2693">
        <v>3</v>
      </c>
      <c r="J2693">
        <v>13</v>
      </c>
      <c r="K2693">
        <v>4</v>
      </c>
    </row>
    <row r="2694" spans="1:11" x14ac:dyDescent="0.35">
      <c r="A2694">
        <v>2693</v>
      </c>
      <c r="B2694">
        <v>64</v>
      </c>
      <c r="C2694" t="s">
        <v>16</v>
      </c>
      <c r="D2694" t="s">
        <v>20</v>
      </c>
      <c r="E2694" t="s">
        <v>39</v>
      </c>
      <c r="F2694">
        <v>25.56</v>
      </c>
      <c r="G2694" t="s">
        <v>24</v>
      </c>
      <c r="H2694" t="s">
        <v>37</v>
      </c>
      <c r="I2694">
        <v>3.2</v>
      </c>
      <c r="J2694">
        <v>11</v>
      </c>
      <c r="K2694">
        <v>3</v>
      </c>
    </row>
    <row r="2695" spans="1:11" x14ac:dyDescent="0.35">
      <c r="A2695">
        <v>2694</v>
      </c>
      <c r="B2695">
        <v>63</v>
      </c>
      <c r="C2695" t="s">
        <v>11</v>
      </c>
      <c r="D2695" t="s">
        <v>29</v>
      </c>
      <c r="E2695" t="s">
        <v>30</v>
      </c>
      <c r="F2695">
        <v>49.07</v>
      </c>
      <c r="G2695" t="s">
        <v>14</v>
      </c>
      <c r="H2695" t="s">
        <v>15</v>
      </c>
      <c r="I2695">
        <v>4.5999999999999996</v>
      </c>
      <c r="J2695">
        <v>6</v>
      </c>
      <c r="K2695">
        <v>3</v>
      </c>
    </row>
    <row r="2696" spans="1:11" x14ac:dyDescent="0.35">
      <c r="A2696">
        <v>2695</v>
      </c>
      <c r="B2696">
        <v>32</v>
      </c>
      <c r="C2696" t="s">
        <v>16</v>
      </c>
      <c r="D2696" t="s">
        <v>17</v>
      </c>
      <c r="E2696" t="s">
        <v>18</v>
      </c>
      <c r="F2696">
        <v>73.680000000000007</v>
      </c>
      <c r="G2696" t="s">
        <v>19</v>
      </c>
      <c r="H2696" t="s">
        <v>37</v>
      </c>
      <c r="I2696">
        <v>4.5</v>
      </c>
      <c r="J2696">
        <v>22</v>
      </c>
      <c r="K2696">
        <v>6</v>
      </c>
    </row>
    <row r="2697" spans="1:11" x14ac:dyDescent="0.35">
      <c r="A2697">
        <v>2696</v>
      </c>
      <c r="B2697">
        <v>36</v>
      </c>
      <c r="C2697" t="s">
        <v>16</v>
      </c>
      <c r="D2697" t="s">
        <v>20</v>
      </c>
      <c r="E2697" t="s">
        <v>39</v>
      </c>
      <c r="F2697">
        <v>116.83</v>
      </c>
      <c r="G2697" t="s">
        <v>14</v>
      </c>
      <c r="H2697" t="s">
        <v>15</v>
      </c>
      <c r="I2697">
        <v>4</v>
      </c>
      <c r="J2697">
        <v>14</v>
      </c>
      <c r="K2697">
        <v>7</v>
      </c>
    </row>
    <row r="2698" spans="1:11" x14ac:dyDescent="0.35">
      <c r="A2698">
        <v>2697</v>
      </c>
      <c r="B2698">
        <v>49</v>
      </c>
      <c r="C2698" t="s">
        <v>16</v>
      </c>
      <c r="D2698" t="s">
        <v>27</v>
      </c>
      <c r="E2698" t="s">
        <v>28</v>
      </c>
      <c r="F2698">
        <v>1896.33</v>
      </c>
      <c r="G2698" t="s">
        <v>14</v>
      </c>
      <c r="H2698" t="s">
        <v>15</v>
      </c>
      <c r="I2698">
        <v>3.7</v>
      </c>
      <c r="J2698">
        <v>14</v>
      </c>
      <c r="K2698">
        <v>7</v>
      </c>
    </row>
    <row r="2699" spans="1:11" x14ac:dyDescent="0.35">
      <c r="A2699">
        <v>2698</v>
      </c>
      <c r="B2699">
        <v>48</v>
      </c>
      <c r="C2699" t="s">
        <v>11</v>
      </c>
      <c r="D2699" t="s">
        <v>29</v>
      </c>
      <c r="E2699" t="s">
        <v>55</v>
      </c>
      <c r="F2699">
        <v>27.41</v>
      </c>
      <c r="G2699" t="s">
        <v>19</v>
      </c>
      <c r="H2699" t="s">
        <v>15</v>
      </c>
      <c r="I2699">
        <v>5</v>
      </c>
      <c r="J2699">
        <v>14</v>
      </c>
      <c r="K2699">
        <v>2</v>
      </c>
    </row>
    <row r="2700" spans="1:11" x14ac:dyDescent="0.35">
      <c r="A2700">
        <v>2699</v>
      </c>
      <c r="B2700">
        <v>57</v>
      </c>
      <c r="C2700" t="s">
        <v>16</v>
      </c>
      <c r="D2700" t="s">
        <v>17</v>
      </c>
      <c r="E2700" t="s">
        <v>42</v>
      </c>
      <c r="F2700">
        <v>160.88</v>
      </c>
      <c r="G2700" t="s">
        <v>31</v>
      </c>
      <c r="H2700" t="s">
        <v>15</v>
      </c>
      <c r="I2700">
        <v>2.9</v>
      </c>
      <c r="J2700">
        <v>20</v>
      </c>
      <c r="K2700">
        <v>5</v>
      </c>
    </row>
    <row r="2701" spans="1:11" x14ac:dyDescent="0.35">
      <c r="A2701">
        <v>2700</v>
      </c>
      <c r="B2701">
        <v>47</v>
      </c>
      <c r="C2701" t="s">
        <v>11</v>
      </c>
      <c r="D2701" t="s">
        <v>29</v>
      </c>
      <c r="E2701" t="s">
        <v>55</v>
      </c>
      <c r="F2701">
        <v>133.68</v>
      </c>
      <c r="G2701" t="s">
        <v>31</v>
      </c>
      <c r="H2701" t="s">
        <v>15</v>
      </c>
      <c r="I2701">
        <v>4.9000000000000004</v>
      </c>
      <c r="J2701">
        <v>12</v>
      </c>
      <c r="K2701">
        <v>1</v>
      </c>
    </row>
    <row r="2702" spans="1:11" x14ac:dyDescent="0.35">
      <c r="A2702">
        <v>2701</v>
      </c>
      <c r="B2702">
        <v>64</v>
      </c>
      <c r="C2702" t="s">
        <v>16</v>
      </c>
      <c r="D2702" t="s">
        <v>27</v>
      </c>
      <c r="E2702" t="s">
        <v>49</v>
      </c>
      <c r="F2702">
        <v>2526.33</v>
      </c>
      <c r="G2702" t="s">
        <v>19</v>
      </c>
      <c r="H2702" t="s">
        <v>15</v>
      </c>
      <c r="I2702">
        <v>4.7</v>
      </c>
      <c r="J2702">
        <v>11</v>
      </c>
      <c r="K2702">
        <v>3</v>
      </c>
    </row>
    <row r="2703" spans="1:11" x14ac:dyDescent="0.35">
      <c r="A2703">
        <v>2702</v>
      </c>
      <c r="B2703">
        <v>43</v>
      </c>
      <c r="C2703" t="s">
        <v>11</v>
      </c>
      <c r="D2703" t="s">
        <v>29</v>
      </c>
      <c r="E2703" t="s">
        <v>30</v>
      </c>
      <c r="F2703">
        <v>52.38</v>
      </c>
      <c r="G2703" t="s">
        <v>19</v>
      </c>
      <c r="H2703" t="s">
        <v>37</v>
      </c>
      <c r="I2703">
        <v>4.5</v>
      </c>
      <c r="J2703">
        <v>13</v>
      </c>
      <c r="K2703">
        <v>4</v>
      </c>
    </row>
    <row r="2704" spans="1:11" x14ac:dyDescent="0.35">
      <c r="A2704">
        <v>2703</v>
      </c>
      <c r="B2704">
        <v>46</v>
      </c>
      <c r="C2704" t="s">
        <v>16</v>
      </c>
      <c r="D2704" t="s">
        <v>33</v>
      </c>
      <c r="E2704" t="s">
        <v>38</v>
      </c>
      <c r="F2704">
        <v>172.43</v>
      </c>
      <c r="G2704" t="s">
        <v>14</v>
      </c>
      <c r="H2704" t="s">
        <v>15</v>
      </c>
      <c r="I2704">
        <v>3.7</v>
      </c>
      <c r="J2704">
        <v>28</v>
      </c>
      <c r="K2704">
        <v>9</v>
      </c>
    </row>
    <row r="2705" spans="1:11" x14ac:dyDescent="0.35">
      <c r="A2705">
        <v>2704</v>
      </c>
      <c r="B2705">
        <v>31</v>
      </c>
      <c r="C2705" t="s">
        <v>11</v>
      </c>
      <c r="D2705" t="s">
        <v>29</v>
      </c>
      <c r="E2705" t="s">
        <v>30</v>
      </c>
      <c r="F2705">
        <v>22.43</v>
      </c>
      <c r="G2705" t="s">
        <v>19</v>
      </c>
      <c r="H2705" t="s">
        <v>37</v>
      </c>
      <c r="I2705">
        <v>5</v>
      </c>
      <c r="J2705">
        <v>20</v>
      </c>
      <c r="K2705">
        <v>5</v>
      </c>
    </row>
    <row r="2706" spans="1:11" x14ac:dyDescent="0.35">
      <c r="A2706">
        <v>2705</v>
      </c>
      <c r="B2706">
        <v>57</v>
      </c>
      <c r="C2706" t="s">
        <v>11</v>
      </c>
      <c r="D2706" t="s">
        <v>29</v>
      </c>
      <c r="E2706" t="s">
        <v>51</v>
      </c>
      <c r="F2706">
        <v>134.93</v>
      </c>
      <c r="G2706" t="s">
        <v>19</v>
      </c>
      <c r="H2706" t="s">
        <v>15</v>
      </c>
      <c r="I2706">
        <v>4.5</v>
      </c>
      <c r="J2706">
        <v>16</v>
      </c>
      <c r="K2706">
        <v>3</v>
      </c>
    </row>
    <row r="2707" spans="1:11" x14ac:dyDescent="0.35">
      <c r="A2707">
        <v>2706</v>
      </c>
      <c r="B2707">
        <v>28</v>
      </c>
      <c r="C2707" t="s">
        <v>11</v>
      </c>
      <c r="D2707" t="s">
        <v>29</v>
      </c>
      <c r="E2707" t="s">
        <v>30</v>
      </c>
      <c r="F2707">
        <v>29.51</v>
      </c>
      <c r="G2707" t="s">
        <v>31</v>
      </c>
      <c r="H2707" t="s">
        <v>15</v>
      </c>
      <c r="I2707">
        <v>4.4000000000000004</v>
      </c>
      <c r="J2707">
        <v>16</v>
      </c>
      <c r="K2707">
        <v>8</v>
      </c>
    </row>
    <row r="2708" spans="1:11" x14ac:dyDescent="0.35">
      <c r="A2708">
        <v>2707</v>
      </c>
      <c r="B2708">
        <v>21</v>
      </c>
      <c r="C2708" t="s">
        <v>16</v>
      </c>
      <c r="D2708" t="s">
        <v>17</v>
      </c>
      <c r="E2708" t="s">
        <v>18</v>
      </c>
      <c r="F2708">
        <v>58.68</v>
      </c>
      <c r="G2708" t="s">
        <v>14</v>
      </c>
      <c r="H2708" t="s">
        <v>15</v>
      </c>
      <c r="I2708">
        <v>3.6</v>
      </c>
      <c r="J2708">
        <v>20</v>
      </c>
      <c r="K2708">
        <v>5</v>
      </c>
    </row>
    <row r="2709" spans="1:11" x14ac:dyDescent="0.35">
      <c r="A2709">
        <v>2708</v>
      </c>
      <c r="B2709">
        <v>31</v>
      </c>
      <c r="C2709" t="s">
        <v>16</v>
      </c>
      <c r="D2709" t="s">
        <v>27</v>
      </c>
      <c r="E2709" t="s">
        <v>49</v>
      </c>
      <c r="F2709">
        <v>2023.48</v>
      </c>
      <c r="G2709" t="s">
        <v>14</v>
      </c>
      <c r="H2709" t="s">
        <v>15</v>
      </c>
      <c r="I2709">
        <v>2.6</v>
      </c>
      <c r="J2709">
        <v>9</v>
      </c>
      <c r="K2709">
        <v>2</v>
      </c>
    </row>
    <row r="2710" spans="1:11" x14ac:dyDescent="0.35">
      <c r="A2710">
        <v>2709</v>
      </c>
      <c r="B2710">
        <v>57</v>
      </c>
      <c r="C2710" t="s">
        <v>11</v>
      </c>
      <c r="D2710" t="s">
        <v>29</v>
      </c>
      <c r="E2710" t="s">
        <v>55</v>
      </c>
      <c r="F2710">
        <v>66.39</v>
      </c>
      <c r="G2710" t="s">
        <v>31</v>
      </c>
      <c r="H2710" t="s">
        <v>37</v>
      </c>
      <c r="I2710">
        <v>3.1</v>
      </c>
      <c r="J2710">
        <v>8</v>
      </c>
      <c r="K2710">
        <v>4</v>
      </c>
    </row>
    <row r="2711" spans="1:11" x14ac:dyDescent="0.35">
      <c r="A2711">
        <v>2710</v>
      </c>
      <c r="B2711">
        <v>59</v>
      </c>
      <c r="C2711" t="s">
        <v>16</v>
      </c>
      <c r="D2711" t="s">
        <v>17</v>
      </c>
      <c r="E2711" t="s">
        <v>48</v>
      </c>
      <c r="F2711">
        <v>141.61000000000001</v>
      </c>
      <c r="G2711" t="s">
        <v>31</v>
      </c>
      <c r="H2711" t="s">
        <v>15</v>
      </c>
      <c r="I2711">
        <v>4.0999999999999996</v>
      </c>
      <c r="J2711">
        <v>8</v>
      </c>
      <c r="K2711">
        <v>4</v>
      </c>
    </row>
    <row r="2712" spans="1:11" x14ac:dyDescent="0.35">
      <c r="A2712">
        <v>2711</v>
      </c>
      <c r="B2712">
        <v>21</v>
      </c>
      <c r="C2712" t="s">
        <v>16</v>
      </c>
      <c r="D2712" t="s">
        <v>27</v>
      </c>
      <c r="E2712" t="s">
        <v>49</v>
      </c>
      <c r="F2712">
        <v>2109.6799999999998</v>
      </c>
      <c r="G2712" t="s">
        <v>24</v>
      </c>
      <c r="H2712" t="s">
        <v>15</v>
      </c>
      <c r="I2712">
        <v>3.2</v>
      </c>
      <c r="J2712">
        <v>12</v>
      </c>
      <c r="K2712">
        <v>6</v>
      </c>
    </row>
    <row r="2713" spans="1:11" x14ac:dyDescent="0.35">
      <c r="A2713">
        <v>2712</v>
      </c>
      <c r="B2713">
        <v>25</v>
      </c>
      <c r="C2713" t="s">
        <v>11</v>
      </c>
      <c r="D2713" t="s">
        <v>25</v>
      </c>
      <c r="E2713" t="s">
        <v>26</v>
      </c>
      <c r="F2713">
        <v>41.72</v>
      </c>
      <c r="G2713" t="s">
        <v>14</v>
      </c>
      <c r="H2713" t="s">
        <v>37</v>
      </c>
      <c r="I2713">
        <v>5</v>
      </c>
      <c r="J2713">
        <v>2</v>
      </c>
      <c r="K2713">
        <v>1</v>
      </c>
    </row>
    <row r="2714" spans="1:11" x14ac:dyDescent="0.35">
      <c r="A2714">
        <v>2713</v>
      </c>
      <c r="B2714">
        <v>41</v>
      </c>
      <c r="C2714" t="s">
        <v>11</v>
      </c>
      <c r="D2714" t="s">
        <v>29</v>
      </c>
      <c r="E2714" t="s">
        <v>30</v>
      </c>
      <c r="F2714">
        <v>139.88</v>
      </c>
      <c r="G2714" t="s">
        <v>19</v>
      </c>
      <c r="H2714" t="s">
        <v>15</v>
      </c>
      <c r="I2714">
        <v>4.3</v>
      </c>
      <c r="J2714">
        <v>6</v>
      </c>
      <c r="K2714">
        <v>3</v>
      </c>
    </row>
    <row r="2715" spans="1:11" x14ac:dyDescent="0.35">
      <c r="A2715">
        <v>2714</v>
      </c>
      <c r="B2715">
        <v>46</v>
      </c>
      <c r="C2715" t="s">
        <v>11</v>
      </c>
      <c r="D2715" t="s">
        <v>12</v>
      </c>
      <c r="E2715" t="s">
        <v>50</v>
      </c>
      <c r="F2715">
        <v>39.06</v>
      </c>
      <c r="G2715" t="s">
        <v>24</v>
      </c>
      <c r="H2715" t="s">
        <v>37</v>
      </c>
      <c r="I2715">
        <v>3.2</v>
      </c>
      <c r="J2715">
        <v>12</v>
      </c>
      <c r="K2715">
        <v>6</v>
      </c>
    </row>
    <row r="2716" spans="1:11" x14ac:dyDescent="0.35">
      <c r="A2716">
        <v>2715</v>
      </c>
      <c r="B2716">
        <v>40</v>
      </c>
      <c r="C2716" t="s">
        <v>11</v>
      </c>
      <c r="D2716" t="s">
        <v>29</v>
      </c>
      <c r="E2716" t="s">
        <v>51</v>
      </c>
      <c r="F2716">
        <v>104.69</v>
      </c>
      <c r="G2716" t="s">
        <v>24</v>
      </c>
      <c r="H2716" t="s">
        <v>15</v>
      </c>
      <c r="I2716">
        <v>2.2000000000000002</v>
      </c>
      <c r="J2716">
        <v>17</v>
      </c>
      <c r="K2716">
        <v>6</v>
      </c>
    </row>
    <row r="2717" spans="1:11" x14ac:dyDescent="0.35">
      <c r="A2717">
        <v>2716</v>
      </c>
      <c r="B2717">
        <v>47</v>
      </c>
      <c r="C2717" t="s">
        <v>16</v>
      </c>
      <c r="D2717" t="s">
        <v>17</v>
      </c>
      <c r="E2717" t="s">
        <v>48</v>
      </c>
      <c r="F2717">
        <v>119.05</v>
      </c>
      <c r="G2717" t="s">
        <v>24</v>
      </c>
      <c r="H2717" t="s">
        <v>15</v>
      </c>
      <c r="I2717">
        <v>2.5</v>
      </c>
      <c r="J2717">
        <v>9</v>
      </c>
      <c r="K2717">
        <v>2</v>
      </c>
    </row>
    <row r="2718" spans="1:11" x14ac:dyDescent="0.35">
      <c r="A2718">
        <v>2717</v>
      </c>
      <c r="B2718">
        <v>53</v>
      </c>
      <c r="C2718" t="s">
        <v>11</v>
      </c>
      <c r="D2718" t="s">
        <v>12</v>
      </c>
      <c r="E2718" t="s">
        <v>50</v>
      </c>
      <c r="F2718">
        <v>158.47</v>
      </c>
      <c r="G2718" t="s">
        <v>31</v>
      </c>
      <c r="H2718" t="s">
        <v>15</v>
      </c>
      <c r="I2718">
        <v>4.4000000000000004</v>
      </c>
      <c r="J2718">
        <v>22</v>
      </c>
      <c r="K2718">
        <v>6</v>
      </c>
    </row>
    <row r="2719" spans="1:11" x14ac:dyDescent="0.35">
      <c r="A2719">
        <v>2718</v>
      </c>
      <c r="B2719">
        <v>34</v>
      </c>
      <c r="C2719" t="s">
        <v>16</v>
      </c>
      <c r="D2719" t="s">
        <v>17</v>
      </c>
      <c r="E2719" t="s">
        <v>42</v>
      </c>
      <c r="F2719">
        <v>111.49</v>
      </c>
      <c r="G2719" t="s">
        <v>19</v>
      </c>
      <c r="H2719" t="s">
        <v>15</v>
      </c>
      <c r="I2719">
        <v>4.5</v>
      </c>
      <c r="J2719">
        <v>18</v>
      </c>
      <c r="K2719">
        <v>4</v>
      </c>
    </row>
    <row r="2720" spans="1:11" x14ac:dyDescent="0.35">
      <c r="A2720">
        <v>2719</v>
      </c>
      <c r="B2720">
        <v>34</v>
      </c>
      <c r="C2720" t="s">
        <v>11</v>
      </c>
      <c r="D2720" t="s">
        <v>33</v>
      </c>
      <c r="E2720" t="s">
        <v>40</v>
      </c>
      <c r="F2720">
        <v>171.91</v>
      </c>
      <c r="G2720" t="s">
        <v>19</v>
      </c>
      <c r="H2720" t="s">
        <v>15</v>
      </c>
      <c r="I2720">
        <v>3.3</v>
      </c>
      <c r="J2720">
        <v>20</v>
      </c>
      <c r="K2720">
        <v>5</v>
      </c>
    </row>
    <row r="2721" spans="1:11" x14ac:dyDescent="0.35">
      <c r="A2721">
        <v>2720</v>
      </c>
      <c r="B2721">
        <v>61</v>
      </c>
      <c r="C2721" t="s">
        <v>11</v>
      </c>
      <c r="D2721" t="s">
        <v>41</v>
      </c>
      <c r="E2721" t="s">
        <v>42</v>
      </c>
      <c r="F2721">
        <v>199.45</v>
      </c>
      <c r="G2721" t="s">
        <v>19</v>
      </c>
      <c r="H2721" t="s">
        <v>15</v>
      </c>
      <c r="I2721">
        <v>3.2</v>
      </c>
      <c r="J2721">
        <v>24</v>
      </c>
      <c r="K2721">
        <v>7</v>
      </c>
    </row>
    <row r="2722" spans="1:11" x14ac:dyDescent="0.35">
      <c r="A2722">
        <v>2721</v>
      </c>
      <c r="B2722">
        <v>29</v>
      </c>
      <c r="C2722" t="s">
        <v>16</v>
      </c>
      <c r="D2722" t="s">
        <v>33</v>
      </c>
      <c r="E2722" t="s">
        <v>40</v>
      </c>
      <c r="F2722">
        <v>201.67</v>
      </c>
      <c r="G2722" t="s">
        <v>31</v>
      </c>
      <c r="H2722" t="s">
        <v>15</v>
      </c>
      <c r="I2722">
        <v>4.0999999999999996</v>
      </c>
      <c r="J2722">
        <v>11</v>
      </c>
      <c r="K2722">
        <v>3</v>
      </c>
    </row>
    <row r="2723" spans="1:11" x14ac:dyDescent="0.35">
      <c r="A2723">
        <v>2722</v>
      </c>
      <c r="B2723">
        <v>33</v>
      </c>
      <c r="C2723" t="s">
        <v>16</v>
      </c>
      <c r="D2723" t="s">
        <v>25</v>
      </c>
      <c r="E2723" t="s">
        <v>57</v>
      </c>
      <c r="F2723">
        <v>30.08</v>
      </c>
      <c r="G2723" t="s">
        <v>19</v>
      </c>
      <c r="H2723" t="s">
        <v>15</v>
      </c>
      <c r="I2723">
        <v>4.2</v>
      </c>
      <c r="J2723">
        <v>10</v>
      </c>
      <c r="K2723">
        <v>5</v>
      </c>
    </row>
    <row r="2724" spans="1:11" x14ac:dyDescent="0.35">
      <c r="A2724">
        <v>2723</v>
      </c>
      <c r="B2724">
        <v>70</v>
      </c>
      <c r="C2724" t="s">
        <v>11</v>
      </c>
      <c r="D2724" t="s">
        <v>33</v>
      </c>
      <c r="E2724" t="s">
        <v>38</v>
      </c>
      <c r="F2724">
        <v>173.77</v>
      </c>
      <c r="G2724" t="s">
        <v>19</v>
      </c>
      <c r="H2724" t="s">
        <v>15</v>
      </c>
      <c r="I2724">
        <v>4</v>
      </c>
      <c r="J2724">
        <v>12</v>
      </c>
      <c r="K2724">
        <v>6</v>
      </c>
    </row>
    <row r="2725" spans="1:11" x14ac:dyDescent="0.35">
      <c r="A2725">
        <v>2724</v>
      </c>
      <c r="B2725">
        <v>51</v>
      </c>
      <c r="C2725" t="s">
        <v>16</v>
      </c>
      <c r="D2725" t="s">
        <v>20</v>
      </c>
      <c r="E2725" t="s">
        <v>39</v>
      </c>
      <c r="F2725">
        <v>26.65</v>
      </c>
      <c r="G2725" t="s">
        <v>24</v>
      </c>
      <c r="H2725" t="s">
        <v>15</v>
      </c>
      <c r="I2725">
        <v>3.5</v>
      </c>
      <c r="J2725">
        <v>12</v>
      </c>
      <c r="K2725">
        <v>6</v>
      </c>
    </row>
    <row r="2726" spans="1:11" x14ac:dyDescent="0.35">
      <c r="A2726">
        <v>2725</v>
      </c>
      <c r="B2726">
        <v>57</v>
      </c>
      <c r="C2726" t="s">
        <v>16</v>
      </c>
      <c r="D2726" t="s">
        <v>27</v>
      </c>
      <c r="E2726" t="s">
        <v>28</v>
      </c>
      <c r="F2726">
        <v>800.36</v>
      </c>
      <c r="G2726" t="s">
        <v>14</v>
      </c>
      <c r="H2726" t="s">
        <v>15</v>
      </c>
      <c r="I2726">
        <v>4</v>
      </c>
      <c r="J2726">
        <v>22</v>
      </c>
      <c r="K2726">
        <v>6</v>
      </c>
    </row>
    <row r="2727" spans="1:11" x14ac:dyDescent="0.35">
      <c r="A2727">
        <v>2726</v>
      </c>
      <c r="B2727">
        <v>45</v>
      </c>
      <c r="C2727" t="s">
        <v>16</v>
      </c>
      <c r="D2727" t="s">
        <v>17</v>
      </c>
      <c r="E2727" t="s">
        <v>18</v>
      </c>
      <c r="F2727">
        <v>94.82</v>
      </c>
      <c r="G2727" t="s">
        <v>19</v>
      </c>
      <c r="H2727" t="s">
        <v>15</v>
      </c>
      <c r="I2727">
        <v>4.4000000000000004</v>
      </c>
      <c r="J2727">
        <v>19</v>
      </c>
      <c r="K2727">
        <v>7</v>
      </c>
    </row>
    <row r="2728" spans="1:11" x14ac:dyDescent="0.35">
      <c r="A2728">
        <v>2727</v>
      </c>
      <c r="B2728">
        <v>67</v>
      </c>
      <c r="C2728" t="s">
        <v>11</v>
      </c>
      <c r="D2728" t="s">
        <v>22</v>
      </c>
      <c r="E2728" t="s">
        <v>43</v>
      </c>
      <c r="F2728">
        <v>248.77</v>
      </c>
      <c r="G2728" t="s">
        <v>31</v>
      </c>
      <c r="H2728" t="s">
        <v>15</v>
      </c>
      <c r="I2728">
        <v>3.9</v>
      </c>
      <c r="J2728">
        <v>8</v>
      </c>
      <c r="K2728">
        <v>4</v>
      </c>
    </row>
    <row r="2729" spans="1:11" x14ac:dyDescent="0.35">
      <c r="A2729">
        <v>2728</v>
      </c>
      <c r="B2729">
        <v>45</v>
      </c>
      <c r="C2729" t="s">
        <v>11</v>
      </c>
      <c r="D2729" t="s">
        <v>12</v>
      </c>
      <c r="E2729" t="s">
        <v>50</v>
      </c>
      <c r="F2729">
        <v>30.71</v>
      </c>
      <c r="G2729" t="s">
        <v>24</v>
      </c>
      <c r="H2729" t="s">
        <v>37</v>
      </c>
      <c r="I2729">
        <v>3.5</v>
      </c>
      <c r="J2729">
        <v>12</v>
      </c>
      <c r="K2729">
        <v>1</v>
      </c>
    </row>
    <row r="2730" spans="1:11" x14ac:dyDescent="0.35">
      <c r="A2730">
        <v>2729</v>
      </c>
      <c r="B2730">
        <v>60</v>
      </c>
      <c r="C2730" t="s">
        <v>16</v>
      </c>
      <c r="D2730" t="s">
        <v>20</v>
      </c>
      <c r="E2730" t="s">
        <v>39</v>
      </c>
      <c r="F2730">
        <v>165.51</v>
      </c>
      <c r="G2730" t="s">
        <v>24</v>
      </c>
      <c r="H2730" t="s">
        <v>15</v>
      </c>
      <c r="I2730">
        <v>2.6</v>
      </c>
      <c r="J2730">
        <v>8</v>
      </c>
      <c r="K2730">
        <v>4</v>
      </c>
    </row>
    <row r="2731" spans="1:11" x14ac:dyDescent="0.35">
      <c r="A2731">
        <v>2730</v>
      </c>
      <c r="B2731">
        <v>70</v>
      </c>
      <c r="C2731" t="s">
        <v>11</v>
      </c>
      <c r="D2731" t="s">
        <v>41</v>
      </c>
      <c r="E2731" t="s">
        <v>46</v>
      </c>
      <c r="F2731">
        <v>68.489999999999995</v>
      </c>
      <c r="G2731" t="s">
        <v>14</v>
      </c>
      <c r="H2731" t="s">
        <v>37</v>
      </c>
      <c r="I2731">
        <v>4.7</v>
      </c>
      <c r="J2731">
        <v>14</v>
      </c>
      <c r="K2731">
        <v>2</v>
      </c>
    </row>
    <row r="2732" spans="1:11" x14ac:dyDescent="0.35">
      <c r="A2732">
        <v>2731</v>
      </c>
      <c r="B2732">
        <v>21</v>
      </c>
      <c r="C2732" t="s">
        <v>16</v>
      </c>
      <c r="D2732" t="s">
        <v>27</v>
      </c>
      <c r="E2732" t="s">
        <v>49</v>
      </c>
      <c r="F2732">
        <v>2061.36</v>
      </c>
      <c r="G2732" t="s">
        <v>19</v>
      </c>
      <c r="H2732" t="s">
        <v>15</v>
      </c>
      <c r="I2732">
        <v>4</v>
      </c>
      <c r="J2732">
        <v>20</v>
      </c>
      <c r="K2732">
        <v>5</v>
      </c>
    </row>
    <row r="2733" spans="1:11" x14ac:dyDescent="0.35">
      <c r="A2733">
        <v>2732</v>
      </c>
      <c r="B2733">
        <v>42</v>
      </c>
      <c r="C2733" t="s">
        <v>11</v>
      </c>
      <c r="D2733" t="s">
        <v>33</v>
      </c>
      <c r="E2733" t="s">
        <v>38</v>
      </c>
      <c r="F2733">
        <v>45.4</v>
      </c>
      <c r="G2733" t="s">
        <v>24</v>
      </c>
      <c r="H2733" t="s">
        <v>15</v>
      </c>
      <c r="I2733">
        <v>3.5</v>
      </c>
      <c r="J2733">
        <v>19</v>
      </c>
      <c r="K2733">
        <v>7</v>
      </c>
    </row>
    <row r="2734" spans="1:11" x14ac:dyDescent="0.35">
      <c r="A2734">
        <v>2733</v>
      </c>
      <c r="B2734">
        <v>26</v>
      </c>
      <c r="C2734" t="s">
        <v>11</v>
      </c>
      <c r="D2734" t="s">
        <v>41</v>
      </c>
      <c r="E2734" t="s">
        <v>44</v>
      </c>
      <c r="F2734">
        <v>66.62</v>
      </c>
      <c r="G2734" t="s">
        <v>14</v>
      </c>
      <c r="H2734" t="s">
        <v>37</v>
      </c>
      <c r="I2734">
        <v>3.5</v>
      </c>
      <c r="J2734">
        <v>2</v>
      </c>
      <c r="K2734">
        <v>1</v>
      </c>
    </row>
    <row r="2735" spans="1:11" x14ac:dyDescent="0.35">
      <c r="A2735">
        <v>2734</v>
      </c>
      <c r="B2735">
        <v>69</v>
      </c>
      <c r="C2735" t="s">
        <v>11</v>
      </c>
      <c r="D2735" t="s">
        <v>33</v>
      </c>
      <c r="E2735" t="s">
        <v>38</v>
      </c>
      <c r="F2735">
        <v>43.11</v>
      </c>
      <c r="G2735" t="s">
        <v>14</v>
      </c>
      <c r="H2735" t="s">
        <v>37</v>
      </c>
      <c r="I2735">
        <v>3.4</v>
      </c>
      <c r="J2735">
        <v>2</v>
      </c>
      <c r="K2735">
        <v>1</v>
      </c>
    </row>
    <row r="2736" spans="1:11" x14ac:dyDescent="0.35">
      <c r="A2736">
        <v>2735</v>
      </c>
      <c r="B2736">
        <v>49</v>
      </c>
      <c r="C2736" t="s">
        <v>16</v>
      </c>
      <c r="D2736" t="s">
        <v>27</v>
      </c>
      <c r="E2736" t="s">
        <v>28</v>
      </c>
      <c r="F2736">
        <v>519.78</v>
      </c>
      <c r="G2736" t="s">
        <v>19</v>
      </c>
      <c r="H2736" t="s">
        <v>15</v>
      </c>
      <c r="I2736">
        <v>3.7</v>
      </c>
      <c r="J2736">
        <v>22</v>
      </c>
      <c r="K2736">
        <v>6</v>
      </c>
    </row>
    <row r="2737" spans="1:11" x14ac:dyDescent="0.35">
      <c r="A2737">
        <v>2736</v>
      </c>
      <c r="B2737">
        <v>28</v>
      </c>
      <c r="C2737" t="s">
        <v>11</v>
      </c>
      <c r="D2737" t="s">
        <v>41</v>
      </c>
      <c r="E2737" t="s">
        <v>42</v>
      </c>
      <c r="F2737">
        <v>167.8</v>
      </c>
      <c r="G2737" t="s">
        <v>19</v>
      </c>
      <c r="H2737" t="s">
        <v>15</v>
      </c>
      <c r="I2737">
        <v>3.8</v>
      </c>
      <c r="J2737">
        <v>19</v>
      </c>
      <c r="K2737">
        <v>7</v>
      </c>
    </row>
    <row r="2738" spans="1:11" x14ac:dyDescent="0.35">
      <c r="A2738">
        <v>2737</v>
      </c>
      <c r="B2738">
        <v>59</v>
      </c>
      <c r="C2738" t="s">
        <v>16</v>
      </c>
      <c r="D2738" t="s">
        <v>22</v>
      </c>
      <c r="E2738" t="s">
        <v>23</v>
      </c>
      <c r="F2738">
        <v>57.56</v>
      </c>
      <c r="G2738" t="s">
        <v>14</v>
      </c>
      <c r="H2738" t="s">
        <v>15</v>
      </c>
      <c r="I2738">
        <v>4.7</v>
      </c>
      <c r="J2738">
        <v>17</v>
      </c>
      <c r="K2738">
        <v>6</v>
      </c>
    </row>
    <row r="2739" spans="1:11" x14ac:dyDescent="0.35">
      <c r="A2739">
        <v>2738</v>
      </c>
      <c r="B2739">
        <v>41</v>
      </c>
      <c r="C2739" t="s">
        <v>11</v>
      </c>
      <c r="D2739" t="s">
        <v>22</v>
      </c>
      <c r="E2739" t="s">
        <v>52</v>
      </c>
      <c r="F2739">
        <v>82.73</v>
      </c>
      <c r="G2739" t="s">
        <v>31</v>
      </c>
      <c r="H2739" t="s">
        <v>37</v>
      </c>
      <c r="I2739">
        <v>3.9</v>
      </c>
      <c r="J2739">
        <v>26</v>
      </c>
      <c r="K2739">
        <v>8</v>
      </c>
    </row>
    <row r="2740" spans="1:11" x14ac:dyDescent="0.35">
      <c r="A2740">
        <v>2739</v>
      </c>
      <c r="B2740">
        <v>30</v>
      </c>
      <c r="C2740" t="s">
        <v>16</v>
      </c>
      <c r="D2740" t="s">
        <v>27</v>
      </c>
      <c r="E2740" t="s">
        <v>28</v>
      </c>
      <c r="F2740">
        <v>578.64</v>
      </c>
      <c r="G2740" t="s">
        <v>24</v>
      </c>
      <c r="H2740" t="s">
        <v>15</v>
      </c>
      <c r="I2740">
        <v>3.2</v>
      </c>
      <c r="J2740">
        <v>21</v>
      </c>
      <c r="K2740">
        <v>8</v>
      </c>
    </row>
    <row r="2741" spans="1:11" x14ac:dyDescent="0.35">
      <c r="A2741">
        <v>2740</v>
      </c>
      <c r="B2741">
        <v>69</v>
      </c>
      <c r="C2741" t="s">
        <v>16</v>
      </c>
      <c r="D2741" t="s">
        <v>25</v>
      </c>
      <c r="E2741" t="s">
        <v>26</v>
      </c>
      <c r="F2741">
        <v>65.16</v>
      </c>
      <c r="G2741" t="s">
        <v>14</v>
      </c>
      <c r="H2741" t="s">
        <v>15</v>
      </c>
      <c r="I2741">
        <v>4.2</v>
      </c>
      <c r="J2741">
        <v>11</v>
      </c>
      <c r="K2741">
        <v>3</v>
      </c>
    </row>
    <row r="2742" spans="1:11" x14ac:dyDescent="0.35">
      <c r="A2742">
        <v>2741</v>
      </c>
      <c r="B2742">
        <v>62</v>
      </c>
      <c r="C2742" t="s">
        <v>11</v>
      </c>
      <c r="D2742" t="s">
        <v>41</v>
      </c>
      <c r="E2742" t="s">
        <v>42</v>
      </c>
      <c r="F2742">
        <v>101.41</v>
      </c>
      <c r="G2742" t="s">
        <v>19</v>
      </c>
      <c r="H2742" t="s">
        <v>15</v>
      </c>
      <c r="I2742">
        <v>3.9</v>
      </c>
      <c r="J2742">
        <v>8</v>
      </c>
      <c r="K2742">
        <v>4</v>
      </c>
    </row>
    <row r="2743" spans="1:11" x14ac:dyDescent="0.35">
      <c r="A2743">
        <v>2742</v>
      </c>
      <c r="B2743">
        <v>33</v>
      </c>
      <c r="C2743" t="s">
        <v>11</v>
      </c>
      <c r="D2743" t="s">
        <v>29</v>
      </c>
      <c r="E2743" t="s">
        <v>30</v>
      </c>
      <c r="F2743">
        <v>110.21</v>
      </c>
      <c r="G2743" t="s">
        <v>24</v>
      </c>
      <c r="H2743" t="s">
        <v>15</v>
      </c>
      <c r="I2743">
        <v>4.0999999999999996</v>
      </c>
      <c r="J2743">
        <v>14</v>
      </c>
      <c r="K2743">
        <v>2</v>
      </c>
    </row>
    <row r="2744" spans="1:11" x14ac:dyDescent="0.35">
      <c r="A2744">
        <v>2743</v>
      </c>
      <c r="B2744">
        <v>22</v>
      </c>
      <c r="C2744" t="s">
        <v>16</v>
      </c>
      <c r="D2744" t="s">
        <v>20</v>
      </c>
      <c r="E2744" t="s">
        <v>39</v>
      </c>
      <c r="F2744">
        <v>63.38</v>
      </c>
      <c r="G2744" t="s">
        <v>14</v>
      </c>
      <c r="H2744" t="s">
        <v>37</v>
      </c>
      <c r="I2744">
        <v>3</v>
      </c>
      <c r="J2744">
        <v>28</v>
      </c>
      <c r="K2744">
        <v>9</v>
      </c>
    </row>
    <row r="2745" spans="1:11" x14ac:dyDescent="0.35">
      <c r="A2745">
        <v>2744</v>
      </c>
      <c r="B2745">
        <v>56</v>
      </c>
      <c r="C2745" t="s">
        <v>16</v>
      </c>
      <c r="D2745" t="s">
        <v>17</v>
      </c>
      <c r="E2745" t="s">
        <v>48</v>
      </c>
      <c r="F2745">
        <v>144.24</v>
      </c>
      <c r="G2745" t="s">
        <v>14</v>
      </c>
      <c r="H2745" t="s">
        <v>15</v>
      </c>
      <c r="I2745">
        <v>3.8</v>
      </c>
      <c r="J2745">
        <v>28</v>
      </c>
      <c r="K2745">
        <v>9</v>
      </c>
    </row>
    <row r="2746" spans="1:11" x14ac:dyDescent="0.35">
      <c r="A2746">
        <v>2745</v>
      </c>
      <c r="B2746">
        <v>37</v>
      </c>
      <c r="C2746" t="s">
        <v>16</v>
      </c>
      <c r="D2746" t="s">
        <v>33</v>
      </c>
      <c r="E2746" t="s">
        <v>38</v>
      </c>
      <c r="F2746">
        <v>235.76</v>
      </c>
      <c r="G2746" t="s">
        <v>24</v>
      </c>
      <c r="H2746" t="s">
        <v>15</v>
      </c>
      <c r="I2746">
        <v>4.5</v>
      </c>
      <c r="J2746">
        <v>28</v>
      </c>
      <c r="K2746">
        <v>9</v>
      </c>
    </row>
    <row r="2747" spans="1:11" x14ac:dyDescent="0.35">
      <c r="A2747">
        <v>2746</v>
      </c>
      <c r="B2747">
        <v>41</v>
      </c>
      <c r="C2747" t="s">
        <v>11</v>
      </c>
      <c r="D2747" t="s">
        <v>12</v>
      </c>
      <c r="E2747" t="s">
        <v>56</v>
      </c>
      <c r="F2747">
        <v>53.22</v>
      </c>
      <c r="G2747" t="s">
        <v>24</v>
      </c>
      <c r="H2747" t="s">
        <v>37</v>
      </c>
      <c r="I2747">
        <v>2.7</v>
      </c>
      <c r="J2747">
        <v>13</v>
      </c>
      <c r="K2747">
        <v>4</v>
      </c>
    </row>
    <row r="2748" spans="1:11" x14ac:dyDescent="0.35">
      <c r="A2748">
        <v>2747</v>
      </c>
      <c r="B2748">
        <v>66</v>
      </c>
      <c r="C2748" t="s">
        <v>16</v>
      </c>
      <c r="D2748" t="s">
        <v>20</v>
      </c>
      <c r="E2748" t="s">
        <v>36</v>
      </c>
      <c r="F2748">
        <v>50.31</v>
      </c>
      <c r="G2748" t="s">
        <v>19</v>
      </c>
      <c r="H2748" t="s">
        <v>37</v>
      </c>
      <c r="I2748">
        <v>2.6</v>
      </c>
      <c r="J2748">
        <v>18</v>
      </c>
      <c r="K2748">
        <v>4</v>
      </c>
    </row>
    <row r="2749" spans="1:11" x14ac:dyDescent="0.35">
      <c r="A2749">
        <v>2748</v>
      </c>
      <c r="B2749">
        <v>22</v>
      </c>
      <c r="C2749" t="s">
        <v>16</v>
      </c>
      <c r="D2749" t="s">
        <v>27</v>
      </c>
      <c r="E2749" t="s">
        <v>32</v>
      </c>
      <c r="F2749">
        <v>1764.17</v>
      </c>
      <c r="G2749" t="s">
        <v>24</v>
      </c>
      <c r="H2749" t="s">
        <v>15</v>
      </c>
      <c r="I2749">
        <v>4.0999999999999996</v>
      </c>
      <c r="J2749">
        <v>16</v>
      </c>
      <c r="K2749">
        <v>8</v>
      </c>
    </row>
    <row r="2750" spans="1:11" x14ac:dyDescent="0.35">
      <c r="A2750">
        <v>2749</v>
      </c>
      <c r="B2750">
        <v>50</v>
      </c>
      <c r="C2750" t="s">
        <v>11</v>
      </c>
      <c r="D2750" t="s">
        <v>29</v>
      </c>
      <c r="E2750" t="s">
        <v>55</v>
      </c>
      <c r="F2750">
        <v>78.25</v>
      </c>
      <c r="G2750" t="s">
        <v>24</v>
      </c>
      <c r="H2750" t="s">
        <v>37</v>
      </c>
      <c r="I2750">
        <v>4.8</v>
      </c>
      <c r="J2750">
        <v>18</v>
      </c>
      <c r="K2750">
        <v>4</v>
      </c>
    </row>
    <row r="2751" spans="1:11" x14ac:dyDescent="0.35">
      <c r="A2751">
        <v>2750</v>
      </c>
      <c r="B2751">
        <v>67</v>
      </c>
      <c r="C2751" t="s">
        <v>16</v>
      </c>
      <c r="D2751" t="s">
        <v>25</v>
      </c>
      <c r="E2751" t="s">
        <v>26</v>
      </c>
      <c r="F2751">
        <v>18.2</v>
      </c>
      <c r="G2751" t="s">
        <v>19</v>
      </c>
      <c r="H2751" t="s">
        <v>15</v>
      </c>
      <c r="I2751">
        <v>3</v>
      </c>
      <c r="J2751">
        <v>14</v>
      </c>
      <c r="K2751">
        <v>7</v>
      </c>
    </row>
    <row r="2752" spans="1:11" x14ac:dyDescent="0.35">
      <c r="A2752">
        <v>2751</v>
      </c>
      <c r="B2752">
        <v>35</v>
      </c>
      <c r="C2752" t="s">
        <v>16</v>
      </c>
      <c r="D2752" t="s">
        <v>22</v>
      </c>
      <c r="E2752" t="s">
        <v>23</v>
      </c>
      <c r="F2752">
        <v>244.27</v>
      </c>
      <c r="G2752" t="s">
        <v>19</v>
      </c>
      <c r="H2752" t="s">
        <v>15</v>
      </c>
      <c r="I2752">
        <v>4.5999999999999996</v>
      </c>
      <c r="J2752">
        <v>12</v>
      </c>
      <c r="K2752">
        <v>1</v>
      </c>
    </row>
    <row r="2753" spans="1:11" x14ac:dyDescent="0.35">
      <c r="A2753">
        <v>2752</v>
      </c>
      <c r="B2753">
        <v>36</v>
      </c>
      <c r="C2753" t="s">
        <v>16</v>
      </c>
      <c r="D2753" t="s">
        <v>22</v>
      </c>
      <c r="E2753" t="s">
        <v>52</v>
      </c>
      <c r="F2753">
        <v>112.07</v>
      </c>
      <c r="G2753" t="s">
        <v>31</v>
      </c>
      <c r="H2753" t="s">
        <v>15</v>
      </c>
      <c r="I2753">
        <v>3.8</v>
      </c>
      <c r="J2753">
        <v>14</v>
      </c>
      <c r="K2753">
        <v>7</v>
      </c>
    </row>
    <row r="2754" spans="1:11" x14ac:dyDescent="0.35">
      <c r="A2754">
        <v>2753</v>
      </c>
      <c r="B2754">
        <v>22</v>
      </c>
      <c r="C2754" t="s">
        <v>16</v>
      </c>
      <c r="D2754" t="s">
        <v>17</v>
      </c>
      <c r="E2754" t="s">
        <v>48</v>
      </c>
      <c r="F2754">
        <v>116.68</v>
      </c>
      <c r="G2754" t="s">
        <v>31</v>
      </c>
      <c r="H2754" t="s">
        <v>15</v>
      </c>
      <c r="I2754">
        <v>5</v>
      </c>
      <c r="J2754">
        <v>15</v>
      </c>
      <c r="K2754">
        <v>5</v>
      </c>
    </row>
    <row r="2755" spans="1:11" x14ac:dyDescent="0.35">
      <c r="A2755">
        <v>2754</v>
      </c>
      <c r="B2755">
        <v>30</v>
      </c>
      <c r="C2755" t="s">
        <v>11</v>
      </c>
      <c r="D2755" t="s">
        <v>25</v>
      </c>
      <c r="E2755" t="s">
        <v>26</v>
      </c>
      <c r="F2755">
        <v>28.54</v>
      </c>
      <c r="G2755" t="s">
        <v>19</v>
      </c>
      <c r="H2755" t="s">
        <v>15</v>
      </c>
      <c r="I2755">
        <v>3.5</v>
      </c>
      <c r="J2755">
        <v>12</v>
      </c>
      <c r="K2755">
        <v>6</v>
      </c>
    </row>
    <row r="2756" spans="1:11" x14ac:dyDescent="0.35">
      <c r="A2756">
        <v>2755</v>
      </c>
      <c r="B2756">
        <v>54</v>
      </c>
      <c r="C2756" t="s">
        <v>16</v>
      </c>
      <c r="D2756" t="s">
        <v>27</v>
      </c>
      <c r="E2756" t="s">
        <v>53</v>
      </c>
      <c r="F2756">
        <v>1263.5899999999999</v>
      </c>
      <c r="G2756" t="s">
        <v>24</v>
      </c>
      <c r="H2756" t="s">
        <v>15</v>
      </c>
      <c r="I2756">
        <v>3.3</v>
      </c>
      <c r="J2756">
        <v>8</v>
      </c>
      <c r="K2756">
        <v>4</v>
      </c>
    </row>
    <row r="2757" spans="1:11" x14ac:dyDescent="0.35">
      <c r="A2757">
        <v>2756</v>
      </c>
      <c r="B2757">
        <v>35</v>
      </c>
      <c r="C2757" t="s">
        <v>16</v>
      </c>
      <c r="D2757" t="s">
        <v>20</v>
      </c>
      <c r="E2757" t="s">
        <v>21</v>
      </c>
      <c r="F2757">
        <v>137.06</v>
      </c>
      <c r="G2757" t="s">
        <v>24</v>
      </c>
      <c r="H2757" t="s">
        <v>15</v>
      </c>
      <c r="I2757">
        <v>3.6</v>
      </c>
      <c r="J2757">
        <v>16</v>
      </c>
      <c r="K2757">
        <v>8</v>
      </c>
    </row>
    <row r="2758" spans="1:11" x14ac:dyDescent="0.35">
      <c r="A2758">
        <v>2757</v>
      </c>
      <c r="B2758">
        <v>21</v>
      </c>
      <c r="C2758" t="s">
        <v>16</v>
      </c>
      <c r="D2758" t="s">
        <v>25</v>
      </c>
      <c r="E2758" t="s">
        <v>54</v>
      </c>
      <c r="F2758">
        <v>49.98</v>
      </c>
      <c r="G2758" t="s">
        <v>19</v>
      </c>
      <c r="H2758" t="s">
        <v>15</v>
      </c>
      <c r="I2758">
        <v>3.2</v>
      </c>
      <c r="J2758">
        <v>13</v>
      </c>
      <c r="K2758">
        <v>4</v>
      </c>
    </row>
    <row r="2759" spans="1:11" x14ac:dyDescent="0.35">
      <c r="A2759">
        <v>2758</v>
      </c>
      <c r="B2759">
        <v>50</v>
      </c>
      <c r="C2759" t="s">
        <v>11</v>
      </c>
      <c r="D2759" t="s">
        <v>33</v>
      </c>
      <c r="E2759" t="s">
        <v>40</v>
      </c>
      <c r="F2759">
        <v>99.11</v>
      </c>
      <c r="G2759" t="s">
        <v>31</v>
      </c>
      <c r="H2759" t="s">
        <v>37</v>
      </c>
      <c r="I2759">
        <v>4.3</v>
      </c>
      <c r="J2759">
        <v>9</v>
      </c>
      <c r="K2759">
        <v>2</v>
      </c>
    </row>
    <row r="2760" spans="1:11" x14ac:dyDescent="0.35">
      <c r="A2760">
        <v>2759</v>
      </c>
      <c r="B2760">
        <v>30</v>
      </c>
      <c r="C2760" t="s">
        <v>16</v>
      </c>
      <c r="D2760" t="s">
        <v>27</v>
      </c>
      <c r="E2760" t="s">
        <v>28</v>
      </c>
      <c r="F2760">
        <v>1683.57</v>
      </c>
      <c r="G2760" t="s">
        <v>24</v>
      </c>
      <c r="H2760" t="s">
        <v>15</v>
      </c>
      <c r="I2760">
        <v>3.5</v>
      </c>
      <c r="J2760">
        <v>11</v>
      </c>
      <c r="K2760">
        <v>3</v>
      </c>
    </row>
    <row r="2761" spans="1:11" x14ac:dyDescent="0.35">
      <c r="A2761">
        <v>2760</v>
      </c>
      <c r="B2761">
        <v>48</v>
      </c>
      <c r="C2761" t="s">
        <v>11</v>
      </c>
      <c r="D2761" t="s">
        <v>25</v>
      </c>
      <c r="E2761" t="s">
        <v>47</v>
      </c>
      <c r="F2761">
        <v>77.239999999999995</v>
      </c>
      <c r="G2761" t="s">
        <v>31</v>
      </c>
      <c r="H2761" t="s">
        <v>15</v>
      </c>
      <c r="I2761">
        <v>4.7</v>
      </c>
      <c r="J2761">
        <v>28</v>
      </c>
      <c r="K2761">
        <v>9</v>
      </c>
    </row>
    <row r="2762" spans="1:11" x14ac:dyDescent="0.35">
      <c r="A2762">
        <v>2761</v>
      </c>
      <c r="B2762">
        <v>38</v>
      </c>
      <c r="C2762" t="s">
        <v>11</v>
      </c>
      <c r="D2762" t="s">
        <v>25</v>
      </c>
      <c r="E2762" t="s">
        <v>54</v>
      </c>
      <c r="F2762">
        <v>15.14</v>
      </c>
      <c r="G2762" t="s">
        <v>19</v>
      </c>
      <c r="H2762" t="s">
        <v>15</v>
      </c>
      <c r="I2762">
        <v>3.2</v>
      </c>
      <c r="J2762">
        <v>18</v>
      </c>
      <c r="K2762">
        <v>4</v>
      </c>
    </row>
    <row r="2763" spans="1:11" x14ac:dyDescent="0.35">
      <c r="A2763">
        <v>2762</v>
      </c>
      <c r="B2763">
        <v>62</v>
      </c>
      <c r="C2763" t="s">
        <v>16</v>
      </c>
      <c r="D2763" t="s">
        <v>33</v>
      </c>
      <c r="E2763" t="s">
        <v>38</v>
      </c>
      <c r="F2763">
        <v>43.56</v>
      </c>
      <c r="G2763" t="s">
        <v>24</v>
      </c>
      <c r="H2763" t="s">
        <v>37</v>
      </c>
      <c r="I2763">
        <v>2.6</v>
      </c>
      <c r="J2763">
        <v>24</v>
      </c>
      <c r="K2763">
        <v>7</v>
      </c>
    </row>
    <row r="2764" spans="1:11" x14ac:dyDescent="0.35">
      <c r="A2764">
        <v>2763</v>
      </c>
      <c r="B2764">
        <v>30</v>
      </c>
      <c r="C2764" t="s">
        <v>11</v>
      </c>
      <c r="D2764" t="s">
        <v>29</v>
      </c>
      <c r="E2764" t="s">
        <v>30</v>
      </c>
      <c r="F2764">
        <v>51</v>
      </c>
      <c r="G2764" t="s">
        <v>31</v>
      </c>
      <c r="H2764" t="s">
        <v>37</v>
      </c>
      <c r="I2764">
        <v>4.5</v>
      </c>
      <c r="J2764">
        <v>8</v>
      </c>
      <c r="K2764">
        <v>4</v>
      </c>
    </row>
    <row r="2765" spans="1:11" x14ac:dyDescent="0.35">
      <c r="A2765">
        <v>2764</v>
      </c>
      <c r="B2765">
        <v>24</v>
      </c>
      <c r="C2765" t="s">
        <v>11</v>
      </c>
      <c r="D2765" t="s">
        <v>20</v>
      </c>
      <c r="E2765" t="s">
        <v>39</v>
      </c>
      <c r="F2765">
        <v>232.42</v>
      </c>
      <c r="G2765" t="s">
        <v>31</v>
      </c>
      <c r="H2765" t="s">
        <v>15</v>
      </c>
      <c r="I2765">
        <v>2.7</v>
      </c>
      <c r="J2765">
        <v>9</v>
      </c>
      <c r="K2765">
        <v>2</v>
      </c>
    </row>
    <row r="2766" spans="1:11" x14ac:dyDescent="0.35">
      <c r="A2766">
        <v>2765</v>
      </c>
      <c r="B2766">
        <v>56</v>
      </c>
      <c r="C2766" t="s">
        <v>11</v>
      </c>
      <c r="D2766" t="s">
        <v>29</v>
      </c>
      <c r="E2766" t="s">
        <v>55</v>
      </c>
      <c r="F2766">
        <v>78.209999999999994</v>
      </c>
      <c r="G2766" t="s">
        <v>19</v>
      </c>
      <c r="H2766" t="s">
        <v>37</v>
      </c>
      <c r="I2766">
        <v>5</v>
      </c>
      <c r="J2766">
        <v>22</v>
      </c>
      <c r="K2766">
        <v>6</v>
      </c>
    </row>
    <row r="2767" spans="1:11" x14ac:dyDescent="0.35">
      <c r="A2767">
        <v>2766</v>
      </c>
      <c r="B2767">
        <v>70</v>
      </c>
      <c r="C2767" t="s">
        <v>11</v>
      </c>
      <c r="D2767" t="s">
        <v>25</v>
      </c>
      <c r="E2767" t="s">
        <v>57</v>
      </c>
      <c r="F2767">
        <v>26.36</v>
      </c>
      <c r="G2767" t="s">
        <v>19</v>
      </c>
      <c r="H2767" t="s">
        <v>37</v>
      </c>
      <c r="I2767">
        <v>4.4000000000000004</v>
      </c>
      <c r="J2767">
        <v>10</v>
      </c>
      <c r="K2767">
        <v>5</v>
      </c>
    </row>
    <row r="2768" spans="1:11" x14ac:dyDescent="0.35">
      <c r="A2768">
        <v>2767</v>
      </c>
      <c r="B2768">
        <v>22</v>
      </c>
      <c r="C2768" t="s">
        <v>16</v>
      </c>
      <c r="D2768" t="s">
        <v>17</v>
      </c>
      <c r="E2768" t="s">
        <v>48</v>
      </c>
      <c r="F2768">
        <v>59.51</v>
      </c>
      <c r="G2768" t="s">
        <v>24</v>
      </c>
      <c r="H2768" t="s">
        <v>15</v>
      </c>
      <c r="I2768">
        <v>3.3</v>
      </c>
      <c r="J2768">
        <v>16</v>
      </c>
      <c r="K2768">
        <v>3</v>
      </c>
    </row>
    <row r="2769" spans="1:11" x14ac:dyDescent="0.35">
      <c r="A2769">
        <v>2768</v>
      </c>
      <c r="B2769">
        <v>36</v>
      </c>
      <c r="C2769" t="s">
        <v>11</v>
      </c>
      <c r="D2769" t="s">
        <v>41</v>
      </c>
      <c r="E2769" t="s">
        <v>42</v>
      </c>
      <c r="F2769">
        <v>150.91999999999999</v>
      </c>
      <c r="G2769" t="s">
        <v>31</v>
      </c>
      <c r="H2769" t="s">
        <v>15</v>
      </c>
      <c r="I2769">
        <v>4.0999999999999996</v>
      </c>
      <c r="J2769">
        <v>15</v>
      </c>
      <c r="K2769">
        <v>5</v>
      </c>
    </row>
    <row r="2770" spans="1:11" x14ac:dyDescent="0.35">
      <c r="A2770">
        <v>2769</v>
      </c>
      <c r="B2770">
        <v>47</v>
      </c>
      <c r="C2770" t="s">
        <v>11</v>
      </c>
      <c r="D2770" t="s">
        <v>41</v>
      </c>
      <c r="E2770" t="s">
        <v>45</v>
      </c>
      <c r="F2770">
        <v>148.25</v>
      </c>
      <c r="G2770" t="s">
        <v>19</v>
      </c>
      <c r="H2770" t="s">
        <v>15</v>
      </c>
      <c r="I2770">
        <v>4</v>
      </c>
      <c r="J2770">
        <v>16</v>
      </c>
      <c r="K2770">
        <v>3</v>
      </c>
    </row>
    <row r="2771" spans="1:11" x14ac:dyDescent="0.35">
      <c r="A2771">
        <v>2770</v>
      </c>
      <c r="B2771">
        <v>57</v>
      </c>
      <c r="C2771" t="s">
        <v>16</v>
      </c>
      <c r="D2771" t="s">
        <v>33</v>
      </c>
      <c r="E2771" t="s">
        <v>34</v>
      </c>
      <c r="F2771">
        <v>196.03</v>
      </c>
      <c r="G2771" t="s">
        <v>24</v>
      </c>
      <c r="H2771" t="s">
        <v>15</v>
      </c>
      <c r="I2771">
        <v>4.3</v>
      </c>
      <c r="J2771">
        <v>6</v>
      </c>
      <c r="K2771">
        <v>3</v>
      </c>
    </row>
    <row r="2772" spans="1:11" x14ac:dyDescent="0.35">
      <c r="A2772">
        <v>2771</v>
      </c>
      <c r="B2772">
        <v>46</v>
      </c>
      <c r="C2772" t="s">
        <v>16</v>
      </c>
      <c r="D2772" t="s">
        <v>27</v>
      </c>
      <c r="E2772" t="s">
        <v>49</v>
      </c>
      <c r="F2772">
        <v>853.51</v>
      </c>
      <c r="G2772" t="s">
        <v>19</v>
      </c>
      <c r="H2772" t="s">
        <v>15</v>
      </c>
      <c r="I2772">
        <v>2.7</v>
      </c>
      <c r="J2772">
        <v>11</v>
      </c>
      <c r="K2772">
        <v>3</v>
      </c>
    </row>
    <row r="2773" spans="1:11" x14ac:dyDescent="0.35">
      <c r="A2773">
        <v>2772</v>
      </c>
      <c r="B2773">
        <v>62</v>
      </c>
      <c r="C2773" t="s">
        <v>16</v>
      </c>
      <c r="D2773" t="s">
        <v>27</v>
      </c>
      <c r="E2773" t="s">
        <v>53</v>
      </c>
      <c r="F2773">
        <v>1899.51</v>
      </c>
      <c r="G2773" t="s">
        <v>14</v>
      </c>
      <c r="H2773" t="s">
        <v>15</v>
      </c>
      <c r="I2773">
        <v>4.2</v>
      </c>
      <c r="J2773">
        <v>24</v>
      </c>
      <c r="K2773">
        <v>7</v>
      </c>
    </row>
    <row r="2774" spans="1:11" x14ac:dyDescent="0.35">
      <c r="A2774">
        <v>2773</v>
      </c>
      <c r="B2774">
        <v>20</v>
      </c>
      <c r="C2774" t="s">
        <v>16</v>
      </c>
      <c r="D2774" t="s">
        <v>17</v>
      </c>
      <c r="E2774" t="s">
        <v>35</v>
      </c>
      <c r="F2774">
        <v>89.5</v>
      </c>
      <c r="G2774" t="s">
        <v>14</v>
      </c>
      <c r="H2774" t="s">
        <v>15</v>
      </c>
      <c r="I2774">
        <v>4.3</v>
      </c>
      <c r="J2774">
        <v>28</v>
      </c>
      <c r="K2774">
        <v>9</v>
      </c>
    </row>
    <row r="2775" spans="1:11" x14ac:dyDescent="0.35">
      <c r="A2775">
        <v>2774</v>
      </c>
      <c r="B2775">
        <v>61</v>
      </c>
      <c r="C2775" t="s">
        <v>16</v>
      </c>
      <c r="D2775" t="s">
        <v>20</v>
      </c>
      <c r="E2775" t="s">
        <v>39</v>
      </c>
      <c r="F2775">
        <v>30.95</v>
      </c>
      <c r="G2775" t="s">
        <v>24</v>
      </c>
      <c r="H2775" t="s">
        <v>15</v>
      </c>
      <c r="I2775">
        <v>3.5</v>
      </c>
      <c r="J2775">
        <v>17</v>
      </c>
      <c r="K2775">
        <v>6</v>
      </c>
    </row>
    <row r="2776" spans="1:11" x14ac:dyDescent="0.35">
      <c r="A2776">
        <v>2775</v>
      </c>
      <c r="B2776">
        <v>48</v>
      </c>
      <c r="C2776" t="s">
        <v>16</v>
      </c>
      <c r="D2776" t="s">
        <v>22</v>
      </c>
      <c r="E2776" t="s">
        <v>52</v>
      </c>
      <c r="F2776">
        <v>297.56</v>
      </c>
      <c r="G2776" t="s">
        <v>24</v>
      </c>
      <c r="H2776" t="s">
        <v>15</v>
      </c>
      <c r="I2776">
        <v>5</v>
      </c>
      <c r="J2776">
        <v>18</v>
      </c>
      <c r="K2776">
        <v>4</v>
      </c>
    </row>
    <row r="2777" spans="1:11" x14ac:dyDescent="0.35">
      <c r="A2777">
        <v>2776</v>
      </c>
      <c r="B2777">
        <v>52</v>
      </c>
      <c r="C2777" t="s">
        <v>16</v>
      </c>
      <c r="D2777" t="s">
        <v>17</v>
      </c>
      <c r="E2777" t="s">
        <v>42</v>
      </c>
      <c r="F2777">
        <v>169.71</v>
      </c>
      <c r="G2777" t="s">
        <v>24</v>
      </c>
      <c r="H2777" t="s">
        <v>15</v>
      </c>
      <c r="I2777">
        <v>4.3</v>
      </c>
      <c r="J2777">
        <v>19</v>
      </c>
      <c r="K2777">
        <v>7</v>
      </c>
    </row>
    <row r="2778" spans="1:11" x14ac:dyDescent="0.35">
      <c r="A2778">
        <v>2777</v>
      </c>
      <c r="B2778">
        <v>60</v>
      </c>
      <c r="C2778" t="s">
        <v>11</v>
      </c>
      <c r="D2778" t="s">
        <v>41</v>
      </c>
      <c r="E2778" t="s">
        <v>44</v>
      </c>
      <c r="F2778">
        <v>97.73</v>
      </c>
      <c r="G2778" t="s">
        <v>24</v>
      </c>
      <c r="H2778" t="s">
        <v>15</v>
      </c>
      <c r="I2778">
        <v>4</v>
      </c>
      <c r="J2778">
        <v>19</v>
      </c>
      <c r="K2778">
        <v>7</v>
      </c>
    </row>
    <row r="2779" spans="1:11" x14ac:dyDescent="0.35">
      <c r="A2779">
        <v>2778</v>
      </c>
      <c r="B2779">
        <v>23</v>
      </c>
      <c r="C2779" t="s">
        <v>16</v>
      </c>
      <c r="D2779" t="s">
        <v>22</v>
      </c>
      <c r="E2779" t="s">
        <v>43</v>
      </c>
      <c r="F2779">
        <v>92.52</v>
      </c>
      <c r="G2779" t="s">
        <v>14</v>
      </c>
      <c r="H2779" t="s">
        <v>15</v>
      </c>
      <c r="I2779">
        <v>3.3</v>
      </c>
      <c r="J2779">
        <v>8</v>
      </c>
      <c r="K2779">
        <v>4</v>
      </c>
    </row>
    <row r="2780" spans="1:11" x14ac:dyDescent="0.35">
      <c r="A2780">
        <v>2779</v>
      </c>
      <c r="B2780">
        <v>43</v>
      </c>
      <c r="C2780" t="s">
        <v>16</v>
      </c>
      <c r="D2780" t="s">
        <v>20</v>
      </c>
      <c r="E2780" t="s">
        <v>39</v>
      </c>
      <c r="F2780">
        <v>217.59</v>
      </c>
      <c r="G2780" t="s">
        <v>31</v>
      </c>
      <c r="H2780" t="s">
        <v>15</v>
      </c>
      <c r="I2780">
        <v>4.0999999999999996</v>
      </c>
      <c r="J2780">
        <v>10</v>
      </c>
      <c r="K2780">
        <v>5</v>
      </c>
    </row>
    <row r="2781" spans="1:11" x14ac:dyDescent="0.35">
      <c r="A2781">
        <v>2780</v>
      </c>
      <c r="B2781">
        <v>27</v>
      </c>
      <c r="C2781" t="s">
        <v>16</v>
      </c>
      <c r="D2781" t="s">
        <v>33</v>
      </c>
      <c r="E2781" t="s">
        <v>38</v>
      </c>
      <c r="F2781">
        <v>144.94999999999999</v>
      </c>
      <c r="G2781" t="s">
        <v>31</v>
      </c>
      <c r="H2781" t="s">
        <v>15</v>
      </c>
      <c r="I2781">
        <v>4.5999999999999996</v>
      </c>
      <c r="J2781">
        <v>13</v>
      </c>
      <c r="K2781">
        <v>4</v>
      </c>
    </row>
    <row r="2782" spans="1:11" x14ac:dyDescent="0.35">
      <c r="A2782">
        <v>2781</v>
      </c>
      <c r="B2782">
        <v>37</v>
      </c>
      <c r="C2782" t="s">
        <v>11</v>
      </c>
      <c r="D2782" t="s">
        <v>41</v>
      </c>
      <c r="E2782" t="s">
        <v>44</v>
      </c>
      <c r="F2782">
        <v>95.24</v>
      </c>
      <c r="G2782" t="s">
        <v>24</v>
      </c>
      <c r="H2782" t="s">
        <v>37</v>
      </c>
      <c r="I2782">
        <v>4.0999999999999996</v>
      </c>
      <c r="J2782">
        <v>17</v>
      </c>
      <c r="K2782">
        <v>6</v>
      </c>
    </row>
    <row r="2783" spans="1:11" x14ac:dyDescent="0.35">
      <c r="A2783">
        <v>2782</v>
      </c>
      <c r="B2783">
        <v>20</v>
      </c>
      <c r="C2783" t="s">
        <v>11</v>
      </c>
      <c r="D2783" t="s">
        <v>22</v>
      </c>
      <c r="E2783" t="s">
        <v>23</v>
      </c>
      <c r="F2783">
        <v>291.95</v>
      </c>
      <c r="G2783" t="s">
        <v>31</v>
      </c>
      <c r="H2783" t="s">
        <v>15</v>
      </c>
      <c r="I2783">
        <v>2.8</v>
      </c>
      <c r="J2783">
        <v>20</v>
      </c>
      <c r="K2783">
        <v>5</v>
      </c>
    </row>
    <row r="2784" spans="1:11" x14ac:dyDescent="0.35">
      <c r="A2784">
        <v>2783</v>
      </c>
      <c r="B2784">
        <v>44</v>
      </c>
      <c r="C2784" t="s">
        <v>16</v>
      </c>
      <c r="D2784" t="s">
        <v>17</v>
      </c>
      <c r="E2784" t="s">
        <v>35</v>
      </c>
      <c r="F2784">
        <v>154.18</v>
      </c>
      <c r="G2784" t="s">
        <v>31</v>
      </c>
      <c r="H2784" t="s">
        <v>15</v>
      </c>
      <c r="I2784">
        <v>4.5</v>
      </c>
      <c r="J2784">
        <v>16</v>
      </c>
      <c r="K2784">
        <v>8</v>
      </c>
    </row>
    <row r="2785" spans="1:11" x14ac:dyDescent="0.35">
      <c r="A2785">
        <v>2784</v>
      </c>
      <c r="B2785">
        <v>20</v>
      </c>
      <c r="C2785" t="s">
        <v>11</v>
      </c>
      <c r="D2785" t="s">
        <v>29</v>
      </c>
      <c r="E2785" t="s">
        <v>51</v>
      </c>
      <c r="F2785">
        <v>51.67</v>
      </c>
      <c r="G2785" t="s">
        <v>19</v>
      </c>
      <c r="H2785" t="s">
        <v>37</v>
      </c>
      <c r="I2785">
        <v>3.5</v>
      </c>
      <c r="J2785">
        <v>12</v>
      </c>
      <c r="K2785">
        <v>6</v>
      </c>
    </row>
    <row r="2786" spans="1:11" x14ac:dyDescent="0.35">
      <c r="A2786">
        <v>2785</v>
      </c>
      <c r="B2786">
        <v>43</v>
      </c>
      <c r="C2786" t="s">
        <v>11</v>
      </c>
      <c r="D2786" t="s">
        <v>29</v>
      </c>
      <c r="E2786" t="s">
        <v>55</v>
      </c>
      <c r="F2786">
        <v>137.75</v>
      </c>
      <c r="G2786" t="s">
        <v>19</v>
      </c>
      <c r="H2786" t="s">
        <v>15</v>
      </c>
      <c r="I2786">
        <v>4.0999999999999996</v>
      </c>
      <c r="J2786">
        <v>20</v>
      </c>
      <c r="K2786">
        <v>5</v>
      </c>
    </row>
    <row r="2787" spans="1:11" x14ac:dyDescent="0.35">
      <c r="A2787">
        <v>2786</v>
      </c>
      <c r="B2787">
        <v>46</v>
      </c>
      <c r="C2787" t="s">
        <v>11</v>
      </c>
      <c r="D2787" t="s">
        <v>33</v>
      </c>
      <c r="E2787" t="s">
        <v>40</v>
      </c>
      <c r="F2787">
        <v>106.59</v>
      </c>
      <c r="G2787" t="s">
        <v>24</v>
      </c>
      <c r="H2787" t="s">
        <v>15</v>
      </c>
      <c r="I2787">
        <v>4.9000000000000004</v>
      </c>
      <c r="J2787">
        <v>26</v>
      </c>
      <c r="K2787">
        <v>8</v>
      </c>
    </row>
    <row r="2788" spans="1:11" x14ac:dyDescent="0.35">
      <c r="A2788">
        <v>2787</v>
      </c>
      <c r="B2788">
        <v>30</v>
      </c>
      <c r="C2788" t="s">
        <v>11</v>
      </c>
      <c r="D2788" t="s">
        <v>12</v>
      </c>
      <c r="E2788" t="s">
        <v>56</v>
      </c>
      <c r="F2788">
        <v>119.64</v>
      </c>
      <c r="G2788" t="s">
        <v>19</v>
      </c>
      <c r="H2788" t="s">
        <v>15</v>
      </c>
      <c r="I2788">
        <v>3.8</v>
      </c>
      <c r="J2788">
        <v>13</v>
      </c>
      <c r="K2788">
        <v>4</v>
      </c>
    </row>
    <row r="2789" spans="1:11" x14ac:dyDescent="0.35">
      <c r="A2789">
        <v>2788</v>
      </c>
      <c r="B2789">
        <v>22</v>
      </c>
      <c r="C2789" t="s">
        <v>11</v>
      </c>
      <c r="D2789" t="s">
        <v>29</v>
      </c>
      <c r="E2789" t="s">
        <v>51</v>
      </c>
      <c r="F2789">
        <v>90.97</v>
      </c>
      <c r="G2789" t="s">
        <v>19</v>
      </c>
      <c r="H2789" t="s">
        <v>15</v>
      </c>
      <c r="I2789">
        <v>4</v>
      </c>
      <c r="J2789">
        <v>14</v>
      </c>
      <c r="K2789">
        <v>2</v>
      </c>
    </row>
    <row r="2790" spans="1:11" x14ac:dyDescent="0.35">
      <c r="A2790">
        <v>2789</v>
      </c>
      <c r="B2790">
        <v>57</v>
      </c>
      <c r="C2790" t="s">
        <v>11</v>
      </c>
      <c r="D2790" t="s">
        <v>22</v>
      </c>
      <c r="E2790" t="s">
        <v>23</v>
      </c>
      <c r="F2790">
        <v>106.31</v>
      </c>
      <c r="G2790" t="s">
        <v>19</v>
      </c>
      <c r="H2790" t="s">
        <v>15</v>
      </c>
      <c r="I2790">
        <v>2.4</v>
      </c>
      <c r="J2790">
        <v>15</v>
      </c>
      <c r="K2790">
        <v>5</v>
      </c>
    </row>
    <row r="2791" spans="1:11" x14ac:dyDescent="0.35">
      <c r="A2791">
        <v>2790</v>
      </c>
      <c r="B2791">
        <v>50</v>
      </c>
      <c r="C2791" t="s">
        <v>16</v>
      </c>
      <c r="D2791" t="s">
        <v>33</v>
      </c>
      <c r="E2791" t="s">
        <v>38</v>
      </c>
      <c r="F2791">
        <v>116.45</v>
      </c>
      <c r="G2791" t="s">
        <v>31</v>
      </c>
      <c r="H2791" t="s">
        <v>15</v>
      </c>
      <c r="I2791">
        <v>3.7</v>
      </c>
      <c r="J2791">
        <v>18</v>
      </c>
      <c r="K2791">
        <v>9</v>
      </c>
    </row>
    <row r="2792" spans="1:11" x14ac:dyDescent="0.35">
      <c r="A2792">
        <v>2791</v>
      </c>
      <c r="B2792">
        <v>61</v>
      </c>
      <c r="C2792" t="s">
        <v>16</v>
      </c>
      <c r="D2792" t="s">
        <v>33</v>
      </c>
      <c r="E2792" t="s">
        <v>38</v>
      </c>
      <c r="F2792">
        <v>166.25</v>
      </c>
      <c r="G2792" t="s">
        <v>24</v>
      </c>
      <c r="H2792" t="s">
        <v>15</v>
      </c>
      <c r="I2792">
        <v>4.3</v>
      </c>
      <c r="J2792">
        <v>8</v>
      </c>
      <c r="K2792">
        <v>4</v>
      </c>
    </row>
    <row r="2793" spans="1:11" x14ac:dyDescent="0.35">
      <c r="A2793">
        <v>2792</v>
      </c>
      <c r="B2793">
        <v>38</v>
      </c>
      <c r="C2793" t="s">
        <v>16</v>
      </c>
      <c r="D2793" t="s">
        <v>33</v>
      </c>
      <c r="E2793" t="s">
        <v>34</v>
      </c>
      <c r="F2793">
        <v>204.4</v>
      </c>
      <c r="G2793" t="s">
        <v>19</v>
      </c>
      <c r="H2793" t="s">
        <v>15</v>
      </c>
      <c r="I2793">
        <v>4.7</v>
      </c>
      <c r="J2793">
        <v>6</v>
      </c>
      <c r="K2793">
        <v>3</v>
      </c>
    </row>
    <row r="2794" spans="1:11" x14ac:dyDescent="0.35">
      <c r="A2794">
        <v>2793</v>
      </c>
      <c r="B2794">
        <v>37</v>
      </c>
      <c r="C2794" t="s">
        <v>16</v>
      </c>
      <c r="D2794" t="s">
        <v>20</v>
      </c>
      <c r="E2794" t="s">
        <v>39</v>
      </c>
      <c r="F2794">
        <v>239.14</v>
      </c>
      <c r="G2794" t="s">
        <v>24</v>
      </c>
      <c r="H2794" t="s">
        <v>15</v>
      </c>
      <c r="I2794">
        <v>2.2000000000000002</v>
      </c>
      <c r="J2794">
        <v>15</v>
      </c>
      <c r="K2794">
        <v>5</v>
      </c>
    </row>
    <row r="2795" spans="1:11" x14ac:dyDescent="0.35">
      <c r="A2795">
        <v>2794</v>
      </c>
      <c r="B2795">
        <v>37</v>
      </c>
      <c r="C2795" t="s">
        <v>16</v>
      </c>
      <c r="D2795" t="s">
        <v>33</v>
      </c>
      <c r="E2795" t="s">
        <v>38</v>
      </c>
      <c r="F2795">
        <v>174.28</v>
      </c>
      <c r="G2795" t="s">
        <v>19</v>
      </c>
      <c r="H2795" t="s">
        <v>15</v>
      </c>
      <c r="I2795">
        <v>3.2</v>
      </c>
      <c r="J2795">
        <v>15</v>
      </c>
      <c r="K2795">
        <v>5</v>
      </c>
    </row>
    <row r="2796" spans="1:11" x14ac:dyDescent="0.35">
      <c r="A2796">
        <v>2795</v>
      </c>
      <c r="B2796">
        <v>30</v>
      </c>
      <c r="C2796" t="s">
        <v>16</v>
      </c>
      <c r="D2796" t="s">
        <v>33</v>
      </c>
      <c r="E2796" t="s">
        <v>34</v>
      </c>
      <c r="F2796">
        <v>54.8</v>
      </c>
      <c r="G2796" t="s">
        <v>31</v>
      </c>
      <c r="H2796" t="s">
        <v>37</v>
      </c>
      <c r="I2796">
        <v>3.6</v>
      </c>
      <c r="J2796">
        <v>22</v>
      </c>
      <c r="K2796">
        <v>6</v>
      </c>
    </row>
    <row r="2797" spans="1:11" x14ac:dyDescent="0.35">
      <c r="A2797">
        <v>2796</v>
      </c>
      <c r="B2797">
        <v>32</v>
      </c>
      <c r="C2797" t="s">
        <v>11</v>
      </c>
      <c r="D2797" t="s">
        <v>20</v>
      </c>
      <c r="E2797" t="s">
        <v>39</v>
      </c>
      <c r="F2797">
        <v>65.040000000000006</v>
      </c>
      <c r="G2797" t="s">
        <v>31</v>
      </c>
      <c r="H2797" t="s">
        <v>37</v>
      </c>
      <c r="I2797">
        <v>4.9000000000000004</v>
      </c>
      <c r="J2797">
        <v>15</v>
      </c>
      <c r="K2797">
        <v>5</v>
      </c>
    </row>
    <row r="2798" spans="1:11" x14ac:dyDescent="0.35">
      <c r="A2798">
        <v>2797</v>
      </c>
      <c r="B2798">
        <v>29</v>
      </c>
      <c r="C2798" t="s">
        <v>16</v>
      </c>
      <c r="D2798" t="s">
        <v>20</v>
      </c>
      <c r="E2798" t="s">
        <v>36</v>
      </c>
      <c r="F2798">
        <v>121.15</v>
      </c>
      <c r="G2798" t="s">
        <v>19</v>
      </c>
      <c r="H2798" t="s">
        <v>15</v>
      </c>
      <c r="I2798">
        <v>3.4</v>
      </c>
      <c r="J2798">
        <v>4</v>
      </c>
      <c r="K2798">
        <v>2</v>
      </c>
    </row>
    <row r="2799" spans="1:11" x14ac:dyDescent="0.35">
      <c r="A2799">
        <v>2798</v>
      </c>
      <c r="B2799">
        <v>37</v>
      </c>
      <c r="C2799" t="s">
        <v>11</v>
      </c>
      <c r="D2799" t="s">
        <v>29</v>
      </c>
      <c r="E2799" t="s">
        <v>30</v>
      </c>
      <c r="F2799">
        <v>111.74</v>
      </c>
      <c r="G2799" t="s">
        <v>19</v>
      </c>
      <c r="H2799" t="s">
        <v>15</v>
      </c>
      <c r="I2799">
        <v>4.5999999999999996</v>
      </c>
      <c r="J2799">
        <v>11</v>
      </c>
      <c r="K2799">
        <v>3</v>
      </c>
    </row>
    <row r="2800" spans="1:11" x14ac:dyDescent="0.35">
      <c r="A2800">
        <v>2799</v>
      </c>
      <c r="B2800">
        <v>38</v>
      </c>
      <c r="C2800" t="s">
        <v>11</v>
      </c>
      <c r="D2800" t="s">
        <v>29</v>
      </c>
      <c r="E2800" t="s">
        <v>51</v>
      </c>
      <c r="F2800">
        <v>142.9</v>
      </c>
      <c r="G2800" t="s">
        <v>14</v>
      </c>
      <c r="H2800" t="s">
        <v>15</v>
      </c>
      <c r="I2800">
        <v>3.8</v>
      </c>
      <c r="J2800">
        <v>7</v>
      </c>
      <c r="K2800">
        <v>1</v>
      </c>
    </row>
    <row r="2801" spans="1:11" x14ac:dyDescent="0.35">
      <c r="A2801">
        <v>2800</v>
      </c>
      <c r="B2801">
        <v>61</v>
      </c>
      <c r="C2801" t="s">
        <v>16</v>
      </c>
      <c r="D2801" t="s">
        <v>20</v>
      </c>
      <c r="E2801" t="s">
        <v>39</v>
      </c>
      <c r="F2801">
        <v>85.18</v>
      </c>
      <c r="G2801" t="s">
        <v>24</v>
      </c>
      <c r="H2801" t="s">
        <v>37</v>
      </c>
      <c r="I2801">
        <v>2.7</v>
      </c>
      <c r="J2801">
        <v>4</v>
      </c>
      <c r="K2801">
        <v>2</v>
      </c>
    </row>
    <row r="2802" spans="1:11" x14ac:dyDescent="0.35">
      <c r="A2802">
        <v>2801</v>
      </c>
      <c r="B2802">
        <v>25</v>
      </c>
      <c r="C2802" t="s">
        <v>11</v>
      </c>
      <c r="D2802" t="s">
        <v>12</v>
      </c>
      <c r="E2802" t="s">
        <v>56</v>
      </c>
      <c r="F2802">
        <v>137.33000000000001</v>
      </c>
      <c r="G2802" t="s">
        <v>31</v>
      </c>
      <c r="H2802" t="s">
        <v>15</v>
      </c>
      <c r="I2802">
        <v>4.7</v>
      </c>
      <c r="J2802">
        <v>20</v>
      </c>
      <c r="K2802">
        <v>10</v>
      </c>
    </row>
    <row r="2803" spans="1:11" x14ac:dyDescent="0.35">
      <c r="A2803">
        <v>2802</v>
      </c>
      <c r="B2803">
        <v>60</v>
      </c>
      <c r="C2803" t="s">
        <v>16</v>
      </c>
      <c r="D2803" t="s">
        <v>33</v>
      </c>
      <c r="E2803" t="s">
        <v>38</v>
      </c>
      <c r="F2803">
        <v>82.73</v>
      </c>
      <c r="G2803" t="s">
        <v>19</v>
      </c>
      <c r="H2803" t="s">
        <v>37</v>
      </c>
      <c r="I2803">
        <v>3.6</v>
      </c>
      <c r="J2803">
        <v>8</v>
      </c>
      <c r="K2803">
        <v>4</v>
      </c>
    </row>
    <row r="2804" spans="1:11" x14ac:dyDescent="0.35">
      <c r="A2804">
        <v>2803</v>
      </c>
      <c r="B2804">
        <v>25</v>
      </c>
      <c r="C2804" t="s">
        <v>16</v>
      </c>
      <c r="D2804" t="s">
        <v>17</v>
      </c>
      <c r="E2804" t="s">
        <v>48</v>
      </c>
      <c r="F2804">
        <v>186.21</v>
      </c>
      <c r="G2804" t="s">
        <v>14</v>
      </c>
      <c r="H2804" t="s">
        <v>15</v>
      </c>
      <c r="I2804">
        <v>3.8</v>
      </c>
      <c r="J2804">
        <v>9</v>
      </c>
      <c r="K2804">
        <v>2</v>
      </c>
    </row>
    <row r="2805" spans="1:11" x14ac:dyDescent="0.35">
      <c r="A2805">
        <v>2804</v>
      </c>
      <c r="B2805">
        <v>23</v>
      </c>
      <c r="C2805" t="s">
        <v>11</v>
      </c>
      <c r="D2805" t="s">
        <v>33</v>
      </c>
      <c r="E2805" t="s">
        <v>34</v>
      </c>
      <c r="F2805">
        <v>211.98</v>
      </c>
      <c r="G2805" t="s">
        <v>14</v>
      </c>
      <c r="H2805" t="s">
        <v>15</v>
      </c>
      <c r="I2805">
        <v>3.8</v>
      </c>
      <c r="J2805">
        <v>15</v>
      </c>
      <c r="K2805">
        <v>5</v>
      </c>
    </row>
    <row r="2806" spans="1:11" x14ac:dyDescent="0.35">
      <c r="A2806">
        <v>2805</v>
      </c>
      <c r="B2806">
        <v>48</v>
      </c>
      <c r="C2806" t="s">
        <v>11</v>
      </c>
      <c r="D2806" t="s">
        <v>29</v>
      </c>
      <c r="E2806" t="s">
        <v>30</v>
      </c>
      <c r="F2806">
        <v>36.46</v>
      </c>
      <c r="G2806" t="s">
        <v>24</v>
      </c>
      <c r="H2806" t="s">
        <v>15</v>
      </c>
      <c r="I2806">
        <v>4.5999999999999996</v>
      </c>
      <c r="J2806">
        <v>18</v>
      </c>
      <c r="K2806">
        <v>4</v>
      </c>
    </row>
    <row r="2807" spans="1:11" x14ac:dyDescent="0.35">
      <c r="A2807">
        <v>2806</v>
      </c>
      <c r="B2807">
        <v>41</v>
      </c>
      <c r="C2807" t="s">
        <v>11</v>
      </c>
      <c r="D2807" t="s">
        <v>29</v>
      </c>
      <c r="E2807" t="s">
        <v>51</v>
      </c>
      <c r="F2807">
        <v>120.18</v>
      </c>
      <c r="G2807" t="s">
        <v>19</v>
      </c>
      <c r="H2807" t="s">
        <v>15</v>
      </c>
      <c r="I2807">
        <v>4</v>
      </c>
      <c r="J2807">
        <v>14</v>
      </c>
      <c r="K2807">
        <v>7</v>
      </c>
    </row>
    <row r="2808" spans="1:11" x14ac:dyDescent="0.35">
      <c r="A2808">
        <v>2807</v>
      </c>
      <c r="B2808">
        <v>44</v>
      </c>
      <c r="C2808" t="s">
        <v>16</v>
      </c>
      <c r="D2808" t="s">
        <v>17</v>
      </c>
      <c r="E2808" t="s">
        <v>42</v>
      </c>
      <c r="F2808">
        <v>133.57</v>
      </c>
      <c r="G2808" t="s">
        <v>19</v>
      </c>
      <c r="H2808" t="s">
        <v>15</v>
      </c>
      <c r="I2808">
        <v>4.0999999999999996</v>
      </c>
      <c r="J2808">
        <v>24</v>
      </c>
      <c r="K2808">
        <v>7</v>
      </c>
    </row>
    <row r="2809" spans="1:11" x14ac:dyDescent="0.35">
      <c r="A2809">
        <v>2808</v>
      </c>
      <c r="B2809">
        <v>22</v>
      </c>
      <c r="C2809" t="s">
        <v>16</v>
      </c>
      <c r="D2809" t="s">
        <v>33</v>
      </c>
      <c r="E2809" t="s">
        <v>38</v>
      </c>
      <c r="F2809">
        <v>156.66</v>
      </c>
      <c r="G2809" t="s">
        <v>24</v>
      </c>
      <c r="H2809" t="s">
        <v>15</v>
      </c>
      <c r="I2809">
        <v>4</v>
      </c>
      <c r="J2809">
        <v>13</v>
      </c>
      <c r="K2809">
        <v>4</v>
      </c>
    </row>
    <row r="2810" spans="1:11" x14ac:dyDescent="0.35">
      <c r="A2810">
        <v>2809</v>
      </c>
      <c r="B2810">
        <v>28</v>
      </c>
      <c r="C2810" t="s">
        <v>11</v>
      </c>
      <c r="D2810" t="s">
        <v>12</v>
      </c>
      <c r="E2810" t="s">
        <v>13</v>
      </c>
      <c r="F2810">
        <v>28.16</v>
      </c>
      <c r="G2810" t="s">
        <v>24</v>
      </c>
      <c r="H2810" t="s">
        <v>37</v>
      </c>
      <c r="I2810">
        <v>4.4000000000000004</v>
      </c>
      <c r="J2810">
        <v>22</v>
      </c>
      <c r="K2810">
        <v>6</v>
      </c>
    </row>
    <row r="2811" spans="1:11" x14ac:dyDescent="0.35">
      <c r="A2811">
        <v>2810</v>
      </c>
      <c r="B2811">
        <v>27</v>
      </c>
      <c r="C2811" t="s">
        <v>16</v>
      </c>
      <c r="D2811" t="s">
        <v>17</v>
      </c>
      <c r="E2811" t="s">
        <v>18</v>
      </c>
      <c r="F2811">
        <v>143.88999999999999</v>
      </c>
      <c r="G2811" t="s">
        <v>31</v>
      </c>
      <c r="H2811" t="s">
        <v>15</v>
      </c>
      <c r="I2811">
        <v>3.9</v>
      </c>
      <c r="J2811">
        <v>19</v>
      </c>
      <c r="K2811">
        <v>7</v>
      </c>
    </row>
    <row r="2812" spans="1:11" x14ac:dyDescent="0.35">
      <c r="A2812">
        <v>2811</v>
      </c>
      <c r="B2812">
        <v>55</v>
      </c>
      <c r="C2812" t="s">
        <v>16</v>
      </c>
      <c r="D2812" t="s">
        <v>33</v>
      </c>
      <c r="E2812" t="s">
        <v>38</v>
      </c>
      <c r="F2812">
        <v>70.59</v>
      </c>
      <c r="G2812" t="s">
        <v>14</v>
      </c>
      <c r="H2812" t="s">
        <v>15</v>
      </c>
      <c r="I2812">
        <v>4.4000000000000004</v>
      </c>
      <c r="J2812">
        <v>16</v>
      </c>
      <c r="K2812">
        <v>3</v>
      </c>
    </row>
    <row r="2813" spans="1:11" x14ac:dyDescent="0.35">
      <c r="A2813">
        <v>2812</v>
      </c>
      <c r="B2813">
        <v>52</v>
      </c>
      <c r="C2813" t="s">
        <v>11</v>
      </c>
      <c r="D2813" t="s">
        <v>20</v>
      </c>
      <c r="E2813" t="s">
        <v>21</v>
      </c>
      <c r="F2813">
        <v>172.51</v>
      </c>
      <c r="G2813" t="s">
        <v>19</v>
      </c>
      <c r="H2813" t="s">
        <v>15</v>
      </c>
      <c r="I2813">
        <v>3.3</v>
      </c>
      <c r="J2813">
        <v>12</v>
      </c>
      <c r="K2813">
        <v>6</v>
      </c>
    </row>
    <row r="2814" spans="1:11" x14ac:dyDescent="0.35">
      <c r="A2814">
        <v>2813</v>
      </c>
      <c r="B2814">
        <v>49</v>
      </c>
      <c r="C2814" t="s">
        <v>11</v>
      </c>
      <c r="D2814" t="s">
        <v>29</v>
      </c>
      <c r="E2814" t="s">
        <v>51</v>
      </c>
      <c r="F2814">
        <v>67.349999999999994</v>
      </c>
      <c r="G2814" t="s">
        <v>24</v>
      </c>
      <c r="H2814" t="s">
        <v>37</v>
      </c>
      <c r="I2814">
        <v>4.0999999999999996</v>
      </c>
      <c r="J2814">
        <v>4</v>
      </c>
      <c r="K2814">
        <v>2</v>
      </c>
    </row>
    <row r="2815" spans="1:11" x14ac:dyDescent="0.35">
      <c r="A2815">
        <v>2814</v>
      </c>
      <c r="B2815">
        <v>40</v>
      </c>
      <c r="C2815" t="s">
        <v>16</v>
      </c>
      <c r="D2815" t="s">
        <v>25</v>
      </c>
      <c r="E2815" t="s">
        <v>26</v>
      </c>
      <c r="F2815">
        <v>21.13</v>
      </c>
      <c r="G2815" t="s">
        <v>31</v>
      </c>
      <c r="H2815" t="s">
        <v>37</v>
      </c>
      <c r="I2815">
        <v>3</v>
      </c>
      <c r="J2815">
        <v>6</v>
      </c>
      <c r="K2815">
        <v>3</v>
      </c>
    </row>
    <row r="2816" spans="1:11" x14ac:dyDescent="0.35">
      <c r="A2816">
        <v>2815</v>
      </c>
      <c r="B2816">
        <v>39</v>
      </c>
      <c r="C2816" t="s">
        <v>11</v>
      </c>
      <c r="D2816" t="s">
        <v>29</v>
      </c>
      <c r="E2816" t="s">
        <v>30</v>
      </c>
      <c r="F2816">
        <v>63.42</v>
      </c>
      <c r="G2816" t="s">
        <v>14</v>
      </c>
      <c r="H2816" t="s">
        <v>15</v>
      </c>
      <c r="I2816">
        <v>3.7</v>
      </c>
      <c r="J2816">
        <v>13</v>
      </c>
      <c r="K2816">
        <v>4</v>
      </c>
    </row>
    <row r="2817" spans="1:11" x14ac:dyDescent="0.35">
      <c r="A2817">
        <v>2816</v>
      </c>
      <c r="B2817">
        <v>32</v>
      </c>
      <c r="C2817" t="s">
        <v>11</v>
      </c>
      <c r="D2817" t="s">
        <v>41</v>
      </c>
      <c r="E2817" t="s">
        <v>46</v>
      </c>
      <c r="F2817">
        <v>39.659999999999997</v>
      </c>
      <c r="G2817" t="s">
        <v>24</v>
      </c>
      <c r="H2817" t="s">
        <v>15</v>
      </c>
      <c r="I2817">
        <v>3.5</v>
      </c>
      <c r="J2817">
        <v>15</v>
      </c>
      <c r="K2817">
        <v>5</v>
      </c>
    </row>
    <row r="2818" spans="1:11" x14ac:dyDescent="0.35">
      <c r="A2818">
        <v>2817</v>
      </c>
      <c r="B2818">
        <v>63</v>
      </c>
      <c r="C2818" t="s">
        <v>11</v>
      </c>
      <c r="D2818" t="s">
        <v>41</v>
      </c>
      <c r="E2818" t="s">
        <v>44</v>
      </c>
      <c r="F2818">
        <v>81.34</v>
      </c>
      <c r="G2818" t="s">
        <v>31</v>
      </c>
      <c r="H2818" t="s">
        <v>15</v>
      </c>
      <c r="I2818">
        <v>5</v>
      </c>
      <c r="J2818">
        <v>24</v>
      </c>
      <c r="K2818">
        <v>7</v>
      </c>
    </row>
    <row r="2819" spans="1:11" x14ac:dyDescent="0.35">
      <c r="A2819">
        <v>2818</v>
      </c>
      <c r="B2819">
        <v>43</v>
      </c>
      <c r="C2819" t="s">
        <v>16</v>
      </c>
      <c r="D2819" t="s">
        <v>25</v>
      </c>
      <c r="E2819" t="s">
        <v>54</v>
      </c>
      <c r="F2819">
        <v>41.52</v>
      </c>
      <c r="G2819" t="s">
        <v>19</v>
      </c>
      <c r="H2819" t="s">
        <v>15</v>
      </c>
      <c r="I2819">
        <v>4</v>
      </c>
      <c r="J2819">
        <v>16</v>
      </c>
      <c r="K2819">
        <v>3</v>
      </c>
    </row>
    <row r="2820" spans="1:11" x14ac:dyDescent="0.35">
      <c r="A2820">
        <v>2819</v>
      </c>
      <c r="B2820">
        <v>22</v>
      </c>
      <c r="C2820" t="s">
        <v>16</v>
      </c>
      <c r="D2820" t="s">
        <v>17</v>
      </c>
      <c r="E2820" t="s">
        <v>18</v>
      </c>
      <c r="F2820">
        <v>148.99</v>
      </c>
      <c r="G2820" t="s">
        <v>14</v>
      </c>
      <c r="H2820" t="s">
        <v>15</v>
      </c>
      <c r="I2820">
        <v>3.8</v>
      </c>
      <c r="J2820">
        <v>0</v>
      </c>
      <c r="K2820">
        <v>0</v>
      </c>
    </row>
    <row r="2821" spans="1:11" x14ac:dyDescent="0.35">
      <c r="A2821">
        <v>2820</v>
      </c>
      <c r="B2821">
        <v>39</v>
      </c>
      <c r="C2821" t="s">
        <v>16</v>
      </c>
      <c r="D2821" t="s">
        <v>20</v>
      </c>
      <c r="E2821" t="s">
        <v>36</v>
      </c>
      <c r="F2821">
        <v>72.52</v>
      </c>
      <c r="G2821" t="s">
        <v>14</v>
      </c>
      <c r="H2821" t="s">
        <v>15</v>
      </c>
      <c r="I2821">
        <v>4.0999999999999996</v>
      </c>
      <c r="J2821">
        <v>32</v>
      </c>
      <c r="K2821">
        <v>11</v>
      </c>
    </row>
    <row r="2822" spans="1:11" x14ac:dyDescent="0.35">
      <c r="A2822">
        <v>2821</v>
      </c>
      <c r="B2822">
        <v>50</v>
      </c>
      <c r="C2822" t="s">
        <v>16</v>
      </c>
      <c r="D2822" t="s">
        <v>20</v>
      </c>
      <c r="E2822" t="s">
        <v>36</v>
      </c>
      <c r="F2822">
        <v>51.45</v>
      </c>
      <c r="G2822" t="s">
        <v>31</v>
      </c>
      <c r="H2822" t="s">
        <v>15</v>
      </c>
      <c r="I2822">
        <v>4.8</v>
      </c>
      <c r="J2822">
        <v>21</v>
      </c>
      <c r="K2822">
        <v>8</v>
      </c>
    </row>
    <row r="2823" spans="1:11" x14ac:dyDescent="0.35">
      <c r="A2823">
        <v>2822</v>
      </c>
      <c r="B2823">
        <v>62</v>
      </c>
      <c r="C2823" t="s">
        <v>11</v>
      </c>
      <c r="D2823" t="s">
        <v>22</v>
      </c>
      <c r="E2823" t="s">
        <v>23</v>
      </c>
      <c r="F2823">
        <v>267.63</v>
      </c>
      <c r="G2823" t="s">
        <v>31</v>
      </c>
      <c r="H2823" t="s">
        <v>15</v>
      </c>
      <c r="I2823">
        <v>4</v>
      </c>
      <c r="J2823">
        <v>15</v>
      </c>
      <c r="K2823">
        <v>5</v>
      </c>
    </row>
    <row r="2824" spans="1:11" x14ac:dyDescent="0.35">
      <c r="A2824">
        <v>2823</v>
      </c>
      <c r="B2824">
        <v>34</v>
      </c>
      <c r="C2824" t="s">
        <v>16</v>
      </c>
      <c r="D2824" t="s">
        <v>17</v>
      </c>
      <c r="E2824" t="s">
        <v>35</v>
      </c>
      <c r="F2824">
        <v>173.49</v>
      </c>
      <c r="G2824" t="s">
        <v>31</v>
      </c>
      <c r="H2824" t="s">
        <v>15</v>
      </c>
      <c r="I2824">
        <v>3.6</v>
      </c>
      <c r="J2824">
        <v>16</v>
      </c>
      <c r="K2824">
        <v>8</v>
      </c>
    </row>
    <row r="2825" spans="1:11" x14ac:dyDescent="0.35">
      <c r="A2825">
        <v>2824</v>
      </c>
      <c r="B2825">
        <v>58</v>
      </c>
      <c r="C2825" t="s">
        <v>16</v>
      </c>
      <c r="D2825" t="s">
        <v>25</v>
      </c>
      <c r="E2825" t="s">
        <v>26</v>
      </c>
      <c r="F2825">
        <v>27.45</v>
      </c>
      <c r="G2825" t="s">
        <v>14</v>
      </c>
      <c r="H2825" t="s">
        <v>15</v>
      </c>
      <c r="I2825">
        <v>3.3</v>
      </c>
      <c r="J2825">
        <v>18</v>
      </c>
      <c r="K2825">
        <v>4</v>
      </c>
    </row>
    <row r="2826" spans="1:11" x14ac:dyDescent="0.35">
      <c r="A2826">
        <v>2825</v>
      </c>
      <c r="B2826">
        <v>36</v>
      </c>
      <c r="C2826" t="s">
        <v>11</v>
      </c>
      <c r="D2826" t="s">
        <v>12</v>
      </c>
      <c r="E2826" t="s">
        <v>50</v>
      </c>
      <c r="F2826">
        <v>112.43</v>
      </c>
      <c r="G2826" t="s">
        <v>31</v>
      </c>
      <c r="H2826" t="s">
        <v>15</v>
      </c>
      <c r="I2826">
        <v>4.5</v>
      </c>
      <c r="J2826">
        <v>14</v>
      </c>
      <c r="K2826">
        <v>2</v>
      </c>
    </row>
    <row r="2827" spans="1:11" x14ac:dyDescent="0.35">
      <c r="A2827">
        <v>2826</v>
      </c>
      <c r="B2827">
        <v>30</v>
      </c>
      <c r="C2827" t="s">
        <v>16</v>
      </c>
      <c r="D2827" t="s">
        <v>20</v>
      </c>
      <c r="E2827" t="s">
        <v>21</v>
      </c>
      <c r="F2827">
        <v>78.09</v>
      </c>
      <c r="G2827" t="s">
        <v>24</v>
      </c>
      <c r="H2827" t="s">
        <v>15</v>
      </c>
      <c r="I2827">
        <v>4.7</v>
      </c>
      <c r="J2827">
        <v>15</v>
      </c>
      <c r="K2827">
        <v>5</v>
      </c>
    </row>
    <row r="2828" spans="1:11" x14ac:dyDescent="0.35">
      <c r="A2828">
        <v>2827</v>
      </c>
      <c r="B2828">
        <v>42</v>
      </c>
      <c r="C2828" t="s">
        <v>11</v>
      </c>
      <c r="D2828" t="s">
        <v>33</v>
      </c>
      <c r="E2828" t="s">
        <v>34</v>
      </c>
      <c r="F2828">
        <v>169.66</v>
      </c>
      <c r="G2828" t="s">
        <v>19</v>
      </c>
      <c r="H2828" t="s">
        <v>15</v>
      </c>
      <c r="I2828">
        <v>3.8</v>
      </c>
      <c r="J2828">
        <v>11</v>
      </c>
      <c r="K2828">
        <v>3</v>
      </c>
    </row>
    <row r="2829" spans="1:11" x14ac:dyDescent="0.35">
      <c r="A2829">
        <v>2828</v>
      </c>
      <c r="B2829">
        <v>50</v>
      </c>
      <c r="C2829" t="s">
        <v>16</v>
      </c>
      <c r="D2829" t="s">
        <v>17</v>
      </c>
      <c r="E2829" t="s">
        <v>48</v>
      </c>
      <c r="F2829">
        <v>163.03</v>
      </c>
      <c r="G2829" t="s">
        <v>19</v>
      </c>
      <c r="H2829" t="s">
        <v>15</v>
      </c>
      <c r="I2829">
        <v>4.5999999999999996</v>
      </c>
      <c r="J2829">
        <v>14</v>
      </c>
      <c r="K2829">
        <v>2</v>
      </c>
    </row>
    <row r="2830" spans="1:11" x14ac:dyDescent="0.35">
      <c r="A2830">
        <v>2829</v>
      </c>
      <c r="B2830">
        <v>63</v>
      </c>
      <c r="C2830" t="s">
        <v>11</v>
      </c>
      <c r="D2830" t="s">
        <v>20</v>
      </c>
      <c r="E2830" t="s">
        <v>21</v>
      </c>
      <c r="F2830">
        <v>194.67</v>
      </c>
      <c r="G2830" t="s">
        <v>24</v>
      </c>
      <c r="H2830" t="s">
        <v>15</v>
      </c>
      <c r="I2830">
        <v>3.8</v>
      </c>
      <c r="J2830">
        <v>15</v>
      </c>
      <c r="K2830">
        <v>5</v>
      </c>
    </row>
    <row r="2831" spans="1:11" x14ac:dyDescent="0.35">
      <c r="A2831">
        <v>2830</v>
      </c>
      <c r="B2831">
        <v>50</v>
      </c>
      <c r="C2831" t="s">
        <v>11</v>
      </c>
      <c r="D2831" t="s">
        <v>20</v>
      </c>
      <c r="E2831" t="s">
        <v>21</v>
      </c>
      <c r="F2831">
        <v>82.53</v>
      </c>
      <c r="G2831" t="s">
        <v>19</v>
      </c>
      <c r="H2831" t="s">
        <v>15</v>
      </c>
      <c r="I2831">
        <v>3.7</v>
      </c>
      <c r="J2831">
        <v>16</v>
      </c>
      <c r="K2831">
        <v>3</v>
      </c>
    </row>
    <row r="2832" spans="1:11" x14ac:dyDescent="0.35">
      <c r="A2832">
        <v>2831</v>
      </c>
      <c r="B2832">
        <v>49</v>
      </c>
      <c r="C2832" t="s">
        <v>11</v>
      </c>
      <c r="D2832" t="s">
        <v>41</v>
      </c>
      <c r="E2832" t="s">
        <v>45</v>
      </c>
      <c r="F2832">
        <v>146.27000000000001</v>
      </c>
      <c r="G2832" t="s">
        <v>24</v>
      </c>
      <c r="H2832" t="s">
        <v>15</v>
      </c>
      <c r="I2832">
        <v>2.9</v>
      </c>
      <c r="J2832">
        <v>10</v>
      </c>
      <c r="K2832">
        <v>5</v>
      </c>
    </row>
    <row r="2833" spans="1:11" x14ac:dyDescent="0.35">
      <c r="A2833">
        <v>2832</v>
      </c>
      <c r="B2833">
        <v>27</v>
      </c>
      <c r="C2833" t="s">
        <v>11</v>
      </c>
      <c r="D2833" t="s">
        <v>20</v>
      </c>
      <c r="E2833" t="s">
        <v>39</v>
      </c>
      <c r="F2833">
        <v>175.05</v>
      </c>
      <c r="G2833" t="s">
        <v>19</v>
      </c>
      <c r="H2833" t="s">
        <v>15</v>
      </c>
      <c r="I2833">
        <v>2.7</v>
      </c>
      <c r="J2833">
        <v>18</v>
      </c>
      <c r="K2833">
        <v>9</v>
      </c>
    </row>
    <row r="2834" spans="1:11" x14ac:dyDescent="0.35">
      <c r="A2834">
        <v>2833</v>
      </c>
      <c r="B2834">
        <v>21</v>
      </c>
      <c r="C2834" t="s">
        <v>11</v>
      </c>
      <c r="D2834" t="s">
        <v>41</v>
      </c>
      <c r="E2834" t="s">
        <v>46</v>
      </c>
      <c r="F2834">
        <v>170.15</v>
      </c>
      <c r="G2834" t="s">
        <v>19</v>
      </c>
      <c r="H2834" t="s">
        <v>15</v>
      </c>
      <c r="I2834">
        <v>3.3</v>
      </c>
      <c r="J2834">
        <v>14</v>
      </c>
      <c r="K2834">
        <v>7</v>
      </c>
    </row>
    <row r="2835" spans="1:11" x14ac:dyDescent="0.35">
      <c r="A2835">
        <v>2834</v>
      </c>
      <c r="B2835">
        <v>42</v>
      </c>
      <c r="C2835" t="s">
        <v>11</v>
      </c>
      <c r="D2835" t="s">
        <v>22</v>
      </c>
      <c r="E2835" t="s">
        <v>43</v>
      </c>
      <c r="F2835">
        <v>91.56</v>
      </c>
      <c r="G2835" t="s">
        <v>31</v>
      </c>
      <c r="H2835" t="s">
        <v>37</v>
      </c>
      <c r="I2835">
        <v>5</v>
      </c>
      <c r="J2835">
        <v>15</v>
      </c>
      <c r="K2835">
        <v>5</v>
      </c>
    </row>
    <row r="2836" spans="1:11" x14ac:dyDescent="0.35">
      <c r="A2836">
        <v>2835</v>
      </c>
      <c r="B2836">
        <v>54</v>
      </c>
      <c r="C2836" t="s">
        <v>16</v>
      </c>
      <c r="D2836" t="s">
        <v>20</v>
      </c>
      <c r="E2836" t="s">
        <v>36</v>
      </c>
      <c r="F2836">
        <v>188.44</v>
      </c>
      <c r="G2836" t="s">
        <v>19</v>
      </c>
      <c r="H2836" t="s">
        <v>15</v>
      </c>
      <c r="I2836">
        <v>4.8</v>
      </c>
      <c r="J2836">
        <v>24</v>
      </c>
      <c r="K2836">
        <v>7</v>
      </c>
    </row>
    <row r="2837" spans="1:11" x14ac:dyDescent="0.35">
      <c r="A2837">
        <v>2836</v>
      </c>
      <c r="B2837">
        <v>47</v>
      </c>
      <c r="C2837" t="s">
        <v>16</v>
      </c>
      <c r="D2837" t="s">
        <v>27</v>
      </c>
      <c r="E2837" t="s">
        <v>49</v>
      </c>
      <c r="F2837">
        <v>585.1</v>
      </c>
      <c r="G2837" t="s">
        <v>14</v>
      </c>
      <c r="H2837" t="s">
        <v>15</v>
      </c>
      <c r="I2837">
        <v>3.6</v>
      </c>
      <c r="J2837">
        <v>14</v>
      </c>
      <c r="K2837">
        <v>2</v>
      </c>
    </row>
    <row r="2838" spans="1:11" x14ac:dyDescent="0.35">
      <c r="A2838">
        <v>2837</v>
      </c>
      <c r="B2838">
        <v>62</v>
      </c>
      <c r="C2838" t="s">
        <v>16</v>
      </c>
      <c r="D2838" t="s">
        <v>25</v>
      </c>
      <c r="E2838" t="s">
        <v>47</v>
      </c>
      <c r="F2838">
        <v>72.41</v>
      </c>
      <c r="G2838" t="s">
        <v>31</v>
      </c>
      <c r="H2838" t="s">
        <v>37</v>
      </c>
      <c r="I2838">
        <v>2.8</v>
      </c>
      <c r="J2838">
        <v>14</v>
      </c>
      <c r="K2838">
        <v>7</v>
      </c>
    </row>
    <row r="2839" spans="1:11" x14ac:dyDescent="0.35">
      <c r="A2839">
        <v>2838</v>
      </c>
      <c r="B2839">
        <v>55</v>
      </c>
      <c r="C2839" t="s">
        <v>11</v>
      </c>
      <c r="D2839" t="s">
        <v>41</v>
      </c>
      <c r="E2839" t="s">
        <v>45</v>
      </c>
      <c r="F2839">
        <v>148.16</v>
      </c>
      <c r="G2839" t="s">
        <v>14</v>
      </c>
      <c r="H2839" t="s">
        <v>15</v>
      </c>
      <c r="I2839">
        <v>3.8</v>
      </c>
      <c r="J2839">
        <v>14</v>
      </c>
      <c r="K2839">
        <v>7</v>
      </c>
    </row>
    <row r="2840" spans="1:11" x14ac:dyDescent="0.35">
      <c r="A2840">
        <v>2839</v>
      </c>
      <c r="B2840">
        <v>65</v>
      </c>
      <c r="C2840" t="s">
        <v>16</v>
      </c>
      <c r="D2840" t="s">
        <v>17</v>
      </c>
      <c r="E2840" t="s">
        <v>35</v>
      </c>
      <c r="F2840">
        <v>30.58</v>
      </c>
      <c r="G2840" t="s">
        <v>24</v>
      </c>
      <c r="H2840" t="s">
        <v>37</v>
      </c>
      <c r="I2840">
        <v>2.5</v>
      </c>
      <c r="J2840">
        <v>11</v>
      </c>
      <c r="K2840">
        <v>3</v>
      </c>
    </row>
    <row r="2841" spans="1:11" x14ac:dyDescent="0.35">
      <c r="A2841">
        <v>2840</v>
      </c>
      <c r="B2841">
        <v>23</v>
      </c>
      <c r="C2841" t="s">
        <v>11</v>
      </c>
      <c r="D2841" t="s">
        <v>12</v>
      </c>
      <c r="E2841" t="s">
        <v>50</v>
      </c>
      <c r="F2841">
        <v>48.53</v>
      </c>
      <c r="G2841" t="s">
        <v>24</v>
      </c>
      <c r="H2841" t="s">
        <v>37</v>
      </c>
      <c r="I2841">
        <v>3.1</v>
      </c>
      <c r="J2841">
        <v>10</v>
      </c>
      <c r="K2841">
        <v>5</v>
      </c>
    </row>
    <row r="2842" spans="1:11" x14ac:dyDescent="0.35">
      <c r="A2842">
        <v>2841</v>
      </c>
      <c r="B2842">
        <v>49</v>
      </c>
      <c r="C2842" t="s">
        <v>11</v>
      </c>
      <c r="D2842" t="s">
        <v>41</v>
      </c>
      <c r="E2842" t="s">
        <v>44</v>
      </c>
      <c r="F2842">
        <v>72.069999999999993</v>
      </c>
      <c r="G2842" t="s">
        <v>19</v>
      </c>
      <c r="H2842" t="s">
        <v>37</v>
      </c>
      <c r="I2842">
        <v>2.7</v>
      </c>
      <c r="J2842">
        <v>6</v>
      </c>
      <c r="K2842">
        <v>3</v>
      </c>
    </row>
    <row r="2843" spans="1:11" x14ac:dyDescent="0.35">
      <c r="A2843">
        <v>2842</v>
      </c>
      <c r="B2843">
        <v>64</v>
      </c>
      <c r="C2843" t="s">
        <v>11</v>
      </c>
      <c r="D2843" t="s">
        <v>33</v>
      </c>
      <c r="E2843" t="s">
        <v>34</v>
      </c>
      <c r="F2843">
        <v>173.87</v>
      </c>
      <c r="G2843" t="s">
        <v>24</v>
      </c>
      <c r="H2843" t="s">
        <v>15</v>
      </c>
      <c r="I2843">
        <v>3.1</v>
      </c>
      <c r="J2843">
        <v>15</v>
      </c>
      <c r="K2843">
        <v>5</v>
      </c>
    </row>
    <row r="2844" spans="1:11" x14ac:dyDescent="0.35">
      <c r="A2844">
        <v>2843</v>
      </c>
      <c r="B2844">
        <v>20</v>
      </c>
      <c r="C2844" t="s">
        <v>11</v>
      </c>
      <c r="D2844" t="s">
        <v>41</v>
      </c>
      <c r="E2844" t="s">
        <v>45</v>
      </c>
      <c r="F2844">
        <v>167.76</v>
      </c>
      <c r="G2844" t="s">
        <v>19</v>
      </c>
      <c r="H2844" t="s">
        <v>15</v>
      </c>
      <c r="I2844">
        <v>4.2</v>
      </c>
      <c r="J2844">
        <v>20</v>
      </c>
      <c r="K2844">
        <v>5</v>
      </c>
    </row>
    <row r="2845" spans="1:11" x14ac:dyDescent="0.35">
      <c r="A2845">
        <v>2844</v>
      </c>
      <c r="B2845">
        <v>28</v>
      </c>
      <c r="C2845" t="s">
        <v>16</v>
      </c>
      <c r="D2845" t="s">
        <v>27</v>
      </c>
      <c r="E2845" t="s">
        <v>32</v>
      </c>
      <c r="F2845">
        <v>581.89</v>
      </c>
      <c r="G2845" t="s">
        <v>31</v>
      </c>
      <c r="H2845" t="s">
        <v>15</v>
      </c>
      <c r="I2845">
        <v>3</v>
      </c>
      <c r="J2845">
        <v>10</v>
      </c>
      <c r="K2845">
        <v>5</v>
      </c>
    </row>
    <row r="2846" spans="1:11" x14ac:dyDescent="0.35">
      <c r="A2846">
        <v>2845</v>
      </c>
      <c r="B2846">
        <v>66</v>
      </c>
      <c r="C2846" t="s">
        <v>11</v>
      </c>
      <c r="D2846" t="s">
        <v>33</v>
      </c>
      <c r="E2846" t="s">
        <v>38</v>
      </c>
      <c r="F2846">
        <v>100.1</v>
      </c>
      <c r="G2846" t="s">
        <v>14</v>
      </c>
      <c r="H2846" t="s">
        <v>15</v>
      </c>
      <c r="I2846">
        <v>3.6</v>
      </c>
      <c r="J2846">
        <v>11</v>
      </c>
      <c r="K2846">
        <v>3</v>
      </c>
    </row>
    <row r="2847" spans="1:11" x14ac:dyDescent="0.35">
      <c r="A2847">
        <v>2846</v>
      </c>
      <c r="B2847">
        <v>57</v>
      </c>
      <c r="C2847" t="s">
        <v>11</v>
      </c>
      <c r="D2847" t="s">
        <v>29</v>
      </c>
      <c r="E2847" t="s">
        <v>51</v>
      </c>
      <c r="F2847">
        <v>28.82</v>
      </c>
      <c r="G2847" t="s">
        <v>24</v>
      </c>
      <c r="H2847" t="s">
        <v>37</v>
      </c>
      <c r="I2847">
        <v>3.3</v>
      </c>
      <c r="J2847">
        <v>16</v>
      </c>
      <c r="K2847">
        <v>3</v>
      </c>
    </row>
    <row r="2848" spans="1:11" x14ac:dyDescent="0.35">
      <c r="A2848">
        <v>2847</v>
      </c>
      <c r="B2848">
        <v>48</v>
      </c>
      <c r="C2848" t="s">
        <v>16</v>
      </c>
      <c r="D2848" t="s">
        <v>17</v>
      </c>
      <c r="E2848" t="s">
        <v>35</v>
      </c>
      <c r="F2848">
        <v>150.38</v>
      </c>
      <c r="G2848" t="s">
        <v>24</v>
      </c>
      <c r="H2848" t="s">
        <v>15</v>
      </c>
      <c r="I2848">
        <v>3.7</v>
      </c>
      <c r="J2848">
        <v>24</v>
      </c>
      <c r="K2848">
        <v>7</v>
      </c>
    </row>
    <row r="2849" spans="1:11" x14ac:dyDescent="0.35">
      <c r="A2849">
        <v>2848</v>
      </c>
      <c r="B2849">
        <v>39</v>
      </c>
      <c r="C2849" t="s">
        <v>11</v>
      </c>
      <c r="D2849" t="s">
        <v>41</v>
      </c>
      <c r="E2849" t="s">
        <v>42</v>
      </c>
      <c r="F2849">
        <v>193.29</v>
      </c>
      <c r="G2849" t="s">
        <v>19</v>
      </c>
      <c r="H2849" t="s">
        <v>15</v>
      </c>
      <c r="I2849">
        <v>2.9</v>
      </c>
      <c r="J2849">
        <v>15</v>
      </c>
      <c r="K2849">
        <v>5</v>
      </c>
    </row>
    <row r="2850" spans="1:11" x14ac:dyDescent="0.35">
      <c r="A2850">
        <v>2849</v>
      </c>
      <c r="B2850">
        <v>58</v>
      </c>
      <c r="C2850" t="s">
        <v>16</v>
      </c>
      <c r="D2850" t="s">
        <v>33</v>
      </c>
      <c r="E2850" t="s">
        <v>40</v>
      </c>
      <c r="F2850">
        <v>80.52</v>
      </c>
      <c r="G2850" t="s">
        <v>31</v>
      </c>
      <c r="H2850" t="s">
        <v>37</v>
      </c>
      <c r="I2850">
        <v>3.7</v>
      </c>
      <c r="J2850">
        <v>15</v>
      </c>
      <c r="K2850">
        <v>5</v>
      </c>
    </row>
    <row r="2851" spans="1:11" x14ac:dyDescent="0.35">
      <c r="A2851">
        <v>2850</v>
      </c>
      <c r="B2851">
        <v>64</v>
      </c>
      <c r="C2851" t="s">
        <v>11</v>
      </c>
      <c r="D2851" t="s">
        <v>25</v>
      </c>
      <c r="E2851" t="s">
        <v>57</v>
      </c>
      <c r="F2851">
        <v>19.96</v>
      </c>
      <c r="G2851" t="s">
        <v>14</v>
      </c>
      <c r="H2851" t="s">
        <v>37</v>
      </c>
      <c r="I2851">
        <v>3</v>
      </c>
      <c r="J2851">
        <v>6</v>
      </c>
      <c r="K2851">
        <v>3</v>
      </c>
    </row>
    <row r="2852" spans="1:11" x14ac:dyDescent="0.35">
      <c r="A2852">
        <v>2851</v>
      </c>
      <c r="B2852">
        <v>38</v>
      </c>
      <c r="C2852" t="s">
        <v>11</v>
      </c>
      <c r="D2852" t="s">
        <v>29</v>
      </c>
      <c r="E2852" t="s">
        <v>55</v>
      </c>
      <c r="F2852">
        <v>81.760000000000005</v>
      </c>
      <c r="G2852" t="s">
        <v>31</v>
      </c>
      <c r="H2852" t="s">
        <v>37</v>
      </c>
      <c r="I2852">
        <v>4.0999999999999996</v>
      </c>
      <c r="J2852">
        <v>8</v>
      </c>
      <c r="K2852">
        <v>4</v>
      </c>
    </row>
    <row r="2853" spans="1:11" x14ac:dyDescent="0.35">
      <c r="A2853">
        <v>2852</v>
      </c>
      <c r="B2853">
        <v>47</v>
      </c>
      <c r="C2853" t="s">
        <v>16</v>
      </c>
      <c r="D2853" t="s">
        <v>25</v>
      </c>
      <c r="E2853" t="s">
        <v>47</v>
      </c>
      <c r="F2853">
        <v>19.760000000000002</v>
      </c>
      <c r="G2853" t="s">
        <v>31</v>
      </c>
      <c r="H2853" t="s">
        <v>37</v>
      </c>
      <c r="I2853">
        <v>3.8</v>
      </c>
      <c r="J2853">
        <v>9</v>
      </c>
      <c r="K2853">
        <v>2</v>
      </c>
    </row>
    <row r="2854" spans="1:11" x14ac:dyDescent="0.35">
      <c r="A2854">
        <v>2853</v>
      </c>
      <c r="B2854">
        <v>49</v>
      </c>
      <c r="C2854" t="s">
        <v>11</v>
      </c>
      <c r="D2854" t="s">
        <v>41</v>
      </c>
      <c r="E2854" t="s">
        <v>46</v>
      </c>
      <c r="F2854">
        <v>73.31</v>
      </c>
      <c r="G2854" t="s">
        <v>19</v>
      </c>
      <c r="H2854" t="s">
        <v>37</v>
      </c>
      <c r="I2854">
        <v>3.5</v>
      </c>
      <c r="J2854">
        <v>20</v>
      </c>
      <c r="K2854">
        <v>5</v>
      </c>
    </row>
    <row r="2855" spans="1:11" x14ac:dyDescent="0.35">
      <c r="A2855">
        <v>2854</v>
      </c>
      <c r="B2855">
        <v>30</v>
      </c>
      <c r="C2855" t="s">
        <v>16</v>
      </c>
      <c r="D2855" t="s">
        <v>20</v>
      </c>
      <c r="E2855" t="s">
        <v>36</v>
      </c>
      <c r="F2855">
        <v>95.37</v>
      </c>
      <c r="G2855" t="s">
        <v>31</v>
      </c>
      <c r="H2855" t="s">
        <v>37</v>
      </c>
      <c r="I2855">
        <v>4.2</v>
      </c>
      <c r="J2855">
        <v>17</v>
      </c>
      <c r="K2855">
        <v>6</v>
      </c>
    </row>
    <row r="2856" spans="1:11" x14ac:dyDescent="0.35">
      <c r="A2856">
        <v>2855</v>
      </c>
      <c r="B2856">
        <v>24</v>
      </c>
      <c r="C2856" t="s">
        <v>11</v>
      </c>
      <c r="D2856" t="s">
        <v>12</v>
      </c>
      <c r="E2856" t="s">
        <v>13</v>
      </c>
      <c r="F2856">
        <v>105.91</v>
      </c>
      <c r="G2856" t="s">
        <v>14</v>
      </c>
      <c r="H2856" t="s">
        <v>15</v>
      </c>
      <c r="I2856">
        <v>3.9</v>
      </c>
      <c r="J2856">
        <v>19</v>
      </c>
      <c r="K2856">
        <v>7</v>
      </c>
    </row>
    <row r="2857" spans="1:11" x14ac:dyDescent="0.35">
      <c r="A2857">
        <v>2856</v>
      </c>
      <c r="B2857">
        <v>68</v>
      </c>
      <c r="C2857" t="s">
        <v>16</v>
      </c>
      <c r="D2857" t="s">
        <v>17</v>
      </c>
      <c r="E2857" t="s">
        <v>18</v>
      </c>
      <c r="F2857">
        <v>82.8</v>
      </c>
      <c r="G2857" t="s">
        <v>24</v>
      </c>
      <c r="H2857" t="s">
        <v>15</v>
      </c>
      <c r="I2857">
        <v>3.6</v>
      </c>
      <c r="J2857">
        <v>8</v>
      </c>
      <c r="K2857">
        <v>4</v>
      </c>
    </row>
    <row r="2858" spans="1:11" x14ac:dyDescent="0.35">
      <c r="A2858">
        <v>2857</v>
      </c>
      <c r="B2858">
        <v>68</v>
      </c>
      <c r="C2858" t="s">
        <v>16</v>
      </c>
      <c r="D2858" t="s">
        <v>22</v>
      </c>
      <c r="E2858" t="s">
        <v>23</v>
      </c>
      <c r="F2858">
        <v>260.13</v>
      </c>
      <c r="G2858" t="s">
        <v>31</v>
      </c>
      <c r="H2858" t="s">
        <v>15</v>
      </c>
      <c r="I2858">
        <v>4</v>
      </c>
      <c r="J2858">
        <v>24</v>
      </c>
      <c r="K2858">
        <v>7</v>
      </c>
    </row>
    <row r="2859" spans="1:11" x14ac:dyDescent="0.35">
      <c r="A2859">
        <v>2858</v>
      </c>
      <c r="B2859">
        <v>55</v>
      </c>
      <c r="C2859" t="s">
        <v>11</v>
      </c>
      <c r="D2859" t="s">
        <v>33</v>
      </c>
      <c r="E2859" t="s">
        <v>40</v>
      </c>
      <c r="F2859">
        <v>196.79</v>
      </c>
      <c r="G2859" t="s">
        <v>31</v>
      </c>
      <c r="H2859" t="s">
        <v>15</v>
      </c>
      <c r="I2859">
        <v>3.7</v>
      </c>
      <c r="J2859">
        <v>10</v>
      </c>
      <c r="K2859">
        <v>5</v>
      </c>
    </row>
    <row r="2860" spans="1:11" x14ac:dyDescent="0.35">
      <c r="A2860">
        <v>2859</v>
      </c>
      <c r="B2860">
        <v>47</v>
      </c>
      <c r="C2860" t="s">
        <v>11</v>
      </c>
      <c r="D2860" t="s">
        <v>29</v>
      </c>
      <c r="E2860" t="s">
        <v>30</v>
      </c>
      <c r="F2860">
        <v>137.02000000000001</v>
      </c>
      <c r="G2860" t="s">
        <v>31</v>
      </c>
      <c r="H2860" t="s">
        <v>15</v>
      </c>
      <c r="I2860">
        <v>3.7</v>
      </c>
      <c r="J2860">
        <v>14</v>
      </c>
      <c r="K2860">
        <v>7</v>
      </c>
    </row>
    <row r="2861" spans="1:11" x14ac:dyDescent="0.35">
      <c r="A2861">
        <v>2860</v>
      </c>
      <c r="B2861">
        <v>31</v>
      </c>
      <c r="C2861" t="s">
        <v>16</v>
      </c>
      <c r="D2861" t="s">
        <v>25</v>
      </c>
      <c r="E2861" t="s">
        <v>47</v>
      </c>
      <c r="F2861">
        <v>61.33</v>
      </c>
      <c r="G2861" t="s">
        <v>19</v>
      </c>
      <c r="H2861" t="s">
        <v>15</v>
      </c>
      <c r="I2861">
        <v>3.6</v>
      </c>
      <c r="J2861">
        <v>16</v>
      </c>
      <c r="K2861">
        <v>3</v>
      </c>
    </row>
    <row r="2862" spans="1:11" x14ac:dyDescent="0.35">
      <c r="A2862">
        <v>2861</v>
      </c>
      <c r="B2862">
        <v>38</v>
      </c>
      <c r="C2862" t="s">
        <v>16</v>
      </c>
      <c r="D2862" t="s">
        <v>20</v>
      </c>
      <c r="E2862" t="s">
        <v>21</v>
      </c>
      <c r="F2862">
        <v>152.38999999999999</v>
      </c>
      <c r="G2862" t="s">
        <v>24</v>
      </c>
      <c r="H2862" t="s">
        <v>15</v>
      </c>
      <c r="I2862">
        <v>5</v>
      </c>
      <c r="J2862">
        <v>18</v>
      </c>
      <c r="K2862">
        <v>9</v>
      </c>
    </row>
    <row r="2863" spans="1:11" x14ac:dyDescent="0.35">
      <c r="A2863">
        <v>2862</v>
      </c>
      <c r="B2863">
        <v>50</v>
      </c>
      <c r="C2863" t="s">
        <v>11</v>
      </c>
      <c r="D2863" t="s">
        <v>41</v>
      </c>
      <c r="E2863" t="s">
        <v>46</v>
      </c>
      <c r="F2863">
        <v>35.770000000000003</v>
      </c>
      <c r="G2863" t="s">
        <v>14</v>
      </c>
      <c r="H2863" t="s">
        <v>37</v>
      </c>
      <c r="I2863">
        <v>3.8</v>
      </c>
      <c r="J2863">
        <v>10</v>
      </c>
      <c r="K2863">
        <v>5</v>
      </c>
    </row>
    <row r="2864" spans="1:11" x14ac:dyDescent="0.35">
      <c r="A2864">
        <v>2863</v>
      </c>
      <c r="B2864">
        <v>33</v>
      </c>
      <c r="C2864" t="s">
        <v>11</v>
      </c>
      <c r="D2864" t="s">
        <v>25</v>
      </c>
      <c r="E2864" t="s">
        <v>57</v>
      </c>
      <c r="F2864">
        <v>46.73</v>
      </c>
      <c r="G2864" t="s">
        <v>31</v>
      </c>
      <c r="H2864" t="s">
        <v>15</v>
      </c>
      <c r="I2864">
        <v>3.5</v>
      </c>
      <c r="J2864">
        <v>11</v>
      </c>
      <c r="K2864">
        <v>3</v>
      </c>
    </row>
    <row r="2865" spans="1:11" x14ac:dyDescent="0.35">
      <c r="A2865">
        <v>2864</v>
      </c>
      <c r="B2865">
        <v>35</v>
      </c>
      <c r="C2865" t="s">
        <v>16</v>
      </c>
      <c r="D2865" t="s">
        <v>17</v>
      </c>
      <c r="E2865" t="s">
        <v>18</v>
      </c>
      <c r="F2865">
        <v>129.83000000000001</v>
      </c>
      <c r="G2865" t="s">
        <v>19</v>
      </c>
      <c r="H2865" t="s">
        <v>15</v>
      </c>
      <c r="I2865">
        <v>4</v>
      </c>
      <c r="J2865">
        <v>21</v>
      </c>
      <c r="K2865">
        <v>8</v>
      </c>
    </row>
    <row r="2866" spans="1:11" x14ac:dyDescent="0.35">
      <c r="A2866">
        <v>2865</v>
      </c>
      <c r="B2866">
        <v>47</v>
      </c>
      <c r="C2866" t="s">
        <v>16</v>
      </c>
      <c r="D2866" t="s">
        <v>20</v>
      </c>
      <c r="E2866" t="s">
        <v>36</v>
      </c>
      <c r="F2866">
        <v>223.95</v>
      </c>
      <c r="G2866" t="s">
        <v>24</v>
      </c>
      <c r="H2866" t="s">
        <v>15</v>
      </c>
      <c r="I2866">
        <v>4.8</v>
      </c>
      <c r="J2866">
        <v>24</v>
      </c>
      <c r="K2866">
        <v>7</v>
      </c>
    </row>
    <row r="2867" spans="1:11" x14ac:dyDescent="0.35">
      <c r="A2867">
        <v>2866</v>
      </c>
      <c r="B2867">
        <v>28</v>
      </c>
      <c r="C2867" t="s">
        <v>11</v>
      </c>
      <c r="D2867" t="s">
        <v>29</v>
      </c>
      <c r="E2867" t="s">
        <v>55</v>
      </c>
      <c r="F2867">
        <v>30.28</v>
      </c>
      <c r="G2867" t="s">
        <v>19</v>
      </c>
      <c r="H2867" t="s">
        <v>37</v>
      </c>
      <c r="I2867">
        <v>5</v>
      </c>
      <c r="J2867">
        <v>17</v>
      </c>
      <c r="K2867">
        <v>6</v>
      </c>
    </row>
    <row r="2868" spans="1:11" x14ac:dyDescent="0.35">
      <c r="A2868">
        <v>2867</v>
      </c>
      <c r="B2868">
        <v>55</v>
      </c>
      <c r="C2868" t="s">
        <v>16</v>
      </c>
      <c r="D2868" t="s">
        <v>20</v>
      </c>
      <c r="E2868" t="s">
        <v>39</v>
      </c>
      <c r="F2868">
        <v>228.55</v>
      </c>
      <c r="G2868" t="s">
        <v>31</v>
      </c>
      <c r="H2868" t="s">
        <v>15</v>
      </c>
      <c r="I2868">
        <v>4.9000000000000004</v>
      </c>
      <c r="J2868">
        <v>28</v>
      </c>
      <c r="K2868">
        <v>9</v>
      </c>
    </row>
    <row r="2869" spans="1:11" x14ac:dyDescent="0.35">
      <c r="A2869">
        <v>2868</v>
      </c>
      <c r="B2869">
        <v>57</v>
      </c>
      <c r="C2869" t="s">
        <v>16</v>
      </c>
      <c r="D2869" t="s">
        <v>20</v>
      </c>
      <c r="E2869" t="s">
        <v>39</v>
      </c>
      <c r="F2869">
        <v>195.53</v>
      </c>
      <c r="G2869" t="s">
        <v>24</v>
      </c>
      <c r="H2869" t="s">
        <v>15</v>
      </c>
      <c r="I2869">
        <v>3.4</v>
      </c>
      <c r="J2869">
        <v>10</v>
      </c>
      <c r="K2869">
        <v>5</v>
      </c>
    </row>
    <row r="2870" spans="1:11" x14ac:dyDescent="0.35">
      <c r="A2870">
        <v>2869</v>
      </c>
      <c r="B2870">
        <v>59</v>
      </c>
      <c r="C2870" t="s">
        <v>16</v>
      </c>
      <c r="D2870" t="s">
        <v>33</v>
      </c>
      <c r="E2870" t="s">
        <v>34</v>
      </c>
      <c r="F2870">
        <v>131.44</v>
      </c>
      <c r="G2870" t="s">
        <v>14</v>
      </c>
      <c r="H2870" t="s">
        <v>15</v>
      </c>
      <c r="I2870">
        <v>3.2</v>
      </c>
      <c r="J2870">
        <v>15</v>
      </c>
      <c r="K2870">
        <v>5</v>
      </c>
    </row>
    <row r="2871" spans="1:11" x14ac:dyDescent="0.35">
      <c r="A2871">
        <v>2870</v>
      </c>
      <c r="B2871">
        <v>27</v>
      </c>
      <c r="C2871" t="s">
        <v>16</v>
      </c>
      <c r="D2871" t="s">
        <v>20</v>
      </c>
      <c r="E2871" t="s">
        <v>36</v>
      </c>
      <c r="F2871">
        <v>118.81</v>
      </c>
      <c r="G2871" t="s">
        <v>14</v>
      </c>
      <c r="H2871" t="s">
        <v>15</v>
      </c>
      <c r="I2871">
        <v>2.2000000000000002</v>
      </c>
      <c r="J2871">
        <v>8</v>
      </c>
      <c r="K2871">
        <v>4</v>
      </c>
    </row>
    <row r="2872" spans="1:11" x14ac:dyDescent="0.35">
      <c r="A2872">
        <v>2871</v>
      </c>
      <c r="B2872">
        <v>62</v>
      </c>
      <c r="C2872" t="s">
        <v>11</v>
      </c>
      <c r="D2872" t="s">
        <v>41</v>
      </c>
      <c r="E2872" t="s">
        <v>45</v>
      </c>
      <c r="F2872">
        <v>117.38</v>
      </c>
      <c r="G2872" t="s">
        <v>24</v>
      </c>
      <c r="H2872" t="s">
        <v>15</v>
      </c>
      <c r="I2872">
        <v>4.5</v>
      </c>
      <c r="J2872">
        <v>10</v>
      </c>
      <c r="K2872">
        <v>5</v>
      </c>
    </row>
    <row r="2873" spans="1:11" x14ac:dyDescent="0.35">
      <c r="A2873">
        <v>2872</v>
      </c>
      <c r="B2873">
        <v>58</v>
      </c>
      <c r="C2873" t="s">
        <v>11</v>
      </c>
      <c r="D2873" t="s">
        <v>33</v>
      </c>
      <c r="E2873" t="s">
        <v>34</v>
      </c>
      <c r="F2873">
        <v>143.71</v>
      </c>
      <c r="G2873" t="s">
        <v>24</v>
      </c>
      <c r="H2873" t="s">
        <v>15</v>
      </c>
      <c r="I2873">
        <v>2.8</v>
      </c>
      <c r="J2873">
        <v>14</v>
      </c>
      <c r="K2873">
        <v>2</v>
      </c>
    </row>
    <row r="2874" spans="1:11" x14ac:dyDescent="0.35">
      <c r="A2874">
        <v>2873</v>
      </c>
      <c r="B2874">
        <v>21</v>
      </c>
      <c r="C2874" t="s">
        <v>16</v>
      </c>
      <c r="D2874" t="s">
        <v>20</v>
      </c>
      <c r="E2874" t="s">
        <v>21</v>
      </c>
      <c r="F2874">
        <v>85.22</v>
      </c>
      <c r="G2874" t="s">
        <v>19</v>
      </c>
      <c r="H2874" t="s">
        <v>37</v>
      </c>
      <c r="I2874">
        <v>4.5999999999999996</v>
      </c>
      <c r="J2874">
        <v>28</v>
      </c>
      <c r="K2874">
        <v>9</v>
      </c>
    </row>
    <row r="2875" spans="1:11" x14ac:dyDescent="0.35">
      <c r="A2875">
        <v>2874</v>
      </c>
      <c r="B2875">
        <v>48</v>
      </c>
      <c r="C2875" t="s">
        <v>11</v>
      </c>
      <c r="D2875" t="s">
        <v>41</v>
      </c>
      <c r="E2875" t="s">
        <v>46</v>
      </c>
      <c r="F2875">
        <v>135.59</v>
      </c>
      <c r="G2875" t="s">
        <v>19</v>
      </c>
      <c r="H2875" t="s">
        <v>15</v>
      </c>
      <c r="I2875">
        <v>4.2</v>
      </c>
      <c r="J2875">
        <v>21</v>
      </c>
      <c r="K2875">
        <v>8</v>
      </c>
    </row>
    <row r="2876" spans="1:11" x14ac:dyDescent="0.35">
      <c r="A2876">
        <v>2875</v>
      </c>
      <c r="B2876">
        <v>33</v>
      </c>
      <c r="C2876" t="s">
        <v>11</v>
      </c>
      <c r="D2876" t="s">
        <v>20</v>
      </c>
      <c r="E2876" t="s">
        <v>39</v>
      </c>
      <c r="F2876">
        <v>249.24</v>
      </c>
      <c r="G2876" t="s">
        <v>24</v>
      </c>
      <c r="H2876" t="s">
        <v>15</v>
      </c>
      <c r="I2876">
        <v>4.3</v>
      </c>
      <c r="J2876">
        <v>6</v>
      </c>
      <c r="K2876">
        <v>3</v>
      </c>
    </row>
    <row r="2877" spans="1:11" x14ac:dyDescent="0.35">
      <c r="A2877">
        <v>2876</v>
      </c>
      <c r="B2877">
        <v>41</v>
      </c>
      <c r="C2877" t="s">
        <v>16</v>
      </c>
      <c r="D2877" t="s">
        <v>17</v>
      </c>
      <c r="E2877" t="s">
        <v>35</v>
      </c>
      <c r="F2877">
        <v>127.61</v>
      </c>
      <c r="G2877" t="s">
        <v>31</v>
      </c>
      <c r="H2877" t="s">
        <v>15</v>
      </c>
      <c r="I2877">
        <v>4</v>
      </c>
      <c r="J2877">
        <v>14</v>
      </c>
      <c r="K2877">
        <v>2</v>
      </c>
    </row>
    <row r="2878" spans="1:11" x14ac:dyDescent="0.35">
      <c r="A2878">
        <v>2877</v>
      </c>
      <c r="B2878">
        <v>68</v>
      </c>
      <c r="C2878" t="s">
        <v>16</v>
      </c>
      <c r="D2878" t="s">
        <v>27</v>
      </c>
      <c r="E2878" t="s">
        <v>28</v>
      </c>
      <c r="F2878">
        <v>2121.4</v>
      </c>
      <c r="G2878" t="s">
        <v>19</v>
      </c>
      <c r="H2878" t="s">
        <v>15</v>
      </c>
      <c r="I2878">
        <v>3.6</v>
      </c>
      <c r="J2878">
        <v>4</v>
      </c>
      <c r="K2878">
        <v>2</v>
      </c>
    </row>
    <row r="2879" spans="1:11" x14ac:dyDescent="0.35">
      <c r="A2879">
        <v>2878</v>
      </c>
      <c r="B2879">
        <v>64</v>
      </c>
      <c r="C2879" t="s">
        <v>16</v>
      </c>
      <c r="D2879" t="s">
        <v>17</v>
      </c>
      <c r="E2879" t="s">
        <v>42</v>
      </c>
      <c r="F2879">
        <v>129.65</v>
      </c>
      <c r="G2879" t="s">
        <v>31</v>
      </c>
      <c r="H2879" t="s">
        <v>15</v>
      </c>
      <c r="I2879">
        <v>3.5</v>
      </c>
      <c r="J2879">
        <v>16</v>
      </c>
      <c r="K2879">
        <v>3</v>
      </c>
    </row>
    <row r="2880" spans="1:11" x14ac:dyDescent="0.35">
      <c r="A2880">
        <v>2879</v>
      </c>
      <c r="B2880">
        <v>54</v>
      </c>
      <c r="C2880" t="s">
        <v>16</v>
      </c>
      <c r="D2880" t="s">
        <v>33</v>
      </c>
      <c r="E2880" t="s">
        <v>34</v>
      </c>
      <c r="F2880">
        <v>67.94</v>
      </c>
      <c r="G2880" t="s">
        <v>14</v>
      </c>
      <c r="H2880" t="s">
        <v>37</v>
      </c>
      <c r="I2880">
        <v>3.7</v>
      </c>
      <c r="J2880">
        <v>18</v>
      </c>
      <c r="K2880">
        <v>9</v>
      </c>
    </row>
    <row r="2881" spans="1:11" x14ac:dyDescent="0.35">
      <c r="A2881">
        <v>2880</v>
      </c>
      <c r="B2881">
        <v>55</v>
      </c>
      <c r="C2881" t="s">
        <v>16</v>
      </c>
      <c r="D2881" t="s">
        <v>20</v>
      </c>
      <c r="E2881" t="s">
        <v>21</v>
      </c>
      <c r="F2881">
        <v>236.33</v>
      </c>
      <c r="G2881" t="s">
        <v>31</v>
      </c>
      <c r="H2881" t="s">
        <v>15</v>
      </c>
      <c r="I2881">
        <v>2.6</v>
      </c>
      <c r="J2881">
        <v>13</v>
      </c>
      <c r="K2881">
        <v>4</v>
      </c>
    </row>
    <row r="2882" spans="1:11" x14ac:dyDescent="0.35">
      <c r="A2882">
        <v>2881</v>
      </c>
      <c r="B2882">
        <v>49</v>
      </c>
      <c r="C2882" t="s">
        <v>16</v>
      </c>
      <c r="D2882" t="s">
        <v>27</v>
      </c>
      <c r="E2882" t="s">
        <v>53</v>
      </c>
      <c r="F2882">
        <v>2447.8000000000002</v>
      </c>
      <c r="G2882" t="s">
        <v>14</v>
      </c>
      <c r="H2882" t="s">
        <v>15</v>
      </c>
      <c r="I2882">
        <v>2.8</v>
      </c>
      <c r="J2882">
        <v>13</v>
      </c>
      <c r="K2882">
        <v>4</v>
      </c>
    </row>
    <row r="2883" spans="1:11" x14ac:dyDescent="0.35">
      <c r="A2883">
        <v>2882</v>
      </c>
      <c r="B2883">
        <v>26</v>
      </c>
      <c r="C2883" t="s">
        <v>16</v>
      </c>
      <c r="D2883" t="s">
        <v>27</v>
      </c>
      <c r="E2883" t="s">
        <v>28</v>
      </c>
      <c r="F2883">
        <v>1922.9</v>
      </c>
      <c r="G2883" t="s">
        <v>14</v>
      </c>
      <c r="H2883" t="s">
        <v>15</v>
      </c>
      <c r="I2883">
        <v>2.9</v>
      </c>
      <c r="J2883">
        <v>8</v>
      </c>
      <c r="K2883">
        <v>4</v>
      </c>
    </row>
    <row r="2884" spans="1:11" x14ac:dyDescent="0.35">
      <c r="A2884">
        <v>2883</v>
      </c>
      <c r="B2884">
        <v>54</v>
      </c>
      <c r="C2884" t="s">
        <v>16</v>
      </c>
      <c r="D2884" t="s">
        <v>27</v>
      </c>
      <c r="E2884" t="s">
        <v>32</v>
      </c>
      <c r="F2884">
        <v>1252.53</v>
      </c>
      <c r="G2884" t="s">
        <v>31</v>
      </c>
      <c r="H2884" t="s">
        <v>15</v>
      </c>
      <c r="I2884">
        <v>3.9</v>
      </c>
      <c r="J2884">
        <v>2</v>
      </c>
      <c r="K2884">
        <v>1</v>
      </c>
    </row>
    <row r="2885" spans="1:11" x14ac:dyDescent="0.35">
      <c r="A2885">
        <v>2884</v>
      </c>
      <c r="B2885">
        <v>40</v>
      </c>
      <c r="C2885" t="s">
        <v>11</v>
      </c>
      <c r="D2885" t="s">
        <v>41</v>
      </c>
      <c r="E2885" t="s">
        <v>46</v>
      </c>
      <c r="F2885">
        <v>144.26</v>
      </c>
      <c r="G2885" t="s">
        <v>31</v>
      </c>
      <c r="H2885" t="s">
        <v>15</v>
      </c>
      <c r="I2885">
        <v>3.9</v>
      </c>
      <c r="J2885">
        <v>10</v>
      </c>
      <c r="K2885">
        <v>5</v>
      </c>
    </row>
    <row r="2886" spans="1:11" x14ac:dyDescent="0.35">
      <c r="A2886">
        <v>2885</v>
      </c>
      <c r="B2886">
        <v>42</v>
      </c>
      <c r="C2886" t="s">
        <v>16</v>
      </c>
      <c r="D2886" t="s">
        <v>33</v>
      </c>
      <c r="E2886" t="s">
        <v>40</v>
      </c>
      <c r="F2886">
        <v>227.07</v>
      </c>
      <c r="G2886" t="s">
        <v>14</v>
      </c>
      <c r="H2886" t="s">
        <v>15</v>
      </c>
      <c r="I2886">
        <v>2.8</v>
      </c>
      <c r="J2886">
        <v>13</v>
      </c>
      <c r="K2886">
        <v>4</v>
      </c>
    </row>
    <row r="2887" spans="1:11" x14ac:dyDescent="0.35">
      <c r="A2887">
        <v>2886</v>
      </c>
      <c r="B2887">
        <v>20</v>
      </c>
      <c r="C2887" t="s">
        <v>11</v>
      </c>
      <c r="D2887" t="s">
        <v>12</v>
      </c>
      <c r="E2887" t="s">
        <v>50</v>
      </c>
      <c r="F2887">
        <v>104.38</v>
      </c>
      <c r="G2887" t="s">
        <v>31</v>
      </c>
      <c r="H2887" t="s">
        <v>15</v>
      </c>
      <c r="I2887">
        <v>5</v>
      </c>
      <c r="J2887">
        <v>21</v>
      </c>
      <c r="K2887">
        <v>8</v>
      </c>
    </row>
    <row r="2888" spans="1:11" x14ac:dyDescent="0.35">
      <c r="A2888">
        <v>2887</v>
      </c>
      <c r="B2888">
        <v>51</v>
      </c>
      <c r="C2888" t="s">
        <v>16</v>
      </c>
      <c r="D2888" t="s">
        <v>17</v>
      </c>
      <c r="E2888" t="s">
        <v>18</v>
      </c>
      <c r="F2888">
        <v>168.21</v>
      </c>
      <c r="G2888" t="s">
        <v>19</v>
      </c>
      <c r="H2888" t="s">
        <v>15</v>
      </c>
      <c r="I2888">
        <v>3.3</v>
      </c>
      <c r="J2888">
        <v>13</v>
      </c>
      <c r="K2888">
        <v>4</v>
      </c>
    </row>
    <row r="2889" spans="1:11" x14ac:dyDescent="0.35">
      <c r="A2889">
        <v>2888</v>
      </c>
      <c r="B2889">
        <v>37</v>
      </c>
      <c r="C2889" t="s">
        <v>11</v>
      </c>
      <c r="D2889" t="s">
        <v>29</v>
      </c>
      <c r="E2889" t="s">
        <v>30</v>
      </c>
      <c r="F2889">
        <v>95.35</v>
      </c>
      <c r="G2889" t="s">
        <v>14</v>
      </c>
      <c r="H2889" t="s">
        <v>15</v>
      </c>
      <c r="I2889">
        <v>4.4000000000000004</v>
      </c>
      <c r="J2889">
        <v>12</v>
      </c>
      <c r="K2889">
        <v>6</v>
      </c>
    </row>
    <row r="2890" spans="1:11" x14ac:dyDescent="0.35">
      <c r="A2890">
        <v>2889</v>
      </c>
      <c r="B2890">
        <v>45</v>
      </c>
      <c r="C2890" t="s">
        <v>11</v>
      </c>
      <c r="D2890" t="s">
        <v>41</v>
      </c>
      <c r="E2890" t="s">
        <v>45</v>
      </c>
      <c r="F2890">
        <v>30.38</v>
      </c>
      <c r="G2890" t="s">
        <v>19</v>
      </c>
      <c r="H2890" t="s">
        <v>37</v>
      </c>
      <c r="I2890">
        <v>4.2</v>
      </c>
      <c r="J2890">
        <v>30</v>
      </c>
      <c r="K2890">
        <v>10</v>
      </c>
    </row>
    <row r="2891" spans="1:11" x14ac:dyDescent="0.35">
      <c r="A2891">
        <v>2890</v>
      </c>
      <c r="B2891">
        <v>57</v>
      </c>
      <c r="C2891" t="s">
        <v>16</v>
      </c>
      <c r="D2891" t="s">
        <v>20</v>
      </c>
      <c r="E2891" t="s">
        <v>36</v>
      </c>
      <c r="F2891">
        <v>197.01</v>
      </c>
      <c r="G2891" t="s">
        <v>14</v>
      </c>
      <c r="H2891" t="s">
        <v>15</v>
      </c>
      <c r="I2891">
        <v>3.8</v>
      </c>
      <c r="J2891">
        <v>11</v>
      </c>
      <c r="K2891">
        <v>3</v>
      </c>
    </row>
    <row r="2892" spans="1:11" x14ac:dyDescent="0.35">
      <c r="A2892">
        <v>2891</v>
      </c>
      <c r="B2892">
        <v>33</v>
      </c>
      <c r="C2892" t="s">
        <v>11</v>
      </c>
      <c r="D2892" t="s">
        <v>12</v>
      </c>
      <c r="E2892" t="s">
        <v>50</v>
      </c>
      <c r="F2892">
        <v>136.04</v>
      </c>
      <c r="G2892" t="s">
        <v>19</v>
      </c>
      <c r="H2892" t="s">
        <v>15</v>
      </c>
      <c r="I2892">
        <v>3.6</v>
      </c>
      <c r="J2892">
        <v>12</v>
      </c>
      <c r="K2892">
        <v>1</v>
      </c>
    </row>
    <row r="2893" spans="1:11" x14ac:dyDescent="0.35">
      <c r="A2893">
        <v>2892</v>
      </c>
      <c r="B2893">
        <v>41</v>
      </c>
      <c r="C2893" t="s">
        <v>11</v>
      </c>
      <c r="D2893" t="s">
        <v>29</v>
      </c>
      <c r="E2893" t="s">
        <v>55</v>
      </c>
      <c r="F2893">
        <v>110.69</v>
      </c>
      <c r="G2893" t="s">
        <v>31</v>
      </c>
      <c r="H2893" t="s">
        <v>15</v>
      </c>
      <c r="I2893">
        <v>3.6</v>
      </c>
      <c r="J2893">
        <v>13</v>
      </c>
      <c r="K2893">
        <v>4</v>
      </c>
    </row>
    <row r="2894" spans="1:11" x14ac:dyDescent="0.35">
      <c r="A2894">
        <v>2893</v>
      </c>
      <c r="B2894">
        <v>21</v>
      </c>
      <c r="C2894" t="s">
        <v>11</v>
      </c>
      <c r="D2894" t="s">
        <v>12</v>
      </c>
      <c r="E2894" t="s">
        <v>50</v>
      </c>
      <c r="F2894">
        <v>49.93</v>
      </c>
      <c r="G2894" t="s">
        <v>14</v>
      </c>
      <c r="H2894" t="s">
        <v>37</v>
      </c>
      <c r="I2894">
        <v>4.3</v>
      </c>
      <c r="J2894">
        <v>14</v>
      </c>
      <c r="K2894">
        <v>2</v>
      </c>
    </row>
    <row r="2895" spans="1:11" x14ac:dyDescent="0.35">
      <c r="A2895">
        <v>2894</v>
      </c>
      <c r="B2895">
        <v>49</v>
      </c>
      <c r="C2895" t="s">
        <v>11</v>
      </c>
      <c r="D2895" t="s">
        <v>12</v>
      </c>
      <c r="E2895" t="s">
        <v>13</v>
      </c>
      <c r="F2895">
        <v>143.66999999999999</v>
      </c>
      <c r="G2895" t="s">
        <v>24</v>
      </c>
      <c r="H2895" t="s">
        <v>15</v>
      </c>
      <c r="I2895">
        <v>3.2</v>
      </c>
      <c r="J2895">
        <v>6</v>
      </c>
      <c r="K2895">
        <v>3</v>
      </c>
    </row>
    <row r="2896" spans="1:11" x14ac:dyDescent="0.35">
      <c r="A2896">
        <v>2895</v>
      </c>
      <c r="B2896">
        <v>65</v>
      </c>
      <c r="C2896" t="s">
        <v>16</v>
      </c>
      <c r="D2896" t="s">
        <v>22</v>
      </c>
      <c r="E2896" t="s">
        <v>23</v>
      </c>
      <c r="F2896">
        <v>107.46</v>
      </c>
      <c r="G2896" t="s">
        <v>31</v>
      </c>
      <c r="H2896" t="s">
        <v>15</v>
      </c>
      <c r="I2896">
        <v>3.7</v>
      </c>
      <c r="J2896">
        <v>10</v>
      </c>
      <c r="K2896">
        <v>5</v>
      </c>
    </row>
    <row r="2897" spans="1:11" x14ac:dyDescent="0.35">
      <c r="A2897">
        <v>2896</v>
      </c>
      <c r="B2897">
        <v>55</v>
      </c>
      <c r="C2897" t="s">
        <v>16</v>
      </c>
      <c r="D2897" t="s">
        <v>20</v>
      </c>
      <c r="E2897" t="s">
        <v>36</v>
      </c>
      <c r="F2897">
        <v>206.53</v>
      </c>
      <c r="G2897" t="s">
        <v>14</v>
      </c>
      <c r="H2897" t="s">
        <v>15</v>
      </c>
      <c r="I2897">
        <v>4.8</v>
      </c>
      <c r="J2897">
        <v>16</v>
      </c>
      <c r="K2897">
        <v>3</v>
      </c>
    </row>
    <row r="2898" spans="1:11" x14ac:dyDescent="0.35">
      <c r="A2898">
        <v>2897</v>
      </c>
      <c r="B2898">
        <v>59</v>
      </c>
      <c r="C2898" t="s">
        <v>16</v>
      </c>
      <c r="D2898" t="s">
        <v>27</v>
      </c>
      <c r="E2898" t="s">
        <v>32</v>
      </c>
      <c r="F2898">
        <v>1202.92</v>
      </c>
      <c r="G2898" t="s">
        <v>24</v>
      </c>
      <c r="H2898" t="s">
        <v>15</v>
      </c>
      <c r="I2898">
        <v>3.1</v>
      </c>
      <c r="J2898">
        <v>18</v>
      </c>
      <c r="K2898">
        <v>4</v>
      </c>
    </row>
    <row r="2899" spans="1:11" x14ac:dyDescent="0.35">
      <c r="A2899">
        <v>2898</v>
      </c>
      <c r="B2899">
        <v>56</v>
      </c>
      <c r="C2899" t="s">
        <v>11</v>
      </c>
      <c r="D2899" t="s">
        <v>29</v>
      </c>
      <c r="E2899" t="s">
        <v>30</v>
      </c>
      <c r="F2899">
        <v>137.71</v>
      </c>
      <c r="G2899" t="s">
        <v>24</v>
      </c>
      <c r="H2899" t="s">
        <v>15</v>
      </c>
      <c r="I2899">
        <v>3.7</v>
      </c>
      <c r="J2899">
        <v>7</v>
      </c>
      <c r="K2899">
        <v>1</v>
      </c>
    </row>
    <row r="2900" spans="1:11" x14ac:dyDescent="0.35">
      <c r="A2900">
        <v>2899</v>
      </c>
      <c r="B2900">
        <v>40</v>
      </c>
      <c r="C2900" t="s">
        <v>11</v>
      </c>
      <c r="D2900" t="s">
        <v>33</v>
      </c>
      <c r="E2900" t="s">
        <v>34</v>
      </c>
      <c r="F2900">
        <v>208.5</v>
      </c>
      <c r="G2900" t="s">
        <v>31</v>
      </c>
      <c r="H2900" t="s">
        <v>15</v>
      </c>
      <c r="I2900">
        <v>4.3</v>
      </c>
      <c r="J2900">
        <v>30</v>
      </c>
      <c r="K2900">
        <v>10</v>
      </c>
    </row>
    <row r="2901" spans="1:11" x14ac:dyDescent="0.35">
      <c r="A2901">
        <v>2900</v>
      </c>
      <c r="B2901">
        <v>48</v>
      </c>
      <c r="C2901" t="s">
        <v>16</v>
      </c>
      <c r="D2901" t="s">
        <v>17</v>
      </c>
      <c r="E2901" t="s">
        <v>48</v>
      </c>
      <c r="F2901">
        <v>188.32</v>
      </c>
      <c r="G2901" t="s">
        <v>14</v>
      </c>
      <c r="H2901" t="s">
        <v>15</v>
      </c>
      <c r="I2901">
        <v>4.0999999999999996</v>
      </c>
      <c r="J2901">
        <v>24</v>
      </c>
      <c r="K2901">
        <v>12</v>
      </c>
    </row>
    <row r="2902" spans="1:11" x14ac:dyDescent="0.35">
      <c r="A2902">
        <v>2901</v>
      </c>
      <c r="B2902">
        <v>30</v>
      </c>
      <c r="C2902" t="s">
        <v>16</v>
      </c>
      <c r="D2902" t="s">
        <v>22</v>
      </c>
      <c r="E2902" t="s">
        <v>52</v>
      </c>
      <c r="F2902">
        <v>38.31</v>
      </c>
      <c r="G2902" t="s">
        <v>31</v>
      </c>
      <c r="H2902" t="s">
        <v>15</v>
      </c>
      <c r="I2902">
        <v>3.2</v>
      </c>
      <c r="J2902">
        <v>14</v>
      </c>
      <c r="K2902">
        <v>7</v>
      </c>
    </row>
    <row r="2903" spans="1:11" x14ac:dyDescent="0.35">
      <c r="A2903">
        <v>2902</v>
      </c>
      <c r="B2903">
        <v>41</v>
      </c>
      <c r="C2903" t="s">
        <v>11</v>
      </c>
      <c r="D2903" t="s">
        <v>25</v>
      </c>
      <c r="E2903" t="s">
        <v>54</v>
      </c>
      <c r="F2903">
        <v>58.38</v>
      </c>
      <c r="G2903" t="s">
        <v>31</v>
      </c>
      <c r="H2903" t="s">
        <v>37</v>
      </c>
      <c r="I2903">
        <v>2.2999999999999998</v>
      </c>
      <c r="J2903">
        <v>10</v>
      </c>
      <c r="K2903">
        <v>5</v>
      </c>
    </row>
    <row r="2904" spans="1:11" x14ac:dyDescent="0.35">
      <c r="A2904">
        <v>2903</v>
      </c>
      <c r="B2904">
        <v>58</v>
      </c>
      <c r="C2904" t="s">
        <v>16</v>
      </c>
      <c r="D2904" t="s">
        <v>27</v>
      </c>
      <c r="E2904" t="s">
        <v>53</v>
      </c>
      <c r="F2904">
        <v>824.07</v>
      </c>
      <c r="G2904" t="s">
        <v>19</v>
      </c>
      <c r="H2904" t="s">
        <v>15</v>
      </c>
      <c r="I2904">
        <v>3.8</v>
      </c>
      <c r="J2904">
        <v>10</v>
      </c>
      <c r="K2904">
        <v>5</v>
      </c>
    </row>
    <row r="2905" spans="1:11" x14ac:dyDescent="0.35">
      <c r="A2905">
        <v>2904</v>
      </c>
      <c r="B2905">
        <v>47</v>
      </c>
      <c r="C2905" t="s">
        <v>11</v>
      </c>
      <c r="D2905" t="s">
        <v>22</v>
      </c>
      <c r="E2905" t="s">
        <v>23</v>
      </c>
      <c r="F2905">
        <v>123.62</v>
      </c>
      <c r="G2905" t="s">
        <v>14</v>
      </c>
      <c r="H2905" t="s">
        <v>15</v>
      </c>
      <c r="I2905">
        <v>3</v>
      </c>
      <c r="J2905">
        <v>6</v>
      </c>
      <c r="K2905">
        <v>3</v>
      </c>
    </row>
    <row r="2906" spans="1:11" x14ac:dyDescent="0.35">
      <c r="A2906">
        <v>2905</v>
      </c>
      <c r="B2906">
        <v>61</v>
      </c>
      <c r="C2906" t="s">
        <v>16</v>
      </c>
      <c r="D2906" t="s">
        <v>27</v>
      </c>
      <c r="E2906" t="s">
        <v>53</v>
      </c>
      <c r="F2906">
        <v>1368.88</v>
      </c>
      <c r="G2906" t="s">
        <v>24</v>
      </c>
      <c r="H2906" t="s">
        <v>15</v>
      </c>
      <c r="I2906">
        <v>2.8</v>
      </c>
      <c r="J2906">
        <v>4</v>
      </c>
      <c r="K2906">
        <v>2</v>
      </c>
    </row>
    <row r="2907" spans="1:11" x14ac:dyDescent="0.35">
      <c r="A2907">
        <v>2906</v>
      </c>
      <c r="B2907">
        <v>50</v>
      </c>
      <c r="C2907" t="s">
        <v>16</v>
      </c>
      <c r="D2907" t="s">
        <v>25</v>
      </c>
      <c r="E2907" t="s">
        <v>54</v>
      </c>
      <c r="F2907">
        <v>58.24</v>
      </c>
      <c r="G2907" t="s">
        <v>19</v>
      </c>
      <c r="H2907" t="s">
        <v>15</v>
      </c>
      <c r="I2907">
        <v>3.1</v>
      </c>
      <c r="J2907">
        <v>16</v>
      </c>
      <c r="K2907">
        <v>3</v>
      </c>
    </row>
    <row r="2908" spans="1:11" x14ac:dyDescent="0.35">
      <c r="A2908">
        <v>2907</v>
      </c>
      <c r="B2908">
        <v>69</v>
      </c>
      <c r="C2908" t="s">
        <v>16</v>
      </c>
      <c r="D2908" t="s">
        <v>20</v>
      </c>
      <c r="E2908" t="s">
        <v>39</v>
      </c>
      <c r="F2908">
        <v>168.81</v>
      </c>
      <c r="G2908" t="s">
        <v>19</v>
      </c>
      <c r="H2908" t="s">
        <v>15</v>
      </c>
      <c r="I2908">
        <v>3.2</v>
      </c>
      <c r="J2908">
        <v>36</v>
      </c>
      <c r="K2908">
        <v>13</v>
      </c>
    </row>
    <row r="2909" spans="1:11" x14ac:dyDescent="0.35">
      <c r="A2909">
        <v>2908</v>
      </c>
      <c r="B2909">
        <v>48</v>
      </c>
      <c r="C2909" t="s">
        <v>11</v>
      </c>
      <c r="D2909" t="s">
        <v>41</v>
      </c>
      <c r="E2909" t="s">
        <v>42</v>
      </c>
      <c r="F2909">
        <v>146.69</v>
      </c>
      <c r="G2909" t="s">
        <v>24</v>
      </c>
      <c r="H2909" t="s">
        <v>15</v>
      </c>
      <c r="I2909">
        <v>3.5</v>
      </c>
      <c r="J2909">
        <v>20</v>
      </c>
      <c r="K2909">
        <v>5</v>
      </c>
    </row>
    <row r="2910" spans="1:11" x14ac:dyDescent="0.35">
      <c r="A2910">
        <v>2909</v>
      </c>
      <c r="B2910">
        <v>40</v>
      </c>
      <c r="C2910" t="s">
        <v>16</v>
      </c>
      <c r="D2910" t="s">
        <v>22</v>
      </c>
      <c r="E2910" t="s">
        <v>43</v>
      </c>
      <c r="F2910">
        <v>155.94999999999999</v>
      </c>
      <c r="G2910" t="s">
        <v>24</v>
      </c>
      <c r="H2910" t="s">
        <v>15</v>
      </c>
      <c r="I2910">
        <v>3.3</v>
      </c>
      <c r="J2910">
        <v>16</v>
      </c>
      <c r="K2910">
        <v>3</v>
      </c>
    </row>
    <row r="2911" spans="1:11" x14ac:dyDescent="0.35">
      <c r="A2911">
        <v>2910</v>
      </c>
      <c r="B2911">
        <v>29</v>
      </c>
      <c r="C2911" t="s">
        <v>11</v>
      </c>
      <c r="D2911" t="s">
        <v>22</v>
      </c>
      <c r="E2911" t="s">
        <v>43</v>
      </c>
      <c r="F2911">
        <v>243.83</v>
      </c>
      <c r="G2911" t="s">
        <v>19</v>
      </c>
      <c r="H2911" t="s">
        <v>15</v>
      </c>
      <c r="I2911">
        <v>4.5</v>
      </c>
      <c r="J2911">
        <v>12</v>
      </c>
      <c r="K2911">
        <v>6</v>
      </c>
    </row>
    <row r="2912" spans="1:11" x14ac:dyDescent="0.35">
      <c r="A2912">
        <v>2911</v>
      </c>
      <c r="B2912">
        <v>67</v>
      </c>
      <c r="C2912" t="s">
        <v>16</v>
      </c>
      <c r="D2912" t="s">
        <v>27</v>
      </c>
      <c r="E2912" t="s">
        <v>53</v>
      </c>
      <c r="F2912">
        <v>1908.28</v>
      </c>
      <c r="G2912" t="s">
        <v>19</v>
      </c>
      <c r="H2912" t="s">
        <v>15</v>
      </c>
      <c r="I2912">
        <v>4</v>
      </c>
      <c r="J2912">
        <v>24</v>
      </c>
      <c r="K2912">
        <v>7</v>
      </c>
    </row>
    <row r="2913" spans="1:11" x14ac:dyDescent="0.35">
      <c r="A2913">
        <v>2912</v>
      </c>
      <c r="B2913">
        <v>70</v>
      </c>
      <c r="C2913" t="s">
        <v>16</v>
      </c>
      <c r="D2913" t="s">
        <v>33</v>
      </c>
      <c r="E2913" t="s">
        <v>38</v>
      </c>
      <c r="F2913">
        <v>73.739999999999995</v>
      </c>
      <c r="G2913" t="s">
        <v>31</v>
      </c>
      <c r="H2913" t="s">
        <v>15</v>
      </c>
      <c r="I2913">
        <v>3.4</v>
      </c>
      <c r="J2913">
        <v>20</v>
      </c>
      <c r="K2913">
        <v>5</v>
      </c>
    </row>
    <row r="2914" spans="1:11" x14ac:dyDescent="0.35">
      <c r="A2914">
        <v>2913</v>
      </c>
      <c r="B2914">
        <v>38</v>
      </c>
      <c r="C2914" t="s">
        <v>11</v>
      </c>
      <c r="D2914" t="s">
        <v>41</v>
      </c>
      <c r="E2914" t="s">
        <v>44</v>
      </c>
      <c r="F2914">
        <v>74.12</v>
      </c>
      <c r="G2914" t="s">
        <v>31</v>
      </c>
      <c r="H2914" t="s">
        <v>37</v>
      </c>
      <c r="I2914">
        <v>4.3</v>
      </c>
      <c r="J2914">
        <v>18</v>
      </c>
      <c r="K2914">
        <v>4</v>
      </c>
    </row>
    <row r="2915" spans="1:11" x14ac:dyDescent="0.35">
      <c r="A2915">
        <v>2914</v>
      </c>
      <c r="B2915">
        <v>23</v>
      </c>
      <c r="C2915" t="s">
        <v>11</v>
      </c>
      <c r="D2915" t="s">
        <v>41</v>
      </c>
      <c r="E2915" t="s">
        <v>45</v>
      </c>
      <c r="F2915">
        <v>44.28</v>
      </c>
      <c r="G2915" t="s">
        <v>31</v>
      </c>
      <c r="H2915" t="s">
        <v>37</v>
      </c>
      <c r="I2915">
        <v>4.9000000000000004</v>
      </c>
      <c r="J2915">
        <v>15</v>
      </c>
      <c r="K2915">
        <v>5</v>
      </c>
    </row>
    <row r="2916" spans="1:11" x14ac:dyDescent="0.35">
      <c r="A2916">
        <v>2915</v>
      </c>
      <c r="B2916">
        <v>47</v>
      </c>
      <c r="C2916" t="s">
        <v>16</v>
      </c>
      <c r="D2916" t="s">
        <v>33</v>
      </c>
      <c r="E2916" t="s">
        <v>34</v>
      </c>
      <c r="F2916">
        <v>174.96</v>
      </c>
      <c r="G2916" t="s">
        <v>14</v>
      </c>
      <c r="H2916" t="s">
        <v>15</v>
      </c>
      <c r="I2916">
        <v>5</v>
      </c>
      <c r="J2916">
        <v>9</v>
      </c>
      <c r="K2916">
        <v>2</v>
      </c>
    </row>
    <row r="2917" spans="1:11" x14ac:dyDescent="0.35">
      <c r="A2917">
        <v>2916</v>
      </c>
      <c r="B2917">
        <v>42</v>
      </c>
      <c r="C2917" t="s">
        <v>11</v>
      </c>
      <c r="D2917" t="s">
        <v>12</v>
      </c>
      <c r="E2917" t="s">
        <v>50</v>
      </c>
      <c r="F2917">
        <v>137.86000000000001</v>
      </c>
      <c r="G2917" t="s">
        <v>31</v>
      </c>
      <c r="H2917" t="s">
        <v>15</v>
      </c>
      <c r="I2917">
        <v>5</v>
      </c>
      <c r="J2917">
        <v>12</v>
      </c>
      <c r="K2917">
        <v>1</v>
      </c>
    </row>
    <row r="2918" spans="1:11" x14ac:dyDescent="0.35">
      <c r="A2918">
        <v>2917</v>
      </c>
      <c r="B2918">
        <v>69</v>
      </c>
      <c r="C2918" t="s">
        <v>16</v>
      </c>
      <c r="D2918" t="s">
        <v>17</v>
      </c>
      <c r="E2918" t="s">
        <v>35</v>
      </c>
      <c r="F2918">
        <v>172.24</v>
      </c>
      <c r="G2918" t="s">
        <v>14</v>
      </c>
      <c r="H2918" t="s">
        <v>15</v>
      </c>
      <c r="I2918">
        <v>4.3</v>
      </c>
      <c r="J2918">
        <v>18</v>
      </c>
      <c r="K2918">
        <v>9</v>
      </c>
    </row>
    <row r="2919" spans="1:11" x14ac:dyDescent="0.35">
      <c r="A2919">
        <v>2918</v>
      </c>
      <c r="B2919">
        <v>59</v>
      </c>
      <c r="C2919" t="s">
        <v>11</v>
      </c>
      <c r="D2919" t="s">
        <v>12</v>
      </c>
      <c r="E2919" t="s">
        <v>56</v>
      </c>
      <c r="F2919">
        <v>99.13</v>
      </c>
      <c r="G2919" t="s">
        <v>24</v>
      </c>
      <c r="H2919" t="s">
        <v>15</v>
      </c>
      <c r="I2919">
        <v>3.5</v>
      </c>
      <c r="J2919">
        <v>18</v>
      </c>
      <c r="K2919">
        <v>4</v>
      </c>
    </row>
    <row r="2920" spans="1:11" x14ac:dyDescent="0.35">
      <c r="A2920">
        <v>2919</v>
      </c>
      <c r="B2920">
        <v>67</v>
      </c>
      <c r="C2920" t="s">
        <v>11</v>
      </c>
      <c r="D2920" t="s">
        <v>41</v>
      </c>
      <c r="E2920" t="s">
        <v>44</v>
      </c>
      <c r="F2920">
        <v>149.36000000000001</v>
      </c>
      <c r="G2920" t="s">
        <v>14</v>
      </c>
      <c r="H2920" t="s">
        <v>15</v>
      </c>
      <c r="I2920">
        <v>3.8</v>
      </c>
      <c r="J2920">
        <v>20</v>
      </c>
      <c r="K2920">
        <v>10</v>
      </c>
    </row>
    <row r="2921" spans="1:11" x14ac:dyDescent="0.35">
      <c r="A2921">
        <v>2920</v>
      </c>
      <c r="B2921">
        <v>47</v>
      </c>
      <c r="C2921" t="s">
        <v>11</v>
      </c>
      <c r="D2921" t="s">
        <v>33</v>
      </c>
      <c r="E2921" t="s">
        <v>34</v>
      </c>
      <c r="F2921">
        <v>58.36</v>
      </c>
      <c r="G2921" t="s">
        <v>14</v>
      </c>
      <c r="H2921" t="s">
        <v>37</v>
      </c>
      <c r="I2921">
        <v>3.1</v>
      </c>
      <c r="J2921">
        <v>16</v>
      </c>
      <c r="K2921">
        <v>3</v>
      </c>
    </row>
    <row r="2922" spans="1:11" x14ac:dyDescent="0.35">
      <c r="A2922">
        <v>2921</v>
      </c>
      <c r="B2922">
        <v>40</v>
      </c>
      <c r="C2922" t="s">
        <v>16</v>
      </c>
      <c r="D2922" t="s">
        <v>20</v>
      </c>
      <c r="E2922" t="s">
        <v>36</v>
      </c>
      <c r="F2922">
        <v>108.91</v>
      </c>
      <c r="G2922" t="s">
        <v>19</v>
      </c>
      <c r="H2922" t="s">
        <v>15</v>
      </c>
      <c r="I2922">
        <v>3.6</v>
      </c>
      <c r="J2922">
        <v>12</v>
      </c>
      <c r="K2922">
        <v>6</v>
      </c>
    </row>
    <row r="2923" spans="1:11" x14ac:dyDescent="0.35">
      <c r="A2923">
        <v>2922</v>
      </c>
      <c r="B2923">
        <v>42</v>
      </c>
      <c r="C2923" t="s">
        <v>16</v>
      </c>
      <c r="D2923" t="s">
        <v>20</v>
      </c>
      <c r="E2923" t="s">
        <v>39</v>
      </c>
      <c r="F2923">
        <v>74.2</v>
      </c>
      <c r="G2923" t="s">
        <v>19</v>
      </c>
      <c r="H2923" t="s">
        <v>15</v>
      </c>
      <c r="I2923">
        <v>2.7</v>
      </c>
      <c r="J2923">
        <v>8</v>
      </c>
      <c r="K2923">
        <v>4</v>
      </c>
    </row>
    <row r="2924" spans="1:11" x14ac:dyDescent="0.35">
      <c r="A2924">
        <v>2923</v>
      </c>
      <c r="B2924">
        <v>63</v>
      </c>
      <c r="C2924" t="s">
        <v>11</v>
      </c>
      <c r="D2924" t="s">
        <v>25</v>
      </c>
      <c r="E2924" t="s">
        <v>26</v>
      </c>
      <c r="F2924">
        <v>35.58</v>
      </c>
      <c r="G2924" t="s">
        <v>14</v>
      </c>
      <c r="H2924" t="s">
        <v>15</v>
      </c>
      <c r="I2924">
        <v>2.9</v>
      </c>
      <c r="J2924">
        <v>19</v>
      </c>
      <c r="K2924">
        <v>7</v>
      </c>
    </row>
    <row r="2925" spans="1:11" x14ac:dyDescent="0.35">
      <c r="A2925">
        <v>2924</v>
      </c>
      <c r="B2925">
        <v>45</v>
      </c>
      <c r="C2925" t="s">
        <v>16</v>
      </c>
      <c r="D2925" t="s">
        <v>20</v>
      </c>
      <c r="E2925" t="s">
        <v>39</v>
      </c>
      <c r="F2925">
        <v>56.1</v>
      </c>
      <c r="G2925" t="s">
        <v>24</v>
      </c>
      <c r="H2925" t="s">
        <v>15</v>
      </c>
      <c r="I2925">
        <v>3.4</v>
      </c>
      <c r="J2925">
        <v>15</v>
      </c>
      <c r="K2925">
        <v>5</v>
      </c>
    </row>
    <row r="2926" spans="1:11" x14ac:dyDescent="0.35">
      <c r="A2926">
        <v>2925</v>
      </c>
      <c r="B2926">
        <v>51</v>
      </c>
      <c r="C2926" t="s">
        <v>16</v>
      </c>
      <c r="D2926" t="s">
        <v>33</v>
      </c>
      <c r="E2926" t="s">
        <v>34</v>
      </c>
      <c r="F2926">
        <v>67.650000000000006</v>
      </c>
      <c r="G2926" t="s">
        <v>24</v>
      </c>
      <c r="H2926" t="s">
        <v>15</v>
      </c>
      <c r="I2926">
        <v>4.3</v>
      </c>
      <c r="J2926">
        <v>13</v>
      </c>
      <c r="K2926">
        <v>4</v>
      </c>
    </row>
    <row r="2927" spans="1:11" x14ac:dyDescent="0.35">
      <c r="A2927">
        <v>2926</v>
      </c>
      <c r="B2927">
        <v>66</v>
      </c>
      <c r="C2927" t="s">
        <v>16</v>
      </c>
      <c r="D2927" t="s">
        <v>27</v>
      </c>
      <c r="E2927" t="s">
        <v>28</v>
      </c>
      <c r="F2927">
        <v>2242.8000000000002</v>
      </c>
      <c r="G2927" t="s">
        <v>19</v>
      </c>
      <c r="H2927" t="s">
        <v>15</v>
      </c>
      <c r="I2927">
        <v>4.4000000000000004</v>
      </c>
      <c r="J2927">
        <v>12</v>
      </c>
      <c r="K2927">
        <v>1</v>
      </c>
    </row>
    <row r="2928" spans="1:11" x14ac:dyDescent="0.35">
      <c r="A2928">
        <v>2927</v>
      </c>
      <c r="B2928">
        <v>25</v>
      </c>
      <c r="C2928" t="s">
        <v>16</v>
      </c>
      <c r="D2928" t="s">
        <v>17</v>
      </c>
      <c r="E2928" t="s">
        <v>42</v>
      </c>
      <c r="F2928">
        <v>135.66999999999999</v>
      </c>
      <c r="G2928" t="s">
        <v>19</v>
      </c>
      <c r="H2928" t="s">
        <v>15</v>
      </c>
      <c r="I2928">
        <v>4.5</v>
      </c>
      <c r="J2928">
        <v>8</v>
      </c>
      <c r="K2928">
        <v>4</v>
      </c>
    </row>
    <row r="2929" spans="1:11" x14ac:dyDescent="0.35">
      <c r="A2929">
        <v>2928</v>
      </c>
      <c r="B2929">
        <v>55</v>
      </c>
      <c r="C2929" t="s">
        <v>16</v>
      </c>
      <c r="D2929" t="s">
        <v>20</v>
      </c>
      <c r="E2929" t="s">
        <v>21</v>
      </c>
      <c r="F2929">
        <v>96.63</v>
      </c>
      <c r="G2929" t="s">
        <v>24</v>
      </c>
      <c r="H2929" t="s">
        <v>15</v>
      </c>
      <c r="I2929">
        <v>3.9</v>
      </c>
      <c r="J2929">
        <v>6</v>
      </c>
      <c r="K2929">
        <v>3</v>
      </c>
    </row>
    <row r="2930" spans="1:11" x14ac:dyDescent="0.35">
      <c r="A2930">
        <v>2929</v>
      </c>
      <c r="B2930">
        <v>41</v>
      </c>
      <c r="C2930" t="s">
        <v>11</v>
      </c>
      <c r="D2930" t="s">
        <v>29</v>
      </c>
      <c r="E2930" t="s">
        <v>30</v>
      </c>
      <c r="F2930">
        <v>34.42</v>
      </c>
      <c r="G2930" t="s">
        <v>19</v>
      </c>
      <c r="H2930" t="s">
        <v>37</v>
      </c>
      <c r="I2930">
        <v>4.3</v>
      </c>
      <c r="J2930">
        <v>26</v>
      </c>
      <c r="K2930">
        <v>8</v>
      </c>
    </row>
    <row r="2931" spans="1:11" x14ac:dyDescent="0.35">
      <c r="A2931">
        <v>2930</v>
      </c>
      <c r="B2931">
        <v>64</v>
      </c>
      <c r="C2931" t="s">
        <v>11</v>
      </c>
      <c r="D2931" t="s">
        <v>12</v>
      </c>
      <c r="E2931" t="s">
        <v>56</v>
      </c>
      <c r="F2931">
        <v>108.39</v>
      </c>
      <c r="G2931" t="s">
        <v>24</v>
      </c>
      <c r="H2931" t="s">
        <v>15</v>
      </c>
      <c r="I2931">
        <v>3.3</v>
      </c>
      <c r="J2931">
        <v>10</v>
      </c>
      <c r="K2931">
        <v>5</v>
      </c>
    </row>
    <row r="2932" spans="1:11" x14ac:dyDescent="0.35">
      <c r="A2932">
        <v>2931</v>
      </c>
      <c r="B2932">
        <v>67</v>
      </c>
      <c r="C2932" t="s">
        <v>16</v>
      </c>
      <c r="D2932" t="s">
        <v>33</v>
      </c>
      <c r="E2932" t="s">
        <v>38</v>
      </c>
      <c r="F2932">
        <v>96.2</v>
      </c>
      <c r="G2932" t="s">
        <v>19</v>
      </c>
      <c r="H2932" t="s">
        <v>15</v>
      </c>
      <c r="I2932">
        <v>3.1</v>
      </c>
      <c r="J2932">
        <v>5</v>
      </c>
      <c r="K2932">
        <v>0</v>
      </c>
    </row>
    <row r="2933" spans="1:11" x14ac:dyDescent="0.35">
      <c r="A2933">
        <v>2932</v>
      </c>
      <c r="B2933">
        <v>23</v>
      </c>
      <c r="C2933" t="s">
        <v>11</v>
      </c>
      <c r="D2933" t="s">
        <v>29</v>
      </c>
      <c r="E2933" t="s">
        <v>55</v>
      </c>
      <c r="F2933">
        <v>50.94</v>
      </c>
      <c r="G2933" t="s">
        <v>14</v>
      </c>
      <c r="H2933" t="s">
        <v>37</v>
      </c>
      <c r="I2933">
        <v>1.9</v>
      </c>
      <c r="J2933">
        <v>14</v>
      </c>
      <c r="K2933">
        <v>2</v>
      </c>
    </row>
    <row r="2934" spans="1:11" x14ac:dyDescent="0.35">
      <c r="A2934">
        <v>2933</v>
      </c>
      <c r="B2934">
        <v>49</v>
      </c>
      <c r="C2934" t="s">
        <v>16</v>
      </c>
      <c r="D2934" t="s">
        <v>33</v>
      </c>
      <c r="E2934" t="s">
        <v>40</v>
      </c>
      <c r="F2934">
        <v>122.8</v>
      </c>
      <c r="G2934" t="s">
        <v>19</v>
      </c>
      <c r="H2934" t="s">
        <v>15</v>
      </c>
      <c r="I2934">
        <v>2.8</v>
      </c>
      <c r="J2934">
        <v>21</v>
      </c>
      <c r="K2934">
        <v>8</v>
      </c>
    </row>
    <row r="2935" spans="1:11" x14ac:dyDescent="0.35">
      <c r="A2935">
        <v>2934</v>
      </c>
      <c r="B2935">
        <v>53</v>
      </c>
      <c r="C2935" t="s">
        <v>16</v>
      </c>
      <c r="D2935" t="s">
        <v>17</v>
      </c>
      <c r="E2935" t="s">
        <v>48</v>
      </c>
      <c r="F2935">
        <v>198.47</v>
      </c>
      <c r="G2935" t="s">
        <v>19</v>
      </c>
      <c r="H2935" t="s">
        <v>15</v>
      </c>
      <c r="I2935">
        <v>3.4</v>
      </c>
      <c r="J2935">
        <v>9</v>
      </c>
      <c r="K2935">
        <v>2</v>
      </c>
    </row>
    <row r="2936" spans="1:11" x14ac:dyDescent="0.35">
      <c r="A2936">
        <v>2935</v>
      </c>
      <c r="B2936">
        <v>58</v>
      </c>
      <c r="C2936" t="s">
        <v>16</v>
      </c>
      <c r="D2936" t="s">
        <v>27</v>
      </c>
      <c r="E2936" t="s">
        <v>53</v>
      </c>
      <c r="F2936">
        <v>1495.44</v>
      </c>
      <c r="G2936" t="s">
        <v>14</v>
      </c>
      <c r="H2936" t="s">
        <v>15</v>
      </c>
      <c r="I2936">
        <v>3.8</v>
      </c>
      <c r="J2936">
        <v>6</v>
      </c>
      <c r="K2936">
        <v>3</v>
      </c>
    </row>
    <row r="2937" spans="1:11" x14ac:dyDescent="0.35">
      <c r="A2937">
        <v>2936</v>
      </c>
      <c r="B2937">
        <v>37</v>
      </c>
      <c r="C2937" t="s">
        <v>11</v>
      </c>
      <c r="D2937" t="s">
        <v>29</v>
      </c>
      <c r="E2937" t="s">
        <v>30</v>
      </c>
      <c r="F2937">
        <v>91.16</v>
      </c>
      <c r="G2937" t="s">
        <v>14</v>
      </c>
      <c r="H2937" t="s">
        <v>37</v>
      </c>
      <c r="I2937">
        <v>4.5</v>
      </c>
      <c r="J2937">
        <v>12</v>
      </c>
      <c r="K2937">
        <v>6</v>
      </c>
    </row>
    <row r="2938" spans="1:11" x14ac:dyDescent="0.35">
      <c r="A2938">
        <v>2937</v>
      </c>
      <c r="B2938">
        <v>64</v>
      </c>
      <c r="C2938" t="s">
        <v>16</v>
      </c>
      <c r="D2938" t="s">
        <v>22</v>
      </c>
      <c r="E2938" t="s">
        <v>52</v>
      </c>
      <c r="F2938">
        <v>145.24</v>
      </c>
      <c r="G2938" t="s">
        <v>19</v>
      </c>
      <c r="H2938" t="s">
        <v>15</v>
      </c>
      <c r="I2938">
        <v>3.4</v>
      </c>
      <c r="J2938">
        <v>19</v>
      </c>
      <c r="K2938">
        <v>7</v>
      </c>
    </row>
    <row r="2939" spans="1:11" x14ac:dyDescent="0.35">
      <c r="A2939">
        <v>2938</v>
      </c>
      <c r="B2939">
        <v>21</v>
      </c>
      <c r="C2939" t="s">
        <v>11</v>
      </c>
      <c r="D2939" t="s">
        <v>29</v>
      </c>
      <c r="E2939" t="s">
        <v>51</v>
      </c>
      <c r="F2939">
        <v>31.76</v>
      </c>
      <c r="G2939" t="s">
        <v>14</v>
      </c>
      <c r="H2939" t="s">
        <v>37</v>
      </c>
      <c r="I2939">
        <v>4.0999999999999996</v>
      </c>
      <c r="J2939">
        <v>19</v>
      </c>
      <c r="K2939">
        <v>7</v>
      </c>
    </row>
    <row r="2940" spans="1:11" x14ac:dyDescent="0.35">
      <c r="A2940">
        <v>2939</v>
      </c>
      <c r="B2940">
        <v>50</v>
      </c>
      <c r="C2940" t="s">
        <v>16</v>
      </c>
      <c r="D2940" t="s">
        <v>27</v>
      </c>
      <c r="E2940" t="s">
        <v>28</v>
      </c>
      <c r="F2940">
        <v>1363.84</v>
      </c>
      <c r="G2940" t="s">
        <v>14</v>
      </c>
      <c r="H2940" t="s">
        <v>15</v>
      </c>
      <c r="I2940">
        <v>4.2</v>
      </c>
      <c r="J2940">
        <v>20</v>
      </c>
      <c r="K2940">
        <v>10</v>
      </c>
    </row>
    <row r="2941" spans="1:11" x14ac:dyDescent="0.35">
      <c r="A2941">
        <v>2940</v>
      </c>
      <c r="B2941">
        <v>27</v>
      </c>
      <c r="C2941" t="s">
        <v>11</v>
      </c>
      <c r="D2941" t="s">
        <v>41</v>
      </c>
      <c r="E2941" t="s">
        <v>45</v>
      </c>
      <c r="F2941">
        <v>49.97</v>
      </c>
      <c r="G2941" t="s">
        <v>14</v>
      </c>
      <c r="H2941" t="s">
        <v>37</v>
      </c>
      <c r="I2941">
        <v>3.7</v>
      </c>
      <c r="J2941">
        <v>13</v>
      </c>
      <c r="K2941">
        <v>4</v>
      </c>
    </row>
    <row r="2942" spans="1:11" x14ac:dyDescent="0.35">
      <c r="A2942">
        <v>2941</v>
      </c>
      <c r="B2942">
        <v>22</v>
      </c>
      <c r="C2942" t="s">
        <v>16</v>
      </c>
      <c r="D2942" t="s">
        <v>27</v>
      </c>
      <c r="E2942" t="s">
        <v>28</v>
      </c>
      <c r="F2942">
        <v>1428.39</v>
      </c>
      <c r="G2942" t="s">
        <v>31</v>
      </c>
      <c r="H2942" t="s">
        <v>15</v>
      </c>
      <c r="I2942">
        <v>3.6</v>
      </c>
      <c r="J2942">
        <v>24</v>
      </c>
      <c r="K2942">
        <v>7</v>
      </c>
    </row>
    <row r="2943" spans="1:11" x14ac:dyDescent="0.35">
      <c r="A2943">
        <v>2942</v>
      </c>
      <c r="B2943">
        <v>63</v>
      </c>
      <c r="C2943" t="s">
        <v>16</v>
      </c>
      <c r="D2943" t="s">
        <v>22</v>
      </c>
      <c r="E2943" t="s">
        <v>23</v>
      </c>
      <c r="F2943">
        <v>208.41</v>
      </c>
      <c r="G2943" t="s">
        <v>14</v>
      </c>
      <c r="H2943" t="s">
        <v>15</v>
      </c>
      <c r="I2943">
        <v>4.2</v>
      </c>
      <c r="J2943">
        <v>30</v>
      </c>
      <c r="K2943">
        <v>10</v>
      </c>
    </row>
    <row r="2944" spans="1:11" x14ac:dyDescent="0.35">
      <c r="A2944">
        <v>2943</v>
      </c>
      <c r="B2944">
        <v>28</v>
      </c>
      <c r="C2944" t="s">
        <v>11</v>
      </c>
      <c r="D2944" t="s">
        <v>33</v>
      </c>
      <c r="E2944" t="s">
        <v>40</v>
      </c>
      <c r="F2944">
        <v>220.01</v>
      </c>
      <c r="G2944" t="s">
        <v>19</v>
      </c>
      <c r="H2944" t="s">
        <v>15</v>
      </c>
      <c r="I2944">
        <v>2.7</v>
      </c>
      <c r="J2944">
        <v>15</v>
      </c>
      <c r="K2944">
        <v>5</v>
      </c>
    </row>
    <row r="2945" spans="1:11" x14ac:dyDescent="0.35">
      <c r="A2945">
        <v>2944</v>
      </c>
      <c r="B2945">
        <v>48</v>
      </c>
      <c r="C2945" t="s">
        <v>16</v>
      </c>
      <c r="D2945" t="s">
        <v>27</v>
      </c>
      <c r="E2945" t="s">
        <v>28</v>
      </c>
      <c r="F2945">
        <v>1710.27</v>
      </c>
      <c r="G2945" t="s">
        <v>24</v>
      </c>
      <c r="H2945" t="s">
        <v>15</v>
      </c>
      <c r="I2945">
        <v>3.9</v>
      </c>
      <c r="J2945">
        <v>11</v>
      </c>
      <c r="K2945">
        <v>3</v>
      </c>
    </row>
    <row r="2946" spans="1:11" x14ac:dyDescent="0.35">
      <c r="A2946">
        <v>2945</v>
      </c>
      <c r="B2946">
        <v>31</v>
      </c>
      <c r="C2946" t="s">
        <v>16</v>
      </c>
      <c r="D2946" t="s">
        <v>20</v>
      </c>
      <c r="E2946" t="s">
        <v>36</v>
      </c>
      <c r="F2946">
        <v>234.56</v>
      </c>
      <c r="G2946" t="s">
        <v>24</v>
      </c>
      <c r="H2946" t="s">
        <v>15</v>
      </c>
      <c r="I2946">
        <v>4.3</v>
      </c>
      <c r="J2946">
        <v>18</v>
      </c>
      <c r="K2946">
        <v>4</v>
      </c>
    </row>
    <row r="2947" spans="1:11" x14ac:dyDescent="0.35">
      <c r="A2947">
        <v>2946</v>
      </c>
      <c r="B2947">
        <v>29</v>
      </c>
      <c r="C2947" t="s">
        <v>11</v>
      </c>
      <c r="D2947" t="s">
        <v>33</v>
      </c>
      <c r="E2947" t="s">
        <v>34</v>
      </c>
      <c r="F2947">
        <v>146.87</v>
      </c>
      <c r="G2947" t="s">
        <v>14</v>
      </c>
      <c r="H2947" t="s">
        <v>15</v>
      </c>
      <c r="I2947">
        <v>3.4</v>
      </c>
      <c r="J2947">
        <v>6</v>
      </c>
      <c r="K2947">
        <v>3</v>
      </c>
    </row>
    <row r="2948" spans="1:11" x14ac:dyDescent="0.35">
      <c r="A2948">
        <v>2947</v>
      </c>
      <c r="B2948">
        <v>62</v>
      </c>
      <c r="C2948" t="s">
        <v>11</v>
      </c>
      <c r="D2948" t="s">
        <v>12</v>
      </c>
      <c r="E2948" t="s">
        <v>13</v>
      </c>
      <c r="F2948">
        <v>20.66</v>
      </c>
      <c r="G2948" t="s">
        <v>19</v>
      </c>
      <c r="H2948" t="s">
        <v>15</v>
      </c>
      <c r="I2948">
        <v>4.7</v>
      </c>
      <c r="J2948">
        <v>10</v>
      </c>
      <c r="K2948">
        <v>5</v>
      </c>
    </row>
    <row r="2949" spans="1:11" x14ac:dyDescent="0.35">
      <c r="A2949">
        <v>2948</v>
      </c>
      <c r="B2949">
        <v>37</v>
      </c>
      <c r="C2949" t="s">
        <v>11</v>
      </c>
      <c r="D2949" t="s">
        <v>29</v>
      </c>
      <c r="E2949" t="s">
        <v>30</v>
      </c>
      <c r="F2949">
        <v>97.9</v>
      </c>
      <c r="G2949" t="s">
        <v>14</v>
      </c>
      <c r="H2949" t="s">
        <v>15</v>
      </c>
      <c r="I2949">
        <v>4.2</v>
      </c>
      <c r="J2949">
        <v>14</v>
      </c>
      <c r="K2949">
        <v>7</v>
      </c>
    </row>
    <row r="2950" spans="1:11" x14ac:dyDescent="0.35">
      <c r="A2950">
        <v>2949</v>
      </c>
      <c r="B2950">
        <v>51</v>
      </c>
      <c r="C2950" t="s">
        <v>16</v>
      </c>
      <c r="D2950" t="s">
        <v>27</v>
      </c>
      <c r="E2950" t="s">
        <v>28</v>
      </c>
      <c r="F2950">
        <v>1172.28</v>
      </c>
      <c r="G2950" t="s">
        <v>24</v>
      </c>
      <c r="H2950" t="s">
        <v>15</v>
      </c>
      <c r="I2950">
        <v>4.0999999999999996</v>
      </c>
      <c r="J2950">
        <v>6</v>
      </c>
      <c r="K2950">
        <v>3</v>
      </c>
    </row>
    <row r="2951" spans="1:11" x14ac:dyDescent="0.35">
      <c r="A2951">
        <v>2950</v>
      </c>
      <c r="B2951">
        <v>52</v>
      </c>
      <c r="C2951" t="s">
        <v>11</v>
      </c>
      <c r="D2951" t="s">
        <v>12</v>
      </c>
      <c r="E2951" t="s">
        <v>56</v>
      </c>
      <c r="F2951">
        <v>48.23</v>
      </c>
      <c r="G2951" t="s">
        <v>31</v>
      </c>
      <c r="H2951" t="s">
        <v>15</v>
      </c>
      <c r="I2951">
        <v>3.4</v>
      </c>
      <c r="J2951">
        <v>4</v>
      </c>
      <c r="K2951">
        <v>2</v>
      </c>
    </row>
    <row r="2952" spans="1:11" x14ac:dyDescent="0.35">
      <c r="A2952">
        <v>2951</v>
      </c>
      <c r="B2952">
        <v>53</v>
      </c>
      <c r="C2952" t="s">
        <v>11</v>
      </c>
      <c r="D2952" t="s">
        <v>12</v>
      </c>
      <c r="E2952" t="s">
        <v>56</v>
      </c>
      <c r="F2952">
        <v>60.58</v>
      </c>
      <c r="G2952" t="s">
        <v>31</v>
      </c>
      <c r="H2952" t="s">
        <v>15</v>
      </c>
      <c r="I2952">
        <v>4.5999999999999996</v>
      </c>
      <c r="J2952">
        <v>11</v>
      </c>
      <c r="K2952">
        <v>3</v>
      </c>
    </row>
    <row r="2953" spans="1:11" x14ac:dyDescent="0.35">
      <c r="A2953">
        <v>2952</v>
      </c>
      <c r="B2953">
        <v>67</v>
      </c>
      <c r="C2953" t="s">
        <v>11</v>
      </c>
      <c r="D2953" t="s">
        <v>41</v>
      </c>
      <c r="E2953" t="s">
        <v>46</v>
      </c>
      <c r="F2953">
        <v>153.51</v>
      </c>
      <c r="G2953" t="s">
        <v>24</v>
      </c>
      <c r="H2953" t="s">
        <v>15</v>
      </c>
      <c r="I2953">
        <v>4</v>
      </c>
      <c r="J2953">
        <v>8</v>
      </c>
      <c r="K2953">
        <v>4</v>
      </c>
    </row>
    <row r="2954" spans="1:11" x14ac:dyDescent="0.35">
      <c r="A2954">
        <v>2953</v>
      </c>
      <c r="B2954">
        <v>70</v>
      </c>
      <c r="C2954" t="s">
        <v>11</v>
      </c>
      <c r="D2954" t="s">
        <v>33</v>
      </c>
      <c r="E2954" t="s">
        <v>40</v>
      </c>
      <c r="F2954">
        <v>116.7</v>
      </c>
      <c r="G2954" t="s">
        <v>19</v>
      </c>
      <c r="H2954" t="s">
        <v>15</v>
      </c>
      <c r="I2954">
        <v>4.5999999999999996</v>
      </c>
      <c r="J2954">
        <v>18</v>
      </c>
      <c r="K2954">
        <v>4</v>
      </c>
    </row>
    <row r="2955" spans="1:11" x14ac:dyDescent="0.35">
      <c r="A2955">
        <v>2954</v>
      </c>
      <c r="B2955">
        <v>37</v>
      </c>
      <c r="C2955" t="s">
        <v>16</v>
      </c>
      <c r="D2955" t="s">
        <v>20</v>
      </c>
      <c r="E2955" t="s">
        <v>36</v>
      </c>
      <c r="F2955">
        <v>41.88</v>
      </c>
      <c r="G2955" t="s">
        <v>31</v>
      </c>
      <c r="H2955" t="s">
        <v>37</v>
      </c>
      <c r="I2955">
        <v>3.6</v>
      </c>
      <c r="J2955">
        <v>15</v>
      </c>
      <c r="K2955">
        <v>5</v>
      </c>
    </row>
    <row r="2956" spans="1:11" x14ac:dyDescent="0.35">
      <c r="A2956">
        <v>2955</v>
      </c>
      <c r="B2956">
        <v>44</v>
      </c>
      <c r="C2956" t="s">
        <v>11</v>
      </c>
      <c r="D2956" t="s">
        <v>25</v>
      </c>
      <c r="E2956" t="s">
        <v>47</v>
      </c>
      <c r="F2956">
        <v>43.31</v>
      </c>
      <c r="G2956" t="s">
        <v>14</v>
      </c>
      <c r="H2956" t="s">
        <v>37</v>
      </c>
      <c r="I2956">
        <v>3.9</v>
      </c>
      <c r="J2956">
        <v>20</v>
      </c>
      <c r="K2956">
        <v>10</v>
      </c>
    </row>
    <row r="2957" spans="1:11" x14ac:dyDescent="0.35">
      <c r="A2957">
        <v>2956</v>
      </c>
      <c r="B2957">
        <v>57</v>
      </c>
      <c r="C2957" t="s">
        <v>11</v>
      </c>
      <c r="D2957" t="s">
        <v>41</v>
      </c>
      <c r="E2957" t="s">
        <v>46</v>
      </c>
      <c r="F2957">
        <v>186.86</v>
      </c>
      <c r="G2957" t="s">
        <v>14</v>
      </c>
      <c r="H2957" t="s">
        <v>15</v>
      </c>
      <c r="I2957">
        <v>2.9</v>
      </c>
      <c r="J2957">
        <v>9</v>
      </c>
      <c r="K2957">
        <v>2</v>
      </c>
    </row>
    <row r="2958" spans="1:11" x14ac:dyDescent="0.35">
      <c r="A2958">
        <v>2957</v>
      </c>
      <c r="B2958">
        <v>61</v>
      </c>
      <c r="C2958" t="s">
        <v>16</v>
      </c>
      <c r="D2958" t="s">
        <v>22</v>
      </c>
      <c r="E2958" t="s">
        <v>23</v>
      </c>
      <c r="F2958">
        <v>151.26</v>
      </c>
      <c r="G2958" t="s">
        <v>24</v>
      </c>
      <c r="H2958" t="s">
        <v>15</v>
      </c>
      <c r="I2958">
        <v>4.4000000000000004</v>
      </c>
      <c r="J2958">
        <v>11</v>
      </c>
      <c r="K2958">
        <v>3</v>
      </c>
    </row>
    <row r="2959" spans="1:11" x14ac:dyDescent="0.35">
      <c r="A2959">
        <v>2958</v>
      </c>
      <c r="B2959">
        <v>66</v>
      </c>
      <c r="C2959" t="s">
        <v>11</v>
      </c>
      <c r="D2959" t="s">
        <v>29</v>
      </c>
      <c r="E2959" t="s">
        <v>30</v>
      </c>
      <c r="F2959">
        <v>130.44999999999999</v>
      </c>
      <c r="G2959" t="s">
        <v>14</v>
      </c>
      <c r="H2959" t="s">
        <v>15</v>
      </c>
      <c r="I2959">
        <v>3.5</v>
      </c>
      <c r="J2959">
        <v>14</v>
      </c>
      <c r="K2959">
        <v>7</v>
      </c>
    </row>
    <row r="2960" spans="1:11" x14ac:dyDescent="0.35">
      <c r="A2960">
        <v>2959</v>
      </c>
      <c r="B2960">
        <v>28</v>
      </c>
      <c r="C2960" t="s">
        <v>16</v>
      </c>
      <c r="D2960" t="s">
        <v>17</v>
      </c>
      <c r="E2960" t="s">
        <v>48</v>
      </c>
      <c r="F2960">
        <v>172.56</v>
      </c>
      <c r="G2960" t="s">
        <v>24</v>
      </c>
      <c r="H2960" t="s">
        <v>15</v>
      </c>
      <c r="I2960">
        <v>4.2</v>
      </c>
      <c r="J2960">
        <v>20</v>
      </c>
      <c r="K2960">
        <v>5</v>
      </c>
    </row>
    <row r="2961" spans="1:11" x14ac:dyDescent="0.35">
      <c r="A2961">
        <v>2960</v>
      </c>
      <c r="B2961">
        <v>44</v>
      </c>
      <c r="C2961" t="s">
        <v>11</v>
      </c>
      <c r="D2961" t="s">
        <v>25</v>
      </c>
      <c r="E2961" t="s">
        <v>47</v>
      </c>
      <c r="F2961">
        <v>65.95</v>
      </c>
      <c r="G2961" t="s">
        <v>19</v>
      </c>
      <c r="H2961" t="s">
        <v>37</v>
      </c>
      <c r="I2961">
        <v>2.7</v>
      </c>
      <c r="J2961">
        <v>10</v>
      </c>
      <c r="K2961">
        <v>5</v>
      </c>
    </row>
    <row r="2962" spans="1:11" x14ac:dyDescent="0.35">
      <c r="A2962">
        <v>2961</v>
      </c>
      <c r="B2962">
        <v>61</v>
      </c>
      <c r="C2962" t="s">
        <v>11</v>
      </c>
      <c r="D2962" t="s">
        <v>41</v>
      </c>
      <c r="E2962" t="s">
        <v>46</v>
      </c>
      <c r="F2962">
        <v>87.4</v>
      </c>
      <c r="G2962" t="s">
        <v>31</v>
      </c>
      <c r="H2962" t="s">
        <v>37</v>
      </c>
      <c r="I2962">
        <v>3</v>
      </c>
      <c r="J2962">
        <v>20</v>
      </c>
      <c r="K2962">
        <v>5</v>
      </c>
    </row>
    <row r="2963" spans="1:11" x14ac:dyDescent="0.35">
      <c r="A2963">
        <v>2962</v>
      </c>
      <c r="B2963">
        <v>38</v>
      </c>
      <c r="C2963" t="s">
        <v>16</v>
      </c>
      <c r="D2963" t="s">
        <v>17</v>
      </c>
      <c r="E2963" t="s">
        <v>18</v>
      </c>
      <c r="F2963">
        <v>186.66</v>
      </c>
      <c r="G2963" t="s">
        <v>31</v>
      </c>
      <c r="H2963" t="s">
        <v>15</v>
      </c>
      <c r="I2963">
        <v>4.5999999999999996</v>
      </c>
      <c r="J2963">
        <v>16</v>
      </c>
      <c r="K2963">
        <v>3</v>
      </c>
    </row>
    <row r="2964" spans="1:11" x14ac:dyDescent="0.35">
      <c r="A2964">
        <v>2963</v>
      </c>
      <c r="B2964">
        <v>40</v>
      </c>
      <c r="C2964" t="s">
        <v>11</v>
      </c>
      <c r="D2964" t="s">
        <v>12</v>
      </c>
      <c r="E2964" t="s">
        <v>13</v>
      </c>
      <c r="F2964">
        <v>41.27</v>
      </c>
      <c r="G2964" t="s">
        <v>24</v>
      </c>
      <c r="H2964" t="s">
        <v>15</v>
      </c>
      <c r="I2964">
        <v>3.4</v>
      </c>
      <c r="J2964">
        <v>4</v>
      </c>
      <c r="K2964">
        <v>2</v>
      </c>
    </row>
    <row r="2965" spans="1:11" x14ac:dyDescent="0.35">
      <c r="A2965">
        <v>2964</v>
      </c>
      <c r="B2965">
        <v>36</v>
      </c>
      <c r="C2965" t="s">
        <v>11</v>
      </c>
      <c r="D2965" t="s">
        <v>29</v>
      </c>
      <c r="E2965" t="s">
        <v>30</v>
      </c>
      <c r="F2965">
        <v>131.26</v>
      </c>
      <c r="G2965" t="s">
        <v>24</v>
      </c>
      <c r="H2965" t="s">
        <v>15</v>
      </c>
      <c r="I2965">
        <v>2.9</v>
      </c>
      <c r="J2965">
        <v>16</v>
      </c>
      <c r="K2965">
        <v>3</v>
      </c>
    </row>
    <row r="2966" spans="1:11" x14ac:dyDescent="0.35">
      <c r="A2966">
        <v>2965</v>
      </c>
      <c r="B2966">
        <v>68</v>
      </c>
      <c r="C2966" t="s">
        <v>11</v>
      </c>
      <c r="D2966" t="s">
        <v>29</v>
      </c>
      <c r="E2966" t="s">
        <v>51</v>
      </c>
      <c r="F2966">
        <v>57.54</v>
      </c>
      <c r="G2966" t="s">
        <v>14</v>
      </c>
      <c r="H2966" t="s">
        <v>15</v>
      </c>
      <c r="I2966">
        <v>4</v>
      </c>
      <c r="J2966">
        <v>22</v>
      </c>
      <c r="K2966">
        <v>6</v>
      </c>
    </row>
    <row r="2967" spans="1:11" x14ac:dyDescent="0.35">
      <c r="A2967">
        <v>2966</v>
      </c>
      <c r="B2967">
        <v>59</v>
      </c>
      <c r="C2967" t="s">
        <v>16</v>
      </c>
      <c r="D2967" t="s">
        <v>20</v>
      </c>
      <c r="E2967" t="s">
        <v>39</v>
      </c>
      <c r="F2967">
        <v>51.46</v>
      </c>
      <c r="G2967" t="s">
        <v>31</v>
      </c>
      <c r="H2967" t="s">
        <v>15</v>
      </c>
      <c r="I2967">
        <v>4.4000000000000004</v>
      </c>
      <c r="J2967">
        <v>11</v>
      </c>
      <c r="K2967">
        <v>3</v>
      </c>
    </row>
    <row r="2968" spans="1:11" x14ac:dyDescent="0.35">
      <c r="A2968">
        <v>2967</v>
      </c>
      <c r="B2968">
        <v>34</v>
      </c>
      <c r="C2968" t="s">
        <v>16</v>
      </c>
      <c r="D2968" t="s">
        <v>20</v>
      </c>
      <c r="E2968" t="s">
        <v>21</v>
      </c>
      <c r="F2968">
        <v>73.63</v>
      </c>
      <c r="G2968" t="s">
        <v>19</v>
      </c>
      <c r="H2968" t="s">
        <v>37</v>
      </c>
      <c r="I2968">
        <v>4.5</v>
      </c>
      <c r="J2968">
        <v>34</v>
      </c>
      <c r="K2968">
        <v>12</v>
      </c>
    </row>
    <row r="2969" spans="1:11" x14ac:dyDescent="0.35">
      <c r="A2969">
        <v>2968</v>
      </c>
      <c r="B2969">
        <v>40</v>
      </c>
      <c r="C2969" t="s">
        <v>11</v>
      </c>
      <c r="D2969" t="s">
        <v>33</v>
      </c>
      <c r="E2969" t="s">
        <v>38</v>
      </c>
      <c r="F2969">
        <v>169.28</v>
      </c>
      <c r="G2969" t="s">
        <v>19</v>
      </c>
      <c r="H2969" t="s">
        <v>15</v>
      </c>
      <c r="I2969">
        <v>4.7</v>
      </c>
      <c r="J2969">
        <v>11</v>
      </c>
      <c r="K2969">
        <v>3</v>
      </c>
    </row>
    <row r="2970" spans="1:11" x14ac:dyDescent="0.35">
      <c r="A2970">
        <v>2969</v>
      </c>
      <c r="B2970">
        <v>67</v>
      </c>
      <c r="C2970" t="s">
        <v>16</v>
      </c>
      <c r="D2970" t="s">
        <v>17</v>
      </c>
      <c r="E2970" t="s">
        <v>42</v>
      </c>
      <c r="F2970">
        <v>168.33</v>
      </c>
      <c r="G2970" t="s">
        <v>14</v>
      </c>
      <c r="H2970" t="s">
        <v>15</v>
      </c>
      <c r="I2970">
        <v>3.3</v>
      </c>
      <c r="J2970">
        <v>20</v>
      </c>
      <c r="K2970">
        <v>5</v>
      </c>
    </row>
    <row r="2971" spans="1:11" x14ac:dyDescent="0.35">
      <c r="A2971">
        <v>2970</v>
      </c>
      <c r="B2971">
        <v>63</v>
      </c>
      <c r="C2971" t="s">
        <v>11</v>
      </c>
      <c r="D2971" t="s">
        <v>12</v>
      </c>
      <c r="E2971" t="s">
        <v>13</v>
      </c>
      <c r="F2971">
        <v>45.25</v>
      </c>
      <c r="G2971" t="s">
        <v>31</v>
      </c>
      <c r="H2971" t="s">
        <v>37</v>
      </c>
      <c r="I2971">
        <v>4.4000000000000004</v>
      </c>
      <c r="J2971">
        <v>13</v>
      </c>
      <c r="K2971">
        <v>4</v>
      </c>
    </row>
    <row r="2972" spans="1:11" x14ac:dyDescent="0.35">
      <c r="A2972">
        <v>2971</v>
      </c>
      <c r="B2972">
        <v>39</v>
      </c>
      <c r="C2972" t="s">
        <v>16</v>
      </c>
      <c r="D2972" t="s">
        <v>33</v>
      </c>
      <c r="E2972" t="s">
        <v>40</v>
      </c>
      <c r="F2972">
        <v>213.65</v>
      </c>
      <c r="G2972" t="s">
        <v>19</v>
      </c>
      <c r="H2972" t="s">
        <v>15</v>
      </c>
      <c r="I2972">
        <v>3.3</v>
      </c>
      <c r="J2972">
        <v>8</v>
      </c>
      <c r="K2972">
        <v>4</v>
      </c>
    </row>
    <row r="2973" spans="1:11" x14ac:dyDescent="0.35">
      <c r="A2973">
        <v>2972</v>
      </c>
      <c r="B2973">
        <v>55</v>
      </c>
      <c r="C2973" t="s">
        <v>11</v>
      </c>
      <c r="D2973" t="s">
        <v>12</v>
      </c>
      <c r="E2973" t="s">
        <v>50</v>
      </c>
      <c r="F2973">
        <v>33.590000000000003</v>
      </c>
      <c r="G2973" t="s">
        <v>31</v>
      </c>
      <c r="H2973" t="s">
        <v>15</v>
      </c>
      <c r="I2973">
        <v>3.1</v>
      </c>
      <c r="J2973">
        <v>20</v>
      </c>
      <c r="K2973">
        <v>5</v>
      </c>
    </row>
    <row r="2974" spans="1:11" x14ac:dyDescent="0.35">
      <c r="A2974">
        <v>2973</v>
      </c>
      <c r="B2974">
        <v>27</v>
      </c>
      <c r="C2974" t="s">
        <v>16</v>
      </c>
      <c r="D2974" t="s">
        <v>17</v>
      </c>
      <c r="E2974" t="s">
        <v>48</v>
      </c>
      <c r="F2974">
        <v>163.62</v>
      </c>
      <c r="G2974" t="s">
        <v>24</v>
      </c>
      <c r="H2974" t="s">
        <v>15</v>
      </c>
      <c r="I2974">
        <v>4.0999999999999996</v>
      </c>
      <c r="J2974">
        <v>10</v>
      </c>
      <c r="K2974">
        <v>5</v>
      </c>
    </row>
    <row r="2975" spans="1:11" x14ac:dyDescent="0.35">
      <c r="A2975">
        <v>2974</v>
      </c>
      <c r="B2975">
        <v>49</v>
      </c>
      <c r="C2975" t="s">
        <v>11</v>
      </c>
      <c r="D2975" t="s">
        <v>29</v>
      </c>
      <c r="E2975" t="s">
        <v>51</v>
      </c>
      <c r="F2975">
        <v>56.06</v>
      </c>
      <c r="G2975" t="s">
        <v>24</v>
      </c>
      <c r="H2975" t="s">
        <v>15</v>
      </c>
      <c r="I2975">
        <v>2.8</v>
      </c>
      <c r="J2975">
        <v>18</v>
      </c>
      <c r="K2975">
        <v>4</v>
      </c>
    </row>
    <row r="2976" spans="1:11" x14ac:dyDescent="0.35">
      <c r="A2976">
        <v>2975</v>
      </c>
      <c r="B2976">
        <v>54</v>
      </c>
      <c r="C2976" t="s">
        <v>11</v>
      </c>
      <c r="D2976" t="s">
        <v>41</v>
      </c>
      <c r="E2976" t="s">
        <v>45</v>
      </c>
      <c r="F2976">
        <v>131.24</v>
      </c>
      <c r="G2976" t="s">
        <v>24</v>
      </c>
      <c r="H2976" t="s">
        <v>15</v>
      </c>
      <c r="I2976">
        <v>3.5</v>
      </c>
      <c r="J2976">
        <v>24</v>
      </c>
      <c r="K2976">
        <v>7</v>
      </c>
    </row>
    <row r="2977" spans="1:11" x14ac:dyDescent="0.35">
      <c r="A2977">
        <v>2976</v>
      </c>
      <c r="B2977">
        <v>64</v>
      </c>
      <c r="C2977" t="s">
        <v>16</v>
      </c>
      <c r="D2977" t="s">
        <v>20</v>
      </c>
      <c r="E2977" t="s">
        <v>36</v>
      </c>
      <c r="F2977">
        <v>118.46</v>
      </c>
      <c r="G2977" t="s">
        <v>14</v>
      </c>
      <c r="H2977" t="s">
        <v>15</v>
      </c>
      <c r="I2977">
        <v>2.9</v>
      </c>
      <c r="J2977">
        <v>13</v>
      </c>
      <c r="K2977">
        <v>4</v>
      </c>
    </row>
    <row r="2978" spans="1:11" x14ac:dyDescent="0.35">
      <c r="A2978">
        <v>2977</v>
      </c>
      <c r="B2978">
        <v>24</v>
      </c>
      <c r="C2978" t="s">
        <v>16</v>
      </c>
      <c r="D2978" t="s">
        <v>20</v>
      </c>
      <c r="E2978" t="s">
        <v>36</v>
      </c>
      <c r="F2978">
        <v>153.78</v>
      </c>
      <c r="G2978" t="s">
        <v>14</v>
      </c>
      <c r="H2978" t="s">
        <v>15</v>
      </c>
      <c r="I2978">
        <v>3.5</v>
      </c>
      <c r="J2978">
        <v>24</v>
      </c>
      <c r="K2978">
        <v>7</v>
      </c>
    </row>
    <row r="2979" spans="1:11" x14ac:dyDescent="0.35">
      <c r="A2979">
        <v>2978</v>
      </c>
      <c r="B2979">
        <v>58</v>
      </c>
      <c r="C2979" t="s">
        <v>16</v>
      </c>
      <c r="D2979" t="s">
        <v>27</v>
      </c>
      <c r="E2979" t="s">
        <v>53</v>
      </c>
      <c r="F2979">
        <v>2236.23</v>
      </c>
      <c r="G2979" t="s">
        <v>19</v>
      </c>
      <c r="H2979" t="s">
        <v>15</v>
      </c>
      <c r="I2979">
        <v>3.1</v>
      </c>
      <c r="J2979">
        <v>22</v>
      </c>
      <c r="K2979">
        <v>6</v>
      </c>
    </row>
    <row r="2980" spans="1:11" x14ac:dyDescent="0.35">
      <c r="A2980">
        <v>2979</v>
      </c>
      <c r="B2980">
        <v>33</v>
      </c>
      <c r="C2980" t="s">
        <v>11</v>
      </c>
      <c r="D2980" t="s">
        <v>33</v>
      </c>
      <c r="E2980" t="s">
        <v>38</v>
      </c>
      <c r="F2980">
        <v>64.489999999999995</v>
      </c>
      <c r="G2980" t="s">
        <v>31</v>
      </c>
      <c r="H2980" t="s">
        <v>37</v>
      </c>
      <c r="I2980">
        <v>4.2</v>
      </c>
      <c r="J2980">
        <v>2</v>
      </c>
      <c r="K2980">
        <v>1</v>
      </c>
    </row>
    <row r="2981" spans="1:11" x14ac:dyDescent="0.35">
      <c r="A2981">
        <v>2980</v>
      </c>
      <c r="B2981">
        <v>66</v>
      </c>
      <c r="C2981" t="s">
        <v>11</v>
      </c>
      <c r="D2981" t="s">
        <v>33</v>
      </c>
      <c r="E2981" t="s">
        <v>38</v>
      </c>
      <c r="F2981">
        <v>228.23</v>
      </c>
      <c r="G2981" t="s">
        <v>24</v>
      </c>
      <c r="H2981" t="s">
        <v>15</v>
      </c>
      <c r="I2981">
        <v>3.3</v>
      </c>
      <c r="J2981">
        <v>26</v>
      </c>
      <c r="K2981">
        <v>8</v>
      </c>
    </row>
    <row r="2982" spans="1:11" x14ac:dyDescent="0.35">
      <c r="A2982">
        <v>2981</v>
      </c>
      <c r="B2982">
        <v>50</v>
      </c>
      <c r="C2982" t="s">
        <v>11</v>
      </c>
      <c r="D2982" t="s">
        <v>12</v>
      </c>
      <c r="E2982" t="s">
        <v>13</v>
      </c>
      <c r="F2982">
        <v>30.91</v>
      </c>
      <c r="G2982" t="s">
        <v>31</v>
      </c>
      <c r="H2982" t="s">
        <v>15</v>
      </c>
      <c r="I2982">
        <v>3.9</v>
      </c>
      <c r="J2982">
        <v>26</v>
      </c>
      <c r="K2982">
        <v>8</v>
      </c>
    </row>
    <row r="2983" spans="1:11" x14ac:dyDescent="0.35">
      <c r="A2983">
        <v>2982</v>
      </c>
      <c r="B2983">
        <v>39</v>
      </c>
      <c r="C2983" t="s">
        <v>11</v>
      </c>
      <c r="D2983" t="s">
        <v>33</v>
      </c>
      <c r="E2983" t="s">
        <v>34</v>
      </c>
      <c r="F2983">
        <v>113.51</v>
      </c>
      <c r="G2983" t="s">
        <v>19</v>
      </c>
      <c r="H2983" t="s">
        <v>15</v>
      </c>
      <c r="I2983">
        <v>3.4</v>
      </c>
      <c r="J2983">
        <v>8</v>
      </c>
      <c r="K2983">
        <v>4</v>
      </c>
    </row>
    <row r="2984" spans="1:11" x14ac:dyDescent="0.35">
      <c r="A2984">
        <v>2983</v>
      </c>
      <c r="B2984">
        <v>43</v>
      </c>
      <c r="C2984" t="s">
        <v>16</v>
      </c>
      <c r="D2984" t="s">
        <v>17</v>
      </c>
      <c r="E2984" t="s">
        <v>42</v>
      </c>
      <c r="F2984">
        <v>144.69999999999999</v>
      </c>
      <c r="G2984" t="s">
        <v>24</v>
      </c>
      <c r="H2984" t="s">
        <v>15</v>
      </c>
      <c r="I2984">
        <v>5</v>
      </c>
      <c r="J2984">
        <v>16</v>
      </c>
      <c r="K2984">
        <v>3</v>
      </c>
    </row>
    <row r="2985" spans="1:11" x14ac:dyDescent="0.35">
      <c r="A2985">
        <v>2984</v>
      </c>
      <c r="B2985">
        <v>64</v>
      </c>
      <c r="C2985" t="s">
        <v>16</v>
      </c>
      <c r="D2985" t="s">
        <v>33</v>
      </c>
      <c r="E2985" t="s">
        <v>40</v>
      </c>
      <c r="F2985">
        <v>52.88</v>
      </c>
      <c r="G2985" t="s">
        <v>24</v>
      </c>
      <c r="H2985" t="s">
        <v>15</v>
      </c>
      <c r="I2985">
        <v>3.1</v>
      </c>
      <c r="J2985">
        <v>6</v>
      </c>
      <c r="K2985">
        <v>3</v>
      </c>
    </row>
    <row r="2986" spans="1:11" x14ac:dyDescent="0.35">
      <c r="A2986">
        <v>2985</v>
      </c>
      <c r="B2986">
        <v>47</v>
      </c>
      <c r="C2986" t="s">
        <v>11</v>
      </c>
      <c r="D2986" t="s">
        <v>33</v>
      </c>
      <c r="E2986" t="s">
        <v>40</v>
      </c>
      <c r="F2986">
        <v>68.52</v>
      </c>
      <c r="G2986" t="s">
        <v>14</v>
      </c>
      <c r="H2986" t="s">
        <v>37</v>
      </c>
      <c r="I2986">
        <v>3.4</v>
      </c>
      <c r="J2986">
        <v>21</v>
      </c>
      <c r="K2986">
        <v>8</v>
      </c>
    </row>
    <row r="2987" spans="1:11" x14ac:dyDescent="0.35">
      <c r="A2987">
        <v>2986</v>
      </c>
      <c r="B2987">
        <v>26</v>
      </c>
      <c r="C2987" t="s">
        <v>16</v>
      </c>
      <c r="D2987" t="s">
        <v>25</v>
      </c>
      <c r="E2987" t="s">
        <v>54</v>
      </c>
      <c r="F2987">
        <v>48.19</v>
      </c>
      <c r="G2987" t="s">
        <v>19</v>
      </c>
      <c r="H2987" t="s">
        <v>37</v>
      </c>
      <c r="I2987">
        <v>3.5</v>
      </c>
      <c r="J2987">
        <v>12</v>
      </c>
      <c r="K2987">
        <v>6</v>
      </c>
    </row>
    <row r="2988" spans="1:11" x14ac:dyDescent="0.35">
      <c r="A2988">
        <v>2987</v>
      </c>
      <c r="B2988">
        <v>60</v>
      </c>
      <c r="C2988" t="s">
        <v>16</v>
      </c>
      <c r="D2988" t="s">
        <v>17</v>
      </c>
      <c r="E2988" t="s">
        <v>35</v>
      </c>
      <c r="F2988">
        <v>33.909999999999997</v>
      </c>
      <c r="G2988" t="s">
        <v>24</v>
      </c>
      <c r="H2988" t="s">
        <v>15</v>
      </c>
      <c r="I2988">
        <v>4.5999999999999996</v>
      </c>
      <c r="J2988">
        <v>26</v>
      </c>
      <c r="K2988">
        <v>8</v>
      </c>
    </row>
    <row r="2989" spans="1:11" x14ac:dyDescent="0.35">
      <c r="A2989">
        <v>2988</v>
      </c>
      <c r="B2989">
        <v>35</v>
      </c>
      <c r="C2989" t="s">
        <v>11</v>
      </c>
      <c r="D2989" t="s">
        <v>41</v>
      </c>
      <c r="E2989" t="s">
        <v>42</v>
      </c>
      <c r="F2989">
        <v>59.43</v>
      </c>
      <c r="G2989" t="s">
        <v>14</v>
      </c>
      <c r="H2989" t="s">
        <v>37</v>
      </c>
      <c r="I2989">
        <v>2.9</v>
      </c>
      <c r="J2989">
        <v>10</v>
      </c>
      <c r="K2989">
        <v>5</v>
      </c>
    </row>
    <row r="2990" spans="1:11" x14ac:dyDescent="0.35">
      <c r="A2990">
        <v>2989</v>
      </c>
      <c r="B2990">
        <v>32</v>
      </c>
      <c r="C2990" t="s">
        <v>11</v>
      </c>
      <c r="D2990" t="s">
        <v>12</v>
      </c>
      <c r="E2990" t="s">
        <v>50</v>
      </c>
      <c r="F2990">
        <v>65.63</v>
      </c>
      <c r="G2990" t="s">
        <v>24</v>
      </c>
      <c r="H2990" t="s">
        <v>15</v>
      </c>
      <c r="I2990">
        <v>3.7</v>
      </c>
      <c r="J2990">
        <v>15</v>
      </c>
      <c r="K2990">
        <v>5</v>
      </c>
    </row>
    <row r="2991" spans="1:11" x14ac:dyDescent="0.35">
      <c r="A2991">
        <v>2990</v>
      </c>
      <c r="B2991">
        <v>33</v>
      </c>
      <c r="C2991" t="s">
        <v>11</v>
      </c>
      <c r="D2991" t="s">
        <v>41</v>
      </c>
      <c r="E2991" t="s">
        <v>46</v>
      </c>
      <c r="F2991">
        <v>57.6</v>
      </c>
      <c r="G2991" t="s">
        <v>24</v>
      </c>
      <c r="H2991" t="s">
        <v>15</v>
      </c>
      <c r="I2991">
        <v>3.6</v>
      </c>
      <c r="J2991">
        <v>6</v>
      </c>
      <c r="K2991">
        <v>3</v>
      </c>
    </row>
    <row r="2992" spans="1:11" x14ac:dyDescent="0.35">
      <c r="A2992">
        <v>2991</v>
      </c>
      <c r="B2992">
        <v>36</v>
      </c>
      <c r="C2992" t="s">
        <v>11</v>
      </c>
      <c r="D2992" t="s">
        <v>12</v>
      </c>
      <c r="E2992" t="s">
        <v>13</v>
      </c>
      <c r="F2992">
        <v>128.58000000000001</v>
      </c>
      <c r="G2992" t="s">
        <v>14</v>
      </c>
      <c r="H2992" t="s">
        <v>15</v>
      </c>
      <c r="I2992">
        <v>3.6</v>
      </c>
      <c r="J2992">
        <v>8</v>
      </c>
      <c r="K2992">
        <v>4</v>
      </c>
    </row>
    <row r="2993" spans="1:11" x14ac:dyDescent="0.35">
      <c r="A2993">
        <v>2992</v>
      </c>
      <c r="B2993">
        <v>31</v>
      </c>
      <c r="C2993" t="s">
        <v>16</v>
      </c>
      <c r="D2993" t="s">
        <v>33</v>
      </c>
      <c r="E2993" t="s">
        <v>38</v>
      </c>
      <c r="F2993">
        <v>162.09</v>
      </c>
      <c r="G2993" t="s">
        <v>14</v>
      </c>
      <c r="H2993" t="s">
        <v>15</v>
      </c>
      <c r="I2993">
        <v>4.0999999999999996</v>
      </c>
      <c r="J2993">
        <v>12</v>
      </c>
      <c r="K2993">
        <v>6</v>
      </c>
    </row>
    <row r="2994" spans="1:11" x14ac:dyDescent="0.35">
      <c r="A2994">
        <v>2993</v>
      </c>
      <c r="B2994">
        <v>38</v>
      </c>
      <c r="C2994" t="s">
        <v>11</v>
      </c>
      <c r="D2994" t="s">
        <v>12</v>
      </c>
      <c r="E2994" t="s">
        <v>50</v>
      </c>
      <c r="F2994">
        <v>43.25</v>
      </c>
      <c r="G2994" t="s">
        <v>24</v>
      </c>
      <c r="H2994" t="s">
        <v>15</v>
      </c>
      <c r="I2994">
        <v>5</v>
      </c>
      <c r="J2994">
        <v>10</v>
      </c>
      <c r="K2994">
        <v>5</v>
      </c>
    </row>
    <row r="2995" spans="1:11" x14ac:dyDescent="0.35">
      <c r="A2995">
        <v>2994</v>
      </c>
      <c r="B2995">
        <v>42</v>
      </c>
      <c r="C2995" t="s">
        <v>11</v>
      </c>
      <c r="D2995" t="s">
        <v>41</v>
      </c>
      <c r="E2995" t="s">
        <v>45</v>
      </c>
      <c r="F2995">
        <v>181.64</v>
      </c>
      <c r="G2995" t="s">
        <v>14</v>
      </c>
      <c r="H2995" t="s">
        <v>15</v>
      </c>
      <c r="I2995">
        <v>2.8</v>
      </c>
      <c r="J2995">
        <v>26</v>
      </c>
      <c r="K2995">
        <v>8</v>
      </c>
    </row>
    <row r="2996" spans="1:11" x14ac:dyDescent="0.35">
      <c r="A2996">
        <v>2995</v>
      </c>
      <c r="B2996">
        <v>48</v>
      </c>
      <c r="C2996" t="s">
        <v>16</v>
      </c>
      <c r="D2996" t="s">
        <v>27</v>
      </c>
      <c r="E2996" t="s">
        <v>53</v>
      </c>
      <c r="F2996">
        <v>1720.89</v>
      </c>
      <c r="G2996" t="s">
        <v>19</v>
      </c>
      <c r="H2996" t="s">
        <v>15</v>
      </c>
      <c r="I2996">
        <v>3.5</v>
      </c>
      <c r="J2996">
        <v>16</v>
      </c>
      <c r="K2996">
        <v>3</v>
      </c>
    </row>
    <row r="2997" spans="1:11" x14ac:dyDescent="0.35">
      <c r="A2997">
        <v>2996</v>
      </c>
      <c r="B2997">
        <v>53</v>
      </c>
      <c r="C2997" t="s">
        <v>16</v>
      </c>
      <c r="D2997" t="s">
        <v>20</v>
      </c>
      <c r="E2997" t="s">
        <v>21</v>
      </c>
      <c r="F2997">
        <v>239.85</v>
      </c>
      <c r="G2997" t="s">
        <v>24</v>
      </c>
      <c r="H2997" t="s">
        <v>15</v>
      </c>
      <c r="I2997">
        <v>4.0999999999999996</v>
      </c>
      <c r="J2997">
        <v>17</v>
      </c>
      <c r="K2997">
        <v>6</v>
      </c>
    </row>
    <row r="2998" spans="1:11" x14ac:dyDescent="0.35">
      <c r="A2998">
        <v>2997</v>
      </c>
      <c r="B2998">
        <v>26</v>
      </c>
      <c r="C2998" t="s">
        <v>11</v>
      </c>
      <c r="D2998" t="s">
        <v>29</v>
      </c>
      <c r="E2998" t="s">
        <v>55</v>
      </c>
      <c r="F2998">
        <v>66.38</v>
      </c>
      <c r="G2998" t="s">
        <v>19</v>
      </c>
      <c r="H2998" t="s">
        <v>37</v>
      </c>
      <c r="I2998">
        <v>3.8</v>
      </c>
      <c r="J2998">
        <v>10</v>
      </c>
      <c r="K2998">
        <v>5</v>
      </c>
    </row>
    <row r="2999" spans="1:11" x14ac:dyDescent="0.35">
      <c r="A2999">
        <v>2998</v>
      </c>
      <c r="B2999">
        <v>22</v>
      </c>
      <c r="C2999" t="s">
        <v>11</v>
      </c>
      <c r="D2999" t="s">
        <v>29</v>
      </c>
      <c r="E2999" t="s">
        <v>55</v>
      </c>
      <c r="F2999">
        <v>47.67</v>
      </c>
      <c r="G2999" t="s">
        <v>24</v>
      </c>
      <c r="H2999" t="s">
        <v>37</v>
      </c>
      <c r="I2999">
        <v>3</v>
      </c>
      <c r="J2999">
        <v>15</v>
      </c>
      <c r="K2999">
        <v>5</v>
      </c>
    </row>
    <row r="3000" spans="1:11" x14ac:dyDescent="0.35">
      <c r="A3000">
        <v>2999</v>
      </c>
      <c r="B3000">
        <v>52</v>
      </c>
      <c r="C3000" t="s">
        <v>16</v>
      </c>
      <c r="D3000" t="s">
        <v>33</v>
      </c>
      <c r="E3000" t="s">
        <v>34</v>
      </c>
      <c r="F3000">
        <v>156.88</v>
      </c>
      <c r="G3000" t="s">
        <v>14</v>
      </c>
      <c r="H3000" t="s">
        <v>15</v>
      </c>
      <c r="I3000">
        <v>3.5</v>
      </c>
      <c r="J3000">
        <v>15</v>
      </c>
      <c r="K3000">
        <v>5</v>
      </c>
    </row>
    <row r="3001" spans="1:11" x14ac:dyDescent="0.35">
      <c r="A3001">
        <v>3000</v>
      </c>
      <c r="B3001">
        <v>37</v>
      </c>
      <c r="C3001" t="s">
        <v>11</v>
      </c>
      <c r="D3001" t="s">
        <v>33</v>
      </c>
      <c r="E3001" t="s">
        <v>40</v>
      </c>
      <c r="F3001">
        <v>176.28</v>
      </c>
      <c r="G3001" t="s">
        <v>19</v>
      </c>
      <c r="H3001" t="s">
        <v>15</v>
      </c>
      <c r="I3001">
        <v>4.7</v>
      </c>
      <c r="J3001">
        <v>20</v>
      </c>
      <c r="K3001">
        <v>5</v>
      </c>
    </row>
    <row r="3002" spans="1:11" x14ac:dyDescent="0.35">
      <c r="A3002">
        <v>3001</v>
      </c>
      <c r="B3002">
        <v>35</v>
      </c>
      <c r="C3002" t="s">
        <v>11</v>
      </c>
      <c r="D3002" t="s">
        <v>29</v>
      </c>
      <c r="E3002" t="s">
        <v>55</v>
      </c>
      <c r="F3002">
        <v>46.97</v>
      </c>
      <c r="G3002" t="s">
        <v>14</v>
      </c>
      <c r="H3002" t="s">
        <v>15</v>
      </c>
      <c r="I3002">
        <v>4.2</v>
      </c>
      <c r="J3002">
        <v>12</v>
      </c>
      <c r="K3002">
        <v>6</v>
      </c>
    </row>
    <row r="3003" spans="1:11" x14ac:dyDescent="0.35">
      <c r="A3003">
        <v>3002</v>
      </c>
      <c r="B3003">
        <v>69</v>
      </c>
      <c r="C3003" t="s">
        <v>16</v>
      </c>
      <c r="D3003" t="s">
        <v>27</v>
      </c>
      <c r="E3003" t="s">
        <v>49</v>
      </c>
      <c r="F3003">
        <v>1404.38</v>
      </c>
      <c r="G3003" t="s">
        <v>24</v>
      </c>
      <c r="H3003" t="s">
        <v>15</v>
      </c>
      <c r="I3003">
        <v>2.5</v>
      </c>
      <c r="J3003">
        <v>13</v>
      </c>
      <c r="K3003">
        <v>4</v>
      </c>
    </row>
    <row r="3004" spans="1:11" x14ac:dyDescent="0.35">
      <c r="A3004">
        <v>3003</v>
      </c>
      <c r="B3004">
        <v>59</v>
      </c>
      <c r="C3004" t="s">
        <v>11</v>
      </c>
      <c r="D3004" t="s">
        <v>33</v>
      </c>
      <c r="E3004" t="s">
        <v>34</v>
      </c>
      <c r="F3004">
        <v>112.23</v>
      </c>
      <c r="G3004" t="s">
        <v>19</v>
      </c>
      <c r="H3004" t="s">
        <v>15</v>
      </c>
      <c r="I3004">
        <v>3.6</v>
      </c>
      <c r="J3004">
        <v>10</v>
      </c>
      <c r="K3004">
        <v>5</v>
      </c>
    </row>
    <row r="3005" spans="1:11" x14ac:dyDescent="0.35">
      <c r="A3005">
        <v>3004</v>
      </c>
      <c r="B3005">
        <v>44</v>
      </c>
      <c r="C3005" t="s">
        <v>11</v>
      </c>
      <c r="D3005" t="s">
        <v>12</v>
      </c>
      <c r="E3005" t="s">
        <v>56</v>
      </c>
      <c r="F3005">
        <v>124.3</v>
      </c>
      <c r="G3005" t="s">
        <v>19</v>
      </c>
      <c r="H3005" t="s">
        <v>15</v>
      </c>
      <c r="I3005">
        <v>3.7</v>
      </c>
      <c r="J3005">
        <v>21</v>
      </c>
      <c r="K3005">
        <v>8</v>
      </c>
    </row>
    <row r="3006" spans="1:11" x14ac:dyDescent="0.35">
      <c r="A3006">
        <v>3005</v>
      </c>
      <c r="B3006">
        <v>37</v>
      </c>
      <c r="C3006" t="s">
        <v>16</v>
      </c>
      <c r="D3006" t="s">
        <v>20</v>
      </c>
      <c r="E3006" t="s">
        <v>36</v>
      </c>
      <c r="F3006">
        <v>145.11000000000001</v>
      </c>
      <c r="G3006" t="s">
        <v>19</v>
      </c>
      <c r="H3006" t="s">
        <v>15</v>
      </c>
      <c r="I3006">
        <v>2.4</v>
      </c>
      <c r="J3006">
        <v>20</v>
      </c>
      <c r="K3006">
        <v>5</v>
      </c>
    </row>
    <row r="3007" spans="1:11" x14ac:dyDescent="0.35">
      <c r="A3007">
        <v>3006</v>
      </c>
      <c r="B3007">
        <v>63</v>
      </c>
      <c r="C3007" t="s">
        <v>16</v>
      </c>
      <c r="D3007" t="s">
        <v>33</v>
      </c>
      <c r="E3007" t="s">
        <v>40</v>
      </c>
      <c r="F3007">
        <v>214.22</v>
      </c>
      <c r="G3007" t="s">
        <v>14</v>
      </c>
      <c r="H3007" t="s">
        <v>15</v>
      </c>
      <c r="I3007">
        <v>3.3</v>
      </c>
      <c r="J3007">
        <v>19</v>
      </c>
      <c r="K3007">
        <v>7</v>
      </c>
    </row>
    <row r="3008" spans="1:11" x14ac:dyDescent="0.35">
      <c r="A3008">
        <v>3007</v>
      </c>
      <c r="B3008">
        <v>42</v>
      </c>
      <c r="C3008" t="s">
        <v>11</v>
      </c>
      <c r="D3008" t="s">
        <v>29</v>
      </c>
      <c r="E3008" t="s">
        <v>51</v>
      </c>
      <c r="F3008">
        <v>24.73</v>
      </c>
      <c r="G3008" t="s">
        <v>19</v>
      </c>
      <c r="H3008" t="s">
        <v>15</v>
      </c>
      <c r="I3008">
        <v>3.6</v>
      </c>
      <c r="J3008">
        <v>15</v>
      </c>
      <c r="K3008">
        <v>5</v>
      </c>
    </row>
    <row r="3009" spans="1:11" x14ac:dyDescent="0.35">
      <c r="A3009">
        <v>3008</v>
      </c>
      <c r="B3009">
        <v>38</v>
      </c>
      <c r="C3009" t="s">
        <v>16</v>
      </c>
      <c r="D3009" t="s">
        <v>20</v>
      </c>
      <c r="E3009" t="s">
        <v>36</v>
      </c>
      <c r="F3009">
        <v>158.99</v>
      </c>
      <c r="G3009" t="s">
        <v>24</v>
      </c>
      <c r="H3009" t="s">
        <v>15</v>
      </c>
      <c r="I3009">
        <v>3.4</v>
      </c>
      <c r="J3009">
        <v>13</v>
      </c>
      <c r="K3009">
        <v>4</v>
      </c>
    </row>
    <row r="3010" spans="1:11" x14ac:dyDescent="0.35">
      <c r="A3010">
        <v>3009</v>
      </c>
      <c r="B3010">
        <v>46</v>
      </c>
      <c r="C3010" t="s">
        <v>11</v>
      </c>
      <c r="D3010" t="s">
        <v>20</v>
      </c>
      <c r="E3010" t="s">
        <v>36</v>
      </c>
      <c r="F3010">
        <v>234.34</v>
      </c>
      <c r="G3010" t="s">
        <v>19</v>
      </c>
      <c r="H3010" t="s">
        <v>15</v>
      </c>
      <c r="I3010">
        <v>3.4</v>
      </c>
      <c r="J3010">
        <v>6</v>
      </c>
      <c r="K3010">
        <v>3</v>
      </c>
    </row>
    <row r="3011" spans="1:11" x14ac:dyDescent="0.35">
      <c r="A3011">
        <v>3010</v>
      </c>
      <c r="B3011">
        <v>42</v>
      </c>
      <c r="C3011" t="s">
        <v>11</v>
      </c>
      <c r="D3011" t="s">
        <v>41</v>
      </c>
      <c r="E3011" t="s">
        <v>42</v>
      </c>
      <c r="F3011">
        <v>31.48</v>
      </c>
      <c r="G3011" t="s">
        <v>24</v>
      </c>
      <c r="H3011" t="s">
        <v>37</v>
      </c>
      <c r="I3011">
        <v>3.1</v>
      </c>
      <c r="J3011">
        <v>10</v>
      </c>
      <c r="K3011">
        <v>5</v>
      </c>
    </row>
    <row r="3012" spans="1:11" x14ac:dyDescent="0.35">
      <c r="A3012">
        <v>3011</v>
      </c>
      <c r="B3012">
        <v>23</v>
      </c>
      <c r="C3012" t="s">
        <v>11</v>
      </c>
      <c r="D3012" t="s">
        <v>41</v>
      </c>
      <c r="E3012" t="s">
        <v>42</v>
      </c>
      <c r="F3012">
        <v>134.30000000000001</v>
      </c>
      <c r="G3012" t="s">
        <v>14</v>
      </c>
      <c r="H3012" t="s">
        <v>15</v>
      </c>
      <c r="I3012">
        <v>3.9</v>
      </c>
      <c r="J3012">
        <v>22</v>
      </c>
      <c r="K3012">
        <v>6</v>
      </c>
    </row>
    <row r="3013" spans="1:11" x14ac:dyDescent="0.35">
      <c r="A3013">
        <v>3012</v>
      </c>
      <c r="B3013">
        <v>48</v>
      </c>
      <c r="C3013" t="s">
        <v>16</v>
      </c>
      <c r="D3013" t="s">
        <v>17</v>
      </c>
      <c r="E3013" t="s">
        <v>48</v>
      </c>
      <c r="F3013">
        <v>51.38</v>
      </c>
      <c r="G3013" t="s">
        <v>24</v>
      </c>
      <c r="H3013" t="s">
        <v>15</v>
      </c>
      <c r="I3013">
        <v>5</v>
      </c>
      <c r="J3013">
        <v>2</v>
      </c>
      <c r="K3013">
        <v>1</v>
      </c>
    </row>
    <row r="3014" spans="1:11" x14ac:dyDescent="0.35">
      <c r="A3014">
        <v>3013</v>
      </c>
      <c r="B3014">
        <v>51</v>
      </c>
      <c r="C3014" t="s">
        <v>16</v>
      </c>
      <c r="D3014" t="s">
        <v>27</v>
      </c>
      <c r="E3014" t="s">
        <v>49</v>
      </c>
      <c r="F3014">
        <v>2375.0300000000002</v>
      </c>
      <c r="G3014" t="s">
        <v>24</v>
      </c>
      <c r="H3014" t="s">
        <v>15</v>
      </c>
      <c r="I3014">
        <v>2.5</v>
      </c>
      <c r="J3014">
        <v>8</v>
      </c>
      <c r="K3014">
        <v>4</v>
      </c>
    </row>
    <row r="3015" spans="1:11" x14ac:dyDescent="0.35">
      <c r="A3015">
        <v>3014</v>
      </c>
      <c r="B3015">
        <v>53</v>
      </c>
      <c r="C3015" t="s">
        <v>16</v>
      </c>
      <c r="D3015" t="s">
        <v>20</v>
      </c>
      <c r="E3015" t="s">
        <v>36</v>
      </c>
      <c r="F3015">
        <v>52.21</v>
      </c>
      <c r="G3015" t="s">
        <v>14</v>
      </c>
      <c r="H3015" t="s">
        <v>15</v>
      </c>
      <c r="I3015">
        <v>3.6</v>
      </c>
      <c r="J3015">
        <v>6</v>
      </c>
      <c r="K3015">
        <v>3</v>
      </c>
    </row>
    <row r="3016" spans="1:11" x14ac:dyDescent="0.35">
      <c r="A3016">
        <v>3015</v>
      </c>
      <c r="B3016">
        <v>38</v>
      </c>
      <c r="C3016" t="s">
        <v>11</v>
      </c>
      <c r="D3016" t="s">
        <v>33</v>
      </c>
      <c r="E3016" t="s">
        <v>34</v>
      </c>
      <c r="F3016">
        <v>241.96</v>
      </c>
      <c r="G3016" t="s">
        <v>31</v>
      </c>
      <c r="H3016" t="s">
        <v>15</v>
      </c>
      <c r="I3016">
        <v>2.6</v>
      </c>
      <c r="J3016">
        <v>18</v>
      </c>
      <c r="K3016">
        <v>4</v>
      </c>
    </row>
    <row r="3017" spans="1:11" x14ac:dyDescent="0.35">
      <c r="A3017">
        <v>3016</v>
      </c>
      <c r="B3017">
        <v>23</v>
      </c>
      <c r="C3017" t="s">
        <v>11</v>
      </c>
      <c r="D3017" t="s">
        <v>12</v>
      </c>
      <c r="E3017" t="s">
        <v>56</v>
      </c>
      <c r="F3017">
        <v>64.06</v>
      </c>
      <c r="G3017" t="s">
        <v>19</v>
      </c>
      <c r="H3017" t="s">
        <v>37</v>
      </c>
      <c r="I3017">
        <v>3.7</v>
      </c>
      <c r="J3017">
        <v>9</v>
      </c>
      <c r="K3017">
        <v>2</v>
      </c>
    </row>
    <row r="3018" spans="1:11" x14ac:dyDescent="0.35">
      <c r="A3018">
        <v>3017</v>
      </c>
      <c r="B3018">
        <v>25</v>
      </c>
      <c r="C3018" t="s">
        <v>11</v>
      </c>
      <c r="D3018" t="s">
        <v>41</v>
      </c>
      <c r="E3018" t="s">
        <v>42</v>
      </c>
      <c r="F3018">
        <v>59.55</v>
      </c>
      <c r="G3018" t="s">
        <v>19</v>
      </c>
      <c r="H3018" t="s">
        <v>15</v>
      </c>
      <c r="I3018">
        <v>4.0999999999999996</v>
      </c>
      <c r="J3018">
        <v>22</v>
      </c>
      <c r="K3018">
        <v>6</v>
      </c>
    </row>
    <row r="3019" spans="1:11" x14ac:dyDescent="0.35">
      <c r="A3019">
        <v>3018</v>
      </c>
      <c r="B3019">
        <v>63</v>
      </c>
      <c r="C3019" t="s">
        <v>16</v>
      </c>
      <c r="D3019" t="s">
        <v>33</v>
      </c>
      <c r="E3019" t="s">
        <v>38</v>
      </c>
      <c r="F3019">
        <v>91.21</v>
      </c>
      <c r="G3019" t="s">
        <v>24</v>
      </c>
      <c r="H3019" t="s">
        <v>15</v>
      </c>
      <c r="I3019">
        <v>4.0999999999999996</v>
      </c>
      <c r="J3019">
        <v>32</v>
      </c>
      <c r="K3019">
        <v>11</v>
      </c>
    </row>
    <row r="3020" spans="1:11" x14ac:dyDescent="0.35">
      <c r="A3020">
        <v>3019</v>
      </c>
      <c r="B3020">
        <v>63</v>
      </c>
      <c r="C3020" t="s">
        <v>16</v>
      </c>
      <c r="D3020" t="s">
        <v>17</v>
      </c>
      <c r="E3020" t="s">
        <v>48</v>
      </c>
      <c r="F3020">
        <v>112.01</v>
      </c>
      <c r="G3020" t="s">
        <v>14</v>
      </c>
      <c r="H3020" t="s">
        <v>15</v>
      </c>
      <c r="I3020">
        <v>4</v>
      </c>
      <c r="J3020">
        <v>8</v>
      </c>
      <c r="K3020">
        <v>4</v>
      </c>
    </row>
    <row r="3021" spans="1:11" x14ac:dyDescent="0.35">
      <c r="A3021">
        <v>3020</v>
      </c>
      <c r="B3021">
        <v>47</v>
      </c>
      <c r="C3021" t="s">
        <v>16</v>
      </c>
      <c r="D3021" t="s">
        <v>27</v>
      </c>
      <c r="E3021" t="s">
        <v>49</v>
      </c>
      <c r="F3021">
        <v>2830.66</v>
      </c>
      <c r="G3021" t="s">
        <v>31</v>
      </c>
      <c r="H3021" t="s">
        <v>15</v>
      </c>
      <c r="I3021">
        <v>3.5</v>
      </c>
      <c r="J3021">
        <v>16</v>
      </c>
      <c r="K3021">
        <v>3</v>
      </c>
    </row>
    <row r="3022" spans="1:11" x14ac:dyDescent="0.35">
      <c r="A3022">
        <v>3021</v>
      </c>
      <c r="B3022">
        <v>67</v>
      </c>
      <c r="C3022" t="s">
        <v>16</v>
      </c>
      <c r="D3022" t="s">
        <v>27</v>
      </c>
      <c r="E3022" t="s">
        <v>28</v>
      </c>
      <c r="F3022">
        <v>804.82</v>
      </c>
      <c r="G3022" t="s">
        <v>24</v>
      </c>
      <c r="H3022" t="s">
        <v>15</v>
      </c>
      <c r="I3022">
        <v>3.8</v>
      </c>
      <c r="J3022">
        <v>9</v>
      </c>
      <c r="K3022">
        <v>2</v>
      </c>
    </row>
    <row r="3023" spans="1:11" x14ac:dyDescent="0.35">
      <c r="A3023">
        <v>3022</v>
      </c>
      <c r="B3023">
        <v>35</v>
      </c>
      <c r="C3023" t="s">
        <v>16</v>
      </c>
      <c r="D3023" t="s">
        <v>17</v>
      </c>
      <c r="E3023" t="s">
        <v>48</v>
      </c>
      <c r="F3023">
        <v>62.73</v>
      </c>
      <c r="G3023" t="s">
        <v>31</v>
      </c>
      <c r="H3023" t="s">
        <v>37</v>
      </c>
      <c r="I3023">
        <v>3.6</v>
      </c>
      <c r="J3023">
        <v>15</v>
      </c>
      <c r="K3023">
        <v>5</v>
      </c>
    </row>
    <row r="3024" spans="1:11" x14ac:dyDescent="0.35">
      <c r="A3024">
        <v>3023</v>
      </c>
      <c r="B3024">
        <v>43</v>
      </c>
      <c r="C3024" t="s">
        <v>11</v>
      </c>
      <c r="D3024" t="s">
        <v>29</v>
      </c>
      <c r="E3024" t="s">
        <v>51</v>
      </c>
      <c r="F3024">
        <v>20.09</v>
      </c>
      <c r="G3024" t="s">
        <v>24</v>
      </c>
      <c r="H3024" t="s">
        <v>37</v>
      </c>
      <c r="I3024">
        <v>2.7</v>
      </c>
      <c r="J3024">
        <v>20</v>
      </c>
      <c r="K3024">
        <v>5</v>
      </c>
    </row>
    <row r="3025" spans="1:11" x14ac:dyDescent="0.35">
      <c r="A3025">
        <v>3024</v>
      </c>
      <c r="B3025">
        <v>60</v>
      </c>
      <c r="C3025" t="s">
        <v>11</v>
      </c>
      <c r="D3025" t="s">
        <v>33</v>
      </c>
      <c r="E3025" t="s">
        <v>38</v>
      </c>
      <c r="F3025">
        <v>52.98</v>
      </c>
      <c r="G3025" t="s">
        <v>19</v>
      </c>
      <c r="H3025" t="s">
        <v>15</v>
      </c>
      <c r="I3025">
        <v>4.2</v>
      </c>
      <c r="J3025">
        <v>4</v>
      </c>
      <c r="K3025">
        <v>2</v>
      </c>
    </row>
    <row r="3026" spans="1:11" x14ac:dyDescent="0.35">
      <c r="A3026">
        <v>3025</v>
      </c>
      <c r="B3026">
        <v>56</v>
      </c>
      <c r="C3026" t="s">
        <v>11</v>
      </c>
      <c r="D3026" t="s">
        <v>41</v>
      </c>
      <c r="E3026" t="s">
        <v>45</v>
      </c>
      <c r="F3026">
        <v>80.959999999999994</v>
      </c>
      <c r="G3026" t="s">
        <v>19</v>
      </c>
      <c r="H3026" t="s">
        <v>15</v>
      </c>
      <c r="I3026">
        <v>3.4</v>
      </c>
      <c r="J3026">
        <v>12</v>
      </c>
      <c r="K3026">
        <v>6</v>
      </c>
    </row>
    <row r="3027" spans="1:11" x14ac:dyDescent="0.35">
      <c r="A3027">
        <v>3026</v>
      </c>
      <c r="B3027">
        <v>46</v>
      </c>
      <c r="C3027" t="s">
        <v>16</v>
      </c>
      <c r="D3027" t="s">
        <v>17</v>
      </c>
      <c r="E3027" t="s">
        <v>48</v>
      </c>
      <c r="F3027">
        <v>173.68</v>
      </c>
      <c r="G3027" t="s">
        <v>19</v>
      </c>
      <c r="H3027" t="s">
        <v>15</v>
      </c>
      <c r="I3027">
        <v>5</v>
      </c>
      <c r="J3027">
        <v>17</v>
      </c>
      <c r="K3027">
        <v>6</v>
      </c>
    </row>
    <row r="3028" spans="1:11" x14ac:dyDescent="0.35">
      <c r="A3028">
        <v>3027</v>
      </c>
      <c r="B3028">
        <v>63</v>
      </c>
      <c r="C3028" t="s">
        <v>16</v>
      </c>
      <c r="D3028" t="s">
        <v>17</v>
      </c>
      <c r="E3028" t="s">
        <v>48</v>
      </c>
      <c r="F3028">
        <v>116.37</v>
      </c>
      <c r="G3028" t="s">
        <v>24</v>
      </c>
      <c r="H3028" t="s">
        <v>15</v>
      </c>
      <c r="I3028">
        <v>3.3</v>
      </c>
      <c r="J3028">
        <v>26</v>
      </c>
      <c r="K3028">
        <v>8</v>
      </c>
    </row>
    <row r="3029" spans="1:11" x14ac:dyDescent="0.35">
      <c r="A3029">
        <v>3028</v>
      </c>
      <c r="B3029">
        <v>44</v>
      </c>
      <c r="C3029" t="s">
        <v>11</v>
      </c>
      <c r="D3029" t="s">
        <v>41</v>
      </c>
      <c r="E3029" t="s">
        <v>44</v>
      </c>
      <c r="F3029">
        <v>139.86000000000001</v>
      </c>
      <c r="G3029" t="s">
        <v>31</v>
      </c>
      <c r="H3029" t="s">
        <v>15</v>
      </c>
      <c r="I3029">
        <v>3.5</v>
      </c>
      <c r="J3029">
        <v>11</v>
      </c>
      <c r="K3029">
        <v>3</v>
      </c>
    </row>
    <row r="3030" spans="1:11" x14ac:dyDescent="0.35">
      <c r="A3030">
        <v>3029</v>
      </c>
      <c r="B3030">
        <v>46</v>
      </c>
      <c r="C3030" t="s">
        <v>11</v>
      </c>
      <c r="D3030" t="s">
        <v>12</v>
      </c>
      <c r="E3030" t="s">
        <v>56</v>
      </c>
      <c r="F3030">
        <v>169.04</v>
      </c>
      <c r="G3030" t="s">
        <v>24</v>
      </c>
      <c r="H3030" t="s">
        <v>15</v>
      </c>
      <c r="I3030">
        <v>3</v>
      </c>
      <c r="J3030">
        <v>15</v>
      </c>
      <c r="K3030">
        <v>5</v>
      </c>
    </row>
    <row r="3031" spans="1:11" x14ac:dyDescent="0.35">
      <c r="A3031">
        <v>3030</v>
      </c>
      <c r="B3031">
        <v>44</v>
      </c>
      <c r="C3031" t="s">
        <v>16</v>
      </c>
      <c r="D3031" t="s">
        <v>27</v>
      </c>
      <c r="E3031" t="s">
        <v>32</v>
      </c>
      <c r="F3031">
        <v>2810.41</v>
      </c>
      <c r="G3031" t="s">
        <v>24</v>
      </c>
      <c r="H3031" t="s">
        <v>15</v>
      </c>
      <c r="I3031">
        <v>4.4000000000000004</v>
      </c>
      <c r="J3031">
        <v>8</v>
      </c>
      <c r="K3031">
        <v>4</v>
      </c>
    </row>
    <row r="3032" spans="1:11" x14ac:dyDescent="0.35">
      <c r="A3032">
        <v>3031</v>
      </c>
      <c r="B3032">
        <v>46</v>
      </c>
      <c r="C3032" t="s">
        <v>11</v>
      </c>
      <c r="D3032" t="s">
        <v>41</v>
      </c>
      <c r="E3032" t="s">
        <v>44</v>
      </c>
      <c r="F3032">
        <v>152.01</v>
      </c>
      <c r="G3032" t="s">
        <v>31</v>
      </c>
      <c r="H3032" t="s">
        <v>15</v>
      </c>
      <c r="I3032">
        <v>2.6</v>
      </c>
      <c r="J3032">
        <v>11</v>
      </c>
      <c r="K3032">
        <v>3</v>
      </c>
    </row>
    <row r="3033" spans="1:11" x14ac:dyDescent="0.35">
      <c r="A3033">
        <v>3032</v>
      </c>
      <c r="B3033">
        <v>50</v>
      </c>
      <c r="C3033" t="s">
        <v>16</v>
      </c>
      <c r="D3033" t="s">
        <v>27</v>
      </c>
      <c r="E3033" t="s">
        <v>53</v>
      </c>
      <c r="F3033">
        <v>908.32</v>
      </c>
      <c r="G3033" t="s">
        <v>14</v>
      </c>
      <c r="H3033" t="s">
        <v>15</v>
      </c>
      <c r="I3033">
        <v>2.8</v>
      </c>
      <c r="J3033">
        <v>8</v>
      </c>
      <c r="K3033">
        <v>4</v>
      </c>
    </row>
    <row r="3034" spans="1:11" x14ac:dyDescent="0.35">
      <c r="A3034">
        <v>3033</v>
      </c>
      <c r="B3034">
        <v>57</v>
      </c>
      <c r="C3034" t="s">
        <v>11</v>
      </c>
      <c r="D3034" t="s">
        <v>41</v>
      </c>
      <c r="E3034" t="s">
        <v>44</v>
      </c>
      <c r="F3034">
        <v>194</v>
      </c>
      <c r="G3034" t="s">
        <v>24</v>
      </c>
      <c r="H3034" t="s">
        <v>15</v>
      </c>
      <c r="I3034">
        <v>2.9</v>
      </c>
      <c r="J3034">
        <v>2</v>
      </c>
      <c r="K3034">
        <v>1</v>
      </c>
    </row>
    <row r="3035" spans="1:11" x14ac:dyDescent="0.35">
      <c r="A3035">
        <v>3034</v>
      </c>
      <c r="B3035">
        <v>28</v>
      </c>
      <c r="C3035" t="s">
        <v>16</v>
      </c>
      <c r="D3035" t="s">
        <v>33</v>
      </c>
      <c r="E3035" t="s">
        <v>34</v>
      </c>
      <c r="F3035">
        <v>239.55</v>
      </c>
      <c r="G3035" t="s">
        <v>19</v>
      </c>
      <c r="H3035" t="s">
        <v>15</v>
      </c>
      <c r="I3035">
        <v>4.5999999999999996</v>
      </c>
      <c r="J3035">
        <v>20</v>
      </c>
      <c r="K3035">
        <v>5</v>
      </c>
    </row>
    <row r="3036" spans="1:11" x14ac:dyDescent="0.35">
      <c r="A3036">
        <v>3035</v>
      </c>
      <c r="B3036">
        <v>38</v>
      </c>
      <c r="C3036" t="s">
        <v>16</v>
      </c>
      <c r="D3036" t="s">
        <v>27</v>
      </c>
      <c r="E3036" t="s">
        <v>49</v>
      </c>
      <c r="F3036">
        <v>2591.6999999999998</v>
      </c>
      <c r="G3036" t="s">
        <v>14</v>
      </c>
      <c r="H3036" t="s">
        <v>15</v>
      </c>
      <c r="I3036">
        <v>3.3</v>
      </c>
      <c r="J3036">
        <v>26</v>
      </c>
      <c r="K3036">
        <v>8</v>
      </c>
    </row>
    <row r="3037" spans="1:11" x14ac:dyDescent="0.35">
      <c r="A3037">
        <v>3036</v>
      </c>
      <c r="B3037">
        <v>57</v>
      </c>
      <c r="C3037" t="s">
        <v>11</v>
      </c>
      <c r="D3037" t="s">
        <v>41</v>
      </c>
      <c r="E3037" t="s">
        <v>45</v>
      </c>
      <c r="F3037">
        <v>165.49</v>
      </c>
      <c r="G3037" t="s">
        <v>31</v>
      </c>
      <c r="H3037" t="s">
        <v>15</v>
      </c>
      <c r="I3037">
        <v>4.7</v>
      </c>
      <c r="J3037">
        <v>13</v>
      </c>
      <c r="K3037">
        <v>4</v>
      </c>
    </row>
    <row r="3038" spans="1:11" x14ac:dyDescent="0.35">
      <c r="A3038">
        <v>3037</v>
      </c>
      <c r="B3038">
        <v>22</v>
      </c>
      <c r="C3038" t="s">
        <v>16</v>
      </c>
      <c r="D3038" t="s">
        <v>33</v>
      </c>
      <c r="E3038" t="s">
        <v>38</v>
      </c>
      <c r="F3038">
        <v>41.92</v>
      </c>
      <c r="G3038" t="s">
        <v>24</v>
      </c>
      <c r="H3038" t="s">
        <v>15</v>
      </c>
      <c r="I3038">
        <v>3.9</v>
      </c>
      <c r="J3038">
        <v>11</v>
      </c>
      <c r="K3038">
        <v>3</v>
      </c>
    </row>
    <row r="3039" spans="1:11" x14ac:dyDescent="0.35">
      <c r="A3039">
        <v>3038</v>
      </c>
      <c r="B3039">
        <v>29</v>
      </c>
      <c r="C3039" t="s">
        <v>16</v>
      </c>
      <c r="D3039" t="s">
        <v>20</v>
      </c>
      <c r="E3039" t="s">
        <v>39</v>
      </c>
      <c r="F3039">
        <v>236.09</v>
      </c>
      <c r="G3039" t="s">
        <v>31</v>
      </c>
      <c r="H3039" t="s">
        <v>15</v>
      </c>
      <c r="I3039">
        <v>2.7</v>
      </c>
      <c r="J3039">
        <v>13</v>
      </c>
      <c r="K3039">
        <v>4</v>
      </c>
    </row>
    <row r="3040" spans="1:11" x14ac:dyDescent="0.35">
      <c r="A3040">
        <v>3039</v>
      </c>
      <c r="B3040">
        <v>26</v>
      </c>
      <c r="C3040" t="s">
        <v>16</v>
      </c>
      <c r="D3040" t="s">
        <v>27</v>
      </c>
      <c r="E3040" t="s">
        <v>49</v>
      </c>
      <c r="F3040">
        <v>1687.69</v>
      </c>
      <c r="G3040" t="s">
        <v>31</v>
      </c>
      <c r="H3040" t="s">
        <v>15</v>
      </c>
      <c r="I3040">
        <v>2.4</v>
      </c>
      <c r="J3040">
        <v>12</v>
      </c>
      <c r="K3040">
        <v>6</v>
      </c>
    </row>
    <row r="3041" spans="1:11" x14ac:dyDescent="0.35">
      <c r="A3041">
        <v>3040</v>
      </c>
      <c r="B3041">
        <v>40</v>
      </c>
      <c r="C3041" t="s">
        <v>16</v>
      </c>
      <c r="D3041" t="s">
        <v>17</v>
      </c>
      <c r="E3041" t="s">
        <v>35</v>
      </c>
      <c r="F3041">
        <v>144.61000000000001</v>
      </c>
      <c r="G3041" t="s">
        <v>14</v>
      </c>
      <c r="H3041" t="s">
        <v>15</v>
      </c>
      <c r="I3041">
        <v>3.6</v>
      </c>
      <c r="J3041">
        <v>22</v>
      </c>
      <c r="K3041">
        <v>6</v>
      </c>
    </row>
    <row r="3042" spans="1:11" x14ac:dyDescent="0.35">
      <c r="A3042">
        <v>3041</v>
      </c>
      <c r="B3042">
        <v>59</v>
      </c>
      <c r="C3042" t="s">
        <v>16</v>
      </c>
      <c r="D3042" t="s">
        <v>25</v>
      </c>
      <c r="E3042" t="s">
        <v>57</v>
      </c>
      <c r="F3042">
        <v>60.41</v>
      </c>
      <c r="G3042" t="s">
        <v>14</v>
      </c>
      <c r="H3042" t="s">
        <v>37</v>
      </c>
      <c r="I3042">
        <v>3.7</v>
      </c>
      <c r="J3042">
        <v>13</v>
      </c>
      <c r="K3042">
        <v>4</v>
      </c>
    </row>
    <row r="3043" spans="1:11" x14ac:dyDescent="0.35">
      <c r="A3043">
        <v>3042</v>
      </c>
      <c r="B3043">
        <v>42</v>
      </c>
      <c r="C3043" t="s">
        <v>11</v>
      </c>
      <c r="D3043" t="s">
        <v>33</v>
      </c>
      <c r="E3043" t="s">
        <v>40</v>
      </c>
      <c r="F3043">
        <v>176.41</v>
      </c>
      <c r="G3043" t="s">
        <v>19</v>
      </c>
      <c r="H3043" t="s">
        <v>15</v>
      </c>
      <c r="I3043">
        <v>4.2</v>
      </c>
      <c r="J3043">
        <v>16</v>
      </c>
      <c r="K3043">
        <v>3</v>
      </c>
    </row>
    <row r="3044" spans="1:11" x14ac:dyDescent="0.35">
      <c r="A3044">
        <v>3043</v>
      </c>
      <c r="B3044">
        <v>66</v>
      </c>
      <c r="C3044" t="s">
        <v>11</v>
      </c>
      <c r="D3044" t="s">
        <v>29</v>
      </c>
      <c r="E3044" t="s">
        <v>55</v>
      </c>
      <c r="F3044">
        <v>46.02</v>
      </c>
      <c r="G3044" t="s">
        <v>19</v>
      </c>
      <c r="H3044" t="s">
        <v>15</v>
      </c>
      <c r="I3044">
        <v>3.2</v>
      </c>
      <c r="J3044">
        <v>26</v>
      </c>
      <c r="K3044">
        <v>8</v>
      </c>
    </row>
    <row r="3045" spans="1:11" x14ac:dyDescent="0.35">
      <c r="A3045">
        <v>3044</v>
      </c>
      <c r="B3045">
        <v>50</v>
      </c>
      <c r="C3045" t="s">
        <v>16</v>
      </c>
      <c r="D3045" t="s">
        <v>27</v>
      </c>
      <c r="E3045" t="s">
        <v>49</v>
      </c>
      <c r="F3045">
        <v>1517.4</v>
      </c>
      <c r="G3045" t="s">
        <v>31</v>
      </c>
      <c r="H3045" t="s">
        <v>15</v>
      </c>
      <c r="I3045">
        <v>3.6</v>
      </c>
      <c r="J3045">
        <v>18</v>
      </c>
      <c r="K3045">
        <v>9</v>
      </c>
    </row>
    <row r="3046" spans="1:11" x14ac:dyDescent="0.35">
      <c r="A3046">
        <v>3045</v>
      </c>
      <c r="B3046">
        <v>51</v>
      </c>
      <c r="C3046" t="s">
        <v>11</v>
      </c>
      <c r="D3046" t="s">
        <v>29</v>
      </c>
      <c r="E3046" t="s">
        <v>55</v>
      </c>
      <c r="F3046">
        <v>86.79</v>
      </c>
      <c r="G3046" t="s">
        <v>19</v>
      </c>
      <c r="H3046" t="s">
        <v>37</v>
      </c>
      <c r="I3046">
        <v>3.5</v>
      </c>
      <c r="J3046">
        <v>19</v>
      </c>
      <c r="K3046">
        <v>7</v>
      </c>
    </row>
    <row r="3047" spans="1:11" x14ac:dyDescent="0.35">
      <c r="A3047">
        <v>3046</v>
      </c>
      <c r="B3047">
        <v>40</v>
      </c>
      <c r="C3047" t="s">
        <v>11</v>
      </c>
      <c r="D3047" t="s">
        <v>41</v>
      </c>
      <c r="E3047" t="s">
        <v>46</v>
      </c>
      <c r="F3047">
        <v>41.97</v>
      </c>
      <c r="G3047" t="s">
        <v>31</v>
      </c>
      <c r="H3047" t="s">
        <v>15</v>
      </c>
      <c r="I3047">
        <v>3.5</v>
      </c>
      <c r="J3047">
        <v>10</v>
      </c>
      <c r="K3047">
        <v>5</v>
      </c>
    </row>
    <row r="3048" spans="1:11" x14ac:dyDescent="0.35">
      <c r="A3048">
        <v>3047</v>
      </c>
      <c r="B3048">
        <v>35</v>
      </c>
      <c r="C3048" t="s">
        <v>11</v>
      </c>
      <c r="D3048" t="s">
        <v>29</v>
      </c>
      <c r="E3048" t="s">
        <v>55</v>
      </c>
      <c r="F3048">
        <v>149.18</v>
      </c>
      <c r="G3048" t="s">
        <v>19</v>
      </c>
      <c r="H3048" t="s">
        <v>15</v>
      </c>
      <c r="I3048">
        <v>4.7</v>
      </c>
      <c r="J3048">
        <v>28</v>
      </c>
      <c r="K3048">
        <v>9</v>
      </c>
    </row>
    <row r="3049" spans="1:11" x14ac:dyDescent="0.35">
      <c r="A3049">
        <v>3048</v>
      </c>
      <c r="B3049">
        <v>30</v>
      </c>
      <c r="C3049" t="s">
        <v>11</v>
      </c>
      <c r="D3049" t="s">
        <v>41</v>
      </c>
      <c r="E3049" t="s">
        <v>45</v>
      </c>
      <c r="F3049">
        <v>142.34</v>
      </c>
      <c r="G3049" t="s">
        <v>24</v>
      </c>
      <c r="H3049" t="s">
        <v>15</v>
      </c>
      <c r="I3049">
        <v>2.9</v>
      </c>
      <c r="J3049">
        <v>19</v>
      </c>
      <c r="K3049">
        <v>7</v>
      </c>
    </row>
    <row r="3050" spans="1:11" x14ac:dyDescent="0.35">
      <c r="A3050">
        <v>3049</v>
      </c>
      <c r="B3050">
        <v>68</v>
      </c>
      <c r="C3050" t="s">
        <v>16</v>
      </c>
      <c r="D3050" t="s">
        <v>20</v>
      </c>
      <c r="E3050" t="s">
        <v>39</v>
      </c>
      <c r="F3050">
        <v>149.12</v>
      </c>
      <c r="G3050" t="s">
        <v>14</v>
      </c>
      <c r="H3050" t="s">
        <v>15</v>
      </c>
      <c r="I3050">
        <v>4.7</v>
      </c>
      <c r="J3050">
        <v>30</v>
      </c>
      <c r="K3050">
        <v>10</v>
      </c>
    </row>
    <row r="3051" spans="1:11" x14ac:dyDescent="0.35">
      <c r="A3051">
        <v>3050</v>
      </c>
      <c r="B3051">
        <v>34</v>
      </c>
      <c r="C3051" t="s">
        <v>11</v>
      </c>
      <c r="D3051" t="s">
        <v>33</v>
      </c>
      <c r="E3051" t="s">
        <v>34</v>
      </c>
      <c r="F3051">
        <v>222.74</v>
      </c>
      <c r="G3051" t="s">
        <v>24</v>
      </c>
      <c r="H3051" t="s">
        <v>15</v>
      </c>
      <c r="I3051">
        <v>4</v>
      </c>
      <c r="J3051">
        <v>18</v>
      </c>
      <c r="K3051">
        <v>4</v>
      </c>
    </row>
    <row r="3052" spans="1:11" x14ac:dyDescent="0.35">
      <c r="A3052">
        <v>3051</v>
      </c>
      <c r="B3052">
        <v>37</v>
      </c>
      <c r="C3052" t="s">
        <v>11</v>
      </c>
      <c r="D3052" t="s">
        <v>12</v>
      </c>
      <c r="E3052" t="s">
        <v>56</v>
      </c>
      <c r="F3052">
        <v>23.58</v>
      </c>
      <c r="G3052" t="s">
        <v>24</v>
      </c>
      <c r="H3052" t="s">
        <v>15</v>
      </c>
      <c r="I3052">
        <v>3.2</v>
      </c>
      <c r="J3052">
        <v>18</v>
      </c>
      <c r="K3052">
        <v>4</v>
      </c>
    </row>
    <row r="3053" spans="1:11" x14ac:dyDescent="0.35">
      <c r="A3053">
        <v>3052</v>
      </c>
      <c r="B3053">
        <v>48</v>
      </c>
      <c r="C3053" t="s">
        <v>16</v>
      </c>
      <c r="D3053" t="s">
        <v>27</v>
      </c>
      <c r="E3053" t="s">
        <v>49</v>
      </c>
      <c r="F3053">
        <v>1298.54</v>
      </c>
      <c r="G3053" t="s">
        <v>24</v>
      </c>
      <c r="H3053" t="s">
        <v>15</v>
      </c>
      <c r="I3053">
        <v>3.5</v>
      </c>
      <c r="J3053">
        <v>10</v>
      </c>
      <c r="K3053">
        <v>0</v>
      </c>
    </row>
    <row r="3054" spans="1:11" x14ac:dyDescent="0.35">
      <c r="A3054">
        <v>3053</v>
      </c>
      <c r="B3054">
        <v>57</v>
      </c>
      <c r="C3054" t="s">
        <v>11</v>
      </c>
      <c r="D3054" t="s">
        <v>12</v>
      </c>
      <c r="E3054" t="s">
        <v>50</v>
      </c>
      <c r="F3054">
        <v>147.6</v>
      </c>
      <c r="G3054" t="s">
        <v>31</v>
      </c>
      <c r="H3054" t="s">
        <v>15</v>
      </c>
      <c r="I3054">
        <v>4</v>
      </c>
      <c r="J3054">
        <v>24</v>
      </c>
      <c r="K3054">
        <v>7</v>
      </c>
    </row>
    <row r="3055" spans="1:11" x14ac:dyDescent="0.35">
      <c r="A3055">
        <v>3054</v>
      </c>
      <c r="B3055">
        <v>46</v>
      </c>
      <c r="C3055" t="s">
        <v>16</v>
      </c>
      <c r="D3055" t="s">
        <v>27</v>
      </c>
      <c r="E3055" t="s">
        <v>28</v>
      </c>
      <c r="F3055">
        <v>1161.0899999999999</v>
      </c>
      <c r="G3055" t="s">
        <v>14</v>
      </c>
      <c r="H3055" t="s">
        <v>15</v>
      </c>
      <c r="I3055">
        <v>4.8</v>
      </c>
      <c r="J3055">
        <v>10</v>
      </c>
      <c r="K3055">
        <v>5</v>
      </c>
    </row>
    <row r="3056" spans="1:11" x14ac:dyDescent="0.35">
      <c r="A3056">
        <v>3055</v>
      </c>
      <c r="B3056">
        <v>51</v>
      </c>
      <c r="C3056" t="s">
        <v>11</v>
      </c>
      <c r="D3056" t="s">
        <v>33</v>
      </c>
      <c r="E3056" t="s">
        <v>40</v>
      </c>
      <c r="F3056">
        <v>203.75</v>
      </c>
      <c r="G3056" t="s">
        <v>14</v>
      </c>
      <c r="H3056" t="s">
        <v>15</v>
      </c>
      <c r="I3056">
        <v>3.4</v>
      </c>
      <c r="J3056">
        <v>11</v>
      </c>
      <c r="K3056">
        <v>3</v>
      </c>
    </row>
    <row r="3057" spans="1:11" x14ac:dyDescent="0.35">
      <c r="A3057">
        <v>3056</v>
      </c>
      <c r="B3057">
        <v>57</v>
      </c>
      <c r="C3057" t="s">
        <v>11</v>
      </c>
      <c r="D3057" t="s">
        <v>22</v>
      </c>
      <c r="E3057" t="s">
        <v>43</v>
      </c>
      <c r="F3057">
        <v>145.76</v>
      </c>
      <c r="G3057" t="s">
        <v>31</v>
      </c>
      <c r="H3057" t="s">
        <v>15</v>
      </c>
      <c r="I3057">
        <v>3.2</v>
      </c>
      <c r="J3057">
        <v>14</v>
      </c>
      <c r="K3057">
        <v>7</v>
      </c>
    </row>
    <row r="3058" spans="1:11" x14ac:dyDescent="0.35">
      <c r="A3058">
        <v>3057</v>
      </c>
      <c r="B3058">
        <v>70</v>
      </c>
      <c r="C3058" t="s">
        <v>11</v>
      </c>
      <c r="D3058" t="s">
        <v>33</v>
      </c>
      <c r="E3058" t="s">
        <v>34</v>
      </c>
      <c r="F3058">
        <v>221.59</v>
      </c>
      <c r="G3058" t="s">
        <v>19</v>
      </c>
      <c r="H3058" t="s">
        <v>15</v>
      </c>
      <c r="I3058">
        <v>3.8</v>
      </c>
      <c r="J3058">
        <v>13</v>
      </c>
      <c r="K3058">
        <v>4</v>
      </c>
    </row>
    <row r="3059" spans="1:11" x14ac:dyDescent="0.35">
      <c r="A3059">
        <v>3058</v>
      </c>
      <c r="B3059">
        <v>22</v>
      </c>
      <c r="C3059" t="s">
        <v>11</v>
      </c>
      <c r="D3059" t="s">
        <v>41</v>
      </c>
      <c r="E3059" t="s">
        <v>42</v>
      </c>
      <c r="F3059">
        <v>142.09</v>
      </c>
      <c r="G3059" t="s">
        <v>31</v>
      </c>
      <c r="H3059" t="s">
        <v>15</v>
      </c>
      <c r="I3059">
        <v>3.7</v>
      </c>
      <c r="J3059">
        <v>14</v>
      </c>
      <c r="K3059">
        <v>2</v>
      </c>
    </row>
    <row r="3060" spans="1:11" x14ac:dyDescent="0.35">
      <c r="A3060">
        <v>3059</v>
      </c>
      <c r="B3060">
        <v>46</v>
      </c>
      <c r="C3060" t="s">
        <v>16</v>
      </c>
      <c r="D3060" t="s">
        <v>17</v>
      </c>
      <c r="E3060" t="s">
        <v>42</v>
      </c>
      <c r="F3060">
        <v>149.84</v>
      </c>
      <c r="G3060" t="s">
        <v>24</v>
      </c>
      <c r="H3060" t="s">
        <v>15</v>
      </c>
      <c r="I3060">
        <v>3.9</v>
      </c>
      <c r="J3060">
        <v>8</v>
      </c>
      <c r="K3060">
        <v>4</v>
      </c>
    </row>
    <row r="3061" spans="1:11" x14ac:dyDescent="0.35">
      <c r="A3061">
        <v>3060</v>
      </c>
      <c r="B3061">
        <v>33</v>
      </c>
      <c r="C3061" t="s">
        <v>11</v>
      </c>
      <c r="D3061" t="s">
        <v>29</v>
      </c>
      <c r="E3061" t="s">
        <v>30</v>
      </c>
      <c r="F3061">
        <v>47.94</v>
      </c>
      <c r="G3061" t="s">
        <v>14</v>
      </c>
      <c r="H3061" t="s">
        <v>37</v>
      </c>
      <c r="I3061">
        <v>3.8</v>
      </c>
      <c r="J3061">
        <v>12</v>
      </c>
      <c r="K3061">
        <v>6</v>
      </c>
    </row>
    <row r="3062" spans="1:11" x14ac:dyDescent="0.35">
      <c r="A3062">
        <v>3061</v>
      </c>
      <c r="B3062">
        <v>28</v>
      </c>
      <c r="C3062" t="s">
        <v>16</v>
      </c>
      <c r="D3062" t="s">
        <v>25</v>
      </c>
      <c r="E3062" t="s">
        <v>54</v>
      </c>
      <c r="F3062">
        <v>11.62</v>
      </c>
      <c r="G3062" t="s">
        <v>14</v>
      </c>
      <c r="H3062" t="s">
        <v>15</v>
      </c>
      <c r="I3062">
        <v>3.7</v>
      </c>
      <c r="J3062">
        <v>9</v>
      </c>
      <c r="K3062">
        <v>2</v>
      </c>
    </row>
    <row r="3063" spans="1:11" x14ac:dyDescent="0.35">
      <c r="A3063">
        <v>3062</v>
      </c>
      <c r="B3063">
        <v>39</v>
      </c>
      <c r="C3063" t="s">
        <v>11</v>
      </c>
      <c r="D3063" t="s">
        <v>41</v>
      </c>
      <c r="E3063" t="s">
        <v>46</v>
      </c>
      <c r="F3063">
        <v>119.77</v>
      </c>
      <c r="G3063" t="s">
        <v>24</v>
      </c>
      <c r="H3063" t="s">
        <v>15</v>
      </c>
      <c r="I3063">
        <v>4</v>
      </c>
      <c r="J3063">
        <v>24</v>
      </c>
      <c r="K3063">
        <v>7</v>
      </c>
    </row>
    <row r="3064" spans="1:11" x14ac:dyDescent="0.35">
      <c r="A3064">
        <v>3063</v>
      </c>
      <c r="B3064">
        <v>60</v>
      </c>
      <c r="C3064" t="s">
        <v>16</v>
      </c>
      <c r="D3064" t="s">
        <v>17</v>
      </c>
      <c r="E3064" t="s">
        <v>35</v>
      </c>
      <c r="F3064">
        <v>188.39</v>
      </c>
      <c r="G3064" t="s">
        <v>31</v>
      </c>
      <c r="H3064" t="s">
        <v>15</v>
      </c>
      <c r="I3064">
        <v>3.4</v>
      </c>
      <c r="J3064">
        <v>23</v>
      </c>
      <c r="K3064">
        <v>9</v>
      </c>
    </row>
    <row r="3065" spans="1:11" x14ac:dyDescent="0.35">
      <c r="A3065">
        <v>3064</v>
      </c>
      <c r="B3065">
        <v>37</v>
      </c>
      <c r="C3065" t="s">
        <v>16</v>
      </c>
      <c r="D3065" t="s">
        <v>25</v>
      </c>
      <c r="E3065" t="s">
        <v>54</v>
      </c>
      <c r="F3065">
        <v>70.239999999999995</v>
      </c>
      <c r="G3065" t="s">
        <v>14</v>
      </c>
      <c r="H3065" t="s">
        <v>37</v>
      </c>
      <c r="I3065">
        <v>4.3</v>
      </c>
      <c r="J3065">
        <v>28</v>
      </c>
      <c r="K3065">
        <v>9</v>
      </c>
    </row>
    <row r="3066" spans="1:11" x14ac:dyDescent="0.35">
      <c r="A3066">
        <v>3065</v>
      </c>
      <c r="B3066">
        <v>40</v>
      </c>
      <c r="C3066" t="s">
        <v>11</v>
      </c>
      <c r="D3066" t="s">
        <v>41</v>
      </c>
      <c r="E3066" t="s">
        <v>45</v>
      </c>
      <c r="F3066">
        <v>167.11</v>
      </c>
      <c r="G3066" t="s">
        <v>24</v>
      </c>
      <c r="H3066" t="s">
        <v>15</v>
      </c>
      <c r="I3066">
        <v>3.9</v>
      </c>
      <c r="J3066">
        <v>20</v>
      </c>
      <c r="K3066">
        <v>5</v>
      </c>
    </row>
    <row r="3067" spans="1:11" x14ac:dyDescent="0.35">
      <c r="A3067">
        <v>3066</v>
      </c>
      <c r="B3067">
        <v>56</v>
      </c>
      <c r="C3067" t="s">
        <v>16</v>
      </c>
      <c r="D3067" t="s">
        <v>17</v>
      </c>
      <c r="E3067" t="s">
        <v>42</v>
      </c>
      <c r="F3067">
        <v>108.75</v>
      </c>
      <c r="G3067" t="s">
        <v>14</v>
      </c>
      <c r="H3067" t="s">
        <v>15</v>
      </c>
      <c r="I3067">
        <v>4.4000000000000004</v>
      </c>
      <c r="J3067">
        <v>22</v>
      </c>
      <c r="K3067">
        <v>6</v>
      </c>
    </row>
    <row r="3068" spans="1:11" x14ac:dyDescent="0.35">
      <c r="A3068">
        <v>3067</v>
      </c>
      <c r="B3068">
        <v>42</v>
      </c>
      <c r="C3068" t="s">
        <v>16</v>
      </c>
      <c r="D3068" t="s">
        <v>33</v>
      </c>
      <c r="E3068" t="s">
        <v>34</v>
      </c>
      <c r="F3068">
        <v>234.89</v>
      </c>
      <c r="G3068" t="s">
        <v>24</v>
      </c>
      <c r="H3068" t="s">
        <v>15</v>
      </c>
      <c r="I3068">
        <v>4.0999999999999996</v>
      </c>
      <c r="J3068">
        <v>4</v>
      </c>
      <c r="K3068">
        <v>2</v>
      </c>
    </row>
    <row r="3069" spans="1:11" x14ac:dyDescent="0.35">
      <c r="A3069">
        <v>3068</v>
      </c>
      <c r="B3069">
        <v>35</v>
      </c>
      <c r="C3069" t="s">
        <v>11</v>
      </c>
      <c r="D3069" t="s">
        <v>33</v>
      </c>
      <c r="E3069" t="s">
        <v>40</v>
      </c>
      <c r="F3069">
        <v>203.24</v>
      </c>
      <c r="G3069" t="s">
        <v>19</v>
      </c>
      <c r="H3069" t="s">
        <v>15</v>
      </c>
      <c r="I3069">
        <v>3.8</v>
      </c>
      <c r="J3069">
        <v>20</v>
      </c>
      <c r="K3069">
        <v>5</v>
      </c>
    </row>
    <row r="3070" spans="1:11" x14ac:dyDescent="0.35">
      <c r="A3070">
        <v>3069</v>
      </c>
      <c r="B3070">
        <v>31</v>
      </c>
      <c r="C3070" t="s">
        <v>16</v>
      </c>
      <c r="D3070" t="s">
        <v>33</v>
      </c>
      <c r="E3070" t="s">
        <v>34</v>
      </c>
      <c r="F3070">
        <v>118.39</v>
      </c>
      <c r="G3070" t="s">
        <v>24</v>
      </c>
      <c r="H3070" t="s">
        <v>15</v>
      </c>
      <c r="I3070">
        <v>4.4000000000000004</v>
      </c>
      <c r="J3070">
        <v>15</v>
      </c>
      <c r="K3070">
        <v>5</v>
      </c>
    </row>
    <row r="3071" spans="1:11" x14ac:dyDescent="0.35">
      <c r="A3071">
        <v>3070</v>
      </c>
      <c r="B3071">
        <v>66</v>
      </c>
      <c r="C3071" t="s">
        <v>11</v>
      </c>
      <c r="D3071" t="s">
        <v>29</v>
      </c>
      <c r="E3071" t="s">
        <v>30</v>
      </c>
      <c r="F3071">
        <v>105.89</v>
      </c>
      <c r="G3071" t="s">
        <v>19</v>
      </c>
      <c r="H3071" t="s">
        <v>15</v>
      </c>
      <c r="I3071">
        <v>3.5</v>
      </c>
      <c r="J3071">
        <v>26</v>
      </c>
      <c r="K3071">
        <v>8</v>
      </c>
    </row>
    <row r="3072" spans="1:11" x14ac:dyDescent="0.35">
      <c r="A3072">
        <v>3071</v>
      </c>
      <c r="B3072">
        <v>59</v>
      </c>
      <c r="C3072" t="s">
        <v>16</v>
      </c>
      <c r="D3072" t="s">
        <v>27</v>
      </c>
      <c r="E3072" t="s">
        <v>28</v>
      </c>
      <c r="F3072">
        <v>2313.37</v>
      </c>
      <c r="G3072" t="s">
        <v>31</v>
      </c>
      <c r="H3072" t="s">
        <v>15</v>
      </c>
      <c r="I3072">
        <v>3</v>
      </c>
      <c r="J3072">
        <v>18</v>
      </c>
      <c r="K3072">
        <v>4</v>
      </c>
    </row>
    <row r="3073" spans="1:11" x14ac:dyDescent="0.35">
      <c r="A3073">
        <v>3072</v>
      </c>
      <c r="B3073">
        <v>34</v>
      </c>
      <c r="C3073" t="s">
        <v>11</v>
      </c>
      <c r="D3073" t="s">
        <v>22</v>
      </c>
      <c r="E3073" t="s">
        <v>23</v>
      </c>
      <c r="F3073">
        <v>158.41999999999999</v>
      </c>
      <c r="G3073" t="s">
        <v>24</v>
      </c>
      <c r="H3073" t="s">
        <v>15</v>
      </c>
      <c r="I3073">
        <v>4.7</v>
      </c>
      <c r="J3073">
        <v>17</v>
      </c>
      <c r="K3073">
        <v>6</v>
      </c>
    </row>
    <row r="3074" spans="1:11" x14ac:dyDescent="0.35">
      <c r="A3074">
        <v>3073</v>
      </c>
      <c r="B3074">
        <v>33</v>
      </c>
      <c r="C3074" t="s">
        <v>16</v>
      </c>
      <c r="D3074" t="s">
        <v>20</v>
      </c>
      <c r="E3074" t="s">
        <v>36</v>
      </c>
      <c r="F3074">
        <v>59.3</v>
      </c>
      <c r="G3074" t="s">
        <v>19</v>
      </c>
      <c r="H3074" t="s">
        <v>15</v>
      </c>
      <c r="I3074">
        <v>3</v>
      </c>
      <c r="J3074">
        <v>18</v>
      </c>
      <c r="K3074">
        <v>4</v>
      </c>
    </row>
    <row r="3075" spans="1:11" x14ac:dyDescent="0.35">
      <c r="A3075">
        <v>3074</v>
      </c>
      <c r="B3075">
        <v>40</v>
      </c>
      <c r="C3075" t="s">
        <v>16</v>
      </c>
      <c r="D3075" t="s">
        <v>17</v>
      </c>
      <c r="E3075" t="s">
        <v>18</v>
      </c>
      <c r="F3075">
        <v>191.84</v>
      </c>
      <c r="G3075" t="s">
        <v>31</v>
      </c>
      <c r="H3075" t="s">
        <v>15</v>
      </c>
      <c r="I3075">
        <v>3.5</v>
      </c>
      <c r="J3075">
        <v>21</v>
      </c>
      <c r="K3075">
        <v>8</v>
      </c>
    </row>
    <row r="3076" spans="1:11" x14ac:dyDescent="0.35">
      <c r="A3076">
        <v>3075</v>
      </c>
      <c r="B3076">
        <v>38</v>
      </c>
      <c r="C3076" t="s">
        <v>11</v>
      </c>
      <c r="D3076" t="s">
        <v>22</v>
      </c>
      <c r="E3076" t="s">
        <v>52</v>
      </c>
      <c r="F3076">
        <v>164.04</v>
      </c>
      <c r="G3076" t="s">
        <v>31</v>
      </c>
      <c r="H3076" t="s">
        <v>15</v>
      </c>
      <c r="I3076">
        <v>3.9</v>
      </c>
      <c r="J3076">
        <v>12</v>
      </c>
      <c r="K3076">
        <v>6</v>
      </c>
    </row>
    <row r="3077" spans="1:11" x14ac:dyDescent="0.35">
      <c r="A3077">
        <v>3076</v>
      </c>
      <c r="B3077">
        <v>65</v>
      </c>
      <c r="C3077" t="s">
        <v>16</v>
      </c>
      <c r="D3077" t="s">
        <v>33</v>
      </c>
      <c r="E3077" t="s">
        <v>40</v>
      </c>
      <c r="F3077">
        <v>84.56</v>
      </c>
      <c r="G3077" t="s">
        <v>31</v>
      </c>
      <c r="H3077" t="s">
        <v>15</v>
      </c>
      <c r="I3077">
        <v>3.3</v>
      </c>
      <c r="J3077">
        <v>15</v>
      </c>
      <c r="K3077">
        <v>5</v>
      </c>
    </row>
    <row r="3078" spans="1:11" x14ac:dyDescent="0.35">
      <c r="A3078">
        <v>3077</v>
      </c>
      <c r="B3078">
        <v>37</v>
      </c>
      <c r="C3078" t="s">
        <v>11</v>
      </c>
      <c r="D3078" t="s">
        <v>41</v>
      </c>
      <c r="E3078" t="s">
        <v>44</v>
      </c>
      <c r="F3078">
        <v>54.47</v>
      </c>
      <c r="G3078" t="s">
        <v>14</v>
      </c>
      <c r="H3078" t="s">
        <v>37</v>
      </c>
      <c r="I3078">
        <v>3.9</v>
      </c>
      <c r="J3078">
        <v>15</v>
      </c>
      <c r="K3078">
        <v>5</v>
      </c>
    </row>
    <row r="3079" spans="1:11" x14ac:dyDescent="0.35">
      <c r="A3079">
        <v>3078</v>
      </c>
      <c r="B3079">
        <v>37</v>
      </c>
      <c r="C3079" t="s">
        <v>11</v>
      </c>
      <c r="D3079" t="s">
        <v>29</v>
      </c>
      <c r="E3079" t="s">
        <v>51</v>
      </c>
      <c r="F3079">
        <v>52.5</v>
      </c>
      <c r="G3079" t="s">
        <v>24</v>
      </c>
      <c r="H3079" t="s">
        <v>15</v>
      </c>
      <c r="I3079">
        <v>4.3</v>
      </c>
      <c r="J3079">
        <v>21</v>
      </c>
      <c r="K3079">
        <v>8</v>
      </c>
    </row>
    <row r="3080" spans="1:11" x14ac:dyDescent="0.35">
      <c r="A3080">
        <v>3079</v>
      </c>
      <c r="B3080">
        <v>46</v>
      </c>
      <c r="C3080" t="s">
        <v>16</v>
      </c>
      <c r="D3080" t="s">
        <v>27</v>
      </c>
      <c r="E3080" t="s">
        <v>49</v>
      </c>
      <c r="F3080">
        <v>1239.45</v>
      </c>
      <c r="G3080" t="s">
        <v>19</v>
      </c>
      <c r="H3080" t="s">
        <v>15</v>
      </c>
      <c r="I3080">
        <v>4.0999999999999996</v>
      </c>
      <c r="J3080">
        <v>13</v>
      </c>
      <c r="K3080">
        <v>4</v>
      </c>
    </row>
    <row r="3081" spans="1:11" x14ac:dyDescent="0.35">
      <c r="A3081">
        <v>3080</v>
      </c>
      <c r="B3081">
        <v>30</v>
      </c>
      <c r="C3081" t="s">
        <v>11</v>
      </c>
      <c r="D3081" t="s">
        <v>41</v>
      </c>
      <c r="E3081" t="s">
        <v>44</v>
      </c>
      <c r="F3081">
        <v>99.88</v>
      </c>
      <c r="G3081" t="s">
        <v>24</v>
      </c>
      <c r="H3081" t="s">
        <v>15</v>
      </c>
      <c r="I3081">
        <v>3.3</v>
      </c>
      <c r="J3081">
        <v>14</v>
      </c>
      <c r="K3081">
        <v>2</v>
      </c>
    </row>
    <row r="3082" spans="1:11" x14ac:dyDescent="0.35">
      <c r="A3082">
        <v>3081</v>
      </c>
      <c r="B3082">
        <v>42</v>
      </c>
      <c r="C3082" t="s">
        <v>11</v>
      </c>
      <c r="D3082" t="s">
        <v>33</v>
      </c>
      <c r="E3082" t="s">
        <v>38</v>
      </c>
      <c r="F3082">
        <v>73.33</v>
      </c>
      <c r="G3082" t="s">
        <v>31</v>
      </c>
      <c r="H3082" t="s">
        <v>37</v>
      </c>
      <c r="I3082">
        <v>4.5999999999999996</v>
      </c>
      <c r="J3082">
        <v>22</v>
      </c>
      <c r="K3082">
        <v>6</v>
      </c>
    </row>
    <row r="3083" spans="1:11" x14ac:dyDescent="0.35">
      <c r="A3083">
        <v>3082</v>
      </c>
      <c r="B3083">
        <v>25</v>
      </c>
      <c r="C3083" t="s">
        <v>16</v>
      </c>
      <c r="D3083" t="s">
        <v>27</v>
      </c>
      <c r="E3083" t="s">
        <v>28</v>
      </c>
      <c r="F3083">
        <v>727.7</v>
      </c>
      <c r="G3083" t="s">
        <v>19</v>
      </c>
      <c r="H3083" t="s">
        <v>15</v>
      </c>
      <c r="I3083">
        <v>3.6</v>
      </c>
      <c r="J3083">
        <v>18</v>
      </c>
      <c r="K3083">
        <v>4</v>
      </c>
    </row>
    <row r="3084" spans="1:11" x14ac:dyDescent="0.35">
      <c r="A3084">
        <v>3083</v>
      </c>
      <c r="B3084">
        <v>48</v>
      </c>
      <c r="C3084" t="s">
        <v>11</v>
      </c>
      <c r="D3084" t="s">
        <v>12</v>
      </c>
      <c r="E3084" t="s">
        <v>50</v>
      </c>
      <c r="F3084">
        <v>59.04</v>
      </c>
      <c r="G3084" t="s">
        <v>24</v>
      </c>
      <c r="H3084" t="s">
        <v>15</v>
      </c>
      <c r="I3084">
        <v>4.0999999999999996</v>
      </c>
      <c r="J3084">
        <v>18</v>
      </c>
      <c r="K3084">
        <v>9</v>
      </c>
    </row>
    <row r="3085" spans="1:11" x14ac:dyDescent="0.35">
      <c r="A3085">
        <v>3084</v>
      </c>
      <c r="B3085">
        <v>39</v>
      </c>
      <c r="C3085" t="s">
        <v>11</v>
      </c>
      <c r="D3085" t="s">
        <v>20</v>
      </c>
      <c r="E3085" t="s">
        <v>36</v>
      </c>
      <c r="F3085">
        <v>178.47</v>
      </c>
      <c r="G3085" t="s">
        <v>31</v>
      </c>
      <c r="H3085" t="s">
        <v>15</v>
      </c>
      <c r="I3085">
        <v>3.2</v>
      </c>
      <c r="J3085">
        <v>10</v>
      </c>
      <c r="K3085">
        <v>5</v>
      </c>
    </row>
    <row r="3086" spans="1:11" x14ac:dyDescent="0.35">
      <c r="A3086">
        <v>3085</v>
      </c>
      <c r="B3086">
        <v>51</v>
      </c>
      <c r="C3086" t="s">
        <v>11</v>
      </c>
      <c r="D3086" t="s">
        <v>12</v>
      </c>
      <c r="E3086" t="s">
        <v>50</v>
      </c>
      <c r="F3086">
        <v>150.63999999999999</v>
      </c>
      <c r="G3086" t="s">
        <v>19</v>
      </c>
      <c r="H3086" t="s">
        <v>15</v>
      </c>
      <c r="I3086">
        <v>3.6</v>
      </c>
      <c r="J3086">
        <v>17</v>
      </c>
      <c r="K3086">
        <v>6</v>
      </c>
    </row>
    <row r="3087" spans="1:11" x14ac:dyDescent="0.35">
      <c r="A3087">
        <v>3086</v>
      </c>
      <c r="B3087">
        <v>54</v>
      </c>
      <c r="C3087" t="s">
        <v>16</v>
      </c>
      <c r="D3087" t="s">
        <v>33</v>
      </c>
      <c r="E3087" t="s">
        <v>34</v>
      </c>
      <c r="F3087">
        <v>93.5</v>
      </c>
      <c r="G3087" t="s">
        <v>24</v>
      </c>
      <c r="H3087" t="s">
        <v>37</v>
      </c>
      <c r="I3087">
        <v>3</v>
      </c>
      <c r="J3087">
        <v>17</v>
      </c>
      <c r="K3087">
        <v>6</v>
      </c>
    </row>
    <row r="3088" spans="1:11" x14ac:dyDescent="0.35">
      <c r="A3088">
        <v>3087</v>
      </c>
      <c r="B3088">
        <v>52</v>
      </c>
      <c r="C3088" t="s">
        <v>16</v>
      </c>
      <c r="D3088" t="s">
        <v>17</v>
      </c>
      <c r="E3088" t="s">
        <v>35</v>
      </c>
      <c r="F3088">
        <v>37.229999999999997</v>
      </c>
      <c r="G3088" t="s">
        <v>24</v>
      </c>
      <c r="H3088" t="s">
        <v>15</v>
      </c>
      <c r="I3088">
        <v>3.9</v>
      </c>
      <c r="J3088">
        <v>9</v>
      </c>
      <c r="K3088">
        <v>2</v>
      </c>
    </row>
    <row r="3089" spans="1:11" x14ac:dyDescent="0.35">
      <c r="A3089">
        <v>3088</v>
      </c>
      <c r="B3089">
        <v>52</v>
      </c>
      <c r="C3089" t="s">
        <v>11</v>
      </c>
      <c r="D3089" t="s">
        <v>33</v>
      </c>
      <c r="E3089" t="s">
        <v>38</v>
      </c>
      <c r="F3089">
        <v>203.27</v>
      </c>
      <c r="G3089" t="s">
        <v>31</v>
      </c>
      <c r="H3089" t="s">
        <v>15</v>
      </c>
      <c r="I3089">
        <v>4.5999999999999996</v>
      </c>
      <c r="J3089">
        <v>4</v>
      </c>
      <c r="K3089">
        <v>2</v>
      </c>
    </row>
    <row r="3090" spans="1:11" x14ac:dyDescent="0.35">
      <c r="A3090">
        <v>3089</v>
      </c>
      <c r="B3090">
        <v>26</v>
      </c>
      <c r="C3090" t="s">
        <v>16</v>
      </c>
      <c r="D3090" t="s">
        <v>20</v>
      </c>
      <c r="E3090" t="s">
        <v>21</v>
      </c>
      <c r="F3090">
        <v>178.08</v>
      </c>
      <c r="G3090" t="s">
        <v>24</v>
      </c>
      <c r="H3090" t="s">
        <v>15</v>
      </c>
      <c r="I3090">
        <v>3.9</v>
      </c>
      <c r="J3090">
        <v>4</v>
      </c>
      <c r="K3090">
        <v>2</v>
      </c>
    </row>
    <row r="3091" spans="1:11" x14ac:dyDescent="0.35">
      <c r="A3091">
        <v>3090</v>
      </c>
      <c r="B3091">
        <v>66</v>
      </c>
      <c r="C3091" t="s">
        <v>11</v>
      </c>
      <c r="D3091" t="s">
        <v>12</v>
      </c>
      <c r="E3091" t="s">
        <v>56</v>
      </c>
      <c r="F3091">
        <v>110.97</v>
      </c>
      <c r="G3091" t="s">
        <v>24</v>
      </c>
      <c r="H3091" t="s">
        <v>15</v>
      </c>
      <c r="I3091">
        <v>3.7</v>
      </c>
      <c r="J3091">
        <v>13</v>
      </c>
      <c r="K3091">
        <v>4</v>
      </c>
    </row>
    <row r="3092" spans="1:11" x14ac:dyDescent="0.35">
      <c r="A3092">
        <v>3091</v>
      </c>
      <c r="B3092">
        <v>67</v>
      </c>
      <c r="C3092" t="s">
        <v>16</v>
      </c>
      <c r="D3092" t="s">
        <v>27</v>
      </c>
      <c r="E3092" t="s">
        <v>28</v>
      </c>
      <c r="F3092">
        <v>2107.08</v>
      </c>
      <c r="G3092" t="s">
        <v>31</v>
      </c>
      <c r="H3092" t="s">
        <v>15</v>
      </c>
      <c r="I3092">
        <v>4.5</v>
      </c>
      <c r="J3092">
        <v>10</v>
      </c>
      <c r="K3092">
        <v>5</v>
      </c>
    </row>
    <row r="3093" spans="1:11" x14ac:dyDescent="0.35">
      <c r="A3093">
        <v>3092</v>
      </c>
      <c r="B3093">
        <v>30</v>
      </c>
      <c r="C3093" t="s">
        <v>11</v>
      </c>
      <c r="D3093" t="s">
        <v>12</v>
      </c>
      <c r="E3093" t="s">
        <v>13</v>
      </c>
      <c r="F3093">
        <v>143.83000000000001</v>
      </c>
      <c r="G3093" t="s">
        <v>19</v>
      </c>
      <c r="H3093" t="s">
        <v>15</v>
      </c>
      <c r="I3093">
        <v>3.8</v>
      </c>
      <c r="J3093">
        <v>19</v>
      </c>
      <c r="K3093">
        <v>7</v>
      </c>
    </row>
    <row r="3094" spans="1:11" x14ac:dyDescent="0.35">
      <c r="A3094">
        <v>3093</v>
      </c>
      <c r="B3094">
        <v>37</v>
      </c>
      <c r="C3094" t="s">
        <v>16</v>
      </c>
      <c r="D3094" t="s">
        <v>20</v>
      </c>
      <c r="E3094" t="s">
        <v>39</v>
      </c>
      <c r="F3094">
        <v>140.4</v>
      </c>
      <c r="G3094" t="s">
        <v>19</v>
      </c>
      <c r="H3094" t="s">
        <v>15</v>
      </c>
      <c r="I3094">
        <v>3.8</v>
      </c>
      <c r="J3094">
        <v>15</v>
      </c>
      <c r="K3094">
        <v>5</v>
      </c>
    </row>
    <row r="3095" spans="1:11" x14ac:dyDescent="0.35">
      <c r="A3095">
        <v>3094</v>
      </c>
      <c r="B3095">
        <v>64</v>
      </c>
      <c r="C3095" t="s">
        <v>11</v>
      </c>
      <c r="D3095" t="s">
        <v>29</v>
      </c>
      <c r="E3095" t="s">
        <v>51</v>
      </c>
      <c r="F3095">
        <v>145.84</v>
      </c>
      <c r="G3095" t="s">
        <v>24</v>
      </c>
      <c r="H3095" t="s">
        <v>15</v>
      </c>
      <c r="I3095">
        <v>4</v>
      </c>
      <c r="J3095">
        <v>4</v>
      </c>
      <c r="K3095">
        <v>2</v>
      </c>
    </row>
    <row r="3096" spans="1:11" x14ac:dyDescent="0.35">
      <c r="A3096">
        <v>3095</v>
      </c>
      <c r="B3096">
        <v>43</v>
      </c>
      <c r="C3096" t="s">
        <v>16</v>
      </c>
      <c r="D3096" t="s">
        <v>22</v>
      </c>
      <c r="E3096" t="s">
        <v>23</v>
      </c>
      <c r="F3096">
        <v>50.1</v>
      </c>
      <c r="G3096" t="s">
        <v>19</v>
      </c>
      <c r="H3096" t="s">
        <v>37</v>
      </c>
      <c r="I3096">
        <v>4.5</v>
      </c>
      <c r="J3096">
        <v>22</v>
      </c>
      <c r="K3096">
        <v>6</v>
      </c>
    </row>
    <row r="3097" spans="1:11" x14ac:dyDescent="0.35">
      <c r="A3097">
        <v>3096</v>
      </c>
      <c r="B3097">
        <v>56</v>
      </c>
      <c r="C3097" t="s">
        <v>16</v>
      </c>
      <c r="D3097" t="s">
        <v>27</v>
      </c>
      <c r="E3097" t="s">
        <v>49</v>
      </c>
      <c r="F3097">
        <v>1390.67</v>
      </c>
      <c r="G3097" t="s">
        <v>19</v>
      </c>
      <c r="H3097" t="s">
        <v>15</v>
      </c>
      <c r="I3097">
        <v>4.4000000000000004</v>
      </c>
      <c r="J3097">
        <v>20</v>
      </c>
      <c r="K3097">
        <v>5</v>
      </c>
    </row>
    <row r="3098" spans="1:11" x14ac:dyDescent="0.35">
      <c r="A3098">
        <v>3097</v>
      </c>
      <c r="B3098">
        <v>42</v>
      </c>
      <c r="C3098" t="s">
        <v>11</v>
      </c>
      <c r="D3098" t="s">
        <v>20</v>
      </c>
      <c r="E3098" t="s">
        <v>39</v>
      </c>
      <c r="F3098">
        <v>54.94</v>
      </c>
      <c r="G3098" t="s">
        <v>31</v>
      </c>
      <c r="H3098" t="s">
        <v>37</v>
      </c>
      <c r="I3098">
        <v>4</v>
      </c>
      <c r="J3098">
        <v>8</v>
      </c>
      <c r="K3098">
        <v>4</v>
      </c>
    </row>
    <row r="3099" spans="1:11" x14ac:dyDescent="0.35">
      <c r="A3099">
        <v>3098</v>
      </c>
      <c r="B3099">
        <v>61</v>
      </c>
      <c r="C3099" t="s">
        <v>16</v>
      </c>
      <c r="D3099" t="s">
        <v>33</v>
      </c>
      <c r="E3099" t="s">
        <v>38</v>
      </c>
      <c r="F3099">
        <v>214.2</v>
      </c>
      <c r="G3099" t="s">
        <v>19</v>
      </c>
      <c r="H3099" t="s">
        <v>15</v>
      </c>
      <c r="I3099">
        <v>4.9000000000000004</v>
      </c>
      <c r="J3099">
        <v>20</v>
      </c>
      <c r="K3099">
        <v>5</v>
      </c>
    </row>
    <row r="3100" spans="1:11" x14ac:dyDescent="0.35">
      <c r="A3100">
        <v>3099</v>
      </c>
      <c r="B3100">
        <v>66</v>
      </c>
      <c r="C3100" t="s">
        <v>16</v>
      </c>
      <c r="D3100" t="s">
        <v>17</v>
      </c>
      <c r="E3100" t="s">
        <v>48</v>
      </c>
      <c r="F3100">
        <v>115.35</v>
      </c>
      <c r="G3100" t="s">
        <v>24</v>
      </c>
      <c r="H3100" t="s">
        <v>15</v>
      </c>
      <c r="I3100">
        <v>4.4000000000000004</v>
      </c>
      <c r="J3100">
        <v>8</v>
      </c>
      <c r="K3100">
        <v>4</v>
      </c>
    </row>
    <row r="3101" spans="1:11" x14ac:dyDescent="0.35">
      <c r="A3101">
        <v>3100</v>
      </c>
      <c r="B3101">
        <v>43</v>
      </c>
      <c r="C3101" t="s">
        <v>16</v>
      </c>
      <c r="D3101" t="s">
        <v>20</v>
      </c>
      <c r="E3101" t="s">
        <v>39</v>
      </c>
      <c r="F3101">
        <v>38.090000000000003</v>
      </c>
      <c r="G3101" t="s">
        <v>14</v>
      </c>
      <c r="H3101" t="s">
        <v>37</v>
      </c>
      <c r="I3101">
        <v>4.2</v>
      </c>
      <c r="J3101">
        <v>20</v>
      </c>
      <c r="K3101">
        <v>5</v>
      </c>
    </row>
    <row r="3102" spans="1:11" x14ac:dyDescent="0.35">
      <c r="A3102">
        <v>3101</v>
      </c>
      <c r="B3102">
        <v>22</v>
      </c>
      <c r="C3102" t="s">
        <v>16</v>
      </c>
      <c r="D3102" t="s">
        <v>27</v>
      </c>
      <c r="E3102" t="s">
        <v>49</v>
      </c>
      <c r="F3102">
        <v>1683.66</v>
      </c>
      <c r="G3102" t="s">
        <v>14</v>
      </c>
      <c r="H3102" t="s">
        <v>15</v>
      </c>
      <c r="I3102">
        <v>4.5</v>
      </c>
      <c r="J3102">
        <v>20</v>
      </c>
      <c r="K3102">
        <v>5</v>
      </c>
    </row>
    <row r="3103" spans="1:11" x14ac:dyDescent="0.35">
      <c r="A3103">
        <v>3102</v>
      </c>
      <c r="B3103">
        <v>21</v>
      </c>
      <c r="C3103" t="s">
        <v>16</v>
      </c>
      <c r="D3103" t="s">
        <v>27</v>
      </c>
      <c r="E3103" t="s">
        <v>49</v>
      </c>
      <c r="F3103">
        <v>1599.75</v>
      </c>
      <c r="G3103" t="s">
        <v>31</v>
      </c>
      <c r="H3103" t="s">
        <v>15</v>
      </c>
      <c r="I3103">
        <v>4.2</v>
      </c>
      <c r="J3103">
        <v>20</v>
      </c>
      <c r="K3103">
        <v>5</v>
      </c>
    </row>
    <row r="3104" spans="1:11" x14ac:dyDescent="0.35">
      <c r="A3104">
        <v>3103</v>
      </c>
      <c r="B3104">
        <v>70</v>
      </c>
      <c r="C3104" t="s">
        <v>11</v>
      </c>
      <c r="D3104" t="s">
        <v>12</v>
      </c>
      <c r="E3104" t="s">
        <v>56</v>
      </c>
      <c r="F3104">
        <v>55.1</v>
      </c>
      <c r="G3104" t="s">
        <v>14</v>
      </c>
      <c r="H3104" t="s">
        <v>37</v>
      </c>
      <c r="I3104">
        <v>3.7</v>
      </c>
      <c r="J3104">
        <v>18</v>
      </c>
      <c r="K3104">
        <v>4</v>
      </c>
    </row>
    <row r="3105" spans="1:11" x14ac:dyDescent="0.35">
      <c r="A3105">
        <v>3104</v>
      </c>
      <c r="B3105">
        <v>20</v>
      </c>
      <c r="C3105" t="s">
        <v>11</v>
      </c>
      <c r="D3105" t="s">
        <v>22</v>
      </c>
      <c r="E3105" t="s">
        <v>23</v>
      </c>
      <c r="F3105">
        <v>246.01</v>
      </c>
      <c r="G3105" t="s">
        <v>19</v>
      </c>
      <c r="H3105" t="s">
        <v>15</v>
      </c>
      <c r="I3105">
        <v>4.4000000000000004</v>
      </c>
      <c r="J3105">
        <v>24</v>
      </c>
      <c r="K3105">
        <v>7</v>
      </c>
    </row>
    <row r="3106" spans="1:11" x14ac:dyDescent="0.35">
      <c r="A3106">
        <v>3105</v>
      </c>
      <c r="B3106">
        <v>24</v>
      </c>
      <c r="C3106" t="s">
        <v>11</v>
      </c>
      <c r="D3106" t="s">
        <v>20</v>
      </c>
      <c r="E3106" t="s">
        <v>39</v>
      </c>
      <c r="F3106">
        <v>235.97</v>
      </c>
      <c r="G3106" t="s">
        <v>19</v>
      </c>
      <c r="H3106" t="s">
        <v>15</v>
      </c>
      <c r="I3106">
        <v>3.8</v>
      </c>
      <c r="J3106">
        <v>14</v>
      </c>
      <c r="K3106">
        <v>2</v>
      </c>
    </row>
    <row r="3107" spans="1:11" x14ac:dyDescent="0.35">
      <c r="A3107">
        <v>3106</v>
      </c>
      <c r="B3107">
        <v>53</v>
      </c>
      <c r="C3107" t="s">
        <v>16</v>
      </c>
      <c r="D3107" t="s">
        <v>20</v>
      </c>
      <c r="E3107" t="s">
        <v>36</v>
      </c>
      <c r="F3107">
        <v>249.3</v>
      </c>
      <c r="G3107" t="s">
        <v>24</v>
      </c>
      <c r="H3107" t="s">
        <v>15</v>
      </c>
      <c r="I3107">
        <v>3.9</v>
      </c>
      <c r="J3107">
        <v>18</v>
      </c>
      <c r="K3107">
        <v>4</v>
      </c>
    </row>
    <row r="3108" spans="1:11" x14ac:dyDescent="0.35">
      <c r="A3108">
        <v>3107</v>
      </c>
      <c r="B3108">
        <v>44</v>
      </c>
      <c r="C3108" t="s">
        <v>16</v>
      </c>
      <c r="D3108" t="s">
        <v>17</v>
      </c>
      <c r="E3108" t="s">
        <v>48</v>
      </c>
      <c r="F3108">
        <v>105.92</v>
      </c>
      <c r="G3108" t="s">
        <v>14</v>
      </c>
      <c r="H3108" t="s">
        <v>15</v>
      </c>
      <c r="I3108">
        <v>3.9</v>
      </c>
      <c r="J3108">
        <v>25</v>
      </c>
      <c r="K3108">
        <v>10</v>
      </c>
    </row>
    <row r="3109" spans="1:11" x14ac:dyDescent="0.35">
      <c r="A3109">
        <v>3108</v>
      </c>
      <c r="B3109">
        <v>54</v>
      </c>
      <c r="C3109" t="s">
        <v>11</v>
      </c>
      <c r="D3109" t="s">
        <v>33</v>
      </c>
      <c r="E3109" t="s">
        <v>34</v>
      </c>
      <c r="F3109">
        <v>104.74</v>
      </c>
      <c r="G3109" t="s">
        <v>31</v>
      </c>
      <c r="H3109" t="s">
        <v>15</v>
      </c>
      <c r="I3109">
        <v>3.2</v>
      </c>
      <c r="J3109">
        <v>16</v>
      </c>
      <c r="K3109">
        <v>8</v>
      </c>
    </row>
    <row r="3110" spans="1:11" x14ac:dyDescent="0.35">
      <c r="A3110">
        <v>3109</v>
      </c>
      <c r="B3110">
        <v>62</v>
      </c>
      <c r="C3110" t="s">
        <v>11</v>
      </c>
      <c r="D3110" t="s">
        <v>25</v>
      </c>
      <c r="E3110" t="s">
        <v>57</v>
      </c>
      <c r="F3110">
        <v>41.33</v>
      </c>
      <c r="G3110" t="s">
        <v>31</v>
      </c>
      <c r="H3110" t="s">
        <v>37</v>
      </c>
      <c r="I3110">
        <v>2.1</v>
      </c>
      <c r="J3110">
        <v>10</v>
      </c>
      <c r="K3110">
        <v>5</v>
      </c>
    </row>
    <row r="3111" spans="1:11" x14ac:dyDescent="0.35">
      <c r="A3111">
        <v>3110</v>
      </c>
      <c r="B3111">
        <v>40</v>
      </c>
      <c r="C3111" t="s">
        <v>11</v>
      </c>
      <c r="D3111" t="s">
        <v>41</v>
      </c>
      <c r="E3111" t="s">
        <v>45</v>
      </c>
      <c r="F3111">
        <v>164.97</v>
      </c>
      <c r="G3111" t="s">
        <v>19</v>
      </c>
      <c r="H3111" t="s">
        <v>15</v>
      </c>
      <c r="I3111">
        <v>4.3</v>
      </c>
      <c r="J3111">
        <v>22</v>
      </c>
      <c r="K3111">
        <v>6</v>
      </c>
    </row>
    <row r="3112" spans="1:11" x14ac:dyDescent="0.35">
      <c r="A3112">
        <v>3111</v>
      </c>
      <c r="B3112">
        <v>52</v>
      </c>
      <c r="C3112" t="s">
        <v>16</v>
      </c>
      <c r="D3112" t="s">
        <v>27</v>
      </c>
      <c r="E3112" t="s">
        <v>53</v>
      </c>
      <c r="F3112">
        <v>1788.15</v>
      </c>
      <c r="G3112" t="s">
        <v>24</v>
      </c>
      <c r="H3112" t="s">
        <v>15</v>
      </c>
      <c r="I3112">
        <v>4.5999999999999996</v>
      </c>
      <c r="J3112">
        <v>8</v>
      </c>
      <c r="K3112">
        <v>4</v>
      </c>
    </row>
    <row r="3113" spans="1:11" x14ac:dyDescent="0.35">
      <c r="A3113">
        <v>3112</v>
      </c>
      <c r="B3113">
        <v>52</v>
      </c>
      <c r="C3113" t="s">
        <v>16</v>
      </c>
      <c r="D3113" t="s">
        <v>33</v>
      </c>
      <c r="E3113" t="s">
        <v>40</v>
      </c>
      <c r="F3113">
        <v>157.54</v>
      </c>
      <c r="G3113" t="s">
        <v>19</v>
      </c>
      <c r="H3113" t="s">
        <v>15</v>
      </c>
      <c r="I3113">
        <v>3.5</v>
      </c>
      <c r="J3113">
        <v>11</v>
      </c>
      <c r="K3113">
        <v>3</v>
      </c>
    </row>
    <row r="3114" spans="1:11" x14ac:dyDescent="0.35">
      <c r="A3114">
        <v>3113</v>
      </c>
      <c r="B3114">
        <v>44</v>
      </c>
      <c r="C3114" t="s">
        <v>11</v>
      </c>
      <c r="D3114" t="s">
        <v>33</v>
      </c>
      <c r="E3114" t="s">
        <v>38</v>
      </c>
      <c r="F3114">
        <v>222.1</v>
      </c>
      <c r="G3114" t="s">
        <v>19</v>
      </c>
      <c r="H3114" t="s">
        <v>15</v>
      </c>
      <c r="I3114">
        <v>2.6</v>
      </c>
      <c r="J3114">
        <v>10</v>
      </c>
      <c r="K3114">
        <v>5</v>
      </c>
    </row>
    <row r="3115" spans="1:11" x14ac:dyDescent="0.35">
      <c r="A3115">
        <v>3114</v>
      </c>
      <c r="B3115">
        <v>56</v>
      </c>
      <c r="C3115" t="s">
        <v>11</v>
      </c>
      <c r="D3115" t="s">
        <v>33</v>
      </c>
      <c r="E3115" t="s">
        <v>40</v>
      </c>
      <c r="F3115">
        <v>149.21</v>
      </c>
      <c r="G3115" t="s">
        <v>24</v>
      </c>
      <c r="H3115" t="s">
        <v>15</v>
      </c>
      <c r="I3115">
        <v>4.0999999999999996</v>
      </c>
      <c r="J3115">
        <v>17</v>
      </c>
      <c r="K3115">
        <v>6</v>
      </c>
    </row>
    <row r="3116" spans="1:11" x14ac:dyDescent="0.35">
      <c r="A3116">
        <v>3115</v>
      </c>
      <c r="B3116">
        <v>52</v>
      </c>
      <c r="C3116" t="s">
        <v>11</v>
      </c>
      <c r="D3116" t="s">
        <v>41</v>
      </c>
      <c r="E3116" t="s">
        <v>44</v>
      </c>
      <c r="F3116">
        <v>153.09</v>
      </c>
      <c r="G3116" t="s">
        <v>24</v>
      </c>
      <c r="H3116" t="s">
        <v>15</v>
      </c>
      <c r="I3116">
        <v>3.8</v>
      </c>
      <c r="J3116">
        <v>8</v>
      </c>
      <c r="K3116">
        <v>4</v>
      </c>
    </row>
    <row r="3117" spans="1:11" x14ac:dyDescent="0.35">
      <c r="A3117">
        <v>3116</v>
      </c>
      <c r="B3117">
        <v>55</v>
      </c>
      <c r="C3117" t="s">
        <v>11</v>
      </c>
      <c r="D3117" t="s">
        <v>25</v>
      </c>
      <c r="E3117" t="s">
        <v>57</v>
      </c>
      <c r="F3117">
        <v>68.41</v>
      </c>
      <c r="G3117" t="s">
        <v>19</v>
      </c>
      <c r="H3117" t="s">
        <v>37</v>
      </c>
      <c r="I3117">
        <v>4.5999999999999996</v>
      </c>
      <c r="J3117">
        <v>14</v>
      </c>
      <c r="K3117">
        <v>2</v>
      </c>
    </row>
    <row r="3118" spans="1:11" x14ac:dyDescent="0.35">
      <c r="A3118">
        <v>3117</v>
      </c>
      <c r="B3118">
        <v>55</v>
      </c>
      <c r="C3118" t="s">
        <v>11</v>
      </c>
      <c r="D3118" t="s">
        <v>12</v>
      </c>
      <c r="E3118" t="s">
        <v>56</v>
      </c>
      <c r="F3118">
        <v>160.25</v>
      </c>
      <c r="G3118" t="s">
        <v>31</v>
      </c>
      <c r="H3118" t="s">
        <v>15</v>
      </c>
      <c r="I3118">
        <v>3.5</v>
      </c>
      <c r="J3118">
        <v>6</v>
      </c>
      <c r="K3118">
        <v>3</v>
      </c>
    </row>
    <row r="3119" spans="1:11" x14ac:dyDescent="0.35">
      <c r="A3119">
        <v>3118</v>
      </c>
      <c r="B3119">
        <v>70</v>
      </c>
      <c r="C3119" t="s">
        <v>11</v>
      </c>
      <c r="D3119" t="s">
        <v>12</v>
      </c>
      <c r="E3119" t="s">
        <v>13</v>
      </c>
      <c r="F3119">
        <v>63.39</v>
      </c>
      <c r="G3119" t="s">
        <v>14</v>
      </c>
      <c r="H3119" t="s">
        <v>37</v>
      </c>
      <c r="I3119">
        <v>3.3</v>
      </c>
      <c r="J3119">
        <v>14</v>
      </c>
      <c r="K3119">
        <v>2</v>
      </c>
    </row>
    <row r="3120" spans="1:11" x14ac:dyDescent="0.35">
      <c r="A3120">
        <v>3119</v>
      </c>
      <c r="B3120">
        <v>69</v>
      </c>
      <c r="C3120" t="s">
        <v>16</v>
      </c>
      <c r="D3120" t="s">
        <v>20</v>
      </c>
      <c r="E3120" t="s">
        <v>39</v>
      </c>
      <c r="F3120">
        <v>95.03</v>
      </c>
      <c r="G3120" t="s">
        <v>24</v>
      </c>
      <c r="H3120" t="s">
        <v>15</v>
      </c>
      <c r="I3120">
        <v>2.8</v>
      </c>
      <c r="J3120">
        <v>16</v>
      </c>
      <c r="K3120">
        <v>3</v>
      </c>
    </row>
    <row r="3121" spans="1:11" x14ac:dyDescent="0.35">
      <c r="A3121">
        <v>3120</v>
      </c>
      <c r="B3121">
        <v>38</v>
      </c>
      <c r="C3121" t="s">
        <v>11</v>
      </c>
      <c r="D3121" t="s">
        <v>12</v>
      </c>
      <c r="E3121" t="s">
        <v>50</v>
      </c>
      <c r="F3121">
        <v>171.81</v>
      </c>
      <c r="G3121" t="s">
        <v>31</v>
      </c>
      <c r="H3121" t="s">
        <v>15</v>
      </c>
      <c r="I3121">
        <v>4.5999999999999996</v>
      </c>
      <c r="J3121">
        <v>26</v>
      </c>
      <c r="K3121">
        <v>8</v>
      </c>
    </row>
    <row r="3122" spans="1:11" x14ac:dyDescent="0.35">
      <c r="A3122">
        <v>3121</v>
      </c>
      <c r="B3122">
        <v>53</v>
      </c>
      <c r="C3122" t="s">
        <v>11</v>
      </c>
      <c r="D3122" t="s">
        <v>41</v>
      </c>
      <c r="E3122" t="s">
        <v>44</v>
      </c>
      <c r="F3122">
        <v>195</v>
      </c>
      <c r="G3122" t="s">
        <v>24</v>
      </c>
      <c r="H3122" t="s">
        <v>15</v>
      </c>
      <c r="I3122">
        <v>3.6</v>
      </c>
      <c r="J3122">
        <v>14</v>
      </c>
      <c r="K3122">
        <v>7</v>
      </c>
    </row>
    <row r="3123" spans="1:11" x14ac:dyDescent="0.35">
      <c r="A3123">
        <v>3122</v>
      </c>
      <c r="B3123">
        <v>51</v>
      </c>
      <c r="C3123" t="s">
        <v>16</v>
      </c>
      <c r="D3123" t="s">
        <v>27</v>
      </c>
      <c r="E3123" t="s">
        <v>53</v>
      </c>
      <c r="F3123">
        <v>2502.92</v>
      </c>
      <c r="G3123" t="s">
        <v>14</v>
      </c>
      <c r="H3123" t="s">
        <v>15</v>
      </c>
      <c r="I3123">
        <v>1.9</v>
      </c>
      <c r="J3123">
        <v>28</v>
      </c>
      <c r="K3123">
        <v>9</v>
      </c>
    </row>
    <row r="3124" spans="1:11" x14ac:dyDescent="0.35">
      <c r="A3124">
        <v>3123</v>
      </c>
      <c r="B3124">
        <v>29</v>
      </c>
      <c r="C3124" t="s">
        <v>11</v>
      </c>
      <c r="D3124" t="s">
        <v>33</v>
      </c>
      <c r="E3124" t="s">
        <v>34</v>
      </c>
      <c r="F3124">
        <v>133.44</v>
      </c>
      <c r="G3124" t="s">
        <v>24</v>
      </c>
      <c r="H3124" t="s">
        <v>15</v>
      </c>
      <c r="I3124">
        <v>5</v>
      </c>
      <c r="J3124">
        <v>20</v>
      </c>
      <c r="K3124">
        <v>5</v>
      </c>
    </row>
    <row r="3125" spans="1:11" x14ac:dyDescent="0.35">
      <c r="A3125">
        <v>3124</v>
      </c>
      <c r="B3125">
        <v>20</v>
      </c>
      <c r="C3125" t="s">
        <v>11</v>
      </c>
      <c r="D3125" t="s">
        <v>12</v>
      </c>
      <c r="E3125" t="s">
        <v>50</v>
      </c>
      <c r="F3125">
        <v>142.21</v>
      </c>
      <c r="G3125" t="s">
        <v>31</v>
      </c>
      <c r="H3125" t="s">
        <v>15</v>
      </c>
      <c r="I3125">
        <v>3.8</v>
      </c>
      <c r="J3125">
        <v>13</v>
      </c>
      <c r="K3125">
        <v>4</v>
      </c>
    </row>
    <row r="3126" spans="1:11" x14ac:dyDescent="0.35">
      <c r="A3126">
        <v>3125</v>
      </c>
      <c r="B3126">
        <v>28</v>
      </c>
      <c r="C3126" t="s">
        <v>16</v>
      </c>
      <c r="D3126" t="s">
        <v>20</v>
      </c>
      <c r="E3126" t="s">
        <v>21</v>
      </c>
      <c r="F3126">
        <v>107.86</v>
      </c>
      <c r="G3126" t="s">
        <v>24</v>
      </c>
      <c r="H3126" t="s">
        <v>15</v>
      </c>
      <c r="I3126">
        <v>2.8</v>
      </c>
      <c r="J3126">
        <v>15</v>
      </c>
      <c r="K3126">
        <v>5</v>
      </c>
    </row>
    <row r="3127" spans="1:11" x14ac:dyDescent="0.35">
      <c r="A3127">
        <v>3126</v>
      </c>
      <c r="B3127">
        <v>57</v>
      </c>
      <c r="C3127" t="s">
        <v>16</v>
      </c>
      <c r="D3127" t="s">
        <v>17</v>
      </c>
      <c r="E3127" t="s">
        <v>35</v>
      </c>
      <c r="F3127">
        <v>142.37</v>
      </c>
      <c r="G3127" t="s">
        <v>31</v>
      </c>
      <c r="H3127" t="s">
        <v>15</v>
      </c>
      <c r="I3127">
        <v>4.3</v>
      </c>
      <c r="J3127">
        <v>11</v>
      </c>
      <c r="K3127">
        <v>3</v>
      </c>
    </row>
    <row r="3128" spans="1:11" x14ac:dyDescent="0.35">
      <c r="A3128">
        <v>3127</v>
      </c>
      <c r="B3128">
        <v>56</v>
      </c>
      <c r="C3128" t="s">
        <v>16</v>
      </c>
      <c r="D3128" t="s">
        <v>20</v>
      </c>
      <c r="E3128" t="s">
        <v>36</v>
      </c>
      <c r="F3128">
        <v>198.31</v>
      </c>
      <c r="G3128" t="s">
        <v>31</v>
      </c>
      <c r="H3128" t="s">
        <v>15</v>
      </c>
      <c r="I3128">
        <v>4.3</v>
      </c>
      <c r="J3128">
        <v>25</v>
      </c>
      <c r="K3128">
        <v>10</v>
      </c>
    </row>
    <row r="3129" spans="1:11" x14ac:dyDescent="0.35">
      <c r="A3129">
        <v>3128</v>
      </c>
      <c r="B3129">
        <v>27</v>
      </c>
      <c r="C3129" t="s">
        <v>11</v>
      </c>
      <c r="D3129" t="s">
        <v>29</v>
      </c>
      <c r="E3129" t="s">
        <v>30</v>
      </c>
      <c r="F3129">
        <v>34.44</v>
      </c>
      <c r="G3129" t="s">
        <v>24</v>
      </c>
      <c r="H3129" t="s">
        <v>15</v>
      </c>
      <c r="I3129">
        <v>3.4</v>
      </c>
      <c r="J3129">
        <v>4</v>
      </c>
      <c r="K3129">
        <v>2</v>
      </c>
    </row>
    <row r="3130" spans="1:11" x14ac:dyDescent="0.35">
      <c r="A3130">
        <v>3129</v>
      </c>
      <c r="B3130">
        <v>61</v>
      </c>
      <c r="C3130" t="s">
        <v>11</v>
      </c>
      <c r="D3130" t="s">
        <v>25</v>
      </c>
      <c r="E3130" t="s">
        <v>26</v>
      </c>
      <c r="F3130">
        <v>22.87</v>
      </c>
      <c r="G3130" t="s">
        <v>31</v>
      </c>
      <c r="H3130" t="s">
        <v>37</v>
      </c>
      <c r="I3130">
        <v>3.6</v>
      </c>
      <c r="J3130">
        <v>13</v>
      </c>
      <c r="K3130">
        <v>4</v>
      </c>
    </row>
    <row r="3131" spans="1:11" x14ac:dyDescent="0.35">
      <c r="A3131">
        <v>3130</v>
      </c>
      <c r="B3131">
        <v>44</v>
      </c>
      <c r="C3131" t="s">
        <v>16</v>
      </c>
      <c r="D3131" t="s">
        <v>33</v>
      </c>
      <c r="E3131" t="s">
        <v>34</v>
      </c>
      <c r="F3131">
        <v>143.16999999999999</v>
      </c>
      <c r="G3131" t="s">
        <v>31</v>
      </c>
      <c r="H3131" t="s">
        <v>15</v>
      </c>
      <c r="I3131">
        <v>5</v>
      </c>
      <c r="J3131">
        <v>15</v>
      </c>
      <c r="K3131">
        <v>5</v>
      </c>
    </row>
    <row r="3132" spans="1:11" x14ac:dyDescent="0.35">
      <c r="A3132">
        <v>3131</v>
      </c>
      <c r="B3132">
        <v>67</v>
      </c>
      <c r="C3132" t="s">
        <v>16</v>
      </c>
      <c r="D3132" t="s">
        <v>27</v>
      </c>
      <c r="E3132" t="s">
        <v>53</v>
      </c>
      <c r="F3132">
        <v>2411.19</v>
      </c>
      <c r="G3132" t="s">
        <v>24</v>
      </c>
      <c r="H3132" t="s">
        <v>15</v>
      </c>
      <c r="I3132">
        <v>3.1</v>
      </c>
      <c r="J3132">
        <v>9</v>
      </c>
      <c r="K3132">
        <v>2</v>
      </c>
    </row>
    <row r="3133" spans="1:11" x14ac:dyDescent="0.35">
      <c r="A3133">
        <v>3132</v>
      </c>
      <c r="B3133">
        <v>26</v>
      </c>
      <c r="C3133" t="s">
        <v>16</v>
      </c>
      <c r="D3133" t="s">
        <v>33</v>
      </c>
      <c r="E3133" t="s">
        <v>34</v>
      </c>
      <c r="F3133">
        <v>130.13999999999999</v>
      </c>
      <c r="G3133" t="s">
        <v>19</v>
      </c>
      <c r="H3133" t="s">
        <v>15</v>
      </c>
      <c r="I3133">
        <v>4</v>
      </c>
      <c r="J3133">
        <v>29</v>
      </c>
      <c r="K3133">
        <v>12</v>
      </c>
    </row>
    <row r="3134" spans="1:11" x14ac:dyDescent="0.35">
      <c r="A3134">
        <v>3133</v>
      </c>
      <c r="B3134">
        <v>69</v>
      </c>
      <c r="C3134" t="s">
        <v>11</v>
      </c>
      <c r="D3134" t="s">
        <v>29</v>
      </c>
      <c r="E3134" t="s">
        <v>30</v>
      </c>
      <c r="F3134">
        <v>52.81</v>
      </c>
      <c r="G3134" t="s">
        <v>31</v>
      </c>
      <c r="H3134" t="s">
        <v>15</v>
      </c>
      <c r="I3134">
        <v>4.3</v>
      </c>
      <c r="J3134">
        <v>19</v>
      </c>
      <c r="K3134">
        <v>7</v>
      </c>
    </row>
    <row r="3135" spans="1:11" x14ac:dyDescent="0.35">
      <c r="A3135">
        <v>3134</v>
      </c>
      <c r="B3135">
        <v>62</v>
      </c>
      <c r="C3135" t="s">
        <v>16</v>
      </c>
      <c r="D3135" t="s">
        <v>33</v>
      </c>
      <c r="E3135" t="s">
        <v>40</v>
      </c>
      <c r="F3135">
        <v>232.72</v>
      </c>
      <c r="G3135" t="s">
        <v>19</v>
      </c>
      <c r="H3135" t="s">
        <v>15</v>
      </c>
      <c r="I3135">
        <v>3.7</v>
      </c>
      <c r="J3135">
        <v>13</v>
      </c>
      <c r="K3135">
        <v>4</v>
      </c>
    </row>
    <row r="3136" spans="1:11" x14ac:dyDescent="0.35">
      <c r="A3136">
        <v>3135</v>
      </c>
      <c r="B3136">
        <v>47</v>
      </c>
      <c r="C3136" t="s">
        <v>11</v>
      </c>
      <c r="D3136" t="s">
        <v>29</v>
      </c>
      <c r="E3136" t="s">
        <v>51</v>
      </c>
      <c r="F3136">
        <v>38.049999999999997</v>
      </c>
      <c r="G3136" t="s">
        <v>31</v>
      </c>
      <c r="H3136" t="s">
        <v>37</v>
      </c>
      <c r="I3136">
        <v>3.4</v>
      </c>
      <c r="J3136">
        <v>23</v>
      </c>
      <c r="K3136">
        <v>9</v>
      </c>
    </row>
    <row r="3137" spans="1:11" x14ac:dyDescent="0.35">
      <c r="A3137">
        <v>3136</v>
      </c>
      <c r="B3137">
        <v>62</v>
      </c>
      <c r="C3137" t="s">
        <v>16</v>
      </c>
      <c r="D3137" t="s">
        <v>22</v>
      </c>
      <c r="E3137" t="s">
        <v>52</v>
      </c>
      <c r="F3137">
        <v>203.78</v>
      </c>
      <c r="G3137" t="s">
        <v>31</v>
      </c>
      <c r="H3137" t="s">
        <v>15</v>
      </c>
      <c r="I3137">
        <v>3.4</v>
      </c>
      <c r="J3137">
        <v>18</v>
      </c>
      <c r="K3137">
        <v>4</v>
      </c>
    </row>
    <row r="3138" spans="1:11" x14ac:dyDescent="0.35">
      <c r="A3138">
        <v>3137</v>
      </c>
      <c r="B3138">
        <v>49</v>
      </c>
      <c r="C3138" t="s">
        <v>16</v>
      </c>
      <c r="D3138" t="s">
        <v>22</v>
      </c>
      <c r="E3138" t="s">
        <v>23</v>
      </c>
      <c r="F3138">
        <v>73.31</v>
      </c>
      <c r="G3138" t="s">
        <v>19</v>
      </c>
      <c r="H3138" t="s">
        <v>37</v>
      </c>
      <c r="I3138">
        <v>4.5</v>
      </c>
      <c r="J3138">
        <v>22</v>
      </c>
      <c r="K3138">
        <v>6</v>
      </c>
    </row>
    <row r="3139" spans="1:11" x14ac:dyDescent="0.35">
      <c r="A3139">
        <v>3138</v>
      </c>
      <c r="B3139">
        <v>52</v>
      </c>
      <c r="C3139" t="s">
        <v>16</v>
      </c>
      <c r="D3139" t="s">
        <v>33</v>
      </c>
      <c r="E3139" t="s">
        <v>38</v>
      </c>
      <c r="F3139">
        <v>68.930000000000007</v>
      </c>
      <c r="G3139" t="s">
        <v>24</v>
      </c>
      <c r="H3139" t="s">
        <v>37</v>
      </c>
      <c r="I3139">
        <v>2.2999999999999998</v>
      </c>
      <c r="J3139">
        <v>24</v>
      </c>
      <c r="K3139">
        <v>7</v>
      </c>
    </row>
    <row r="3140" spans="1:11" x14ac:dyDescent="0.35">
      <c r="A3140">
        <v>3139</v>
      </c>
      <c r="B3140">
        <v>67</v>
      </c>
      <c r="C3140" t="s">
        <v>16</v>
      </c>
      <c r="D3140" t="s">
        <v>33</v>
      </c>
      <c r="E3140" t="s">
        <v>38</v>
      </c>
      <c r="F3140">
        <v>55.02</v>
      </c>
      <c r="G3140" t="s">
        <v>14</v>
      </c>
      <c r="H3140" t="s">
        <v>37</v>
      </c>
      <c r="I3140">
        <v>3.4</v>
      </c>
      <c r="J3140">
        <v>23</v>
      </c>
      <c r="K3140">
        <v>9</v>
      </c>
    </row>
    <row r="3141" spans="1:11" x14ac:dyDescent="0.35">
      <c r="A3141">
        <v>3140</v>
      </c>
      <c r="B3141">
        <v>34</v>
      </c>
      <c r="C3141" t="s">
        <v>11</v>
      </c>
      <c r="D3141" t="s">
        <v>20</v>
      </c>
      <c r="E3141" t="s">
        <v>36</v>
      </c>
      <c r="F3141">
        <v>199.1</v>
      </c>
      <c r="G3141" t="s">
        <v>14</v>
      </c>
      <c r="H3141" t="s">
        <v>15</v>
      </c>
      <c r="I3141">
        <v>4.3</v>
      </c>
      <c r="J3141">
        <v>11</v>
      </c>
      <c r="K3141">
        <v>3</v>
      </c>
    </row>
    <row r="3142" spans="1:11" x14ac:dyDescent="0.35">
      <c r="A3142">
        <v>3141</v>
      </c>
      <c r="B3142">
        <v>43</v>
      </c>
      <c r="C3142" t="s">
        <v>16</v>
      </c>
      <c r="D3142" t="s">
        <v>27</v>
      </c>
      <c r="E3142" t="s">
        <v>32</v>
      </c>
      <c r="F3142">
        <v>1988.61</v>
      </c>
      <c r="G3142" t="s">
        <v>19</v>
      </c>
      <c r="H3142" t="s">
        <v>15</v>
      </c>
      <c r="I3142">
        <v>3.8</v>
      </c>
      <c r="J3142">
        <v>17</v>
      </c>
      <c r="K3142">
        <v>6</v>
      </c>
    </row>
    <row r="3143" spans="1:11" x14ac:dyDescent="0.35">
      <c r="A3143">
        <v>3142</v>
      </c>
      <c r="B3143">
        <v>60</v>
      </c>
      <c r="C3143" t="s">
        <v>11</v>
      </c>
      <c r="D3143" t="s">
        <v>41</v>
      </c>
      <c r="E3143" t="s">
        <v>45</v>
      </c>
      <c r="F3143">
        <v>118.52</v>
      </c>
      <c r="G3143" t="s">
        <v>24</v>
      </c>
      <c r="H3143" t="s">
        <v>15</v>
      </c>
      <c r="I3143">
        <v>3.4</v>
      </c>
      <c r="J3143">
        <v>16</v>
      </c>
      <c r="K3143">
        <v>3</v>
      </c>
    </row>
    <row r="3144" spans="1:11" x14ac:dyDescent="0.35">
      <c r="A3144">
        <v>3143</v>
      </c>
      <c r="B3144">
        <v>45</v>
      </c>
      <c r="C3144" t="s">
        <v>11</v>
      </c>
      <c r="D3144" t="s">
        <v>33</v>
      </c>
      <c r="E3144" t="s">
        <v>38</v>
      </c>
      <c r="F3144">
        <v>80.17</v>
      </c>
      <c r="G3144" t="s">
        <v>31</v>
      </c>
      <c r="H3144" t="s">
        <v>37</v>
      </c>
      <c r="I3144">
        <v>3.7</v>
      </c>
      <c r="J3144">
        <v>22</v>
      </c>
      <c r="K3144">
        <v>6</v>
      </c>
    </row>
    <row r="3145" spans="1:11" x14ac:dyDescent="0.35">
      <c r="A3145">
        <v>3144</v>
      </c>
      <c r="B3145">
        <v>53</v>
      </c>
      <c r="C3145" t="s">
        <v>16</v>
      </c>
      <c r="D3145" t="s">
        <v>27</v>
      </c>
      <c r="E3145" t="s">
        <v>49</v>
      </c>
      <c r="F3145">
        <v>2987.4</v>
      </c>
      <c r="G3145" t="s">
        <v>31</v>
      </c>
      <c r="H3145" t="s">
        <v>15</v>
      </c>
      <c r="I3145">
        <v>3.4</v>
      </c>
      <c r="J3145">
        <v>16</v>
      </c>
      <c r="K3145">
        <v>3</v>
      </c>
    </row>
    <row r="3146" spans="1:11" x14ac:dyDescent="0.35">
      <c r="A3146">
        <v>3145</v>
      </c>
      <c r="B3146">
        <v>58</v>
      </c>
      <c r="C3146" t="s">
        <v>11</v>
      </c>
      <c r="D3146" t="s">
        <v>12</v>
      </c>
      <c r="E3146" t="s">
        <v>13</v>
      </c>
      <c r="F3146">
        <v>101.38</v>
      </c>
      <c r="G3146" t="s">
        <v>14</v>
      </c>
      <c r="H3146" t="s">
        <v>15</v>
      </c>
      <c r="I3146">
        <v>3.3</v>
      </c>
      <c r="J3146">
        <v>18</v>
      </c>
      <c r="K3146">
        <v>4</v>
      </c>
    </row>
    <row r="3147" spans="1:11" x14ac:dyDescent="0.35">
      <c r="A3147">
        <v>3146</v>
      </c>
      <c r="B3147">
        <v>62</v>
      </c>
      <c r="C3147" t="s">
        <v>11</v>
      </c>
      <c r="D3147" t="s">
        <v>33</v>
      </c>
      <c r="E3147" t="s">
        <v>38</v>
      </c>
      <c r="F3147">
        <v>120.82</v>
      </c>
      <c r="G3147" t="s">
        <v>24</v>
      </c>
      <c r="H3147" t="s">
        <v>15</v>
      </c>
      <c r="I3147">
        <v>5</v>
      </c>
      <c r="J3147">
        <v>22</v>
      </c>
      <c r="K3147">
        <v>6</v>
      </c>
    </row>
    <row r="3148" spans="1:11" x14ac:dyDescent="0.35">
      <c r="A3148">
        <v>3147</v>
      </c>
      <c r="B3148">
        <v>45</v>
      </c>
      <c r="C3148" t="s">
        <v>16</v>
      </c>
      <c r="D3148" t="s">
        <v>20</v>
      </c>
      <c r="E3148" t="s">
        <v>36</v>
      </c>
      <c r="F3148">
        <v>152.08000000000001</v>
      </c>
      <c r="G3148" t="s">
        <v>14</v>
      </c>
      <c r="H3148" t="s">
        <v>15</v>
      </c>
      <c r="I3148">
        <v>3.6</v>
      </c>
      <c r="J3148">
        <v>8</v>
      </c>
      <c r="K3148">
        <v>4</v>
      </c>
    </row>
    <row r="3149" spans="1:11" x14ac:dyDescent="0.35">
      <c r="A3149">
        <v>3148</v>
      </c>
      <c r="B3149">
        <v>28</v>
      </c>
      <c r="C3149" t="s">
        <v>11</v>
      </c>
      <c r="D3149" t="s">
        <v>12</v>
      </c>
      <c r="E3149" t="s">
        <v>56</v>
      </c>
      <c r="F3149">
        <v>28.4</v>
      </c>
      <c r="G3149" t="s">
        <v>24</v>
      </c>
      <c r="H3149" t="s">
        <v>15</v>
      </c>
      <c r="I3149">
        <v>3.5</v>
      </c>
      <c r="J3149">
        <v>14</v>
      </c>
      <c r="K3149">
        <v>2</v>
      </c>
    </row>
    <row r="3150" spans="1:11" x14ac:dyDescent="0.35">
      <c r="A3150">
        <v>3149</v>
      </c>
      <c r="B3150">
        <v>59</v>
      </c>
      <c r="C3150" t="s">
        <v>11</v>
      </c>
      <c r="D3150" t="s">
        <v>20</v>
      </c>
      <c r="E3150" t="s">
        <v>36</v>
      </c>
      <c r="F3150">
        <v>27.33</v>
      </c>
      <c r="G3150" t="s">
        <v>19</v>
      </c>
      <c r="H3150" t="s">
        <v>15</v>
      </c>
      <c r="I3150">
        <v>4.5</v>
      </c>
      <c r="J3150">
        <v>19</v>
      </c>
      <c r="K3150">
        <v>7</v>
      </c>
    </row>
    <row r="3151" spans="1:11" x14ac:dyDescent="0.35">
      <c r="A3151">
        <v>3150</v>
      </c>
      <c r="B3151">
        <v>70</v>
      </c>
      <c r="C3151" t="s">
        <v>11</v>
      </c>
      <c r="D3151" t="s">
        <v>20</v>
      </c>
      <c r="E3151" t="s">
        <v>36</v>
      </c>
      <c r="F3151">
        <v>62.01</v>
      </c>
      <c r="G3151" t="s">
        <v>14</v>
      </c>
      <c r="H3151" t="s">
        <v>15</v>
      </c>
      <c r="I3151">
        <v>3.2</v>
      </c>
      <c r="J3151">
        <v>11</v>
      </c>
      <c r="K3151">
        <v>3</v>
      </c>
    </row>
    <row r="3152" spans="1:11" x14ac:dyDescent="0.35">
      <c r="A3152">
        <v>3151</v>
      </c>
      <c r="B3152">
        <v>32</v>
      </c>
      <c r="C3152" t="s">
        <v>16</v>
      </c>
      <c r="D3152" t="s">
        <v>33</v>
      </c>
      <c r="E3152" t="s">
        <v>38</v>
      </c>
      <c r="F3152">
        <v>244.65</v>
      </c>
      <c r="G3152" t="s">
        <v>14</v>
      </c>
      <c r="H3152" t="s">
        <v>15</v>
      </c>
      <c r="I3152">
        <v>3.2</v>
      </c>
      <c r="J3152">
        <v>20</v>
      </c>
      <c r="K3152">
        <v>5</v>
      </c>
    </row>
    <row r="3153" spans="1:11" x14ac:dyDescent="0.35">
      <c r="A3153">
        <v>3152</v>
      </c>
      <c r="B3153">
        <v>30</v>
      </c>
      <c r="C3153" t="s">
        <v>16</v>
      </c>
      <c r="D3153" t="s">
        <v>27</v>
      </c>
      <c r="E3153" t="s">
        <v>49</v>
      </c>
      <c r="F3153">
        <v>1948.26</v>
      </c>
      <c r="G3153" t="s">
        <v>31</v>
      </c>
      <c r="H3153" t="s">
        <v>15</v>
      </c>
      <c r="I3153">
        <v>4.2</v>
      </c>
      <c r="J3153">
        <v>22</v>
      </c>
      <c r="K3153">
        <v>6</v>
      </c>
    </row>
    <row r="3154" spans="1:11" x14ac:dyDescent="0.35">
      <c r="A3154">
        <v>3153</v>
      </c>
      <c r="B3154">
        <v>41</v>
      </c>
      <c r="C3154" t="s">
        <v>16</v>
      </c>
      <c r="D3154" t="s">
        <v>20</v>
      </c>
      <c r="E3154" t="s">
        <v>39</v>
      </c>
      <c r="F3154">
        <v>125.2</v>
      </c>
      <c r="G3154" t="s">
        <v>24</v>
      </c>
      <c r="H3154" t="s">
        <v>15</v>
      </c>
      <c r="I3154">
        <v>3.7</v>
      </c>
      <c r="J3154">
        <v>8</v>
      </c>
      <c r="K3154">
        <v>4</v>
      </c>
    </row>
    <row r="3155" spans="1:11" x14ac:dyDescent="0.35">
      <c r="A3155">
        <v>3154</v>
      </c>
      <c r="B3155">
        <v>28</v>
      </c>
      <c r="C3155" t="s">
        <v>16</v>
      </c>
      <c r="D3155" t="s">
        <v>20</v>
      </c>
      <c r="E3155" t="s">
        <v>39</v>
      </c>
      <c r="F3155">
        <v>181.02</v>
      </c>
      <c r="G3155" t="s">
        <v>14</v>
      </c>
      <c r="H3155" t="s">
        <v>15</v>
      </c>
      <c r="I3155">
        <v>4.3</v>
      </c>
      <c r="J3155">
        <v>6</v>
      </c>
      <c r="K3155">
        <v>3</v>
      </c>
    </row>
    <row r="3156" spans="1:11" x14ac:dyDescent="0.35">
      <c r="A3156">
        <v>3155</v>
      </c>
      <c r="B3156">
        <v>34</v>
      </c>
      <c r="C3156" t="s">
        <v>11</v>
      </c>
      <c r="D3156" t="s">
        <v>20</v>
      </c>
      <c r="E3156" t="s">
        <v>21</v>
      </c>
      <c r="F3156">
        <v>44.83</v>
      </c>
      <c r="G3156" t="s">
        <v>19</v>
      </c>
      <c r="H3156" t="s">
        <v>37</v>
      </c>
      <c r="I3156">
        <v>3.5</v>
      </c>
      <c r="J3156">
        <v>12</v>
      </c>
      <c r="K3156">
        <v>6</v>
      </c>
    </row>
    <row r="3157" spans="1:11" x14ac:dyDescent="0.35">
      <c r="A3157">
        <v>3156</v>
      </c>
      <c r="B3157">
        <v>60</v>
      </c>
      <c r="C3157" t="s">
        <v>11</v>
      </c>
      <c r="D3157" t="s">
        <v>29</v>
      </c>
      <c r="E3157" t="s">
        <v>30</v>
      </c>
      <c r="F3157">
        <v>142.97</v>
      </c>
      <c r="G3157" t="s">
        <v>31</v>
      </c>
      <c r="H3157" t="s">
        <v>15</v>
      </c>
      <c r="I3157">
        <v>5</v>
      </c>
      <c r="J3157">
        <v>34</v>
      </c>
      <c r="K3157">
        <v>12</v>
      </c>
    </row>
    <row r="3158" spans="1:11" x14ac:dyDescent="0.35">
      <c r="A3158">
        <v>3157</v>
      </c>
      <c r="B3158">
        <v>25</v>
      </c>
      <c r="C3158" t="s">
        <v>11</v>
      </c>
      <c r="D3158" t="s">
        <v>12</v>
      </c>
      <c r="E3158" t="s">
        <v>13</v>
      </c>
      <c r="F3158">
        <v>147.25</v>
      </c>
      <c r="G3158" t="s">
        <v>31</v>
      </c>
      <c r="H3158" t="s">
        <v>15</v>
      </c>
      <c r="I3158">
        <v>3.3</v>
      </c>
      <c r="J3158">
        <v>6</v>
      </c>
      <c r="K3158">
        <v>3</v>
      </c>
    </row>
    <row r="3159" spans="1:11" x14ac:dyDescent="0.35">
      <c r="A3159">
        <v>3158</v>
      </c>
      <c r="B3159">
        <v>23</v>
      </c>
      <c r="C3159" t="s">
        <v>16</v>
      </c>
      <c r="D3159" t="s">
        <v>27</v>
      </c>
      <c r="E3159" t="s">
        <v>32</v>
      </c>
      <c r="F3159">
        <v>2464.0300000000002</v>
      </c>
      <c r="G3159" t="s">
        <v>31</v>
      </c>
      <c r="H3159" t="s">
        <v>15</v>
      </c>
      <c r="I3159">
        <v>3</v>
      </c>
      <c r="J3159">
        <v>9</v>
      </c>
      <c r="K3159">
        <v>2</v>
      </c>
    </row>
    <row r="3160" spans="1:11" x14ac:dyDescent="0.35">
      <c r="A3160">
        <v>3159</v>
      </c>
      <c r="B3160">
        <v>42</v>
      </c>
      <c r="C3160" t="s">
        <v>11</v>
      </c>
      <c r="D3160" t="s">
        <v>41</v>
      </c>
      <c r="E3160" t="s">
        <v>45</v>
      </c>
      <c r="F3160">
        <v>40.69</v>
      </c>
      <c r="G3160" t="s">
        <v>14</v>
      </c>
      <c r="H3160" t="s">
        <v>15</v>
      </c>
      <c r="I3160">
        <v>3.5</v>
      </c>
      <c r="J3160">
        <v>18</v>
      </c>
      <c r="K3160">
        <v>4</v>
      </c>
    </row>
    <row r="3161" spans="1:11" x14ac:dyDescent="0.35">
      <c r="A3161">
        <v>3160</v>
      </c>
      <c r="B3161">
        <v>70</v>
      </c>
      <c r="C3161" t="s">
        <v>16</v>
      </c>
      <c r="D3161" t="s">
        <v>27</v>
      </c>
      <c r="E3161" t="s">
        <v>53</v>
      </c>
      <c r="F3161">
        <v>2039.35</v>
      </c>
      <c r="G3161" t="s">
        <v>19</v>
      </c>
      <c r="H3161" t="s">
        <v>15</v>
      </c>
      <c r="I3161">
        <v>4.7</v>
      </c>
      <c r="J3161">
        <v>16</v>
      </c>
      <c r="K3161">
        <v>3</v>
      </c>
    </row>
    <row r="3162" spans="1:11" x14ac:dyDescent="0.35">
      <c r="A3162">
        <v>3161</v>
      </c>
      <c r="B3162">
        <v>43</v>
      </c>
      <c r="C3162" t="s">
        <v>11</v>
      </c>
      <c r="D3162" t="s">
        <v>12</v>
      </c>
      <c r="E3162" t="s">
        <v>13</v>
      </c>
      <c r="F3162">
        <v>140.85</v>
      </c>
      <c r="G3162" t="s">
        <v>31</v>
      </c>
      <c r="H3162" t="s">
        <v>15</v>
      </c>
      <c r="I3162">
        <v>3.9</v>
      </c>
      <c r="J3162">
        <v>8</v>
      </c>
      <c r="K3162">
        <v>4</v>
      </c>
    </row>
    <row r="3163" spans="1:11" x14ac:dyDescent="0.35">
      <c r="A3163">
        <v>3162</v>
      </c>
      <c r="B3163">
        <v>59</v>
      </c>
      <c r="C3163" t="s">
        <v>16</v>
      </c>
      <c r="D3163" t="s">
        <v>17</v>
      </c>
      <c r="E3163" t="s">
        <v>42</v>
      </c>
      <c r="F3163">
        <v>126.38</v>
      </c>
      <c r="G3163" t="s">
        <v>24</v>
      </c>
      <c r="H3163" t="s">
        <v>15</v>
      </c>
      <c r="I3163">
        <v>4</v>
      </c>
      <c r="J3163">
        <v>4</v>
      </c>
      <c r="K3163">
        <v>2</v>
      </c>
    </row>
    <row r="3164" spans="1:11" x14ac:dyDescent="0.35">
      <c r="A3164">
        <v>3163</v>
      </c>
      <c r="B3164">
        <v>46</v>
      </c>
      <c r="C3164" t="s">
        <v>16</v>
      </c>
      <c r="D3164" t="s">
        <v>33</v>
      </c>
      <c r="E3164" t="s">
        <v>38</v>
      </c>
      <c r="F3164">
        <v>136.72999999999999</v>
      </c>
      <c r="G3164" t="s">
        <v>19</v>
      </c>
      <c r="H3164" t="s">
        <v>15</v>
      </c>
      <c r="I3164">
        <v>4.5999999999999996</v>
      </c>
      <c r="J3164">
        <v>17</v>
      </c>
      <c r="K3164">
        <v>6</v>
      </c>
    </row>
    <row r="3165" spans="1:11" x14ac:dyDescent="0.35">
      <c r="A3165">
        <v>3164</v>
      </c>
      <c r="B3165">
        <v>26</v>
      </c>
      <c r="C3165" t="s">
        <v>11</v>
      </c>
      <c r="D3165" t="s">
        <v>29</v>
      </c>
      <c r="E3165" t="s">
        <v>51</v>
      </c>
      <c r="F3165">
        <v>32.35</v>
      </c>
      <c r="G3165" t="s">
        <v>19</v>
      </c>
      <c r="H3165" t="s">
        <v>15</v>
      </c>
      <c r="I3165">
        <v>4.4000000000000004</v>
      </c>
      <c r="J3165">
        <v>25</v>
      </c>
      <c r="K3165">
        <v>10</v>
      </c>
    </row>
    <row r="3166" spans="1:11" x14ac:dyDescent="0.35">
      <c r="A3166">
        <v>3165</v>
      </c>
      <c r="B3166">
        <v>51</v>
      </c>
      <c r="C3166" t="s">
        <v>11</v>
      </c>
      <c r="D3166" t="s">
        <v>41</v>
      </c>
      <c r="E3166" t="s">
        <v>45</v>
      </c>
      <c r="F3166">
        <v>104</v>
      </c>
      <c r="G3166" t="s">
        <v>14</v>
      </c>
      <c r="H3166" t="s">
        <v>15</v>
      </c>
      <c r="I3166">
        <v>4.2</v>
      </c>
      <c r="J3166">
        <v>14</v>
      </c>
      <c r="K3166">
        <v>2</v>
      </c>
    </row>
    <row r="3167" spans="1:11" x14ac:dyDescent="0.35">
      <c r="A3167">
        <v>3166</v>
      </c>
      <c r="B3167">
        <v>28</v>
      </c>
      <c r="C3167" t="s">
        <v>11</v>
      </c>
      <c r="D3167" t="s">
        <v>29</v>
      </c>
      <c r="E3167" t="s">
        <v>51</v>
      </c>
      <c r="F3167">
        <v>128.02000000000001</v>
      </c>
      <c r="G3167" t="s">
        <v>24</v>
      </c>
      <c r="H3167" t="s">
        <v>15</v>
      </c>
      <c r="I3167">
        <v>3.6</v>
      </c>
      <c r="J3167">
        <v>15</v>
      </c>
      <c r="K3167">
        <v>5</v>
      </c>
    </row>
    <row r="3168" spans="1:11" x14ac:dyDescent="0.35">
      <c r="A3168">
        <v>3167</v>
      </c>
      <c r="B3168">
        <v>31</v>
      </c>
      <c r="C3168" t="s">
        <v>11</v>
      </c>
      <c r="D3168" t="s">
        <v>33</v>
      </c>
      <c r="E3168" t="s">
        <v>34</v>
      </c>
      <c r="F3168">
        <v>59.9</v>
      </c>
      <c r="G3168" t="s">
        <v>31</v>
      </c>
      <c r="H3168" t="s">
        <v>37</v>
      </c>
      <c r="I3168">
        <v>3.4</v>
      </c>
      <c r="J3168">
        <v>22</v>
      </c>
      <c r="K3168">
        <v>6</v>
      </c>
    </row>
    <row r="3169" spans="1:11" x14ac:dyDescent="0.35">
      <c r="A3169">
        <v>3168</v>
      </c>
      <c r="B3169">
        <v>57</v>
      </c>
      <c r="C3169" t="s">
        <v>16</v>
      </c>
      <c r="D3169" t="s">
        <v>27</v>
      </c>
      <c r="E3169" t="s">
        <v>32</v>
      </c>
      <c r="F3169">
        <v>2940.66</v>
      </c>
      <c r="G3169" t="s">
        <v>14</v>
      </c>
      <c r="H3169" t="s">
        <v>15</v>
      </c>
      <c r="I3169">
        <v>3.1</v>
      </c>
      <c r="J3169">
        <v>10</v>
      </c>
      <c r="K3169">
        <v>5</v>
      </c>
    </row>
    <row r="3170" spans="1:11" x14ac:dyDescent="0.35">
      <c r="A3170">
        <v>3169</v>
      </c>
      <c r="B3170">
        <v>60</v>
      </c>
      <c r="C3170" t="s">
        <v>16</v>
      </c>
      <c r="D3170" t="s">
        <v>20</v>
      </c>
      <c r="E3170" t="s">
        <v>39</v>
      </c>
      <c r="F3170">
        <v>99.99</v>
      </c>
      <c r="G3170" t="s">
        <v>14</v>
      </c>
      <c r="H3170" t="s">
        <v>37</v>
      </c>
      <c r="I3170">
        <v>2.5</v>
      </c>
      <c r="J3170">
        <v>18</v>
      </c>
      <c r="K3170">
        <v>4</v>
      </c>
    </row>
    <row r="3171" spans="1:11" x14ac:dyDescent="0.35">
      <c r="A3171">
        <v>3170</v>
      </c>
      <c r="B3171">
        <v>43</v>
      </c>
      <c r="C3171" t="s">
        <v>11</v>
      </c>
      <c r="D3171" t="s">
        <v>12</v>
      </c>
      <c r="E3171" t="s">
        <v>56</v>
      </c>
      <c r="F3171">
        <v>35.090000000000003</v>
      </c>
      <c r="G3171" t="s">
        <v>19</v>
      </c>
      <c r="H3171" t="s">
        <v>15</v>
      </c>
      <c r="I3171">
        <v>4.5</v>
      </c>
      <c r="J3171">
        <v>20</v>
      </c>
      <c r="K3171">
        <v>5</v>
      </c>
    </row>
    <row r="3172" spans="1:11" x14ac:dyDescent="0.35">
      <c r="A3172">
        <v>3171</v>
      </c>
      <c r="B3172">
        <v>32</v>
      </c>
      <c r="C3172" t="s">
        <v>16</v>
      </c>
      <c r="D3172" t="s">
        <v>17</v>
      </c>
      <c r="E3172" t="s">
        <v>42</v>
      </c>
      <c r="F3172">
        <v>174.21</v>
      </c>
      <c r="G3172" t="s">
        <v>31</v>
      </c>
      <c r="H3172" t="s">
        <v>15</v>
      </c>
      <c r="I3172">
        <v>3.2</v>
      </c>
      <c r="J3172">
        <v>8</v>
      </c>
      <c r="K3172">
        <v>4</v>
      </c>
    </row>
    <row r="3173" spans="1:11" x14ac:dyDescent="0.35">
      <c r="A3173">
        <v>3172</v>
      </c>
      <c r="B3173">
        <v>52</v>
      </c>
      <c r="C3173" t="s">
        <v>16</v>
      </c>
      <c r="D3173" t="s">
        <v>27</v>
      </c>
      <c r="E3173" t="s">
        <v>49</v>
      </c>
      <c r="F3173">
        <v>1090.05</v>
      </c>
      <c r="G3173" t="s">
        <v>24</v>
      </c>
      <c r="H3173" t="s">
        <v>15</v>
      </c>
      <c r="I3173">
        <v>3.6</v>
      </c>
      <c r="J3173">
        <v>13</v>
      </c>
      <c r="K3173">
        <v>4</v>
      </c>
    </row>
    <row r="3174" spans="1:11" x14ac:dyDescent="0.35">
      <c r="A3174">
        <v>3173</v>
      </c>
      <c r="B3174">
        <v>69</v>
      </c>
      <c r="C3174" t="s">
        <v>16</v>
      </c>
      <c r="D3174" t="s">
        <v>20</v>
      </c>
      <c r="E3174" t="s">
        <v>36</v>
      </c>
      <c r="F3174">
        <v>36.799999999999997</v>
      </c>
      <c r="G3174" t="s">
        <v>31</v>
      </c>
      <c r="H3174" t="s">
        <v>15</v>
      </c>
      <c r="I3174">
        <v>3.7</v>
      </c>
      <c r="J3174">
        <v>30</v>
      </c>
      <c r="K3174">
        <v>10</v>
      </c>
    </row>
    <row r="3175" spans="1:11" x14ac:dyDescent="0.35">
      <c r="A3175">
        <v>3174</v>
      </c>
      <c r="B3175">
        <v>64</v>
      </c>
      <c r="C3175" t="s">
        <v>16</v>
      </c>
      <c r="D3175" t="s">
        <v>20</v>
      </c>
      <c r="E3175" t="s">
        <v>39</v>
      </c>
      <c r="F3175">
        <v>242.59</v>
      </c>
      <c r="G3175" t="s">
        <v>24</v>
      </c>
      <c r="H3175" t="s">
        <v>15</v>
      </c>
      <c r="I3175">
        <v>4.3</v>
      </c>
      <c r="J3175">
        <v>9</v>
      </c>
      <c r="K3175">
        <v>2</v>
      </c>
    </row>
    <row r="3176" spans="1:11" x14ac:dyDescent="0.35">
      <c r="A3176">
        <v>3175</v>
      </c>
      <c r="B3176">
        <v>68</v>
      </c>
      <c r="C3176" t="s">
        <v>16</v>
      </c>
      <c r="D3176" t="s">
        <v>27</v>
      </c>
      <c r="E3176" t="s">
        <v>32</v>
      </c>
      <c r="F3176">
        <v>1208.17</v>
      </c>
      <c r="G3176" t="s">
        <v>19</v>
      </c>
      <c r="H3176" t="s">
        <v>15</v>
      </c>
      <c r="I3176">
        <v>3.6</v>
      </c>
      <c r="J3176">
        <v>12</v>
      </c>
      <c r="K3176">
        <v>6</v>
      </c>
    </row>
    <row r="3177" spans="1:11" x14ac:dyDescent="0.35">
      <c r="A3177">
        <v>3176</v>
      </c>
      <c r="B3177">
        <v>24</v>
      </c>
      <c r="C3177" t="s">
        <v>11</v>
      </c>
      <c r="D3177" t="s">
        <v>33</v>
      </c>
      <c r="E3177" t="s">
        <v>38</v>
      </c>
      <c r="F3177">
        <v>144.41999999999999</v>
      </c>
      <c r="G3177" t="s">
        <v>31</v>
      </c>
      <c r="H3177" t="s">
        <v>15</v>
      </c>
      <c r="I3177">
        <v>4.4000000000000004</v>
      </c>
      <c r="J3177">
        <v>4</v>
      </c>
      <c r="K3177">
        <v>2</v>
      </c>
    </row>
    <row r="3178" spans="1:11" x14ac:dyDescent="0.35">
      <c r="A3178">
        <v>3177</v>
      </c>
      <c r="B3178">
        <v>57</v>
      </c>
      <c r="C3178" t="s">
        <v>16</v>
      </c>
      <c r="D3178" t="s">
        <v>17</v>
      </c>
      <c r="E3178" t="s">
        <v>18</v>
      </c>
      <c r="F3178">
        <v>74.47</v>
      </c>
      <c r="G3178" t="s">
        <v>14</v>
      </c>
      <c r="H3178" t="s">
        <v>37</v>
      </c>
      <c r="I3178">
        <v>3.2</v>
      </c>
      <c r="J3178">
        <v>16</v>
      </c>
      <c r="K3178">
        <v>3</v>
      </c>
    </row>
    <row r="3179" spans="1:11" x14ac:dyDescent="0.35">
      <c r="A3179">
        <v>3178</v>
      </c>
      <c r="B3179">
        <v>22</v>
      </c>
      <c r="C3179" t="s">
        <v>11</v>
      </c>
      <c r="D3179" t="s">
        <v>33</v>
      </c>
      <c r="E3179" t="s">
        <v>34</v>
      </c>
      <c r="F3179">
        <v>248.95</v>
      </c>
      <c r="G3179" t="s">
        <v>19</v>
      </c>
      <c r="H3179" t="s">
        <v>15</v>
      </c>
      <c r="I3179">
        <v>2.7</v>
      </c>
      <c r="J3179">
        <v>10</v>
      </c>
      <c r="K3179">
        <v>5</v>
      </c>
    </row>
    <row r="3180" spans="1:11" x14ac:dyDescent="0.35">
      <c r="A3180">
        <v>3179</v>
      </c>
      <c r="B3180">
        <v>49</v>
      </c>
      <c r="C3180" t="s">
        <v>16</v>
      </c>
      <c r="D3180" t="s">
        <v>20</v>
      </c>
      <c r="E3180" t="s">
        <v>36</v>
      </c>
      <c r="F3180">
        <v>84.57</v>
      </c>
      <c r="G3180" t="s">
        <v>24</v>
      </c>
      <c r="H3180" t="s">
        <v>15</v>
      </c>
      <c r="I3180">
        <v>3.3</v>
      </c>
      <c r="J3180">
        <v>18</v>
      </c>
      <c r="K3180">
        <v>4</v>
      </c>
    </row>
    <row r="3181" spans="1:11" x14ac:dyDescent="0.35">
      <c r="A3181">
        <v>3180</v>
      </c>
      <c r="B3181">
        <v>65</v>
      </c>
      <c r="C3181" t="s">
        <v>11</v>
      </c>
      <c r="D3181" t="s">
        <v>33</v>
      </c>
      <c r="E3181" t="s">
        <v>34</v>
      </c>
      <c r="F3181">
        <v>182.69</v>
      </c>
      <c r="G3181" t="s">
        <v>24</v>
      </c>
      <c r="H3181" t="s">
        <v>15</v>
      </c>
      <c r="I3181">
        <v>4.2</v>
      </c>
      <c r="J3181">
        <v>8</v>
      </c>
      <c r="K3181">
        <v>4</v>
      </c>
    </row>
    <row r="3182" spans="1:11" x14ac:dyDescent="0.35">
      <c r="A3182">
        <v>3181</v>
      </c>
      <c r="B3182">
        <v>63</v>
      </c>
      <c r="C3182" t="s">
        <v>11</v>
      </c>
      <c r="D3182" t="s">
        <v>33</v>
      </c>
      <c r="E3182" t="s">
        <v>38</v>
      </c>
      <c r="F3182">
        <v>95.84</v>
      </c>
      <c r="G3182" t="s">
        <v>24</v>
      </c>
      <c r="H3182" t="s">
        <v>15</v>
      </c>
      <c r="I3182">
        <v>2.5</v>
      </c>
      <c r="J3182">
        <v>11</v>
      </c>
      <c r="K3182">
        <v>3</v>
      </c>
    </row>
    <row r="3183" spans="1:11" x14ac:dyDescent="0.35">
      <c r="A3183">
        <v>3182</v>
      </c>
      <c r="B3183">
        <v>37</v>
      </c>
      <c r="C3183" t="s">
        <v>16</v>
      </c>
      <c r="D3183" t="s">
        <v>17</v>
      </c>
      <c r="E3183" t="s">
        <v>18</v>
      </c>
      <c r="F3183">
        <v>174.37</v>
      </c>
      <c r="G3183" t="s">
        <v>31</v>
      </c>
      <c r="H3183" t="s">
        <v>15</v>
      </c>
      <c r="I3183">
        <v>4.3</v>
      </c>
      <c r="J3183">
        <v>8</v>
      </c>
      <c r="K3183">
        <v>4</v>
      </c>
    </row>
    <row r="3184" spans="1:11" x14ac:dyDescent="0.35">
      <c r="A3184">
        <v>3183</v>
      </c>
      <c r="B3184">
        <v>35</v>
      </c>
      <c r="C3184" t="s">
        <v>16</v>
      </c>
      <c r="D3184" t="s">
        <v>20</v>
      </c>
      <c r="E3184" t="s">
        <v>21</v>
      </c>
      <c r="F3184">
        <v>203.49</v>
      </c>
      <c r="G3184" t="s">
        <v>19</v>
      </c>
      <c r="H3184" t="s">
        <v>15</v>
      </c>
      <c r="I3184">
        <v>2.8</v>
      </c>
      <c r="J3184">
        <v>6</v>
      </c>
      <c r="K3184">
        <v>3</v>
      </c>
    </row>
    <row r="3185" spans="1:11" x14ac:dyDescent="0.35">
      <c r="A3185">
        <v>3184</v>
      </c>
      <c r="B3185">
        <v>22</v>
      </c>
      <c r="C3185" t="s">
        <v>16</v>
      </c>
      <c r="D3185" t="s">
        <v>33</v>
      </c>
      <c r="E3185" t="s">
        <v>34</v>
      </c>
      <c r="F3185">
        <v>125.93</v>
      </c>
      <c r="G3185" t="s">
        <v>31</v>
      </c>
      <c r="H3185" t="s">
        <v>15</v>
      </c>
      <c r="I3185">
        <v>4.8</v>
      </c>
      <c r="J3185">
        <v>10</v>
      </c>
      <c r="K3185">
        <v>5</v>
      </c>
    </row>
    <row r="3186" spans="1:11" x14ac:dyDescent="0.35">
      <c r="A3186">
        <v>3185</v>
      </c>
      <c r="B3186">
        <v>40</v>
      </c>
      <c r="C3186" t="s">
        <v>11</v>
      </c>
      <c r="D3186" t="s">
        <v>12</v>
      </c>
      <c r="E3186" t="s">
        <v>13</v>
      </c>
      <c r="F3186">
        <v>59.58</v>
      </c>
      <c r="G3186" t="s">
        <v>31</v>
      </c>
      <c r="H3186" t="s">
        <v>37</v>
      </c>
      <c r="I3186">
        <v>3.1</v>
      </c>
      <c r="J3186">
        <v>10</v>
      </c>
      <c r="K3186">
        <v>5</v>
      </c>
    </row>
    <row r="3187" spans="1:11" x14ac:dyDescent="0.35">
      <c r="A3187">
        <v>3186</v>
      </c>
      <c r="B3187">
        <v>40</v>
      </c>
      <c r="C3187" t="s">
        <v>16</v>
      </c>
      <c r="D3187" t="s">
        <v>20</v>
      </c>
      <c r="E3187" t="s">
        <v>36</v>
      </c>
      <c r="F3187">
        <v>82.63</v>
      </c>
      <c r="G3187" t="s">
        <v>19</v>
      </c>
      <c r="H3187" t="s">
        <v>15</v>
      </c>
      <c r="I3187">
        <v>2.7</v>
      </c>
      <c r="J3187">
        <v>13</v>
      </c>
      <c r="K3187">
        <v>4</v>
      </c>
    </row>
    <row r="3188" spans="1:11" x14ac:dyDescent="0.35">
      <c r="A3188">
        <v>3187</v>
      </c>
      <c r="B3188">
        <v>68</v>
      </c>
      <c r="C3188" t="s">
        <v>11</v>
      </c>
      <c r="D3188" t="s">
        <v>22</v>
      </c>
      <c r="E3188" t="s">
        <v>43</v>
      </c>
      <c r="F3188">
        <v>178.28</v>
      </c>
      <c r="G3188" t="s">
        <v>19</v>
      </c>
      <c r="H3188" t="s">
        <v>15</v>
      </c>
      <c r="I3188">
        <v>3.2</v>
      </c>
      <c r="J3188">
        <v>15</v>
      </c>
      <c r="K3188">
        <v>5</v>
      </c>
    </row>
    <row r="3189" spans="1:11" x14ac:dyDescent="0.35">
      <c r="A3189">
        <v>3188</v>
      </c>
      <c r="B3189">
        <v>46</v>
      </c>
      <c r="C3189" t="s">
        <v>16</v>
      </c>
      <c r="D3189" t="s">
        <v>20</v>
      </c>
      <c r="E3189" t="s">
        <v>21</v>
      </c>
      <c r="F3189">
        <v>205.44</v>
      </c>
      <c r="G3189" t="s">
        <v>24</v>
      </c>
      <c r="H3189" t="s">
        <v>15</v>
      </c>
      <c r="I3189">
        <v>3.2</v>
      </c>
      <c r="J3189">
        <v>16</v>
      </c>
      <c r="K3189">
        <v>8</v>
      </c>
    </row>
    <row r="3190" spans="1:11" x14ac:dyDescent="0.35">
      <c r="A3190">
        <v>3189</v>
      </c>
      <c r="B3190">
        <v>35</v>
      </c>
      <c r="C3190" t="s">
        <v>16</v>
      </c>
      <c r="D3190" t="s">
        <v>17</v>
      </c>
      <c r="E3190" t="s">
        <v>18</v>
      </c>
      <c r="F3190">
        <v>165.66</v>
      </c>
      <c r="G3190" t="s">
        <v>19</v>
      </c>
      <c r="H3190" t="s">
        <v>15</v>
      </c>
      <c r="I3190">
        <v>2.9</v>
      </c>
      <c r="J3190">
        <v>12</v>
      </c>
      <c r="K3190">
        <v>6</v>
      </c>
    </row>
    <row r="3191" spans="1:11" x14ac:dyDescent="0.35">
      <c r="A3191">
        <v>3190</v>
      </c>
      <c r="B3191">
        <v>28</v>
      </c>
      <c r="C3191" t="s">
        <v>16</v>
      </c>
      <c r="D3191" t="s">
        <v>25</v>
      </c>
      <c r="E3191" t="s">
        <v>26</v>
      </c>
      <c r="F3191">
        <v>30.88</v>
      </c>
      <c r="G3191" t="s">
        <v>31</v>
      </c>
      <c r="H3191" t="s">
        <v>37</v>
      </c>
      <c r="I3191">
        <v>4.0999999999999996</v>
      </c>
      <c r="J3191">
        <v>8</v>
      </c>
      <c r="K3191">
        <v>4</v>
      </c>
    </row>
    <row r="3192" spans="1:11" x14ac:dyDescent="0.35">
      <c r="A3192">
        <v>3191</v>
      </c>
      <c r="B3192">
        <v>66</v>
      </c>
      <c r="C3192" t="s">
        <v>16</v>
      </c>
      <c r="D3192" t="s">
        <v>17</v>
      </c>
      <c r="E3192" t="s">
        <v>48</v>
      </c>
      <c r="F3192">
        <v>38.61</v>
      </c>
      <c r="G3192" t="s">
        <v>31</v>
      </c>
      <c r="H3192" t="s">
        <v>37</v>
      </c>
      <c r="I3192">
        <v>2.9</v>
      </c>
      <c r="J3192">
        <v>15</v>
      </c>
      <c r="K3192">
        <v>5</v>
      </c>
    </row>
    <row r="3193" spans="1:11" x14ac:dyDescent="0.35">
      <c r="A3193">
        <v>3192</v>
      </c>
      <c r="B3193">
        <v>41</v>
      </c>
      <c r="C3193" t="s">
        <v>11</v>
      </c>
      <c r="D3193" t="s">
        <v>12</v>
      </c>
      <c r="E3193" t="s">
        <v>13</v>
      </c>
      <c r="F3193">
        <v>45.01</v>
      </c>
      <c r="G3193" t="s">
        <v>19</v>
      </c>
      <c r="H3193" t="s">
        <v>37</v>
      </c>
      <c r="I3193">
        <v>4.7</v>
      </c>
      <c r="J3193">
        <v>22</v>
      </c>
      <c r="K3193">
        <v>6</v>
      </c>
    </row>
    <row r="3194" spans="1:11" x14ac:dyDescent="0.35">
      <c r="A3194">
        <v>3193</v>
      </c>
      <c r="B3194">
        <v>57</v>
      </c>
      <c r="C3194" t="s">
        <v>16</v>
      </c>
      <c r="D3194" t="s">
        <v>20</v>
      </c>
      <c r="E3194" t="s">
        <v>39</v>
      </c>
      <c r="F3194">
        <v>175.22</v>
      </c>
      <c r="G3194" t="s">
        <v>14</v>
      </c>
      <c r="H3194" t="s">
        <v>15</v>
      </c>
      <c r="I3194">
        <v>3.6</v>
      </c>
      <c r="J3194">
        <v>22</v>
      </c>
      <c r="K3194">
        <v>6</v>
      </c>
    </row>
    <row r="3195" spans="1:11" x14ac:dyDescent="0.35">
      <c r="A3195">
        <v>3194</v>
      </c>
      <c r="B3195">
        <v>22</v>
      </c>
      <c r="C3195" t="s">
        <v>16</v>
      </c>
      <c r="D3195" t="s">
        <v>33</v>
      </c>
      <c r="E3195" t="s">
        <v>38</v>
      </c>
      <c r="F3195">
        <v>243.43</v>
      </c>
      <c r="G3195" t="s">
        <v>24</v>
      </c>
      <c r="H3195" t="s">
        <v>15</v>
      </c>
      <c r="I3195">
        <v>4</v>
      </c>
      <c r="J3195">
        <v>12</v>
      </c>
      <c r="K3195">
        <v>6</v>
      </c>
    </row>
    <row r="3196" spans="1:11" x14ac:dyDescent="0.35">
      <c r="A3196">
        <v>3195</v>
      </c>
      <c r="B3196">
        <v>62</v>
      </c>
      <c r="C3196" t="s">
        <v>11</v>
      </c>
      <c r="D3196" t="s">
        <v>41</v>
      </c>
      <c r="E3196" t="s">
        <v>46</v>
      </c>
      <c r="F3196">
        <v>117.16</v>
      </c>
      <c r="G3196" t="s">
        <v>31</v>
      </c>
      <c r="H3196" t="s">
        <v>15</v>
      </c>
      <c r="I3196">
        <v>3.9</v>
      </c>
      <c r="J3196">
        <v>23</v>
      </c>
      <c r="K3196">
        <v>9</v>
      </c>
    </row>
    <row r="3197" spans="1:11" x14ac:dyDescent="0.35">
      <c r="A3197">
        <v>3196</v>
      </c>
      <c r="B3197">
        <v>56</v>
      </c>
      <c r="C3197" t="s">
        <v>11</v>
      </c>
      <c r="D3197" t="s">
        <v>29</v>
      </c>
      <c r="E3197" t="s">
        <v>55</v>
      </c>
      <c r="F3197">
        <v>58.22</v>
      </c>
      <c r="G3197" t="s">
        <v>24</v>
      </c>
      <c r="H3197" t="s">
        <v>37</v>
      </c>
      <c r="I3197">
        <v>2.8</v>
      </c>
      <c r="J3197">
        <v>20</v>
      </c>
      <c r="K3197">
        <v>5</v>
      </c>
    </row>
    <row r="3198" spans="1:11" x14ac:dyDescent="0.35">
      <c r="A3198">
        <v>3197</v>
      </c>
      <c r="B3198">
        <v>21</v>
      </c>
      <c r="C3198" t="s">
        <v>16</v>
      </c>
      <c r="D3198" t="s">
        <v>33</v>
      </c>
      <c r="E3198" t="s">
        <v>40</v>
      </c>
      <c r="F3198">
        <v>155.55000000000001</v>
      </c>
      <c r="G3198" t="s">
        <v>14</v>
      </c>
      <c r="H3198" t="s">
        <v>15</v>
      </c>
      <c r="I3198">
        <v>5</v>
      </c>
      <c r="J3198">
        <v>30</v>
      </c>
      <c r="K3198">
        <v>10</v>
      </c>
    </row>
    <row r="3199" spans="1:11" x14ac:dyDescent="0.35">
      <c r="A3199">
        <v>3198</v>
      </c>
      <c r="B3199">
        <v>44</v>
      </c>
      <c r="C3199" t="s">
        <v>16</v>
      </c>
      <c r="D3199" t="s">
        <v>17</v>
      </c>
      <c r="E3199" t="s">
        <v>35</v>
      </c>
      <c r="F3199">
        <v>121.79</v>
      </c>
      <c r="G3199" t="s">
        <v>24</v>
      </c>
      <c r="H3199" t="s">
        <v>15</v>
      </c>
      <c r="I3199">
        <v>4.8</v>
      </c>
      <c r="J3199">
        <v>16</v>
      </c>
      <c r="K3199">
        <v>3</v>
      </c>
    </row>
    <row r="3200" spans="1:11" x14ac:dyDescent="0.35">
      <c r="A3200">
        <v>3199</v>
      </c>
      <c r="B3200">
        <v>24</v>
      </c>
      <c r="C3200" t="s">
        <v>16</v>
      </c>
      <c r="D3200" t="s">
        <v>17</v>
      </c>
      <c r="E3200" t="s">
        <v>48</v>
      </c>
      <c r="F3200">
        <v>77.77</v>
      </c>
      <c r="G3200" t="s">
        <v>31</v>
      </c>
      <c r="H3200" t="s">
        <v>37</v>
      </c>
      <c r="I3200">
        <v>3</v>
      </c>
      <c r="J3200">
        <v>25</v>
      </c>
      <c r="K3200">
        <v>10</v>
      </c>
    </row>
    <row r="3201" spans="1:11" x14ac:dyDescent="0.35">
      <c r="A3201">
        <v>3200</v>
      </c>
      <c r="B3201">
        <v>34</v>
      </c>
      <c r="C3201" t="s">
        <v>16</v>
      </c>
      <c r="D3201" t="s">
        <v>20</v>
      </c>
      <c r="E3201" t="s">
        <v>36</v>
      </c>
      <c r="F3201">
        <v>91.22</v>
      </c>
      <c r="G3201" t="s">
        <v>19</v>
      </c>
      <c r="H3201" t="s">
        <v>37</v>
      </c>
      <c r="I3201">
        <v>3.2</v>
      </c>
      <c r="J3201">
        <v>14</v>
      </c>
      <c r="K3201">
        <v>2</v>
      </c>
    </row>
    <row r="3202" spans="1:11" x14ac:dyDescent="0.35">
      <c r="A3202">
        <v>3201</v>
      </c>
      <c r="B3202">
        <v>68</v>
      </c>
      <c r="C3202" t="s">
        <v>11</v>
      </c>
      <c r="D3202" t="s">
        <v>33</v>
      </c>
      <c r="E3202" t="s">
        <v>38</v>
      </c>
      <c r="F3202">
        <v>49.34</v>
      </c>
      <c r="G3202" t="s">
        <v>31</v>
      </c>
      <c r="H3202" t="s">
        <v>37</v>
      </c>
      <c r="I3202">
        <v>3.8</v>
      </c>
      <c r="J3202">
        <v>22</v>
      </c>
      <c r="K3202">
        <v>6</v>
      </c>
    </row>
    <row r="3203" spans="1:11" x14ac:dyDescent="0.35">
      <c r="A3203">
        <v>3202</v>
      </c>
      <c r="B3203">
        <v>59</v>
      </c>
      <c r="C3203" t="s">
        <v>16</v>
      </c>
      <c r="D3203" t="s">
        <v>27</v>
      </c>
      <c r="E3203" t="s">
        <v>32</v>
      </c>
      <c r="F3203">
        <v>1412.35</v>
      </c>
      <c r="G3203" t="s">
        <v>19</v>
      </c>
      <c r="H3203" t="s">
        <v>15</v>
      </c>
      <c r="I3203">
        <v>2.8</v>
      </c>
      <c r="J3203">
        <v>11</v>
      </c>
      <c r="K3203">
        <v>3</v>
      </c>
    </row>
    <row r="3204" spans="1:11" x14ac:dyDescent="0.35">
      <c r="A3204">
        <v>3203</v>
      </c>
      <c r="B3204">
        <v>70</v>
      </c>
      <c r="C3204" t="s">
        <v>11</v>
      </c>
      <c r="D3204" t="s">
        <v>20</v>
      </c>
      <c r="E3204" t="s">
        <v>39</v>
      </c>
      <c r="F3204">
        <v>191.53</v>
      </c>
      <c r="G3204" t="s">
        <v>14</v>
      </c>
      <c r="H3204" t="s">
        <v>15</v>
      </c>
      <c r="I3204">
        <v>3</v>
      </c>
      <c r="J3204">
        <v>9</v>
      </c>
      <c r="K3204">
        <v>2</v>
      </c>
    </row>
    <row r="3205" spans="1:11" x14ac:dyDescent="0.35">
      <c r="A3205">
        <v>3204</v>
      </c>
      <c r="B3205">
        <v>70</v>
      </c>
      <c r="C3205" t="s">
        <v>11</v>
      </c>
      <c r="D3205" t="s">
        <v>29</v>
      </c>
      <c r="E3205" t="s">
        <v>30</v>
      </c>
      <c r="F3205">
        <v>132.43</v>
      </c>
      <c r="G3205" t="s">
        <v>31</v>
      </c>
      <c r="H3205" t="s">
        <v>15</v>
      </c>
      <c r="I3205">
        <v>4.3</v>
      </c>
      <c r="J3205">
        <v>16</v>
      </c>
      <c r="K3205">
        <v>3</v>
      </c>
    </row>
    <row r="3206" spans="1:11" x14ac:dyDescent="0.35">
      <c r="A3206">
        <v>3205</v>
      </c>
      <c r="B3206">
        <v>48</v>
      </c>
      <c r="C3206" t="s">
        <v>11</v>
      </c>
      <c r="D3206" t="s">
        <v>29</v>
      </c>
      <c r="E3206" t="s">
        <v>55</v>
      </c>
      <c r="F3206">
        <v>69.75</v>
      </c>
      <c r="G3206" t="s">
        <v>24</v>
      </c>
      <c r="H3206" t="s">
        <v>15</v>
      </c>
      <c r="I3206">
        <v>3.7</v>
      </c>
      <c r="J3206">
        <v>2</v>
      </c>
      <c r="K3206">
        <v>1</v>
      </c>
    </row>
    <row r="3207" spans="1:11" x14ac:dyDescent="0.35">
      <c r="A3207">
        <v>3206</v>
      </c>
      <c r="B3207">
        <v>35</v>
      </c>
      <c r="C3207" t="s">
        <v>16</v>
      </c>
      <c r="D3207" t="s">
        <v>33</v>
      </c>
      <c r="E3207" t="s">
        <v>34</v>
      </c>
      <c r="F3207">
        <v>85.09</v>
      </c>
      <c r="G3207" t="s">
        <v>19</v>
      </c>
      <c r="H3207" t="s">
        <v>15</v>
      </c>
      <c r="I3207">
        <v>2.8</v>
      </c>
      <c r="J3207">
        <v>20</v>
      </c>
      <c r="K3207">
        <v>5</v>
      </c>
    </row>
    <row r="3208" spans="1:11" x14ac:dyDescent="0.35">
      <c r="A3208">
        <v>3207</v>
      </c>
      <c r="B3208">
        <v>61</v>
      </c>
      <c r="C3208" t="s">
        <v>16</v>
      </c>
      <c r="D3208" t="s">
        <v>17</v>
      </c>
      <c r="E3208" t="s">
        <v>18</v>
      </c>
      <c r="F3208">
        <v>46.79</v>
      </c>
      <c r="G3208" t="s">
        <v>24</v>
      </c>
      <c r="H3208" t="s">
        <v>37</v>
      </c>
      <c r="I3208">
        <v>3.8</v>
      </c>
      <c r="J3208">
        <v>13</v>
      </c>
      <c r="K3208">
        <v>4</v>
      </c>
    </row>
    <row r="3209" spans="1:11" x14ac:dyDescent="0.35">
      <c r="A3209">
        <v>3208</v>
      </c>
      <c r="B3209">
        <v>55</v>
      </c>
      <c r="C3209" t="s">
        <v>16</v>
      </c>
      <c r="D3209" t="s">
        <v>20</v>
      </c>
      <c r="E3209" t="s">
        <v>21</v>
      </c>
      <c r="F3209">
        <v>164.44</v>
      </c>
      <c r="G3209" t="s">
        <v>14</v>
      </c>
      <c r="H3209" t="s">
        <v>15</v>
      </c>
      <c r="I3209">
        <v>3.7</v>
      </c>
      <c r="J3209">
        <v>12</v>
      </c>
      <c r="K3209">
        <v>6</v>
      </c>
    </row>
    <row r="3210" spans="1:11" x14ac:dyDescent="0.35">
      <c r="A3210">
        <v>3209</v>
      </c>
      <c r="B3210">
        <v>50</v>
      </c>
      <c r="C3210" t="s">
        <v>16</v>
      </c>
      <c r="D3210" t="s">
        <v>17</v>
      </c>
      <c r="E3210" t="s">
        <v>48</v>
      </c>
      <c r="F3210">
        <v>73.98</v>
      </c>
      <c r="G3210" t="s">
        <v>19</v>
      </c>
      <c r="H3210" t="s">
        <v>15</v>
      </c>
      <c r="I3210">
        <v>5</v>
      </c>
      <c r="J3210">
        <v>23</v>
      </c>
      <c r="K3210">
        <v>9</v>
      </c>
    </row>
    <row r="3211" spans="1:11" x14ac:dyDescent="0.35">
      <c r="A3211">
        <v>3210</v>
      </c>
      <c r="B3211">
        <v>23</v>
      </c>
      <c r="C3211" t="s">
        <v>11</v>
      </c>
      <c r="D3211" t="s">
        <v>29</v>
      </c>
      <c r="E3211" t="s">
        <v>51</v>
      </c>
      <c r="F3211">
        <v>145.91</v>
      </c>
      <c r="G3211" t="s">
        <v>31</v>
      </c>
      <c r="H3211" t="s">
        <v>15</v>
      </c>
      <c r="I3211">
        <v>3.3</v>
      </c>
      <c r="J3211">
        <v>18</v>
      </c>
      <c r="K3211">
        <v>4</v>
      </c>
    </row>
    <row r="3212" spans="1:11" x14ac:dyDescent="0.35">
      <c r="A3212">
        <v>3211</v>
      </c>
      <c r="B3212">
        <v>26</v>
      </c>
      <c r="C3212" t="s">
        <v>16</v>
      </c>
      <c r="D3212" t="s">
        <v>33</v>
      </c>
      <c r="E3212" t="s">
        <v>38</v>
      </c>
      <c r="F3212">
        <v>189.03</v>
      </c>
      <c r="G3212" t="s">
        <v>31</v>
      </c>
      <c r="H3212" t="s">
        <v>15</v>
      </c>
      <c r="I3212">
        <v>4.2</v>
      </c>
      <c r="J3212">
        <v>10</v>
      </c>
      <c r="K3212">
        <v>5</v>
      </c>
    </row>
    <row r="3213" spans="1:11" x14ac:dyDescent="0.35">
      <c r="A3213">
        <v>3212</v>
      </c>
      <c r="B3213">
        <v>41</v>
      </c>
      <c r="C3213" t="s">
        <v>11</v>
      </c>
      <c r="D3213" t="s">
        <v>29</v>
      </c>
      <c r="E3213" t="s">
        <v>51</v>
      </c>
      <c r="F3213">
        <v>105.87</v>
      </c>
      <c r="G3213" t="s">
        <v>31</v>
      </c>
      <c r="H3213" t="s">
        <v>15</v>
      </c>
      <c r="I3213">
        <v>4.9000000000000004</v>
      </c>
      <c r="J3213">
        <v>13</v>
      </c>
      <c r="K3213">
        <v>4</v>
      </c>
    </row>
    <row r="3214" spans="1:11" x14ac:dyDescent="0.35">
      <c r="A3214">
        <v>3213</v>
      </c>
      <c r="B3214">
        <v>45</v>
      </c>
      <c r="C3214" t="s">
        <v>16</v>
      </c>
      <c r="D3214" t="s">
        <v>22</v>
      </c>
      <c r="E3214" t="s">
        <v>23</v>
      </c>
      <c r="F3214">
        <v>170.97</v>
      </c>
      <c r="G3214" t="s">
        <v>24</v>
      </c>
      <c r="H3214" t="s">
        <v>15</v>
      </c>
      <c r="I3214">
        <v>4.4000000000000004</v>
      </c>
      <c r="J3214">
        <v>12</v>
      </c>
      <c r="K3214">
        <v>6</v>
      </c>
    </row>
    <row r="3215" spans="1:11" x14ac:dyDescent="0.35">
      <c r="A3215">
        <v>3214</v>
      </c>
      <c r="B3215">
        <v>27</v>
      </c>
      <c r="C3215" t="s">
        <v>11</v>
      </c>
      <c r="D3215" t="s">
        <v>33</v>
      </c>
      <c r="E3215" t="s">
        <v>40</v>
      </c>
      <c r="F3215">
        <v>77.2</v>
      </c>
      <c r="G3215" t="s">
        <v>24</v>
      </c>
      <c r="H3215" t="s">
        <v>37</v>
      </c>
      <c r="I3215">
        <v>4.2</v>
      </c>
      <c r="J3215">
        <v>15</v>
      </c>
      <c r="K3215">
        <v>5</v>
      </c>
    </row>
    <row r="3216" spans="1:11" x14ac:dyDescent="0.35">
      <c r="A3216">
        <v>3215</v>
      </c>
      <c r="B3216">
        <v>21</v>
      </c>
      <c r="C3216" t="s">
        <v>11</v>
      </c>
      <c r="D3216" t="s">
        <v>29</v>
      </c>
      <c r="E3216" t="s">
        <v>55</v>
      </c>
      <c r="F3216">
        <v>147</v>
      </c>
      <c r="G3216" t="s">
        <v>24</v>
      </c>
      <c r="H3216" t="s">
        <v>15</v>
      </c>
      <c r="I3216">
        <v>3.4</v>
      </c>
      <c r="J3216">
        <v>8</v>
      </c>
      <c r="K3216">
        <v>4</v>
      </c>
    </row>
    <row r="3217" spans="1:11" x14ac:dyDescent="0.35">
      <c r="A3217">
        <v>3216</v>
      </c>
      <c r="B3217">
        <v>46</v>
      </c>
      <c r="C3217" t="s">
        <v>11</v>
      </c>
      <c r="D3217" t="s">
        <v>41</v>
      </c>
      <c r="E3217" t="s">
        <v>44</v>
      </c>
      <c r="F3217">
        <v>30.57</v>
      </c>
      <c r="G3217" t="s">
        <v>24</v>
      </c>
      <c r="H3217" t="s">
        <v>15</v>
      </c>
      <c r="I3217">
        <v>4.2</v>
      </c>
      <c r="J3217">
        <v>6</v>
      </c>
      <c r="K3217">
        <v>3</v>
      </c>
    </row>
    <row r="3218" spans="1:11" x14ac:dyDescent="0.35">
      <c r="A3218">
        <v>3217</v>
      </c>
      <c r="B3218">
        <v>23</v>
      </c>
      <c r="C3218" t="s">
        <v>16</v>
      </c>
      <c r="D3218" t="s">
        <v>33</v>
      </c>
      <c r="E3218" t="s">
        <v>40</v>
      </c>
      <c r="F3218">
        <v>232.37</v>
      </c>
      <c r="G3218" t="s">
        <v>14</v>
      </c>
      <c r="H3218" t="s">
        <v>15</v>
      </c>
      <c r="I3218">
        <v>4.2</v>
      </c>
      <c r="J3218">
        <v>23</v>
      </c>
      <c r="K3218">
        <v>9</v>
      </c>
    </row>
    <row r="3219" spans="1:11" x14ac:dyDescent="0.35">
      <c r="A3219">
        <v>3218</v>
      </c>
      <c r="B3219">
        <v>59</v>
      </c>
      <c r="C3219" t="s">
        <v>16</v>
      </c>
      <c r="D3219" t="s">
        <v>20</v>
      </c>
      <c r="E3219" t="s">
        <v>36</v>
      </c>
      <c r="F3219">
        <v>234.52</v>
      </c>
      <c r="G3219" t="s">
        <v>24</v>
      </c>
      <c r="H3219" t="s">
        <v>15</v>
      </c>
      <c r="I3219">
        <v>4.0999999999999996</v>
      </c>
      <c r="J3219">
        <v>22</v>
      </c>
      <c r="K3219">
        <v>6</v>
      </c>
    </row>
    <row r="3220" spans="1:11" x14ac:dyDescent="0.35">
      <c r="A3220">
        <v>3219</v>
      </c>
      <c r="B3220">
        <v>52</v>
      </c>
      <c r="C3220" t="s">
        <v>11</v>
      </c>
      <c r="D3220" t="s">
        <v>29</v>
      </c>
      <c r="E3220" t="s">
        <v>30</v>
      </c>
      <c r="F3220">
        <v>130.99</v>
      </c>
      <c r="G3220" t="s">
        <v>24</v>
      </c>
      <c r="H3220" t="s">
        <v>15</v>
      </c>
      <c r="I3220">
        <v>5</v>
      </c>
      <c r="J3220">
        <v>24</v>
      </c>
      <c r="K3220">
        <v>7</v>
      </c>
    </row>
    <row r="3221" spans="1:11" x14ac:dyDescent="0.35">
      <c r="A3221">
        <v>3220</v>
      </c>
      <c r="B3221">
        <v>36</v>
      </c>
      <c r="C3221" t="s">
        <v>16</v>
      </c>
      <c r="D3221" t="s">
        <v>20</v>
      </c>
      <c r="E3221" t="s">
        <v>21</v>
      </c>
      <c r="F3221">
        <v>51.47</v>
      </c>
      <c r="G3221" t="s">
        <v>24</v>
      </c>
      <c r="H3221" t="s">
        <v>15</v>
      </c>
      <c r="I3221">
        <v>2.4</v>
      </c>
      <c r="J3221">
        <v>6</v>
      </c>
      <c r="K3221">
        <v>3</v>
      </c>
    </row>
    <row r="3222" spans="1:11" x14ac:dyDescent="0.35">
      <c r="A3222">
        <v>3221</v>
      </c>
      <c r="B3222">
        <v>40</v>
      </c>
      <c r="C3222" t="s">
        <v>11</v>
      </c>
      <c r="D3222" t="s">
        <v>12</v>
      </c>
      <c r="E3222" t="s">
        <v>50</v>
      </c>
      <c r="F3222">
        <v>160.63</v>
      </c>
      <c r="G3222" t="s">
        <v>31</v>
      </c>
      <c r="H3222" t="s">
        <v>15</v>
      </c>
      <c r="I3222">
        <v>2.8</v>
      </c>
      <c r="J3222">
        <v>14</v>
      </c>
      <c r="K3222">
        <v>7</v>
      </c>
    </row>
    <row r="3223" spans="1:11" x14ac:dyDescent="0.35">
      <c r="A3223">
        <v>3222</v>
      </c>
      <c r="B3223">
        <v>50</v>
      </c>
      <c r="C3223" t="s">
        <v>16</v>
      </c>
      <c r="D3223" t="s">
        <v>22</v>
      </c>
      <c r="E3223" t="s">
        <v>52</v>
      </c>
      <c r="F3223">
        <v>122.41</v>
      </c>
      <c r="G3223" t="s">
        <v>19</v>
      </c>
      <c r="H3223" t="s">
        <v>15</v>
      </c>
      <c r="I3223">
        <v>3.9</v>
      </c>
      <c r="J3223">
        <v>16</v>
      </c>
      <c r="K3223">
        <v>8</v>
      </c>
    </row>
    <row r="3224" spans="1:11" x14ac:dyDescent="0.35">
      <c r="A3224">
        <v>3223</v>
      </c>
      <c r="B3224">
        <v>39</v>
      </c>
      <c r="C3224" t="s">
        <v>16</v>
      </c>
      <c r="D3224" t="s">
        <v>22</v>
      </c>
      <c r="E3224" t="s">
        <v>43</v>
      </c>
      <c r="F3224">
        <v>113.22</v>
      </c>
      <c r="G3224" t="s">
        <v>19</v>
      </c>
      <c r="H3224" t="s">
        <v>15</v>
      </c>
      <c r="I3224">
        <v>3.1</v>
      </c>
      <c r="J3224">
        <v>30</v>
      </c>
      <c r="K3224">
        <v>10</v>
      </c>
    </row>
    <row r="3225" spans="1:11" x14ac:dyDescent="0.35">
      <c r="A3225">
        <v>3224</v>
      </c>
      <c r="B3225">
        <v>65</v>
      </c>
      <c r="C3225" t="s">
        <v>11</v>
      </c>
      <c r="D3225" t="s">
        <v>29</v>
      </c>
      <c r="E3225" t="s">
        <v>51</v>
      </c>
      <c r="F3225">
        <v>84.88</v>
      </c>
      <c r="G3225" t="s">
        <v>24</v>
      </c>
      <c r="H3225" t="s">
        <v>37</v>
      </c>
      <c r="I3225">
        <v>2.7</v>
      </c>
      <c r="J3225">
        <v>18</v>
      </c>
      <c r="K3225">
        <v>4</v>
      </c>
    </row>
    <row r="3226" spans="1:11" x14ac:dyDescent="0.35">
      <c r="A3226">
        <v>3225</v>
      </c>
      <c r="B3226">
        <v>52</v>
      </c>
      <c r="C3226" t="s">
        <v>11</v>
      </c>
      <c r="D3226" t="s">
        <v>29</v>
      </c>
      <c r="E3226" t="s">
        <v>55</v>
      </c>
      <c r="F3226">
        <v>22.73</v>
      </c>
      <c r="G3226" t="s">
        <v>19</v>
      </c>
      <c r="H3226" t="s">
        <v>15</v>
      </c>
      <c r="I3226">
        <v>3.4</v>
      </c>
      <c r="J3226">
        <v>6</v>
      </c>
      <c r="K3226">
        <v>3</v>
      </c>
    </row>
    <row r="3227" spans="1:11" x14ac:dyDescent="0.35">
      <c r="A3227">
        <v>3226</v>
      </c>
      <c r="B3227">
        <v>54</v>
      </c>
      <c r="C3227" t="s">
        <v>11</v>
      </c>
      <c r="D3227" t="s">
        <v>33</v>
      </c>
      <c r="E3227" t="s">
        <v>40</v>
      </c>
      <c r="F3227">
        <v>226.11</v>
      </c>
      <c r="G3227" t="s">
        <v>31</v>
      </c>
      <c r="H3227" t="s">
        <v>15</v>
      </c>
      <c r="I3227">
        <v>4.5</v>
      </c>
      <c r="J3227">
        <v>17</v>
      </c>
      <c r="K3227">
        <v>6</v>
      </c>
    </row>
    <row r="3228" spans="1:11" x14ac:dyDescent="0.35">
      <c r="A3228">
        <v>3227</v>
      </c>
      <c r="B3228">
        <v>64</v>
      </c>
      <c r="C3228" t="s">
        <v>11</v>
      </c>
      <c r="D3228" t="s">
        <v>20</v>
      </c>
      <c r="E3228" t="s">
        <v>36</v>
      </c>
      <c r="F3228">
        <v>208.59</v>
      </c>
      <c r="G3228" t="s">
        <v>19</v>
      </c>
      <c r="H3228" t="s">
        <v>15</v>
      </c>
      <c r="I3228">
        <v>2.8</v>
      </c>
      <c r="J3228">
        <v>8</v>
      </c>
      <c r="K3228">
        <v>4</v>
      </c>
    </row>
    <row r="3229" spans="1:11" x14ac:dyDescent="0.35">
      <c r="A3229">
        <v>3228</v>
      </c>
      <c r="B3229">
        <v>53</v>
      </c>
      <c r="C3229" t="s">
        <v>16</v>
      </c>
      <c r="D3229" t="s">
        <v>20</v>
      </c>
      <c r="E3229" t="s">
        <v>21</v>
      </c>
      <c r="F3229">
        <v>120.33</v>
      </c>
      <c r="G3229" t="s">
        <v>19</v>
      </c>
      <c r="H3229" t="s">
        <v>15</v>
      </c>
      <c r="I3229">
        <v>3.7</v>
      </c>
      <c r="J3229">
        <v>6</v>
      </c>
      <c r="K3229">
        <v>3</v>
      </c>
    </row>
    <row r="3230" spans="1:11" x14ac:dyDescent="0.35">
      <c r="A3230">
        <v>3229</v>
      </c>
      <c r="B3230">
        <v>29</v>
      </c>
      <c r="C3230" t="s">
        <v>16</v>
      </c>
      <c r="D3230" t="s">
        <v>25</v>
      </c>
      <c r="E3230" t="s">
        <v>47</v>
      </c>
      <c r="F3230">
        <v>41.86</v>
      </c>
      <c r="G3230" t="s">
        <v>19</v>
      </c>
      <c r="H3230" t="s">
        <v>37</v>
      </c>
      <c r="I3230">
        <v>4</v>
      </c>
      <c r="J3230">
        <v>18</v>
      </c>
      <c r="K3230">
        <v>4</v>
      </c>
    </row>
    <row r="3231" spans="1:11" x14ac:dyDescent="0.35">
      <c r="A3231">
        <v>3230</v>
      </c>
      <c r="B3231">
        <v>50</v>
      </c>
      <c r="C3231" t="s">
        <v>16</v>
      </c>
      <c r="D3231" t="s">
        <v>20</v>
      </c>
      <c r="E3231" t="s">
        <v>39</v>
      </c>
      <c r="F3231">
        <v>31.06</v>
      </c>
      <c r="G3231" t="s">
        <v>24</v>
      </c>
      <c r="H3231" t="s">
        <v>15</v>
      </c>
      <c r="I3231">
        <v>3</v>
      </c>
      <c r="J3231">
        <v>12</v>
      </c>
      <c r="K3231">
        <v>6</v>
      </c>
    </row>
    <row r="3232" spans="1:11" x14ac:dyDescent="0.35">
      <c r="A3232">
        <v>3231</v>
      </c>
      <c r="B3232">
        <v>51</v>
      </c>
      <c r="C3232" t="s">
        <v>16</v>
      </c>
      <c r="D3232" t="s">
        <v>33</v>
      </c>
      <c r="E3232" t="s">
        <v>38</v>
      </c>
      <c r="F3232">
        <v>46.87</v>
      </c>
      <c r="G3232" t="s">
        <v>31</v>
      </c>
      <c r="H3232" t="s">
        <v>37</v>
      </c>
      <c r="I3232">
        <v>3.5</v>
      </c>
      <c r="J3232">
        <v>15</v>
      </c>
      <c r="K3232">
        <v>5</v>
      </c>
    </row>
    <row r="3233" spans="1:11" x14ac:dyDescent="0.35">
      <c r="A3233">
        <v>3232</v>
      </c>
      <c r="B3233">
        <v>70</v>
      </c>
      <c r="C3233" t="s">
        <v>11</v>
      </c>
      <c r="D3233" t="s">
        <v>12</v>
      </c>
      <c r="E3233" t="s">
        <v>56</v>
      </c>
      <c r="F3233">
        <v>124.66</v>
      </c>
      <c r="G3233" t="s">
        <v>19</v>
      </c>
      <c r="H3233" t="s">
        <v>15</v>
      </c>
      <c r="I3233">
        <v>4.5999999999999996</v>
      </c>
      <c r="J3233">
        <v>19</v>
      </c>
      <c r="K3233">
        <v>7</v>
      </c>
    </row>
    <row r="3234" spans="1:11" x14ac:dyDescent="0.35">
      <c r="A3234">
        <v>3233</v>
      </c>
      <c r="B3234">
        <v>32</v>
      </c>
      <c r="C3234" t="s">
        <v>11</v>
      </c>
      <c r="D3234" t="s">
        <v>22</v>
      </c>
      <c r="E3234" t="s">
        <v>43</v>
      </c>
      <c r="F3234">
        <v>101.07</v>
      </c>
      <c r="G3234" t="s">
        <v>24</v>
      </c>
      <c r="H3234" t="s">
        <v>15</v>
      </c>
      <c r="I3234">
        <v>3.6</v>
      </c>
      <c r="J3234">
        <v>6</v>
      </c>
      <c r="K3234">
        <v>3</v>
      </c>
    </row>
    <row r="3235" spans="1:11" x14ac:dyDescent="0.35">
      <c r="A3235">
        <v>3234</v>
      </c>
      <c r="B3235">
        <v>69</v>
      </c>
      <c r="C3235" t="s">
        <v>16</v>
      </c>
      <c r="D3235" t="s">
        <v>20</v>
      </c>
      <c r="E3235" t="s">
        <v>21</v>
      </c>
      <c r="F3235">
        <v>169.69</v>
      </c>
      <c r="G3235" t="s">
        <v>14</v>
      </c>
      <c r="H3235" t="s">
        <v>15</v>
      </c>
      <c r="I3235">
        <v>3.8</v>
      </c>
      <c r="J3235">
        <v>4</v>
      </c>
      <c r="K3235">
        <v>2</v>
      </c>
    </row>
    <row r="3236" spans="1:11" x14ac:dyDescent="0.35">
      <c r="A3236">
        <v>3235</v>
      </c>
      <c r="B3236">
        <v>38</v>
      </c>
      <c r="C3236" t="s">
        <v>11</v>
      </c>
      <c r="D3236" t="s">
        <v>12</v>
      </c>
      <c r="E3236" t="s">
        <v>13</v>
      </c>
      <c r="F3236">
        <v>123.74</v>
      </c>
      <c r="G3236" t="s">
        <v>14</v>
      </c>
      <c r="H3236" t="s">
        <v>15</v>
      </c>
      <c r="I3236">
        <v>3.8</v>
      </c>
      <c r="J3236">
        <v>14</v>
      </c>
      <c r="K3236">
        <v>7</v>
      </c>
    </row>
    <row r="3237" spans="1:11" x14ac:dyDescent="0.35">
      <c r="A3237">
        <v>3236</v>
      </c>
      <c r="B3237">
        <v>45</v>
      </c>
      <c r="C3237" t="s">
        <v>16</v>
      </c>
      <c r="D3237" t="s">
        <v>33</v>
      </c>
      <c r="E3237" t="s">
        <v>40</v>
      </c>
      <c r="F3237">
        <v>118.39</v>
      </c>
      <c r="G3237" t="s">
        <v>24</v>
      </c>
      <c r="H3237" t="s">
        <v>15</v>
      </c>
      <c r="I3237">
        <v>5</v>
      </c>
      <c r="J3237">
        <v>18</v>
      </c>
      <c r="K3237">
        <v>4</v>
      </c>
    </row>
    <row r="3238" spans="1:11" x14ac:dyDescent="0.35">
      <c r="A3238">
        <v>3237</v>
      </c>
      <c r="B3238">
        <v>47</v>
      </c>
      <c r="C3238" t="s">
        <v>11</v>
      </c>
      <c r="D3238" t="s">
        <v>12</v>
      </c>
      <c r="E3238" t="s">
        <v>13</v>
      </c>
      <c r="F3238">
        <v>167.42</v>
      </c>
      <c r="G3238" t="s">
        <v>14</v>
      </c>
      <c r="H3238" t="s">
        <v>15</v>
      </c>
      <c r="I3238">
        <v>4.0999999999999996</v>
      </c>
      <c r="J3238">
        <v>13</v>
      </c>
      <c r="K3238">
        <v>4</v>
      </c>
    </row>
    <row r="3239" spans="1:11" x14ac:dyDescent="0.35">
      <c r="A3239">
        <v>3238</v>
      </c>
      <c r="B3239">
        <v>65</v>
      </c>
      <c r="C3239" t="s">
        <v>16</v>
      </c>
      <c r="D3239" t="s">
        <v>22</v>
      </c>
      <c r="E3239" t="s">
        <v>23</v>
      </c>
      <c r="F3239">
        <v>113.63</v>
      </c>
      <c r="G3239" t="s">
        <v>14</v>
      </c>
      <c r="H3239" t="s">
        <v>15</v>
      </c>
      <c r="I3239">
        <v>3.2</v>
      </c>
      <c r="J3239">
        <v>8</v>
      </c>
      <c r="K3239">
        <v>4</v>
      </c>
    </row>
    <row r="3240" spans="1:11" x14ac:dyDescent="0.35">
      <c r="A3240">
        <v>3239</v>
      </c>
      <c r="B3240">
        <v>62</v>
      </c>
      <c r="C3240" t="s">
        <v>11</v>
      </c>
      <c r="D3240" t="s">
        <v>12</v>
      </c>
      <c r="E3240" t="s">
        <v>13</v>
      </c>
      <c r="F3240">
        <v>61.6</v>
      </c>
      <c r="G3240" t="s">
        <v>14</v>
      </c>
      <c r="H3240" t="s">
        <v>15</v>
      </c>
      <c r="I3240">
        <v>3.9</v>
      </c>
      <c r="J3240">
        <v>10</v>
      </c>
      <c r="K3240">
        <v>5</v>
      </c>
    </row>
    <row r="3241" spans="1:11" x14ac:dyDescent="0.35">
      <c r="A3241">
        <v>3240</v>
      </c>
      <c r="B3241">
        <v>41</v>
      </c>
      <c r="C3241" t="s">
        <v>11</v>
      </c>
      <c r="D3241" t="s">
        <v>29</v>
      </c>
      <c r="E3241" t="s">
        <v>51</v>
      </c>
      <c r="F3241">
        <v>29.6</v>
      </c>
      <c r="G3241" t="s">
        <v>14</v>
      </c>
      <c r="H3241" t="s">
        <v>15</v>
      </c>
      <c r="I3241">
        <v>3.5</v>
      </c>
      <c r="J3241">
        <v>8</v>
      </c>
      <c r="K3241">
        <v>4</v>
      </c>
    </row>
    <row r="3242" spans="1:11" x14ac:dyDescent="0.35">
      <c r="A3242">
        <v>3241</v>
      </c>
      <c r="B3242">
        <v>60</v>
      </c>
      <c r="C3242" t="s">
        <v>11</v>
      </c>
      <c r="D3242" t="s">
        <v>29</v>
      </c>
      <c r="E3242" t="s">
        <v>51</v>
      </c>
      <c r="F3242">
        <v>29.4</v>
      </c>
      <c r="G3242" t="s">
        <v>14</v>
      </c>
      <c r="H3242" t="s">
        <v>37</v>
      </c>
      <c r="I3242">
        <v>4.2</v>
      </c>
      <c r="J3242">
        <v>11</v>
      </c>
      <c r="K3242">
        <v>3</v>
      </c>
    </row>
    <row r="3243" spans="1:11" x14ac:dyDescent="0.35">
      <c r="A3243">
        <v>3242</v>
      </c>
      <c r="B3243">
        <v>36</v>
      </c>
      <c r="C3243" t="s">
        <v>11</v>
      </c>
      <c r="D3243" t="s">
        <v>20</v>
      </c>
      <c r="E3243" t="s">
        <v>36</v>
      </c>
      <c r="F3243">
        <v>172.71</v>
      </c>
      <c r="G3243" t="s">
        <v>31</v>
      </c>
      <c r="H3243" t="s">
        <v>15</v>
      </c>
      <c r="I3243">
        <v>4.4000000000000004</v>
      </c>
      <c r="J3243">
        <v>12</v>
      </c>
      <c r="K3243">
        <v>6</v>
      </c>
    </row>
    <row r="3244" spans="1:11" x14ac:dyDescent="0.35">
      <c r="A3244">
        <v>3243</v>
      </c>
      <c r="B3244">
        <v>47</v>
      </c>
      <c r="C3244" t="s">
        <v>16</v>
      </c>
      <c r="D3244" t="s">
        <v>33</v>
      </c>
      <c r="E3244" t="s">
        <v>38</v>
      </c>
      <c r="F3244">
        <v>142.61000000000001</v>
      </c>
      <c r="G3244" t="s">
        <v>24</v>
      </c>
      <c r="H3244" t="s">
        <v>15</v>
      </c>
      <c r="I3244">
        <v>3.8</v>
      </c>
      <c r="J3244">
        <v>20</v>
      </c>
      <c r="K3244">
        <v>5</v>
      </c>
    </row>
    <row r="3245" spans="1:11" x14ac:dyDescent="0.35">
      <c r="A3245">
        <v>3244</v>
      </c>
      <c r="B3245">
        <v>66</v>
      </c>
      <c r="C3245" t="s">
        <v>11</v>
      </c>
      <c r="D3245" t="s">
        <v>33</v>
      </c>
      <c r="E3245" t="s">
        <v>38</v>
      </c>
      <c r="F3245">
        <v>214.77</v>
      </c>
      <c r="G3245" t="s">
        <v>19</v>
      </c>
      <c r="H3245" t="s">
        <v>15</v>
      </c>
      <c r="I3245">
        <v>2.9</v>
      </c>
      <c r="J3245">
        <v>11</v>
      </c>
      <c r="K3245">
        <v>3</v>
      </c>
    </row>
    <row r="3246" spans="1:11" x14ac:dyDescent="0.35">
      <c r="A3246">
        <v>3245</v>
      </c>
      <c r="B3246">
        <v>50</v>
      </c>
      <c r="C3246" t="s">
        <v>16</v>
      </c>
      <c r="D3246" t="s">
        <v>17</v>
      </c>
      <c r="E3246" t="s">
        <v>35</v>
      </c>
      <c r="F3246">
        <v>178.6</v>
      </c>
      <c r="G3246" t="s">
        <v>19</v>
      </c>
      <c r="H3246" t="s">
        <v>15</v>
      </c>
      <c r="I3246">
        <v>3.6</v>
      </c>
      <c r="J3246">
        <v>11</v>
      </c>
      <c r="K3246">
        <v>3</v>
      </c>
    </row>
    <row r="3247" spans="1:11" x14ac:dyDescent="0.35">
      <c r="A3247">
        <v>3246</v>
      </c>
      <c r="B3247">
        <v>55</v>
      </c>
      <c r="C3247" t="s">
        <v>11</v>
      </c>
      <c r="D3247" t="s">
        <v>22</v>
      </c>
      <c r="E3247" t="s">
        <v>52</v>
      </c>
      <c r="F3247">
        <v>41.18</v>
      </c>
      <c r="G3247" t="s">
        <v>19</v>
      </c>
      <c r="H3247" t="s">
        <v>15</v>
      </c>
      <c r="I3247">
        <v>4.8</v>
      </c>
      <c r="J3247">
        <v>18</v>
      </c>
      <c r="K3247">
        <v>9</v>
      </c>
    </row>
    <row r="3248" spans="1:11" x14ac:dyDescent="0.35">
      <c r="A3248">
        <v>3247</v>
      </c>
      <c r="B3248">
        <v>54</v>
      </c>
      <c r="C3248" t="s">
        <v>11</v>
      </c>
      <c r="D3248" t="s">
        <v>29</v>
      </c>
      <c r="E3248" t="s">
        <v>55</v>
      </c>
      <c r="F3248">
        <v>117.16</v>
      </c>
      <c r="G3248" t="s">
        <v>24</v>
      </c>
      <c r="H3248" t="s">
        <v>15</v>
      </c>
      <c r="I3248">
        <v>4.3</v>
      </c>
      <c r="J3248">
        <v>28</v>
      </c>
      <c r="K3248">
        <v>9</v>
      </c>
    </row>
    <row r="3249" spans="1:11" x14ac:dyDescent="0.35">
      <c r="A3249">
        <v>3248</v>
      </c>
      <c r="B3249">
        <v>21</v>
      </c>
      <c r="C3249" t="s">
        <v>16</v>
      </c>
      <c r="D3249" t="s">
        <v>20</v>
      </c>
      <c r="E3249" t="s">
        <v>39</v>
      </c>
      <c r="F3249">
        <v>65.959999999999994</v>
      </c>
      <c r="G3249" t="s">
        <v>31</v>
      </c>
      <c r="H3249" t="s">
        <v>15</v>
      </c>
      <c r="I3249">
        <v>5</v>
      </c>
      <c r="J3249">
        <v>22</v>
      </c>
      <c r="K3249">
        <v>6</v>
      </c>
    </row>
    <row r="3250" spans="1:11" x14ac:dyDescent="0.35">
      <c r="A3250">
        <v>3249</v>
      </c>
      <c r="B3250">
        <v>41</v>
      </c>
      <c r="C3250" t="s">
        <v>11</v>
      </c>
      <c r="D3250" t="s">
        <v>29</v>
      </c>
      <c r="E3250" t="s">
        <v>30</v>
      </c>
      <c r="F3250">
        <v>48.64</v>
      </c>
      <c r="G3250" t="s">
        <v>31</v>
      </c>
      <c r="H3250" t="s">
        <v>15</v>
      </c>
      <c r="I3250">
        <v>2.7</v>
      </c>
      <c r="J3250">
        <v>8</v>
      </c>
      <c r="K3250">
        <v>4</v>
      </c>
    </row>
    <row r="3251" spans="1:11" x14ac:dyDescent="0.35">
      <c r="A3251">
        <v>3250</v>
      </c>
      <c r="B3251">
        <v>58</v>
      </c>
      <c r="C3251" t="s">
        <v>16</v>
      </c>
      <c r="D3251" t="s">
        <v>20</v>
      </c>
      <c r="E3251" t="s">
        <v>39</v>
      </c>
      <c r="F3251">
        <v>246.31</v>
      </c>
      <c r="G3251" t="s">
        <v>24</v>
      </c>
      <c r="H3251" t="s">
        <v>15</v>
      </c>
      <c r="I3251">
        <v>3.9</v>
      </c>
      <c r="J3251">
        <v>20</v>
      </c>
      <c r="K3251">
        <v>5</v>
      </c>
    </row>
    <row r="3252" spans="1:11" x14ac:dyDescent="0.35">
      <c r="A3252">
        <v>3251</v>
      </c>
      <c r="B3252">
        <v>56</v>
      </c>
      <c r="C3252" t="s">
        <v>16</v>
      </c>
      <c r="D3252" t="s">
        <v>27</v>
      </c>
      <c r="E3252" t="s">
        <v>28</v>
      </c>
      <c r="F3252">
        <v>648.62</v>
      </c>
      <c r="G3252" t="s">
        <v>31</v>
      </c>
      <c r="H3252" t="s">
        <v>15</v>
      </c>
      <c r="I3252">
        <v>3.3</v>
      </c>
      <c r="J3252">
        <v>12</v>
      </c>
      <c r="K3252">
        <v>6</v>
      </c>
    </row>
    <row r="3253" spans="1:11" x14ac:dyDescent="0.35">
      <c r="A3253">
        <v>3252</v>
      </c>
      <c r="B3253">
        <v>51</v>
      </c>
      <c r="C3253" t="s">
        <v>11</v>
      </c>
      <c r="D3253" t="s">
        <v>25</v>
      </c>
      <c r="E3253" t="s">
        <v>26</v>
      </c>
      <c r="F3253">
        <v>67.67</v>
      </c>
      <c r="G3253" t="s">
        <v>14</v>
      </c>
      <c r="H3253" t="s">
        <v>37</v>
      </c>
      <c r="I3253">
        <v>3.9</v>
      </c>
      <c r="J3253">
        <v>18</v>
      </c>
      <c r="K3253">
        <v>4</v>
      </c>
    </row>
    <row r="3254" spans="1:11" x14ac:dyDescent="0.35">
      <c r="A3254">
        <v>3253</v>
      </c>
      <c r="B3254">
        <v>38</v>
      </c>
      <c r="C3254" t="s">
        <v>16</v>
      </c>
      <c r="D3254" t="s">
        <v>17</v>
      </c>
      <c r="E3254" t="s">
        <v>35</v>
      </c>
      <c r="F3254">
        <v>154.49</v>
      </c>
      <c r="G3254" t="s">
        <v>14</v>
      </c>
      <c r="H3254" t="s">
        <v>15</v>
      </c>
      <c r="I3254">
        <v>3.2</v>
      </c>
      <c r="J3254">
        <v>11</v>
      </c>
      <c r="K3254">
        <v>3</v>
      </c>
    </row>
    <row r="3255" spans="1:11" x14ac:dyDescent="0.35">
      <c r="A3255">
        <v>3254</v>
      </c>
      <c r="B3255">
        <v>29</v>
      </c>
      <c r="C3255" t="s">
        <v>16</v>
      </c>
      <c r="D3255" t="s">
        <v>20</v>
      </c>
      <c r="E3255" t="s">
        <v>36</v>
      </c>
      <c r="F3255">
        <v>51.12</v>
      </c>
      <c r="G3255" t="s">
        <v>19</v>
      </c>
      <c r="H3255" t="s">
        <v>15</v>
      </c>
      <c r="I3255">
        <v>4.9000000000000004</v>
      </c>
      <c r="J3255">
        <v>30</v>
      </c>
      <c r="K3255">
        <v>10</v>
      </c>
    </row>
    <row r="3256" spans="1:11" x14ac:dyDescent="0.35">
      <c r="A3256">
        <v>3255</v>
      </c>
      <c r="B3256">
        <v>70</v>
      </c>
      <c r="C3256" t="s">
        <v>11</v>
      </c>
      <c r="D3256" t="s">
        <v>12</v>
      </c>
      <c r="E3256" t="s">
        <v>56</v>
      </c>
      <c r="F3256">
        <v>115.94</v>
      </c>
      <c r="G3256" t="s">
        <v>19</v>
      </c>
      <c r="H3256" t="s">
        <v>15</v>
      </c>
      <c r="I3256">
        <v>4.4000000000000004</v>
      </c>
      <c r="J3256">
        <v>6</v>
      </c>
      <c r="K3256">
        <v>3</v>
      </c>
    </row>
    <row r="3257" spans="1:11" x14ac:dyDescent="0.35">
      <c r="A3257">
        <v>3256</v>
      </c>
      <c r="B3257">
        <v>49</v>
      </c>
      <c r="C3257" t="s">
        <v>11</v>
      </c>
      <c r="D3257" t="s">
        <v>29</v>
      </c>
      <c r="E3257" t="s">
        <v>30</v>
      </c>
      <c r="F3257">
        <v>132.49</v>
      </c>
      <c r="G3257" t="s">
        <v>24</v>
      </c>
      <c r="H3257" t="s">
        <v>15</v>
      </c>
      <c r="I3257">
        <v>2.2999999999999998</v>
      </c>
      <c r="J3257">
        <v>15</v>
      </c>
      <c r="K3257">
        <v>5</v>
      </c>
    </row>
    <row r="3258" spans="1:11" x14ac:dyDescent="0.35">
      <c r="A3258">
        <v>3257</v>
      </c>
      <c r="B3258">
        <v>69</v>
      </c>
      <c r="C3258" t="s">
        <v>16</v>
      </c>
      <c r="D3258" t="s">
        <v>33</v>
      </c>
      <c r="E3258" t="s">
        <v>38</v>
      </c>
      <c r="F3258">
        <v>194.63</v>
      </c>
      <c r="G3258" t="s">
        <v>24</v>
      </c>
      <c r="H3258" t="s">
        <v>15</v>
      </c>
      <c r="I3258">
        <v>4.7</v>
      </c>
      <c r="J3258">
        <v>9</v>
      </c>
      <c r="K3258">
        <v>2</v>
      </c>
    </row>
    <row r="3259" spans="1:11" x14ac:dyDescent="0.35">
      <c r="A3259">
        <v>3258</v>
      </c>
      <c r="B3259">
        <v>34</v>
      </c>
      <c r="C3259" t="s">
        <v>16</v>
      </c>
      <c r="D3259" t="s">
        <v>33</v>
      </c>
      <c r="E3259" t="s">
        <v>34</v>
      </c>
      <c r="F3259">
        <v>113.73</v>
      </c>
      <c r="G3259" t="s">
        <v>14</v>
      </c>
      <c r="H3259" t="s">
        <v>15</v>
      </c>
      <c r="I3259">
        <v>3.6</v>
      </c>
      <c r="J3259">
        <v>21</v>
      </c>
      <c r="K3259">
        <v>8</v>
      </c>
    </row>
    <row r="3260" spans="1:11" x14ac:dyDescent="0.35">
      <c r="A3260">
        <v>3259</v>
      </c>
      <c r="B3260">
        <v>58</v>
      </c>
      <c r="C3260" t="s">
        <v>11</v>
      </c>
      <c r="D3260" t="s">
        <v>20</v>
      </c>
      <c r="E3260" t="s">
        <v>36</v>
      </c>
      <c r="F3260">
        <v>84.1</v>
      </c>
      <c r="G3260" t="s">
        <v>19</v>
      </c>
      <c r="H3260" t="s">
        <v>15</v>
      </c>
      <c r="I3260">
        <v>3.8</v>
      </c>
      <c r="J3260">
        <v>16</v>
      </c>
      <c r="K3260">
        <v>3</v>
      </c>
    </row>
    <row r="3261" spans="1:11" x14ac:dyDescent="0.35">
      <c r="A3261">
        <v>3260</v>
      </c>
      <c r="B3261">
        <v>60</v>
      </c>
      <c r="C3261" t="s">
        <v>16</v>
      </c>
      <c r="D3261" t="s">
        <v>27</v>
      </c>
      <c r="E3261" t="s">
        <v>32</v>
      </c>
      <c r="F3261">
        <v>2936.08</v>
      </c>
      <c r="G3261" t="s">
        <v>31</v>
      </c>
      <c r="H3261" t="s">
        <v>15</v>
      </c>
      <c r="I3261">
        <v>5</v>
      </c>
      <c r="J3261">
        <v>20</v>
      </c>
      <c r="K3261">
        <v>5</v>
      </c>
    </row>
    <row r="3262" spans="1:11" x14ac:dyDescent="0.35">
      <c r="A3262">
        <v>3261</v>
      </c>
      <c r="B3262">
        <v>51</v>
      </c>
      <c r="C3262" t="s">
        <v>16</v>
      </c>
      <c r="D3262" t="s">
        <v>27</v>
      </c>
      <c r="E3262" t="s">
        <v>32</v>
      </c>
      <c r="F3262">
        <v>1369.63</v>
      </c>
      <c r="G3262" t="s">
        <v>31</v>
      </c>
      <c r="H3262" t="s">
        <v>15</v>
      </c>
      <c r="I3262">
        <v>3</v>
      </c>
      <c r="J3262">
        <v>10</v>
      </c>
      <c r="K3262">
        <v>5</v>
      </c>
    </row>
    <row r="3263" spans="1:11" x14ac:dyDescent="0.35">
      <c r="A3263">
        <v>3262</v>
      </c>
      <c r="B3263">
        <v>68</v>
      </c>
      <c r="C3263" t="s">
        <v>11</v>
      </c>
      <c r="D3263" t="s">
        <v>29</v>
      </c>
      <c r="E3263" t="s">
        <v>51</v>
      </c>
      <c r="F3263">
        <v>23.21</v>
      </c>
      <c r="G3263" t="s">
        <v>14</v>
      </c>
      <c r="H3263" t="s">
        <v>15</v>
      </c>
      <c r="I3263">
        <v>5</v>
      </c>
      <c r="J3263">
        <v>11</v>
      </c>
      <c r="K3263">
        <v>3</v>
      </c>
    </row>
    <row r="3264" spans="1:11" x14ac:dyDescent="0.35">
      <c r="A3264">
        <v>3263</v>
      </c>
      <c r="B3264">
        <v>40</v>
      </c>
      <c r="C3264" t="s">
        <v>16</v>
      </c>
      <c r="D3264" t="s">
        <v>20</v>
      </c>
      <c r="E3264" t="s">
        <v>36</v>
      </c>
      <c r="F3264">
        <v>231.3</v>
      </c>
      <c r="G3264" t="s">
        <v>24</v>
      </c>
      <c r="H3264" t="s">
        <v>15</v>
      </c>
      <c r="I3264">
        <v>4</v>
      </c>
      <c r="J3264">
        <v>8</v>
      </c>
      <c r="K3264">
        <v>4</v>
      </c>
    </row>
    <row r="3265" spans="1:11" x14ac:dyDescent="0.35">
      <c r="A3265">
        <v>3264</v>
      </c>
      <c r="B3265">
        <v>31</v>
      </c>
      <c r="C3265" t="s">
        <v>16</v>
      </c>
      <c r="D3265" t="s">
        <v>20</v>
      </c>
      <c r="E3265" t="s">
        <v>21</v>
      </c>
      <c r="F3265">
        <v>212.05</v>
      </c>
      <c r="G3265" t="s">
        <v>14</v>
      </c>
      <c r="H3265" t="s">
        <v>15</v>
      </c>
      <c r="I3265">
        <v>3.5</v>
      </c>
      <c r="J3265">
        <v>15</v>
      </c>
      <c r="K3265">
        <v>5</v>
      </c>
    </row>
    <row r="3266" spans="1:11" x14ac:dyDescent="0.35">
      <c r="A3266">
        <v>3265</v>
      </c>
      <c r="B3266">
        <v>20</v>
      </c>
      <c r="C3266" t="s">
        <v>11</v>
      </c>
      <c r="D3266" t="s">
        <v>41</v>
      </c>
      <c r="E3266" t="s">
        <v>45</v>
      </c>
      <c r="F3266">
        <v>78.09</v>
      </c>
      <c r="G3266" t="s">
        <v>24</v>
      </c>
      <c r="H3266" t="s">
        <v>37</v>
      </c>
      <c r="I3266">
        <v>4.0999999999999996</v>
      </c>
      <c r="J3266">
        <v>8</v>
      </c>
      <c r="K3266">
        <v>4</v>
      </c>
    </row>
    <row r="3267" spans="1:11" x14ac:dyDescent="0.35">
      <c r="A3267">
        <v>3266</v>
      </c>
      <c r="B3267">
        <v>35</v>
      </c>
      <c r="C3267" t="s">
        <v>16</v>
      </c>
      <c r="D3267" t="s">
        <v>20</v>
      </c>
      <c r="E3267" t="s">
        <v>36</v>
      </c>
      <c r="F3267">
        <v>189.56</v>
      </c>
      <c r="G3267" t="s">
        <v>14</v>
      </c>
      <c r="H3267" t="s">
        <v>15</v>
      </c>
      <c r="I3267">
        <v>4.5</v>
      </c>
      <c r="J3267">
        <v>11</v>
      </c>
      <c r="K3267">
        <v>3</v>
      </c>
    </row>
    <row r="3268" spans="1:11" x14ac:dyDescent="0.35">
      <c r="A3268">
        <v>3267</v>
      </c>
      <c r="B3268">
        <v>39</v>
      </c>
      <c r="C3268" t="s">
        <v>11</v>
      </c>
      <c r="D3268" t="s">
        <v>33</v>
      </c>
      <c r="E3268" t="s">
        <v>34</v>
      </c>
      <c r="F3268">
        <v>143.79</v>
      </c>
      <c r="G3268" t="s">
        <v>31</v>
      </c>
      <c r="H3268" t="s">
        <v>15</v>
      </c>
      <c r="I3268">
        <v>4.9000000000000004</v>
      </c>
      <c r="J3268">
        <v>16</v>
      </c>
      <c r="K3268">
        <v>3</v>
      </c>
    </row>
    <row r="3269" spans="1:11" x14ac:dyDescent="0.35">
      <c r="A3269">
        <v>3268</v>
      </c>
      <c r="B3269">
        <v>56</v>
      </c>
      <c r="C3269" t="s">
        <v>16</v>
      </c>
      <c r="D3269" t="s">
        <v>25</v>
      </c>
      <c r="E3269" t="s">
        <v>26</v>
      </c>
      <c r="F3269">
        <v>43.68</v>
      </c>
      <c r="G3269" t="s">
        <v>31</v>
      </c>
      <c r="H3269" t="s">
        <v>37</v>
      </c>
      <c r="I3269">
        <v>3.9</v>
      </c>
      <c r="J3269">
        <v>27</v>
      </c>
      <c r="K3269">
        <v>11</v>
      </c>
    </row>
    <row r="3270" spans="1:11" x14ac:dyDescent="0.35">
      <c r="A3270">
        <v>3269</v>
      </c>
      <c r="B3270">
        <v>58</v>
      </c>
      <c r="C3270" t="s">
        <v>11</v>
      </c>
      <c r="D3270" t="s">
        <v>29</v>
      </c>
      <c r="E3270" t="s">
        <v>55</v>
      </c>
      <c r="F3270">
        <v>68.569999999999993</v>
      </c>
      <c r="G3270" t="s">
        <v>14</v>
      </c>
      <c r="H3270" t="s">
        <v>15</v>
      </c>
      <c r="I3270">
        <v>4.3</v>
      </c>
      <c r="J3270">
        <v>18</v>
      </c>
      <c r="K3270">
        <v>4</v>
      </c>
    </row>
    <row r="3271" spans="1:11" x14ac:dyDescent="0.35">
      <c r="A3271">
        <v>3270</v>
      </c>
      <c r="B3271">
        <v>68</v>
      </c>
      <c r="C3271" t="s">
        <v>11</v>
      </c>
      <c r="D3271" t="s">
        <v>33</v>
      </c>
      <c r="E3271" t="s">
        <v>38</v>
      </c>
      <c r="F3271">
        <v>69.56</v>
      </c>
      <c r="G3271" t="s">
        <v>24</v>
      </c>
      <c r="H3271" t="s">
        <v>37</v>
      </c>
      <c r="I3271">
        <v>4.9000000000000004</v>
      </c>
      <c r="J3271">
        <v>21</v>
      </c>
      <c r="K3271">
        <v>8</v>
      </c>
    </row>
    <row r="3272" spans="1:11" x14ac:dyDescent="0.35">
      <c r="A3272">
        <v>3271</v>
      </c>
      <c r="B3272">
        <v>22</v>
      </c>
      <c r="C3272" t="s">
        <v>11</v>
      </c>
      <c r="D3272" t="s">
        <v>22</v>
      </c>
      <c r="E3272" t="s">
        <v>43</v>
      </c>
      <c r="F3272">
        <v>242.3</v>
      </c>
      <c r="G3272" t="s">
        <v>14</v>
      </c>
      <c r="H3272" t="s">
        <v>15</v>
      </c>
      <c r="I3272">
        <v>4.5</v>
      </c>
      <c r="J3272">
        <v>22</v>
      </c>
      <c r="K3272">
        <v>6</v>
      </c>
    </row>
    <row r="3273" spans="1:11" x14ac:dyDescent="0.35">
      <c r="A3273">
        <v>3272</v>
      </c>
      <c r="B3273">
        <v>20</v>
      </c>
      <c r="C3273" t="s">
        <v>11</v>
      </c>
      <c r="D3273" t="s">
        <v>29</v>
      </c>
      <c r="E3273" t="s">
        <v>30</v>
      </c>
      <c r="F3273">
        <v>140.19999999999999</v>
      </c>
      <c r="G3273" t="s">
        <v>19</v>
      </c>
      <c r="H3273" t="s">
        <v>15</v>
      </c>
      <c r="I3273">
        <v>4.0999999999999996</v>
      </c>
      <c r="J3273">
        <v>19</v>
      </c>
      <c r="K3273">
        <v>7</v>
      </c>
    </row>
    <row r="3274" spans="1:11" x14ac:dyDescent="0.35">
      <c r="A3274">
        <v>3273</v>
      </c>
      <c r="B3274">
        <v>64</v>
      </c>
      <c r="C3274" t="s">
        <v>16</v>
      </c>
      <c r="D3274" t="s">
        <v>22</v>
      </c>
      <c r="E3274" t="s">
        <v>23</v>
      </c>
      <c r="F3274">
        <v>79.900000000000006</v>
      </c>
      <c r="G3274" t="s">
        <v>19</v>
      </c>
      <c r="H3274" t="s">
        <v>15</v>
      </c>
      <c r="I3274">
        <v>3.3</v>
      </c>
      <c r="J3274">
        <v>26</v>
      </c>
      <c r="K3274">
        <v>8</v>
      </c>
    </row>
    <row r="3275" spans="1:11" x14ac:dyDescent="0.35">
      <c r="A3275">
        <v>3274</v>
      </c>
      <c r="B3275">
        <v>33</v>
      </c>
      <c r="C3275" t="s">
        <v>16</v>
      </c>
      <c r="D3275" t="s">
        <v>33</v>
      </c>
      <c r="E3275" t="s">
        <v>38</v>
      </c>
      <c r="F3275">
        <v>248.65</v>
      </c>
      <c r="G3275" t="s">
        <v>14</v>
      </c>
      <c r="H3275" t="s">
        <v>15</v>
      </c>
      <c r="I3275">
        <v>3.8</v>
      </c>
      <c r="J3275">
        <v>15</v>
      </c>
      <c r="K3275">
        <v>5</v>
      </c>
    </row>
    <row r="3276" spans="1:11" x14ac:dyDescent="0.35">
      <c r="A3276">
        <v>3275</v>
      </c>
      <c r="B3276">
        <v>45</v>
      </c>
      <c r="C3276" t="s">
        <v>16</v>
      </c>
      <c r="D3276" t="s">
        <v>33</v>
      </c>
      <c r="E3276" t="s">
        <v>40</v>
      </c>
      <c r="F3276">
        <v>227.4</v>
      </c>
      <c r="G3276" t="s">
        <v>24</v>
      </c>
      <c r="H3276" t="s">
        <v>15</v>
      </c>
      <c r="I3276">
        <v>3.8</v>
      </c>
      <c r="J3276">
        <v>15</v>
      </c>
      <c r="K3276">
        <v>5</v>
      </c>
    </row>
    <row r="3277" spans="1:11" x14ac:dyDescent="0.35">
      <c r="A3277">
        <v>3276</v>
      </c>
      <c r="B3277">
        <v>24</v>
      </c>
      <c r="C3277" t="s">
        <v>16</v>
      </c>
      <c r="D3277" t="s">
        <v>20</v>
      </c>
      <c r="E3277" t="s">
        <v>39</v>
      </c>
      <c r="F3277">
        <v>153.18</v>
      </c>
      <c r="G3277" t="s">
        <v>19</v>
      </c>
      <c r="H3277" t="s">
        <v>15</v>
      </c>
      <c r="I3277">
        <v>3.2</v>
      </c>
      <c r="J3277">
        <v>15</v>
      </c>
      <c r="K3277">
        <v>5</v>
      </c>
    </row>
    <row r="3278" spans="1:11" x14ac:dyDescent="0.35">
      <c r="A3278">
        <v>3277</v>
      </c>
      <c r="B3278">
        <v>24</v>
      </c>
      <c r="C3278" t="s">
        <v>16</v>
      </c>
      <c r="D3278" t="s">
        <v>17</v>
      </c>
      <c r="E3278" t="s">
        <v>35</v>
      </c>
      <c r="F3278">
        <v>101.1</v>
      </c>
      <c r="G3278" t="s">
        <v>19</v>
      </c>
      <c r="H3278" t="s">
        <v>15</v>
      </c>
      <c r="I3278">
        <v>2.9</v>
      </c>
      <c r="J3278">
        <v>10</v>
      </c>
      <c r="K3278">
        <v>5</v>
      </c>
    </row>
    <row r="3279" spans="1:11" x14ac:dyDescent="0.35">
      <c r="A3279">
        <v>3278</v>
      </c>
      <c r="B3279">
        <v>70</v>
      </c>
      <c r="C3279" t="s">
        <v>16</v>
      </c>
      <c r="D3279" t="s">
        <v>17</v>
      </c>
      <c r="E3279" t="s">
        <v>48</v>
      </c>
      <c r="F3279">
        <v>128.5</v>
      </c>
      <c r="G3279" t="s">
        <v>31</v>
      </c>
      <c r="H3279" t="s">
        <v>15</v>
      </c>
      <c r="I3279">
        <v>4.4000000000000004</v>
      </c>
      <c r="J3279">
        <v>17</v>
      </c>
      <c r="K3279">
        <v>6</v>
      </c>
    </row>
    <row r="3280" spans="1:11" x14ac:dyDescent="0.35">
      <c r="A3280">
        <v>3279</v>
      </c>
      <c r="B3280">
        <v>49</v>
      </c>
      <c r="C3280" t="s">
        <v>11</v>
      </c>
      <c r="D3280" t="s">
        <v>20</v>
      </c>
      <c r="E3280" t="s">
        <v>36</v>
      </c>
      <c r="F3280">
        <v>93.21</v>
      </c>
      <c r="G3280" t="s">
        <v>31</v>
      </c>
      <c r="H3280" t="s">
        <v>37</v>
      </c>
      <c r="I3280">
        <v>4</v>
      </c>
      <c r="J3280">
        <v>8</v>
      </c>
      <c r="K3280">
        <v>4</v>
      </c>
    </row>
    <row r="3281" spans="1:11" x14ac:dyDescent="0.35">
      <c r="A3281">
        <v>3280</v>
      </c>
      <c r="B3281">
        <v>69</v>
      </c>
      <c r="C3281" t="s">
        <v>16</v>
      </c>
      <c r="D3281" t="s">
        <v>17</v>
      </c>
      <c r="E3281" t="s">
        <v>35</v>
      </c>
      <c r="F3281">
        <v>120.7</v>
      </c>
      <c r="G3281" t="s">
        <v>24</v>
      </c>
      <c r="H3281" t="s">
        <v>15</v>
      </c>
      <c r="I3281">
        <v>3.9</v>
      </c>
      <c r="J3281">
        <v>10</v>
      </c>
      <c r="K3281">
        <v>5</v>
      </c>
    </row>
    <row r="3282" spans="1:11" x14ac:dyDescent="0.35">
      <c r="A3282">
        <v>3281</v>
      </c>
      <c r="B3282">
        <v>36</v>
      </c>
      <c r="C3282" t="s">
        <v>16</v>
      </c>
      <c r="D3282" t="s">
        <v>17</v>
      </c>
      <c r="E3282" t="s">
        <v>18</v>
      </c>
      <c r="F3282">
        <v>76.16</v>
      </c>
      <c r="G3282" t="s">
        <v>31</v>
      </c>
      <c r="H3282" t="s">
        <v>37</v>
      </c>
      <c r="I3282">
        <v>4.3</v>
      </c>
      <c r="J3282">
        <v>10</v>
      </c>
      <c r="K3282">
        <v>5</v>
      </c>
    </row>
    <row r="3283" spans="1:11" x14ac:dyDescent="0.35">
      <c r="A3283">
        <v>3282</v>
      </c>
      <c r="B3283">
        <v>25</v>
      </c>
      <c r="C3283" t="s">
        <v>16</v>
      </c>
      <c r="D3283" t="s">
        <v>20</v>
      </c>
      <c r="E3283" t="s">
        <v>36</v>
      </c>
      <c r="F3283">
        <v>226.66</v>
      </c>
      <c r="G3283" t="s">
        <v>24</v>
      </c>
      <c r="H3283" t="s">
        <v>15</v>
      </c>
      <c r="I3283">
        <v>3.8</v>
      </c>
      <c r="J3283">
        <v>24</v>
      </c>
      <c r="K3283">
        <v>7</v>
      </c>
    </row>
    <row r="3284" spans="1:11" x14ac:dyDescent="0.35">
      <c r="A3284">
        <v>3283</v>
      </c>
      <c r="B3284">
        <v>63</v>
      </c>
      <c r="C3284" t="s">
        <v>16</v>
      </c>
      <c r="D3284" t="s">
        <v>20</v>
      </c>
      <c r="E3284" t="s">
        <v>36</v>
      </c>
      <c r="F3284">
        <v>130.19999999999999</v>
      </c>
      <c r="G3284" t="s">
        <v>24</v>
      </c>
      <c r="H3284" t="s">
        <v>15</v>
      </c>
      <c r="I3284">
        <v>2.6</v>
      </c>
      <c r="J3284">
        <v>4</v>
      </c>
      <c r="K3284">
        <v>2</v>
      </c>
    </row>
    <row r="3285" spans="1:11" x14ac:dyDescent="0.35">
      <c r="A3285">
        <v>3284</v>
      </c>
      <c r="B3285">
        <v>57</v>
      </c>
      <c r="C3285" t="s">
        <v>16</v>
      </c>
      <c r="D3285" t="s">
        <v>33</v>
      </c>
      <c r="E3285" t="s">
        <v>38</v>
      </c>
      <c r="F3285">
        <v>52.67</v>
      </c>
      <c r="G3285" t="s">
        <v>24</v>
      </c>
      <c r="H3285" t="s">
        <v>15</v>
      </c>
      <c r="I3285">
        <v>4.3</v>
      </c>
      <c r="J3285">
        <v>16</v>
      </c>
      <c r="K3285">
        <v>3</v>
      </c>
    </row>
    <row r="3286" spans="1:11" x14ac:dyDescent="0.35">
      <c r="A3286">
        <v>3285</v>
      </c>
      <c r="B3286">
        <v>21</v>
      </c>
      <c r="C3286" t="s">
        <v>11</v>
      </c>
      <c r="D3286" t="s">
        <v>41</v>
      </c>
      <c r="E3286" t="s">
        <v>42</v>
      </c>
      <c r="F3286">
        <v>151.32</v>
      </c>
      <c r="G3286" t="s">
        <v>31</v>
      </c>
      <c r="H3286" t="s">
        <v>15</v>
      </c>
      <c r="I3286">
        <v>3</v>
      </c>
      <c r="J3286">
        <v>24</v>
      </c>
      <c r="K3286">
        <v>7</v>
      </c>
    </row>
    <row r="3287" spans="1:11" x14ac:dyDescent="0.35">
      <c r="A3287">
        <v>3286</v>
      </c>
      <c r="B3287">
        <v>57</v>
      </c>
      <c r="C3287" t="s">
        <v>16</v>
      </c>
      <c r="D3287" t="s">
        <v>33</v>
      </c>
      <c r="E3287" t="s">
        <v>40</v>
      </c>
      <c r="F3287">
        <v>49.11</v>
      </c>
      <c r="G3287" t="s">
        <v>14</v>
      </c>
      <c r="H3287" t="s">
        <v>37</v>
      </c>
      <c r="I3287">
        <v>3.3</v>
      </c>
      <c r="J3287">
        <v>18</v>
      </c>
      <c r="K3287">
        <v>4</v>
      </c>
    </row>
    <row r="3288" spans="1:11" x14ac:dyDescent="0.35">
      <c r="A3288">
        <v>3287</v>
      </c>
      <c r="B3288">
        <v>50</v>
      </c>
      <c r="C3288" t="s">
        <v>11</v>
      </c>
      <c r="D3288" t="s">
        <v>29</v>
      </c>
      <c r="E3288" t="s">
        <v>55</v>
      </c>
      <c r="F3288">
        <v>71.64</v>
      </c>
      <c r="G3288" t="s">
        <v>24</v>
      </c>
      <c r="H3288" t="s">
        <v>37</v>
      </c>
      <c r="I3288">
        <v>4.5</v>
      </c>
      <c r="J3288">
        <v>20</v>
      </c>
      <c r="K3288">
        <v>5</v>
      </c>
    </row>
    <row r="3289" spans="1:11" x14ac:dyDescent="0.35">
      <c r="A3289">
        <v>3288</v>
      </c>
      <c r="B3289">
        <v>30</v>
      </c>
      <c r="C3289" t="s">
        <v>16</v>
      </c>
      <c r="D3289" t="s">
        <v>22</v>
      </c>
      <c r="E3289" t="s">
        <v>43</v>
      </c>
      <c r="F3289">
        <v>165.95</v>
      </c>
      <c r="G3289" t="s">
        <v>14</v>
      </c>
      <c r="H3289" t="s">
        <v>15</v>
      </c>
      <c r="I3289">
        <v>4.5</v>
      </c>
      <c r="J3289">
        <v>18</v>
      </c>
      <c r="K3289">
        <v>4</v>
      </c>
    </row>
    <row r="3290" spans="1:11" x14ac:dyDescent="0.35">
      <c r="A3290">
        <v>3289</v>
      </c>
      <c r="B3290">
        <v>62</v>
      </c>
      <c r="C3290" t="s">
        <v>16</v>
      </c>
      <c r="D3290" t="s">
        <v>20</v>
      </c>
      <c r="E3290" t="s">
        <v>21</v>
      </c>
      <c r="F3290">
        <v>248.99</v>
      </c>
      <c r="G3290" t="s">
        <v>14</v>
      </c>
      <c r="H3290" t="s">
        <v>15</v>
      </c>
      <c r="I3290">
        <v>2.8</v>
      </c>
      <c r="J3290">
        <v>13</v>
      </c>
      <c r="K3290">
        <v>4</v>
      </c>
    </row>
    <row r="3291" spans="1:11" x14ac:dyDescent="0.35">
      <c r="A3291">
        <v>3290</v>
      </c>
      <c r="B3291">
        <v>35</v>
      </c>
      <c r="C3291" t="s">
        <v>16</v>
      </c>
      <c r="D3291" t="s">
        <v>27</v>
      </c>
      <c r="E3291" t="s">
        <v>49</v>
      </c>
      <c r="F3291">
        <v>2952.94</v>
      </c>
      <c r="G3291" t="s">
        <v>19</v>
      </c>
      <c r="H3291" t="s">
        <v>15</v>
      </c>
      <c r="I3291">
        <v>3</v>
      </c>
      <c r="J3291">
        <v>11</v>
      </c>
      <c r="K3291">
        <v>3</v>
      </c>
    </row>
    <row r="3292" spans="1:11" x14ac:dyDescent="0.35">
      <c r="A3292">
        <v>3291</v>
      </c>
      <c r="B3292">
        <v>20</v>
      </c>
      <c r="C3292" t="s">
        <v>16</v>
      </c>
      <c r="D3292" t="s">
        <v>20</v>
      </c>
      <c r="E3292" t="s">
        <v>21</v>
      </c>
      <c r="F3292">
        <v>226.69</v>
      </c>
      <c r="G3292" t="s">
        <v>31</v>
      </c>
      <c r="H3292" t="s">
        <v>15</v>
      </c>
      <c r="I3292">
        <v>4</v>
      </c>
      <c r="J3292">
        <v>17</v>
      </c>
      <c r="K3292">
        <v>6</v>
      </c>
    </row>
    <row r="3293" spans="1:11" x14ac:dyDescent="0.35">
      <c r="A3293">
        <v>3292</v>
      </c>
      <c r="B3293">
        <v>41</v>
      </c>
      <c r="C3293" t="s">
        <v>16</v>
      </c>
      <c r="D3293" t="s">
        <v>17</v>
      </c>
      <c r="E3293" t="s">
        <v>35</v>
      </c>
      <c r="F3293">
        <v>136.81</v>
      </c>
      <c r="G3293" t="s">
        <v>14</v>
      </c>
      <c r="H3293" t="s">
        <v>15</v>
      </c>
      <c r="I3293">
        <v>4</v>
      </c>
      <c r="J3293">
        <v>9</v>
      </c>
      <c r="K3293">
        <v>2</v>
      </c>
    </row>
    <row r="3294" spans="1:11" x14ac:dyDescent="0.35">
      <c r="A3294">
        <v>3293</v>
      </c>
      <c r="B3294">
        <v>60</v>
      </c>
      <c r="C3294" t="s">
        <v>11</v>
      </c>
      <c r="D3294" t="s">
        <v>33</v>
      </c>
      <c r="E3294" t="s">
        <v>34</v>
      </c>
      <c r="F3294">
        <v>191.66</v>
      </c>
      <c r="G3294" t="s">
        <v>19</v>
      </c>
      <c r="H3294" t="s">
        <v>15</v>
      </c>
      <c r="I3294">
        <v>5</v>
      </c>
      <c r="J3294">
        <v>9</v>
      </c>
      <c r="K3294">
        <v>2</v>
      </c>
    </row>
    <row r="3295" spans="1:11" x14ac:dyDescent="0.35">
      <c r="A3295">
        <v>3294</v>
      </c>
      <c r="B3295">
        <v>34</v>
      </c>
      <c r="C3295" t="s">
        <v>11</v>
      </c>
      <c r="D3295" t="s">
        <v>41</v>
      </c>
      <c r="E3295" t="s">
        <v>46</v>
      </c>
      <c r="F3295">
        <v>82.77</v>
      </c>
      <c r="G3295" t="s">
        <v>24</v>
      </c>
      <c r="H3295" t="s">
        <v>37</v>
      </c>
      <c r="I3295">
        <v>3.5</v>
      </c>
      <c r="J3295">
        <v>32</v>
      </c>
      <c r="K3295">
        <v>11</v>
      </c>
    </row>
    <row r="3296" spans="1:11" x14ac:dyDescent="0.35">
      <c r="A3296">
        <v>3295</v>
      </c>
      <c r="B3296">
        <v>52</v>
      </c>
      <c r="C3296" t="s">
        <v>11</v>
      </c>
      <c r="D3296" t="s">
        <v>33</v>
      </c>
      <c r="E3296" t="s">
        <v>38</v>
      </c>
      <c r="F3296">
        <v>50.19</v>
      </c>
      <c r="G3296" t="s">
        <v>31</v>
      </c>
      <c r="H3296" t="s">
        <v>15</v>
      </c>
      <c r="I3296">
        <v>4.2</v>
      </c>
      <c r="J3296">
        <v>17</v>
      </c>
      <c r="K3296">
        <v>6</v>
      </c>
    </row>
    <row r="3297" spans="1:11" x14ac:dyDescent="0.35">
      <c r="A3297">
        <v>3296</v>
      </c>
      <c r="B3297">
        <v>43</v>
      </c>
      <c r="C3297" t="s">
        <v>11</v>
      </c>
      <c r="D3297" t="s">
        <v>12</v>
      </c>
      <c r="E3297" t="s">
        <v>50</v>
      </c>
      <c r="F3297">
        <v>170.71</v>
      </c>
      <c r="G3297" t="s">
        <v>24</v>
      </c>
      <c r="H3297" t="s">
        <v>15</v>
      </c>
      <c r="I3297">
        <v>3</v>
      </c>
      <c r="J3297">
        <v>15</v>
      </c>
      <c r="K3297">
        <v>5</v>
      </c>
    </row>
    <row r="3298" spans="1:11" x14ac:dyDescent="0.35">
      <c r="A3298">
        <v>3297</v>
      </c>
      <c r="B3298">
        <v>22</v>
      </c>
      <c r="C3298" t="s">
        <v>16</v>
      </c>
      <c r="D3298" t="s">
        <v>17</v>
      </c>
      <c r="E3298" t="s">
        <v>48</v>
      </c>
      <c r="F3298">
        <v>57.55</v>
      </c>
      <c r="G3298" t="s">
        <v>31</v>
      </c>
      <c r="H3298" t="s">
        <v>37</v>
      </c>
      <c r="I3298">
        <v>3.4</v>
      </c>
      <c r="J3298">
        <v>10</v>
      </c>
      <c r="K3298">
        <v>5</v>
      </c>
    </row>
    <row r="3299" spans="1:11" x14ac:dyDescent="0.35">
      <c r="A3299">
        <v>3298</v>
      </c>
      <c r="B3299">
        <v>25</v>
      </c>
      <c r="C3299" t="s">
        <v>16</v>
      </c>
      <c r="D3299" t="s">
        <v>27</v>
      </c>
      <c r="E3299" t="s">
        <v>32</v>
      </c>
      <c r="F3299">
        <v>1659.69</v>
      </c>
      <c r="G3299" t="s">
        <v>14</v>
      </c>
      <c r="H3299" t="s">
        <v>15</v>
      </c>
      <c r="I3299">
        <v>4.0999999999999996</v>
      </c>
      <c r="J3299">
        <v>11</v>
      </c>
      <c r="K3299">
        <v>3</v>
      </c>
    </row>
    <row r="3300" spans="1:11" x14ac:dyDescent="0.35">
      <c r="A3300">
        <v>3299</v>
      </c>
      <c r="B3300">
        <v>50</v>
      </c>
      <c r="C3300" t="s">
        <v>16</v>
      </c>
      <c r="D3300" t="s">
        <v>20</v>
      </c>
      <c r="E3300" t="s">
        <v>21</v>
      </c>
      <c r="F3300">
        <v>99.86</v>
      </c>
      <c r="G3300" t="s">
        <v>19</v>
      </c>
      <c r="H3300" t="s">
        <v>15</v>
      </c>
      <c r="I3300">
        <v>3.2</v>
      </c>
      <c r="J3300">
        <v>22</v>
      </c>
      <c r="K3300">
        <v>6</v>
      </c>
    </row>
    <row r="3301" spans="1:11" x14ac:dyDescent="0.35">
      <c r="A3301">
        <v>3300</v>
      </c>
      <c r="B3301">
        <v>61</v>
      </c>
      <c r="C3301" t="s">
        <v>11</v>
      </c>
      <c r="D3301" t="s">
        <v>33</v>
      </c>
      <c r="E3301" t="s">
        <v>34</v>
      </c>
      <c r="F3301">
        <v>101.31</v>
      </c>
      <c r="G3301" t="s">
        <v>31</v>
      </c>
      <c r="H3301" t="s">
        <v>15</v>
      </c>
      <c r="I3301">
        <v>3.6</v>
      </c>
      <c r="J3301">
        <v>16</v>
      </c>
      <c r="K3301">
        <v>3</v>
      </c>
    </row>
    <row r="3302" spans="1:11" x14ac:dyDescent="0.35">
      <c r="A3302">
        <v>3301</v>
      </c>
      <c r="B3302">
        <v>37</v>
      </c>
      <c r="C3302" t="s">
        <v>16</v>
      </c>
      <c r="D3302" t="s">
        <v>27</v>
      </c>
      <c r="E3302" t="s">
        <v>49</v>
      </c>
      <c r="F3302">
        <v>1894.44</v>
      </c>
      <c r="G3302" t="s">
        <v>24</v>
      </c>
      <c r="H3302" t="s">
        <v>15</v>
      </c>
      <c r="I3302">
        <v>4.3</v>
      </c>
      <c r="J3302">
        <v>12</v>
      </c>
      <c r="K3302">
        <v>6</v>
      </c>
    </row>
    <row r="3303" spans="1:11" x14ac:dyDescent="0.35">
      <c r="A3303">
        <v>3302</v>
      </c>
      <c r="B3303">
        <v>44</v>
      </c>
      <c r="C3303" t="s">
        <v>11</v>
      </c>
      <c r="D3303" t="s">
        <v>33</v>
      </c>
      <c r="E3303" t="s">
        <v>40</v>
      </c>
      <c r="F3303">
        <v>110.78</v>
      </c>
      <c r="G3303" t="s">
        <v>19</v>
      </c>
      <c r="H3303" t="s">
        <v>15</v>
      </c>
      <c r="I3303">
        <v>3.3</v>
      </c>
      <c r="J3303">
        <v>20</v>
      </c>
      <c r="K3303">
        <v>5</v>
      </c>
    </row>
    <row r="3304" spans="1:11" x14ac:dyDescent="0.35">
      <c r="A3304">
        <v>3303</v>
      </c>
      <c r="B3304">
        <v>45</v>
      </c>
      <c r="C3304" t="s">
        <v>11</v>
      </c>
      <c r="D3304" t="s">
        <v>29</v>
      </c>
      <c r="E3304" t="s">
        <v>51</v>
      </c>
      <c r="F3304">
        <v>40.99</v>
      </c>
      <c r="G3304" t="s">
        <v>19</v>
      </c>
      <c r="H3304" t="s">
        <v>15</v>
      </c>
      <c r="I3304">
        <v>3.8</v>
      </c>
      <c r="J3304">
        <v>14</v>
      </c>
      <c r="K3304">
        <v>2</v>
      </c>
    </row>
    <row r="3305" spans="1:11" x14ac:dyDescent="0.35">
      <c r="A3305">
        <v>3304</v>
      </c>
      <c r="B3305">
        <v>66</v>
      </c>
      <c r="C3305" t="s">
        <v>11</v>
      </c>
      <c r="D3305" t="s">
        <v>41</v>
      </c>
      <c r="E3305" t="s">
        <v>46</v>
      </c>
      <c r="F3305">
        <v>45.9</v>
      </c>
      <c r="G3305" t="s">
        <v>31</v>
      </c>
      <c r="H3305" t="s">
        <v>37</v>
      </c>
      <c r="I3305">
        <v>3.5</v>
      </c>
      <c r="J3305">
        <v>16</v>
      </c>
      <c r="K3305">
        <v>8</v>
      </c>
    </row>
    <row r="3306" spans="1:11" x14ac:dyDescent="0.35">
      <c r="A3306">
        <v>3305</v>
      </c>
      <c r="B3306">
        <v>61</v>
      </c>
      <c r="C3306" t="s">
        <v>11</v>
      </c>
      <c r="D3306" t="s">
        <v>12</v>
      </c>
      <c r="E3306" t="s">
        <v>56</v>
      </c>
      <c r="F3306">
        <v>48.25</v>
      </c>
      <c r="G3306" t="s">
        <v>24</v>
      </c>
      <c r="H3306" t="s">
        <v>15</v>
      </c>
      <c r="I3306">
        <v>3.6</v>
      </c>
      <c r="J3306">
        <v>10</v>
      </c>
      <c r="K3306">
        <v>5</v>
      </c>
    </row>
    <row r="3307" spans="1:11" x14ac:dyDescent="0.35">
      <c r="A3307">
        <v>3306</v>
      </c>
      <c r="B3307">
        <v>49</v>
      </c>
      <c r="C3307" t="s">
        <v>16</v>
      </c>
      <c r="D3307" t="s">
        <v>27</v>
      </c>
      <c r="E3307" t="s">
        <v>28</v>
      </c>
      <c r="F3307">
        <v>2743.44</v>
      </c>
      <c r="G3307" t="s">
        <v>31</v>
      </c>
      <c r="H3307" t="s">
        <v>15</v>
      </c>
      <c r="I3307">
        <v>4.7</v>
      </c>
      <c r="J3307">
        <v>20</v>
      </c>
      <c r="K3307">
        <v>5</v>
      </c>
    </row>
    <row r="3308" spans="1:11" x14ac:dyDescent="0.35">
      <c r="A3308">
        <v>3307</v>
      </c>
      <c r="B3308">
        <v>21</v>
      </c>
      <c r="C3308" t="s">
        <v>11</v>
      </c>
      <c r="D3308" t="s">
        <v>41</v>
      </c>
      <c r="E3308" t="s">
        <v>45</v>
      </c>
      <c r="F3308">
        <v>103.61</v>
      </c>
      <c r="G3308" t="s">
        <v>14</v>
      </c>
      <c r="H3308" t="s">
        <v>15</v>
      </c>
      <c r="I3308">
        <v>3.8</v>
      </c>
      <c r="J3308">
        <v>10</v>
      </c>
      <c r="K3308">
        <v>5</v>
      </c>
    </row>
    <row r="3309" spans="1:11" x14ac:dyDescent="0.35">
      <c r="A3309">
        <v>3308</v>
      </c>
      <c r="B3309">
        <v>28</v>
      </c>
      <c r="C3309" t="s">
        <v>16</v>
      </c>
      <c r="D3309" t="s">
        <v>27</v>
      </c>
      <c r="E3309" t="s">
        <v>28</v>
      </c>
      <c r="F3309">
        <v>2722.53</v>
      </c>
      <c r="G3309" t="s">
        <v>19</v>
      </c>
      <c r="H3309" t="s">
        <v>15</v>
      </c>
      <c r="I3309">
        <v>3.9</v>
      </c>
      <c r="J3309">
        <v>17</v>
      </c>
      <c r="K3309">
        <v>6</v>
      </c>
    </row>
    <row r="3310" spans="1:11" x14ac:dyDescent="0.35">
      <c r="A3310">
        <v>3309</v>
      </c>
      <c r="B3310">
        <v>41</v>
      </c>
      <c r="C3310" t="s">
        <v>16</v>
      </c>
      <c r="D3310" t="s">
        <v>27</v>
      </c>
      <c r="E3310" t="s">
        <v>32</v>
      </c>
      <c r="F3310">
        <v>956.14</v>
      </c>
      <c r="G3310" t="s">
        <v>14</v>
      </c>
      <c r="H3310" t="s">
        <v>15</v>
      </c>
      <c r="I3310">
        <v>3.5</v>
      </c>
      <c r="J3310">
        <v>21</v>
      </c>
      <c r="K3310">
        <v>8</v>
      </c>
    </row>
    <row r="3311" spans="1:11" x14ac:dyDescent="0.35">
      <c r="A3311">
        <v>3310</v>
      </c>
      <c r="B3311">
        <v>59</v>
      </c>
      <c r="C3311" t="s">
        <v>16</v>
      </c>
      <c r="D3311" t="s">
        <v>17</v>
      </c>
      <c r="E3311" t="s">
        <v>48</v>
      </c>
      <c r="F3311">
        <v>179.08</v>
      </c>
      <c r="G3311" t="s">
        <v>24</v>
      </c>
      <c r="H3311" t="s">
        <v>15</v>
      </c>
      <c r="I3311">
        <v>3.9</v>
      </c>
      <c r="J3311">
        <v>11</v>
      </c>
      <c r="K3311">
        <v>3</v>
      </c>
    </row>
    <row r="3312" spans="1:11" x14ac:dyDescent="0.35">
      <c r="A3312">
        <v>3311</v>
      </c>
      <c r="B3312">
        <v>70</v>
      </c>
      <c r="C3312" t="s">
        <v>16</v>
      </c>
      <c r="D3312" t="s">
        <v>33</v>
      </c>
      <c r="E3312" t="s">
        <v>40</v>
      </c>
      <c r="F3312">
        <v>237.9</v>
      </c>
      <c r="G3312" t="s">
        <v>24</v>
      </c>
      <c r="H3312" t="s">
        <v>15</v>
      </c>
      <c r="I3312">
        <v>3.3</v>
      </c>
      <c r="J3312">
        <v>13</v>
      </c>
      <c r="K3312">
        <v>4</v>
      </c>
    </row>
    <row r="3313" spans="1:11" x14ac:dyDescent="0.35">
      <c r="A3313">
        <v>3312</v>
      </c>
      <c r="B3313">
        <v>21</v>
      </c>
      <c r="C3313" t="s">
        <v>11</v>
      </c>
      <c r="D3313" t="s">
        <v>33</v>
      </c>
      <c r="E3313" t="s">
        <v>34</v>
      </c>
      <c r="F3313">
        <v>112.2</v>
      </c>
      <c r="G3313" t="s">
        <v>24</v>
      </c>
      <c r="H3313" t="s">
        <v>15</v>
      </c>
      <c r="I3313">
        <v>3</v>
      </c>
      <c r="J3313">
        <v>15</v>
      </c>
      <c r="K3313">
        <v>5</v>
      </c>
    </row>
    <row r="3314" spans="1:11" x14ac:dyDescent="0.35">
      <c r="A3314">
        <v>3313</v>
      </c>
      <c r="B3314">
        <v>53</v>
      </c>
      <c r="C3314" t="s">
        <v>11</v>
      </c>
      <c r="D3314" t="s">
        <v>41</v>
      </c>
      <c r="E3314" t="s">
        <v>46</v>
      </c>
      <c r="F3314">
        <v>100.01</v>
      </c>
      <c r="G3314" t="s">
        <v>31</v>
      </c>
      <c r="H3314" t="s">
        <v>15</v>
      </c>
      <c r="I3314">
        <v>3.4</v>
      </c>
      <c r="J3314">
        <v>21</v>
      </c>
      <c r="K3314">
        <v>8</v>
      </c>
    </row>
    <row r="3315" spans="1:11" x14ac:dyDescent="0.35">
      <c r="A3315">
        <v>3314</v>
      </c>
      <c r="B3315">
        <v>46</v>
      </c>
      <c r="C3315" t="s">
        <v>16</v>
      </c>
      <c r="D3315" t="s">
        <v>33</v>
      </c>
      <c r="E3315" t="s">
        <v>34</v>
      </c>
      <c r="F3315">
        <v>70.16</v>
      </c>
      <c r="G3315" t="s">
        <v>14</v>
      </c>
      <c r="H3315" t="s">
        <v>15</v>
      </c>
      <c r="I3315">
        <v>4</v>
      </c>
      <c r="J3315">
        <v>22</v>
      </c>
      <c r="K3315">
        <v>6</v>
      </c>
    </row>
    <row r="3316" spans="1:11" x14ac:dyDescent="0.35">
      <c r="A3316">
        <v>3315</v>
      </c>
      <c r="B3316">
        <v>61</v>
      </c>
      <c r="C3316" t="s">
        <v>11</v>
      </c>
      <c r="D3316" t="s">
        <v>41</v>
      </c>
      <c r="E3316" t="s">
        <v>44</v>
      </c>
      <c r="F3316">
        <v>128.44</v>
      </c>
      <c r="G3316" t="s">
        <v>19</v>
      </c>
      <c r="H3316" t="s">
        <v>15</v>
      </c>
      <c r="I3316">
        <v>4.5999999999999996</v>
      </c>
      <c r="J3316">
        <v>18</v>
      </c>
      <c r="K3316">
        <v>4</v>
      </c>
    </row>
    <row r="3317" spans="1:11" x14ac:dyDescent="0.35">
      <c r="A3317">
        <v>3316</v>
      </c>
      <c r="B3317">
        <v>43</v>
      </c>
      <c r="C3317" t="s">
        <v>16</v>
      </c>
      <c r="D3317" t="s">
        <v>17</v>
      </c>
      <c r="E3317" t="s">
        <v>35</v>
      </c>
      <c r="F3317">
        <v>84.29</v>
      </c>
      <c r="G3317" t="s">
        <v>19</v>
      </c>
      <c r="H3317" t="s">
        <v>37</v>
      </c>
      <c r="I3317">
        <v>3</v>
      </c>
      <c r="J3317">
        <v>8</v>
      </c>
      <c r="K3317">
        <v>4</v>
      </c>
    </row>
    <row r="3318" spans="1:11" x14ac:dyDescent="0.35">
      <c r="A3318">
        <v>3317</v>
      </c>
      <c r="B3318">
        <v>39</v>
      </c>
      <c r="C3318" t="s">
        <v>11</v>
      </c>
      <c r="D3318" t="s">
        <v>33</v>
      </c>
      <c r="E3318" t="s">
        <v>40</v>
      </c>
      <c r="F3318">
        <v>139.91</v>
      </c>
      <c r="G3318" t="s">
        <v>24</v>
      </c>
      <c r="H3318" t="s">
        <v>15</v>
      </c>
      <c r="I3318">
        <v>3.8</v>
      </c>
      <c r="J3318">
        <v>12</v>
      </c>
      <c r="K3318">
        <v>6</v>
      </c>
    </row>
    <row r="3319" spans="1:11" x14ac:dyDescent="0.35">
      <c r="A3319">
        <v>3318</v>
      </c>
      <c r="B3319">
        <v>25</v>
      </c>
      <c r="C3319" t="s">
        <v>11</v>
      </c>
      <c r="D3319" t="s">
        <v>33</v>
      </c>
      <c r="E3319" t="s">
        <v>38</v>
      </c>
      <c r="F3319">
        <v>66.52</v>
      </c>
      <c r="G3319" t="s">
        <v>14</v>
      </c>
      <c r="H3319" t="s">
        <v>37</v>
      </c>
      <c r="I3319">
        <v>3.8</v>
      </c>
      <c r="J3319">
        <v>8</v>
      </c>
      <c r="K3319">
        <v>4</v>
      </c>
    </row>
    <row r="3320" spans="1:11" x14ac:dyDescent="0.35">
      <c r="A3320">
        <v>3319</v>
      </c>
      <c r="B3320">
        <v>69</v>
      </c>
      <c r="C3320" t="s">
        <v>11</v>
      </c>
      <c r="D3320" t="s">
        <v>29</v>
      </c>
      <c r="E3320" t="s">
        <v>30</v>
      </c>
      <c r="F3320">
        <v>49.37</v>
      </c>
      <c r="G3320" t="s">
        <v>14</v>
      </c>
      <c r="H3320" t="s">
        <v>37</v>
      </c>
      <c r="I3320">
        <v>4.3</v>
      </c>
      <c r="J3320">
        <v>2</v>
      </c>
      <c r="K3320">
        <v>1</v>
      </c>
    </row>
    <row r="3321" spans="1:11" x14ac:dyDescent="0.35">
      <c r="A3321">
        <v>3320</v>
      </c>
      <c r="B3321">
        <v>52</v>
      </c>
      <c r="C3321" t="s">
        <v>11</v>
      </c>
      <c r="D3321" t="s">
        <v>29</v>
      </c>
      <c r="E3321" t="s">
        <v>55</v>
      </c>
      <c r="F3321">
        <v>33.78</v>
      </c>
      <c r="G3321" t="s">
        <v>19</v>
      </c>
      <c r="H3321" t="s">
        <v>37</v>
      </c>
      <c r="I3321">
        <v>2.4</v>
      </c>
      <c r="J3321">
        <v>15</v>
      </c>
      <c r="K3321">
        <v>5</v>
      </c>
    </row>
    <row r="3322" spans="1:11" x14ac:dyDescent="0.35">
      <c r="A3322">
        <v>3321</v>
      </c>
      <c r="B3322">
        <v>40</v>
      </c>
      <c r="C3322" t="s">
        <v>16</v>
      </c>
      <c r="D3322" t="s">
        <v>17</v>
      </c>
      <c r="E3322" t="s">
        <v>48</v>
      </c>
      <c r="F3322">
        <v>70.77</v>
      </c>
      <c r="G3322" t="s">
        <v>14</v>
      </c>
      <c r="H3322" t="s">
        <v>15</v>
      </c>
      <c r="I3322">
        <v>4.5</v>
      </c>
      <c r="J3322">
        <v>16</v>
      </c>
      <c r="K3322">
        <v>3</v>
      </c>
    </row>
    <row r="3323" spans="1:11" x14ac:dyDescent="0.35">
      <c r="A3323">
        <v>3322</v>
      </c>
      <c r="B3323">
        <v>29</v>
      </c>
      <c r="C3323" t="s">
        <v>11</v>
      </c>
      <c r="D3323" t="s">
        <v>41</v>
      </c>
      <c r="E3323" t="s">
        <v>42</v>
      </c>
      <c r="F3323">
        <v>65.09</v>
      </c>
      <c r="G3323" t="s">
        <v>19</v>
      </c>
      <c r="H3323" t="s">
        <v>37</v>
      </c>
      <c r="I3323">
        <v>4.5999999999999996</v>
      </c>
      <c r="J3323">
        <v>4</v>
      </c>
      <c r="K3323">
        <v>2</v>
      </c>
    </row>
    <row r="3324" spans="1:11" x14ac:dyDescent="0.35">
      <c r="A3324">
        <v>3323</v>
      </c>
      <c r="B3324">
        <v>65</v>
      </c>
      <c r="C3324" t="s">
        <v>16</v>
      </c>
      <c r="D3324" t="s">
        <v>20</v>
      </c>
      <c r="E3324" t="s">
        <v>36</v>
      </c>
      <c r="F3324">
        <v>245.06</v>
      </c>
      <c r="G3324" t="s">
        <v>19</v>
      </c>
      <c r="H3324" t="s">
        <v>15</v>
      </c>
      <c r="I3324">
        <v>3.1</v>
      </c>
      <c r="J3324">
        <v>10</v>
      </c>
      <c r="K3324">
        <v>5</v>
      </c>
    </row>
    <row r="3325" spans="1:11" x14ac:dyDescent="0.35">
      <c r="A3325">
        <v>3324</v>
      </c>
      <c r="B3325">
        <v>61</v>
      </c>
      <c r="C3325" t="s">
        <v>11</v>
      </c>
      <c r="D3325" t="s">
        <v>12</v>
      </c>
      <c r="E3325" t="s">
        <v>13</v>
      </c>
      <c r="F3325">
        <v>68.040000000000006</v>
      </c>
      <c r="G3325" t="s">
        <v>14</v>
      </c>
      <c r="H3325" t="s">
        <v>37</v>
      </c>
      <c r="I3325">
        <v>4.9000000000000004</v>
      </c>
      <c r="J3325">
        <v>18</v>
      </c>
      <c r="K3325">
        <v>9</v>
      </c>
    </row>
    <row r="3326" spans="1:11" x14ac:dyDescent="0.35">
      <c r="A3326">
        <v>3325</v>
      </c>
      <c r="B3326">
        <v>66</v>
      </c>
      <c r="C3326" t="s">
        <v>11</v>
      </c>
      <c r="D3326" t="s">
        <v>12</v>
      </c>
      <c r="E3326" t="s">
        <v>13</v>
      </c>
      <c r="F3326">
        <v>41.18</v>
      </c>
      <c r="G3326" t="s">
        <v>24</v>
      </c>
      <c r="H3326" t="s">
        <v>37</v>
      </c>
      <c r="I3326">
        <v>2.8</v>
      </c>
      <c r="J3326">
        <v>2</v>
      </c>
      <c r="K3326">
        <v>1</v>
      </c>
    </row>
    <row r="3327" spans="1:11" x14ac:dyDescent="0.35">
      <c r="A3327">
        <v>3326</v>
      </c>
      <c r="B3327">
        <v>63</v>
      </c>
      <c r="C3327" t="s">
        <v>16</v>
      </c>
      <c r="D3327" t="s">
        <v>20</v>
      </c>
      <c r="E3327" t="s">
        <v>21</v>
      </c>
      <c r="F3327">
        <v>154.11000000000001</v>
      </c>
      <c r="G3327" t="s">
        <v>14</v>
      </c>
      <c r="H3327" t="s">
        <v>15</v>
      </c>
      <c r="I3327">
        <v>3.3</v>
      </c>
      <c r="J3327">
        <v>13</v>
      </c>
      <c r="K3327">
        <v>4</v>
      </c>
    </row>
    <row r="3328" spans="1:11" x14ac:dyDescent="0.35">
      <c r="A3328">
        <v>3327</v>
      </c>
      <c r="B3328">
        <v>24</v>
      </c>
      <c r="C3328" t="s">
        <v>11</v>
      </c>
      <c r="D3328" t="s">
        <v>33</v>
      </c>
      <c r="E3328" t="s">
        <v>40</v>
      </c>
      <c r="F3328">
        <v>174.93</v>
      </c>
      <c r="G3328" t="s">
        <v>31</v>
      </c>
      <c r="H3328" t="s">
        <v>15</v>
      </c>
      <c r="I3328">
        <v>3.9</v>
      </c>
      <c r="J3328">
        <v>17</v>
      </c>
      <c r="K3328">
        <v>6</v>
      </c>
    </row>
    <row r="3329" spans="1:11" x14ac:dyDescent="0.35">
      <c r="A3329">
        <v>3328</v>
      </c>
      <c r="B3329">
        <v>38</v>
      </c>
      <c r="C3329" t="s">
        <v>16</v>
      </c>
      <c r="D3329" t="s">
        <v>17</v>
      </c>
      <c r="E3329" t="s">
        <v>48</v>
      </c>
      <c r="F3329">
        <v>192.91</v>
      </c>
      <c r="G3329" t="s">
        <v>19</v>
      </c>
      <c r="H3329" t="s">
        <v>15</v>
      </c>
      <c r="I3329">
        <v>3.6</v>
      </c>
      <c r="J3329">
        <v>16</v>
      </c>
      <c r="K3329">
        <v>8</v>
      </c>
    </row>
    <row r="3330" spans="1:11" x14ac:dyDescent="0.35">
      <c r="A3330">
        <v>3329</v>
      </c>
      <c r="B3330">
        <v>21</v>
      </c>
      <c r="C3330" t="s">
        <v>11</v>
      </c>
      <c r="D3330" t="s">
        <v>33</v>
      </c>
      <c r="E3330" t="s">
        <v>34</v>
      </c>
      <c r="F3330">
        <v>42.33</v>
      </c>
      <c r="G3330" t="s">
        <v>31</v>
      </c>
      <c r="H3330" t="s">
        <v>37</v>
      </c>
      <c r="I3330">
        <v>2.9</v>
      </c>
      <c r="J3330">
        <v>9</v>
      </c>
      <c r="K3330">
        <v>2</v>
      </c>
    </row>
    <row r="3331" spans="1:11" x14ac:dyDescent="0.35">
      <c r="A3331">
        <v>3330</v>
      </c>
      <c r="B3331">
        <v>41</v>
      </c>
      <c r="C3331" t="s">
        <v>11</v>
      </c>
      <c r="D3331" t="s">
        <v>22</v>
      </c>
      <c r="E3331" t="s">
        <v>23</v>
      </c>
      <c r="F3331">
        <v>260.49</v>
      </c>
      <c r="G3331" t="s">
        <v>31</v>
      </c>
      <c r="H3331" t="s">
        <v>15</v>
      </c>
      <c r="I3331">
        <v>4</v>
      </c>
      <c r="J3331">
        <v>22</v>
      </c>
      <c r="K3331">
        <v>6</v>
      </c>
    </row>
    <row r="3332" spans="1:11" x14ac:dyDescent="0.35">
      <c r="A3332">
        <v>3331</v>
      </c>
      <c r="B3332">
        <v>42</v>
      </c>
      <c r="C3332" t="s">
        <v>16</v>
      </c>
      <c r="D3332" t="s">
        <v>17</v>
      </c>
      <c r="E3332" t="s">
        <v>42</v>
      </c>
      <c r="F3332">
        <v>48.33</v>
      </c>
      <c r="G3332" t="s">
        <v>31</v>
      </c>
      <c r="H3332" t="s">
        <v>37</v>
      </c>
      <c r="I3332">
        <v>5</v>
      </c>
      <c r="J3332">
        <v>10</v>
      </c>
      <c r="K3332">
        <v>5</v>
      </c>
    </row>
    <row r="3333" spans="1:11" x14ac:dyDescent="0.35">
      <c r="A3333">
        <v>3332</v>
      </c>
      <c r="B3333">
        <v>56</v>
      </c>
      <c r="C3333" t="s">
        <v>11</v>
      </c>
      <c r="D3333" t="s">
        <v>29</v>
      </c>
      <c r="E3333" t="s">
        <v>51</v>
      </c>
      <c r="F3333">
        <v>100.08</v>
      </c>
      <c r="G3333" t="s">
        <v>31</v>
      </c>
      <c r="H3333" t="s">
        <v>15</v>
      </c>
      <c r="I3333">
        <v>3.5</v>
      </c>
      <c r="J3333">
        <v>8</v>
      </c>
      <c r="K3333">
        <v>4</v>
      </c>
    </row>
    <row r="3334" spans="1:11" x14ac:dyDescent="0.35">
      <c r="A3334">
        <v>3333</v>
      </c>
      <c r="B3334">
        <v>25</v>
      </c>
      <c r="C3334" t="s">
        <v>16</v>
      </c>
      <c r="D3334" t="s">
        <v>33</v>
      </c>
      <c r="E3334" t="s">
        <v>34</v>
      </c>
      <c r="F3334">
        <v>98.36</v>
      </c>
      <c r="G3334" t="s">
        <v>14</v>
      </c>
      <c r="H3334" t="s">
        <v>15</v>
      </c>
      <c r="I3334">
        <v>4.3</v>
      </c>
      <c r="J3334">
        <v>9</v>
      </c>
      <c r="K3334">
        <v>2</v>
      </c>
    </row>
    <row r="3335" spans="1:11" x14ac:dyDescent="0.35">
      <c r="A3335">
        <v>3334</v>
      </c>
      <c r="B3335">
        <v>34</v>
      </c>
      <c r="C3335" t="s">
        <v>16</v>
      </c>
      <c r="D3335" t="s">
        <v>27</v>
      </c>
      <c r="E3335" t="s">
        <v>28</v>
      </c>
      <c r="F3335">
        <v>2073.3000000000002</v>
      </c>
      <c r="G3335" t="s">
        <v>14</v>
      </c>
      <c r="H3335" t="s">
        <v>15</v>
      </c>
      <c r="I3335">
        <v>4.2</v>
      </c>
      <c r="J3335">
        <v>8</v>
      </c>
      <c r="K3335">
        <v>4</v>
      </c>
    </row>
    <row r="3336" spans="1:11" x14ac:dyDescent="0.35">
      <c r="A3336">
        <v>3335</v>
      </c>
      <c r="B3336">
        <v>47</v>
      </c>
      <c r="C3336" t="s">
        <v>11</v>
      </c>
      <c r="D3336" t="s">
        <v>41</v>
      </c>
      <c r="E3336" t="s">
        <v>45</v>
      </c>
      <c r="F3336">
        <v>98.36</v>
      </c>
      <c r="G3336" t="s">
        <v>31</v>
      </c>
      <c r="H3336" t="s">
        <v>37</v>
      </c>
      <c r="I3336">
        <v>3.7</v>
      </c>
      <c r="J3336">
        <v>18</v>
      </c>
      <c r="K3336">
        <v>4</v>
      </c>
    </row>
    <row r="3337" spans="1:11" x14ac:dyDescent="0.35">
      <c r="A3337">
        <v>3336</v>
      </c>
      <c r="B3337">
        <v>35</v>
      </c>
      <c r="C3337" t="s">
        <v>16</v>
      </c>
      <c r="D3337" t="s">
        <v>20</v>
      </c>
      <c r="E3337" t="s">
        <v>21</v>
      </c>
      <c r="F3337">
        <v>32.78</v>
      </c>
      <c r="G3337" t="s">
        <v>19</v>
      </c>
      <c r="H3337" t="s">
        <v>37</v>
      </c>
      <c r="I3337">
        <v>4.5</v>
      </c>
      <c r="J3337">
        <v>10</v>
      </c>
      <c r="K3337">
        <v>5</v>
      </c>
    </row>
    <row r="3338" spans="1:11" x14ac:dyDescent="0.35">
      <c r="A3338">
        <v>3337</v>
      </c>
      <c r="B3338">
        <v>26</v>
      </c>
      <c r="C3338" t="s">
        <v>16</v>
      </c>
      <c r="D3338" t="s">
        <v>20</v>
      </c>
      <c r="E3338" t="s">
        <v>39</v>
      </c>
      <c r="F3338">
        <v>168</v>
      </c>
      <c r="G3338" t="s">
        <v>19</v>
      </c>
      <c r="H3338" t="s">
        <v>15</v>
      </c>
      <c r="I3338">
        <v>2.9</v>
      </c>
      <c r="J3338">
        <v>14</v>
      </c>
      <c r="K3338">
        <v>7</v>
      </c>
    </row>
    <row r="3339" spans="1:11" x14ac:dyDescent="0.35">
      <c r="A3339">
        <v>3338</v>
      </c>
      <c r="B3339">
        <v>63</v>
      </c>
      <c r="C3339" t="s">
        <v>16</v>
      </c>
      <c r="D3339" t="s">
        <v>27</v>
      </c>
      <c r="E3339" t="s">
        <v>53</v>
      </c>
      <c r="F3339">
        <v>2939.08</v>
      </c>
      <c r="G3339" t="s">
        <v>31</v>
      </c>
      <c r="H3339" t="s">
        <v>15</v>
      </c>
      <c r="I3339">
        <v>3.3</v>
      </c>
      <c r="J3339">
        <v>18</v>
      </c>
      <c r="K3339">
        <v>4</v>
      </c>
    </row>
    <row r="3340" spans="1:11" x14ac:dyDescent="0.35">
      <c r="A3340">
        <v>3339</v>
      </c>
      <c r="B3340">
        <v>59</v>
      </c>
      <c r="C3340" t="s">
        <v>11</v>
      </c>
      <c r="D3340" t="s">
        <v>12</v>
      </c>
      <c r="E3340" t="s">
        <v>50</v>
      </c>
      <c r="F3340">
        <v>37.43</v>
      </c>
      <c r="G3340" t="s">
        <v>24</v>
      </c>
      <c r="H3340" t="s">
        <v>37</v>
      </c>
      <c r="I3340">
        <v>2.4</v>
      </c>
      <c r="J3340">
        <v>18</v>
      </c>
      <c r="K3340">
        <v>4</v>
      </c>
    </row>
    <row r="3341" spans="1:11" x14ac:dyDescent="0.35">
      <c r="A3341">
        <v>3340</v>
      </c>
      <c r="B3341">
        <v>57</v>
      </c>
      <c r="C3341" t="s">
        <v>16</v>
      </c>
      <c r="D3341" t="s">
        <v>33</v>
      </c>
      <c r="E3341" t="s">
        <v>40</v>
      </c>
      <c r="F3341">
        <v>219.41</v>
      </c>
      <c r="G3341" t="s">
        <v>31</v>
      </c>
      <c r="H3341" t="s">
        <v>15</v>
      </c>
      <c r="I3341">
        <v>4.3</v>
      </c>
      <c r="J3341">
        <v>18</v>
      </c>
      <c r="K3341">
        <v>4</v>
      </c>
    </row>
    <row r="3342" spans="1:11" x14ac:dyDescent="0.35">
      <c r="A3342">
        <v>3341</v>
      </c>
      <c r="B3342">
        <v>24</v>
      </c>
      <c r="C3342" t="s">
        <v>11</v>
      </c>
      <c r="D3342" t="s">
        <v>33</v>
      </c>
      <c r="E3342" t="s">
        <v>38</v>
      </c>
      <c r="F3342">
        <v>79.680000000000007</v>
      </c>
      <c r="G3342" t="s">
        <v>19</v>
      </c>
      <c r="H3342" t="s">
        <v>15</v>
      </c>
      <c r="I3342">
        <v>3.6</v>
      </c>
      <c r="J3342">
        <v>10</v>
      </c>
      <c r="K3342">
        <v>5</v>
      </c>
    </row>
    <row r="3343" spans="1:11" x14ac:dyDescent="0.35">
      <c r="A3343">
        <v>3342</v>
      </c>
      <c r="B3343">
        <v>44</v>
      </c>
      <c r="C3343" t="s">
        <v>11</v>
      </c>
      <c r="D3343" t="s">
        <v>29</v>
      </c>
      <c r="E3343" t="s">
        <v>30</v>
      </c>
      <c r="F3343">
        <v>83.41</v>
      </c>
      <c r="G3343" t="s">
        <v>19</v>
      </c>
      <c r="H3343" t="s">
        <v>37</v>
      </c>
      <c r="I3343">
        <v>3.2</v>
      </c>
      <c r="J3343">
        <v>14</v>
      </c>
      <c r="K3343">
        <v>7</v>
      </c>
    </row>
    <row r="3344" spans="1:11" x14ac:dyDescent="0.35">
      <c r="A3344">
        <v>3343</v>
      </c>
      <c r="B3344">
        <v>35</v>
      </c>
      <c r="C3344" t="s">
        <v>16</v>
      </c>
      <c r="D3344" t="s">
        <v>25</v>
      </c>
      <c r="E3344" t="s">
        <v>57</v>
      </c>
      <c r="F3344">
        <v>19.63</v>
      </c>
      <c r="G3344" t="s">
        <v>31</v>
      </c>
      <c r="H3344" t="s">
        <v>15</v>
      </c>
      <c r="I3344">
        <v>4.8</v>
      </c>
      <c r="J3344">
        <v>12</v>
      </c>
      <c r="K3344">
        <v>6</v>
      </c>
    </row>
    <row r="3345" spans="1:11" x14ac:dyDescent="0.35">
      <c r="A3345">
        <v>3344</v>
      </c>
      <c r="B3345">
        <v>55</v>
      </c>
      <c r="C3345" t="s">
        <v>16</v>
      </c>
      <c r="D3345" t="s">
        <v>17</v>
      </c>
      <c r="E3345" t="s">
        <v>18</v>
      </c>
      <c r="F3345">
        <v>112.09</v>
      </c>
      <c r="G3345" t="s">
        <v>14</v>
      </c>
      <c r="H3345" t="s">
        <v>15</v>
      </c>
      <c r="I3345">
        <v>3.6</v>
      </c>
      <c r="J3345">
        <v>8</v>
      </c>
      <c r="K3345">
        <v>4</v>
      </c>
    </row>
    <row r="3346" spans="1:11" x14ac:dyDescent="0.35">
      <c r="A3346">
        <v>3345</v>
      </c>
      <c r="B3346">
        <v>31</v>
      </c>
      <c r="C3346" t="s">
        <v>11</v>
      </c>
      <c r="D3346" t="s">
        <v>22</v>
      </c>
      <c r="E3346" t="s">
        <v>23</v>
      </c>
      <c r="F3346">
        <v>218.84</v>
      </c>
      <c r="G3346" t="s">
        <v>31</v>
      </c>
      <c r="H3346" t="s">
        <v>15</v>
      </c>
      <c r="I3346">
        <v>4.0999999999999996</v>
      </c>
      <c r="J3346">
        <v>20</v>
      </c>
      <c r="K3346">
        <v>5</v>
      </c>
    </row>
    <row r="3347" spans="1:11" x14ac:dyDescent="0.35">
      <c r="A3347">
        <v>3346</v>
      </c>
      <c r="B3347">
        <v>62</v>
      </c>
      <c r="C3347" t="s">
        <v>11</v>
      </c>
      <c r="D3347" t="s">
        <v>29</v>
      </c>
      <c r="E3347" t="s">
        <v>30</v>
      </c>
      <c r="F3347">
        <v>136.35</v>
      </c>
      <c r="G3347" t="s">
        <v>24</v>
      </c>
      <c r="H3347" t="s">
        <v>15</v>
      </c>
      <c r="I3347">
        <v>2.7</v>
      </c>
      <c r="J3347">
        <v>12</v>
      </c>
      <c r="K3347">
        <v>6</v>
      </c>
    </row>
    <row r="3348" spans="1:11" x14ac:dyDescent="0.35">
      <c r="A3348">
        <v>3347</v>
      </c>
      <c r="B3348">
        <v>52</v>
      </c>
      <c r="C3348" t="s">
        <v>11</v>
      </c>
      <c r="D3348" t="s">
        <v>20</v>
      </c>
      <c r="E3348" t="s">
        <v>39</v>
      </c>
      <c r="F3348">
        <v>210.16</v>
      </c>
      <c r="G3348" t="s">
        <v>14</v>
      </c>
      <c r="H3348" t="s">
        <v>15</v>
      </c>
      <c r="I3348">
        <v>3</v>
      </c>
      <c r="J3348">
        <v>10</v>
      </c>
      <c r="K3348">
        <v>5</v>
      </c>
    </row>
    <row r="3349" spans="1:11" x14ac:dyDescent="0.35">
      <c r="A3349">
        <v>3348</v>
      </c>
      <c r="B3349">
        <v>53</v>
      </c>
      <c r="C3349" t="s">
        <v>16</v>
      </c>
      <c r="D3349" t="s">
        <v>17</v>
      </c>
      <c r="E3349" t="s">
        <v>18</v>
      </c>
      <c r="F3349">
        <v>90.13</v>
      </c>
      <c r="G3349" t="s">
        <v>19</v>
      </c>
      <c r="H3349" t="s">
        <v>15</v>
      </c>
      <c r="I3349">
        <v>3.5</v>
      </c>
      <c r="J3349">
        <v>18</v>
      </c>
      <c r="K3349">
        <v>4</v>
      </c>
    </row>
    <row r="3350" spans="1:11" x14ac:dyDescent="0.35">
      <c r="A3350">
        <v>3349</v>
      </c>
      <c r="B3350">
        <v>28</v>
      </c>
      <c r="C3350" t="s">
        <v>11</v>
      </c>
      <c r="D3350" t="s">
        <v>29</v>
      </c>
      <c r="E3350" t="s">
        <v>55</v>
      </c>
      <c r="F3350">
        <v>132.16999999999999</v>
      </c>
      <c r="G3350" t="s">
        <v>14</v>
      </c>
      <c r="H3350" t="s">
        <v>15</v>
      </c>
      <c r="I3350">
        <v>2.7</v>
      </c>
      <c r="J3350">
        <v>19</v>
      </c>
      <c r="K3350">
        <v>7</v>
      </c>
    </row>
    <row r="3351" spans="1:11" x14ac:dyDescent="0.35">
      <c r="A3351">
        <v>3350</v>
      </c>
      <c r="B3351">
        <v>20</v>
      </c>
      <c r="C3351" t="s">
        <v>16</v>
      </c>
      <c r="D3351" t="s">
        <v>33</v>
      </c>
      <c r="E3351" t="s">
        <v>34</v>
      </c>
      <c r="F3351">
        <v>162.4</v>
      </c>
      <c r="G3351" t="s">
        <v>24</v>
      </c>
      <c r="H3351" t="s">
        <v>15</v>
      </c>
      <c r="I3351">
        <v>3.5</v>
      </c>
      <c r="J3351">
        <v>8</v>
      </c>
      <c r="K3351">
        <v>4</v>
      </c>
    </row>
    <row r="3352" spans="1:11" x14ac:dyDescent="0.35">
      <c r="A3352">
        <v>3351</v>
      </c>
      <c r="B3352">
        <v>47</v>
      </c>
      <c r="C3352" t="s">
        <v>11</v>
      </c>
      <c r="D3352" t="s">
        <v>22</v>
      </c>
      <c r="E3352" t="s">
        <v>43</v>
      </c>
      <c r="F3352">
        <v>242.74</v>
      </c>
      <c r="G3352" t="s">
        <v>14</v>
      </c>
      <c r="H3352" t="s">
        <v>15</v>
      </c>
      <c r="I3352">
        <v>2.8</v>
      </c>
      <c r="J3352">
        <v>11</v>
      </c>
      <c r="K3352">
        <v>3</v>
      </c>
    </row>
    <row r="3353" spans="1:11" x14ac:dyDescent="0.35">
      <c r="A3353">
        <v>3352</v>
      </c>
      <c r="B3353">
        <v>40</v>
      </c>
      <c r="C3353" t="s">
        <v>16</v>
      </c>
      <c r="D3353" t="s">
        <v>17</v>
      </c>
      <c r="E3353" t="s">
        <v>35</v>
      </c>
      <c r="F3353">
        <v>113.99</v>
      </c>
      <c r="G3353" t="s">
        <v>19</v>
      </c>
      <c r="H3353" t="s">
        <v>15</v>
      </c>
      <c r="I3353">
        <v>3.2</v>
      </c>
      <c r="J3353">
        <v>6</v>
      </c>
      <c r="K3353">
        <v>3</v>
      </c>
    </row>
    <row r="3354" spans="1:11" x14ac:dyDescent="0.35">
      <c r="A3354">
        <v>3353</v>
      </c>
      <c r="B3354">
        <v>24</v>
      </c>
      <c r="C3354" t="s">
        <v>11</v>
      </c>
      <c r="D3354" t="s">
        <v>12</v>
      </c>
      <c r="E3354" t="s">
        <v>50</v>
      </c>
      <c r="F3354">
        <v>45.95</v>
      </c>
      <c r="G3354" t="s">
        <v>31</v>
      </c>
      <c r="H3354" t="s">
        <v>37</v>
      </c>
      <c r="I3354">
        <v>3.9</v>
      </c>
      <c r="J3354">
        <v>12</v>
      </c>
      <c r="K3354">
        <v>1</v>
      </c>
    </row>
    <row r="3355" spans="1:11" x14ac:dyDescent="0.35">
      <c r="A3355">
        <v>3354</v>
      </c>
      <c r="B3355">
        <v>24</v>
      </c>
      <c r="C3355" t="s">
        <v>11</v>
      </c>
      <c r="D3355" t="s">
        <v>12</v>
      </c>
      <c r="E3355" t="s">
        <v>13</v>
      </c>
      <c r="F3355">
        <v>144.09</v>
      </c>
      <c r="G3355" t="s">
        <v>19</v>
      </c>
      <c r="H3355" t="s">
        <v>15</v>
      </c>
      <c r="I3355">
        <v>5</v>
      </c>
      <c r="J3355">
        <v>28</v>
      </c>
      <c r="K3355">
        <v>9</v>
      </c>
    </row>
    <row r="3356" spans="1:11" x14ac:dyDescent="0.35">
      <c r="A3356">
        <v>3355</v>
      </c>
      <c r="B3356">
        <v>59</v>
      </c>
      <c r="C3356" t="s">
        <v>16</v>
      </c>
      <c r="D3356" t="s">
        <v>22</v>
      </c>
      <c r="E3356" t="s">
        <v>23</v>
      </c>
      <c r="F3356">
        <v>79.319999999999993</v>
      </c>
      <c r="G3356" t="s">
        <v>24</v>
      </c>
      <c r="H3356" t="s">
        <v>37</v>
      </c>
      <c r="I3356">
        <v>4.4000000000000004</v>
      </c>
      <c r="J3356">
        <v>22</v>
      </c>
      <c r="K3356">
        <v>6</v>
      </c>
    </row>
    <row r="3357" spans="1:11" x14ac:dyDescent="0.35">
      <c r="A3357">
        <v>3356</v>
      </c>
      <c r="B3357">
        <v>47</v>
      </c>
      <c r="C3357" t="s">
        <v>11</v>
      </c>
      <c r="D3357" t="s">
        <v>12</v>
      </c>
      <c r="E3357" t="s">
        <v>56</v>
      </c>
      <c r="F3357">
        <v>39.79</v>
      </c>
      <c r="G3357" t="s">
        <v>31</v>
      </c>
      <c r="H3357" t="s">
        <v>15</v>
      </c>
      <c r="I3357">
        <v>3.3</v>
      </c>
      <c r="J3357">
        <v>11</v>
      </c>
      <c r="K3357">
        <v>3</v>
      </c>
    </row>
    <row r="3358" spans="1:11" x14ac:dyDescent="0.35">
      <c r="A3358">
        <v>3357</v>
      </c>
      <c r="B3358">
        <v>68</v>
      </c>
      <c r="C3358" t="s">
        <v>16</v>
      </c>
      <c r="D3358" t="s">
        <v>33</v>
      </c>
      <c r="E3358" t="s">
        <v>34</v>
      </c>
      <c r="F3358">
        <v>205.44</v>
      </c>
      <c r="G3358" t="s">
        <v>19</v>
      </c>
      <c r="H3358" t="s">
        <v>15</v>
      </c>
      <c r="I3358">
        <v>2</v>
      </c>
      <c r="J3358">
        <v>18</v>
      </c>
      <c r="K3358">
        <v>4</v>
      </c>
    </row>
    <row r="3359" spans="1:11" x14ac:dyDescent="0.35">
      <c r="A3359">
        <v>3358</v>
      </c>
      <c r="B3359">
        <v>56</v>
      </c>
      <c r="C3359" t="s">
        <v>16</v>
      </c>
      <c r="D3359" t="s">
        <v>20</v>
      </c>
      <c r="E3359" t="s">
        <v>36</v>
      </c>
      <c r="F3359">
        <v>53.45</v>
      </c>
      <c r="G3359" t="s">
        <v>31</v>
      </c>
      <c r="H3359" t="s">
        <v>37</v>
      </c>
      <c r="I3359">
        <v>4.5999999999999996</v>
      </c>
      <c r="J3359">
        <v>10</v>
      </c>
      <c r="K3359">
        <v>0</v>
      </c>
    </row>
    <row r="3360" spans="1:11" x14ac:dyDescent="0.35">
      <c r="A3360">
        <v>3359</v>
      </c>
      <c r="B3360">
        <v>34</v>
      </c>
      <c r="C3360" t="s">
        <v>16</v>
      </c>
      <c r="D3360" t="s">
        <v>20</v>
      </c>
      <c r="E3360" t="s">
        <v>39</v>
      </c>
      <c r="F3360">
        <v>110.27</v>
      </c>
      <c r="G3360" t="s">
        <v>24</v>
      </c>
      <c r="H3360" t="s">
        <v>15</v>
      </c>
      <c r="I3360">
        <v>3.3</v>
      </c>
      <c r="J3360">
        <v>16</v>
      </c>
      <c r="K3360">
        <v>8</v>
      </c>
    </row>
    <row r="3361" spans="1:11" x14ac:dyDescent="0.35">
      <c r="A3361">
        <v>3360</v>
      </c>
      <c r="B3361">
        <v>31</v>
      </c>
      <c r="C3361" t="s">
        <v>16</v>
      </c>
      <c r="D3361" t="s">
        <v>33</v>
      </c>
      <c r="E3361" t="s">
        <v>40</v>
      </c>
      <c r="F3361">
        <v>234.04</v>
      </c>
      <c r="G3361" t="s">
        <v>14</v>
      </c>
      <c r="H3361" t="s">
        <v>15</v>
      </c>
      <c r="I3361">
        <v>4.5999999999999996</v>
      </c>
      <c r="J3361">
        <v>14</v>
      </c>
      <c r="K3361">
        <v>7</v>
      </c>
    </row>
    <row r="3362" spans="1:11" x14ac:dyDescent="0.35">
      <c r="A3362">
        <v>3361</v>
      </c>
      <c r="B3362">
        <v>22</v>
      </c>
      <c r="C3362" t="s">
        <v>11</v>
      </c>
      <c r="D3362" t="s">
        <v>12</v>
      </c>
      <c r="E3362" t="s">
        <v>56</v>
      </c>
      <c r="F3362">
        <v>116.71</v>
      </c>
      <c r="G3362" t="s">
        <v>24</v>
      </c>
      <c r="H3362" t="s">
        <v>15</v>
      </c>
      <c r="I3362">
        <v>3.8</v>
      </c>
      <c r="J3362">
        <v>10</v>
      </c>
      <c r="K3362">
        <v>5</v>
      </c>
    </row>
    <row r="3363" spans="1:11" x14ac:dyDescent="0.35">
      <c r="A3363">
        <v>3362</v>
      </c>
      <c r="B3363">
        <v>59</v>
      </c>
      <c r="C3363" t="s">
        <v>16</v>
      </c>
      <c r="D3363" t="s">
        <v>17</v>
      </c>
      <c r="E3363" t="s">
        <v>35</v>
      </c>
      <c r="F3363">
        <v>176.93</v>
      </c>
      <c r="G3363" t="s">
        <v>24</v>
      </c>
      <c r="H3363" t="s">
        <v>15</v>
      </c>
      <c r="I3363">
        <v>5</v>
      </c>
      <c r="J3363">
        <v>28</v>
      </c>
      <c r="K3363">
        <v>9</v>
      </c>
    </row>
    <row r="3364" spans="1:11" x14ac:dyDescent="0.35">
      <c r="A3364">
        <v>3363</v>
      </c>
      <c r="B3364">
        <v>20</v>
      </c>
      <c r="C3364" t="s">
        <v>16</v>
      </c>
      <c r="D3364" t="s">
        <v>33</v>
      </c>
      <c r="E3364" t="s">
        <v>40</v>
      </c>
      <c r="F3364">
        <v>51.56</v>
      </c>
      <c r="G3364" t="s">
        <v>19</v>
      </c>
      <c r="H3364" t="s">
        <v>15</v>
      </c>
      <c r="I3364">
        <v>3.5</v>
      </c>
      <c r="J3364">
        <v>20</v>
      </c>
      <c r="K3364">
        <v>5</v>
      </c>
    </row>
    <row r="3365" spans="1:11" x14ac:dyDescent="0.35">
      <c r="A3365">
        <v>3364</v>
      </c>
      <c r="B3365">
        <v>51</v>
      </c>
      <c r="C3365" t="s">
        <v>11</v>
      </c>
      <c r="D3365" t="s">
        <v>29</v>
      </c>
      <c r="E3365" t="s">
        <v>55</v>
      </c>
      <c r="F3365">
        <v>94.53</v>
      </c>
      <c r="G3365" t="s">
        <v>24</v>
      </c>
      <c r="H3365" t="s">
        <v>37</v>
      </c>
      <c r="I3365">
        <v>3.7</v>
      </c>
      <c r="J3365">
        <v>18</v>
      </c>
      <c r="K3365">
        <v>4</v>
      </c>
    </row>
    <row r="3366" spans="1:11" x14ac:dyDescent="0.35">
      <c r="A3366">
        <v>3365</v>
      </c>
      <c r="B3366">
        <v>22</v>
      </c>
      <c r="C3366" t="s">
        <v>11</v>
      </c>
      <c r="D3366" t="s">
        <v>20</v>
      </c>
      <c r="E3366" t="s">
        <v>21</v>
      </c>
      <c r="F3366">
        <v>52.91</v>
      </c>
      <c r="G3366" t="s">
        <v>14</v>
      </c>
      <c r="H3366" t="s">
        <v>37</v>
      </c>
      <c r="I3366">
        <v>4.3</v>
      </c>
      <c r="J3366">
        <v>26</v>
      </c>
      <c r="K3366">
        <v>8</v>
      </c>
    </row>
    <row r="3367" spans="1:11" x14ac:dyDescent="0.35">
      <c r="A3367">
        <v>3366</v>
      </c>
      <c r="B3367">
        <v>26</v>
      </c>
      <c r="C3367" t="s">
        <v>11</v>
      </c>
      <c r="D3367" t="s">
        <v>33</v>
      </c>
      <c r="E3367" t="s">
        <v>38</v>
      </c>
      <c r="F3367">
        <v>118.99</v>
      </c>
      <c r="G3367" t="s">
        <v>19</v>
      </c>
      <c r="H3367" t="s">
        <v>15</v>
      </c>
      <c r="I3367">
        <v>4.0999999999999996</v>
      </c>
      <c r="J3367">
        <v>13</v>
      </c>
      <c r="K3367">
        <v>4</v>
      </c>
    </row>
    <row r="3368" spans="1:11" x14ac:dyDescent="0.35">
      <c r="A3368">
        <v>3367</v>
      </c>
      <c r="B3368">
        <v>36</v>
      </c>
      <c r="C3368" t="s">
        <v>11</v>
      </c>
      <c r="D3368" t="s">
        <v>12</v>
      </c>
      <c r="E3368" t="s">
        <v>13</v>
      </c>
      <c r="F3368">
        <v>142.22</v>
      </c>
      <c r="G3368" t="s">
        <v>31</v>
      </c>
      <c r="H3368" t="s">
        <v>15</v>
      </c>
      <c r="I3368">
        <v>3.1</v>
      </c>
      <c r="J3368">
        <v>20</v>
      </c>
      <c r="K3368">
        <v>5</v>
      </c>
    </row>
    <row r="3369" spans="1:11" x14ac:dyDescent="0.35">
      <c r="A3369">
        <v>3368</v>
      </c>
      <c r="B3369">
        <v>38</v>
      </c>
      <c r="C3369" t="s">
        <v>11</v>
      </c>
      <c r="D3369" t="s">
        <v>22</v>
      </c>
      <c r="E3369" t="s">
        <v>43</v>
      </c>
      <c r="F3369">
        <v>279.22000000000003</v>
      </c>
      <c r="G3369" t="s">
        <v>31</v>
      </c>
      <c r="H3369" t="s">
        <v>15</v>
      </c>
      <c r="I3369">
        <v>4.3</v>
      </c>
      <c r="J3369">
        <v>5</v>
      </c>
      <c r="K3369">
        <v>0</v>
      </c>
    </row>
    <row r="3370" spans="1:11" x14ac:dyDescent="0.35">
      <c r="A3370">
        <v>3369</v>
      </c>
      <c r="B3370">
        <v>22</v>
      </c>
      <c r="C3370" t="s">
        <v>11</v>
      </c>
      <c r="D3370" t="s">
        <v>29</v>
      </c>
      <c r="E3370" t="s">
        <v>51</v>
      </c>
      <c r="F3370">
        <v>69.319999999999993</v>
      </c>
      <c r="G3370" t="s">
        <v>14</v>
      </c>
      <c r="H3370" t="s">
        <v>37</v>
      </c>
      <c r="I3370">
        <v>3.2</v>
      </c>
      <c r="J3370">
        <v>16</v>
      </c>
      <c r="K3370">
        <v>3</v>
      </c>
    </row>
    <row r="3371" spans="1:11" x14ac:dyDescent="0.35">
      <c r="A3371">
        <v>3370</v>
      </c>
      <c r="B3371">
        <v>48</v>
      </c>
      <c r="C3371" t="s">
        <v>16</v>
      </c>
      <c r="D3371" t="s">
        <v>20</v>
      </c>
      <c r="E3371" t="s">
        <v>36</v>
      </c>
      <c r="F3371">
        <v>185.35</v>
      </c>
      <c r="G3371" t="s">
        <v>19</v>
      </c>
      <c r="H3371" t="s">
        <v>15</v>
      </c>
      <c r="I3371">
        <v>1.7</v>
      </c>
      <c r="J3371">
        <v>16</v>
      </c>
      <c r="K3371">
        <v>3</v>
      </c>
    </row>
    <row r="3372" spans="1:11" x14ac:dyDescent="0.35">
      <c r="A3372">
        <v>3371</v>
      </c>
      <c r="B3372">
        <v>42</v>
      </c>
      <c r="C3372" t="s">
        <v>11</v>
      </c>
      <c r="D3372" t="s">
        <v>20</v>
      </c>
      <c r="E3372" t="s">
        <v>39</v>
      </c>
      <c r="F3372">
        <v>93.72</v>
      </c>
      <c r="G3372" t="s">
        <v>24</v>
      </c>
      <c r="H3372" t="s">
        <v>15</v>
      </c>
      <c r="I3372">
        <v>4.0999999999999996</v>
      </c>
      <c r="J3372">
        <v>18</v>
      </c>
      <c r="K3372">
        <v>4</v>
      </c>
    </row>
    <row r="3373" spans="1:11" x14ac:dyDescent="0.35">
      <c r="A3373">
        <v>3372</v>
      </c>
      <c r="B3373">
        <v>24</v>
      </c>
      <c r="C3373" t="s">
        <v>16</v>
      </c>
      <c r="D3373" t="s">
        <v>17</v>
      </c>
      <c r="E3373" t="s">
        <v>18</v>
      </c>
      <c r="F3373">
        <v>158.33000000000001</v>
      </c>
      <c r="G3373" t="s">
        <v>19</v>
      </c>
      <c r="H3373" t="s">
        <v>15</v>
      </c>
      <c r="I3373">
        <v>3.2</v>
      </c>
      <c r="J3373">
        <v>15</v>
      </c>
      <c r="K3373">
        <v>5</v>
      </c>
    </row>
    <row r="3374" spans="1:11" x14ac:dyDescent="0.35">
      <c r="A3374">
        <v>3373</v>
      </c>
      <c r="B3374">
        <v>24</v>
      </c>
      <c r="C3374" t="s">
        <v>16</v>
      </c>
      <c r="D3374" t="s">
        <v>33</v>
      </c>
      <c r="E3374" t="s">
        <v>38</v>
      </c>
      <c r="F3374">
        <v>73.819999999999993</v>
      </c>
      <c r="G3374" t="s">
        <v>14</v>
      </c>
      <c r="H3374" t="s">
        <v>37</v>
      </c>
      <c r="I3374">
        <v>3.7</v>
      </c>
      <c r="J3374">
        <v>22</v>
      </c>
      <c r="K3374">
        <v>6</v>
      </c>
    </row>
    <row r="3375" spans="1:11" x14ac:dyDescent="0.35">
      <c r="A3375">
        <v>3374</v>
      </c>
      <c r="B3375">
        <v>63</v>
      </c>
      <c r="C3375" t="s">
        <v>16</v>
      </c>
      <c r="D3375" t="s">
        <v>25</v>
      </c>
      <c r="E3375" t="s">
        <v>47</v>
      </c>
      <c r="F3375">
        <v>13.69</v>
      </c>
      <c r="G3375" t="s">
        <v>19</v>
      </c>
      <c r="H3375" t="s">
        <v>15</v>
      </c>
      <c r="I3375">
        <v>3.7</v>
      </c>
      <c r="J3375">
        <v>16</v>
      </c>
      <c r="K3375">
        <v>8</v>
      </c>
    </row>
    <row r="3376" spans="1:11" x14ac:dyDescent="0.35">
      <c r="A3376">
        <v>3375</v>
      </c>
      <c r="B3376">
        <v>34</v>
      </c>
      <c r="C3376" t="s">
        <v>16</v>
      </c>
      <c r="D3376" t="s">
        <v>17</v>
      </c>
      <c r="E3376" t="s">
        <v>48</v>
      </c>
      <c r="F3376">
        <v>59.1</v>
      </c>
      <c r="G3376" t="s">
        <v>14</v>
      </c>
      <c r="H3376" t="s">
        <v>15</v>
      </c>
      <c r="I3376">
        <v>3.6</v>
      </c>
      <c r="J3376">
        <v>22</v>
      </c>
      <c r="K3376">
        <v>6</v>
      </c>
    </row>
    <row r="3377" spans="1:11" x14ac:dyDescent="0.35">
      <c r="A3377">
        <v>3376</v>
      </c>
      <c r="B3377">
        <v>57</v>
      </c>
      <c r="C3377" t="s">
        <v>11</v>
      </c>
      <c r="D3377" t="s">
        <v>22</v>
      </c>
      <c r="E3377" t="s">
        <v>43</v>
      </c>
      <c r="F3377">
        <v>148.53</v>
      </c>
      <c r="G3377" t="s">
        <v>24</v>
      </c>
      <c r="H3377" t="s">
        <v>15</v>
      </c>
      <c r="I3377">
        <v>3.8</v>
      </c>
      <c r="J3377">
        <v>16</v>
      </c>
      <c r="K3377">
        <v>3</v>
      </c>
    </row>
    <row r="3378" spans="1:11" x14ac:dyDescent="0.35">
      <c r="A3378">
        <v>3377</v>
      </c>
      <c r="B3378">
        <v>62</v>
      </c>
      <c r="C3378" t="s">
        <v>16</v>
      </c>
      <c r="D3378" t="s">
        <v>33</v>
      </c>
      <c r="E3378" t="s">
        <v>34</v>
      </c>
      <c r="F3378">
        <v>171</v>
      </c>
      <c r="G3378" t="s">
        <v>24</v>
      </c>
      <c r="H3378" t="s">
        <v>15</v>
      </c>
      <c r="I3378">
        <v>4</v>
      </c>
      <c r="J3378">
        <v>18</v>
      </c>
      <c r="K3378">
        <v>4</v>
      </c>
    </row>
    <row r="3379" spans="1:11" x14ac:dyDescent="0.35">
      <c r="A3379">
        <v>3378</v>
      </c>
      <c r="B3379">
        <v>49</v>
      </c>
      <c r="C3379" t="s">
        <v>16</v>
      </c>
      <c r="D3379" t="s">
        <v>25</v>
      </c>
      <c r="E3379" t="s">
        <v>57</v>
      </c>
      <c r="F3379">
        <v>56.43</v>
      </c>
      <c r="G3379" t="s">
        <v>24</v>
      </c>
      <c r="H3379" t="s">
        <v>37</v>
      </c>
      <c r="I3379">
        <v>3.2</v>
      </c>
      <c r="J3379">
        <v>16</v>
      </c>
      <c r="K3379">
        <v>3</v>
      </c>
    </row>
    <row r="3380" spans="1:11" x14ac:dyDescent="0.35">
      <c r="A3380">
        <v>3379</v>
      </c>
      <c r="B3380">
        <v>41</v>
      </c>
      <c r="C3380" t="s">
        <v>11</v>
      </c>
      <c r="D3380" t="s">
        <v>29</v>
      </c>
      <c r="E3380" t="s">
        <v>51</v>
      </c>
      <c r="F3380">
        <v>85.3</v>
      </c>
      <c r="G3380" t="s">
        <v>19</v>
      </c>
      <c r="H3380" t="s">
        <v>15</v>
      </c>
      <c r="I3380">
        <v>5</v>
      </c>
      <c r="J3380">
        <v>10</v>
      </c>
      <c r="K3380">
        <v>5</v>
      </c>
    </row>
    <row r="3381" spans="1:11" x14ac:dyDescent="0.35">
      <c r="A3381">
        <v>3380</v>
      </c>
      <c r="B3381">
        <v>47</v>
      </c>
      <c r="C3381" t="s">
        <v>11</v>
      </c>
      <c r="D3381" t="s">
        <v>29</v>
      </c>
      <c r="E3381" t="s">
        <v>55</v>
      </c>
      <c r="F3381">
        <v>122.41</v>
      </c>
      <c r="G3381" t="s">
        <v>14</v>
      </c>
      <c r="H3381" t="s">
        <v>15</v>
      </c>
      <c r="I3381">
        <v>4.2</v>
      </c>
      <c r="J3381">
        <v>18</v>
      </c>
      <c r="K3381">
        <v>4</v>
      </c>
    </row>
    <row r="3382" spans="1:11" x14ac:dyDescent="0.35">
      <c r="A3382">
        <v>3381</v>
      </c>
      <c r="B3382">
        <v>49</v>
      </c>
      <c r="C3382" t="s">
        <v>11</v>
      </c>
      <c r="D3382" t="s">
        <v>33</v>
      </c>
      <c r="E3382" t="s">
        <v>40</v>
      </c>
      <c r="F3382">
        <v>99.87</v>
      </c>
      <c r="G3382" t="s">
        <v>14</v>
      </c>
      <c r="H3382" t="s">
        <v>15</v>
      </c>
      <c r="I3382">
        <v>3.6</v>
      </c>
      <c r="J3382">
        <v>19</v>
      </c>
      <c r="K3382">
        <v>7</v>
      </c>
    </row>
    <row r="3383" spans="1:11" x14ac:dyDescent="0.35">
      <c r="A3383">
        <v>3382</v>
      </c>
      <c r="B3383">
        <v>41</v>
      </c>
      <c r="C3383" t="s">
        <v>11</v>
      </c>
      <c r="D3383" t="s">
        <v>33</v>
      </c>
      <c r="E3383" t="s">
        <v>34</v>
      </c>
      <c r="F3383">
        <v>214.67</v>
      </c>
      <c r="G3383" t="s">
        <v>14</v>
      </c>
      <c r="H3383" t="s">
        <v>15</v>
      </c>
      <c r="I3383">
        <v>3.7</v>
      </c>
      <c r="J3383">
        <v>16</v>
      </c>
      <c r="K3383">
        <v>8</v>
      </c>
    </row>
    <row r="3384" spans="1:11" x14ac:dyDescent="0.35">
      <c r="A3384">
        <v>3383</v>
      </c>
      <c r="B3384">
        <v>56</v>
      </c>
      <c r="C3384" t="s">
        <v>11</v>
      </c>
      <c r="D3384" t="s">
        <v>29</v>
      </c>
      <c r="E3384" t="s">
        <v>55</v>
      </c>
      <c r="F3384">
        <v>48.85</v>
      </c>
      <c r="G3384" t="s">
        <v>14</v>
      </c>
      <c r="H3384" t="s">
        <v>15</v>
      </c>
      <c r="I3384">
        <v>4.7</v>
      </c>
      <c r="J3384">
        <v>16</v>
      </c>
      <c r="K3384">
        <v>3</v>
      </c>
    </row>
    <row r="3385" spans="1:11" x14ac:dyDescent="0.35">
      <c r="A3385">
        <v>3384</v>
      </c>
      <c r="B3385">
        <v>21</v>
      </c>
      <c r="C3385" t="s">
        <v>11</v>
      </c>
      <c r="D3385" t="s">
        <v>22</v>
      </c>
      <c r="E3385" t="s">
        <v>52</v>
      </c>
      <c r="F3385">
        <v>184.48</v>
      </c>
      <c r="G3385" t="s">
        <v>24</v>
      </c>
      <c r="H3385" t="s">
        <v>15</v>
      </c>
      <c r="I3385">
        <v>4.5999999999999996</v>
      </c>
      <c r="J3385">
        <v>27</v>
      </c>
      <c r="K3385">
        <v>11</v>
      </c>
    </row>
    <row r="3386" spans="1:11" x14ac:dyDescent="0.35">
      <c r="A3386">
        <v>3385</v>
      </c>
      <c r="B3386">
        <v>24</v>
      </c>
      <c r="C3386" t="s">
        <v>16</v>
      </c>
      <c r="D3386" t="s">
        <v>20</v>
      </c>
      <c r="E3386" t="s">
        <v>39</v>
      </c>
      <c r="F3386">
        <v>137.49</v>
      </c>
      <c r="G3386" t="s">
        <v>31</v>
      </c>
      <c r="H3386" t="s">
        <v>15</v>
      </c>
      <c r="I3386">
        <v>3.3</v>
      </c>
      <c r="J3386">
        <v>11</v>
      </c>
      <c r="K3386">
        <v>3</v>
      </c>
    </row>
    <row r="3387" spans="1:11" x14ac:dyDescent="0.35">
      <c r="A3387">
        <v>3386</v>
      </c>
      <c r="B3387">
        <v>44</v>
      </c>
      <c r="C3387" t="s">
        <v>11</v>
      </c>
      <c r="D3387" t="s">
        <v>41</v>
      </c>
      <c r="E3387" t="s">
        <v>44</v>
      </c>
      <c r="F3387">
        <v>32.06</v>
      </c>
      <c r="G3387" t="s">
        <v>24</v>
      </c>
      <c r="H3387" t="s">
        <v>37</v>
      </c>
      <c r="I3387">
        <v>3.6</v>
      </c>
      <c r="J3387">
        <v>15</v>
      </c>
      <c r="K3387">
        <v>5</v>
      </c>
    </row>
    <row r="3388" spans="1:11" x14ac:dyDescent="0.35">
      <c r="A3388">
        <v>3387</v>
      </c>
      <c r="B3388">
        <v>68</v>
      </c>
      <c r="C3388" t="s">
        <v>16</v>
      </c>
      <c r="D3388" t="s">
        <v>17</v>
      </c>
      <c r="E3388" t="s">
        <v>35</v>
      </c>
      <c r="F3388">
        <v>192.92</v>
      </c>
      <c r="G3388" t="s">
        <v>14</v>
      </c>
      <c r="H3388" t="s">
        <v>15</v>
      </c>
      <c r="I3388">
        <v>4.0999999999999996</v>
      </c>
      <c r="J3388">
        <v>13</v>
      </c>
      <c r="K3388">
        <v>4</v>
      </c>
    </row>
    <row r="3389" spans="1:11" x14ac:dyDescent="0.35">
      <c r="A3389">
        <v>3388</v>
      </c>
      <c r="B3389">
        <v>41</v>
      </c>
      <c r="C3389" t="s">
        <v>11</v>
      </c>
      <c r="D3389" t="s">
        <v>25</v>
      </c>
      <c r="E3389" t="s">
        <v>47</v>
      </c>
      <c r="F3389">
        <v>17.899999999999999</v>
      </c>
      <c r="G3389" t="s">
        <v>31</v>
      </c>
      <c r="H3389" t="s">
        <v>15</v>
      </c>
      <c r="I3389">
        <v>2.5</v>
      </c>
      <c r="J3389">
        <v>30</v>
      </c>
      <c r="K3389">
        <v>10</v>
      </c>
    </row>
    <row r="3390" spans="1:11" x14ac:dyDescent="0.35">
      <c r="A3390">
        <v>3389</v>
      </c>
      <c r="B3390">
        <v>43</v>
      </c>
      <c r="C3390" t="s">
        <v>11</v>
      </c>
      <c r="D3390" t="s">
        <v>20</v>
      </c>
      <c r="E3390" t="s">
        <v>39</v>
      </c>
      <c r="F3390">
        <v>122.74</v>
      </c>
      <c r="G3390" t="s">
        <v>31</v>
      </c>
      <c r="H3390" t="s">
        <v>15</v>
      </c>
      <c r="I3390">
        <v>4.5</v>
      </c>
      <c r="J3390">
        <v>17</v>
      </c>
      <c r="K3390">
        <v>6</v>
      </c>
    </row>
    <row r="3391" spans="1:11" x14ac:dyDescent="0.35">
      <c r="A3391">
        <v>3390</v>
      </c>
      <c r="B3391">
        <v>21</v>
      </c>
      <c r="C3391" t="s">
        <v>11</v>
      </c>
      <c r="D3391" t="s">
        <v>33</v>
      </c>
      <c r="E3391" t="s">
        <v>38</v>
      </c>
      <c r="F3391">
        <v>84.31</v>
      </c>
      <c r="G3391" t="s">
        <v>14</v>
      </c>
      <c r="H3391" t="s">
        <v>15</v>
      </c>
      <c r="I3391">
        <v>3.3</v>
      </c>
      <c r="J3391">
        <v>4</v>
      </c>
      <c r="K3391">
        <v>2</v>
      </c>
    </row>
    <row r="3392" spans="1:11" x14ac:dyDescent="0.35">
      <c r="A3392">
        <v>3391</v>
      </c>
      <c r="B3392">
        <v>63</v>
      </c>
      <c r="C3392" t="s">
        <v>11</v>
      </c>
      <c r="D3392" t="s">
        <v>41</v>
      </c>
      <c r="E3392" t="s">
        <v>46</v>
      </c>
      <c r="F3392">
        <v>179.53</v>
      </c>
      <c r="G3392" t="s">
        <v>14</v>
      </c>
      <c r="H3392" t="s">
        <v>15</v>
      </c>
      <c r="I3392">
        <v>4.5999999999999996</v>
      </c>
      <c r="J3392">
        <v>13</v>
      </c>
      <c r="K3392">
        <v>4</v>
      </c>
    </row>
    <row r="3393" spans="1:11" x14ac:dyDescent="0.35">
      <c r="A3393">
        <v>3392</v>
      </c>
      <c r="B3393">
        <v>63</v>
      </c>
      <c r="C3393" t="s">
        <v>11</v>
      </c>
      <c r="D3393" t="s">
        <v>41</v>
      </c>
      <c r="E3393" t="s">
        <v>42</v>
      </c>
      <c r="F3393">
        <v>102.83</v>
      </c>
      <c r="G3393" t="s">
        <v>14</v>
      </c>
      <c r="H3393" t="s">
        <v>15</v>
      </c>
      <c r="I3393">
        <v>2.2999999999999998</v>
      </c>
      <c r="J3393">
        <v>14</v>
      </c>
      <c r="K3393">
        <v>7</v>
      </c>
    </row>
    <row r="3394" spans="1:11" x14ac:dyDescent="0.35">
      <c r="A3394">
        <v>3393</v>
      </c>
      <c r="B3394">
        <v>46</v>
      </c>
      <c r="C3394" t="s">
        <v>16</v>
      </c>
      <c r="D3394" t="s">
        <v>27</v>
      </c>
      <c r="E3394" t="s">
        <v>28</v>
      </c>
      <c r="F3394">
        <v>1334.9</v>
      </c>
      <c r="G3394" t="s">
        <v>31</v>
      </c>
      <c r="H3394" t="s">
        <v>15</v>
      </c>
      <c r="I3394">
        <v>2.4</v>
      </c>
      <c r="J3394">
        <v>16</v>
      </c>
      <c r="K3394">
        <v>3</v>
      </c>
    </row>
    <row r="3395" spans="1:11" x14ac:dyDescent="0.35">
      <c r="A3395">
        <v>3394</v>
      </c>
      <c r="B3395">
        <v>60</v>
      </c>
      <c r="C3395" t="s">
        <v>16</v>
      </c>
      <c r="D3395" t="s">
        <v>27</v>
      </c>
      <c r="E3395" t="s">
        <v>53</v>
      </c>
      <c r="F3395">
        <v>2995.9</v>
      </c>
      <c r="G3395" t="s">
        <v>19</v>
      </c>
      <c r="H3395" t="s">
        <v>15</v>
      </c>
      <c r="I3395">
        <v>4.5999999999999996</v>
      </c>
      <c r="J3395">
        <v>14</v>
      </c>
      <c r="K3395">
        <v>7</v>
      </c>
    </row>
    <row r="3396" spans="1:11" x14ac:dyDescent="0.35">
      <c r="A3396">
        <v>3395</v>
      </c>
      <c r="B3396">
        <v>26</v>
      </c>
      <c r="C3396" t="s">
        <v>11</v>
      </c>
      <c r="D3396" t="s">
        <v>33</v>
      </c>
      <c r="E3396" t="s">
        <v>38</v>
      </c>
      <c r="F3396">
        <v>112.8</v>
      </c>
      <c r="G3396" t="s">
        <v>14</v>
      </c>
      <c r="H3396" t="s">
        <v>15</v>
      </c>
      <c r="I3396">
        <v>3.7</v>
      </c>
      <c r="J3396">
        <v>26</v>
      </c>
      <c r="K3396">
        <v>8</v>
      </c>
    </row>
    <row r="3397" spans="1:11" x14ac:dyDescent="0.35">
      <c r="A3397">
        <v>3396</v>
      </c>
      <c r="B3397">
        <v>65</v>
      </c>
      <c r="C3397" t="s">
        <v>11</v>
      </c>
      <c r="D3397" t="s">
        <v>29</v>
      </c>
      <c r="E3397" t="s">
        <v>51</v>
      </c>
      <c r="F3397">
        <v>116.4</v>
      </c>
      <c r="G3397" t="s">
        <v>24</v>
      </c>
      <c r="H3397" t="s">
        <v>15</v>
      </c>
      <c r="I3397">
        <v>3.9</v>
      </c>
      <c r="J3397">
        <v>30</v>
      </c>
      <c r="K3397">
        <v>10</v>
      </c>
    </row>
    <row r="3398" spans="1:11" x14ac:dyDescent="0.35">
      <c r="A3398">
        <v>3397</v>
      </c>
      <c r="B3398">
        <v>69</v>
      </c>
      <c r="C3398" t="s">
        <v>11</v>
      </c>
      <c r="D3398" t="s">
        <v>12</v>
      </c>
      <c r="E3398" t="s">
        <v>50</v>
      </c>
      <c r="F3398">
        <v>106.97</v>
      </c>
      <c r="G3398" t="s">
        <v>24</v>
      </c>
      <c r="H3398" t="s">
        <v>15</v>
      </c>
      <c r="I3398">
        <v>4.0999999999999996</v>
      </c>
      <c r="J3398">
        <v>13</v>
      </c>
      <c r="K3398">
        <v>4</v>
      </c>
    </row>
    <row r="3399" spans="1:11" x14ac:dyDescent="0.35">
      <c r="A3399">
        <v>3398</v>
      </c>
      <c r="B3399">
        <v>48</v>
      </c>
      <c r="C3399" t="s">
        <v>16</v>
      </c>
      <c r="D3399" t="s">
        <v>33</v>
      </c>
      <c r="E3399" t="s">
        <v>40</v>
      </c>
      <c r="F3399">
        <v>106.53</v>
      </c>
      <c r="G3399" t="s">
        <v>19</v>
      </c>
      <c r="H3399" t="s">
        <v>15</v>
      </c>
      <c r="I3399">
        <v>4.7</v>
      </c>
      <c r="J3399">
        <v>22</v>
      </c>
      <c r="K3399">
        <v>6</v>
      </c>
    </row>
    <row r="3400" spans="1:11" x14ac:dyDescent="0.35">
      <c r="A3400">
        <v>3399</v>
      </c>
      <c r="B3400">
        <v>22</v>
      </c>
      <c r="C3400" t="s">
        <v>11</v>
      </c>
      <c r="D3400" t="s">
        <v>25</v>
      </c>
      <c r="E3400" t="s">
        <v>54</v>
      </c>
      <c r="F3400">
        <v>71.849999999999994</v>
      </c>
      <c r="G3400" t="s">
        <v>19</v>
      </c>
      <c r="H3400" t="s">
        <v>15</v>
      </c>
      <c r="I3400">
        <v>3.6</v>
      </c>
      <c r="J3400">
        <v>22</v>
      </c>
      <c r="K3400">
        <v>6</v>
      </c>
    </row>
    <row r="3401" spans="1:11" x14ac:dyDescent="0.35">
      <c r="A3401">
        <v>3400</v>
      </c>
      <c r="B3401">
        <v>23</v>
      </c>
      <c r="C3401" t="s">
        <v>16</v>
      </c>
      <c r="D3401" t="s">
        <v>20</v>
      </c>
      <c r="E3401" t="s">
        <v>39</v>
      </c>
      <c r="F3401">
        <v>79.17</v>
      </c>
      <c r="G3401" t="s">
        <v>31</v>
      </c>
      <c r="H3401" t="s">
        <v>15</v>
      </c>
      <c r="I3401">
        <v>3.9</v>
      </c>
      <c r="J3401">
        <v>13</v>
      </c>
      <c r="K3401">
        <v>4</v>
      </c>
    </row>
    <row r="3402" spans="1:11" x14ac:dyDescent="0.35">
      <c r="A3402">
        <v>3401</v>
      </c>
      <c r="B3402">
        <v>21</v>
      </c>
      <c r="C3402" t="s">
        <v>16</v>
      </c>
      <c r="D3402" t="s">
        <v>33</v>
      </c>
      <c r="E3402" t="s">
        <v>40</v>
      </c>
      <c r="F3402">
        <v>218.6</v>
      </c>
      <c r="G3402" t="s">
        <v>24</v>
      </c>
      <c r="H3402" t="s">
        <v>15</v>
      </c>
      <c r="I3402">
        <v>4.5</v>
      </c>
      <c r="J3402">
        <v>12</v>
      </c>
      <c r="K3402">
        <v>6</v>
      </c>
    </row>
    <row r="3403" spans="1:11" x14ac:dyDescent="0.35">
      <c r="A3403">
        <v>3402</v>
      </c>
      <c r="B3403">
        <v>54</v>
      </c>
      <c r="C3403" t="s">
        <v>16</v>
      </c>
      <c r="D3403" t="s">
        <v>17</v>
      </c>
      <c r="E3403" t="s">
        <v>48</v>
      </c>
      <c r="F3403">
        <v>130.78</v>
      </c>
      <c r="G3403" t="s">
        <v>14</v>
      </c>
      <c r="H3403" t="s">
        <v>15</v>
      </c>
      <c r="I3403">
        <v>4.9000000000000004</v>
      </c>
      <c r="J3403">
        <v>14</v>
      </c>
      <c r="K3403">
        <v>7</v>
      </c>
    </row>
    <row r="3404" spans="1:11" x14ac:dyDescent="0.35">
      <c r="A3404">
        <v>3403</v>
      </c>
      <c r="B3404">
        <v>23</v>
      </c>
      <c r="C3404" t="s">
        <v>16</v>
      </c>
      <c r="D3404" t="s">
        <v>33</v>
      </c>
      <c r="E3404" t="s">
        <v>38</v>
      </c>
      <c r="F3404">
        <v>76.209999999999994</v>
      </c>
      <c r="G3404" t="s">
        <v>19</v>
      </c>
      <c r="H3404" t="s">
        <v>15</v>
      </c>
      <c r="I3404">
        <v>4.8</v>
      </c>
      <c r="J3404">
        <v>11</v>
      </c>
      <c r="K3404">
        <v>3</v>
      </c>
    </row>
    <row r="3405" spans="1:11" x14ac:dyDescent="0.35">
      <c r="A3405">
        <v>3404</v>
      </c>
      <c r="B3405">
        <v>36</v>
      </c>
      <c r="C3405" t="s">
        <v>16</v>
      </c>
      <c r="D3405" t="s">
        <v>20</v>
      </c>
      <c r="E3405" t="s">
        <v>36</v>
      </c>
      <c r="F3405">
        <v>134.77000000000001</v>
      </c>
      <c r="G3405" t="s">
        <v>31</v>
      </c>
      <c r="H3405" t="s">
        <v>15</v>
      </c>
      <c r="I3405">
        <v>4.8</v>
      </c>
      <c r="J3405">
        <v>12</v>
      </c>
      <c r="K3405">
        <v>6</v>
      </c>
    </row>
    <row r="3406" spans="1:11" x14ac:dyDescent="0.35">
      <c r="A3406">
        <v>3405</v>
      </c>
      <c r="B3406">
        <v>56</v>
      </c>
      <c r="C3406" t="s">
        <v>16</v>
      </c>
      <c r="D3406" t="s">
        <v>20</v>
      </c>
      <c r="E3406" t="s">
        <v>39</v>
      </c>
      <c r="F3406">
        <v>224.71</v>
      </c>
      <c r="G3406" t="s">
        <v>14</v>
      </c>
      <c r="H3406" t="s">
        <v>15</v>
      </c>
      <c r="I3406">
        <v>4.8</v>
      </c>
      <c r="J3406">
        <v>13</v>
      </c>
      <c r="K3406">
        <v>4</v>
      </c>
    </row>
    <row r="3407" spans="1:11" x14ac:dyDescent="0.35">
      <c r="A3407">
        <v>3406</v>
      </c>
      <c r="B3407">
        <v>65</v>
      </c>
      <c r="C3407" t="s">
        <v>11</v>
      </c>
      <c r="D3407" t="s">
        <v>29</v>
      </c>
      <c r="E3407" t="s">
        <v>55</v>
      </c>
      <c r="F3407">
        <v>29.46</v>
      </c>
      <c r="G3407" t="s">
        <v>14</v>
      </c>
      <c r="H3407" t="s">
        <v>15</v>
      </c>
      <c r="I3407">
        <v>3.6</v>
      </c>
      <c r="J3407">
        <v>13</v>
      </c>
      <c r="K3407">
        <v>4</v>
      </c>
    </row>
    <row r="3408" spans="1:11" x14ac:dyDescent="0.35">
      <c r="A3408">
        <v>3407</v>
      </c>
      <c r="B3408">
        <v>64</v>
      </c>
      <c r="C3408" t="s">
        <v>16</v>
      </c>
      <c r="D3408" t="s">
        <v>17</v>
      </c>
      <c r="E3408" t="s">
        <v>18</v>
      </c>
      <c r="F3408">
        <v>57</v>
      </c>
      <c r="G3408" t="s">
        <v>31</v>
      </c>
      <c r="H3408" t="s">
        <v>37</v>
      </c>
      <c r="I3408">
        <v>3.6</v>
      </c>
      <c r="J3408">
        <v>15</v>
      </c>
      <c r="K3408">
        <v>5</v>
      </c>
    </row>
    <row r="3409" spans="1:11" x14ac:dyDescent="0.35">
      <c r="A3409">
        <v>3408</v>
      </c>
      <c r="B3409">
        <v>38</v>
      </c>
      <c r="C3409" t="s">
        <v>16</v>
      </c>
      <c r="D3409" t="s">
        <v>33</v>
      </c>
      <c r="E3409" t="s">
        <v>40</v>
      </c>
      <c r="F3409">
        <v>71.58</v>
      </c>
      <c r="G3409" t="s">
        <v>19</v>
      </c>
      <c r="H3409" t="s">
        <v>37</v>
      </c>
      <c r="I3409">
        <v>3.3</v>
      </c>
      <c r="J3409">
        <v>13</v>
      </c>
      <c r="K3409">
        <v>4</v>
      </c>
    </row>
    <row r="3410" spans="1:11" x14ac:dyDescent="0.35">
      <c r="A3410">
        <v>3409</v>
      </c>
      <c r="B3410">
        <v>34</v>
      </c>
      <c r="C3410" t="s">
        <v>11</v>
      </c>
      <c r="D3410" t="s">
        <v>20</v>
      </c>
      <c r="E3410" t="s">
        <v>39</v>
      </c>
      <c r="F3410">
        <v>213.67</v>
      </c>
      <c r="G3410" t="s">
        <v>14</v>
      </c>
      <c r="H3410" t="s">
        <v>15</v>
      </c>
      <c r="I3410">
        <v>3.7</v>
      </c>
      <c r="J3410">
        <v>22</v>
      </c>
      <c r="K3410">
        <v>6</v>
      </c>
    </row>
    <row r="3411" spans="1:11" x14ac:dyDescent="0.35">
      <c r="A3411">
        <v>3410</v>
      </c>
      <c r="B3411">
        <v>35</v>
      </c>
      <c r="C3411" t="s">
        <v>11</v>
      </c>
      <c r="D3411" t="s">
        <v>41</v>
      </c>
      <c r="E3411" t="s">
        <v>44</v>
      </c>
      <c r="F3411">
        <v>97.07</v>
      </c>
      <c r="G3411" t="s">
        <v>19</v>
      </c>
      <c r="H3411" t="s">
        <v>37</v>
      </c>
      <c r="I3411">
        <v>3.1</v>
      </c>
      <c r="J3411">
        <v>18</v>
      </c>
      <c r="K3411">
        <v>4</v>
      </c>
    </row>
    <row r="3412" spans="1:11" x14ac:dyDescent="0.35">
      <c r="A3412">
        <v>3411</v>
      </c>
      <c r="B3412">
        <v>67</v>
      </c>
      <c r="C3412" t="s">
        <v>11</v>
      </c>
      <c r="D3412" t="s">
        <v>12</v>
      </c>
      <c r="E3412" t="s">
        <v>50</v>
      </c>
      <c r="F3412">
        <v>154.84</v>
      </c>
      <c r="G3412" t="s">
        <v>24</v>
      </c>
      <c r="H3412" t="s">
        <v>15</v>
      </c>
      <c r="I3412">
        <v>3.9</v>
      </c>
      <c r="J3412">
        <v>18</v>
      </c>
      <c r="K3412">
        <v>4</v>
      </c>
    </row>
    <row r="3413" spans="1:11" x14ac:dyDescent="0.35">
      <c r="A3413">
        <v>3412</v>
      </c>
      <c r="B3413">
        <v>55</v>
      </c>
      <c r="C3413" t="s">
        <v>11</v>
      </c>
      <c r="D3413" t="s">
        <v>29</v>
      </c>
      <c r="E3413" t="s">
        <v>30</v>
      </c>
      <c r="F3413">
        <v>92.98</v>
      </c>
      <c r="G3413" t="s">
        <v>24</v>
      </c>
      <c r="H3413" t="s">
        <v>15</v>
      </c>
      <c r="I3413">
        <v>3.7</v>
      </c>
      <c r="J3413">
        <v>8</v>
      </c>
      <c r="K3413">
        <v>4</v>
      </c>
    </row>
    <row r="3414" spans="1:11" x14ac:dyDescent="0.35">
      <c r="A3414">
        <v>3413</v>
      </c>
      <c r="B3414">
        <v>64</v>
      </c>
      <c r="C3414" t="s">
        <v>11</v>
      </c>
      <c r="D3414" t="s">
        <v>29</v>
      </c>
      <c r="E3414" t="s">
        <v>51</v>
      </c>
      <c r="F3414">
        <v>81.650000000000006</v>
      </c>
      <c r="G3414" t="s">
        <v>19</v>
      </c>
      <c r="H3414" t="s">
        <v>15</v>
      </c>
      <c r="I3414">
        <v>3.8</v>
      </c>
      <c r="J3414">
        <v>17</v>
      </c>
      <c r="K3414">
        <v>6</v>
      </c>
    </row>
    <row r="3415" spans="1:11" x14ac:dyDescent="0.35">
      <c r="A3415">
        <v>3414</v>
      </c>
      <c r="B3415">
        <v>39</v>
      </c>
      <c r="C3415" t="s">
        <v>11</v>
      </c>
      <c r="D3415" t="s">
        <v>33</v>
      </c>
      <c r="E3415" t="s">
        <v>40</v>
      </c>
      <c r="F3415">
        <v>249.4</v>
      </c>
      <c r="G3415" t="s">
        <v>31</v>
      </c>
      <c r="H3415" t="s">
        <v>15</v>
      </c>
      <c r="I3415">
        <v>3.9</v>
      </c>
      <c r="J3415">
        <v>21</v>
      </c>
      <c r="K3415">
        <v>8</v>
      </c>
    </row>
    <row r="3416" spans="1:11" x14ac:dyDescent="0.35">
      <c r="A3416">
        <v>3415</v>
      </c>
      <c r="B3416">
        <v>23</v>
      </c>
      <c r="C3416" t="s">
        <v>16</v>
      </c>
      <c r="D3416" t="s">
        <v>22</v>
      </c>
      <c r="E3416" t="s">
        <v>43</v>
      </c>
      <c r="F3416">
        <v>268.91000000000003</v>
      </c>
      <c r="G3416" t="s">
        <v>19</v>
      </c>
      <c r="H3416" t="s">
        <v>15</v>
      </c>
      <c r="I3416">
        <v>4.2</v>
      </c>
      <c r="J3416">
        <v>13</v>
      </c>
      <c r="K3416">
        <v>4</v>
      </c>
    </row>
    <row r="3417" spans="1:11" x14ac:dyDescent="0.35">
      <c r="A3417">
        <v>3416</v>
      </c>
      <c r="B3417">
        <v>66</v>
      </c>
      <c r="C3417" t="s">
        <v>16</v>
      </c>
      <c r="D3417" t="s">
        <v>20</v>
      </c>
      <c r="E3417" t="s">
        <v>21</v>
      </c>
      <c r="F3417">
        <v>81.459999999999994</v>
      </c>
      <c r="G3417" t="s">
        <v>24</v>
      </c>
      <c r="H3417" t="s">
        <v>37</v>
      </c>
      <c r="I3417">
        <v>3.9</v>
      </c>
      <c r="J3417">
        <v>20</v>
      </c>
      <c r="K3417">
        <v>5</v>
      </c>
    </row>
    <row r="3418" spans="1:11" x14ac:dyDescent="0.35">
      <c r="A3418">
        <v>3417</v>
      </c>
      <c r="B3418">
        <v>29</v>
      </c>
      <c r="C3418" t="s">
        <v>11</v>
      </c>
      <c r="D3418" t="s">
        <v>41</v>
      </c>
      <c r="E3418" t="s">
        <v>44</v>
      </c>
      <c r="F3418">
        <v>135.06</v>
      </c>
      <c r="G3418" t="s">
        <v>31</v>
      </c>
      <c r="H3418" t="s">
        <v>15</v>
      </c>
      <c r="I3418">
        <v>2.2000000000000002</v>
      </c>
      <c r="J3418">
        <v>19</v>
      </c>
      <c r="K3418">
        <v>7</v>
      </c>
    </row>
    <row r="3419" spans="1:11" x14ac:dyDescent="0.35">
      <c r="A3419">
        <v>3418</v>
      </c>
      <c r="B3419">
        <v>54</v>
      </c>
      <c r="C3419" t="s">
        <v>11</v>
      </c>
      <c r="D3419" t="s">
        <v>29</v>
      </c>
      <c r="E3419" t="s">
        <v>55</v>
      </c>
      <c r="F3419">
        <v>127.1</v>
      </c>
      <c r="G3419" t="s">
        <v>14</v>
      </c>
      <c r="H3419" t="s">
        <v>15</v>
      </c>
      <c r="I3419">
        <v>3.5</v>
      </c>
      <c r="J3419">
        <v>18</v>
      </c>
      <c r="K3419">
        <v>4</v>
      </c>
    </row>
    <row r="3420" spans="1:11" x14ac:dyDescent="0.35">
      <c r="A3420">
        <v>3419</v>
      </c>
      <c r="B3420">
        <v>48</v>
      </c>
      <c r="C3420" t="s">
        <v>16</v>
      </c>
      <c r="D3420" t="s">
        <v>33</v>
      </c>
      <c r="E3420" t="s">
        <v>40</v>
      </c>
      <c r="F3420">
        <v>121.62</v>
      </c>
      <c r="G3420" t="s">
        <v>19</v>
      </c>
      <c r="H3420" t="s">
        <v>15</v>
      </c>
      <c r="I3420">
        <v>4.4000000000000004</v>
      </c>
      <c r="J3420">
        <v>6</v>
      </c>
      <c r="K3420">
        <v>3</v>
      </c>
    </row>
    <row r="3421" spans="1:11" x14ac:dyDescent="0.35">
      <c r="A3421">
        <v>3420</v>
      </c>
      <c r="B3421">
        <v>30</v>
      </c>
      <c r="C3421" t="s">
        <v>11</v>
      </c>
      <c r="D3421" t="s">
        <v>22</v>
      </c>
      <c r="E3421" t="s">
        <v>43</v>
      </c>
      <c r="F3421">
        <v>194.22</v>
      </c>
      <c r="G3421" t="s">
        <v>19</v>
      </c>
      <c r="H3421" t="s">
        <v>15</v>
      </c>
      <c r="I3421">
        <v>4.2</v>
      </c>
      <c r="J3421">
        <v>13</v>
      </c>
      <c r="K3421">
        <v>4</v>
      </c>
    </row>
    <row r="3422" spans="1:11" x14ac:dyDescent="0.35">
      <c r="A3422">
        <v>3421</v>
      </c>
      <c r="B3422">
        <v>48</v>
      </c>
      <c r="C3422" t="s">
        <v>11</v>
      </c>
      <c r="D3422" t="s">
        <v>33</v>
      </c>
      <c r="E3422" t="s">
        <v>38</v>
      </c>
      <c r="F3422">
        <v>225.8</v>
      </c>
      <c r="G3422" t="s">
        <v>31</v>
      </c>
      <c r="H3422" t="s">
        <v>15</v>
      </c>
      <c r="I3422">
        <v>3.2</v>
      </c>
      <c r="J3422">
        <v>6</v>
      </c>
      <c r="K3422">
        <v>3</v>
      </c>
    </row>
    <row r="3423" spans="1:11" x14ac:dyDescent="0.35">
      <c r="A3423">
        <v>3422</v>
      </c>
      <c r="B3423">
        <v>47</v>
      </c>
      <c r="C3423" t="s">
        <v>11</v>
      </c>
      <c r="D3423" t="s">
        <v>41</v>
      </c>
      <c r="E3423" t="s">
        <v>42</v>
      </c>
      <c r="F3423">
        <v>193.59</v>
      </c>
      <c r="G3423" t="s">
        <v>19</v>
      </c>
      <c r="H3423" t="s">
        <v>15</v>
      </c>
      <c r="I3423">
        <v>3.3</v>
      </c>
      <c r="J3423">
        <v>16</v>
      </c>
      <c r="K3423">
        <v>3</v>
      </c>
    </row>
    <row r="3424" spans="1:11" x14ac:dyDescent="0.35">
      <c r="A3424">
        <v>3423</v>
      </c>
      <c r="B3424">
        <v>48</v>
      </c>
      <c r="C3424" t="s">
        <v>16</v>
      </c>
      <c r="D3424" t="s">
        <v>27</v>
      </c>
      <c r="E3424" t="s">
        <v>49</v>
      </c>
      <c r="F3424">
        <v>2610.9899999999998</v>
      </c>
      <c r="G3424" t="s">
        <v>31</v>
      </c>
      <c r="H3424" t="s">
        <v>15</v>
      </c>
      <c r="I3424">
        <v>3.5</v>
      </c>
      <c r="J3424">
        <v>13</v>
      </c>
      <c r="K3424">
        <v>4</v>
      </c>
    </row>
    <row r="3425" spans="1:11" x14ac:dyDescent="0.35">
      <c r="A3425">
        <v>3424</v>
      </c>
      <c r="B3425">
        <v>20</v>
      </c>
      <c r="C3425" t="s">
        <v>11</v>
      </c>
      <c r="D3425" t="s">
        <v>33</v>
      </c>
      <c r="E3425" t="s">
        <v>40</v>
      </c>
      <c r="F3425">
        <v>104.2</v>
      </c>
      <c r="G3425" t="s">
        <v>19</v>
      </c>
      <c r="H3425" t="s">
        <v>15</v>
      </c>
      <c r="I3425">
        <v>2.8</v>
      </c>
      <c r="J3425">
        <v>11</v>
      </c>
      <c r="K3425">
        <v>3</v>
      </c>
    </row>
    <row r="3426" spans="1:11" x14ac:dyDescent="0.35">
      <c r="A3426">
        <v>3425</v>
      </c>
      <c r="B3426">
        <v>37</v>
      </c>
      <c r="C3426" t="s">
        <v>16</v>
      </c>
      <c r="D3426" t="s">
        <v>33</v>
      </c>
      <c r="E3426" t="s">
        <v>34</v>
      </c>
      <c r="F3426">
        <v>159.51</v>
      </c>
      <c r="G3426" t="s">
        <v>24</v>
      </c>
      <c r="H3426" t="s">
        <v>15</v>
      </c>
      <c r="I3426">
        <v>3.8</v>
      </c>
      <c r="J3426">
        <v>11</v>
      </c>
      <c r="K3426">
        <v>3</v>
      </c>
    </row>
    <row r="3427" spans="1:11" x14ac:dyDescent="0.35">
      <c r="A3427">
        <v>3426</v>
      </c>
      <c r="B3427">
        <v>63</v>
      </c>
      <c r="C3427" t="s">
        <v>16</v>
      </c>
      <c r="D3427" t="s">
        <v>17</v>
      </c>
      <c r="E3427" t="s">
        <v>42</v>
      </c>
      <c r="F3427">
        <v>163.47999999999999</v>
      </c>
      <c r="G3427" t="s">
        <v>14</v>
      </c>
      <c r="H3427" t="s">
        <v>15</v>
      </c>
      <c r="I3427">
        <v>4</v>
      </c>
      <c r="J3427">
        <v>18</v>
      </c>
      <c r="K3427">
        <v>4</v>
      </c>
    </row>
    <row r="3428" spans="1:11" x14ac:dyDescent="0.35">
      <c r="A3428">
        <v>3427</v>
      </c>
      <c r="B3428">
        <v>49</v>
      </c>
      <c r="C3428" t="s">
        <v>11</v>
      </c>
      <c r="D3428" t="s">
        <v>22</v>
      </c>
      <c r="E3428" t="s">
        <v>52</v>
      </c>
      <c r="F3428">
        <v>106.24</v>
      </c>
      <c r="G3428" t="s">
        <v>24</v>
      </c>
      <c r="H3428" t="s">
        <v>15</v>
      </c>
      <c r="I3428">
        <v>3.5</v>
      </c>
      <c r="J3428">
        <v>16</v>
      </c>
      <c r="K3428">
        <v>3</v>
      </c>
    </row>
    <row r="3429" spans="1:11" x14ac:dyDescent="0.35">
      <c r="A3429">
        <v>3428</v>
      </c>
      <c r="B3429">
        <v>40</v>
      </c>
      <c r="C3429" t="s">
        <v>16</v>
      </c>
      <c r="D3429" t="s">
        <v>27</v>
      </c>
      <c r="E3429" t="s">
        <v>53</v>
      </c>
      <c r="F3429">
        <v>1340.12</v>
      </c>
      <c r="G3429" t="s">
        <v>19</v>
      </c>
      <c r="H3429" t="s">
        <v>15</v>
      </c>
      <c r="I3429">
        <v>4.0999999999999996</v>
      </c>
      <c r="J3429">
        <v>28</v>
      </c>
      <c r="K3429">
        <v>9</v>
      </c>
    </row>
    <row r="3430" spans="1:11" x14ac:dyDescent="0.35">
      <c r="A3430">
        <v>3429</v>
      </c>
      <c r="B3430">
        <v>55</v>
      </c>
      <c r="C3430" t="s">
        <v>11</v>
      </c>
      <c r="D3430" t="s">
        <v>12</v>
      </c>
      <c r="E3430" t="s">
        <v>56</v>
      </c>
      <c r="F3430">
        <v>66.95</v>
      </c>
      <c r="G3430" t="s">
        <v>19</v>
      </c>
      <c r="H3430" t="s">
        <v>15</v>
      </c>
      <c r="I3430">
        <v>3.7</v>
      </c>
      <c r="J3430">
        <v>14</v>
      </c>
      <c r="K3430">
        <v>2</v>
      </c>
    </row>
    <row r="3431" spans="1:11" x14ac:dyDescent="0.35">
      <c r="A3431">
        <v>3430</v>
      </c>
      <c r="B3431">
        <v>50</v>
      </c>
      <c r="C3431" t="s">
        <v>11</v>
      </c>
      <c r="D3431" t="s">
        <v>41</v>
      </c>
      <c r="E3431" t="s">
        <v>46</v>
      </c>
      <c r="F3431">
        <v>114.36</v>
      </c>
      <c r="G3431" t="s">
        <v>14</v>
      </c>
      <c r="H3431" t="s">
        <v>15</v>
      </c>
      <c r="I3431">
        <v>3.3</v>
      </c>
      <c r="J3431">
        <v>10</v>
      </c>
      <c r="K3431">
        <v>5</v>
      </c>
    </row>
    <row r="3432" spans="1:11" x14ac:dyDescent="0.35">
      <c r="A3432">
        <v>3431</v>
      </c>
      <c r="B3432">
        <v>63</v>
      </c>
      <c r="C3432" t="s">
        <v>11</v>
      </c>
      <c r="D3432" t="s">
        <v>12</v>
      </c>
      <c r="E3432" t="s">
        <v>56</v>
      </c>
      <c r="F3432">
        <v>171.7</v>
      </c>
      <c r="G3432" t="s">
        <v>31</v>
      </c>
      <c r="H3432" t="s">
        <v>15</v>
      </c>
      <c r="I3432">
        <v>3.8</v>
      </c>
      <c r="J3432">
        <v>17</v>
      </c>
      <c r="K3432">
        <v>6</v>
      </c>
    </row>
    <row r="3433" spans="1:11" x14ac:dyDescent="0.35">
      <c r="A3433">
        <v>3432</v>
      </c>
      <c r="B3433">
        <v>36</v>
      </c>
      <c r="C3433" t="s">
        <v>16</v>
      </c>
      <c r="D3433" t="s">
        <v>33</v>
      </c>
      <c r="E3433" t="s">
        <v>40</v>
      </c>
      <c r="F3433">
        <v>74.53</v>
      </c>
      <c r="G3433" t="s">
        <v>19</v>
      </c>
      <c r="H3433" t="s">
        <v>37</v>
      </c>
      <c r="I3433">
        <v>4.3</v>
      </c>
      <c r="J3433">
        <v>11</v>
      </c>
      <c r="K3433">
        <v>3</v>
      </c>
    </row>
    <row r="3434" spans="1:11" x14ac:dyDescent="0.35">
      <c r="A3434">
        <v>3433</v>
      </c>
      <c r="B3434">
        <v>34</v>
      </c>
      <c r="C3434" t="s">
        <v>11</v>
      </c>
      <c r="D3434" t="s">
        <v>41</v>
      </c>
      <c r="E3434" t="s">
        <v>46</v>
      </c>
      <c r="F3434">
        <v>47.24</v>
      </c>
      <c r="G3434" t="s">
        <v>19</v>
      </c>
      <c r="H3434" t="s">
        <v>37</v>
      </c>
      <c r="I3434">
        <v>3.1</v>
      </c>
      <c r="J3434">
        <v>18</v>
      </c>
      <c r="K3434">
        <v>4</v>
      </c>
    </row>
    <row r="3435" spans="1:11" x14ac:dyDescent="0.35">
      <c r="A3435">
        <v>3434</v>
      </c>
      <c r="B3435">
        <v>70</v>
      </c>
      <c r="C3435" t="s">
        <v>16</v>
      </c>
      <c r="D3435" t="s">
        <v>33</v>
      </c>
      <c r="E3435" t="s">
        <v>38</v>
      </c>
      <c r="F3435">
        <v>247.53</v>
      </c>
      <c r="G3435" t="s">
        <v>19</v>
      </c>
      <c r="H3435" t="s">
        <v>15</v>
      </c>
      <c r="I3435">
        <v>4.0999999999999996</v>
      </c>
      <c r="J3435">
        <v>12</v>
      </c>
      <c r="K3435">
        <v>6</v>
      </c>
    </row>
    <row r="3436" spans="1:11" x14ac:dyDescent="0.35">
      <c r="A3436">
        <v>3435</v>
      </c>
      <c r="B3436">
        <v>65</v>
      </c>
      <c r="C3436" t="s">
        <v>11</v>
      </c>
      <c r="D3436" t="s">
        <v>29</v>
      </c>
      <c r="E3436" t="s">
        <v>30</v>
      </c>
      <c r="F3436">
        <v>119.15</v>
      </c>
      <c r="G3436" t="s">
        <v>31</v>
      </c>
      <c r="H3436" t="s">
        <v>15</v>
      </c>
      <c r="I3436">
        <v>2.9</v>
      </c>
      <c r="J3436">
        <v>18</v>
      </c>
      <c r="K3436">
        <v>4</v>
      </c>
    </row>
    <row r="3437" spans="1:11" x14ac:dyDescent="0.35">
      <c r="A3437">
        <v>3436</v>
      </c>
      <c r="B3437">
        <v>38</v>
      </c>
      <c r="C3437" t="s">
        <v>16</v>
      </c>
      <c r="D3437" t="s">
        <v>27</v>
      </c>
      <c r="E3437" t="s">
        <v>28</v>
      </c>
      <c r="F3437">
        <v>2077.59</v>
      </c>
      <c r="G3437" t="s">
        <v>24</v>
      </c>
      <c r="H3437" t="s">
        <v>15</v>
      </c>
      <c r="I3437">
        <v>3.2</v>
      </c>
      <c r="J3437">
        <v>8</v>
      </c>
      <c r="K3437">
        <v>4</v>
      </c>
    </row>
    <row r="3438" spans="1:11" x14ac:dyDescent="0.35">
      <c r="A3438">
        <v>3437</v>
      </c>
      <c r="B3438">
        <v>24</v>
      </c>
      <c r="C3438" t="s">
        <v>16</v>
      </c>
      <c r="D3438" t="s">
        <v>27</v>
      </c>
      <c r="E3438" t="s">
        <v>28</v>
      </c>
      <c r="F3438">
        <v>2160.6799999999998</v>
      </c>
      <c r="G3438" t="s">
        <v>24</v>
      </c>
      <c r="H3438" t="s">
        <v>15</v>
      </c>
      <c r="I3438">
        <v>2.7</v>
      </c>
      <c r="J3438">
        <v>6</v>
      </c>
      <c r="K3438">
        <v>3</v>
      </c>
    </row>
    <row r="3439" spans="1:11" x14ac:dyDescent="0.35">
      <c r="A3439">
        <v>3438</v>
      </c>
      <c r="B3439">
        <v>45</v>
      </c>
      <c r="C3439" t="s">
        <v>16</v>
      </c>
      <c r="D3439" t="s">
        <v>33</v>
      </c>
      <c r="E3439" t="s">
        <v>38</v>
      </c>
      <c r="F3439">
        <v>179.48</v>
      </c>
      <c r="G3439" t="s">
        <v>14</v>
      </c>
      <c r="H3439" t="s">
        <v>15</v>
      </c>
      <c r="I3439">
        <v>3.9</v>
      </c>
      <c r="J3439">
        <v>13</v>
      </c>
      <c r="K3439">
        <v>4</v>
      </c>
    </row>
    <row r="3440" spans="1:11" x14ac:dyDescent="0.35">
      <c r="A3440">
        <v>3439</v>
      </c>
      <c r="B3440">
        <v>63</v>
      </c>
      <c r="C3440" t="s">
        <v>16</v>
      </c>
      <c r="D3440" t="s">
        <v>22</v>
      </c>
      <c r="E3440" t="s">
        <v>52</v>
      </c>
      <c r="F3440">
        <v>49.32</v>
      </c>
      <c r="G3440" t="s">
        <v>24</v>
      </c>
      <c r="H3440" t="s">
        <v>37</v>
      </c>
      <c r="I3440">
        <v>3.6</v>
      </c>
      <c r="J3440">
        <v>18</v>
      </c>
      <c r="K3440">
        <v>4</v>
      </c>
    </row>
    <row r="3441" spans="1:11" x14ac:dyDescent="0.35">
      <c r="A3441">
        <v>3440</v>
      </c>
      <c r="B3441">
        <v>55</v>
      </c>
      <c r="C3441" t="s">
        <v>16</v>
      </c>
      <c r="D3441" t="s">
        <v>27</v>
      </c>
      <c r="E3441" t="s">
        <v>53</v>
      </c>
      <c r="F3441">
        <v>844.6</v>
      </c>
      <c r="G3441" t="s">
        <v>24</v>
      </c>
      <c r="H3441" t="s">
        <v>15</v>
      </c>
      <c r="I3441">
        <v>4.7</v>
      </c>
      <c r="J3441">
        <v>4</v>
      </c>
      <c r="K3441">
        <v>2</v>
      </c>
    </row>
    <row r="3442" spans="1:11" x14ac:dyDescent="0.35">
      <c r="A3442">
        <v>3441</v>
      </c>
      <c r="B3442">
        <v>58</v>
      </c>
      <c r="C3442" t="s">
        <v>11</v>
      </c>
      <c r="D3442" t="s">
        <v>25</v>
      </c>
      <c r="E3442" t="s">
        <v>54</v>
      </c>
      <c r="F3442">
        <v>61.51</v>
      </c>
      <c r="G3442" t="s">
        <v>14</v>
      </c>
      <c r="H3442" t="s">
        <v>15</v>
      </c>
      <c r="I3442">
        <v>2.9</v>
      </c>
      <c r="J3442">
        <v>10</v>
      </c>
      <c r="K3442">
        <v>5</v>
      </c>
    </row>
    <row r="3443" spans="1:11" x14ac:dyDescent="0.35">
      <c r="A3443">
        <v>3442</v>
      </c>
      <c r="B3443">
        <v>20</v>
      </c>
      <c r="C3443" t="s">
        <v>16</v>
      </c>
      <c r="D3443" t="s">
        <v>27</v>
      </c>
      <c r="E3443" t="s">
        <v>28</v>
      </c>
      <c r="F3443">
        <v>1267.3900000000001</v>
      </c>
      <c r="G3443" t="s">
        <v>31</v>
      </c>
      <c r="H3443" t="s">
        <v>15</v>
      </c>
      <c r="I3443">
        <v>3.5</v>
      </c>
      <c r="J3443">
        <v>6</v>
      </c>
      <c r="K3443">
        <v>3</v>
      </c>
    </row>
    <row r="3444" spans="1:11" x14ac:dyDescent="0.35">
      <c r="A3444">
        <v>3443</v>
      </c>
      <c r="B3444">
        <v>51</v>
      </c>
      <c r="C3444" t="s">
        <v>11</v>
      </c>
      <c r="D3444" t="s">
        <v>12</v>
      </c>
      <c r="E3444" t="s">
        <v>13</v>
      </c>
      <c r="F3444">
        <v>89.15</v>
      </c>
      <c r="G3444" t="s">
        <v>31</v>
      </c>
      <c r="H3444" t="s">
        <v>37</v>
      </c>
      <c r="I3444">
        <v>3</v>
      </c>
      <c r="J3444">
        <v>14</v>
      </c>
      <c r="K3444">
        <v>7</v>
      </c>
    </row>
    <row r="3445" spans="1:11" x14ac:dyDescent="0.35">
      <c r="A3445">
        <v>3444</v>
      </c>
      <c r="B3445">
        <v>59</v>
      </c>
      <c r="C3445" t="s">
        <v>11</v>
      </c>
      <c r="D3445" t="s">
        <v>29</v>
      </c>
      <c r="E3445" t="s">
        <v>30</v>
      </c>
      <c r="F3445">
        <v>31.16</v>
      </c>
      <c r="G3445" t="s">
        <v>14</v>
      </c>
      <c r="H3445" t="s">
        <v>37</v>
      </c>
      <c r="I3445">
        <v>3.7</v>
      </c>
      <c r="J3445">
        <v>15</v>
      </c>
      <c r="K3445">
        <v>5</v>
      </c>
    </row>
    <row r="3446" spans="1:11" x14ac:dyDescent="0.35">
      <c r="A3446">
        <v>3445</v>
      </c>
      <c r="B3446">
        <v>20</v>
      </c>
      <c r="C3446" t="s">
        <v>11</v>
      </c>
      <c r="D3446" t="s">
        <v>25</v>
      </c>
      <c r="E3446" t="s">
        <v>47</v>
      </c>
      <c r="F3446">
        <v>40.090000000000003</v>
      </c>
      <c r="G3446" t="s">
        <v>19</v>
      </c>
      <c r="H3446" t="s">
        <v>37</v>
      </c>
      <c r="I3446">
        <v>4.9000000000000004</v>
      </c>
      <c r="J3446">
        <v>20</v>
      </c>
      <c r="K3446">
        <v>5</v>
      </c>
    </row>
    <row r="3447" spans="1:11" x14ac:dyDescent="0.35">
      <c r="A3447">
        <v>3446</v>
      </c>
      <c r="B3447">
        <v>33</v>
      </c>
      <c r="C3447" t="s">
        <v>11</v>
      </c>
      <c r="D3447" t="s">
        <v>33</v>
      </c>
      <c r="E3447" t="s">
        <v>40</v>
      </c>
      <c r="F3447">
        <v>94.64</v>
      </c>
      <c r="G3447" t="s">
        <v>31</v>
      </c>
      <c r="H3447" t="s">
        <v>37</v>
      </c>
      <c r="I3447">
        <v>4.9000000000000004</v>
      </c>
      <c r="J3447">
        <v>20</v>
      </c>
      <c r="K3447">
        <v>5</v>
      </c>
    </row>
    <row r="3448" spans="1:11" x14ac:dyDescent="0.35">
      <c r="A3448">
        <v>3447</v>
      </c>
      <c r="B3448">
        <v>46</v>
      </c>
      <c r="C3448" t="s">
        <v>11</v>
      </c>
      <c r="D3448" t="s">
        <v>25</v>
      </c>
      <c r="E3448" t="s">
        <v>47</v>
      </c>
      <c r="F3448">
        <v>47.53</v>
      </c>
      <c r="G3448" t="s">
        <v>24</v>
      </c>
      <c r="H3448" t="s">
        <v>37</v>
      </c>
      <c r="I3448">
        <v>3.4</v>
      </c>
      <c r="J3448">
        <v>11</v>
      </c>
      <c r="K3448">
        <v>3</v>
      </c>
    </row>
    <row r="3449" spans="1:11" x14ac:dyDescent="0.35">
      <c r="A3449">
        <v>3448</v>
      </c>
      <c r="B3449">
        <v>29</v>
      </c>
      <c r="C3449" t="s">
        <v>16</v>
      </c>
      <c r="D3449" t="s">
        <v>33</v>
      </c>
      <c r="E3449" t="s">
        <v>40</v>
      </c>
      <c r="F3449">
        <v>51.72</v>
      </c>
      <c r="G3449" t="s">
        <v>24</v>
      </c>
      <c r="H3449" t="s">
        <v>15</v>
      </c>
      <c r="I3449">
        <v>3.9</v>
      </c>
      <c r="J3449">
        <v>17</v>
      </c>
      <c r="K3449">
        <v>6</v>
      </c>
    </row>
    <row r="3450" spans="1:11" x14ac:dyDescent="0.35">
      <c r="A3450">
        <v>3449</v>
      </c>
      <c r="B3450">
        <v>59</v>
      </c>
      <c r="C3450" t="s">
        <v>11</v>
      </c>
      <c r="D3450" t="s">
        <v>25</v>
      </c>
      <c r="E3450" t="s">
        <v>57</v>
      </c>
      <c r="F3450">
        <v>63.38</v>
      </c>
      <c r="G3450" t="s">
        <v>14</v>
      </c>
      <c r="H3450" t="s">
        <v>15</v>
      </c>
      <c r="I3450">
        <v>3.1</v>
      </c>
      <c r="J3450">
        <v>26</v>
      </c>
      <c r="K3450">
        <v>8</v>
      </c>
    </row>
    <row r="3451" spans="1:11" x14ac:dyDescent="0.35">
      <c r="A3451">
        <v>3450</v>
      </c>
      <c r="B3451">
        <v>37</v>
      </c>
      <c r="C3451" t="s">
        <v>11</v>
      </c>
      <c r="D3451" t="s">
        <v>29</v>
      </c>
      <c r="E3451" t="s">
        <v>30</v>
      </c>
      <c r="F3451">
        <v>37.64</v>
      </c>
      <c r="G3451" t="s">
        <v>19</v>
      </c>
      <c r="H3451" t="s">
        <v>15</v>
      </c>
      <c r="I3451">
        <v>2.9</v>
      </c>
      <c r="J3451">
        <v>15</v>
      </c>
      <c r="K3451">
        <v>5</v>
      </c>
    </row>
    <row r="3452" spans="1:11" x14ac:dyDescent="0.35">
      <c r="A3452">
        <v>3451</v>
      </c>
      <c r="B3452">
        <v>43</v>
      </c>
      <c r="C3452" t="s">
        <v>11</v>
      </c>
      <c r="D3452" t="s">
        <v>33</v>
      </c>
      <c r="E3452" t="s">
        <v>38</v>
      </c>
      <c r="F3452">
        <v>183.45</v>
      </c>
      <c r="G3452" t="s">
        <v>14</v>
      </c>
      <c r="H3452" t="s">
        <v>15</v>
      </c>
      <c r="I3452">
        <v>4.4000000000000004</v>
      </c>
      <c r="J3452">
        <v>28</v>
      </c>
      <c r="K3452">
        <v>9</v>
      </c>
    </row>
    <row r="3453" spans="1:11" x14ac:dyDescent="0.35">
      <c r="A3453">
        <v>3452</v>
      </c>
      <c r="B3453">
        <v>38</v>
      </c>
      <c r="C3453" t="s">
        <v>11</v>
      </c>
      <c r="D3453" t="s">
        <v>20</v>
      </c>
      <c r="E3453" t="s">
        <v>39</v>
      </c>
      <c r="F3453">
        <v>103.8</v>
      </c>
      <c r="G3453" t="s">
        <v>31</v>
      </c>
      <c r="H3453" t="s">
        <v>15</v>
      </c>
      <c r="I3453">
        <v>3.4</v>
      </c>
      <c r="J3453">
        <v>21</v>
      </c>
      <c r="K3453">
        <v>8</v>
      </c>
    </row>
    <row r="3454" spans="1:11" x14ac:dyDescent="0.35">
      <c r="A3454">
        <v>3453</v>
      </c>
      <c r="B3454">
        <v>25</v>
      </c>
      <c r="C3454" t="s">
        <v>16</v>
      </c>
      <c r="D3454" t="s">
        <v>17</v>
      </c>
      <c r="E3454" t="s">
        <v>35</v>
      </c>
      <c r="F3454">
        <v>86.2</v>
      </c>
      <c r="G3454" t="s">
        <v>19</v>
      </c>
      <c r="H3454" t="s">
        <v>15</v>
      </c>
      <c r="I3454">
        <v>3.9</v>
      </c>
      <c r="J3454">
        <v>25</v>
      </c>
      <c r="K3454">
        <v>10</v>
      </c>
    </row>
    <row r="3455" spans="1:11" x14ac:dyDescent="0.35">
      <c r="A3455">
        <v>3454</v>
      </c>
      <c r="B3455">
        <v>25</v>
      </c>
      <c r="C3455" t="s">
        <v>16</v>
      </c>
      <c r="D3455" t="s">
        <v>20</v>
      </c>
      <c r="E3455" t="s">
        <v>36</v>
      </c>
      <c r="F3455">
        <v>134.38</v>
      </c>
      <c r="G3455" t="s">
        <v>24</v>
      </c>
      <c r="H3455" t="s">
        <v>15</v>
      </c>
      <c r="I3455">
        <v>3.8</v>
      </c>
      <c r="J3455">
        <v>9</v>
      </c>
      <c r="K3455">
        <v>2</v>
      </c>
    </row>
    <row r="3456" spans="1:11" x14ac:dyDescent="0.35">
      <c r="A3456">
        <v>3455</v>
      </c>
      <c r="B3456">
        <v>50</v>
      </c>
      <c r="C3456" t="s">
        <v>16</v>
      </c>
      <c r="D3456" t="s">
        <v>27</v>
      </c>
      <c r="E3456" t="s">
        <v>53</v>
      </c>
      <c r="F3456">
        <v>2994.62</v>
      </c>
      <c r="G3456" t="s">
        <v>14</v>
      </c>
      <c r="H3456" t="s">
        <v>15</v>
      </c>
      <c r="I3456">
        <v>3.6</v>
      </c>
      <c r="J3456">
        <v>25</v>
      </c>
      <c r="K3456">
        <v>10</v>
      </c>
    </row>
    <row r="3457" spans="1:11" x14ac:dyDescent="0.35">
      <c r="A3457">
        <v>3456</v>
      </c>
      <c r="B3457">
        <v>23</v>
      </c>
      <c r="C3457" t="s">
        <v>11</v>
      </c>
      <c r="D3457" t="s">
        <v>41</v>
      </c>
      <c r="E3457" t="s">
        <v>42</v>
      </c>
      <c r="F3457">
        <v>130.04</v>
      </c>
      <c r="G3457" t="s">
        <v>19</v>
      </c>
      <c r="H3457" t="s">
        <v>15</v>
      </c>
      <c r="I3457">
        <v>3.8</v>
      </c>
      <c r="J3457">
        <v>20</v>
      </c>
      <c r="K3457">
        <v>5</v>
      </c>
    </row>
    <row r="3458" spans="1:11" x14ac:dyDescent="0.35">
      <c r="A3458">
        <v>3457</v>
      </c>
      <c r="B3458">
        <v>44</v>
      </c>
      <c r="C3458" t="s">
        <v>11</v>
      </c>
      <c r="D3458" t="s">
        <v>22</v>
      </c>
      <c r="E3458" t="s">
        <v>43</v>
      </c>
      <c r="F3458">
        <v>218.77</v>
      </c>
      <c r="G3458" t="s">
        <v>24</v>
      </c>
      <c r="H3458" t="s">
        <v>15</v>
      </c>
      <c r="I3458">
        <v>5</v>
      </c>
      <c r="J3458">
        <v>28</v>
      </c>
      <c r="K3458">
        <v>9</v>
      </c>
    </row>
    <row r="3459" spans="1:11" x14ac:dyDescent="0.35">
      <c r="A3459">
        <v>3458</v>
      </c>
      <c r="B3459">
        <v>33</v>
      </c>
      <c r="C3459" t="s">
        <v>11</v>
      </c>
      <c r="D3459" t="s">
        <v>41</v>
      </c>
      <c r="E3459" t="s">
        <v>44</v>
      </c>
      <c r="F3459">
        <v>110.92</v>
      </c>
      <c r="G3459" t="s">
        <v>24</v>
      </c>
      <c r="H3459" t="s">
        <v>15</v>
      </c>
      <c r="I3459">
        <v>3.7</v>
      </c>
      <c r="J3459">
        <v>10</v>
      </c>
      <c r="K3459">
        <v>5</v>
      </c>
    </row>
    <row r="3460" spans="1:11" x14ac:dyDescent="0.35">
      <c r="A3460">
        <v>3459</v>
      </c>
      <c r="B3460">
        <v>20</v>
      </c>
      <c r="C3460" t="s">
        <v>16</v>
      </c>
      <c r="D3460" t="s">
        <v>25</v>
      </c>
      <c r="E3460" t="s">
        <v>57</v>
      </c>
      <c r="F3460">
        <v>31.55</v>
      </c>
      <c r="G3460" t="s">
        <v>14</v>
      </c>
      <c r="H3460" t="s">
        <v>37</v>
      </c>
      <c r="I3460">
        <v>4.3</v>
      </c>
      <c r="J3460">
        <v>12</v>
      </c>
      <c r="K3460">
        <v>1</v>
      </c>
    </row>
    <row r="3461" spans="1:11" x14ac:dyDescent="0.35">
      <c r="A3461">
        <v>3460</v>
      </c>
      <c r="B3461">
        <v>56</v>
      </c>
      <c r="C3461" t="s">
        <v>11</v>
      </c>
      <c r="D3461" t="s">
        <v>41</v>
      </c>
      <c r="E3461" t="s">
        <v>44</v>
      </c>
      <c r="F3461">
        <v>66.72</v>
      </c>
      <c r="G3461" t="s">
        <v>24</v>
      </c>
      <c r="H3461" t="s">
        <v>15</v>
      </c>
      <c r="I3461">
        <v>4.8</v>
      </c>
      <c r="J3461">
        <v>20</v>
      </c>
      <c r="K3461">
        <v>5</v>
      </c>
    </row>
    <row r="3462" spans="1:11" x14ac:dyDescent="0.35">
      <c r="A3462">
        <v>3461</v>
      </c>
      <c r="B3462">
        <v>70</v>
      </c>
      <c r="C3462" t="s">
        <v>16</v>
      </c>
      <c r="D3462" t="s">
        <v>33</v>
      </c>
      <c r="E3462" t="s">
        <v>38</v>
      </c>
      <c r="F3462">
        <v>216.39</v>
      </c>
      <c r="G3462" t="s">
        <v>31</v>
      </c>
      <c r="H3462" t="s">
        <v>15</v>
      </c>
      <c r="I3462">
        <v>4.5</v>
      </c>
      <c r="J3462">
        <v>14</v>
      </c>
      <c r="K3462">
        <v>2</v>
      </c>
    </row>
    <row r="3463" spans="1:11" x14ac:dyDescent="0.35">
      <c r="A3463">
        <v>3462</v>
      </c>
      <c r="B3463">
        <v>55</v>
      </c>
      <c r="C3463" t="s">
        <v>11</v>
      </c>
      <c r="D3463" t="s">
        <v>33</v>
      </c>
      <c r="E3463" t="s">
        <v>34</v>
      </c>
      <c r="F3463">
        <v>166.18</v>
      </c>
      <c r="G3463" t="s">
        <v>31</v>
      </c>
      <c r="H3463" t="s">
        <v>15</v>
      </c>
      <c r="I3463">
        <v>4.0999999999999996</v>
      </c>
      <c r="J3463">
        <v>6</v>
      </c>
      <c r="K3463">
        <v>3</v>
      </c>
    </row>
    <row r="3464" spans="1:11" x14ac:dyDescent="0.35">
      <c r="A3464">
        <v>3463</v>
      </c>
      <c r="B3464">
        <v>24</v>
      </c>
      <c r="C3464" t="s">
        <v>16</v>
      </c>
      <c r="D3464" t="s">
        <v>33</v>
      </c>
      <c r="E3464" t="s">
        <v>38</v>
      </c>
      <c r="F3464">
        <v>74.739999999999995</v>
      </c>
      <c r="G3464" t="s">
        <v>31</v>
      </c>
      <c r="H3464" t="s">
        <v>37</v>
      </c>
      <c r="I3464">
        <v>4.0999999999999996</v>
      </c>
      <c r="J3464">
        <v>14</v>
      </c>
      <c r="K3464">
        <v>7</v>
      </c>
    </row>
    <row r="3465" spans="1:11" x14ac:dyDescent="0.35">
      <c r="A3465">
        <v>3464</v>
      </c>
      <c r="B3465">
        <v>34</v>
      </c>
      <c r="C3465" t="s">
        <v>11</v>
      </c>
      <c r="D3465" t="s">
        <v>41</v>
      </c>
      <c r="E3465" t="s">
        <v>44</v>
      </c>
      <c r="F3465">
        <v>77.55</v>
      </c>
      <c r="G3465" t="s">
        <v>19</v>
      </c>
      <c r="H3465" t="s">
        <v>37</v>
      </c>
      <c r="I3465">
        <v>4.2</v>
      </c>
      <c r="J3465">
        <v>10</v>
      </c>
      <c r="K3465">
        <v>5</v>
      </c>
    </row>
    <row r="3466" spans="1:11" x14ac:dyDescent="0.35">
      <c r="A3466">
        <v>3465</v>
      </c>
      <c r="B3466">
        <v>45</v>
      </c>
      <c r="C3466" t="s">
        <v>11</v>
      </c>
      <c r="D3466" t="s">
        <v>33</v>
      </c>
      <c r="E3466" t="s">
        <v>40</v>
      </c>
      <c r="F3466">
        <v>66.040000000000006</v>
      </c>
      <c r="G3466" t="s">
        <v>19</v>
      </c>
      <c r="H3466" t="s">
        <v>15</v>
      </c>
      <c r="I3466">
        <v>3.7</v>
      </c>
      <c r="J3466">
        <v>11</v>
      </c>
      <c r="K3466">
        <v>3</v>
      </c>
    </row>
    <row r="3467" spans="1:11" x14ac:dyDescent="0.35">
      <c r="A3467">
        <v>3466</v>
      </c>
      <c r="B3467">
        <v>49</v>
      </c>
      <c r="C3467" t="s">
        <v>16</v>
      </c>
      <c r="D3467" t="s">
        <v>33</v>
      </c>
      <c r="E3467" t="s">
        <v>34</v>
      </c>
      <c r="F3467">
        <v>101</v>
      </c>
      <c r="G3467" t="s">
        <v>14</v>
      </c>
      <c r="H3467" t="s">
        <v>15</v>
      </c>
      <c r="I3467">
        <v>4.5999999999999996</v>
      </c>
      <c r="J3467">
        <v>18</v>
      </c>
      <c r="K3467">
        <v>9</v>
      </c>
    </row>
    <row r="3468" spans="1:11" x14ac:dyDescent="0.35">
      <c r="A3468">
        <v>3467</v>
      </c>
      <c r="B3468">
        <v>68</v>
      </c>
      <c r="C3468" t="s">
        <v>11</v>
      </c>
      <c r="D3468" t="s">
        <v>29</v>
      </c>
      <c r="E3468" t="s">
        <v>30</v>
      </c>
      <c r="F3468">
        <v>110.3</v>
      </c>
      <c r="G3468" t="s">
        <v>19</v>
      </c>
      <c r="H3468" t="s">
        <v>15</v>
      </c>
      <c r="I3468">
        <v>2.8</v>
      </c>
      <c r="J3468">
        <v>14</v>
      </c>
      <c r="K3468">
        <v>7</v>
      </c>
    </row>
    <row r="3469" spans="1:11" x14ac:dyDescent="0.35">
      <c r="A3469">
        <v>3468</v>
      </c>
      <c r="B3469">
        <v>26</v>
      </c>
      <c r="C3469" t="s">
        <v>11</v>
      </c>
      <c r="D3469" t="s">
        <v>29</v>
      </c>
      <c r="E3469" t="s">
        <v>55</v>
      </c>
      <c r="F3469">
        <v>101.16</v>
      </c>
      <c r="G3469" t="s">
        <v>31</v>
      </c>
      <c r="H3469" t="s">
        <v>15</v>
      </c>
      <c r="I3469">
        <v>4.0999999999999996</v>
      </c>
      <c r="J3469">
        <v>16</v>
      </c>
      <c r="K3469">
        <v>3</v>
      </c>
    </row>
    <row r="3470" spans="1:11" x14ac:dyDescent="0.35">
      <c r="A3470">
        <v>3469</v>
      </c>
      <c r="B3470">
        <v>52</v>
      </c>
      <c r="C3470" t="s">
        <v>11</v>
      </c>
      <c r="D3470" t="s">
        <v>33</v>
      </c>
      <c r="E3470" t="s">
        <v>40</v>
      </c>
      <c r="F3470">
        <v>236.38</v>
      </c>
      <c r="G3470" t="s">
        <v>19</v>
      </c>
      <c r="H3470" t="s">
        <v>15</v>
      </c>
      <c r="I3470">
        <v>3.6</v>
      </c>
      <c r="J3470">
        <v>11</v>
      </c>
      <c r="K3470">
        <v>3</v>
      </c>
    </row>
    <row r="3471" spans="1:11" x14ac:dyDescent="0.35">
      <c r="A3471">
        <v>3470</v>
      </c>
      <c r="B3471">
        <v>66</v>
      </c>
      <c r="C3471" t="s">
        <v>16</v>
      </c>
      <c r="D3471" t="s">
        <v>17</v>
      </c>
      <c r="E3471" t="s">
        <v>35</v>
      </c>
      <c r="F3471">
        <v>164.23</v>
      </c>
      <c r="G3471" t="s">
        <v>31</v>
      </c>
      <c r="H3471" t="s">
        <v>15</v>
      </c>
      <c r="I3471">
        <v>4.0999999999999996</v>
      </c>
      <c r="J3471">
        <v>17</v>
      </c>
      <c r="K3471">
        <v>6</v>
      </c>
    </row>
    <row r="3472" spans="1:11" x14ac:dyDescent="0.35">
      <c r="A3472">
        <v>3471</v>
      </c>
      <c r="B3472">
        <v>53</v>
      </c>
      <c r="C3472" t="s">
        <v>16</v>
      </c>
      <c r="D3472" t="s">
        <v>20</v>
      </c>
      <c r="E3472" t="s">
        <v>39</v>
      </c>
      <c r="F3472">
        <v>205.45</v>
      </c>
      <c r="G3472" t="s">
        <v>31</v>
      </c>
      <c r="H3472" t="s">
        <v>15</v>
      </c>
      <c r="I3472">
        <v>4.2</v>
      </c>
      <c r="J3472">
        <v>12</v>
      </c>
      <c r="K3472">
        <v>6</v>
      </c>
    </row>
    <row r="3473" spans="1:11" x14ac:dyDescent="0.35">
      <c r="A3473">
        <v>3472</v>
      </c>
      <c r="B3473">
        <v>44</v>
      </c>
      <c r="C3473" t="s">
        <v>11</v>
      </c>
      <c r="D3473" t="s">
        <v>41</v>
      </c>
      <c r="E3473" t="s">
        <v>46</v>
      </c>
      <c r="F3473">
        <v>61.41</v>
      </c>
      <c r="G3473" t="s">
        <v>24</v>
      </c>
      <c r="H3473" t="s">
        <v>15</v>
      </c>
      <c r="I3473">
        <v>4.5999999999999996</v>
      </c>
      <c r="J3473">
        <v>22</v>
      </c>
      <c r="K3473">
        <v>6</v>
      </c>
    </row>
    <row r="3474" spans="1:11" x14ac:dyDescent="0.35">
      <c r="A3474">
        <v>3473</v>
      </c>
      <c r="B3474">
        <v>44</v>
      </c>
      <c r="C3474" t="s">
        <v>11</v>
      </c>
      <c r="D3474" t="s">
        <v>12</v>
      </c>
      <c r="E3474" t="s">
        <v>50</v>
      </c>
      <c r="F3474">
        <v>79.900000000000006</v>
      </c>
      <c r="G3474" t="s">
        <v>24</v>
      </c>
      <c r="H3474" t="s">
        <v>15</v>
      </c>
      <c r="I3474">
        <v>3.2</v>
      </c>
      <c r="J3474">
        <v>16</v>
      </c>
      <c r="K3474">
        <v>3</v>
      </c>
    </row>
    <row r="3475" spans="1:11" x14ac:dyDescent="0.35">
      <c r="A3475">
        <v>3474</v>
      </c>
      <c r="B3475">
        <v>37</v>
      </c>
      <c r="C3475" t="s">
        <v>16</v>
      </c>
      <c r="D3475" t="s">
        <v>20</v>
      </c>
      <c r="E3475" t="s">
        <v>39</v>
      </c>
      <c r="F3475">
        <v>228.81</v>
      </c>
      <c r="G3475" t="s">
        <v>24</v>
      </c>
      <c r="H3475" t="s">
        <v>15</v>
      </c>
      <c r="I3475">
        <v>3.9</v>
      </c>
      <c r="J3475">
        <v>22</v>
      </c>
      <c r="K3475">
        <v>6</v>
      </c>
    </row>
    <row r="3476" spans="1:11" x14ac:dyDescent="0.35">
      <c r="A3476">
        <v>3475</v>
      </c>
      <c r="B3476">
        <v>30</v>
      </c>
      <c r="C3476" t="s">
        <v>11</v>
      </c>
      <c r="D3476" t="s">
        <v>29</v>
      </c>
      <c r="E3476" t="s">
        <v>51</v>
      </c>
      <c r="F3476">
        <v>146.26</v>
      </c>
      <c r="G3476" t="s">
        <v>24</v>
      </c>
      <c r="H3476" t="s">
        <v>15</v>
      </c>
      <c r="I3476">
        <v>3.4</v>
      </c>
      <c r="J3476">
        <v>8</v>
      </c>
      <c r="K3476">
        <v>4</v>
      </c>
    </row>
    <row r="3477" spans="1:11" x14ac:dyDescent="0.35">
      <c r="A3477">
        <v>3476</v>
      </c>
      <c r="B3477">
        <v>58</v>
      </c>
      <c r="C3477" t="s">
        <v>11</v>
      </c>
      <c r="D3477" t="s">
        <v>29</v>
      </c>
      <c r="E3477" t="s">
        <v>30</v>
      </c>
      <c r="F3477">
        <v>58.29</v>
      </c>
      <c r="G3477" t="s">
        <v>31</v>
      </c>
      <c r="H3477" t="s">
        <v>37</v>
      </c>
      <c r="I3477">
        <v>1.9</v>
      </c>
      <c r="J3477">
        <v>8</v>
      </c>
      <c r="K3477">
        <v>4</v>
      </c>
    </row>
    <row r="3478" spans="1:11" x14ac:dyDescent="0.35">
      <c r="A3478">
        <v>3477</v>
      </c>
      <c r="B3478">
        <v>42</v>
      </c>
      <c r="C3478" t="s">
        <v>16</v>
      </c>
      <c r="D3478" t="s">
        <v>22</v>
      </c>
      <c r="E3478" t="s">
        <v>23</v>
      </c>
      <c r="F3478">
        <v>61.68</v>
      </c>
      <c r="G3478" t="s">
        <v>24</v>
      </c>
      <c r="H3478" t="s">
        <v>15</v>
      </c>
      <c r="I3478">
        <v>5</v>
      </c>
      <c r="J3478">
        <v>17</v>
      </c>
      <c r="K3478">
        <v>6</v>
      </c>
    </row>
    <row r="3479" spans="1:11" x14ac:dyDescent="0.35">
      <c r="A3479">
        <v>3478</v>
      </c>
      <c r="B3479">
        <v>46</v>
      </c>
      <c r="C3479" t="s">
        <v>16</v>
      </c>
      <c r="D3479" t="s">
        <v>17</v>
      </c>
      <c r="E3479" t="s">
        <v>18</v>
      </c>
      <c r="F3479">
        <v>76.22</v>
      </c>
      <c r="G3479" t="s">
        <v>24</v>
      </c>
      <c r="H3479" t="s">
        <v>37</v>
      </c>
      <c r="I3479">
        <v>4.7</v>
      </c>
      <c r="J3479">
        <v>16</v>
      </c>
      <c r="K3479">
        <v>8</v>
      </c>
    </row>
    <row r="3480" spans="1:11" x14ac:dyDescent="0.35">
      <c r="A3480">
        <v>3479</v>
      </c>
      <c r="B3480">
        <v>23</v>
      </c>
      <c r="C3480" t="s">
        <v>11</v>
      </c>
      <c r="D3480" t="s">
        <v>41</v>
      </c>
      <c r="E3480" t="s">
        <v>44</v>
      </c>
      <c r="F3480">
        <v>93.3</v>
      </c>
      <c r="G3480" t="s">
        <v>14</v>
      </c>
      <c r="H3480" t="s">
        <v>15</v>
      </c>
      <c r="I3480">
        <v>3.6</v>
      </c>
      <c r="J3480">
        <v>14</v>
      </c>
      <c r="K3480">
        <v>2</v>
      </c>
    </row>
    <row r="3481" spans="1:11" x14ac:dyDescent="0.35">
      <c r="A3481">
        <v>3480</v>
      </c>
      <c r="B3481">
        <v>41</v>
      </c>
      <c r="C3481" t="s">
        <v>16</v>
      </c>
      <c r="D3481" t="s">
        <v>20</v>
      </c>
      <c r="E3481" t="s">
        <v>39</v>
      </c>
      <c r="F3481">
        <v>50.96</v>
      </c>
      <c r="G3481" t="s">
        <v>31</v>
      </c>
      <c r="H3481" t="s">
        <v>15</v>
      </c>
      <c r="I3481">
        <v>3.7</v>
      </c>
      <c r="J3481">
        <v>22</v>
      </c>
      <c r="K3481">
        <v>6</v>
      </c>
    </row>
    <row r="3482" spans="1:11" x14ac:dyDescent="0.35">
      <c r="A3482">
        <v>3481</v>
      </c>
      <c r="B3482">
        <v>29</v>
      </c>
      <c r="C3482" t="s">
        <v>16</v>
      </c>
      <c r="D3482" t="s">
        <v>17</v>
      </c>
      <c r="E3482" t="s">
        <v>35</v>
      </c>
      <c r="F3482">
        <v>88.61</v>
      </c>
      <c r="G3482" t="s">
        <v>24</v>
      </c>
      <c r="H3482" t="s">
        <v>37</v>
      </c>
      <c r="I3482">
        <v>2.7</v>
      </c>
      <c r="J3482">
        <v>15</v>
      </c>
      <c r="K3482">
        <v>5</v>
      </c>
    </row>
    <row r="3483" spans="1:11" x14ac:dyDescent="0.35">
      <c r="A3483">
        <v>3482</v>
      </c>
      <c r="B3483">
        <v>38</v>
      </c>
      <c r="C3483" t="s">
        <v>16</v>
      </c>
      <c r="D3483" t="s">
        <v>33</v>
      </c>
      <c r="E3483" t="s">
        <v>40</v>
      </c>
      <c r="F3483">
        <v>128.69</v>
      </c>
      <c r="G3483" t="s">
        <v>19</v>
      </c>
      <c r="H3483" t="s">
        <v>15</v>
      </c>
      <c r="I3483">
        <v>4.0999999999999996</v>
      </c>
      <c r="J3483">
        <v>12</v>
      </c>
      <c r="K3483">
        <v>6</v>
      </c>
    </row>
    <row r="3484" spans="1:11" x14ac:dyDescent="0.35">
      <c r="A3484">
        <v>3483</v>
      </c>
      <c r="B3484">
        <v>61</v>
      </c>
      <c r="C3484" t="s">
        <v>11</v>
      </c>
      <c r="D3484" t="s">
        <v>33</v>
      </c>
      <c r="E3484" t="s">
        <v>34</v>
      </c>
      <c r="F3484">
        <v>58.31</v>
      </c>
      <c r="G3484" t="s">
        <v>31</v>
      </c>
      <c r="H3484" t="s">
        <v>37</v>
      </c>
      <c r="I3484">
        <v>4.3</v>
      </c>
      <c r="J3484">
        <v>22</v>
      </c>
      <c r="K3484">
        <v>6</v>
      </c>
    </row>
    <row r="3485" spans="1:11" x14ac:dyDescent="0.35">
      <c r="A3485">
        <v>3484</v>
      </c>
      <c r="B3485">
        <v>33</v>
      </c>
      <c r="C3485" t="s">
        <v>11</v>
      </c>
      <c r="D3485" t="s">
        <v>22</v>
      </c>
      <c r="E3485" t="s">
        <v>52</v>
      </c>
      <c r="F3485">
        <v>144.94999999999999</v>
      </c>
      <c r="G3485" t="s">
        <v>24</v>
      </c>
      <c r="H3485" t="s">
        <v>15</v>
      </c>
      <c r="I3485">
        <v>3.6</v>
      </c>
      <c r="J3485">
        <v>12</v>
      </c>
      <c r="K3485">
        <v>1</v>
      </c>
    </row>
    <row r="3486" spans="1:11" x14ac:dyDescent="0.35">
      <c r="A3486">
        <v>3485</v>
      </c>
      <c r="B3486">
        <v>61</v>
      </c>
      <c r="C3486" t="s">
        <v>16</v>
      </c>
      <c r="D3486" t="s">
        <v>17</v>
      </c>
      <c r="E3486" t="s">
        <v>18</v>
      </c>
      <c r="F3486">
        <v>160.36000000000001</v>
      </c>
      <c r="G3486" t="s">
        <v>24</v>
      </c>
      <c r="H3486" t="s">
        <v>15</v>
      </c>
      <c r="I3486">
        <v>2.7</v>
      </c>
      <c r="J3486">
        <v>6</v>
      </c>
      <c r="K3486">
        <v>3</v>
      </c>
    </row>
    <row r="3487" spans="1:11" x14ac:dyDescent="0.35">
      <c r="A3487">
        <v>3486</v>
      </c>
      <c r="B3487">
        <v>42</v>
      </c>
      <c r="C3487" t="s">
        <v>11</v>
      </c>
      <c r="D3487" t="s">
        <v>33</v>
      </c>
      <c r="E3487" t="s">
        <v>34</v>
      </c>
      <c r="F3487">
        <v>225.91</v>
      </c>
      <c r="G3487" t="s">
        <v>24</v>
      </c>
      <c r="H3487" t="s">
        <v>15</v>
      </c>
      <c r="I3487">
        <v>3.7</v>
      </c>
      <c r="J3487">
        <v>10</v>
      </c>
      <c r="K3487">
        <v>5</v>
      </c>
    </row>
    <row r="3488" spans="1:11" x14ac:dyDescent="0.35">
      <c r="A3488">
        <v>3487</v>
      </c>
      <c r="B3488">
        <v>28</v>
      </c>
      <c r="C3488" t="s">
        <v>11</v>
      </c>
      <c r="D3488" t="s">
        <v>41</v>
      </c>
      <c r="E3488" t="s">
        <v>42</v>
      </c>
      <c r="F3488">
        <v>57.14</v>
      </c>
      <c r="G3488" t="s">
        <v>31</v>
      </c>
      <c r="H3488" t="s">
        <v>37</v>
      </c>
      <c r="I3488">
        <v>3.1</v>
      </c>
      <c r="J3488">
        <v>13</v>
      </c>
      <c r="K3488">
        <v>4</v>
      </c>
    </row>
    <row r="3489" spans="1:11" x14ac:dyDescent="0.35">
      <c r="A3489">
        <v>3488</v>
      </c>
      <c r="B3489">
        <v>53</v>
      </c>
      <c r="C3489" t="s">
        <v>16</v>
      </c>
      <c r="D3489" t="s">
        <v>17</v>
      </c>
      <c r="E3489" t="s">
        <v>35</v>
      </c>
      <c r="F3489">
        <v>133.94</v>
      </c>
      <c r="G3489" t="s">
        <v>14</v>
      </c>
      <c r="H3489" t="s">
        <v>15</v>
      </c>
      <c r="I3489">
        <v>4.3</v>
      </c>
      <c r="J3489">
        <v>18</v>
      </c>
      <c r="K3489">
        <v>4</v>
      </c>
    </row>
    <row r="3490" spans="1:11" x14ac:dyDescent="0.35">
      <c r="A3490">
        <v>3489</v>
      </c>
      <c r="B3490">
        <v>64</v>
      </c>
      <c r="C3490" t="s">
        <v>11</v>
      </c>
      <c r="D3490" t="s">
        <v>29</v>
      </c>
      <c r="E3490" t="s">
        <v>30</v>
      </c>
      <c r="F3490">
        <v>57.54</v>
      </c>
      <c r="G3490" t="s">
        <v>31</v>
      </c>
      <c r="H3490" t="s">
        <v>15</v>
      </c>
      <c r="I3490">
        <v>5</v>
      </c>
      <c r="J3490">
        <v>18</v>
      </c>
      <c r="K3490">
        <v>4</v>
      </c>
    </row>
    <row r="3491" spans="1:11" x14ac:dyDescent="0.35">
      <c r="A3491">
        <v>3490</v>
      </c>
      <c r="B3491">
        <v>64</v>
      </c>
      <c r="C3491" t="s">
        <v>16</v>
      </c>
      <c r="D3491" t="s">
        <v>17</v>
      </c>
      <c r="E3491" t="s">
        <v>18</v>
      </c>
      <c r="F3491">
        <v>76.87</v>
      </c>
      <c r="G3491" t="s">
        <v>31</v>
      </c>
      <c r="H3491" t="s">
        <v>15</v>
      </c>
      <c r="I3491">
        <v>3.9</v>
      </c>
      <c r="J3491">
        <v>6</v>
      </c>
      <c r="K3491">
        <v>3</v>
      </c>
    </row>
    <row r="3492" spans="1:11" x14ac:dyDescent="0.35">
      <c r="A3492">
        <v>3491</v>
      </c>
      <c r="B3492">
        <v>68</v>
      </c>
      <c r="C3492" t="s">
        <v>16</v>
      </c>
      <c r="D3492" t="s">
        <v>20</v>
      </c>
      <c r="E3492" t="s">
        <v>21</v>
      </c>
      <c r="F3492">
        <v>32.729999999999997</v>
      </c>
      <c r="G3492" t="s">
        <v>19</v>
      </c>
      <c r="H3492" t="s">
        <v>37</v>
      </c>
      <c r="I3492">
        <v>3.9</v>
      </c>
      <c r="J3492">
        <v>18</v>
      </c>
      <c r="K3492">
        <v>9</v>
      </c>
    </row>
    <row r="3493" spans="1:11" x14ac:dyDescent="0.35">
      <c r="A3493">
        <v>3492</v>
      </c>
      <c r="B3493">
        <v>34</v>
      </c>
      <c r="C3493" t="s">
        <v>16</v>
      </c>
      <c r="D3493" t="s">
        <v>17</v>
      </c>
      <c r="E3493" t="s">
        <v>35</v>
      </c>
      <c r="F3493">
        <v>56.59</v>
      </c>
      <c r="G3493" t="s">
        <v>19</v>
      </c>
      <c r="H3493" t="s">
        <v>37</v>
      </c>
      <c r="I3493">
        <v>3.9</v>
      </c>
      <c r="J3493">
        <v>18</v>
      </c>
      <c r="K3493">
        <v>4</v>
      </c>
    </row>
    <row r="3494" spans="1:11" x14ac:dyDescent="0.35">
      <c r="A3494">
        <v>3493</v>
      </c>
      <c r="B3494">
        <v>57</v>
      </c>
      <c r="C3494" t="s">
        <v>11</v>
      </c>
      <c r="D3494" t="s">
        <v>41</v>
      </c>
      <c r="E3494" t="s">
        <v>42</v>
      </c>
      <c r="F3494">
        <v>113.82</v>
      </c>
      <c r="G3494" t="s">
        <v>14</v>
      </c>
      <c r="H3494" t="s">
        <v>15</v>
      </c>
      <c r="I3494">
        <v>3.1</v>
      </c>
      <c r="J3494">
        <v>8</v>
      </c>
      <c r="K3494">
        <v>4</v>
      </c>
    </row>
    <row r="3495" spans="1:11" x14ac:dyDescent="0.35">
      <c r="A3495">
        <v>3494</v>
      </c>
      <c r="B3495">
        <v>50</v>
      </c>
      <c r="C3495" t="s">
        <v>11</v>
      </c>
      <c r="D3495" t="s">
        <v>41</v>
      </c>
      <c r="E3495" t="s">
        <v>42</v>
      </c>
      <c r="F3495">
        <v>34.270000000000003</v>
      </c>
      <c r="G3495" t="s">
        <v>31</v>
      </c>
      <c r="H3495" t="s">
        <v>15</v>
      </c>
      <c r="I3495">
        <v>4.2</v>
      </c>
      <c r="J3495">
        <v>21</v>
      </c>
      <c r="K3495">
        <v>8</v>
      </c>
    </row>
    <row r="3496" spans="1:11" x14ac:dyDescent="0.35">
      <c r="A3496">
        <v>3495</v>
      </c>
      <c r="B3496">
        <v>45</v>
      </c>
      <c r="C3496" t="s">
        <v>16</v>
      </c>
      <c r="D3496" t="s">
        <v>27</v>
      </c>
      <c r="E3496" t="s">
        <v>49</v>
      </c>
      <c r="F3496">
        <v>1460.58</v>
      </c>
      <c r="G3496" t="s">
        <v>24</v>
      </c>
      <c r="H3496" t="s">
        <v>15</v>
      </c>
      <c r="I3496">
        <v>4.3</v>
      </c>
      <c r="J3496">
        <v>8</v>
      </c>
      <c r="K3496">
        <v>4</v>
      </c>
    </row>
    <row r="3497" spans="1:11" x14ac:dyDescent="0.35">
      <c r="A3497">
        <v>3496</v>
      </c>
      <c r="B3497">
        <v>23</v>
      </c>
      <c r="C3497" t="s">
        <v>16</v>
      </c>
      <c r="D3497" t="s">
        <v>20</v>
      </c>
      <c r="E3497" t="s">
        <v>36</v>
      </c>
      <c r="F3497">
        <v>207.34</v>
      </c>
      <c r="G3497" t="s">
        <v>31</v>
      </c>
      <c r="H3497" t="s">
        <v>15</v>
      </c>
      <c r="I3497">
        <v>4.4000000000000004</v>
      </c>
      <c r="J3497">
        <v>16</v>
      </c>
      <c r="K3497">
        <v>8</v>
      </c>
    </row>
    <row r="3498" spans="1:11" x14ac:dyDescent="0.35">
      <c r="A3498">
        <v>3497</v>
      </c>
      <c r="B3498">
        <v>33</v>
      </c>
      <c r="C3498" t="s">
        <v>11</v>
      </c>
      <c r="D3498" t="s">
        <v>41</v>
      </c>
      <c r="E3498" t="s">
        <v>42</v>
      </c>
      <c r="F3498">
        <v>79.55</v>
      </c>
      <c r="G3498" t="s">
        <v>19</v>
      </c>
      <c r="H3498" t="s">
        <v>15</v>
      </c>
      <c r="I3498">
        <v>4.4000000000000004</v>
      </c>
      <c r="J3498">
        <v>20</v>
      </c>
      <c r="K3498">
        <v>5</v>
      </c>
    </row>
    <row r="3499" spans="1:11" x14ac:dyDescent="0.35">
      <c r="A3499">
        <v>3498</v>
      </c>
      <c r="B3499">
        <v>38</v>
      </c>
      <c r="C3499" t="s">
        <v>16</v>
      </c>
      <c r="D3499" t="s">
        <v>33</v>
      </c>
      <c r="E3499" t="s">
        <v>38</v>
      </c>
      <c r="F3499">
        <v>171</v>
      </c>
      <c r="G3499" t="s">
        <v>14</v>
      </c>
      <c r="H3499" t="s">
        <v>15</v>
      </c>
      <c r="I3499">
        <v>2.7</v>
      </c>
      <c r="J3499">
        <v>12</v>
      </c>
      <c r="K3499">
        <v>6</v>
      </c>
    </row>
    <row r="3500" spans="1:11" x14ac:dyDescent="0.35">
      <c r="A3500">
        <v>3499</v>
      </c>
      <c r="B3500">
        <v>50</v>
      </c>
      <c r="C3500" t="s">
        <v>11</v>
      </c>
      <c r="D3500" t="s">
        <v>33</v>
      </c>
      <c r="E3500" t="s">
        <v>38</v>
      </c>
      <c r="F3500">
        <v>109.47</v>
      </c>
      <c r="G3500" t="s">
        <v>14</v>
      </c>
      <c r="H3500" t="s">
        <v>15</v>
      </c>
      <c r="I3500">
        <v>3.9</v>
      </c>
      <c r="J3500">
        <v>15</v>
      </c>
      <c r="K3500">
        <v>5</v>
      </c>
    </row>
    <row r="3501" spans="1:11" x14ac:dyDescent="0.35">
      <c r="A3501">
        <v>3500</v>
      </c>
      <c r="B3501">
        <v>33</v>
      </c>
      <c r="C3501" t="s">
        <v>16</v>
      </c>
      <c r="D3501" t="s">
        <v>27</v>
      </c>
      <c r="E3501" t="s">
        <v>28</v>
      </c>
      <c r="F3501">
        <v>2664.84</v>
      </c>
      <c r="G3501" t="s">
        <v>24</v>
      </c>
      <c r="H3501" t="s">
        <v>15</v>
      </c>
      <c r="I3501">
        <v>5</v>
      </c>
      <c r="J3501">
        <v>22</v>
      </c>
      <c r="K3501">
        <v>6</v>
      </c>
    </row>
    <row r="3502" spans="1:11" x14ac:dyDescent="0.35">
      <c r="A3502">
        <v>3501</v>
      </c>
      <c r="B3502">
        <v>38</v>
      </c>
      <c r="C3502" t="s">
        <v>11</v>
      </c>
      <c r="D3502" t="s">
        <v>12</v>
      </c>
      <c r="E3502" t="s">
        <v>50</v>
      </c>
      <c r="F3502">
        <v>126.81</v>
      </c>
      <c r="G3502" t="s">
        <v>19</v>
      </c>
      <c r="H3502" t="s">
        <v>15</v>
      </c>
      <c r="I3502">
        <v>4.0999999999999996</v>
      </c>
      <c r="J3502">
        <v>15</v>
      </c>
      <c r="K3502">
        <v>5</v>
      </c>
    </row>
    <row r="3503" spans="1:11" x14ac:dyDescent="0.35">
      <c r="A3503">
        <v>3502</v>
      </c>
      <c r="B3503">
        <v>40</v>
      </c>
      <c r="C3503" t="s">
        <v>16</v>
      </c>
      <c r="D3503" t="s">
        <v>20</v>
      </c>
      <c r="E3503" t="s">
        <v>36</v>
      </c>
      <c r="F3503">
        <v>200.09</v>
      </c>
      <c r="G3503" t="s">
        <v>31</v>
      </c>
      <c r="H3503" t="s">
        <v>15</v>
      </c>
      <c r="I3503">
        <v>3.7</v>
      </c>
      <c r="J3503">
        <v>20</v>
      </c>
      <c r="K3503">
        <v>5</v>
      </c>
    </row>
    <row r="3504" spans="1:11" x14ac:dyDescent="0.35">
      <c r="A3504">
        <v>3503</v>
      </c>
      <c r="B3504">
        <v>37</v>
      </c>
      <c r="C3504" t="s">
        <v>11</v>
      </c>
      <c r="D3504" t="s">
        <v>33</v>
      </c>
      <c r="E3504" t="s">
        <v>40</v>
      </c>
      <c r="F3504">
        <v>163.18</v>
      </c>
      <c r="G3504" t="s">
        <v>14</v>
      </c>
      <c r="H3504" t="s">
        <v>15</v>
      </c>
      <c r="I3504">
        <v>4.4000000000000004</v>
      </c>
      <c r="J3504">
        <v>20</v>
      </c>
      <c r="K3504">
        <v>5</v>
      </c>
    </row>
    <row r="3505" spans="1:11" x14ac:dyDescent="0.35">
      <c r="A3505">
        <v>3504</v>
      </c>
      <c r="B3505">
        <v>50</v>
      </c>
      <c r="C3505" t="s">
        <v>16</v>
      </c>
      <c r="D3505" t="s">
        <v>20</v>
      </c>
      <c r="E3505" t="s">
        <v>21</v>
      </c>
      <c r="F3505">
        <v>112.61</v>
      </c>
      <c r="G3505" t="s">
        <v>24</v>
      </c>
      <c r="H3505" t="s">
        <v>15</v>
      </c>
      <c r="I3505">
        <v>4.5</v>
      </c>
      <c r="J3505">
        <v>17</v>
      </c>
      <c r="K3505">
        <v>6</v>
      </c>
    </row>
    <row r="3506" spans="1:11" x14ac:dyDescent="0.35">
      <c r="A3506">
        <v>3505</v>
      </c>
      <c r="B3506">
        <v>47</v>
      </c>
      <c r="C3506" t="s">
        <v>11</v>
      </c>
      <c r="D3506" t="s">
        <v>25</v>
      </c>
      <c r="E3506" t="s">
        <v>26</v>
      </c>
      <c r="F3506">
        <v>73.2</v>
      </c>
      <c r="G3506" t="s">
        <v>31</v>
      </c>
      <c r="H3506" t="s">
        <v>37</v>
      </c>
      <c r="I3506">
        <v>3.6</v>
      </c>
      <c r="J3506">
        <v>22</v>
      </c>
      <c r="K3506">
        <v>6</v>
      </c>
    </row>
    <row r="3507" spans="1:11" x14ac:dyDescent="0.35">
      <c r="A3507">
        <v>3506</v>
      </c>
      <c r="B3507">
        <v>49</v>
      </c>
      <c r="C3507" t="s">
        <v>11</v>
      </c>
      <c r="D3507" t="s">
        <v>12</v>
      </c>
      <c r="E3507" t="s">
        <v>50</v>
      </c>
      <c r="F3507">
        <v>41.27</v>
      </c>
      <c r="G3507" t="s">
        <v>14</v>
      </c>
      <c r="H3507" t="s">
        <v>15</v>
      </c>
      <c r="I3507">
        <v>2.1</v>
      </c>
      <c r="J3507">
        <v>4</v>
      </c>
      <c r="K3507">
        <v>2</v>
      </c>
    </row>
    <row r="3508" spans="1:11" x14ac:dyDescent="0.35">
      <c r="A3508">
        <v>3507</v>
      </c>
      <c r="B3508">
        <v>70</v>
      </c>
      <c r="C3508" t="s">
        <v>16</v>
      </c>
      <c r="D3508" t="s">
        <v>27</v>
      </c>
      <c r="E3508" t="s">
        <v>32</v>
      </c>
      <c r="F3508">
        <v>2742.82</v>
      </c>
      <c r="G3508" t="s">
        <v>31</v>
      </c>
      <c r="H3508" t="s">
        <v>15</v>
      </c>
      <c r="I3508">
        <v>4</v>
      </c>
      <c r="J3508">
        <v>22</v>
      </c>
      <c r="K3508">
        <v>6</v>
      </c>
    </row>
    <row r="3509" spans="1:11" x14ac:dyDescent="0.35">
      <c r="A3509">
        <v>3508</v>
      </c>
      <c r="B3509">
        <v>32</v>
      </c>
      <c r="C3509" t="s">
        <v>11</v>
      </c>
      <c r="D3509" t="s">
        <v>25</v>
      </c>
      <c r="E3509" t="s">
        <v>57</v>
      </c>
      <c r="F3509">
        <v>9.6999999999999993</v>
      </c>
      <c r="G3509" t="s">
        <v>19</v>
      </c>
      <c r="H3509" t="s">
        <v>15</v>
      </c>
      <c r="I3509">
        <v>4.4000000000000004</v>
      </c>
      <c r="J3509">
        <v>10</v>
      </c>
      <c r="K3509">
        <v>5</v>
      </c>
    </row>
    <row r="3510" spans="1:11" x14ac:dyDescent="0.35">
      <c r="A3510">
        <v>3509</v>
      </c>
      <c r="B3510">
        <v>65</v>
      </c>
      <c r="C3510" t="s">
        <v>11</v>
      </c>
      <c r="D3510" t="s">
        <v>12</v>
      </c>
      <c r="E3510" t="s">
        <v>50</v>
      </c>
      <c r="F3510">
        <v>34.49</v>
      </c>
      <c r="G3510" t="s">
        <v>19</v>
      </c>
      <c r="H3510" t="s">
        <v>15</v>
      </c>
      <c r="I3510">
        <v>3.1</v>
      </c>
      <c r="J3510">
        <v>22</v>
      </c>
      <c r="K3510">
        <v>6</v>
      </c>
    </row>
    <row r="3511" spans="1:11" x14ac:dyDescent="0.35">
      <c r="A3511">
        <v>3510</v>
      </c>
      <c r="B3511">
        <v>39</v>
      </c>
      <c r="C3511" t="s">
        <v>16</v>
      </c>
      <c r="D3511" t="s">
        <v>17</v>
      </c>
      <c r="E3511" t="s">
        <v>42</v>
      </c>
      <c r="F3511">
        <v>84.03</v>
      </c>
      <c r="G3511" t="s">
        <v>24</v>
      </c>
      <c r="H3511" t="s">
        <v>37</v>
      </c>
      <c r="I3511">
        <v>4</v>
      </c>
      <c r="J3511">
        <v>11</v>
      </c>
      <c r="K3511">
        <v>3</v>
      </c>
    </row>
    <row r="3512" spans="1:11" x14ac:dyDescent="0.35">
      <c r="A3512">
        <v>3511</v>
      </c>
      <c r="B3512">
        <v>58</v>
      </c>
      <c r="C3512" t="s">
        <v>16</v>
      </c>
      <c r="D3512" t="s">
        <v>17</v>
      </c>
      <c r="E3512" t="s">
        <v>18</v>
      </c>
      <c r="F3512">
        <v>147.16999999999999</v>
      </c>
      <c r="G3512" t="s">
        <v>24</v>
      </c>
      <c r="H3512" t="s">
        <v>15</v>
      </c>
      <c r="I3512">
        <v>4.5</v>
      </c>
      <c r="J3512">
        <v>6</v>
      </c>
      <c r="K3512">
        <v>3</v>
      </c>
    </row>
    <row r="3513" spans="1:11" x14ac:dyDescent="0.35">
      <c r="A3513">
        <v>3512</v>
      </c>
      <c r="B3513">
        <v>44</v>
      </c>
      <c r="C3513" t="s">
        <v>11</v>
      </c>
      <c r="D3513" t="s">
        <v>25</v>
      </c>
      <c r="E3513" t="s">
        <v>54</v>
      </c>
      <c r="F3513">
        <v>29.29</v>
      </c>
      <c r="G3513" t="s">
        <v>31</v>
      </c>
      <c r="H3513" t="s">
        <v>37</v>
      </c>
      <c r="I3513">
        <v>4.8</v>
      </c>
      <c r="J3513">
        <v>9</v>
      </c>
      <c r="K3513">
        <v>2</v>
      </c>
    </row>
    <row r="3514" spans="1:11" x14ac:dyDescent="0.35">
      <c r="A3514">
        <v>3513</v>
      </c>
      <c r="B3514">
        <v>38</v>
      </c>
      <c r="C3514" t="s">
        <v>16</v>
      </c>
      <c r="D3514" t="s">
        <v>22</v>
      </c>
      <c r="E3514" t="s">
        <v>43</v>
      </c>
      <c r="F3514">
        <v>180.38</v>
      </c>
      <c r="G3514" t="s">
        <v>14</v>
      </c>
      <c r="H3514" t="s">
        <v>15</v>
      </c>
      <c r="I3514">
        <v>2.9</v>
      </c>
      <c r="J3514">
        <v>14</v>
      </c>
      <c r="K3514">
        <v>7</v>
      </c>
    </row>
    <row r="3515" spans="1:11" x14ac:dyDescent="0.35">
      <c r="A3515">
        <v>3514</v>
      </c>
      <c r="B3515">
        <v>65</v>
      </c>
      <c r="C3515" t="s">
        <v>16</v>
      </c>
      <c r="D3515" t="s">
        <v>27</v>
      </c>
      <c r="E3515" t="s">
        <v>53</v>
      </c>
      <c r="F3515">
        <v>1279.3</v>
      </c>
      <c r="G3515" t="s">
        <v>14</v>
      </c>
      <c r="H3515" t="s">
        <v>15</v>
      </c>
      <c r="I3515">
        <v>4.4000000000000004</v>
      </c>
      <c r="J3515">
        <v>11</v>
      </c>
      <c r="K3515">
        <v>3</v>
      </c>
    </row>
    <row r="3516" spans="1:11" x14ac:dyDescent="0.35">
      <c r="A3516">
        <v>3515</v>
      </c>
      <c r="B3516">
        <v>23</v>
      </c>
      <c r="C3516" t="s">
        <v>11</v>
      </c>
      <c r="D3516" t="s">
        <v>41</v>
      </c>
      <c r="E3516" t="s">
        <v>44</v>
      </c>
      <c r="F3516">
        <v>31.4</v>
      </c>
      <c r="G3516" t="s">
        <v>31</v>
      </c>
      <c r="H3516" t="s">
        <v>37</v>
      </c>
      <c r="I3516">
        <v>3</v>
      </c>
      <c r="J3516">
        <v>8</v>
      </c>
      <c r="K3516">
        <v>4</v>
      </c>
    </row>
    <row r="3517" spans="1:11" x14ac:dyDescent="0.35">
      <c r="A3517">
        <v>3516</v>
      </c>
      <c r="B3517">
        <v>20</v>
      </c>
      <c r="C3517" t="s">
        <v>11</v>
      </c>
      <c r="D3517" t="s">
        <v>25</v>
      </c>
      <c r="E3517" t="s">
        <v>57</v>
      </c>
      <c r="F3517">
        <v>47.95</v>
      </c>
      <c r="G3517" t="s">
        <v>19</v>
      </c>
      <c r="H3517" t="s">
        <v>15</v>
      </c>
      <c r="I3517">
        <v>4.3</v>
      </c>
      <c r="J3517">
        <v>24</v>
      </c>
      <c r="K3517">
        <v>7</v>
      </c>
    </row>
    <row r="3518" spans="1:11" x14ac:dyDescent="0.35">
      <c r="A3518">
        <v>3517</v>
      </c>
      <c r="B3518">
        <v>36</v>
      </c>
      <c r="C3518" t="s">
        <v>11</v>
      </c>
      <c r="D3518" t="s">
        <v>41</v>
      </c>
      <c r="E3518" t="s">
        <v>45</v>
      </c>
      <c r="F3518">
        <v>98.93</v>
      </c>
      <c r="G3518" t="s">
        <v>19</v>
      </c>
      <c r="H3518" t="s">
        <v>15</v>
      </c>
      <c r="I3518">
        <v>4.4000000000000004</v>
      </c>
      <c r="J3518">
        <v>10</v>
      </c>
      <c r="K3518">
        <v>5</v>
      </c>
    </row>
    <row r="3519" spans="1:11" x14ac:dyDescent="0.35">
      <c r="A3519">
        <v>3518</v>
      </c>
      <c r="B3519">
        <v>46</v>
      </c>
      <c r="C3519" t="s">
        <v>11</v>
      </c>
      <c r="D3519" t="s">
        <v>41</v>
      </c>
      <c r="E3519" t="s">
        <v>45</v>
      </c>
      <c r="F3519">
        <v>84.09</v>
      </c>
      <c r="G3519" t="s">
        <v>31</v>
      </c>
      <c r="H3519" t="s">
        <v>15</v>
      </c>
      <c r="I3519">
        <v>3.4</v>
      </c>
      <c r="J3519">
        <v>4</v>
      </c>
      <c r="K3519">
        <v>2</v>
      </c>
    </row>
    <row r="3520" spans="1:11" x14ac:dyDescent="0.35">
      <c r="A3520">
        <v>3519</v>
      </c>
      <c r="B3520">
        <v>45</v>
      </c>
      <c r="C3520" t="s">
        <v>16</v>
      </c>
      <c r="D3520" t="s">
        <v>33</v>
      </c>
      <c r="E3520" t="s">
        <v>38</v>
      </c>
      <c r="F3520">
        <v>174.22</v>
      </c>
      <c r="G3520" t="s">
        <v>31</v>
      </c>
      <c r="H3520" t="s">
        <v>15</v>
      </c>
      <c r="I3520">
        <v>4</v>
      </c>
      <c r="J3520">
        <v>13</v>
      </c>
      <c r="K3520">
        <v>4</v>
      </c>
    </row>
    <row r="3521" spans="1:11" x14ac:dyDescent="0.35">
      <c r="A3521">
        <v>3520</v>
      </c>
      <c r="B3521">
        <v>62</v>
      </c>
      <c r="C3521" t="s">
        <v>16</v>
      </c>
      <c r="D3521" t="s">
        <v>20</v>
      </c>
      <c r="E3521" t="s">
        <v>36</v>
      </c>
      <c r="F3521">
        <v>50.18</v>
      </c>
      <c r="G3521" t="s">
        <v>19</v>
      </c>
      <c r="H3521" t="s">
        <v>15</v>
      </c>
      <c r="I3521">
        <v>3.4</v>
      </c>
      <c r="J3521">
        <v>24</v>
      </c>
      <c r="K3521">
        <v>7</v>
      </c>
    </row>
    <row r="3522" spans="1:11" x14ac:dyDescent="0.35">
      <c r="A3522">
        <v>3521</v>
      </c>
      <c r="B3522">
        <v>66</v>
      </c>
      <c r="C3522" t="s">
        <v>16</v>
      </c>
      <c r="D3522" t="s">
        <v>27</v>
      </c>
      <c r="E3522" t="s">
        <v>32</v>
      </c>
      <c r="F3522">
        <v>2988.75</v>
      </c>
      <c r="G3522" t="s">
        <v>19</v>
      </c>
      <c r="H3522" t="s">
        <v>15</v>
      </c>
      <c r="I3522">
        <v>4.0999999999999996</v>
      </c>
      <c r="J3522">
        <v>8</v>
      </c>
      <c r="K3522">
        <v>4</v>
      </c>
    </row>
    <row r="3523" spans="1:11" x14ac:dyDescent="0.35">
      <c r="A3523">
        <v>3522</v>
      </c>
      <c r="B3523">
        <v>25</v>
      </c>
      <c r="C3523" t="s">
        <v>16</v>
      </c>
      <c r="D3523" t="s">
        <v>33</v>
      </c>
      <c r="E3523" t="s">
        <v>38</v>
      </c>
      <c r="F3523">
        <v>91.39</v>
      </c>
      <c r="G3523" t="s">
        <v>24</v>
      </c>
      <c r="H3523" t="s">
        <v>37</v>
      </c>
      <c r="I3523">
        <v>4.5999999999999996</v>
      </c>
      <c r="J3523">
        <v>21</v>
      </c>
      <c r="K3523">
        <v>8</v>
      </c>
    </row>
    <row r="3524" spans="1:11" x14ac:dyDescent="0.35">
      <c r="A3524">
        <v>3523</v>
      </c>
      <c r="B3524">
        <v>63</v>
      </c>
      <c r="C3524" t="s">
        <v>16</v>
      </c>
      <c r="D3524" t="s">
        <v>33</v>
      </c>
      <c r="E3524" t="s">
        <v>34</v>
      </c>
      <c r="F3524">
        <v>148.77000000000001</v>
      </c>
      <c r="G3524" t="s">
        <v>24</v>
      </c>
      <c r="H3524" t="s">
        <v>15</v>
      </c>
      <c r="I3524">
        <v>3.7</v>
      </c>
      <c r="J3524">
        <v>4</v>
      </c>
      <c r="K3524">
        <v>2</v>
      </c>
    </row>
    <row r="3525" spans="1:11" x14ac:dyDescent="0.35">
      <c r="A3525">
        <v>3524</v>
      </c>
      <c r="B3525">
        <v>68</v>
      </c>
      <c r="C3525" t="s">
        <v>11</v>
      </c>
      <c r="D3525" t="s">
        <v>20</v>
      </c>
      <c r="E3525" t="s">
        <v>39</v>
      </c>
      <c r="F3525">
        <v>208.26</v>
      </c>
      <c r="G3525" t="s">
        <v>14</v>
      </c>
      <c r="H3525" t="s">
        <v>15</v>
      </c>
      <c r="I3525">
        <v>3.3</v>
      </c>
      <c r="J3525">
        <v>6</v>
      </c>
      <c r="K3525">
        <v>3</v>
      </c>
    </row>
    <row r="3526" spans="1:11" x14ac:dyDescent="0.35">
      <c r="A3526">
        <v>3525</v>
      </c>
      <c r="B3526">
        <v>41</v>
      </c>
      <c r="C3526" t="s">
        <v>16</v>
      </c>
      <c r="D3526" t="s">
        <v>25</v>
      </c>
      <c r="E3526" t="s">
        <v>26</v>
      </c>
      <c r="F3526">
        <v>75.680000000000007</v>
      </c>
      <c r="G3526" t="s">
        <v>14</v>
      </c>
      <c r="H3526" t="s">
        <v>37</v>
      </c>
      <c r="I3526">
        <v>4.7</v>
      </c>
      <c r="J3526">
        <v>12</v>
      </c>
      <c r="K3526">
        <v>1</v>
      </c>
    </row>
    <row r="3527" spans="1:11" x14ac:dyDescent="0.35">
      <c r="A3527">
        <v>3526</v>
      </c>
      <c r="B3527">
        <v>42</v>
      </c>
      <c r="C3527" t="s">
        <v>11</v>
      </c>
      <c r="D3527" t="s">
        <v>41</v>
      </c>
      <c r="E3527" t="s">
        <v>45</v>
      </c>
      <c r="F3527">
        <v>195.75</v>
      </c>
      <c r="G3527" t="s">
        <v>31</v>
      </c>
      <c r="H3527" t="s">
        <v>15</v>
      </c>
      <c r="I3527">
        <v>2.7</v>
      </c>
      <c r="J3527">
        <v>15</v>
      </c>
      <c r="K3527">
        <v>5</v>
      </c>
    </row>
    <row r="3528" spans="1:11" x14ac:dyDescent="0.35">
      <c r="A3528">
        <v>3527</v>
      </c>
      <c r="B3528">
        <v>20</v>
      </c>
      <c r="C3528" t="s">
        <v>11</v>
      </c>
      <c r="D3528" t="s">
        <v>41</v>
      </c>
      <c r="E3528" t="s">
        <v>44</v>
      </c>
      <c r="F3528">
        <v>101.76</v>
      </c>
      <c r="G3528" t="s">
        <v>14</v>
      </c>
      <c r="H3528" t="s">
        <v>15</v>
      </c>
      <c r="I3528">
        <v>3.6</v>
      </c>
      <c r="J3528">
        <v>4</v>
      </c>
      <c r="K3528">
        <v>2</v>
      </c>
    </row>
    <row r="3529" spans="1:11" x14ac:dyDescent="0.35">
      <c r="A3529">
        <v>3528</v>
      </c>
      <c r="B3529">
        <v>62</v>
      </c>
      <c r="C3529" t="s">
        <v>16</v>
      </c>
      <c r="D3529" t="s">
        <v>33</v>
      </c>
      <c r="E3529" t="s">
        <v>34</v>
      </c>
      <c r="F3529">
        <v>162.80000000000001</v>
      </c>
      <c r="G3529" t="s">
        <v>14</v>
      </c>
      <c r="H3529" t="s">
        <v>15</v>
      </c>
      <c r="I3529">
        <v>4.3</v>
      </c>
      <c r="J3529">
        <v>22</v>
      </c>
      <c r="K3529">
        <v>6</v>
      </c>
    </row>
    <row r="3530" spans="1:11" x14ac:dyDescent="0.35">
      <c r="A3530">
        <v>3529</v>
      </c>
      <c r="B3530">
        <v>67</v>
      </c>
      <c r="C3530" t="s">
        <v>11</v>
      </c>
      <c r="D3530" t="s">
        <v>41</v>
      </c>
      <c r="E3530" t="s">
        <v>46</v>
      </c>
      <c r="F3530">
        <v>184.18</v>
      </c>
      <c r="G3530" t="s">
        <v>14</v>
      </c>
      <c r="H3530" t="s">
        <v>15</v>
      </c>
      <c r="I3530">
        <v>3.2</v>
      </c>
      <c r="J3530">
        <v>14</v>
      </c>
      <c r="K3530">
        <v>2</v>
      </c>
    </row>
    <row r="3531" spans="1:11" x14ac:dyDescent="0.35">
      <c r="A3531">
        <v>3530</v>
      </c>
      <c r="B3531">
        <v>27</v>
      </c>
      <c r="C3531" t="s">
        <v>11</v>
      </c>
      <c r="D3531" t="s">
        <v>29</v>
      </c>
      <c r="E3531" t="s">
        <v>55</v>
      </c>
      <c r="F3531">
        <v>92.28</v>
      </c>
      <c r="G3531" t="s">
        <v>24</v>
      </c>
      <c r="H3531" t="s">
        <v>37</v>
      </c>
      <c r="I3531">
        <v>4.2</v>
      </c>
      <c r="J3531">
        <v>14</v>
      </c>
      <c r="K3531">
        <v>2</v>
      </c>
    </row>
    <row r="3532" spans="1:11" x14ac:dyDescent="0.35">
      <c r="A3532">
        <v>3531</v>
      </c>
      <c r="B3532">
        <v>27</v>
      </c>
      <c r="C3532" t="s">
        <v>16</v>
      </c>
      <c r="D3532" t="s">
        <v>22</v>
      </c>
      <c r="E3532" t="s">
        <v>43</v>
      </c>
      <c r="F3532">
        <v>90.91</v>
      </c>
      <c r="G3532" t="s">
        <v>19</v>
      </c>
      <c r="H3532" t="s">
        <v>15</v>
      </c>
      <c r="I3532">
        <v>3.6</v>
      </c>
      <c r="J3532">
        <v>10</v>
      </c>
      <c r="K3532">
        <v>5</v>
      </c>
    </row>
    <row r="3533" spans="1:11" x14ac:dyDescent="0.35">
      <c r="A3533">
        <v>3532</v>
      </c>
      <c r="B3533">
        <v>69</v>
      </c>
      <c r="C3533" t="s">
        <v>16</v>
      </c>
      <c r="D3533" t="s">
        <v>20</v>
      </c>
      <c r="E3533" t="s">
        <v>36</v>
      </c>
      <c r="F3533">
        <v>213.7</v>
      </c>
      <c r="G3533" t="s">
        <v>31</v>
      </c>
      <c r="H3533" t="s">
        <v>15</v>
      </c>
      <c r="I3533">
        <v>3.7</v>
      </c>
      <c r="J3533">
        <v>6</v>
      </c>
      <c r="K3533">
        <v>3</v>
      </c>
    </row>
    <row r="3534" spans="1:11" x14ac:dyDescent="0.35">
      <c r="A3534">
        <v>3533</v>
      </c>
      <c r="B3534">
        <v>40</v>
      </c>
      <c r="C3534" t="s">
        <v>16</v>
      </c>
      <c r="D3534" t="s">
        <v>27</v>
      </c>
      <c r="E3534" t="s">
        <v>49</v>
      </c>
      <c r="F3534">
        <v>2397</v>
      </c>
      <c r="G3534" t="s">
        <v>24</v>
      </c>
      <c r="H3534" t="s">
        <v>15</v>
      </c>
      <c r="I3534">
        <v>4</v>
      </c>
      <c r="J3534">
        <v>32</v>
      </c>
      <c r="K3534">
        <v>11</v>
      </c>
    </row>
    <row r="3535" spans="1:11" x14ac:dyDescent="0.35">
      <c r="A3535">
        <v>3534</v>
      </c>
      <c r="B3535">
        <v>64</v>
      </c>
      <c r="C3535" t="s">
        <v>11</v>
      </c>
      <c r="D3535" t="s">
        <v>12</v>
      </c>
      <c r="E3535" t="s">
        <v>13</v>
      </c>
      <c r="F3535">
        <v>174.66</v>
      </c>
      <c r="G3535" t="s">
        <v>14</v>
      </c>
      <c r="H3535" t="s">
        <v>15</v>
      </c>
      <c r="I3535">
        <v>5</v>
      </c>
      <c r="J3535">
        <v>24</v>
      </c>
      <c r="K3535">
        <v>7</v>
      </c>
    </row>
    <row r="3536" spans="1:11" x14ac:dyDescent="0.35">
      <c r="A3536">
        <v>3535</v>
      </c>
      <c r="B3536">
        <v>34</v>
      </c>
      <c r="C3536" t="s">
        <v>16</v>
      </c>
      <c r="D3536" t="s">
        <v>27</v>
      </c>
      <c r="E3536" t="s">
        <v>32</v>
      </c>
      <c r="F3536">
        <v>2047.74</v>
      </c>
      <c r="G3536" t="s">
        <v>14</v>
      </c>
      <c r="H3536" t="s">
        <v>15</v>
      </c>
      <c r="I3536">
        <v>4</v>
      </c>
      <c r="J3536">
        <v>22</v>
      </c>
      <c r="K3536">
        <v>6</v>
      </c>
    </row>
    <row r="3537" spans="1:11" x14ac:dyDescent="0.35">
      <c r="A3537">
        <v>3536</v>
      </c>
      <c r="B3537">
        <v>67</v>
      </c>
      <c r="C3537" t="s">
        <v>11</v>
      </c>
      <c r="D3537" t="s">
        <v>41</v>
      </c>
      <c r="E3537" t="s">
        <v>44</v>
      </c>
      <c r="F3537">
        <v>148.32</v>
      </c>
      <c r="G3537" t="s">
        <v>19</v>
      </c>
      <c r="H3537" t="s">
        <v>15</v>
      </c>
      <c r="I3537">
        <v>4.5</v>
      </c>
      <c r="J3537">
        <v>20</v>
      </c>
      <c r="K3537">
        <v>5</v>
      </c>
    </row>
    <row r="3538" spans="1:11" x14ac:dyDescent="0.35">
      <c r="A3538">
        <v>3537</v>
      </c>
      <c r="B3538">
        <v>27</v>
      </c>
      <c r="C3538" t="s">
        <v>16</v>
      </c>
      <c r="D3538" t="s">
        <v>20</v>
      </c>
      <c r="E3538" t="s">
        <v>21</v>
      </c>
      <c r="F3538">
        <v>118.03</v>
      </c>
      <c r="G3538" t="s">
        <v>19</v>
      </c>
      <c r="H3538" t="s">
        <v>15</v>
      </c>
      <c r="I3538">
        <v>4</v>
      </c>
      <c r="J3538">
        <v>19</v>
      </c>
      <c r="K3538">
        <v>7</v>
      </c>
    </row>
    <row r="3539" spans="1:11" x14ac:dyDescent="0.35">
      <c r="A3539">
        <v>3538</v>
      </c>
      <c r="B3539">
        <v>33</v>
      </c>
      <c r="C3539" t="s">
        <v>11</v>
      </c>
      <c r="D3539" t="s">
        <v>29</v>
      </c>
      <c r="E3539" t="s">
        <v>55</v>
      </c>
      <c r="F3539">
        <v>55.18</v>
      </c>
      <c r="G3539" t="s">
        <v>24</v>
      </c>
      <c r="H3539" t="s">
        <v>15</v>
      </c>
      <c r="I3539">
        <v>3.4</v>
      </c>
      <c r="J3539">
        <v>13</v>
      </c>
      <c r="K3539">
        <v>4</v>
      </c>
    </row>
    <row r="3540" spans="1:11" x14ac:dyDescent="0.35">
      <c r="A3540">
        <v>3539</v>
      </c>
      <c r="B3540">
        <v>57</v>
      </c>
      <c r="C3540" t="s">
        <v>11</v>
      </c>
      <c r="D3540" t="s">
        <v>12</v>
      </c>
      <c r="E3540" t="s">
        <v>56</v>
      </c>
      <c r="F3540">
        <v>39.68</v>
      </c>
      <c r="G3540" t="s">
        <v>31</v>
      </c>
      <c r="H3540" t="s">
        <v>37</v>
      </c>
      <c r="I3540">
        <v>3.4</v>
      </c>
      <c r="J3540">
        <v>10</v>
      </c>
      <c r="K3540">
        <v>5</v>
      </c>
    </row>
    <row r="3541" spans="1:11" x14ac:dyDescent="0.35">
      <c r="A3541">
        <v>3540</v>
      </c>
      <c r="B3541">
        <v>47</v>
      </c>
      <c r="C3541" t="s">
        <v>16</v>
      </c>
      <c r="D3541" t="s">
        <v>33</v>
      </c>
      <c r="E3541" t="s">
        <v>34</v>
      </c>
      <c r="F3541">
        <v>138.35</v>
      </c>
      <c r="G3541" t="s">
        <v>14</v>
      </c>
      <c r="H3541" t="s">
        <v>15</v>
      </c>
      <c r="I3541">
        <v>4.5999999999999996</v>
      </c>
      <c r="J3541">
        <v>15</v>
      </c>
      <c r="K3541">
        <v>5</v>
      </c>
    </row>
    <row r="3542" spans="1:11" x14ac:dyDescent="0.35">
      <c r="A3542">
        <v>3541</v>
      </c>
      <c r="B3542">
        <v>20</v>
      </c>
      <c r="C3542" t="s">
        <v>11</v>
      </c>
      <c r="D3542" t="s">
        <v>33</v>
      </c>
      <c r="E3542" t="s">
        <v>34</v>
      </c>
      <c r="F3542">
        <v>80.11</v>
      </c>
      <c r="G3542" t="s">
        <v>24</v>
      </c>
      <c r="H3542" t="s">
        <v>15</v>
      </c>
      <c r="I3542">
        <v>4.5999999999999996</v>
      </c>
      <c r="J3542">
        <v>10</v>
      </c>
      <c r="K3542">
        <v>5</v>
      </c>
    </row>
    <row r="3543" spans="1:11" x14ac:dyDescent="0.35">
      <c r="A3543">
        <v>3542</v>
      </c>
      <c r="B3543">
        <v>58</v>
      </c>
      <c r="C3543" t="s">
        <v>11</v>
      </c>
      <c r="D3543" t="s">
        <v>12</v>
      </c>
      <c r="E3543" t="s">
        <v>13</v>
      </c>
      <c r="F3543">
        <v>97.52</v>
      </c>
      <c r="G3543" t="s">
        <v>19</v>
      </c>
      <c r="H3543" t="s">
        <v>37</v>
      </c>
      <c r="I3543">
        <v>2.8</v>
      </c>
      <c r="J3543">
        <v>10</v>
      </c>
      <c r="K3543">
        <v>5</v>
      </c>
    </row>
    <row r="3544" spans="1:11" x14ac:dyDescent="0.35">
      <c r="A3544">
        <v>3543</v>
      </c>
      <c r="B3544">
        <v>29</v>
      </c>
      <c r="C3544" t="s">
        <v>11</v>
      </c>
      <c r="D3544" t="s">
        <v>12</v>
      </c>
      <c r="E3544" t="s">
        <v>56</v>
      </c>
      <c r="F3544">
        <v>135.41999999999999</v>
      </c>
      <c r="G3544" t="s">
        <v>19</v>
      </c>
      <c r="H3544" t="s">
        <v>15</v>
      </c>
      <c r="I3544">
        <v>3.7</v>
      </c>
      <c r="J3544">
        <v>10</v>
      </c>
      <c r="K3544">
        <v>5</v>
      </c>
    </row>
    <row r="3545" spans="1:11" x14ac:dyDescent="0.35">
      <c r="A3545">
        <v>3544</v>
      </c>
      <c r="B3545">
        <v>68</v>
      </c>
      <c r="C3545" t="s">
        <v>16</v>
      </c>
      <c r="D3545" t="s">
        <v>17</v>
      </c>
      <c r="E3545" t="s">
        <v>18</v>
      </c>
      <c r="F3545">
        <v>95.18</v>
      </c>
      <c r="G3545" t="s">
        <v>14</v>
      </c>
      <c r="H3545" t="s">
        <v>15</v>
      </c>
      <c r="I3545">
        <v>4.4000000000000004</v>
      </c>
      <c r="J3545">
        <v>17</v>
      </c>
      <c r="K3545">
        <v>6</v>
      </c>
    </row>
    <row r="3546" spans="1:11" x14ac:dyDescent="0.35">
      <c r="A3546">
        <v>3545</v>
      </c>
      <c r="B3546">
        <v>50</v>
      </c>
      <c r="C3546" t="s">
        <v>11</v>
      </c>
      <c r="D3546" t="s">
        <v>29</v>
      </c>
      <c r="E3546" t="s">
        <v>55</v>
      </c>
      <c r="F3546">
        <v>121.73</v>
      </c>
      <c r="G3546" t="s">
        <v>24</v>
      </c>
      <c r="H3546" t="s">
        <v>15</v>
      </c>
      <c r="I3546">
        <v>4.0999999999999996</v>
      </c>
      <c r="J3546">
        <v>28</v>
      </c>
      <c r="K3546">
        <v>9</v>
      </c>
    </row>
    <row r="3547" spans="1:11" x14ac:dyDescent="0.35">
      <c r="A3547">
        <v>3546</v>
      </c>
      <c r="B3547">
        <v>21</v>
      </c>
      <c r="C3547" t="s">
        <v>11</v>
      </c>
      <c r="D3547" t="s">
        <v>41</v>
      </c>
      <c r="E3547" t="s">
        <v>46</v>
      </c>
      <c r="F3547">
        <v>155.07</v>
      </c>
      <c r="G3547" t="s">
        <v>31</v>
      </c>
      <c r="H3547" t="s">
        <v>15</v>
      </c>
      <c r="I3547">
        <v>3</v>
      </c>
      <c r="J3547">
        <v>13</v>
      </c>
      <c r="K3547">
        <v>4</v>
      </c>
    </row>
    <row r="3548" spans="1:11" x14ac:dyDescent="0.35">
      <c r="A3548">
        <v>3547</v>
      </c>
      <c r="B3548">
        <v>65</v>
      </c>
      <c r="C3548" t="s">
        <v>16</v>
      </c>
      <c r="D3548" t="s">
        <v>17</v>
      </c>
      <c r="E3548" t="s">
        <v>18</v>
      </c>
      <c r="F3548">
        <v>146.36000000000001</v>
      </c>
      <c r="G3548" t="s">
        <v>31</v>
      </c>
      <c r="H3548" t="s">
        <v>15</v>
      </c>
      <c r="I3548">
        <v>2.5</v>
      </c>
      <c r="J3548">
        <v>2</v>
      </c>
      <c r="K3548">
        <v>1</v>
      </c>
    </row>
    <row r="3549" spans="1:11" x14ac:dyDescent="0.35">
      <c r="A3549">
        <v>3548</v>
      </c>
      <c r="B3549">
        <v>67</v>
      </c>
      <c r="C3549" t="s">
        <v>16</v>
      </c>
      <c r="D3549" t="s">
        <v>20</v>
      </c>
      <c r="E3549" t="s">
        <v>36</v>
      </c>
      <c r="F3549">
        <v>222.83</v>
      </c>
      <c r="G3549" t="s">
        <v>31</v>
      </c>
      <c r="H3549" t="s">
        <v>15</v>
      </c>
      <c r="I3549">
        <v>4.8</v>
      </c>
      <c r="J3549">
        <v>13</v>
      </c>
      <c r="K3549">
        <v>4</v>
      </c>
    </row>
    <row r="3550" spans="1:11" x14ac:dyDescent="0.35">
      <c r="A3550">
        <v>3549</v>
      </c>
      <c r="B3550">
        <v>28</v>
      </c>
      <c r="C3550" t="s">
        <v>11</v>
      </c>
      <c r="D3550" t="s">
        <v>33</v>
      </c>
      <c r="E3550" t="s">
        <v>38</v>
      </c>
      <c r="F3550">
        <v>237.96</v>
      </c>
      <c r="G3550" t="s">
        <v>14</v>
      </c>
      <c r="H3550" t="s">
        <v>15</v>
      </c>
      <c r="I3550">
        <v>4.7</v>
      </c>
      <c r="J3550">
        <v>9</v>
      </c>
      <c r="K3550">
        <v>2</v>
      </c>
    </row>
    <row r="3551" spans="1:11" x14ac:dyDescent="0.35">
      <c r="A3551">
        <v>3550</v>
      </c>
      <c r="B3551">
        <v>53</v>
      </c>
      <c r="C3551" t="s">
        <v>11</v>
      </c>
      <c r="D3551" t="s">
        <v>41</v>
      </c>
      <c r="E3551" t="s">
        <v>46</v>
      </c>
      <c r="F3551">
        <v>182.1</v>
      </c>
      <c r="G3551" t="s">
        <v>14</v>
      </c>
      <c r="H3551" t="s">
        <v>15</v>
      </c>
      <c r="I3551">
        <v>2.8</v>
      </c>
      <c r="J3551">
        <v>13</v>
      </c>
      <c r="K3551">
        <v>4</v>
      </c>
    </row>
    <row r="3552" spans="1:11" x14ac:dyDescent="0.35">
      <c r="A3552">
        <v>3551</v>
      </c>
      <c r="B3552">
        <v>53</v>
      </c>
      <c r="C3552" t="s">
        <v>16</v>
      </c>
      <c r="D3552" t="s">
        <v>27</v>
      </c>
      <c r="E3552" t="s">
        <v>53</v>
      </c>
      <c r="F3552">
        <v>2807.25</v>
      </c>
      <c r="G3552" t="s">
        <v>31</v>
      </c>
      <c r="H3552" t="s">
        <v>15</v>
      </c>
      <c r="I3552">
        <v>2.7</v>
      </c>
      <c r="J3552">
        <v>22</v>
      </c>
      <c r="K3552">
        <v>6</v>
      </c>
    </row>
    <row r="3553" spans="1:11" x14ac:dyDescent="0.35">
      <c r="A3553">
        <v>3552</v>
      </c>
      <c r="B3553">
        <v>24</v>
      </c>
      <c r="C3553" t="s">
        <v>16</v>
      </c>
      <c r="D3553" t="s">
        <v>20</v>
      </c>
      <c r="E3553" t="s">
        <v>39</v>
      </c>
      <c r="F3553">
        <v>140.57</v>
      </c>
      <c r="G3553" t="s">
        <v>14</v>
      </c>
      <c r="H3553" t="s">
        <v>15</v>
      </c>
      <c r="I3553">
        <v>4.0999999999999996</v>
      </c>
      <c r="J3553">
        <v>10</v>
      </c>
      <c r="K3553">
        <v>5</v>
      </c>
    </row>
    <row r="3554" spans="1:11" x14ac:dyDescent="0.35">
      <c r="A3554">
        <v>3553</v>
      </c>
      <c r="B3554">
        <v>68</v>
      </c>
      <c r="C3554" t="s">
        <v>16</v>
      </c>
      <c r="D3554" t="s">
        <v>25</v>
      </c>
      <c r="E3554" t="s">
        <v>57</v>
      </c>
      <c r="F3554">
        <v>77.77</v>
      </c>
      <c r="G3554" t="s">
        <v>24</v>
      </c>
      <c r="H3554" t="s">
        <v>37</v>
      </c>
      <c r="I3554">
        <v>3.6</v>
      </c>
      <c r="J3554">
        <v>10</v>
      </c>
      <c r="K3554">
        <v>5</v>
      </c>
    </row>
    <row r="3555" spans="1:11" x14ac:dyDescent="0.35">
      <c r="A3555">
        <v>3554</v>
      </c>
      <c r="B3555">
        <v>70</v>
      </c>
      <c r="C3555" t="s">
        <v>11</v>
      </c>
      <c r="D3555" t="s">
        <v>33</v>
      </c>
      <c r="E3555" t="s">
        <v>34</v>
      </c>
      <c r="F3555">
        <v>165.35</v>
      </c>
      <c r="G3555" t="s">
        <v>14</v>
      </c>
      <c r="H3555" t="s">
        <v>15</v>
      </c>
      <c r="I3555">
        <v>4.0999999999999996</v>
      </c>
      <c r="J3555">
        <v>6</v>
      </c>
      <c r="K3555">
        <v>3</v>
      </c>
    </row>
    <row r="3556" spans="1:11" x14ac:dyDescent="0.35">
      <c r="A3556">
        <v>3555</v>
      </c>
      <c r="B3556">
        <v>43</v>
      </c>
      <c r="C3556" t="s">
        <v>16</v>
      </c>
      <c r="D3556" t="s">
        <v>20</v>
      </c>
      <c r="E3556" t="s">
        <v>36</v>
      </c>
      <c r="F3556">
        <v>246.24</v>
      </c>
      <c r="G3556" t="s">
        <v>24</v>
      </c>
      <c r="H3556" t="s">
        <v>15</v>
      </c>
      <c r="I3556">
        <v>4.5</v>
      </c>
      <c r="J3556">
        <v>14</v>
      </c>
      <c r="K3556">
        <v>2</v>
      </c>
    </row>
    <row r="3557" spans="1:11" x14ac:dyDescent="0.35">
      <c r="A3557">
        <v>3556</v>
      </c>
      <c r="B3557">
        <v>26</v>
      </c>
      <c r="C3557" t="s">
        <v>11</v>
      </c>
      <c r="D3557" t="s">
        <v>29</v>
      </c>
      <c r="E3557" t="s">
        <v>51</v>
      </c>
      <c r="F3557">
        <v>121.85</v>
      </c>
      <c r="G3557" t="s">
        <v>31</v>
      </c>
      <c r="H3557" t="s">
        <v>15</v>
      </c>
      <c r="I3557">
        <v>4.0999999999999996</v>
      </c>
      <c r="J3557">
        <v>11</v>
      </c>
      <c r="K3557">
        <v>3</v>
      </c>
    </row>
    <row r="3558" spans="1:11" x14ac:dyDescent="0.35">
      <c r="A3558">
        <v>3557</v>
      </c>
      <c r="B3558">
        <v>21</v>
      </c>
      <c r="C3558" t="s">
        <v>16</v>
      </c>
      <c r="D3558" t="s">
        <v>20</v>
      </c>
      <c r="E3558" t="s">
        <v>39</v>
      </c>
      <c r="F3558">
        <v>244.91</v>
      </c>
      <c r="G3558" t="s">
        <v>24</v>
      </c>
      <c r="H3558" t="s">
        <v>15</v>
      </c>
      <c r="I3558">
        <v>2.9</v>
      </c>
      <c r="J3558">
        <v>6</v>
      </c>
      <c r="K3558">
        <v>3</v>
      </c>
    </row>
    <row r="3559" spans="1:11" x14ac:dyDescent="0.35">
      <c r="A3559">
        <v>3558</v>
      </c>
      <c r="B3559">
        <v>68</v>
      </c>
      <c r="C3559" t="s">
        <v>11</v>
      </c>
      <c r="D3559" t="s">
        <v>29</v>
      </c>
      <c r="E3559" t="s">
        <v>51</v>
      </c>
      <c r="F3559">
        <v>116.21</v>
      </c>
      <c r="G3559" t="s">
        <v>14</v>
      </c>
      <c r="H3559" t="s">
        <v>15</v>
      </c>
      <c r="I3559">
        <v>3.3</v>
      </c>
      <c r="J3559">
        <v>28</v>
      </c>
      <c r="K3559">
        <v>9</v>
      </c>
    </row>
    <row r="3560" spans="1:11" x14ac:dyDescent="0.35">
      <c r="A3560">
        <v>3559</v>
      </c>
      <c r="B3560">
        <v>65</v>
      </c>
      <c r="C3560" t="s">
        <v>16</v>
      </c>
      <c r="D3560" t="s">
        <v>25</v>
      </c>
      <c r="E3560" t="s">
        <v>54</v>
      </c>
      <c r="F3560">
        <v>31.66</v>
      </c>
      <c r="G3560" t="s">
        <v>14</v>
      </c>
      <c r="H3560" t="s">
        <v>37</v>
      </c>
      <c r="I3560">
        <v>2.4</v>
      </c>
      <c r="J3560">
        <v>14</v>
      </c>
      <c r="K3560">
        <v>7</v>
      </c>
    </row>
    <row r="3561" spans="1:11" x14ac:dyDescent="0.35">
      <c r="A3561">
        <v>3560</v>
      </c>
      <c r="B3561">
        <v>42</v>
      </c>
      <c r="C3561" t="s">
        <v>16</v>
      </c>
      <c r="D3561" t="s">
        <v>20</v>
      </c>
      <c r="E3561" t="s">
        <v>39</v>
      </c>
      <c r="F3561">
        <v>150.72</v>
      </c>
      <c r="G3561" t="s">
        <v>31</v>
      </c>
      <c r="H3561" t="s">
        <v>15</v>
      </c>
      <c r="I3561">
        <v>4.3</v>
      </c>
      <c r="J3561">
        <v>17</v>
      </c>
      <c r="K3561">
        <v>6</v>
      </c>
    </row>
    <row r="3562" spans="1:11" x14ac:dyDescent="0.35">
      <c r="A3562">
        <v>3561</v>
      </c>
      <c r="B3562">
        <v>40</v>
      </c>
      <c r="C3562" t="s">
        <v>11</v>
      </c>
      <c r="D3562" t="s">
        <v>33</v>
      </c>
      <c r="E3562" t="s">
        <v>38</v>
      </c>
      <c r="F3562">
        <v>169.6</v>
      </c>
      <c r="G3562" t="s">
        <v>31</v>
      </c>
      <c r="H3562" t="s">
        <v>15</v>
      </c>
      <c r="I3562">
        <v>3</v>
      </c>
      <c r="J3562">
        <v>13</v>
      </c>
      <c r="K3562">
        <v>4</v>
      </c>
    </row>
    <row r="3563" spans="1:11" x14ac:dyDescent="0.35">
      <c r="A3563">
        <v>3562</v>
      </c>
      <c r="B3563">
        <v>47</v>
      </c>
      <c r="C3563" t="s">
        <v>11</v>
      </c>
      <c r="D3563" t="s">
        <v>20</v>
      </c>
      <c r="E3563" t="s">
        <v>21</v>
      </c>
      <c r="F3563">
        <v>58.39</v>
      </c>
      <c r="G3563" t="s">
        <v>14</v>
      </c>
      <c r="H3563" t="s">
        <v>37</v>
      </c>
      <c r="I3563">
        <v>4.4000000000000004</v>
      </c>
      <c r="J3563">
        <v>16</v>
      </c>
      <c r="K3563">
        <v>3</v>
      </c>
    </row>
    <row r="3564" spans="1:11" x14ac:dyDescent="0.35">
      <c r="A3564">
        <v>3563</v>
      </c>
      <c r="B3564">
        <v>53</v>
      </c>
      <c r="C3564" t="s">
        <v>11</v>
      </c>
      <c r="D3564" t="s">
        <v>29</v>
      </c>
      <c r="E3564" t="s">
        <v>55</v>
      </c>
      <c r="F3564">
        <v>68.14</v>
      </c>
      <c r="G3564" t="s">
        <v>14</v>
      </c>
      <c r="H3564" t="s">
        <v>37</v>
      </c>
      <c r="I3564">
        <v>3.3</v>
      </c>
      <c r="J3564">
        <v>10</v>
      </c>
      <c r="K3564">
        <v>5</v>
      </c>
    </row>
    <row r="3565" spans="1:11" x14ac:dyDescent="0.35">
      <c r="A3565">
        <v>3564</v>
      </c>
      <c r="B3565">
        <v>48</v>
      </c>
      <c r="C3565" t="s">
        <v>16</v>
      </c>
      <c r="D3565" t="s">
        <v>33</v>
      </c>
      <c r="E3565" t="s">
        <v>40</v>
      </c>
      <c r="F3565">
        <v>179.68</v>
      </c>
      <c r="G3565" t="s">
        <v>14</v>
      </c>
      <c r="H3565" t="s">
        <v>15</v>
      </c>
      <c r="I3565">
        <v>4.9000000000000004</v>
      </c>
      <c r="J3565">
        <v>28</v>
      </c>
      <c r="K3565">
        <v>9</v>
      </c>
    </row>
    <row r="3566" spans="1:11" x14ac:dyDescent="0.35">
      <c r="A3566">
        <v>3565</v>
      </c>
      <c r="B3566">
        <v>33</v>
      </c>
      <c r="C3566" t="s">
        <v>16</v>
      </c>
      <c r="D3566" t="s">
        <v>27</v>
      </c>
      <c r="E3566" t="s">
        <v>49</v>
      </c>
      <c r="F3566">
        <v>2844.72</v>
      </c>
      <c r="G3566" t="s">
        <v>31</v>
      </c>
      <c r="H3566" t="s">
        <v>15</v>
      </c>
      <c r="I3566">
        <v>3.9</v>
      </c>
      <c r="J3566">
        <v>8</v>
      </c>
      <c r="K3566">
        <v>4</v>
      </c>
    </row>
    <row r="3567" spans="1:11" x14ac:dyDescent="0.35">
      <c r="A3567">
        <v>3566</v>
      </c>
      <c r="B3567">
        <v>42</v>
      </c>
      <c r="C3567" t="s">
        <v>11</v>
      </c>
      <c r="D3567" t="s">
        <v>33</v>
      </c>
      <c r="E3567" t="s">
        <v>40</v>
      </c>
      <c r="F3567">
        <v>125.92</v>
      </c>
      <c r="G3567" t="s">
        <v>31</v>
      </c>
      <c r="H3567" t="s">
        <v>15</v>
      </c>
      <c r="I3567">
        <v>2.8</v>
      </c>
      <c r="J3567">
        <v>10</v>
      </c>
      <c r="K3567">
        <v>5</v>
      </c>
    </row>
    <row r="3568" spans="1:11" x14ac:dyDescent="0.35">
      <c r="A3568">
        <v>3567</v>
      </c>
      <c r="B3568">
        <v>45</v>
      </c>
      <c r="C3568" t="s">
        <v>11</v>
      </c>
      <c r="D3568" t="s">
        <v>29</v>
      </c>
      <c r="E3568" t="s">
        <v>55</v>
      </c>
      <c r="F3568">
        <v>21.56</v>
      </c>
      <c r="G3568" t="s">
        <v>19</v>
      </c>
      <c r="H3568" t="s">
        <v>37</v>
      </c>
      <c r="I3568">
        <v>3.4</v>
      </c>
      <c r="J3568">
        <v>9</v>
      </c>
      <c r="K3568">
        <v>2</v>
      </c>
    </row>
    <row r="3569" spans="1:11" x14ac:dyDescent="0.35">
      <c r="A3569">
        <v>3568</v>
      </c>
      <c r="B3569">
        <v>42</v>
      </c>
      <c r="C3569" t="s">
        <v>16</v>
      </c>
      <c r="D3569" t="s">
        <v>25</v>
      </c>
      <c r="E3569" t="s">
        <v>57</v>
      </c>
      <c r="F3569">
        <v>65.64</v>
      </c>
      <c r="G3569" t="s">
        <v>24</v>
      </c>
      <c r="H3569" t="s">
        <v>37</v>
      </c>
      <c r="I3569">
        <v>2.8</v>
      </c>
      <c r="J3569">
        <v>10</v>
      </c>
      <c r="K3569">
        <v>5</v>
      </c>
    </row>
    <row r="3570" spans="1:11" x14ac:dyDescent="0.35">
      <c r="A3570">
        <v>3569</v>
      </c>
      <c r="B3570">
        <v>56</v>
      </c>
      <c r="C3570" t="s">
        <v>11</v>
      </c>
      <c r="D3570" t="s">
        <v>12</v>
      </c>
      <c r="E3570" t="s">
        <v>56</v>
      </c>
      <c r="F3570">
        <v>110.86</v>
      </c>
      <c r="G3570" t="s">
        <v>14</v>
      </c>
      <c r="H3570" t="s">
        <v>15</v>
      </c>
      <c r="I3570">
        <v>4</v>
      </c>
      <c r="J3570">
        <v>22</v>
      </c>
      <c r="K3570">
        <v>6</v>
      </c>
    </row>
    <row r="3571" spans="1:11" x14ac:dyDescent="0.35">
      <c r="A3571">
        <v>3570</v>
      </c>
      <c r="B3571">
        <v>37</v>
      </c>
      <c r="C3571" t="s">
        <v>11</v>
      </c>
      <c r="D3571" t="s">
        <v>12</v>
      </c>
      <c r="E3571" t="s">
        <v>13</v>
      </c>
      <c r="F3571">
        <v>35.340000000000003</v>
      </c>
      <c r="G3571" t="s">
        <v>14</v>
      </c>
      <c r="H3571" t="s">
        <v>37</v>
      </c>
      <c r="I3571">
        <v>3.5</v>
      </c>
      <c r="J3571">
        <v>13</v>
      </c>
      <c r="K3571">
        <v>4</v>
      </c>
    </row>
    <row r="3572" spans="1:11" x14ac:dyDescent="0.35">
      <c r="A3572">
        <v>3571</v>
      </c>
      <c r="B3572">
        <v>34</v>
      </c>
      <c r="C3572" t="s">
        <v>11</v>
      </c>
      <c r="D3572" t="s">
        <v>33</v>
      </c>
      <c r="E3572" t="s">
        <v>38</v>
      </c>
      <c r="F3572">
        <v>41.87</v>
      </c>
      <c r="G3572" t="s">
        <v>19</v>
      </c>
      <c r="H3572" t="s">
        <v>15</v>
      </c>
      <c r="I3572">
        <v>4</v>
      </c>
      <c r="J3572">
        <v>8</v>
      </c>
      <c r="K3572">
        <v>4</v>
      </c>
    </row>
    <row r="3573" spans="1:11" x14ac:dyDescent="0.35">
      <c r="A3573">
        <v>3572</v>
      </c>
      <c r="B3573">
        <v>61</v>
      </c>
      <c r="C3573" t="s">
        <v>16</v>
      </c>
      <c r="D3573" t="s">
        <v>20</v>
      </c>
      <c r="E3573" t="s">
        <v>21</v>
      </c>
      <c r="F3573">
        <v>43.84</v>
      </c>
      <c r="G3573" t="s">
        <v>31</v>
      </c>
      <c r="H3573" t="s">
        <v>37</v>
      </c>
      <c r="I3573">
        <v>3.3</v>
      </c>
      <c r="J3573">
        <v>20</v>
      </c>
      <c r="K3573">
        <v>5</v>
      </c>
    </row>
    <row r="3574" spans="1:11" x14ac:dyDescent="0.35">
      <c r="A3574">
        <v>3573</v>
      </c>
      <c r="B3574">
        <v>34</v>
      </c>
      <c r="C3574" t="s">
        <v>16</v>
      </c>
      <c r="D3574" t="s">
        <v>33</v>
      </c>
      <c r="E3574" t="s">
        <v>38</v>
      </c>
      <c r="F3574">
        <v>186.06</v>
      </c>
      <c r="G3574" t="s">
        <v>14</v>
      </c>
      <c r="H3574" t="s">
        <v>15</v>
      </c>
      <c r="I3574">
        <v>3.8</v>
      </c>
      <c r="J3574">
        <v>16</v>
      </c>
      <c r="K3574">
        <v>3</v>
      </c>
    </row>
    <row r="3575" spans="1:11" x14ac:dyDescent="0.35">
      <c r="A3575">
        <v>3574</v>
      </c>
      <c r="B3575">
        <v>42</v>
      </c>
      <c r="C3575" t="s">
        <v>16</v>
      </c>
      <c r="D3575" t="s">
        <v>17</v>
      </c>
      <c r="E3575" t="s">
        <v>48</v>
      </c>
      <c r="F3575">
        <v>183.14</v>
      </c>
      <c r="G3575" t="s">
        <v>24</v>
      </c>
      <c r="H3575" t="s">
        <v>15</v>
      </c>
      <c r="I3575">
        <v>3.1</v>
      </c>
      <c r="J3575">
        <v>12</v>
      </c>
      <c r="K3575">
        <v>6</v>
      </c>
    </row>
    <row r="3576" spans="1:11" x14ac:dyDescent="0.35">
      <c r="A3576">
        <v>3575</v>
      </c>
      <c r="B3576">
        <v>38</v>
      </c>
      <c r="C3576" t="s">
        <v>11</v>
      </c>
      <c r="D3576" t="s">
        <v>12</v>
      </c>
      <c r="E3576" t="s">
        <v>56</v>
      </c>
      <c r="F3576">
        <v>114.51</v>
      </c>
      <c r="G3576" t="s">
        <v>19</v>
      </c>
      <c r="H3576" t="s">
        <v>15</v>
      </c>
      <c r="I3576">
        <v>2.7</v>
      </c>
      <c r="J3576">
        <v>19</v>
      </c>
      <c r="K3576">
        <v>7</v>
      </c>
    </row>
    <row r="3577" spans="1:11" x14ac:dyDescent="0.35">
      <c r="A3577">
        <v>3576</v>
      </c>
      <c r="B3577">
        <v>58</v>
      </c>
      <c r="C3577" t="s">
        <v>11</v>
      </c>
      <c r="D3577" t="s">
        <v>33</v>
      </c>
      <c r="E3577" t="s">
        <v>34</v>
      </c>
      <c r="F3577">
        <v>201.39</v>
      </c>
      <c r="G3577" t="s">
        <v>19</v>
      </c>
      <c r="H3577" t="s">
        <v>15</v>
      </c>
      <c r="I3577">
        <v>3.7</v>
      </c>
      <c r="J3577">
        <v>14</v>
      </c>
      <c r="K3577">
        <v>7</v>
      </c>
    </row>
    <row r="3578" spans="1:11" x14ac:dyDescent="0.35">
      <c r="A3578">
        <v>3577</v>
      </c>
      <c r="B3578">
        <v>31</v>
      </c>
      <c r="C3578" t="s">
        <v>16</v>
      </c>
      <c r="D3578" t="s">
        <v>33</v>
      </c>
      <c r="E3578" t="s">
        <v>34</v>
      </c>
      <c r="F3578">
        <v>141.51</v>
      </c>
      <c r="G3578" t="s">
        <v>24</v>
      </c>
      <c r="H3578" t="s">
        <v>15</v>
      </c>
      <c r="I3578">
        <v>3.7</v>
      </c>
      <c r="J3578">
        <v>30</v>
      </c>
      <c r="K3578">
        <v>10</v>
      </c>
    </row>
    <row r="3579" spans="1:11" x14ac:dyDescent="0.35">
      <c r="A3579">
        <v>3578</v>
      </c>
      <c r="B3579">
        <v>22</v>
      </c>
      <c r="C3579" t="s">
        <v>16</v>
      </c>
      <c r="D3579" t="s">
        <v>17</v>
      </c>
      <c r="E3579" t="s">
        <v>18</v>
      </c>
      <c r="F3579">
        <v>61.09</v>
      </c>
      <c r="G3579" t="s">
        <v>14</v>
      </c>
      <c r="H3579" t="s">
        <v>15</v>
      </c>
      <c r="I3579">
        <v>3.2</v>
      </c>
      <c r="J3579">
        <v>8</v>
      </c>
      <c r="K3579">
        <v>4</v>
      </c>
    </row>
    <row r="3580" spans="1:11" x14ac:dyDescent="0.35">
      <c r="A3580">
        <v>3579</v>
      </c>
      <c r="B3580">
        <v>54</v>
      </c>
      <c r="C3580" t="s">
        <v>11</v>
      </c>
      <c r="D3580" t="s">
        <v>41</v>
      </c>
      <c r="E3580" t="s">
        <v>45</v>
      </c>
      <c r="F3580">
        <v>80.7</v>
      </c>
      <c r="G3580" t="s">
        <v>31</v>
      </c>
      <c r="H3580" t="s">
        <v>37</v>
      </c>
      <c r="I3580">
        <v>3.7</v>
      </c>
      <c r="J3580">
        <v>21</v>
      </c>
      <c r="K3580">
        <v>8</v>
      </c>
    </row>
    <row r="3581" spans="1:11" x14ac:dyDescent="0.35">
      <c r="A3581">
        <v>3580</v>
      </c>
      <c r="B3581">
        <v>63</v>
      </c>
      <c r="C3581" t="s">
        <v>11</v>
      </c>
      <c r="D3581" t="s">
        <v>12</v>
      </c>
      <c r="E3581" t="s">
        <v>50</v>
      </c>
      <c r="F3581">
        <v>88.07</v>
      </c>
      <c r="G3581" t="s">
        <v>14</v>
      </c>
      <c r="H3581" t="s">
        <v>37</v>
      </c>
      <c r="I3581">
        <v>3.4</v>
      </c>
      <c r="J3581">
        <v>28</v>
      </c>
      <c r="K3581">
        <v>9</v>
      </c>
    </row>
    <row r="3582" spans="1:11" x14ac:dyDescent="0.35">
      <c r="A3582">
        <v>3581</v>
      </c>
      <c r="B3582">
        <v>47</v>
      </c>
      <c r="C3582" t="s">
        <v>16</v>
      </c>
      <c r="D3582" t="s">
        <v>27</v>
      </c>
      <c r="E3582" t="s">
        <v>53</v>
      </c>
      <c r="F3582">
        <v>1425.23</v>
      </c>
      <c r="G3582" t="s">
        <v>14</v>
      </c>
      <c r="H3582" t="s">
        <v>15</v>
      </c>
      <c r="I3582">
        <v>3.5</v>
      </c>
      <c r="J3582">
        <v>24</v>
      </c>
      <c r="K3582">
        <v>7</v>
      </c>
    </row>
    <row r="3583" spans="1:11" x14ac:dyDescent="0.35">
      <c r="A3583">
        <v>3582</v>
      </c>
      <c r="B3583">
        <v>36</v>
      </c>
      <c r="C3583" t="s">
        <v>16</v>
      </c>
      <c r="D3583" t="s">
        <v>17</v>
      </c>
      <c r="E3583" t="s">
        <v>48</v>
      </c>
      <c r="F3583">
        <v>76.67</v>
      </c>
      <c r="G3583" t="s">
        <v>14</v>
      </c>
      <c r="H3583" t="s">
        <v>37</v>
      </c>
      <c r="I3583">
        <v>2.8</v>
      </c>
      <c r="J3583">
        <v>12</v>
      </c>
      <c r="K3583">
        <v>6</v>
      </c>
    </row>
    <row r="3584" spans="1:11" x14ac:dyDescent="0.35">
      <c r="A3584">
        <v>3583</v>
      </c>
      <c r="B3584">
        <v>47</v>
      </c>
      <c r="C3584" t="s">
        <v>11</v>
      </c>
      <c r="D3584" t="s">
        <v>25</v>
      </c>
      <c r="E3584" t="s">
        <v>47</v>
      </c>
      <c r="F3584">
        <v>46.13</v>
      </c>
      <c r="G3584" t="s">
        <v>14</v>
      </c>
      <c r="H3584" t="s">
        <v>15</v>
      </c>
      <c r="I3584">
        <v>3.4</v>
      </c>
      <c r="J3584">
        <v>14</v>
      </c>
      <c r="K3584">
        <v>7</v>
      </c>
    </row>
    <row r="3585" spans="1:11" x14ac:dyDescent="0.35">
      <c r="A3585">
        <v>3584</v>
      </c>
      <c r="B3585">
        <v>54</v>
      </c>
      <c r="C3585" t="s">
        <v>16</v>
      </c>
      <c r="D3585" t="s">
        <v>17</v>
      </c>
      <c r="E3585" t="s">
        <v>42</v>
      </c>
      <c r="F3585">
        <v>42.34</v>
      </c>
      <c r="G3585" t="s">
        <v>14</v>
      </c>
      <c r="H3585" t="s">
        <v>15</v>
      </c>
      <c r="I3585">
        <v>4.2</v>
      </c>
      <c r="J3585">
        <v>22</v>
      </c>
      <c r="K3585">
        <v>6</v>
      </c>
    </row>
    <row r="3586" spans="1:11" x14ac:dyDescent="0.35">
      <c r="A3586">
        <v>3585</v>
      </c>
      <c r="B3586">
        <v>46</v>
      </c>
      <c r="C3586" t="s">
        <v>16</v>
      </c>
      <c r="D3586" t="s">
        <v>20</v>
      </c>
      <c r="E3586" t="s">
        <v>21</v>
      </c>
      <c r="F3586">
        <v>62.68</v>
      </c>
      <c r="G3586" t="s">
        <v>19</v>
      </c>
      <c r="H3586" t="s">
        <v>15</v>
      </c>
      <c r="I3586">
        <v>2.2999999999999998</v>
      </c>
      <c r="J3586">
        <v>13</v>
      </c>
      <c r="K3586">
        <v>4</v>
      </c>
    </row>
    <row r="3587" spans="1:11" x14ac:dyDescent="0.35">
      <c r="A3587">
        <v>3586</v>
      </c>
      <c r="B3587">
        <v>38</v>
      </c>
      <c r="C3587" t="s">
        <v>16</v>
      </c>
      <c r="D3587" t="s">
        <v>27</v>
      </c>
      <c r="E3587" t="s">
        <v>32</v>
      </c>
      <c r="F3587">
        <v>2478.7399999999998</v>
      </c>
      <c r="G3587" t="s">
        <v>19</v>
      </c>
      <c r="H3587" t="s">
        <v>15</v>
      </c>
      <c r="I3587">
        <v>4.9000000000000004</v>
      </c>
      <c r="J3587">
        <v>32</v>
      </c>
      <c r="K3587">
        <v>11</v>
      </c>
    </row>
    <row r="3588" spans="1:11" x14ac:dyDescent="0.35">
      <c r="A3588">
        <v>3587</v>
      </c>
      <c r="B3588">
        <v>25</v>
      </c>
      <c r="C3588" t="s">
        <v>11</v>
      </c>
      <c r="D3588" t="s">
        <v>12</v>
      </c>
      <c r="E3588" t="s">
        <v>56</v>
      </c>
      <c r="F3588">
        <v>84.07</v>
      </c>
      <c r="G3588" t="s">
        <v>19</v>
      </c>
      <c r="H3588" t="s">
        <v>37</v>
      </c>
      <c r="I3588">
        <v>3.7</v>
      </c>
      <c r="J3588">
        <v>20</v>
      </c>
      <c r="K3588">
        <v>5</v>
      </c>
    </row>
    <row r="3589" spans="1:11" x14ac:dyDescent="0.35">
      <c r="A3589">
        <v>3588</v>
      </c>
      <c r="B3589">
        <v>68</v>
      </c>
      <c r="C3589" t="s">
        <v>16</v>
      </c>
      <c r="D3589" t="s">
        <v>27</v>
      </c>
      <c r="E3589" t="s">
        <v>53</v>
      </c>
      <c r="F3589">
        <v>2454.39</v>
      </c>
      <c r="G3589" t="s">
        <v>14</v>
      </c>
      <c r="H3589" t="s">
        <v>15</v>
      </c>
      <c r="I3589">
        <v>4.0999999999999996</v>
      </c>
      <c r="J3589">
        <v>20</v>
      </c>
      <c r="K3589">
        <v>5</v>
      </c>
    </row>
    <row r="3590" spans="1:11" x14ac:dyDescent="0.35">
      <c r="A3590">
        <v>3589</v>
      </c>
      <c r="B3590">
        <v>56</v>
      </c>
      <c r="C3590" t="s">
        <v>16</v>
      </c>
      <c r="D3590" t="s">
        <v>27</v>
      </c>
      <c r="E3590" t="s">
        <v>32</v>
      </c>
      <c r="F3590">
        <v>1041.3399999999999</v>
      </c>
      <c r="G3590" t="s">
        <v>14</v>
      </c>
      <c r="H3590" t="s">
        <v>15</v>
      </c>
      <c r="I3590">
        <v>3.4</v>
      </c>
      <c r="J3590">
        <v>15</v>
      </c>
      <c r="K3590">
        <v>5</v>
      </c>
    </row>
    <row r="3591" spans="1:11" x14ac:dyDescent="0.35">
      <c r="A3591">
        <v>3590</v>
      </c>
      <c r="B3591">
        <v>56</v>
      </c>
      <c r="C3591" t="s">
        <v>16</v>
      </c>
      <c r="D3591" t="s">
        <v>20</v>
      </c>
      <c r="E3591" t="s">
        <v>39</v>
      </c>
      <c r="F3591">
        <v>235.44</v>
      </c>
      <c r="G3591" t="s">
        <v>31</v>
      </c>
      <c r="H3591" t="s">
        <v>15</v>
      </c>
      <c r="I3591">
        <v>2.4</v>
      </c>
      <c r="J3591">
        <v>15</v>
      </c>
      <c r="K3591">
        <v>5</v>
      </c>
    </row>
    <row r="3592" spans="1:11" x14ac:dyDescent="0.35">
      <c r="A3592">
        <v>3591</v>
      </c>
      <c r="B3592">
        <v>35</v>
      </c>
      <c r="C3592" t="s">
        <v>11</v>
      </c>
      <c r="D3592" t="s">
        <v>29</v>
      </c>
      <c r="E3592" t="s">
        <v>51</v>
      </c>
      <c r="F3592">
        <v>35.72</v>
      </c>
      <c r="G3592" t="s">
        <v>14</v>
      </c>
      <c r="H3592" t="s">
        <v>15</v>
      </c>
      <c r="I3592">
        <v>4.3</v>
      </c>
      <c r="J3592">
        <v>8</v>
      </c>
      <c r="K3592">
        <v>4</v>
      </c>
    </row>
    <row r="3593" spans="1:11" x14ac:dyDescent="0.35">
      <c r="A3593">
        <v>3592</v>
      </c>
      <c r="B3593">
        <v>27</v>
      </c>
      <c r="C3593" t="s">
        <v>16</v>
      </c>
      <c r="D3593" t="s">
        <v>17</v>
      </c>
      <c r="E3593" t="s">
        <v>18</v>
      </c>
      <c r="F3593">
        <v>134.71</v>
      </c>
      <c r="G3593" t="s">
        <v>19</v>
      </c>
      <c r="H3593" t="s">
        <v>15</v>
      </c>
      <c r="I3593">
        <v>3.2</v>
      </c>
      <c r="J3593">
        <v>16</v>
      </c>
      <c r="K3593">
        <v>3</v>
      </c>
    </row>
    <row r="3594" spans="1:11" x14ac:dyDescent="0.35">
      <c r="A3594">
        <v>3593</v>
      </c>
      <c r="B3594">
        <v>33</v>
      </c>
      <c r="C3594" t="s">
        <v>11</v>
      </c>
      <c r="D3594" t="s">
        <v>33</v>
      </c>
      <c r="E3594" t="s">
        <v>38</v>
      </c>
      <c r="F3594">
        <v>148.91999999999999</v>
      </c>
      <c r="G3594" t="s">
        <v>24</v>
      </c>
      <c r="H3594" t="s">
        <v>15</v>
      </c>
      <c r="I3594">
        <v>4.0999999999999996</v>
      </c>
      <c r="J3594">
        <v>4</v>
      </c>
      <c r="K3594">
        <v>2</v>
      </c>
    </row>
    <row r="3595" spans="1:11" x14ac:dyDescent="0.35">
      <c r="A3595">
        <v>3594</v>
      </c>
      <c r="B3595">
        <v>30</v>
      </c>
      <c r="C3595" t="s">
        <v>16</v>
      </c>
      <c r="D3595" t="s">
        <v>17</v>
      </c>
      <c r="E3595" t="s">
        <v>48</v>
      </c>
      <c r="F3595">
        <v>104.95</v>
      </c>
      <c r="G3595" t="s">
        <v>31</v>
      </c>
      <c r="H3595" t="s">
        <v>15</v>
      </c>
      <c r="I3595">
        <v>3.9</v>
      </c>
      <c r="J3595">
        <v>22</v>
      </c>
      <c r="K3595">
        <v>6</v>
      </c>
    </row>
    <row r="3596" spans="1:11" x14ac:dyDescent="0.35">
      <c r="A3596">
        <v>3595</v>
      </c>
      <c r="B3596">
        <v>49</v>
      </c>
      <c r="C3596" t="s">
        <v>11</v>
      </c>
      <c r="D3596" t="s">
        <v>12</v>
      </c>
      <c r="E3596" t="s">
        <v>13</v>
      </c>
      <c r="F3596">
        <v>103.47</v>
      </c>
      <c r="G3596" t="s">
        <v>31</v>
      </c>
      <c r="H3596" t="s">
        <v>15</v>
      </c>
      <c r="I3596">
        <v>3.5</v>
      </c>
      <c r="J3596">
        <v>26</v>
      </c>
      <c r="K3596">
        <v>8</v>
      </c>
    </row>
    <row r="3597" spans="1:11" x14ac:dyDescent="0.35">
      <c r="A3597">
        <v>3596</v>
      </c>
      <c r="B3597">
        <v>55</v>
      </c>
      <c r="C3597" t="s">
        <v>11</v>
      </c>
      <c r="D3597" t="s">
        <v>22</v>
      </c>
      <c r="E3597" t="s">
        <v>43</v>
      </c>
      <c r="F3597">
        <v>298.60000000000002</v>
      </c>
      <c r="G3597" t="s">
        <v>14</v>
      </c>
      <c r="H3597" t="s">
        <v>15</v>
      </c>
      <c r="I3597">
        <v>4.7</v>
      </c>
      <c r="J3597">
        <v>17</v>
      </c>
      <c r="K3597">
        <v>6</v>
      </c>
    </row>
    <row r="3598" spans="1:11" x14ac:dyDescent="0.35">
      <c r="A3598">
        <v>3597</v>
      </c>
      <c r="B3598">
        <v>51</v>
      </c>
      <c r="C3598" t="s">
        <v>16</v>
      </c>
      <c r="D3598" t="s">
        <v>20</v>
      </c>
      <c r="E3598" t="s">
        <v>36</v>
      </c>
      <c r="F3598">
        <v>39.06</v>
      </c>
      <c r="G3598" t="s">
        <v>19</v>
      </c>
      <c r="H3598" t="s">
        <v>15</v>
      </c>
      <c r="I3598">
        <v>3.7</v>
      </c>
      <c r="J3598">
        <v>20</v>
      </c>
      <c r="K3598">
        <v>5</v>
      </c>
    </row>
    <row r="3599" spans="1:11" x14ac:dyDescent="0.35">
      <c r="A3599">
        <v>3598</v>
      </c>
      <c r="B3599">
        <v>40</v>
      </c>
      <c r="C3599" t="s">
        <v>16</v>
      </c>
      <c r="D3599" t="s">
        <v>17</v>
      </c>
      <c r="E3599" t="s">
        <v>18</v>
      </c>
      <c r="F3599">
        <v>133.24</v>
      </c>
      <c r="G3599" t="s">
        <v>31</v>
      </c>
      <c r="H3599" t="s">
        <v>15</v>
      </c>
      <c r="I3599">
        <v>3.8</v>
      </c>
      <c r="J3599">
        <v>17</v>
      </c>
      <c r="K3599">
        <v>6</v>
      </c>
    </row>
    <row r="3600" spans="1:11" x14ac:dyDescent="0.35">
      <c r="A3600">
        <v>3599</v>
      </c>
      <c r="B3600">
        <v>42</v>
      </c>
      <c r="C3600" t="s">
        <v>16</v>
      </c>
      <c r="D3600" t="s">
        <v>27</v>
      </c>
      <c r="E3600" t="s">
        <v>28</v>
      </c>
      <c r="F3600">
        <v>897.41</v>
      </c>
      <c r="G3600" t="s">
        <v>14</v>
      </c>
      <c r="H3600" t="s">
        <v>15</v>
      </c>
      <c r="I3600">
        <v>3.8</v>
      </c>
      <c r="J3600">
        <v>19</v>
      </c>
      <c r="K3600">
        <v>7</v>
      </c>
    </row>
    <row r="3601" spans="1:11" x14ac:dyDescent="0.35">
      <c r="A3601">
        <v>3600</v>
      </c>
      <c r="B3601">
        <v>52</v>
      </c>
      <c r="C3601" t="s">
        <v>16</v>
      </c>
      <c r="D3601" t="s">
        <v>33</v>
      </c>
      <c r="E3601" t="s">
        <v>40</v>
      </c>
      <c r="F3601">
        <v>86.48</v>
      </c>
      <c r="G3601" t="s">
        <v>24</v>
      </c>
      <c r="H3601" t="s">
        <v>37</v>
      </c>
      <c r="I3601">
        <v>3.2</v>
      </c>
      <c r="J3601">
        <v>22</v>
      </c>
      <c r="K3601">
        <v>6</v>
      </c>
    </row>
    <row r="3602" spans="1:11" x14ac:dyDescent="0.35">
      <c r="A3602">
        <v>3601</v>
      </c>
      <c r="B3602">
        <v>56</v>
      </c>
      <c r="C3602" t="s">
        <v>11</v>
      </c>
      <c r="D3602" t="s">
        <v>33</v>
      </c>
      <c r="E3602" t="s">
        <v>38</v>
      </c>
      <c r="F3602">
        <v>125.07</v>
      </c>
      <c r="G3602" t="s">
        <v>14</v>
      </c>
      <c r="H3602" t="s">
        <v>15</v>
      </c>
      <c r="I3602">
        <v>2.8</v>
      </c>
      <c r="J3602">
        <v>18</v>
      </c>
      <c r="K3602">
        <v>4</v>
      </c>
    </row>
    <row r="3603" spans="1:11" x14ac:dyDescent="0.35">
      <c r="A3603">
        <v>3602</v>
      </c>
      <c r="B3603">
        <v>46</v>
      </c>
      <c r="C3603" t="s">
        <v>16</v>
      </c>
      <c r="D3603" t="s">
        <v>20</v>
      </c>
      <c r="E3603" t="s">
        <v>36</v>
      </c>
      <c r="F3603">
        <v>216.22</v>
      </c>
      <c r="G3603" t="s">
        <v>24</v>
      </c>
      <c r="H3603" t="s">
        <v>15</v>
      </c>
      <c r="I3603">
        <v>3.2</v>
      </c>
      <c r="J3603">
        <v>22</v>
      </c>
      <c r="K3603">
        <v>6</v>
      </c>
    </row>
    <row r="3604" spans="1:11" x14ac:dyDescent="0.35">
      <c r="A3604">
        <v>3603</v>
      </c>
      <c r="B3604">
        <v>55</v>
      </c>
      <c r="C3604" t="s">
        <v>11</v>
      </c>
      <c r="D3604" t="s">
        <v>29</v>
      </c>
      <c r="E3604" t="s">
        <v>51</v>
      </c>
      <c r="F3604">
        <v>29.52</v>
      </c>
      <c r="G3604" t="s">
        <v>19</v>
      </c>
      <c r="H3604" t="s">
        <v>37</v>
      </c>
      <c r="I3604">
        <v>3.8</v>
      </c>
      <c r="J3604">
        <v>4</v>
      </c>
      <c r="K3604">
        <v>2</v>
      </c>
    </row>
    <row r="3605" spans="1:11" x14ac:dyDescent="0.35">
      <c r="A3605">
        <v>3604</v>
      </c>
      <c r="B3605">
        <v>39</v>
      </c>
      <c r="C3605" t="s">
        <v>11</v>
      </c>
      <c r="D3605" t="s">
        <v>41</v>
      </c>
      <c r="E3605" t="s">
        <v>45</v>
      </c>
      <c r="F3605">
        <v>174.95</v>
      </c>
      <c r="G3605" t="s">
        <v>14</v>
      </c>
      <c r="H3605" t="s">
        <v>15</v>
      </c>
      <c r="I3605">
        <v>2.9</v>
      </c>
      <c r="J3605">
        <v>13</v>
      </c>
      <c r="K3605">
        <v>4</v>
      </c>
    </row>
    <row r="3606" spans="1:11" x14ac:dyDescent="0.35">
      <c r="A3606">
        <v>3605</v>
      </c>
      <c r="B3606">
        <v>49</v>
      </c>
      <c r="C3606" t="s">
        <v>16</v>
      </c>
      <c r="D3606" t="s">
        <v>17</v>
      </c>
      <c r="E3606" t="s">
        <v>18</v>
      </c>
      <c r="F3606">
        <v>101.38</v>
      </c>
      <c r="G3606" t="s">
        <v>19</v>
      </c>
      <c r="H3606" t="s">
        <v>15</v>
      </c>
      <c r="I3606">
        <v>3.3</v>
      </c>
      <c r="J3606">
        <v>12</v>
      </c>
      <c r="K3606">
        <v>6</v>
      </c>
    </row>
    <row r="3607" spans="1:11" x14ac:dyDescent="0.35">
      <c r="A3607">
        <v>3606</v>
      </c>
      <c r="B3607">
        <v>53</v>
      </c>
      <c r="C3607" t="s">
        <v>16</v>
      </c>
      <c r="D3607" t="s">
        <v>20</v>
      </c>
      <c r="E3607" t="s">
        <v>39</v>
      </c>
      <c r="F3607">
        <v>61.95</v>
      </c>
      <c r="G3607" t="s">
        <v>24</v>
      </c>
      <c r="H3607" t="s">
        <v>15</v>
      </c>
      <c r="I3607">
        <v>5</v>
      </c>
      <c r="J3607">
        <v>28</v>
      </c>
      <c r="K3607">
        <v>9</v>
      </c>
    </row>
    <row r="3608" spans="1:11" x14ac:dyDescent="0.35">
      <c r="A3608">
        <v>3607</v>
      </c>
      <c r="B3608">
        <v>34</v>
      </c>
      <c r="C3608" t="s">
        <v>11</v>
      </c>
      <c r="D3608" t="s">
        <v>20</v>
      </c>
      <c r="E3608" t="s">
        <v>39</v>
      </c>
      <c r="F3608">
        <v>117.57</v>
      </c>
      <c r="G3608" t="s">
        <v>14</v>
      </c>
      <c r="H3608" t="s">
        <v>15</v>
      </c>
      <c r="I3608">
        <v>4.4000000000000004</v>
      </c>
      <c r="J3608">
        <v>16</v>
      </c>
      <c r="K3608">
        <v>3</v>
      </c>
    </row>
    <row r="3609" spans="1:11" x14ac:dyDescent="0.35">
      <c r="A3609">
        <v>3608</v>
      </c>
      <c r="B3609">
        <v>70</v>
      </c>
      <c r="C3609" t="s">
        <v>11</v>
      </c>
      <c r="D3609" t="s">
        <v>29</v>
      </c>
      <c r="E3609" t="s">
        <v>30</v>
      </c>
      <c r="F3609">
        <v>130.01</v>
      </c>
      <c r="G3609" t="s">
        <v>19</v>
      </c>
      <c r="H3609" t="s">
        <v>15</v>
      </c>
      <c r="I3609">
        <v>4.3</v>
      </c>
      <c r="J3609">
        <v>15</v>
      </c>
      <c r="K3609">
        <v>5</v>
      </c>
    </row>
    <row r="3610" spans="1:11" x14ac:dyDescent="0.35">
      <c r="A3610">
        <v>3609</v>
      </c>
      <c r="B3610">
        <v>69</v>
      </c>
      <c r="C3610" t="s">
        <v>16</v>
      </c>
      <c r="D3610" t="s">
        <v>20</v>
      </c>
      <c r="E3610" t="s">
        <v>36</v>
      </c>
      <c r="F3610">
        <v>225.9</v>
      </c>
      <c r="G3610" t="s">
        <v>24</v>
      </c>
      <c r="H3610" t="s">
        <v>15</v>
      </c>
      <c r="I3610">
        <v>3.8</v>
      </c>
      <c r="J3610">
        <v>22</v>
      </c>
      <c r="K3610">
        <v>6</v>
      </c>
    </row>
    <row r="3611" spans="1:11" x14ac:dyDescent="0.35">
      <c r="A3611">
        <v>3610</v>
      </c>
      <c r="B3611">
        <v>27</v>
      </c>
      <c r="C3611" t="s">
        <v>16</v>
      </c>
      <c r="D3611" t="s">
        <v>20</v>
      </c>
      <c r="E3611" t="s">
        <v>39</v>
      </c>
      <c r="F3611">
        <v>165.66</v>
      </c>
      <c r="G3611" t="s">
        <v>31</v>
      </c>
      <c r="H3611" t="s">
        <v>15</v>
      </c>
      <c r="I3611">
        <v>3.4</v>
      </c>
      <c r="J3611">
        <v>14</v>
      </c>
      <c r="K3611">
        <v>2</v>
      </c>
    </row>
    <row r="3612" spans="1:11" x14ac:dyDescent="0.35">
      <c r="A3612">
        <v>3611</v>
      </c>
      <c r="B3612">
        <v>30</v>
      </c>
      <c r="C3612" t="s">
        <v>16</v>
      </c>
      <c r="D3612" t="s">
        <v>33</v>
      </c>
      <c r="E3612" t="s">
        <v>40</v>
      </c>
      <c r="F3612">
        <v>197.71</v>
      </c>
      <c r="G3612" t="s">
        <v>19</v>
      </c>
      <c r="H3612" t="s">
        <v>15</v>
      </c>
      <c r="I3612">
        <v>3.3</v>
      </c>
      <c r="J3612">
        <v>17</v>
      </c>
      <c r="K3612">
        <v>6</v>
      </c>
    </row>
    <row r="3613" spans="1:11" x14ac:dyDescent="0.35">
      <c r="A3613">
        <v>3612</v>
      </c>
      <c r="B3613">
        <v>58</v>
      </c>
      <c r="C3613" t="s">
        <v>16</v>
      </c>
      <c r="D3613" t="s">
        <v>17</v>
      </c>
      <c r="E3613" t="s">
        <v>48</v>
      </c>
      <c r="F3613">
        <v>104.05</v>
      </c>
      <c r="G3613" t="s">
        <v>14</v>
      </c>
      <c r="H3613" t="s">
        <v>15</v>
      </c>
      <c r="I3613">
        <v>2.8</v>
      </c>
      <c r="J3613">
        <v>6</v>
      </c>
      <c r="K3613">
        <v>3</v>
      </c>
    </row>
    <row r="3614" spans="1:11" x14ac:dyDescent="0.35">
      <c r="A3614">
        <v>3613</v>
      </c>
      <c r="B3614">
        <v>32</v>
      </c>
      <c r="C3614" t="s">
        <v>16</v>
      </c>
      <c r="D3614" t="s">
        <v>25</v>
      </c>
      <c r="E3614" t="s">
        <v>26</v>
      </c>
      <c r="F3614">
        <v>77.81</v>
      </c>
      <c r="G3614" t="s">
        <v>14</v>
      </c>
      <c r="H3614" t="s">
        <v>15</v>
      </c>
      <c r="I3614">
        <v>4.2</v>
      </c>
      <c r="J3614">
        <v>8</v>
      </c>
      <c r="K3614">
        <v>4</v>
      </c>
    </row>
    <row r="3615" spans="1:11" x14ac:dyDescent="0.35">
      <c r="A3615">
        <v>3614</v>
      </c>
      <c r="B3615">
        <v>43</v>
      </c>
      <c r="C3615" t="s">
        <v>11</v>
      </c>
      <c r="D3615" t="s">
        <v>33</v>
      </c>
      <c r="E3615" t="s">
        <v>40</v>
      </c>
      <c r="F3615">
        <v>117.91</v>
      </c>
      <c r="G3615" t="s">
        <v>19</v>
      </c>
      <c r="H3615" t="s">
        <v>15</v>
      </c>
      <c r="I3615">
        <v>4</v>
      </c>
      <c r="J3615">
        <v>12</v>
      </c>
      <c r="K3615">
        <v>1</v>
      </c>
    </row>
    <row r="3616" spans="1:11" x14ac:dyDescent="0.35">
      <c r="A3616">
        <v>3615</v>
      </c>
      <c r="B3616">
        <v>26</v>
      </c>
      <c r="C3616" t="s">
        <v>16</v>
      </c>
      <c r="D3616" t="s">
        <v>25</v>
      </c>
      <c r="E3616" t="s">
        <v>54</v>
      </c>
      <c r="F3616">
        <v>70.44</v>
      </c>
      <c r="G3616" t="s">
        <v>24</v>
      </c>
      <c r="H3616" t="s">
        <v>15</v>
      </c>
      <c r="I3616">
        <v>2.5</v>
      </c>
      <c r="J3616">
        <v>19</v>
      </c>
      <c r="K3616">
        <v>7</v>
      </c>
    </row>
    <row r="3617" spans="1:11" x14ac:dyDescent="0.35">
      <c r="A3617">
        <v>3616</v>
      </c>
      <c r="B3617">
        <v>60</v>
      </c>
      <c r="C3617" t="s">
        <v>11</v>
      </c>
      <c r="D3617" t="s">
        <v>12</v>
      </c>
      <c r="E3617" t="s">
        <v>56</v>
      </c>
      <c r="F3617">
        <v>104.64</v>
      </c>
      <c r="G3617" t="s">
        <v>14</v>
      </c>
      <c r="H3617" t="s">
        <v>15</v>
      </c>
      <c r="I3617">
        <v>3.7</v>
      </c>
      <c r="J3617">
        <v>17</v>
      </c>
      <c r="K3617">
        <v>6</v>
      </c>
    </row>
    <row r="3618" spans="1:11" x14ac:dyDescent="0.35">
      <c r="A3618">
        <v>3617</v>
      </c>
      <c r="B3618">
        <v>64</v>
      </c>
      <c r="C3618" t="s">
        <v>11</v>
      </c>
      <c r="D3618" t="s">
        <v>29</v>
      </c>
      <c r="E3618" t="s">
        <v>51</v>
      </c>
      <c r="F3618">
        <v>71.510000000000005</v>
      </c>
      <c r="G3618" t="s">
        <v>24</v>
      </c>
      <c r="H3618" t="s">
        <v>37</v>
      </c>
      <c r="I3618">
        <v>2.9</v>
      </c>
      <c r="J3618">
        <v>28</v>
      </c>
      <c r="K3618">
        <v>9</v>
      </c>
    </row>
    <row r="3619" spans="1:11" x14ac:dyDescent="0.35">
      <c r="A3619">
        <v>3618</v>
      </c>
      <c r="B3619">
        <v>53</v>
      </c>
      <c r="C3619" t="s">
        <v>11</v>
      </c>
      <c r="D3619" t="s">
        <v>29</v>
      </c>
      <c r="E3619" t="s">
        <v>55</v>
      </c>
      <c r="F3619">
        <v>51.04</v>
      </c>
      <c r="G3619" t="s">
        <v>14</v>
      </c>
      <c r="H3619" t="s">
        <v>15</v>
      </c>
      <c r="I3619">
        <v>4.4000000000000004</v>
      </c>
      <c r="J3619">
        <v>19</v>
      </c>
      <c r="K3619">
        <v>7</v>
      </c>
    </row>
    <row r="3620" spans="1:11" x14ac:dyDescent="0.35">
      <c r="A3620">
        <v>3619</v>
      </c>
      <c r="B3620">
        <v>23</v>
      </c>
      <c r="C3620" t="s">
        <v>16</v>
      </c>
      <c r="D3620" t="s">
        <v>17</v>
      </c>
      <c r="E3620" t="s">
        <v>42</v>
      </c>
      <c r="F3620">
        <v>76.95</v>
      </c>
      <c r="G3620" t="s">
        <v>24</v>
      </c>
      <c r="H3620" t="s">
        <v>15</v>
      </c>
      <c r="I3620">
        <v>3.8</v>
      </c>
      <c r="J3620">
        <v>8</v>
      </c>
      <c r="K3620">
        <v>4</v>
      </c>
    </row>
    <row r="3621" spans="1:11" x14ac:dyDescent="0.35">
      <c r="A3621">
        <v>3620</v>
      </c>
      <c r="B3621">
        <v>32</v>
      </c>
      <c r="C3621" t="s">
        <v>16</v>
      </c>
      <c r="D3621" t="s">
        <v>17</v>
      </c>
      <c r="E3621" t="s">
        <v>42</v>
      </c>
      <c r="F3621">
        <v>81.88</v>
      </c>
      <c r="G3621" t="s">
        <v>31</v>
      </c>
      <c r="H3621" t="s">
        <v>15</v>
      </c>
      <c r="I3621">
        <v>3.9</v>
      </c>
      <c r="J3621">
        <v>8</v>
      </c>
      <c r="K3621">
        <v>4</v>
      </c>
    </row>
    <row r="3622" spans="1:11" x14ac:dyDescent="0.35">
      <c r="A3622">
        <v>3621</v>
      </c>
      <c r="B3622">
        <v>66</v>
      </c>
      <c r="C3622" t="s">
        <v>16</v>
      </c>
      <c r="D3622" t="s">
        <v>20</v>
      </c>
      <c r="E3622" t="s">
        <v>39</v>
      </c>
      <c r="F3622">
        <v>65.33</v>
      </c>
      <c r="G3622" t="s">
        <v>19</v>
      </c>
      <c r="H3622" t="s">
        <v>15</v>
      </c>
      <c r="I3622">
        <v>3.2</v>
      </c>
      <c r="J3622">
        <v>20</v>
      </c>
      <c r="K3622">
        <v>5</v>
      </c>
    </row>
    <row r="3623" spans="1:11" x14ac:dyDescent="0.35">
      <c r="A3623">
        <v>3622</v>
      </c>
      <c r="B3623">
        <v>47</v>
      </c>
      <c r="C3623" t="s">
        <v>11</v>
      </c>
      <c r="D3623" t="s">
        <v>41</v>
      </c>
      <c r="E3623" t="s">
        <v>45</v>
      </c>
      <c r="F3623">
        <v>52.4</v>
      </c>
      <c r="G3623" t="s">
        <v>24</v>
      </c>
      <c r="H3623" t="s">
        <v>37</v>
      </c>
      <c r="I3623">
        <v>3.7</v>
      </c>
      <c r="J3623">
        <v>24</v>
      </c>
      <c r="K3623">
        <v>7</v>
      </c>
    </row>
    <row r="3624" spans="1:11" x14ac:dyDescent="0.35">
      <c r="A3624">
        <v>3623</v>
      </c>
      <c r="B3624">
        <v>20</v>
      </c>
      <c r="C3624" t="s">
        <v>16</v>
      </c>
      <c r="D3624" t="s">
        <v>33</v>
      </c>
      <c r="E3624" t="s">
        <v>34</v>
      </c>
      <c r="F3624">
        <v>205.07</v>
      </c>
      <c r="G3624" t="s">
        <v>19</v>
      </c>
      <c r="H3624" t="s">
        <v>15</v>
      </c>
      <c r="I3624">
        <v>4.2</v>
      </c>
      <c r="J3624">
        <v>17</v>
      </c>
      <c r="K3624">
        <v>6</v>
      </c>
    </row>
    <row r="3625" spans="1:11" x14ac:dyDescent="0.35">
      <c r="A3625">
        <v>3624</v>
      </c>
      <c r="B3625">
        <v>50</v>
      </c>
      <c r="C3625" t="s">
        <v>11</v>
      </c>
      <c r="D3625" t="s">
        <v>29</v>
      </c>
      <c r="E3625" t="s">
        <v>55</v>
      </c>
      <c r="F3625">
        <v>29.83</v>
      </c>
      <c r="G3625" t="s">
        <v>24</v>
      </c>
      <c r="H3625" t="s">
        <v>15</v>
      </c>
      <c r="I3625">
        <v>2.4</v>
      </c>
      <c r="J3625">
        <v>18</v>
      </c>
      <c r="K3625">
        <v>4</v>
      </c>
    </row>
    <row r="3626" spans="1:11" x14ac:dyDescent="0.35">
      <c r="A3626">
        <v>3625</v>
      </c>
      <c r="B3626">
        <v>68</v>
      </c>
      <c r="C3626" t="s">
        <v>11</v>
      </c>
      <c r="D3626" t="s">
        <v>20</v>
      </c>
      <c r="E3626" t="s">
        <v>21</v>
      </c>
      <c r="F3626">
        <v>151.76</v>
      </c>
      <c r="G3626" t="s">
        <v>14</v>
      </c>
      <c r="H3626" t="s">
        <v>15</v>
      </c>
      <c r="I3626">
        <v>4.0999999999999996</v>
      </c>
      <c r="J3626">
        <v>14</v>
      </c>
      <c r="K3626">
        <v>7</v>
      </c>
    </row>
    <row r="3627" spans="1:11" x14ac:dyDescent="0.35">
      <c r="A3627">
        <v>3626</v>
      </c>
      <c r="B3627">
        <v>47</v>
      </c>
      <c r="C3627" t="s">
        <v>16</v>
      </c>
      <c r="D3627" t="s">
        <v>25</v>
      </c>
      <c r="E3627" t="s">
        <v>57</v>
      </c>
      <c r="F3627">
        <v>56.84</v>
      </c>
      <c r="G3627" t="s">
        <v>31</v>
      </c>
      <c r="H3627" t="s">
        <v>15</v>
      </c>
      <c r="I3627">
        <v>3.7</v>
      </c>
      <c r="J3627">
        <v>10</v>
      </c>
      <c r="K3627">
        <v>5</v>
      </c>
    </row>
    <row r="3628" spans="1:11" x14ac:dyDescent="0.35">
      <c r="A3628">
        <v>3627</v>
      </c>
      <c r="B3628">
        <v>66</v>
      </c>
      <c r="C3628" t="s">
        <v>11</v>
      </c>
      <c r="D3628" t="s">
        <v>33</v>
      </c>
      <c r="E3628" t="s">
        <v>38</v>
      </c>
      <c r="F3628">
        <v>228.84</v>
      </c>
      <c r="G3628" t="s">
        <v>19</v>
      </c>
      <c r="H3628" t="s">
        <v>15</v>
      </c>
      <c r="I3628">
        <v>4.0999999999999996</v>
      </c>
      <c r="J3628">
        <v>14</v>
      </c>
      <c r="K3628">
        <v>2</v>
      </c>
    </row>
    <row r="3629" spans="1:11" x14ac:dyDescent="0.35">
      <c r="A3629">
        <v>3628</v>
      </c>
      <c r="B3629">
        <v>53</v>
      </c>
      <c r="C3629" t="s">
        <v>11</v>
      </c>
      <c r="D3629" t="s">
        <v>33</v>
      </c>
      <c r="E3629" t="s">
        <v>40</v>
      </c>
      <c r="F3629">
        <v>130.81</v>
      </c>
      <c r="G3629" t="s">
        <v>31</v>
      </c>
      <c r="H3629" t="s">
        <v>15</v>
      </c>
      <c r="I3629">
        <v>3.8</v>
      </c>
      <c r="J3629">
        <v>16</v>
      </c>
      <c r="K3629">
        <v>8</v>
      </c>
    </row>
    <row r="3630" spans="1:11" x14ac:dyDescent="0.35">
      <c r="A3630">
        <v>3629</v>
      </c>
      <c r="B3630">
        <v>57</v>
      </c>
      <c r="C3630" t="s">
        <v>16</v>
      </c>
      <c r="D3630" t="s">
        <v>33</v>
      </c>
      <c r="E3630" t="s">
        <v>34</v>
      </c>
      <c r="F3630">
        <v>65.53</v>
      </c>
      <c r="G3630" t="s">
        <v>31</v>
      </c>
      <c r="H3630" t="s">
        <v>37</v>
      </c>
      <c r="I3630">
        <v>3.9</v>
      </c>
      <c r="J3630">
        <v>17</v>
      </c>
      <c r="K3630">
        <v>6</v>
      </c>
    </row>
    <row r="3631" spans="1:11" x14ac:dyDescent="0.35">
      <c r="A3631">
        <v>3630</v>
      </c>
      <c r="B3631">
        <v>60</v>
      </c>
      <c r="C3631" t="s">
        <v>11</v>
      </c>
      <c r="D3631" t="s">
        <v>12</v>
      </c>
      <c r="E3631" t="s">
        <v>50</v>
      </c>
      <c r="F3631">
        <v>86.31</v>
      </c>
      <c r="G3631" t="s">
        <v>19</v>
      </c>
      <c r="H3631" t="s">
        <v>15</v>
      </c>
      <c r="I3631">
        <v>4.4000000000000004</v>
      </c>
      <c r="J3631">
        <v>13</v>
      </c>
      <c r="K3631">
        <v>4</v>
      </c>
    </row>
    <row r="3632" spans="1:11" x14ac:dyDescent="0.35">
      <c r="A3632">
        <v>3631</v>
      </c>
      <c r="B3632">
        <v>31</v>
      </c>
      <c r="C3632" t="s">
        <v>16</v>
      </c>
      <c r="D3632" t="s">
        <v>20</v>
      </c>
      <c r="E3632" t="s">
        <v>36</v>
      </c>
      <c r="F3632">
        <v>204.19</v>
      </c>
      <c r="G3632" t="s">
        <v>24</v>
      </c>
      <c r="H3632" t="s">
        <v>15</v>
      </c>
      <c r="I3632">
        <v>3.4</v>
      </c>
      <c r="J3632">
        <v>18</v>
      </c>
      <c r="K3632">
        <v>4</v>
      </c>
    </row>
    <row r="3633" spans="1:11" x14ac:dyDescent="0.35">
      <c r="A3633">
        <v>3632</v>
      </c>
      <c r="B3633">
        <v>68</v>
      </c>
      <c r="C3633" t="s">
        <v>16</v>
      </c>
      <c r="D3633" t="s">
        <v>22</v>
      </c>
      <c r="E3633" t="s">
        <v>23</v>
      </c>
      <c r="F3633">
        <v>289.19</v>
      </c>
      <c r="G3633" t="s">
        <v>24</v>
      </c>
      <c r="H3633" t="s">
        <v>15</v>
      </c>
      <c r="I3633">
        <v>3.5</v>
      </c>
      <c r="J3633">
        <v>9</v>
      </c>
      <c r="K3633">
        <v>2</v>
      </c>
    </row>
    <row r="3634" spans="1:11" x14ac:dyDescent="0.35">
      <c r="A3634">
        <v>3633</v>
      </c>
      <c r="B3634">
        <v>54</v>
      </c>
      <c r="C3634" t="s">
        <v>16</v>
      </c>
      <c r="D3634" t="s">
        <v>20</v>
      </c>
      <c r="E3634" t="s">
        <v>21</v>
      </c>
      <c r="F3634">
        <v>158.37</v>
      </c>
      <c r="G3634" t="s">
        <v>31</v>
      </c>
      <c r="H3634" t="s">
        <v>15</v>
      </c>
      <c r="I3634">
        <v>2.2999999999999998</v>
      </c>
      <c r="J3634">
        <v>12</v>
      </c>
      <c r="K3634">
        <v>6</v>
      </c>
    </row>
    <row r="3635" spans="1:11" x14ac:dyDescent="0.35">
      <c r="A3635">
        <v>3634</v>
      </c>
      <c r="B3635">
        <v>47</v>
      </c>
      <c r="C3635" t="s">
        <v>11</v>
      </c>
      <c r="D3635" t="s">
        <v>41</v>
      </c>
      <c r="E3635" t="s">
        <v>46</v>
      </c>
      <c r="F3635">
        <v>71.25</v>
      </c>
      <c r="G3635" t="s">
        <v>31</v>
      </c>
      <c r="H3635" t="s">
        <v>37</v>
      </c>
      <c r="I3635">
        <v>3.8</v>
      </c>
      <c r="J3635">
        <v>26</v>
      </c>
      <c r="K3635">
        <v>8</v>
      </c>
    </row>
    <row r="3636" spans="1:11" x14ac:dyDescent="0.35">
      <c r="A3636">
        <v>3635</v>
      </c>
      <c r="B3636">
        <v>62</v>
      </c>
      <c r="C3636" t="s">
        <v>11</v>
      </c>
      <c r="D3636" t="s">
        <v>12</v>
      </c>
      <c r="E3636" t="s">
        <v>13</v>
      </c>
      <c r="F3636">
        <v>176.49</v>
      </c>
      <c r="G3636" t="s">
        <v>14</v>
      </c>
      <c r="H3636" t="s">
        <v>15</v>
      </c>
      <c r="I3636">
        <v>3.4</v>
      </c>
      <c r="J3636">
        <v>16</v>
      </c>
      <c r="K3636">
        <v>8</v>
      </c>
    </row>
    <row r="3637" spans="1:11" x14ac:dyDescent="0.35">
      <c r="A3637">
        <v>3636</v>
      </c>
      <c r="B3637">
        <v>33</v>
      </c>
      <c r="C3637" t="s">
        <v>11</v>
      </c>
      <c r="D3637" t="s">
        <v>33</v>
      </c>
      <c r="E3637" t="s">
        <v>38</v>
      </c>
      <c r="F3637">
        <v>60.85</v>
      </c>
      <c r="G3637" t="s">
        <v>14</v>
      </c>
      <c r="H3637" t="s">
        <v>37</v>
      </c>
      <c r="I3637">
        <v>3.3</v>
      </c>
      <c r="J3637">
        <v>12</v>
      </c>
      <c r="K3637">
        <v>6</v>
      </c>
    </row>
    <row r="3638" spans="1:11" x14ac:dyDescent="0.35">
      <c r="A3638">
        <v>3637</v>
      </c>
      <c r="B3638">
        <v>40</v>
      </c>
      <c r="C3638" t="s">
        <v>16</v>
      </c>
      <c r="D3638" t="s">
        <v>33</v>
      </c>
      <c r="E3638" t="s">
        <v>34</v>
      </c>
      <c r="F3638">
        <v>235.85</v>
      </c>
      <c r="G3638" t="s">
        <v>14</v>
      </c>
      <c r="H3638" t="s">
        <v>15</v>
      </c>
      <c r="I3638">
        <v>4.0999999999999996</v>
      </c>
      <c r="J3638">
        <v>30</v>
      </c>
      <c r="K3638">
        <v>10</v>
      </c>
    </row>
    <row r="3639" spans="1:11" x14ac:dyDescent="0.35">
      <c r="A3639">
        <v>3638</v>
      </c>
      <c r="B3639">
        <v>66</v>
      </c>
      <c r="C3639" t="s">
        <v>16</v>
      </c>
      <c r="D3639" t="s">
        <v>27</v>
      </c>
      <c r="E3639" t="s">
        <v>32</v>
      </c>
      <c r="F3639">
        <v>1417.24</v>
      </c>
      <c r="G3639" t="s">
        <v>24</v>
      </c>
      <c r="H3639" t="s">
        <v>15</v>
      </c>
      <c r="I3639">
        <v>3.3</v>
      </c>
      <c r="J3639">
        <v>23</v>
      </c>
      <c r="K3639">
        <v>9</v>
      </c>
    </row>
    <row r="3640" spans="1:11" x14ac:dyDescent="0.35">
      <c r="A3640">
        <v>3639</v>
      </c>
      <c r="B3640">
        <v>39</v>
      </c>
      <c r="C3640" t="s">
        <v>11</v>
      </c>
      <c r="D3640" t="s">
        <v>41</v>
      </c>
      <c r="E3640" t="s">
        <v>42</v>
      </c>
      <c r="F3640">
        <v>119.67</v>
      </c>
      <c r="G3640" t="s">
        <v>24</v>
      </c>
      <c r="H3640" t="s">
        <v>15</v>
      </c>
      <c r="I3640">
        <v>4.3</v>
      </c>
      <c r="J3640">
        <v>13</v>
      </c>
      <c r="K3640">
        <v>4</v>
      </c>
    </row>
    <row r="3641" spans="1:11" x14ac:dyDescent="0.35">
      <c r="A3641">
        <v>3640</v>
      </c>
      <c r="B3641">
        <v>63</v>
      </c>
      <c r="C3641" t="s">
        <v>11</v>
      </c>
      <c r="D3641" t="s">
        <v>41</v>
      </c>
      <c r="E3641" t="s">
        <v>46</v>
      </c>
      <c r="F3641">
        <v>77.59</v>
      </c>
      <c r="G3641" t="s">
        <v>31</v>
      </c>
      <c r="H3641" t="s">
        <v>15</v>
      </c>
      <c r="I3641">
        <v>4.5</v>
      </c>
      <c r="J3641">
        <v>18</v>
      </c>
      <c r="K3641">
        <v>4</v>
      </c>
    </row>
    <row r="3642" spans="1:11" x14ac:dyDescent="0.35">
      <c r="A3642">
        <v>3641</v>
      </c>
      <c r="B3642">
        <v>57</v>
      </c>
      <c r="C3642" t="s">
        <v>11</v>
      </c>
      <c r="D3642" t="s">
        <v>33</v>
      </c>
      <c r="E3642" t="s">
        <v>40</v>
      </c>
      <c r="F3642">
        <v>176.39</v>
      </c>
      <c r="G3642" t="s">
        <v>24</v>
      </c>
      <c r="H3642" t="s">
        <v>15</v>
      </c>
      <c r="I3642">
        <v>5</v>
      </c>
      <c r="J3642">
        <v>6</v>
      </c>
      <c r="K3642">
        <v>3</v>
      </c>
    </row>
    <row r="3643" spans="1:11" x14ac:dyDescent="0.35">
      <c r="A3643">
        <v>3642</v>
      </c>
      <c r="B3643">
        <v>50</v>
      </c>
      <c r="C3643" t="s">
        <v>16</v>
      </c>
      <c r="D3643" t="s">
        <v>27</v>
      </c>
      <c r="E3643" t="s">
        <v>53</v>
      </c>
      <c r="F3643">
        <v>2463.27</v>
      </c>
      <c r="G3643" t="s">
        <v>14</v>
      </c>
      <c r="H3643" t="s">
        <v>15</v>
      </c>
      <c r="I3643">
        <v>3.7</v>
      </c>
      <c r="J3643">
        <v>20</v>
      </c>
      <c r="K3643">
        <v>5</v>
      </c>
    </row>
    <row r="3644" spans="1:11" x14ac:dyDescent="0.35">
      <c r="A3644">
        <v>3643</v>
      </c>
      <c r="B3644">
        <v>65</v>
      </c>
      <c r="C3644" t="s">
        <v>16</v>
      </c>
      <c r="D3644" t="s">
        <v>20</v>
      </c>
      <c r="E3644" t="s">
        <v>21</v>
      </c>
      <c r="F3644">
        <v>210.26</v>
      </c>
      <c r="G3644" t="s">
        <v>31</v>
      </c>
      <c r="H3644" t="s">
        <v>15</v>
      </c>
      <c r="I3644">
        <v>4.5</v>
      </c>
      <c r="J3644">
        <v>19</v>
      </c>
      <c r="K3644">
        <v>7</v>
      </c>
    </row>
    <row r="3645" spans="1:11" x14ac:dyDescent="0.35">
      <c r="A3645">
        <v>3644</v>
      </c>
      <c r="B3645">
        <v>43</v>
      </c>
      <c r="C3645" t="s">
        <v>16</v>
      </c>
      <c r="D3645" t="s">
        <v>33</v>
      </c>
      <c r="E3645" t="s">
        <v>40</v>
      </c>
      <c r="F3645">
        <v>43.08</v>
      </c>
      <c r="G3645" t="s">
        <v>14</v>
      </c>
      <c r="H3645" t="s">
        <v>37</v>
      </c>
      <c r="I3645">
        <v>3.3</v>
      </c>
      <c r="J3645">
        <v>24</v>
      </c>
      <c r="K3645">
        <v>7</v>
      </c>
    </row>
    <row r="3646" spans="1:11" x14ac:dyDescent="0.35">
      <c r="A3646">
        <v>3645</v>
      </c>
      <c r="B3646">
        <v>66</v>
      </c>
      <c r="C3646" t="s">
        <v>16</v>
      </c>
      <c r="D3646" t="s">
        <v>27</v>
      </c>
      <c r="E3646" t="s">
        <v>49</v>
      </c>
      <c r="F3646">
        <v>2061.67</v>
      </c>
      <c r="G3646" t="s">
        <v>24</v>
      </c>
      <c r="H3646" t="s">
        <v>15</v>
      </c>
      <c r="I3646">
        <v>3.8</v>
      </c>
      <c r="J3646">
        <v>11</v>
      </c>
      <c r="K3646">
        <v>3</v>
      </c>
    </row>
    <row r="3647" spans="1:11" x14ac:dyDescent="0.35">
      <c r="A3647">
        <v>3646</v>
      </c>
      <c r="B3647">
        <v>54</v>
      </c>
      <c r="C3647" t="s">
        <v>11</v>
      </c>
      <c r="D3647" t="s">
        <v>29</v>
      </c>
      <c r="E3647" t="s">
        <v>55</v>
      </c>
      <c r="F3647">
        <v>116.1</v>
      </c>
      <c r="G3647" t="s">
        <v>14</v>
      </c>
      <c r="H3647" t="s">
        <v>15</v>
      </c>
      <c r="I3647">
        <v>3.3</v>
      </c>
      <c r="J3647">
        <v>11</v>
      </c>
      <c r="K3647">
        <v>3</v>
      </c>
    </row>
    <row r="3648" spans="1:11" x14ac:dyDescent="0.35">
      <c r="A3648">
        <v>3647</v>
      </c>
      <c r="B3648">
        <v>21</v>
      </c>
      <c r="C3648" t="s">
        <v>11</v>
      </c>
      <c r="D3648" t="s">
        <v>12</v>
      </c>
      <c r="E3648" t="s">
        <v>56</v>
      </c>
      <c r="F3648">
        <v>74.010000000000005</v>
      </c>
      <c r="G3648" t="s">
        <v>14</v>
      </c>
      <c r="H3648" t="s">
        <v>15</v>
      </c>
      <c r="I3648">
        <v>4.0999999999999996</v>
      </c>
      <c r="J3648">
        <v>22</v>
      </c>
      <c r="K3648">
        <v>6</v>
      </c>
    </row>
    <row r="3649" spans="1:11" x14ac:dyDescent="0.35">
      <c r="A3649">
        <v>3648</v>
      </c>
      <c r="B3649">
        <v>49</v>
      </c>
      <c r="C3649" t="s">
        <v>11</v>
      </c>
      <c r="D3649" t="s">
        <v>25</v>
      </c>
      <c r="E3649" t="s">
        <v>26</v>
      </c>
      <c r="F3649">
        <v>63.04</v>
      </c>
      <c r="G3649" t="s">
        <v>24</v>
      </c>
      <c r="H3649" t="s">
        <v>15</v>
      </c>
      <c r="I3649">
        <v>3.5</v>
      </c>
      <c r="J3649">
        <v>22</v>
      </c>
      <c r="K3649">
        <v>6</v>
      </c>
    </row>
    <row r="3650" spans="1:11" x14ac:dyDescent="0.35">
      <c r="A3650">
        <v>3649</v>
      </c>
      <c r="B3650">
        <v>41</v>
      </c>
      <c r="C3650" t="s">
        <v>16</v>
      </c>
      <c r="D3650" t="s">
        <v>17</v>
      </c>
      <c r="E3650" t="s">
        <v>42</v>
      </c>
      <c r="F3650">
        <v>52.63</v>
      </c>
      <c r="G3650" t="s">
        <v>24</v>
      </c>
      <c r="H3650" t="s">
        <v>37</v>
      </c>
      <c r="I3650">
        <v>4.4000000000000004</v>
      </c>
      <c r="J3650">
        <v>16</v>
      </c>
      <c r="K3650">
        <v>3</v>
      </c>
    </row>
    <row r="3651" spans="1:11" x14ac:dyDescent="0.35">
      <c r="A3651">
        <v>3650</v>
      </c>
      <c r="B3651">
        <v>51</v>
      </c>
      <c r="C3651" t="s">
        <v>16</v>
      </c>
      <c r="D3651" t="s">
        <v>17</v>
      </c>
      <c r="E3651" t="s">
        <v>18</v>
      </c>
      <c r="F3651">
        <v>159.5</v>
      </c>
      <c r="G3651" t="s">
        <v>19</v>
      </c>
      <c r="H3651" t="s">
        <v>15</v>
      </c>
      <c r="I3651">
        <v>4.3</v>
      </c>
      <c r="J3651">
        <v>22</v>
      </c>
      <c r="K3651">
        <v>6</v>
      </c>
    </row>
    <row r="3652" spans="1:11" x14ac:dyDescent="0.35">
      <c r="A3652">
        <v>3651</v>
      </c>
      <c r="B3652">
        <v>63</v>
      </c>
      <c r="C3652" t="s">
        <v>11</v>
      </c>
      <c r="D3652" t="s">
        <v>41</v>
      </c>
      <c r="E3652" t="s">
        <v>44</v>
      </c>
      <c r="F3652">
        <v>128.85</v>
      </c>
      <c r="G3652" t="s">
        <v>24</v>
      </c>
      <c r="H3652" t="s">
        <v>15</v>
      </c>
      <c r="I3652">
        <v>2.9</v>
      </c>
      <c r="J3652">
        <v>11</v>
      </c>
      <c r="K3652">
        <v>3</v>
      </c>
    </row>
    <row r="3653" spans="1:11" x14ac:dyDescent="0.35">
      <c r="A3653">
        <v>3652</v>
      </c>
      <c r="B3653">
        <v>29</v>
      </c>
      <c r="C3653" t="s">
        <v>16</v>
      </c>
      <c r="D3653" t="s">
        <v>20</v>
      </c>
      <c r="E3653" t="s">
        <v>39</v>
      </c>
      <c r="F3653">
        <v>206.04</v>
      </c>
      <c r="G3653" t="s">
        <v>31</v>
      </c>
      <c r="H3653" t="s">
        <v>15</v>
      </c>
      <c r="I3653">
        <v>3.5</v>
      </c>
      <c r="J3653">
        <v>20</v>
      </c>
      <c r="K3653">
        <v>5</v>
      </c>
    </row>
    <row r="3654" spans="1:11" x14ac:dyDescent="0.35">
      <c r="A3654">
        <v>3653</v>
      </c>
      <c r="B3654">
        <v>68</v>
      </c>
      <c r="C3654" t="s">
        <v>11</v>
      </c>
      <c r="D3654" t="s">
        <v>33</v>
      </c>
      <c r="E3654" t="s">
        <v>38</v>
      </c>
      <c r="F3654">
        <v>86.55</v>
      </c>
      <c r="G3654" t="s">
        <v>31</v>
      </c>
      <c r="H3654" t="s">
        <v>15</v>
      </c>
      <c r="I3654">
        <v>5</v>
      </c>
      <c r="J3654">
        <v>28</v>
      </c>
      <c r="K3654">
        <v>9</v>
      </c>
    </row>
    <row r="3655" spans="1:11" x14ac:dyDescent="0.35">
      <c r="A3655">
        <v>3654</v>
      </c>
      <c r="B3655">
        <v>63</v>
      </c>
      <c r="C3655" t="s">
        <v>16</v>
      </c>
      <c r="D3655" t="s">
        <v>20</v>
      </c>
      <c r="E3655" t="s">
        <v>36</v>
      </c>
      <c r="F3655">
        <v>138.76</v>
      </c>
      <c r="G3655" t="s">
        <v>19</v>
      </c>
      <c r="H3655" t="s">
        <v>15</v>
      </c>
      <c r="I3655">
        <v>3.5</v>
      </c>
      <c r="J3655">
        <v>17</v>
      </c>
      <c r="K3655">
        <v>6</v>
      </c>
    </row>
    <row r="3656" spans="1:11" x14ac:dyDescent="0.35">
      <c r="A3656">
        <v>3655</v>
      </c>
      <c r="B3656">
        <v>49</v>
      </c>
      <c r="C3656" t="s">
        <v>11</v>
      </c>
      <c r="D3656" t="s">
        <v>41</v>
      </c>
      <c r="E3656" t="s">
        <v>44</v>
      </c>
      <c r="F3656">
        <v>45.93</v>
      </c>
      <c r="G3656" t="s">
        <v>19</v>
      </c>
      <c r="H3656" t="s">
        <v>15</v>
      </c>
      <c r="I3656">
        <v>5</v>
      </c>
      <c r="J3656">
        <v>22</v>
      </c>
      <c r="K3656">
        <v>6</v>
      </c>
    </row>
    <row r="3657" spans="1:11" x14ac:dyDescent="0.35">
      <c r="A3657">
        <v>3656</v>
      </c>
      <c r="B3657">
        <v>56</v>
      </c>
      <c r="C3657" t="s">
        <v>11</v>
      </c>
      <c r="D3657" t="s">
        <v>41</v>
      </c>
      <c r="E3657" t="s">
        <v>42</v>
      </c>
      <c r="F3657">
        <v>80.56</v>
      </c>
      <c r="G3657" t="s">
        <v>14</v>
      </c>
      <c r="H3657" t="s">
        <v>15</v>
      </c>
      <c r="I3657">
        <v>3.5</v>
      </c>
      <c r="J3657">
        <v>14</v>
      </c>
      <c r="K3657">
        <v>7</v>
      </c>
    </row>
    <row r="3658" spans="1:11" x14ac:dyDescent="0.35">
      <c r="A3658">
        <v>3657</v>
      </c>
      <c r="B3658">
        <v>42</v>
      </c>
      <c r="C3658" t="s">
        <v>16</v>
      </c>
      <c r="D3658" t="s">
        <v>22</v>
      </c>
      <c r="E3658" t="s">
        <v>52</v>
      </c>
      <c r="F3658">
        <v>133.91</v>
      </c>
      <c r="G3658" t="s">
        <v>31</v>
      </c>
      <c r="H3658" t="s">
        <v>15</v>
      </c>
      <c r="I3658">
        <v>3.9</v>
      </c>
      <c r="J3658">
        <v>18</v>
      </c>
      <c r="K3658">
        <v>4</v>
      </c>
    </row>
    <row r="3659" spans="1:11" x14ac:dyDescent="0.35">
      <c r="A3659">
        <v>3658</v>
      </c>
      <c r="B3659">
        <v>34</v>
      </c>
      <c r="C3659" t="s">
        <v>16</v>
      </c>
      <c r="D3659" t="s">
        <v>27</v>
      </c>
      <c r="E3659" t="s">
        <v>49</v>
      </c>
      <c r="F3659">
        <v>739.02</v>
      </c>
      <c r="G3659" t="s">
        <v>14</v>
      </c>
      <c r="H3659" t="s">
        <v>15</v>
      </c>
      <c r="I3659">
        <v>4.3</v>
      </c>
      <c r="J3659">
        <v>30</v>
      </c>
      <c r="K3659">
        <v>10</v>
      </c>
    </row>
    <row r="3660" spans="1:11" x14ac:dyDescent="0.35">
      <c r="A3660">
        <v>3659</v>
      </c>
      <c r="B3660">
        <v>49</v>
      </c>
      <c r="C3660" t="s">
        <v>16</v>
      </c>
      <c r="D3660" t="s">
        <v>20</v>
      </c>
      <c r="E3660" t="s">
        <v>21</v>
      </c>
      <c r="F3660">
        <v>245.64</v>
      </c>
      <c r="G3660" t="s">
        <v>24</v>
      </c>
      <c r="H3660" t="s">
        <v>15</v>
      </c>
      <c r="I3660">
        <v>4.0999999999999996</v>
      </c>
      <c r="J3660">
        <v>15</v>
      </c>
      <c r="K3660">
        <v>5</v>
      </c>
    </row>
    <row r="3661" spans="1:11" x14ac:dyDescent="0.35">
      <c r="A3661">
        <v>3660</v>
      </c>
      <c r="B3661">
        <v>38</v>
      </c>
      <c r="C3661" t="s">
        <v>16</v>
      </c>
      <c r="D3661" t="s">
        <v>17</v>
      </c>
      <c r="E3661" t="s">
        <v>42</v>
      </c>
      <c r="F3661">
        <v>75.67</v>
      </c>
      <c r="G3661" t="s">
        <v>24</v>
      </c>
      <c r="H3661" t="s">
        <v>37</v>
      </c>
      <c r="I3661">
        <v>3.8</v>
      </c>
      <c r="J3661">
        <v>15</v>
      </c>
      <c r="K3661">
        <v>5</v>
      </c>
    </row>
    <row r="3662" spans="1:11" x14ac:dyDescent="0.35">
      <c r="A3662">
        <v>3661</v>
      </c>
      <c r="B3662">
        <v>51</v>
      </c>
      <c r="C3662" t="s">
        <v>11</v>
      </c>
      <c r="D3662" t="s">
        <v>12</v>
      </c>
      <c r="E3662" t="s">
        <v>56</v>
      </c>
      <c r="F3662">
        <v>102.13</v>
      </c>
      <c r="G3662" t="s">
        <v>31</v>
      </c>
      <c r="H3662" t="s">
        <v>15</v>
      </c>
      <c r="I3662">
        <v>4.0999999999999996</v>
      </c>
      <c r="J3662">
        <v>12</v>
      </c>
      <c r="K3662">
        <v>6</v>
      </c>
    </row>
    <row r="3663" spans="1:11" x14ac:dyDescent="0.35">
      <c r="A3663">
        <v>3662</v>
      </c>
      <c r="B3663">
        <v>50</v>
      </c>
      <c r="C3663" t="s">
        <v>11</v>
      </c>
      <c r="D3663" t="s">
        <v>41</v>
      </c>
      <c r="E3663" t="s">
        <v>42</v>
      </c>
      <c r="F3663">
        <v>193.62</v>
      </c>
      <c r="G3663" t="s">
        <v>14</v>
      </c>
      <c r="H3663" t="s">
        <v>15</v>
      </c>
      <c r="I3663">
        <v>2.9</v>
      </c>
      <c r="J3663">
        <v>19</v>
      </c>
      <c r="K3663">
        <v>7</v>
      </c>
    </row>
    <row r="3664" spans="1:11" x14ac:dyDescent="0.35">
      <c r="A3664">
        <v>3663</v>
      </c>
      <c r="B3664">
        <v>27</v>
      </c>
      <c r="C3664" t="s">
        <v>16</v>
      </c>
      <c r="D3664" t="s">
        <v>17</v>
      </c>
      <c r="E3664" t="s">
        <v>48</v>
      </c>
      <c r="F3664">
        <v>154.24</v>
      </c>
      <c r="G3664" t="s">
        <v>31</v>
      </c>
      <c r="H3664" t="s">
        <v>15</v>
      </c>
      <c r="I3664">
        <v>4.2</v>
      </c>
      <c r="J3664">
        <v>22</v>
      </c>
      <c r="K3664">
        <v>6</v>
      </c>
    </row>
    <row r="3665" spans="1:11" x14ac:dyDescent="0.35">
      <c r="A3665">
        <v>3664</v>
      </c>
      <c r="B3665">
        <v>40</v>
      </c>
      <c r="C3665" t="s">
        <v>16</v>
      </c>
      <c r="D3665" t="s">
        <v>33</v>
      </c>
      <c r="E3665" t="s">
        <v>34</v>
      </c>
      <c r="F3665">
        <v>70.38</v>
      </c>
      <c r="G3665" t="s">
        <v>31</v>
      </c>
      <c r="H3665" t="s">
        <v>15</v>
      </c>
      <c r="I3665">
        <v>4.3</v>
      </c>
      <c r="J3665">
        <v>21</v>
      </c>
      <c r="K3665">
        <v>8</v>
      </c>
    </row>
    <row r="3666" spans="1:11" x14ac:dyDescent="0.35">
      <c r="A3666">
        <v>3665</v>
      </c>
      <c r="B3666">
        <v>43</v>
      </c>
      <c r="C3666" t="s">
        <v>11</v>
      </c>
      <c r="D3666" t="s">
        <v>25</v>
      </c>
      <c r="E3666" t="s">
        <v>54</v>
      </c>
      <c r="F3666">
        <v>42.5</v>
      </c>
      <c r="G3666" t="s">
        <v>31</v>
      </c>
      <c r="H3666" t="s">
        <v>37</v>
      </c>
      <c r="I3666">
        <v>2.4</v>
      </c>
      <c r="J3666">
        <v>9</v>
      </c>
      <c r="K3666">
        <v>2</v>
      </c>
    </row>
    <row r="3667" spans="1:11" x14ac:dyDescent="0.35">
      <c r="A3667">
        <v>3666</v>
      </c>
      <c r="B3667">
        <v>57</v>
      </c>
      <c r="C3667" t="s">
        <v>11</v>
      </c>
      <c r="D3667" t="s">
        <v>33</v>
      </c>
      <c r="E3667" t="s">
        <v>40</v>
      </c>
      <c r="F3667">
        <v>185.73</v>
      </c>
      <c r="G3667" t="s">
        <v>19</v>
      </c>
      <c r="H3667" t="s">
        <v>15</v>
      </c>
      <c r="I3667">
        <v>5</v>
      </c>
      <c r="J3667">
        <v>17</v>
      </c>
      <c r="K3667">
        <v>6</v>
      </c>
    </row>
    <row r="3668" spans="1:11" x14ac:dyDescent="0.35">
      <c r="A3668">
        <v>3667</v>
      </c>
      <c r="B3668">
        <v>20</v>
      </c>
      <c r="C3668" t="s">
        <v>16</v>
      </c>
      <c r="D3668" t="s">
        <v>27</v>
      </c>
      <c r="E3668" t="s">
        <v>49</v>
      </c>
      <c r="F3668">
        <v>1838.94</v>
      </c>
      <c r="G3668" t="s">
        <v>24</v>
      </c>
      <c r="H3668" t="s">
        <v>15</v>
      </c>
      <c r="I3668">
        <v>3.8</v>
      </c>
      <c r="J3668">
        <v>10</v>
      </c>
      <c r="K3668">
        <v>5</v>
      </c>
    </row>
    <row r="3669" spans="1:11" x14ac:dyDescent="0.35">
      <c r="A3669">
        <v>3668</v>
      </c>
      <c r="B3669">
        <v>25</v>
      </c>
      <c r="C3669" t="s">
        <v>16</v>
      </c>
      <c r="D3669" t="s">
        <v>20</v>
      </c>
      <c r="E3669" t="s">
        <v>36</v>
      </c>
      <c r="F3669">
        <v>224.19</v>
      </c>
      <c r="G3669" t="s">
        <v>14</v>
      </c>
      <c r="H3669" t="s">
        <v>15</v>
      </c>
      <c r="I3669">
        <v>3.3</v>
      </c>
      <c r="J3669">
        <v>18</v>
      </c>
      <c r="K3669">
        <v>4</v>
      </c>
    </row>
    <row r="3670" spans="1:11" x14ac:dyDescent="0.35">
      <c r="A3670">
        <v>3669</v>
      </c>
      <c r="B3670">
        <v>64</v>
      </c>
      <c r="C3670" t="s">
        <v>16</v>
      </c>
      <c r="D3670" t="s">
        <v>17</v>
      </c>
      <c r="E3670" t="s">
        <v>48</v>
      </c>
      <c r="F3670">
        <v>64.53</v>
      </c>
      <c r="G3670" t="s">
        <v>31</v>
      </c>
      <c r="H3670" t="s">
        <v>37</v>
      </c>
      <c r="I3670">
        <v>3.8</v>
      </c>
      <c r="J3670">
        <v>22</v>
      </c>
      <c r="K3670">
        <v>6</v>
      </c>
    </row>
    <row r="3671" spans="1:11" x14ac:dyDescent="0.35">
      <c r="A3671">
        <v>3670</v>
      </c>
      <c r="B3671">
        <v>43</v>
      </c>
      <c r="C3671" t="s">
        <v>16</v>
      </c>
      <c r="D3671" t="s">
        <v>27</v>
      </c>
      <c r="E3671" t="s">
        <v>53</v>
      </c>
      <c r="F3671">
        <v>907.49</v>
      </c>
      <c r="G3671" t="s">
        <v>24</v>
      </c>
      <c r="H3671" t="s">
        <v>15</v>
      </c>
      <c r="I3671">
        <v>4.3</v>
      </c>
      <c r="J3671">
        <v>8</v>
      </c>
      <c r="K3671">
        <v>4</v>
      </c>
    </row>
    <row r="3672" spans="1:11" x14ac:dyDescent="0.35">
      <c r="A3672">
        <v>3671</v>
      </c>
      <c r="B3672">
        <v>56</v>
      </c>
      <c r="C3672" t="s">
        <v>11</v>
      </c>
      <c r="D3672" t="s">
        <v>29</v>
      </c>
      <c r="E3672" t="s">
        <v>51</v>
      </c>
      <c r="F3672">
        <v>91.75</v>
      </c>
      <c r="G3672" t="s">
        <v>14</v>
      </c>
      <c r="H3672" t="s">
        <v>15</v>
      </c>
      <c r="I3672">
        <v>3.3</v>
      </c>
      <c r="J3672">
        <v>13</v>
      </c>
      <c r="K3672">
        <v>4</v>
      </c>
    </row>
    <row r="3673" spans="1:11" x14ac:dyDescent="0.35">
      <c r="A3673">
        <v>3672</v>
      </c>
      <c r="B3673">
        <v>67</v>
      </c>
      <c r="C3673" t="s">
        <v>16</v>
      </c>
      <c r="D3673" t="s">
        <v>17</v>
      </c>
      <c r="E3673" t="s">
        <v>48</v>
      </c>
      <c r="F3673">
        <v>51.17</v>
      </c>
      <c r="G3673" t="s">
        <v>31</v>
      </c>
      <c r="H3673" t="s">
        <v>37</v>
      </c>
      <c r="I3673">
        <v>4</v>
      </c>
      <c r="J3673">
        <v>14</v>
      </c>
      <c r="K3673">
        <v>2</v>
      </c>
    </row>
    <row r="3674" spans="1:11" x14ac:dyDescent="0.35">
      <c r="A3674">
        <v>3673</v>
      </c>
      <c r="B3674">
        <v>60</v>
      </c>
      <c r="C3674" t="s">
        <v>11</v>
      </c>
      <c r="D3674" t="s">
        <v>12</v>
      </c>
      <c r="E3674" t="s">
        <v>13</v>
      </c>
      <c r="F3674">
        <v>58.89</v>
      </c>
      <c r="G3674" t="s">
        <v>31</v>
      </c>
      <c r="H3674" t="s">
        <v>15</v>
      </c>
      <c r="I3674">
        <v>4.9000000000000004</v>
      </c>
      <c r="J3674">
        <v>12</v>
      </c>
      <c r="K3674">
        <v>1</v>
      </c>
    </row>
    <row r="3675" spans="1:11" x14ac:dyDescent="0.35">
      <c r="A3675">
        <v>3674</v>
      </c>
      <c r="B3675">
        <v>35</v>
      </c>
      <c r="C3675" t="s">
        <v>16</v>
      </c>
      <c r="D3675" t="s">
        <v>22</v>
      </c>
      <c r="E3675" t="s">
        <v>52</v>
      </c>
      <c r="F3675">
        <v>118.44</v>
      </c>
      <c r="G3675" t="s">
        <v>24</v>
      </c>
      <c r="H3675" t="s">
        <v>15</v>
      </c>
      <c r="I3675">
        <v>4.7</v>
      </c>
      <c r="J3675">
        <v>28</v>
      </c>
      <c r="K3675">
        <v>9</v>
      </c>
    </row>
    <row r="3676" spans="1:11" x14ac:dyDescent="0.35">
      <c r="A3676">
        <v>3675</v>
      </c>
      <c r="B3676">
        <v>35</v>
      </c>
      <c r="C3676" t="s">
        <v>11</v>
      </c>
      <c r="D3676" t="s">
        <v>12</v>
      </c>
      <c r="E3676" t="s">
        <v>13</v>
      </c>
      <c r="F3676">
        <v>130.35</v>
      </c>
      <c r="G3676" t="s">
        <v>19</v>
      </c>
      <c r="H3676" t="s">
        <v>15</v>
      </c>
      <c r="I3676">
        <v>3.8</v>
      </c>
      <c r="J3676">
        <v>24</v>
      </c>
      <c r="K3676">
        <v>7</v>
      </c>
    </row>
    <row r="3677" spans="1:11" x14ac:dyDescent="0.35">
      <c r="A3677">
        <v>3676</v>
      </c>
      <c r="B3677">
        <v>44</v>
      </c>
      <c r="C3677" t="s">
        <v>11</v>
      </c>
      <c r="D3677" t="s">
        <v>25</v>
      </c>
      <c r="E3677" t="s">
        <v>47</v>
      </c>
      <c r="F3677">
        <v>53.11</v>
      </c>
      <c r="G3677" t="s">
        <v>24</v>
      </c>
      <c r="H3677" t="s">
        <v>37</v>
      </c>
      <c r="I3677">
        <v>3.9</v>
      </c>
      <c r="J3677">
        <v>15</v>
      </c>
      <c r="K3677">
        <v>5</v>
      </c>
    </row>
    <row r="3678" spans="1:11" x14ac:dyDescent="0.35">
      <c r="A3678">
        <v>3677</v>
      </c>
      <c r="B3678">
        <v>47</v>
      </c>
      <c r="C3678" t="s">
        <v>11</v>
      </c>
      <c r="D3678" t="s">
        <v>12</v>
      </c>
      <c r="E3678" t="s">
        <v>13</v>
      </c>
      <c r="F3678">
        <v>72</v>
      </c>
      <c r="G3678" t="s">
        <v>19</v>
      </c>
      <c r="H3678" t="s">
        <v>37</v>
      </c>
      <c r="I3678">
        <v>4.2</v>
      </c>
      <c r="J3678">
        <v>16</v>
      </c>
      <c r="K3678">
        <v>8</v>
      </c>
    </row>
    <row r="3679" spans="1:11" x14ac:dyDescent="0.35">
      <c r="A3679">
        <v>3678</v>
      </c>
      <c r="B3679">
        <v>54</v>
      </c>
      <c r="C3679" t="s">
        <v>16</v>
      </c>
      <c r="D3679" t="s">
        <v>20</v>
      </c>
      <c r="E3679" t="s">
        <v>39</v>
      </c>
      <c r="F3679">
        <v>97.9</v>
      </c>
      <c r="G3679" t="s">
        <v>24</v>
      </c>
      <c r="H3679" t="s">
        <v>15</v>
      </c>
      <c r="I3679">
        <v>3.7</v>
      </c>
      <c r="J3679">
        <v>10</v>
      </c>
      <c r="K3679">
        <v>5</v>
      </c>
    </row>
    <row r="3680" spans="1:11" x14ac:dyDescent="0.35">
      <c r="A3680">
        <v>3679</v>
      </c>
      <c r="B3680">
        <v>70</v>
      </c>
      <c r="C3680" t="s">
        <v>11</v>
      </c>
      <c r="D3680" t="s">
        <v>41</v>
      </c>
      <c r="E3680" t="s">
        <v>45</v>
      </c>
      <c r="F3680">
        <v>131.93</v>
      </c>
      <c r="G3680" t="s">
        <v>14</v>
      </c>
      <c r="H3680" t="s">
        <v>15</v>
      </c>
      <c r="I3680">
        <v>3.3</v>
      </c>
      <c r="J3680">
        <v>16</v>
      </c>
      <c r="K3680">
        <v>3</v>
      </c>
    </row>
    <row r="3681" spans="1:11" x14ac:dyDescent="0.35">
      <c r="A3681">
        <v>3680</v>
      </c>
      <c r="B3681">
        <v>56</v>
      </c>
      <c r="C3681" t="s">
        <v>11</v>
      </c>
      <c r="D3681" t="s">
        <v>41</v>
      </c>
      <c r="E3681" t="s">
        <v>42</v>
      </c>
      <c r="F3681">
        <v>184.09</v>
      </c>
      <c r="G3681" t="s">
        <v>14</v>
      </c>
      <c r="H3681" t="s">
        <v>15</v>
      </c>
      <c r="I3681">
        <v>3.4</v>
      </c>
      <c r="J3681">
        <v>22</v>
      </c>
      <c r="K3681">
        <v>6</v>
      </c>
    </row>
    <row r="3682" spans="1:11" x14ac:dyDescent="0.35">
      <c r="A3682">
        <v>3681</v>
      </c>
      <c r="B3682">
        <v>20</v>
      </c>
      <c r="C3682" t="s">
        <v>11</v>
      </c>
      <c r="D3682" t="s">
        <v>29</v>
      </c>
      <c r="E3682" t="s">
        <v>30</v>
      </c>
      <c r="F3682">
        <v>58.16</v>
      </c>
      <c r="G3682" t="s">
        <v>19</v>
      </c>
      <c r="H3682" t="s">
        <v>37</v>
      </c>
      <c r="I3682">
        <v>4.5</v>
      </c>
      <c r="J3682">
        <v>11</v>
      </c>
      <c r="K3682">
        <v>3</v>
      </c>
    </row>
    <row r="3683" spans="1:11" x14ac:dyDescent="0.35">
      <c r="A3683">
        <v>3682</v>
      </c>
      <c r="B3683">
        <v>25</v>
      </c>
      <c r="C3683" t="s">
        <v>11</v>
      </c>
      <c r="D3683" t="s">
        <v>12</v>
      </c>
      <c r="E3683" t="s">
        <v>50</v>
      </c>
      <c r="F3683">
        <v>20.67</v>
      </c>
      <c r="G3683" t="s">
        <v>31</v>
      </c>
      <c r="H3683" t="s">
        <v>15</v>
      </c>
      <c r="I3683">
        <v>5</v>
      </c>
      <c r="J3683">
        <v>8</v>
      </c>
      <c r="K3683">
        <v>4</v>
      </c>
    </row>
    <row r="3684" spans="1:11" x14ac:dyDescent="0.35">
      <c r="A3684">
        <v>3683</v>
      </c>
      <c r="B3684">
        <v>57</v>
      </c>
      <c r="C3684" t="s">
        <v>11</v>
      </c>
      <c r="D3684" t="s">
        <v>29</v>
      </c>
      <c r="E3684" t="s">
        <v>30</v>
      </c>
      <c r="F3684">
        <v>93.07</v>
      </c>
      <c r="G3684" t="s">
        <v>19</v>
      </c>
      <c r="H3684" t="s">
        <v>15</v>
      </c>
      <c r="I3684">
        <v>3.4</v>
      </c>
      <c r="J3684">
        <v>14</v>
      </c>
      <c r="K3684">
        <v>2</v>
      </c>
    </row>
    <row r="3685" spans="1:11" x14ac:dyDescent="0.35">
      <c r="A3685">
        <v>3684</v>
      </c>
      <c r="B3685">
        <v>30</v>
      </c>
      <c r="C3685" t="s">
        <v>11</v>
      </c>
      <c r="D3685" t="s">
        <v>12</v>
      </c>
      <c r="E3685" t="s">
        <v>50</v>
      </c>
      <c r="F3685">
        <v>95.38</v>
      </c>
      <c r="G3685" t="s">
        <v>19</v>
      </c>
      <c r="H3685" t="s">
        <v>15</v>
      </c>
      <c r="I3685">
        <v>5</v>
      </c>
      <c r="J3685">
        <v>10</v>
      </c>
      <c r="K3685">
        <v>5</v>
      </c>
    </row>
    <row r="3686" spans="1:11" x14ac:dyDescent="0.35">
      <c r="A3686">
        <v>3685</v>
      </c>
      <c r="B3686">
        <v>20</v>
      </c>
      <c r="C3686" t="s">
        <v>16</v>
      </c>
      <c r="D3686" t="s">
        <v>20</v>
      </c>
      <c r="E3686" t="s">
        <v>21</v>
      </c>
      <c r="F3686">
        <v>167.54</v>
      </c>
      <c r="G3686" t="s">
        <v>24</v>
      </c>
      <c r="H3686" t="s">
        <v>15</v>
      </c>
      <c r="I3686">
        <v>3.8</v>
      </c>
      <c r="J3686">
        <v>20</v>
      </c>
      <c r="K3686">
        <v>5</v>
      </c>
    </row>
    <row r="3687" spans="1:11" x14ac:dyDescent="0.35">
      <c r="A3687">
        <v>3686</v>
      </c>
      <c r="B3687">
        <v>70</v>
      </c>
      <c r="C3687" t="s">
        <v>16</v>
      </c>
      <c r="D3687" t="s">
        <v>17</v>
      </c>
      <c r="E3687" t="s">
        <v>48</v>
      </c>
      <c r="F3687">
        <v>78.89</v>
      </c>
      <c r="G3687" t="s">
        <v>31</v>
      </c>
      <c r="H3687" t="s">
        <v>15</v>
      </c>
      <c r="I3687">
        <v>3.9</v>
      </c>
      <c r="J3687">
        <v>8</v>
      </c>
      <c r="K3687">
        <v>4</v>
      </c>
    </row>
    <row r="3688" spans="1:11" x14ac:dyDescent="0.35">
      <c r="A3688">
        <v>3687</v>
      </c>
      <c r="B3688">
        <v>28</v>
      </c>
      <c r="C3688" t="s">
        <v>16</v>
      </c>
      <c r="D3688" t="s">
        <v>20</v>
      </c>
      <c r="E3688" t="s">
        <v>21</v>
      </c>
      <c r="F3688">
        <v>39.159999999999997</v>
      </c>
      <c r="G3688" t="s">
        <v>31</v>
      </c>
      <c r="H3688" t="s">
        <v>37</v>
      </c>
      <c r="I3688">
        <v>3.9</v>
      </c>
      <c r="J3688">
        <v>13</v>
      </c>
      <c r="K3688">
        <v>4</v>
      </c>
    </row>
    <row r="3689" spans="1:11" x14ac:dyDescent="0.35">
      <c r="A3689">
        <v>3688</v>
      </c>
      <c r="B3689">
        <v>35</v>
      </c>
      <c r="C3689" t="s">
        <v>11</v>
      </c>
      <c r="D3689" t="s">
        <v>22</v>
      </c>
      <c r="E3689" t="s">
        <v>23</v>
      </c>
      <c r="F3689">
        <v>299.25</v>
      </c>
      <c r="G3689" t="s">
        <v>24</v>
      </c>
      <c r="H3689" t="s">
        <v>15</v>
      </c>
      <c r="I3689">
        <v>3.4</v>
      </c>
      <c r="J3689">
        <v>10</v>
      </c>
      <c r="K3689">
        <v>5</v>
      </c>
    </row>
    <row r="3690" spans="1:11" x14ac:dyDescent="0.35">
      <c r="A3690">
        <v>3689</v>
      </c>
      <c r="B3690">
        <v>29</v>
      </c>
      <c r="C3690" t="s">
        <v>11</v>
      </c>
      <c r="D3690" t="s">
        <v>25</v>
      </c>
      <c r="E3690" t="s">
        <v>26</v>
      </c>
      <c r="F3690">
        <v>70.760000000000005</v>
      </c>
      <c r="G3690" t="s">
        <v>14</v>
      </c>
      <c r="H3690" t="s">
        <v>15</v>
      </c>
      <c r="I3690">
        <v>3.8</v>
      </c>
      <c r="J3690">
        <v>13</v>
      </c>
      <c r="K3690">
        <v>4</v>
      </c>
    </row>
    <row r="3691" spans="1:11" x14ac:dyDescent="0.35">
      <c r="A3691">
        <v>3690</v>
      </c>
      <c r="B3691">
        <v>40</v>
      </c>
      <c r="C3691" t="s">
        <v>11</v>
      </c>
      <c r="D3691" t="s">
        <v>41</v>
      </c>
      <c r="E3691" t="s">
        <v>44</v>
      </c>
      <c r="F3691">
        <v>191.37</v>
      </c>
      <c r="G3691" t="s">
        <v>19</v>
      </c>
      <c r="H3691" t="s">
        <v>15</v>
      </c>
      <c r="I3691">
        <v>4.0999999999999996</v>
      </c>
      <c r="J3691">
        <v>16</v>
      </c>
      <c r="K3691">
        <v>3</v>
      </c>
    </row>
    <row r="3692" spans="1:11" x14ac:dyDescent="0.35">
      <c r="A3692">
        <v>3691</v>
      </c>
      <c r="B3692">
        <v>34</v>
      </c>
      <c r="C3692" t="s">
        <v>11</v>
      </c>
      <c r="D3692" t="s">
        <v>33</v>
      </c>
      <c r="E3692" t="s">
        <v>40</v>
      </c>
      <c r="F3692">
        <v>240.46</v>
      </c>
      <c r="G3692" t="s">
        <v>31</v>
      </c>
      <c r="H3692" t="s">
        <v>15</v>
      </c>
      <c r="I3692">
        <v>5</v>
      </c>
      <c r="J3692">
        <v>18</v>
      </c>
      <c r="K3692">
        <v>9</v>
      </c>
    </row>
    <row r="3693" spans="1:11" x14ac:dyDescent="0.35">
      <c r="A3693">
        <v>3692</v>
      </c>
      <c r="B3693">
        <v>57</v>
      </c>
      <c r="C3693" t="s">
        <v>11</v>
      </c>
      <c r="D3693" t="s">
        <v>29</v>
      </c>
      <c r="E3693" t="s">
        <v>51</v>
      </c>
      <c r="F3693">
        <v>134.16</v>
      </c>
      <c r="G3693" t="s">
        <v>31</v>
      </c>
      <c r="H3693" t="s">
        <v>15</v>
      </c>
      <c r="I3693">
        <v>4</v>
      </c>
      <c r="J3693">
        <v>12</v>
      </c>
      <c r="K3693">
        <v>6</v>
      </c>
    </row>
    <row r="3694" spans="1:11" x14ac:dyDescent="0.35">
      <c r="A3694">
        <v>3693</v>
      </c>
      <c r="B3694">
        <v>50</v>
      </c>
      <c r="C3694" t="s">
        <v>11</v>
      </c>
      <c r="D3694" t="s">
        <v>29</v>
      </c>
      <c r="E3694" t="s">
        <v>55</v>
      </c>
      <c r="F3694">
        <v>92.73</v>
      </c>
      <c r="G3694" t="s">
        <v>14</v>
      </c>
      <c r="H3694" t="s">
        <v>15</v>
      </c>
      <c r="I3694">
        <v>4.2</v>
      </c>
      <c r="J3694">
        <v>26</v>
      </c>
      <c r="K3694">
        <v>8</v>
      </c>
    </row>
    <row r="3695" spans="1:11" x14ac:dyDescent="0.35">
      <c r="A3695">
        <v>3694</v>
      </c>
      <c r="B3695">
        <v>60</v>
      </c>
      <c r="C3695" t="s">
        <v>11</v>
      </c>
      <c r="D3695" t="s">
        <v>41</v>
      </c>
      <c r="E3695" t="s">
        <v>45</v>
      </c>
      <c r="F3695">
        <v>169.58</v>
      </c>
      <c r="G3695" t="s">
        <v>14</v>
      </c>
      <c r="H3695" t="s">
        <v>15</v>
      </c>
      <c r="I3695">
        <v>4.8</v>
      </c>
      <c r="J3695">
        <v>23</v>
      </c>
      <c r="K3695">
        <v>9</v>
      </c>
    </row>
    <row r="3696" spans="1:11" x14ac:dyDescent="0.35">
      <c r="A3696">
        <v>3695</v>
      </c>
      <c r="B3696">
        <v>70</v>
      </c>
      <c r="C3696" t="s">
        <v>11</v>
      </c>
      <c r="D3696" t="s">
        <v>41</v>
      </c>
      <c r="E3696" t="s">
        <v>44</v>
      </c>
      <c r="F3696">
        <v>51.99</v>
      </c>
      <c r="G3696" t="s">
        <v>14</v>
      </c>
      <c r="H3696" t="s">
        <v>37</v>
      </c>
      <c r="I3696">
        <v>3.4</v>
      </c>
      <c r="J3696">
        <v>24</v>
      </c>
      <c r="K3696">
        <v>7</v>
      </c>
    </row>
    <row r="3697" spans="1:11" x14ac:dyDescent="0.35">
      <c r="A3697">
        <v>3696</v>
      </c>
      <c r="B3697">
        <v>35</v>
      </c>
      <c r="C3697" t="s">
        <v>11</v>
      </c>
      <c r="D3697" t="s">
        <v>33</v>
      </c>
      <c r="E3697" t="s">
        <v>38</v>
      </c>
      <c r="F3697">
        <v>220.75</v>
      </c>
      <c r="G3697" t="s">
        <v>31</v>
      </c>
      <c r="H3697" t="s">
        <v>15</v>
      </c>
      <c r="I3697">
        <v>3.7</v>
      </c>
      <c r="J3697">
        <v>14</v>
      </c>
      <c r="K3697">
        <v>7</v>
      </c>
    </row>
    <row r="3698" spans="1:11" x14ac:dyDescent="0.35">
      <c r="A3698">
        <v>3697</v>
      </c>
      <c r="B3698">
        <v>31</v>
      </c>
      <c r="C3698" t="s">
        <v>11</v>
      </c>
      <c r="D3698" t="s">
        <v>22</v>
      </c>
      <c r="E3698" t="s">
        <v>23</v>
      </c>
      <c r="F3698">
        <v>86.63</v>
      </c>
      <c r="G3698" t="s">
        <v>14</v>
      </c>
      <c r="H3698" t="s">
        <v>37</v>
      </c>
      <c r="I3698">
        <v>4.5</v>
      </c>
      <c r="J3698">
        <v>20</v>
      </c>
      <c r="K3698">
        <v>10</v>
      </c>
    </row>
    <row r="3699" spans="1:11" x14ac:dyDescent="0.35">
      <c r="A3699">
        <v>3698</v>
      </c>
      <c r="B3699">
        <v>37</v>
      </c>
      <c r="C3699" t="s">
        <v>16</v>
      </c>
      <c r="D3699" t="s">
        <v>25</v>
      </c>
      <c r="E3699" t="s">
        <v>47</v>
      </c>
      <c r="F3699">
        <v>43.63</v>
      </c>
      <c r="G3699" t="s">
        <v>14</v>
      </c>
      <c r="H3699" t="s">
        <v>15</v>
      </c>
      <c r="I3699">
        <v>4.5999999999999996</v>
      </c>
      <c r="J3699">
        <v>16</v>
      </c>
      <c r="K3699">
        <v>3</v>
      </c>
    </row>
    <row r="3700" spans="1:11" x14ac:dyDescent="0.35">
      <c r="A3700">
        <v>3699</v>
      </c>
      <c r="B3700">
        <v>63</v>
      </c>
      <c r="C3700" t="s">
        <v>16</v>
      </c>
      <c r="D3700" t="s">
        <v>33</v>
      </c>
      <c r="E3700" t="s">
        <v>40</v>
      </c>
      <c r="F3700">
        <v>173.53</v>
      </c>
      <c r="G3700" t="s">
        <v>19</v>
      </c>
      <c r="H3700" t="s">
        <v>15</v>
      </c>
      <c r="I3700">
        <v>4.4000000000000004</v>
      </c>
      <c r="J3700">
        <v>16</v>
      </c>
      <c r="K3700">
        <v>3</v>
      </c>
    </row>
    <row r="3701" spans="1:11" x14ac:dyDescent="0.35">
      <c r="A3701">
        <v>3700</v>
      </c>
      <c r="B3701">
        <v>46</v>
      </c>
      <c r="C3701" t="s">
        <v>16</v>
      </c>
      <c r="D3701" t="s">
        <v>22</v>
      </c>
      <c r="E3701" t="s">
        <v>23</v>
      </c>
      <c r="F3701">
        <v>162.93</v>
      </c>
      <c r="G3701" t="s">
        <v>14</v>
      </c>
      <c r="H3701" t="s">
        <v>15</v>
      </c>
      <c r="I3701">
        <v>4.7</v>
      </c>
      <c r="J3701">
        <v>18</v>
      </c>
      <c r="K3701">
        <v>4</v>
      </c>
    </row>
    <row r="3702" spans="1:11" x14ac:dyDescent="0.35">
      <c r="A3702">
        <v>3701</v>
      </c>
      <c r="B3702">
        <v>35</v>
      </c>
      <c r="C3702" t="s">
        <v>11</v>
      </c>
      <c r="D3702" t="s">
        <v>29</v>
      </c>
      <c r="E3702" t="s">
        <v>55</v>
      </c>
      <c r="F3702">
        <v>75.510000000000005</v>
      </c>
      <c r="G3702" t="s">
        <v>19</v>
      </c>
      <c r="H3702" t="s">
        <v>15</v>
      </c>
      <c r="I3702">
        <v>4.0999999999999996</v>
      </c>
      <c r="J3702">
        <v>17</v>
      </c>
      <c r="K3702">
        <v>6</v>
      </c>
    </row>
    <row r="3703" spans="1:11" x14ac:dyDescent="0.35">
      <c r="A3703">
        <v>3702</v>
      </c>
      <c r="B3703">
        <v>42</v>
      </c>
      <c r="C3703" t="s">
        <v>11</v>
      </c>
      <c r="D3703" t="s">
        <v>33</v>
      </c>
      <c r="E3703" t="s">
        <v>40</v>
      </c>
      <c r="F3703">
        <v>148.02000000000001</v>
      </c>
      <c r="G3703" t="s">
        <v>24</v>
      </c>
      <c r="H3703" t="s">
        <v>15</v>
      </c>
      <c r="I3703">
        <v>2.7</v>
      </c>
      <c r="J3703">
        <v>12</v>
      </c>
      <c r="K3703">
        <v>6</v>
      </c>
    </row>
    <row r="3704" spans="1:11" x14ac:dyDescent="0.35">
      <c r="A3704">
        <v>3703</v>
      </c>
      <c r="B3704">
        <v>47</v>
      </c>
      <c r="C3704" t="s">
        <v>11</v>
      </c>
      <c r="D3704" t="s">
        <v>29</v>
      </c>
      <c r="E3704" t="s">
        <v>51</v>
      </c>
      <c r="F3704">
        <v>31.89</v>
      </c>
      <c r="G3704" t="s">
        <v>24</v>
      </c>
      <c r="H3704" t="s">
        <v>37</v>
      </c>
      <c r="I3704">
        <v>4.3</v>
      </c>
      <c r="J3704">
        <v>13</v>
      </c>
      <c r="K3704">
        <v>4</v>
      </c>
    </row>
    <row r="3705" spans="1:11" x14ac:dyDescent="0.35">
      <c r="A3705">
        <v>3704</v>
      </c>
      <c r="B3705">
        <v>62</v>
      </c>
      <c r="C3705" t="s">
        <v>16</v>
      </c>
      <c r="D3705" t="s">
        <v>22</v>
      </c>
      <c r="E3705" t="s">
        <v>43</v>
      </c>
      <c r="F3705">
        <v>36.04</v>
      </c>
      <c r="G3705" t="s">
        <v>24</v>
      </c>
      <c r="H3705" t="s">
        <v>37</v>
      </c>
      <c r="I3705">
        <v>3.7</v>
      </c>
      <c r="J3705">
        <v>18</v>
      </c>
      <c r="K3705">
        <v>4</v>
      </c>
    </row>
    <row r="3706" spans="1:11" x14ac:dyDescent="0.35">
      <c r="A3706">
        <v>3705</v>
      </c>
      <c r="B3706">
        <v>47</v>
      </c>
      <c r="C3706" t="s">
        <v>11</v>
      </c>
      <c r="D3706" t="s">
        <v>29</v>
      </c>
      <c r="E3706" t="s">
        <v>51</v>
      </c>
      <c r="F3706">
        <v>110.64</v>
      </c>
      <c r="G3706" t="s">
        <v>24</v>
      </c>
      <c r="H3706" t="s">
        <v>15</v>
      </c>
      <c r="I3706">
        <v>4.0999999999999996</v>
      </c>
      <c r="J3706">
        <v>10</v>
      </c>
      <c r="K3706">
        <v>5</v>
      </c>
    </row>
    <row r="3707" spans="1:11" x14ac:dyDescent="0.35">
      <c r="A3707">
        <v>3706</v>
      </c>
      <c r="B3707">
        <v>70</v>
      </c>
      <c r="C3707" t="s">
        <v>11</v>
      </c>
      <c r="D3707" t="s">
        <v>41</v>
      </c>
      <c r="E3707" t="s">
        <v>44</v>
      </c>
      <c r="F3707">
        <v>166.68</v>
      </c>
      <c r="G3707" t="s">
        <v>19</v>
      </c>
      <c r="H3707" t="s">
        <v>15</v>
      </c>
      <c r="I3707">
        <v>3.5</v>
      </c>
      <c r="J3707">
        <v>2</v>
      </c>
      <c r="K3707">
        <v>1</v>
      </c>
    </row>
    <row r="3708" spans="1:11" x14ac:dyDescent="0.35">
      <c r="A3708">
        <v>3707</v>
      </c>
      <c r="B3708">
        <v>56</v>
      </c>
      <c r="C3708" t="s">
        <v>11</v>
      </c>
      <c r="D3708" t="s">
        <v>33</v>
      </c>
      <c r="E3708" t="s">
        <v>34</v>
      </c>
      <c r="F3708">
        <v>239.19</v>
      </c>
      <c r="G3708" t="s">
        <v>19</v>
      </c>
      <c r="H3708" t="s">
        <v>15</v>
      </c>
      <c r="I3708">
        <v>5</v>
      </c>
      <c r="J3708">
        <v>20</v>
      </c>
      <c r="K3708">
        <v>5</v>
      </c>
    </row>
    <row r="3709" spans="1:11" x14ac:dyDescent="0.35">
      <c r="A3709">
        <v>3708</v>
      </c>
      <c r="B3709">
        <v>38</v>
      </c>
      <c r="C3709" t="s">
        <v>16</v>
      </c>
      <c r="D3709" t="s">
        <v>17</v>
      </c>
      <c r="E3709" t="s">
        <v>18</v>
      </c>
      <c r="F3709">
        <v>51.09</v>
      </c>
      <c r="G3709" t="s">
        <v>31</v>
      </c>
      <c r="H3709" t="s">
        <v>37</v>
      </c>
      <c r="I3709">
        <v>4.5999999999999996</v>
      </c>
      <c r="J3709">
        <v>6</v>
      </c>
      <c r="K3709">
        <v>3</v>
      </c>
    </row>
    <row r="3710" spans="1:11" x14ac:dyDescent="0.35">
      <c r="A3710">
        <v>3709</v>
      </c>
      <c r="B3710">
        <v>67</v>
      </c>
      <c r="C3710" t="s">
        <v>16</v>
      </c>
      <c r="D3710" t="s">
        <v>27</v>
      </c>
      <c r="E3710" t="s">
        <v>49</v>
      </c>
      <c r="F3710">
        <v>2033.97</v>
      </c>
      <c r="G3710" t="s">
        <v>14</v>
      </c>
      <c r="H3710" t="s">
        <v>15</v>
      </c>
      <c r="I3710">
        <v>4.3</v>
      </c>
      <c r="J3710">
        <v>20</v>
      </c>
      <c r="K3710">
        <v>5</v>
      </c>
    </row>
    <row r="3711" spans="1:11" x14ac:dyDescent="0.35">
      <c r="A3711">
        <v>3710</v>
      </c>
      <c r="B3711">
        <v>32</v>
      </c>
      <c r="C3711" t="s">
        <v>11</v>
      </c>
      <c r="D3711" t="s">
        <v>29</v>
      </c>
      <c r="E3711" t="s">
        <v>30</v>
      </c>
      <c r="F3711">
        <v>25.5</v>
      </c>
      <c r="G3711" t="s">
        <v>19</v>
      </c>
      <c r="H3711" t="s">
        <v>15</v>
      </c>
      <c r="I3711">
        <v>4.3</v>
      </c>
      <c r="J3711">
        <v>21</v>
      </c>
      <c r="K3711">
        <v>8</v>
      </c>
    </row>
    <row r="3712" spans="1:11" x14ac:dyDescent="0.35">
      <c r="A3712">
        <v>3711</v>
      </c>
      <c r="B3712">
        <v>41</v>
      </c>
      <c r="C3712" t="s">
        <v>11</v>
      </c>
      <c r="D3712" t="s">
        <v>33</v>
      </c>
      <c r="E3712" t="s">
        <v>38</v>
      </c>
      <c r="F3712">
        <v>194.63</v>
      </c>
      <c r="G3712" t="s">
        <v>14</v>
      </c>
      <c r="H3712" t="s">
        <v>15</v>
      </c>
      <c r="I3712">
        <v>3.6</v>
      </c>
      <c r="J3712">
        <v>15</v>
      </c>
      <c r="K3712">
        <v>5</v>
      </c>
    </row>
    <row r="3713" spans="1:11" x14ac:dyDescent="0.35">
      <c r="A3713">
        <v>3712</v>
      </c>
      <c r="B3713">
        <v>65</v>
      </c>
      <c r="C3713" t="s">
        <v>16</v>
      </c>
      <c r="D3713" t="s">
        <v>25</v>
      </c>
      <c r="E3713" t="s">
        <v>57</v>
      </c>
      <c r="F3713">
        <v>56.5</v>
      </c>
      <c r="G3713" t="s">
        <v>31</v>
      </c>
      <c r="H3713" t="s">
        <v>15</v>
      </c>
      <c r="I3713">
        <v>3.4</v>
      </c>
      <c r="J3713">
        <v>20</v>
      </c>
      <c r="K3713">
        <v>5</v>
      </c>
    </row>
    <row r="3714" spans="1:11" x14ac:dyDescent="0.35">
      <c r="A3714">
        <v>3713</v>
      </c>
      <c r="B3714">
        <v>46</v>
      </c>
      <c r="C3714" t="s">
        <v>11</v>
      </c>
      <c r="D3714" t="s">
        <v>12</v>
      </c>
      <c r="E3714" t="s">
        <v>56</v>
      </c>
      <c r="F3714">
        <v>118.52</v>
      </c>
      <c r="G3714" t="s">
        <v>19</v>
      </c>
      <c r="H3714" t="s">
        <v>15</v>
      </c>
      <c r="I3714">
        <v>5</v>
      </c>
      <c r="J3714">
        <v>26</v>
      </c>
      <c r="K3714">
        <v>8</v>
      </c>
    </row>
    <row r="3715" spans="1:11" x14ac:dyDescent="0.35">
      <c r="A3715">
        <v>3714</v>
      </c>
      <c r="B3715">
        <v>50</v>
      </c>
      <c r="C3715" t="s">
        <v>16</v>
      </c>
      <c r="D3715" t="s">
        <v>25</v>
      </c>
      <c r="E3715" t="s">
        <v>57</v>
      </c>
      <c r="F3715">
        <v>30.62</v>
      </c>
      <c r="G3715" t="s">
        <v>14</v>
      </c>
      <c r="H3715" t="s">
        <v>15</v>
      </c>
      <c r="I3715">
        <v>4.2</v>
      </c>
      <c r="J3715">
        <v>26</v>
      </c>
      <c r="K3715">
        <v>8</v>
      </c>
    </row>
    <row r="3716" spans="1:11" x14ac:dyDescent="0.35">
      <c r="A3716">
        <v>3715</v>
      </c>
      <c r="B3716">
        <v>21</v>
      </c>
      <c r="C3716" t="s">
        <v>11</v>
      </c>
      <c r="D3716" t="s">
        <v>33</v>
      </c>
      <c r="E3716" t="s">
        <v>38</v>
      </c>
      <c r="F3716">
        <v>225.81</v>
      </c>
      <c r="G3716" t="s">
        <v>24</v>
      </c>
      <c r="H3716" t="s">
        <v>15</v>
      </c>
      <c r="I3716">
        <v>3.2</v>
      </c>
      <c r="J3716">
        <v>17</v>
      </c>
      <c r="K3716">
        <v>6</v>
      </c>
    </row>
    <row r="3717" spans="1:11" x14ac:dyDescent="0.35">
      <c r="A3717">
        <v>3716</v>
      </c>
      <c r="B3717">
        <v>38</v>
      </c>
      <c r="C3717" t="s">
        <v>16</v>
      </c>
      <c r="D3717" t="s">
        <v>20</v>
      </c>
      <c r="E3717" t="s">
        <v>36</v>
      </c>
      <c r="F3717">
        <v>42.08</v>
      </c>
      <c r="G3717" t="s">
        <v>14</v>
      </c>
      <c r="H3717" t="s">
        <v>37</v>
      </c>
      <c r="I3717">
        <v>4.0999999999999996</v>
      </c>
      <c r="J3717">
        <v>6</v>
      </c>
      <c r="K3717">
        <v>3</v>
      </c>
    </row>
    <row r="3718" spans="1:11" x14ac:dyDescent="0.35">
      <c r="A3718">
        <v>3717</v>
      </c>
      <c r="B3718">
        <v>22</v>
      </c>
      <c r="C3718" t="s">
        <v>16</v>
      </c>
      <c r="D3718" t="s">
        <v>20</v>
      </c>
      <c r="E3718" t="s">
        <v>39</v>
      </c>
      <c r="F3718">
        <v>78.2</v>
      </c>
      <c r="G3718" t="s">
        <v>19</v>
      </c>
      <c r="H3718" t="s">
        <v>37</v>
      </c>
      <c r="I3718">
        <v>4.0999999999999996</v>
      </c>
      <c r="J3718">
        <v>15</v>
      </c>
      <c r="K3718">
        <v>5</v>
      </c>
    </row>
    <row r="3719" spans="1:11" x14ac:dyDescent="0.35">
      <c r="A3719">
        <v>3718</v>
      </c>
      <c r="B3719">
        <v>51</v>
      </c>
      <c r="C3719" t="s">
        <v>16</v>
      </c>
      <c r="D3719" t="s">
        <v>20</v>
      </c>
      <c r="E3719" t="s">
        <v>36</v>
      </c>
      <c r="F3719">
        <v>238.8</v>
      </c>
      <c r="G3719" t="s">
        <v>24</v>
      </c>
      <c r="H3719" t="s">
        <v>15</v>
      </c>
      <c r="I3719">
        <v>3.2</v>
      </c>
      <c r="J3719">
        <v>10</v>
      </c>
      <c r="K3719">
        <v>5</v>
      </c>
    </row>
    <row r="3720" spans="1:11" x14ac:dyDescent="0.35">
      <c r="A3720">
        <v>3719</v>
      </c>
      <c r="B3720">
        <v>29</v>
      </c>
      <c r="C3720" t="s">
        <v>11</v>
      </c>
      <c r="D3720" t="s">
        <v>33</v>
      </c>
      <c r="E3720" t="s">
        <v>34</v>
      </c>
      <c r="F3720">
        <v>232.13</v>
      </c>
      <c r="G3720" t="s">
        <v>14</v>
      </c>
      <c r="H3720" t="s">
        <v>15</v>
      </c>
      <c r="I3720">
        <v>3.8</v>
      </c>
      <c r="J3720">
        <v>16</v>
      </c>
      <c r="K3720">
        <v>8</v>
      </c>
    </row>
    <row r="3721" spans="1:11" x14ac:dyDescent="0.35">
      <c r="A3721">
        <v>3720</v>
      </c>
      <c r="B3721">
        <v>43</v>
      </c>
      <c r="C3721" t="s">
        <v>16</v>
      </c>
      <c r="D3721" t="s">
        <v>17</v>
      </c>
      <c r="E3721" t="s">
        <v>18</v>
      </c>
      <c r="F3721">
        <v>63.05</v>
      </c>
      <c r="G3721" t="s">
        <v>24</v>
      </c>
      <c r="H3721" t="s">
        <v>15</v>
      </c>
      <c r="I3721">
        <v>3.6</v>
      </c>
      <c r="J3721">
        <v>9</v>
      </c>
      <c r="K3721">
        <v>2</v>
      </c>
    </row>
    <row r="3722" spans="1:11" x14ac:dyDescent="0.35">
      <c r="A3722">
        <v>3721</v>
      </c>
      <c r="B3722">
        <v>58</v>
      </c>
      <c r="C3722" t="s">
        <v>16</v>
      </c>
      <c r="D3722" t="s">
        <v>20</v>
      </c>
      <c r="E3722" t="s">
        <v>21</v>
      </c>
      <c r="F3722">
        <v>103.55</v>
      </c>
      <c r="G3722" t="s">
        <v>14</v>
      </c>
      <c r="H3722" t="s">
        <v>15</v>
      </c>
      <c r="I3722">
        <v>3.3</v>
      </c>
      <c r="J3722">
        <v>11</v>
      </c>
      <c r="K3722">
        <v>3</v>
      </c>
    </row>
    <row r="3723" spans="1:11" x14ac:dyDescent="0.35">
      <c r="A3723">
        <v>3722</v>
      </c>
      <c r="B3723">
        <v>62</v>
      </c>
      <c r="C3723" t="s">
        <v>16</v>
      </c>
      <c r="D3723" t="s">
        <v>25</v>
      </c>
      <c r="E3723" t="s">
        <v>54</v>
      </c>
      <c r="F3723">
        <v>21.14</v>
      </c>
      <c r="G3723" t="s">
        <v>14</v>
      </c>
      <c r="H3723" t="s">
        <v>37</v>
      </c>
      <c r="I3723">
        <v>4.0999999999999996</v>
      </c>
      <c r="J3723">
        <v>11</v>
      </c>
      <c r="K3723">
        <v>3</v>
      </c>
    </row>
    <row r="3724" spans="1:11" x14ac:dyDescent="0.35">
      <c r="A3724">
        <v>3723</v>
      </c>
      <c r="B3724">
        <v>69</v>
      </c>
      <c r="C3724" t="s">
        <v>11</v>
      </c>
      <c r="D3724" t="s">
        <v>12</v>
      </c>
      <c r="E3724" t="s">
        <v>50</v>
      </c>
      <c r="F3724">
        <v>175.97</v>
      </c>
      <c r="G3724" t="s">
        <v>24</v>
      </c>
      <c r="H3724" t="s">
        <v>15</v>
      </c>
      <c r="I3724">
        <v>3.4</v>
      </c>
      <c r="J3724">
        <v>8</v>
      </c>
      <c r="K3724">
        <v>4</v>
      </c>
    </row>
    <row r="3725" spans="1:11" x14ac:dyDescent="0.35">
      <c r="A3725">
        <v>3724</v>
      </c>
      <c r="B3725">
        <v>37</v>
      </c>
      <c r="C3725" t="s">
        <v>11</v>
      </c>
      <c r="D3725" t="s">
        <v>12</v>
      </c>
      <c r="E3725" t="s">
        <v>50</v>
      </c>
      <c r="F3725">
        <v>175.84</v>
      </c>
      <c r="G3725" t="s">
        <v>19</v>
      </c>
      <c r="H3725" t="s">
        <v>15</v>
      </c>
      <c r="I3725">
        <v>3.9</v>
      </c>
      <c r="J3725">
        <v>15</v>
      </c>
      <c r="K3725">
        <v>5</v>
      </c>
    </row>
    <row r="3726" spans="1:11" x14ac:dyDescent="0.35">
      <c r="A3726">
        <v>3725</v>
      </c>
      <c r="B3726">
        <v>44</v>
      </c>
      <c r="C3726" t="s">
        <v>16</v>
      </c>
      <c r="D3726" t="s">
        <v>33</v>
      </c>
      <c r="E3726" t="s">
        <v>38</v>
      </c>
      <c r="F3726">
        <v>199.68</v>
      </c>
      <c r="G3726" t="s">
        <v>31</v>
      </c>
      <c r="H3726" t="s">
        <v>15</v>
      </c>
      <c r="I3726">
        <v>4.5999999999999996</v>
      </c>
      <c r="J3726">
        <v>12</v>
      </c>
      <c r="K3726">
        <v>6</v>
      </c>
    </row>
    <row r="3727" spans="1:11" x14ac:dyDescent="0.35">
      <c r="A3727">
        <v>3726</v>
      </c>
      <c r="B3727">
        <v>56</v>
      </c>
      <c r="C3727" t="s">
        <v>11</v>
      </c>
      <c r="D3727" t="s">
        <v>12</v>
      </c>
      <c r="E3727" t="s">
        <v>56</v>
      </c>
      <c r="F3727">
        <v>121.61</v>
      </c>
      <c r="G3727" t="s">
        <v>24</v>
      </c>
      <c r="H3727" t="s">
        <v>15</v>
      </c>
      <c r="I3727">
        <v>3.8</v>
      </c>
      <c r="J3727">
        <v>8</v>
      </c>
      <c r="K3727">
        <v>4</v>
      </c>
    </row>
    <row r="3728" spans="1:11" x14ac:dyDescent="0.35">
      <c r="A3728">
        <v>3727</v>
      </c>
      <c r="B3728">
        <v>35</v>
      </c>
      <c r="C3728" t="s">
        <v>16</v>
      </c>
      <c r="D3728" t="s">
        <v>27</v>
      </c>
      <c r="E3728" t="s">
        <v>32</v>
      </c>
      <c r="F3728">
        <v>2019.58</v>
      </c>
      <c r="G3728" t="s">
        <v>14</v>
      </c>
      <c r="H3728" t="s">
        <v>15</v>
      </c>
      <c r="I3728">
        <v>3</v>
      </c>
      <c r="J3728">
        <v>17</v>
      </c>
      <c r="K3728">
        <v>6</v>
      </c>
    </row>
    <row r="3729" spans="1:11" x14ac:dyDescent="0.35">
      <c r="A3729">
        <v>3728</v>
      </c>
      <c r="B3729">
        <v>35</v>
      </c>
      <c r="C3729" t="s">
        <v>11</v>
      </c>
      <c r="D3729" t="s">
        <v>29</v>
      </c>
      <c r="E3729" t="s">
        <v>55</v>
      </c>
      <c r="F3729">
        <v>53.04</v>
      </c>
      <c r="G3729" t="s">
        <v>19</v>
      </c>
      <c r="H3729" t="s">
        <v>15</v>
      </c>
      <c r="I3729">
        <v>3.5</v>
      </c>
      <c r="J3729">
        <v>20</v>
      </c>
      <c r="K3729">
        <v>5</v>
      </c>
    </row>
    <row r="3730" spans="1:11" x14ac:dyDescent="0.35">
      <c r="A3730">
        <v>3729</v>
      </c>
      <c r="B3730">
        <v>62</v>
      </c>
      <c r="C3730" t="s">
        <v>11</v>
      </c>
      <c r="D3730" t="s">
        <v>41</v>
      </c>
      <c r="E3730" t="s">
        <v>45</v>
      </c>
      <c r="F3730">
        <v>149.16</v>
      </c>
      <c r="G3730" t="s">
        <v>14</v>
      </c>
      <c r="H3730" t="s">
        <v>15</v>
      </c>
      <c r="I3730">
        <v>3.5</v>
      </c>
      <c r="J3730">
        <v>20</v>
      </c>
      <c r="K3730">
        <v>5</v>
      </c>
    </row>
    <row r="3731" spans="1:11" x14ac:dyDescent="0.35">
      <c r="A3731">
        <v>3730</v>
      </c>
      <c r="B3731">
        <v>48</v>
      </c>
      <c r="C3731" t="s">
        <v>11</v>
      </c>
      <c r="D3731" t="s">
        <v>33</v>
      </c>
      <c r="E3731" t="s">
        <v>38</v>
      </c>
      <c r="F3731">
        <v>165.93</v>
      </c>
      <c r="G3731" t="s">
        <v>14</v>
      </c>
      <c r="H3731" t="s">
        <v>15</v>
      </c>
      <c r="I3731">
        <v>3</v>
      </c>
      <c r="J3731">
        <v>16</v>
      </c>
      <c r="K3731">
        <v>3</v>
      </c>
    </row>
    <row r="3732" spans="1:11" x14ac:dyDescent="0.35">
      <c r="A3732">
        <v>3731</v>
      </c>
      <c r="B3732">
        <v>38</v>
      </c>
      <c r="C3732" t="s">
        <v>11</v>
      </c>
      <c r="D3732" t="s">
        <v>33</v>
      </c>
      <c r="E3732" t="s">
        <v>38</v>
      </c>
      <c r="F3732">
        <v>138.47</v>
      </c>
      <c r="G3732" t="s">
        <v>14</v>
      </c>
      <c r="H3732" t="s">
        <v>15</v>
      </c>
      <c r="I3732">
        <v>4.0999999999999996</v>
      </c>
      <c r="J3732">
        <v>20</v>
      </c>
      <c r="K3732">
        <v>5</v>
      </c>
    </row>
    <row r="3733" spans="1:11" x14ac:dyDescent="0.35">
      <c r="A3733">
        <v>3732</v>
      </c>
      <c r="B3733">
        <v>49</v>
      </c>
      <c r="C3733" t="s">
        <v>11</v>
      </c>
      <c r="D3733" t="s">
        <v>41</v>
      </c>
      <c r="E3733" t="s">
        <v>42</v>
      </c>
      <c r="F3733">
        <v>61.75</v>
      </c>
      <c r="G3733" t="s">
        <v>31</v>
      </c>
      <c r="H3733" t="s">
        <v>37</v>
      </c>
      <c r="I3733">
        <v>2.9</v>
      </c>
      <c r="J3733">
        <v>4</v>
      </c>
      <c r="K3733">
        <v>2</v>
      </c>
    </row>
    <row r="3734" spans="1:11" x14ac:dyDescent="0.35">
      <c r="A3734">
        <v>3733</v>
      </c>
      <c r="B3734">
        <v>25</v>
      </c>
      <c r="C3734" t="s">
        <v>16</v>
      </c>
      <c r="D3734" t="s">
        <v>17</v>
      </c>
      <c r="E3734" t="s">
        <v>35</v>
      </c>
      <c r="F3734">
        <v>186.83</v>
      </c>
      <c r="G3734" t="s">
        <v>31</v>
      </c>
      <c r="H3734" t="s">
        <v>15</v>
      </c>
      <c r="I3734">
        <v>3.3</v>
      </c>
      <c r="J3734">
        <v>20</v>
      </c>
      <c r="K3734">
        <v>5</v>
      </c>
    </row>
    <row r="3735" spans="1:11" x14ac:dyDescent="0.35">
      <c r="A3735">
        <v>3734</v>
      </c>
      <c r="B3735">
        <v>32</v>
      </c>
      <c r="C3735" t="s">
        <v>11</v>
      </c>
      <c r="D3735" t="s">
        <v>22</v>
      </c>
      <c r="E3735" t="s">
        <v>43</v>
      </c>
      <c r="F3735">
        <v>161.13</v>
      </c>
      <c r="G3735" t="s">
        <v>14</v>
      </c>
      <c r="H3735" t="s">
        <v>15</v>
      </c>
      <c r="I3735">
        <v>4.5999999999999996</v>
      </c>
      <c r="J3735">
        <v>24</v>
      </c>
      <c r="K3735">
        <v>7</v>
      </c>
    </row>
    <row r="3736" spans="1:11" x14ac:dyDescent="0.35">
      <c r="A3736">
        <v>3735</v>
      </c>
      <c r="B3736">
        <v>24</v>
      </c>
      <c r="C3736" t="s">
        <v>11</v>
      </c>
      <c r="D3736" t="s">
        <v>25</v>
      </c>
      <c r="E3736" t="s">
        <v>26</v>
      </c>
      <c r="F3736">
        <v>34.75</v>
      </c>
      <c r="G3736" t="s">
        <v>24</v>
      </c>
      <c r="H3736" t="s">
        <v>37</v>
      </c>
      <c r="I3736">
        <v>3.1</v>
      </c>
      <c r="J3736">
        <v>20</v>
      </c>
      <c r="K3736">
        <v>5</v>
      </c>
    </row>
    <row r="3737" spans="1:11" x14ac:dyDescent="0.35">
      <c r="A3737">
        <v>3736</v>
      </c>
      <c r="B3737">
        <v>52</v>
      </c>
      <c r="C3737" t="s">
        <v>16</v>
      </c>
      <c r="D3737" t="s">
        <v>20</v>
      </c>
      <c r="E3737" t="s">
        <v>39</v>
      </c>
      <c r="F3737">
        <v>40.54</v>
      </c>
      <c r="G3737" t="s">
        <v>14</v>
      </c>
      <c r="H3737" t="s">
        <v>15</v>
      </c>
      <c r="I3737">
        <v>5</v>
      </c>
      <c r="J3737">
        <v>15</v>
      </c>
      <c r="K3737">
        <v>5</v>
      </c>
    </row>
    <row r="3738" spans="1:11" x14ac:dyDescent="0.35">
      <c r="A3738">
        <v>3737</v>
      </c>
      <c r="B3738">
        <v>38</v>
      </c>
      <c r="C3738" t="s">
        <v>16</v>
      </c>
      <c r="D3738" t="s">
        <v>17</v>
      </c>
      <c r="E3738" t="s">
        <v>35</v>
      </c>
      <c r="F3738">
        <v>156.15</v>
      </c>
      <c r="G3738" t="s">
        <v>24</v>
      </c>
      <c r="H3738" t="s">
        <v>15</v>
      </c>
      <c r="I3738">
        <v>4.9000000000000004</v>
      </c>
      <c r="J3738">
        <v>18</v>
      </c>
      <c r="K3738">
        <v>4</v>
      </c>
    </row>
    <row r="3739" spans="1:11" x14ac:dyDescent="0.35">
      <c r="A3739">
        <v>3738</v>
      </c>
      <c r="B3739">
        <v>30</v>
      </c>
      <c r="C3739" t="s">
        <v>11</v>
      </c>
      <c r="D3739" t="s">
        <v>41</v>
      </c>
      <c r="E3739" t="s">
        <v>45</v>
      </c>
      <c r="F3739">
        <v>53.27</v>
      </c>
      <c r="G3739" t="s">
        <v>14</v>
      </c>
      <c r="H3739" t="s">
        <v>37</v>
      </c>
      <c r="I3739">
        <v>3.2</v>
      </c>
      <c r="J3739">
        <v>22</v>
      </c>
      <c r="K3739">
        <v>6</v>
      </c>
    </row>
    <row r="3740" spans="1:11" x14ac:dyDescent="0.35">
      <c r="A3740">
        <v>3739</v>
      </c>
      <c r="B3740">
        <v>70</v>
      </c>
      <c r="C3740" t="s">
        <v>11</v>
      </c>
      <c r="D3740" t="s">
        <v>41</v>
      </c>
      <c r="E3740" t="s">
        <v>44</v>
      </c>
      <c r="F3740">
        <v>90.81</v>
      </c>
      <c r="G3740" t="s">
        <v>19</v>
      </c>
      <c r="H3740" t="s">
        <v>37</v>
      </c>
      <c r="I3740">
        <v>4</v>
      </c>
      <c r="J3740">
        <v>8</v>
      </c>
      <c r="K3740">
        <v>4</v>
      </c>
    </row>
    <row r="3741" spans="1:11" x14ac:dyDescent="0.35">
      <c r="A3741">
        <v>3740</v>
      </c>
      <c r="B3741">
        <v>23</v>
      </c>
      <c r="C3741" t="s">
        <v>11</v>
      </c>
      <c r="D3741" t="s">
        <v>41</v>
      </c>
      <c r="E3741" t="s">
        <v>45</v>
      </c>
      <c r="F3741">
        <v>101.78</v>
      </c>
      <c r="G3741" t="s">
        <v>24</v>
      </c>
      <c r="H3741" t="s">
        <v>15</v>
      </c>
      <c r="I3741">
        <v>2.4</v>
      </c>
      <c r="J3741">
        <v>16</v>
      </c>
      <c r="K3741">
        <v>3</v>
      </c>
    </row>
    <row r="3742" spans="1:11" x14ac:dyDescent="0.35">
      <c r="A3742">
        <v>3741</v>
      </c>
      <c r="B3742">
        <v>52</v>
      </c>
      <c r="C3742" t="s">
        <v>16</v>
      </c>
      <c r="D3742" t="s">
        <v>33</v>
      </c>
      <c r="E3742" t="s">
        <v>34</v>
      </c>
      <c r="F3742">
        <v>83.51</v>
      </c>
      <c r="G3742" t="s">
        <v>14</v>
      </c>
      <c r="H3742" t="s">
        <v>15</v>
      </c>
      <c r="I3742">
        <v>3.5</v>
      </c>
      <c r="J3742">
        <v>15</v>
      </c>
      <c r="K3742">
        <v>5</v>
      </c>
    </row>
    <row r="3743" spans="1:11" x14ac:dyDescent="0.35">
      <c r="A3743">
        <v>3742</v>
      </c>
      <c r="B3743">
        <v>35</v>
      </c>
      <c r="C3743" t="s">
        <v>11</v>
      </c>
      <c r="D3743" t="s">
        <v>41</v>
      </c>
      <c r="E3743" t="s">
        <v>45</v>
      </c>
      <c r="F3743">
        <v>156.25</v>
      </c>
      <c r="G3743" t="s">
        <v>31</v>
      </c>
      <c r="H3743" t="s">
        <v>15</v>
      </c>
      <c r="I3743">
        <v>4.0999999999999996</v>
      </c>
      <c r="J3743">
        <v>15</v>
      </c>
      <c r="K3743">
        <v>5</v>
      </c>
    </row>
    <row r="3744" spans="1:11" x14ac:dyDescent="0.35">
      <c r="A3744">
        <v>3743</v>
      </c>
      <c r="B3744">
        <v>61</v>
      </c>
      <c r="C3744" t="s">
        <v>11</v>
      </c>
      <c r="D3744" t="s">
        <v>33</v>
      </c>
      <c r="E3744" t="s">
        <v>38</v>
      </c>
      <c r="F3744">
        <v>240.97</v>
      </c>
      <c r="G3744" t="s">
        <v>19</v>
      </c>
      <c r="H3744" t="s">
        <v>15</v>
      </c>
      <c r="I3744">
        <v>4</v>
      </c>
      <c r="J3744">
        <v>26</v>
      </c>
      <c r="K3744">
        <v>8</v>
      </c>
    </row>
    <row r="3745" spans="1:11" x14ac:dyDescent="0.35">
      <c r="A3745">
        <v>3744</v>
      </c>
      <c r="B3745">
        <v>25</v>
      </c>
      <c r="C3745" t="s">
        <v>11</v>
      </c>
      <c r="D3745" t="s">
        <v>33</v>
      </c>
      <c r="E3745" t="s">
        <v>40</v>
      </c>
      <c r="F3745">
        <v>161.52000000000001</v>
      </c>
      <c r="G3745" t="s">
        <v>31</v>
      </c>
      <c r="H3745" t="s">
        <v>15</v>
      </c>
      <c r="I3745">
        <v>4.2</v>
      </c>
      <c r="J3745">
        <v>10</v>
      </c>
      <c r="K3745">
        <v>5</v>
      </c>
    </row>
    <row r="3746" spans="1:11" x14ac:dyDescent="0.35">
      <c r="A3746">
        <v>3745</v>
      </c>
      <c r="B3746">
        <v>60</v>
      </c>
      <c r="C3746" t="s">
        <v>16</v>
      </c>
      <c r="D3746" t="s">
        <v>22</v>
      </c>
      <c r="E3746" t="s">
        <v>43</v>
      </c>
      <c r="F3746">
        <v>52.07</v>
      </c>
      <c r="G3746" t="s">
        <v>24</v>
      </c>
      <c r="H3746" t="s">
        <v>15</v>
      </c>
      <c r="I3746">
        <v>5</v>
      </c>
      <c r="J3746">
        <v>18</v>
      </c>
      <c r="K3746">
        <v>4</v>
      </c>
    </row>
    <row r="3747" spans="1:11" x14ac:dyDescent="0.35">
      <c r="A3747">
        <v>3746</v>
      </c>
      <c r="B3747">
        <v>21</v>
      </c>
      <c r="C3747" t="s">
        <v>11</v>
      </c>
      <c r="D3747" t="s">
        <v>29</v>
      </c>
      <c r="E3747" t="s">
        <v>55</v>
      </c>
      <c r="F3747">
        <v>41.3</v>
      </c>
      <c r="G3747" t="s">
        <v>14</v>
      </c>
      <c r="H3747" t="s">
        <v>37</v>
      </c>
      <c r="I3747">
        <v>3.8</v>
      </c>
      <c r="J3747">
        <v>8</v>
      </c>
      <c r="K3747">
        <v>4</v>
      </c>
    </row>
    <row r="3748" spans="1:11" x14ac:dyDescent="0.35">
      <c r="A3748">
        <v>3747</v>
      </c>
      <c r="B3748">
        <v>59</v>
      </c>
      <c r="C3748" t="s">
        <v>11</v>
      </c>
      <c r="D3748" t="s">
        <v>12</v>
      </c>
      <c r="E3748" t="s">
        <v>50</v>
      </c>
      <c r="F3748">
        <v>77.78</v>
      </c>
      <c r="G3748" t="s">
        <v>31</v>
      </c>
      <c r="H3748" t="s">
        <v>37</v>
      </c>
      <c r="I3748">
        <v>4</v>
      </c>
      <c r="J3748">
        <v>13</v>
      </c>
      <c r="K3748">
        <v>4</v>
      </c>
    </row>
    <row r="3749" spans="1:11" x14ac:dyDescent="0.35">
      <c r="A3749">
        <v>3748</v>
      </c>
      <c r="B3749">
        <v>51</v>
      </c>
      <c r="C3749" t="s">
        <v>11</v>
      </c>
      <c r="D3749" t="s">
        <v>22</v>
      </c>
      <c r="E3749" t="s">
        <v>23</v>
      </c>
      <c r="F3749">
        <v>74.72</v>
      </c>
      <c r="G3749" t="s">
        <v>19</v>
      </c>
      <c r="H3749" t="s">
        <v>15</v>
      </c>
      <c r="I3749">
        <v>4</v>
      </c>
      <c r="J3749">
        <v>8</v>
      </c>
      <c r="K3749">
        <v>4</v>
      </c>
    </row>
    <row r="3750" spans="1:11" x14ac:dyDescent="0.35">
      <c r="A3750">
        <v>3749</v>
      </c>
      <c r="B3750">
        <v>39</v>
      </c>
      <c r="C3750" t="s">
        <v>11</v>
      </c>
      <c r="D3750" t="s">
        <v>33</v>
      </c>
      <c r="E3750" t="s">
        <v>34</v>
      </c>
      <c r="F3750">
        <v>88.03</v>
      </c>
      <c r="G3750" t="s">
        <v>14</v>
      </c>
      <c r="H3750" t="s">
        <v>37</v>
      </c>
      <c r="I3750">
        <v>4</v>
      </c>
      <c r="J3750">
        <v>10</v>
      </c>
      <c r="K3750">
        <v>5</v>
      </c>
    </row>
    <row r="3751" spans="1:11" x14ac:dyDescent="0.35">
      <c r="A3751">
        <v>3750</v>
      </c>
      <c r="B3751">
        <v>23</v>
      </c>
      <c r="C3751" t="s">
        <v>11</v>
      </c>
      <c r="D3751" t="s">
        <v>41</v>
      </c>
      <c r="E3751" t="s">
        <v>42</v>
      </c>
      <c r="F3751">
        <v>83.7</v>
      </c>
      <c r="G3751" t="s">
        <v>19</v>
      </c>
      <c r="H3751" t="s">
        <v>37</v>
      </c>
      <c r="I3751">
        <v>3.3</v>
      </c>
      <c r="J3751">
        <v>20</v>
      </c>
      <c r="K3751">
        <v>5</v>
      </c>
    </row>
    <row r="3752" spans="1:11" x14ac:dyDescent="0.35">
      <c r="A3752">
        <v>3751</v>
      </c>
      <c r="B3752">
        <v>43</v>
      </c>
      <c r="C3752" t="s">
        <v>11</v>
      </c>
      <c r="D3752" t="s">
        <v>41</v>
      </c>
      <c r="E3752" t="s">
        <v>46</v>
      </c>
      <c r="F3752">
        <v>87.63</v>
      </c>
      <c r="G3752" t="s">
        <v>14</v>
      </c>
      <c r="H3752" t="s">
        <v>37</v>
      </c>
      <c r="I3752">
        <v>4.5999999999999996</v>
      </c>
      <c r="J3752">
        <v>4</v>
      </c>
      <c r="K3752">
        <v>2</v>
      </c>
    </row>
    <row r="3753" spans="1:11" x14ac:dyDescent="0.35">
      <c r="A3753">
        <v>3752</v>
      </c>
      <c r="B3753">
        <v>53</v>
      </c>
      <c r="C3753" t="s">
        <v>11</v>
      </c>
      <c r="D3753" t="s">
        <v>29</v>
      </c>
      <c r="E3753" t="s">
        <v>30</v>
      </c>
      <c r="F3753">
        <v>78.650000000000006</v>
      </c>
      <c r="G3753" t="s">
        <v>14</v>
      </c>
      <c r="H3753" t="s">
        <v>15</v>
      </c>
      <c r="I3753">
        <v>3.6</v>
      </c>
      <c r="J3753">
        <v>12</v>
      </c>
      <c r="K3753">
        <v>6</v>
      </c>
    </row>
    <row r="3754" spans="1:11" x14ac:dyDescent="0.35">
      <c r="A3754">
        <v>3753</v>
      </c>
      <c r="B3754">
        <v>37</v>
      </c>
      <c r="C3754" t="s">
        <v>11</v>
      </c>
      <c r="D3754" t="s">
        <v>12</v>
      </c>
      <c r="E3754" t="s">
        <v>56</v>
      </c>
      <c r="F3754">
        <v>29.21</v>
      </c>
      <c r="G3754" t="s">
        <v>31</v>
      </c>
      <c r="H3754" t="s">
        <v>15</v>
      </c>
      <c r="I3754">
        <v>4.0999999999999996</v>
      </c>
      <c r="J3754">
        <v>11</v>
      </c>
      <c r="K3754">
        <v>3</v>
      </c>
    </row>
    <row r="3755" spans="1:11" x14ac:dyDescent="0.35">
      <c r="A3755">
        <v>3754</v>
      </c>
      <c r="B3755">
        <v>54</v>
      </c>
      <c r="C3755" t="s">
        <v>11</v>
      </c>
      <c r="D3755" t="s">
        <v>20</v>
      </c>
      <c r="E3755" t="s">
        <v>39</v>
      </c>
      <c r="F3755">
        <v>107.34</v>
      </c>
      <c r="G3755" t="s">
        <v>31</v>
      </c>
      <c r="H3755" t="s">
        <v>15</v>
      </c>
      <c r="I3755">
        <v>3.5</v>
      </c>
      <c r="J3755">
        <v>19</v>
      </c>
      <c r="K3755">
        <v>7</v>
      </c>
    </row>
    <row r="3756" spans="1:11" x14ac:dyDescent="0.35">
      <c r="A3756">
        <v>3755</v>
      </c>
      <c r="B3756">
        <v>56</v>
      </c>
      <c r="C3756" t="s">
        <v>16</v>
      </c>
      <c r="D3756" t="s">
        <v>33</v>
      </c>
      <c r="E3756" t="s">
        <v>40</v>
      </c>
      <c r="F3756">
        <v>241.91</v>
      </c>
      <c r="G3756" t="s">
        <v>31</v>
      </c>
      <c r="H3756" t="s">
        <v>15</v>
      </c>
      <c r="I3756">
        <v>3.5</v>
      </c>
      <c r="J3756">
        <v>16</v>
      </c>
      <c r="K3756">
        <v>3</v>
      </c>
    </row>
    <row r="3757" spans="1:11" x14ac:dyDescent="0.35">
      <c r="A3757">
        <v>3756</v>
      </c>
      <c r="B3757">
        <v>31</v>
      </c>
      <c r="C3757" t="s">
        <v>11</v>
      </c>
      <c r="D3757" t="s">
        <v>29</v>
      </c>
      <c r="E3757" t="s">
        <v>55</v>
      </c>
      <c r="F3757">
        <v>105.94</v>
      </c>
      <c r="G3757" t="s">
        <v>31</v>
      </c>
      <c r="H3757" t="s">
        <v>15</v>
      </c>
      <c r="I3757">
        <v>3.3</v>
      </c>
      <c r="J3757">
        <v>16</v>
      </c>
      <c r="K3757">
        <v>3</v>
      </c>
    </row>
    <row r="3758" spans="1:11" x14ac:dyDescent="0.35">
      <c r="A3758">
        <v>3757</v>
      </c>
      <c r="B3758">
        <v>47</v>
      </c>
      <c r="C3758" t="s">
        <v>16</v>
      </c>
      <c r="D3758" t="s">
        <v>17</v>
      </c>
      <c r="E3758" t="s">
        <v>48</v>
      </c>
      <c r="F3758">
        <v>100.06</v>
      </c>
      <c r="G3758" t="s">
        <v>14</v>
      </c>
      <c r="H3758" t="s">
        <v>15</v>
      </c>
      <c r="I3758">
        <v>3.7</v>
      </c>
      <c r="J3758">
        <v>18</v>
      </c>
      <c r="K3758">
        <v>4</v>
      </c>
    </row>
    <row r="3759" spans="1:11" x14ac:dyDescent="0.35">
      <c r="A3759">
        <v>3758</v>
      </c>
      <c r="B3759">
        <v>41</v>
      </c>
      <c r="C3759" t="s">
        <v>11</v>
      </c>
      <c r="D3759" t="s">
        <v>20</v>
      </c>
      <c r="E3759" t="s">
        <v>39</v>
      </c>
      <c r="F3759">
        <v>53.69</v>
      </c>
      <c r="G3759" t="s">
        <v>19</v>
      </c>
      <c r="H3759" t="s">
        <v>37</v>
      </c>
      <c r="I3759">
        <v>3.7</v>
      </c>
      <c r="J3759">
        <v>21</v>
      </c>
      <c r="K3759">
        <v>8</v>
      </c>
    </row>
    <row r="3760" spans="1:11" x14ac:dyDescent="0.35">
      <c r="A3760">
        <v>3759</v>
      </c>
      <c r="B3760">
        <v>69</v>
      </c>
      <c r="C3760" t="s">
        <v>16</v>
      </c>
      <c r="D3760" t="s">
        <v>17</v>
      </c>
      <c r="E3760" t="s">
        <v>48</v>
      </c>
      <c r="F3760">
        <v>95.85</v>
      </c>
      <c r="G3760" t="s">
        <v>14</v>
      </c>
      <c r="H3760" t="s">
        <v>15</v>
      </c>
      <c r="I3760">
        <v>4.3</v>
      </c>
      <c r="J3760">
        <v>12</v>
      </c>
      <c r="K3760">
        <v>6</v>
      </c>
    </row>
    <row r="3761" spans="1:11" x14ac:dyDescent="0.35">
      <c r="A3761">
        <v>3760</v>
      </c>
      <c r="B3761">
        <v>25</v>
      </c>
      <c r="C3761" t="s">
        <v>11</v>
      </c>
      <c r="D3761" t="s">
        <v>12</v>
      </c>
      <c r="E3761" t="s">
        <v>13</v>
      </c>
      <c r="F3761">
        <v>177.89</v>
      </c>
      <c r="G3761" t="s">
        <v>19</v>
      </c>
      <c r="H3761" t="s">
        <v>15</v>
      </c>
      <c r="I3761">
        <v>3.7</v>
      </c>
      <c r="J3761">
        <v>16</v>
      </c>
      <c r="K3761">
        <v>8</v>
      </c>
    </row>
    <row r="3762" spans="1:11" x14ac:dyDescent="0.35">
      <c r="A3762">
        <v>3761</v>
      </c>
      <c r="B3762">
        <v>57</v>
      </c>
      <c r="C3762" t="s">
        <v>11</v>
      </c>
      <c r="D3762" t="s">
        <v>12</v>
      </c>
      <c r="E3762" t="s">
        <v>50</v>
      </c>
      <c r="F3762">
        <v>97</v>
      </c>
      <c r="G3762" t="s">
        <v>24</v>
      </c>
      <c r="H3762" t="s">
        <v>37</v>
      </c>
      <c r="I3762">
        <v>4.0999999999999996</v>
      </c>
      <c r="J3762">
        <v>24</v>
      </c>
      <c r="K3762">
        <v>7</v>
      </c>
    </row>
    <row r="3763" spans="1:11" x14ac:dyDescent="0.35">
      <c r="A3763">
        <v>3762</v>
      </c>
      <c r="B3763">
        <v>43</v>
      </c>
      <c r="C3763" t="s">
        <v>16</v>
      </c>
      <c r="D3763" t="s">
        <v>33</v>
      </c>
      <c r="E3763" t="s">
        <v>40</v>
      </c>
      <c r="F3763">
        <v>135.26</v>
      </c>
      <c r="G3763" t="s">
        <v>19</v>
      </c>
      <c r="H3763" t="s">
        <v>15</v>
      </c>
      <c r="I3763">
        <v>4.3</v>
      </c>
      <c r="J3763">
        <v>28</v>
      </c>
      <c r="K3763">
        <v>9</v>
      </c>
    </row>
    <row r="3764" spans="1:11" x14ac:dyDescent="0.35">
      <c r="A3764">
        <v>3763</v>
      </c>
      <c r="B3764">
        <v>55</v>
      </c>
      <c r="C3764" t="s">
        <v>16</v>
      </c>
      <c r="D3764" t="s">
        <v>20</v>
      </c>
      <c r="E3764" t="s">
        <v>39</v>
      </c>
      <c r="F3764">
        <v>153.94999999999999</v>
      </c>
      <c r="G3764" t="s">
        <v>19</v>
      </c>
      <c r="H3764" t="s">
        <v>15</v>
      </c>
      <c r="I3764">
        <v>3.4</v>
      </c>
      <c r="J3764">
        <v>13</v>
      </c>
      <c r="K3764">
        <v>4</v>
      </c>
    </row>
    <row r="3765" spans="1:11" x14ac:dyDescent="0.35">
      <c r="A3765">
        <v>3764</v>
      </c>
      <c r="B3765">
        <v>55</v>
      </c>
      <c r="C3765" t="s">
        <v>16</v>
      </c>
      <c r="D3765" t="s">
        <v>20</v>
      </c>
      <c r="E3765" t="s">
        <v>39</v>
      </c>
      <c r="F3765">
        <v>73.22</v>
      </c>
      <c r="G3765" t="s">
        <v>19</v>
      </c>
      <c r="H3765" t="s">
        <v>37</v>
      </c>
      <c r="I3765">
        <v>3</v>
      </c>
      <c r="J3765">
        <v>17</v>
      </c>
      <c r="K3765">
        <v>6</v>
      </c>
    </row>
    <row r="3766" spans="1:11" x14ac:dyDescent="0.35">
      <c r="A3766">
        <v>3765</v>
      </c>
      <c r="B3766">
        <v>59</v>
      </c>
      <c r="C3766" t="s">
        <v>11</v>
      </c>
      <c r="D3766" t="s">
        <v>41</v>
      </c>
      <c r="E3766" t="s">
        <v>44</v>
      </c>
      <c r="F3766">
        <v>78.739999999999995</v>
      </c>
      <c r="G3766" t="s">
        <v>14</v>
      </c>
      <c r="H3766" t="s">
        <v>15</v>
      </c>
      <c r="I3766">
        <v>3.9</v>
      </c>
      <c r="J3766">
        <v>17</v>
      </c>
      <c r="K3766">
        <v>6</v>
      </c>
    </row>
    <row r="3767" spans="1:11" x14ac:dyDescent="0.35">
      <c r="A3767">
        <v>3766</v>
      </c>
      <c r="B3767">
        <v>59</v>
      </c>
      <c r="C3767" t="s">
        <v>16</v>
      </c>
      <c r="D3767" t="s">
        <v>20</v>
      </c>
      <c r="E3767" t="s">
        <v>39</v>
      </c>
      <c r="F3767">
        <v>193.24</v>
      </c>
      <c r="G3767" t="s">
        <v>14</v>
      </c>
      <c r="H3767" t="s">
        <v>15</v>
      </c>
      <c r="I3767">
        <v>4.0999999999999996</v>
      </c>
      <c r="J3767">
        <v>8</v>
      </c>
      <c r="K3767">
        <v>4</v>
      </c>
    </row>
    <row r="3768" spans="1:11" x14ac:dyDescent="0.35">
      <c r="A3768">
        <v>3767</v>
      </c>
      <c r="B3768">
        <v>58</v>
      </c>
      <c r="C3768" t="s">
        <v>11</v>
      </c>
      <c r="D3768" t="s">
        <v>41</v>
      </c>
      <c r="E3768" t="s">
        <v>46</v>
      </c>
      <c r="F3768">
        <v>123.99</v>
      </c>
      <c r="G3768" t="s">
        <v>31</v>
      </c>
      <c r="H3768" t="s">
        <v>15</v>
      </c>
      <c r="I3768">
        <v>4.3</v>
      </c>
      <c r="J3768">
        <v>12</v>
      </c>
      <c r="K3768">
        <v>6</v>
      </c>
    </row>
    <row r="3769" spans="1:11" x14ac:dyDescent="0.35">
      <c r="A3769">
        <v>3768</v>
      </c>
      <c r="B3769">
        <v>31</v>
      </c>
      <c r="C3769" t="s">
        <v>11</v>
      </c>
      <c r="D3769" t="s">
        <v>12</v>
      </c>
      <c r="E3769" t="s">
        <v>13</v>
      </c>
      <c r="F3769">
        <v>127.18</v>
      </c>
      <c r="G3769" t="s">
        <v>31</v>
      </c>
      <c r="H3769" t="s">
        <v>15</v>
      </c>
      <c r="I3769">
        <v>3.3</v>
      </c>
      <c r="J3769">
        <v>10</v>
      </c>
      <c r="K3769">
        <v>5</v>
      </c>
    </row>
    <row r="3770" spans="1:11" x14ac:dyDescent="0.35">
      <c r="A3770">
        <v>3769</v>
      </c>
      <c r="B3770">
        <v>42</v>
      </c>
      <c r="C3770" t="s">
        <v>16</v>
      </c>
      <c r="D3770" t="s">
        <v>27</v>
      </c>
      <c r="E3770" t="s">
        <v>49</v>
      </c>
      <c r="F3770">
        <v>2662.7</v>
      </c>
      <c r="G3770" t="s">
        <v>31</v>
      </c>
      <c r="H3770" t="s">
        <v>15</v>
      </c>
      <c r="I3770">
        <v>3.6</v>
      </c>
      <c r="J3770">
        <v>19</v>
      </c>
      <c r="K3770">
        <v>7</v>
      </c>
    </row>
    <row r="3771" spans="1:11" x14ac:dyDescent="0.35">
      <c r="A3771">
        <v>3770</v>
      </c>
      <c r="B3771">
        <v>68</v>
      </c>
      <c r="C3771" t="s">
        <v>16</v>
      </c>
      <c r="D3771" t="s">
        <v>33</v>
      </c>
      <c r="E3771" t="s">
        <v>34</v>
      </c>
      <c r="F3771">
        <v>207</v>
      </c>
      <c r="G3771" t="s">
        <v>31</v>
      </c>
      <c r="H3771" t="s">
        <v>15</v>
      </c>
      <c r="I3771">
        <v>5</v>
      </c>
      <c r="J3771">
        <v>26</v>
      </c>
      <c r="K3771">
        <v>8</v>
      </c>
    </row>
    <row r="3772" spans="1:11" x14ac:dyDescent="0.35">
      <c r="A3772">
        <v>3771</v>
      </c>
      <c r="B3772">
        <v>54</v>
      </c>
      <c r="C3772" t="s">
        <v>11</v>
      </c>
      <c r="D3772" t="s">
        <v>12</v>
      </c>
      <c r="E3772" t="s">
        <v>13</v>
      </c>
      <c r="F3772">
        <v>148.96</v>
      </c>
      <c r="G3772" t="s">
        <v>14</v>
      </c>
      <c r="H3772" t="s">
        <v>15</v>
      </c>
      <c r="I3772">
        <v>4</v>
      </c>
      <c r="J3772">
        <v>22</v>
      </c>
      <c r="K3772">
        <v>6</v>
      </c>
    </row>
    <row r="3773" spans="1:11" x14ac:dyDescent="0.35">
      <c r="A3773">
        <v>3772</v>
      </c>
      <c r="B3773">
        <v>33</v>
      </c>
      <c r="C3773" t="s">
        <v>16</v>
      </c>
      <c r="D3773" t="s">
        <v>17</v>
      </c>
      <c r="E3773" t="s">
        <v>48</v>
      </c>
      <c r="F3773">
        <v>91.42</v>
      </c>
      <c r="G3773" t="s">
        <v>14</v>
      </c>
      <c r="H3773" t="s">
        <v>37</v>
      </c>
      <c r="I3773">
        <v>4.5</v>
      </c>
      <c r="J3773">
        <v>14</v>
      </c>
      <c r="K3773">
        <v>2</v>
      </c>
    </row>
    <row r="3774" spans="1:11" x14ac:dyDescent="0.35">
      <c r="A3774">
        <v>3773</v>
      </c>
      <c r="B3774">
        <v>45</v>
      </c>
      <c r="C3774" t="s">
        <v>11</v>
      </c>
      <c r="D3774" t="s">
        <v>33</v>
      </c>
      <c r="E3774" t="s">
        <v>38</v>
      </c>
      <c r="F3774">
        <v>153.68</v>
      </c>
      <c r="G3774" t="s">
        <v>19</v>
      </c>
      <c r="H3774" t="s">
        <v>15</v>
      </c>
      <c r="I3774">
        <v>4</v>
      </c>
      <c r="J3774">
        <v>20</v>
      </c>
      <c r="K3774">
        <v>5</v>
      </c>
    </row>
    <row r="3775" spans="1:11" x14ac:dyDescent="0.35">
      <c r="A3775">
        <v>3774</v>
      </c>
      <c r="B3775">
        <v>68</v>
      </c>
      <c r="C3775" t="s">
        <v>16</v>
      </c>
      <c r="D3775" t="s">
        <v>20</v>
      </c>
      <c r="E3775" t="s">
        <v>39</v>
      </c>
      <c r="F3775">
        <v>110.62</v>
      </c>
      <c r="G3775" t="s">
        <v>14</v>
      </c>
      <c r="H3775" t="s">
        <v>15</v>
      </c>
      <c r="I3775">
        <v>3.9</v>
      </c>
      <c r="J3775">
        <v>15</v>
      </c>
      <c r="K3775">
        <v>5</v>
      </c>
    </row>
    <row r="3776" spans="1:11" x14ac:dyDescent="0.35">
      <c r="A3776">
        <v>3775</v>
      </c>
      <c r="B3776">
        <v>43</v>
      </c>
      <c r="C3776" t="s">
        <v>11</v>
      </c>
      <c r="D3776" t="s">
        <v>12</v>
      </c>
      <c r="E3776" t="s">
        <v>56</v>
      </c>
      <c r="F3776">
        <v>178.57</v>
      </c>
      <c r="G3776" t="s">
        <v>14</v>
      </c>
      <c r="H3776" t="s">
        <v>15</v>
      </c>
      <c r="I3776">
        <v>3.2</v>
      </c>
      <c r="J3776">
        <v>16</v>
      </c>
      <c r="K3776">
        <v>3</v>
      </c>
    </row>
    <row r="3777" spans="1:11" x14ac:dyDescent="0.35">
      <c r="A3777">
        <v>3776</v>
      </c>
      <c r="B3777">
        <v>23</v>
      </c>
      <c r="C3777" t="s">
        <v>16</v>
      </c>
      <c r="D3777" t="s">
        <v>17</v>
      </c>
      <c r="E3777" t="s">
        <v>48</v>
      </c>
      <c r="F3777">
        <v>84.91</v>
      </c>
      <c r="G3777" t="s">
        <v>24</v>
      </c>
      <c r="H3777" t="s">
        <v>15</v>
      </c>
      <c r="I3777">
        <v>2.6</v>
      </c>
      <c r="J3777">
        <v>18</v>
      </c>
      <c r="K3777">
        <v>9</v>
      </c>
    </row>
    <row r="3778" spans="1:11" x14ac:dyDescent="0.35">
      <c r="A3778">
        <v>3777</v>
      </c>
      <c r="B3778">
        <v>59</v>
      </c>
      <c r="C3778" t="s">
        <v>11</v>
      </c>
      <c r="D3778" t="s">
        <v>12</v>
      </c>
      <c r="E3778" t="s">
        <v>50</v>
      </c>
      <c r="F3778">
        <v>95.39</v>
      </c>
      <c r="G3778" t="s">
        <v>14</v>
      </c>
      <c r="H3778" t="s">
        <v>15</v>
      </c>
      <c r="I3778">
        <v>5</v>
      </c>
      <c r="J3778">
        <v>9</v>
      </c>
      <c r="K3778">
        <v>2</v>
      </c>
    </row>
    <row r="3779" spans="1:11" x14ac:dyDescent="0.35">
      <c r="A3779">
        <v>3778</v>
      </c>
      <c r="B3779">
        <v>21</v>
      </c>
      <c r="C3779" t="s">
        <v>16</v>
      </c>
      <c r="D3779" t="s">
        <v>27</v>
      </c>
      <c r="E3779" t="s">
        <v>32</v>
      </c>
      <c r="F3779">
        <v>1512.5</v>
      </c>
      <c r="G3779" t="s">
        <v>19</v>
      </c>
      <c r="H3779" t="s">
        <v>15</v>
      </c>
      <c r="I3779">
        <v>4</v>
      </c>
      <c r="J3779">
        <v>15</v>
      </c>
      <c r="K3779">
        <v>5</v>
      </c>
    </row>
    <row r="3780" spans="1:11" x14ac:dyDescent="0.35">
      <c r="A3780">
        <v>3779</v>
      </c>
      <c r="B3780">
        <v>35</v>
      </c>
      <c r="C3780" t="s">
        <v>11</v>
      </c>
      <c r="D3780" t="s">
        <v>33</v>
      </c>
      <c r="E3780" t="s">
        <v>38</v>
      </c>
      <c r="F3780">
        <v>68.790000000000006</v>
      </c>
      <c r="G3780" t="s">
        <v>19</v>
      </c>
      <c r="H3780" t="s">
        <v>37</v>
      </c>
      <c r="I3780">
        <v>5</v>
      </c>
      <c r="J3780">
        <v>20</v>
      </c>
      <c r="K3780">
        <v>5</v>
      </c>
    </row>
    <row r="3781" spans="1:11" x14ac:dyDescent="0.35">
      <c r="A3781">
        <v>3780</v>
      </c>
      <c r="B3781">
        <v>26</v>
      </c>
      <c r="C3781" t="s">
        <v>11</v>
      </c>
      <c r="D3781" t="s">
        <v>29</v>
      </c>
      <c r="E3781" t="s">
        <v>55</v>
      </c>
      <c r="F3781">
        <v>30.17</v>
      </c>
      <c r="G3781" t="s">
        <v>19</v>
      </c>
      <c r="H3781" t="s">
        <v>15</v>
      </c>
      <c r="I3781">
        <v>2.8</v>
      </c>
      <c r="J3781">
        <v>13</v>
      </c>
      <c r="K3781">
        <v>4</v>
      </c>
    </row>
    <row r="3782" spans="1:11" x14ac:dyDescent="0.35">
      <c r="A3782">
        <v>3781</v>
      </c>
      <c r="B3782">
        <v>40</v>
      </c>
      <c r="C3782" t="s">
        <v>16</v>
      </c>
      <c r="D3782" t="s">
        <v>20</v>
      </c>
      <c r="E3782" t="s">
        <v>36</v>
      </c>
      <c r="F3782">
        <v>199.87</v>
      </c>
      <c r="G3782" t="s">
        <v>14</v>
      </c>
      <c r="H3782" t="s">
        <v>15</v>
      </c>
      <c r="I3782">
        <v>3.1</v>
      </c>
      <c r="J3782">
        <v>7</v>
      </c>
      <c r="K3782">
        <v>1</v>
      </c>
    </row>
    <row r="3783" spans="1:11" x14ac:dyDescent="0.35">
      <c r="A3783">
        <v>3782</v>
      </c>
      <c r="B3783">
        <v>24</v>
      </c>
      <c r="C3783" t="s">
        <v>11</v>
      </c>
      <c r="D3783" t="s">
        <v>29</v>
      </c>
      <c r="E3783" t="s">
        <v>55</v>
      </c>
      <c r="F3783">
        <v>47.98</v>
      </c>
      <c r="G3783" t="s">
        <v>31</v>
      </c>
      <c r="H3783" t="s">
        <v>15</v>
      </c>
      <c r="I3783">
        <v>4.5999999999999996</v>
      </c>
      <c r="J3783">
        <v>4</v>
      </c>
      <c r="K3783">
        <v>2</v>
      </c>
    </row>
    <row r="3784" spans="1:11" x14ac:dyDescent="0.35">
      <c r="A3784">
        <v>3783</v>
      </c>
      <c r="B3784">
        <v>68</v>
      </c>
      <c r="C3784" t="s">
        <v>11</v>
      </c>
      <c r="D3784" t="s">
        <v>41</v>
      </c>
      <c r="E3784" t="s">
        <v>45</v>
      </c>
      <c r="F3784">
        <v>184.65</v>
      </c>
      <c r="G3784" t="s">
        <v>31</v>
      </c>
      <c r="H3784" t="s">
        <v>15</v>
      </c>
      <c r="I3784">
        <v>3.4</v>
      </c>
      <c r="J3784">
        <v>14</v>
      </c>
      <c r="K3784">
        <v>2</v>
      </c>
    </row>
    <row r="3785" spans="1:11" x14ac:dyDescent="0.35">
      <c r="A3785">
        <v>3784</v>
      </c>
      <c r="B3785">
        <v>39</v>
      </c>
      <c r="C3785" t="s">
        <v>11</v>
      </c>
      <c r="D3785" t="s">
        <v>20</v>
      </c>
      <c r="E3785" t="s">
        <v>21</v>
      </c>
      <c r="F3785">
        <v>101.5</v>
      </c>
      <c r="G3785" t="s">
        <v>31</v>
      </c>
      <c r="H3785" t="s">
        <v>15</v>
      </c>
      <c r="I3785">
        <v>4.5</v>
      </c>
      <c r="J3785">
        <v>20</v>
      </c>
      <c r="K3785">
        <v>5</v>
      </c>
    </row>
    <row r="3786" spans="1:11" x14ac:dyDescent="0.35">
      <c r="A3786">
        <v>3785</v>
      </c>
      <c r="B3786">
        <v>27</v>
      </c>
      <c r="C3786" t="s">
        <v>16</v>
      </c>
      <c r="D3786" t="s">
        <v>27</v>
      </c>
      <c r="E3786" t="s">
        <v>28</v>
      </c>
      <c r="F3786">
        <v>502.45</v>
      </c>
      <c r="G3786" t="s">
        <v>24</v>
      </c>
      <c r="H3786" t="s">
        <v>15</v>
      </c>
      <c r="I3786">
        <v>5</v>
      </c>
      <c r="J3786">
        <v>16</v>
      </c>
      <c r="K3786">
        <v>3</v>
      </c>
    </row>
    <row r="3787" spans="1:11" x14ac:dyDescent="0.35">
      <c r="A3787">
        <v>3786</v>
      </c>
      <c r="B3787">
        <v>29</v>
      </c>
      <c r="C3787" t="s">
        <v>11</v>
      </c>
      <c r="D3787" t="s">
        <v>29</v>
      </c>
      <c r="E3787" t="s">
        <v>55</v>
      </c>
      <c r="F3787">
        <v>137</v>
      </c>
      <c r="G3787" t="s">
        <v>14</v>
      </c>
      <c r="H3787" t="s">
        <v>15</v>
      </c>
      <c r="I3787">
        <v>4.7</v>
      </c>
      <c r="J3787">
        <v>22</v>
      </c>
      <c r="K3787">
        <v>6</v>
      </c>
    </row>
    <row r="3788" spans="1:11" x14ac:dyDescent="0.35">
      <c r="A3788">
        <v>3787</v>
      </c>
      <c r="B3788">
        <v>21</v>
      </c>
      <c r="C3788" t="s">
        <v>16</v>
      </c>
      <c r="D3788" t="s">
        <v>20</v>
      </c>
      <c r="E3788" t="s">
        <v>39</v>
      </c>
      <c r="F3788">
        <v>137.18</v>
      </c>
      <c r="G3788" t="s">
        <v>31</v>
      </c>
      <c r="H3788" t="s">
        <v>15</v>
      </c>
      <c r="I3788">
        <v>2.8</v>
      </c>
      <c r="J3788">
        <v>12</v>
      </c>
      <c r="K3788">
        <v>6</v>
      </c>
    </row>
    <row r="3789" spans="1:11" x14ac:dyDescent="0.35">
      <c r="A3789">
        <v>3788</v>
      </c>
      <c r="B3789">
        <v>52</v>
      </c>
      <c r="C3789" t="s">
        <v>11</v>
      </c>
      <c r="D3789" t="s">
        <v>20</v>
      </c>
      <c r="E3789" t="s">
        <v>21</v>
      </c>
      <c r="F3789">
        <v>129.61000000000001</v>
      </c>
      <c r="G3789" t="s">
        <v>14</v>
      </c>
      <c r="H3789" t="s">
        <v>15</v>
      </c>
      <c r="I3789">
        <v>3.8</v>
      </c>
      <c r="J3789">
        <v>11</v>
      </c>
      <c r="K3789">
        <v>3</v>
      </c>
    </row>
    <row r="3790" spans="1:11" x14ac:dyDescent="0.35">
      <c r="A3790">
        <v>3789</v>
      </c>
      <c r="B3790">
        <v>39</v>
      </c>
      <c r="C3790" t="s">
        <v>11</v>
      </c>
      <c r="D3790" t="s">
        <v>33</v>
      </c>
      <c r="E3790" t="s">
        <v>40</v>
      </c>
      <c r="F3790">
        <v>129.19</v>
      </c>
      <c r="G3790" t="s">
        <v>19</v>
      </c>
      <c r="H3790" t="s">
        <v>15</v>
      </c>
      <c r="I3790">
        <v>3.5</v>
      </c>
      <c r="J3790">
        <v>11</v>
      </c>
      <c r="K3790">
        <v>3</v>
      </c>
    </row>
    <row r="3791" spans="1:11" x14ac:dyDescent="0.35">
      <c r="A3791">
        <v>3790</v>
      </c>
      <c r="B3791">
        <v>65</v>
      </c>
      <c r="C3791" t="s">
        <v>16</v>
      </c>
      <c r="D3791" t="s">
        <v>20</v>
      </c>
      <c r="E3791" t="s">
        <v>21</v>
      </c>
      <c r="F3791">
        <v>154.65</v>
      </c>
      <c r="G3791" t="s">
        <v>24</v>
      </c>
      <c r="H3791" t="s">
        <v>15</v>
      </c>
      <c r="I3791">
        <v>3.1</v>
      </c>
      <c r="J3791">
        <v>18</v>
      </c>
      <c r="K3791">
        <v>4</v>
      </c>
    </row>
    <row r="3792" spans="1:11" x14ac:dyDescent="0.35">
      <c r="A3792">
        <v>3791</v>
      </c>
      <c r="B3792">
        <v>67</v>
      </c>
      <c r="C3792" t="s">
        <v>11</v>
      </c>
      <c r="D3792" t="s">
        <v>41</v>
      </c>
      <c r="E3792" t="s">
        <v>42</v>
      </c>
      <c r="F3792">
        <v>54.55</v>
      </c>
      <c r="G3792" t="s">
        <v>14</v>
      </c>
      <c r="H3792" t="s">
        <v>15</v>
      </c>
      <c r="I3792">
        <v>4.7</v>
      </c>
      <c r="J3792">
        <v>19</v>
      </c>
      <c r="K3792">
        <v>7</v>
      </c>
    </row>
    <row r="3793" spans="1:11" x14ac:dyDescent="0.35">
      <c r="A3793">
        <v>3792</v>
      </c>
      <c r="B3793">
        <v>21</v>
      </c>
      <c r="C3793" t="s">
        <v>16</v>
      </c>
      <c r="D3793" t="s">
        <v>20</v>
      </c>
      <c r="E3793" t="s">
        <v>36</v>
      </c>
      <c r="F3793">
        <v>77.209999999999994</v>
      </c>
      <c r="G3793" t="s">
        <v>19</v>
      </c>
      <c r="H3793" t="s">
        <v>15</v>
      </c>
      <c r="I3793">
        <v>4.3</v>
      </c>
      <c r="J3793">
        <v>19</v>
      </c>
      <c r="K3793">
        <v>7</v>
      </c>
    </row>
    <row r="3794" spans="1:11" x14ac:dyDescent="0.35">
      <c r="A3794">
        <v>3793</v>
      </c>
      <c r="B3794">
        <v>62</v>
      </c>
      <c r="C3794" t="s">
        <v>16</v>
      </c>
      <c r="D3794" t="s">
        <v>27</v>
      </c>
      <c r="E3794" t="s">
        <v>49</v>
      </c>
      <c r="F3794">
        <v>1865.21</v>
      </c>
      <c r="G3794" t="s">
        <v>24</v>
      </c>
      <c r="H3794" t="s">
        <v>15</v>
      </c>
      <c r="I3794">
        <v>3.9</v>
      </c>
      <c r="J3794">
        <v>14</v>
      </c>
      <c r="K3794">
        <v>2</v>
      </c>
    </row>
    <row r="3795" spans="1:11" x14ac:dyDescent="0.35">
      <c r="A3795">
        <v>3794</v>
      </c>
      <c r="B3795">
        <v>52</v>
      </c>
      <c r="C3795" t="s">
        <v>11</v>
      </c>
      <c r="D3795" t="s">
        <v>29</v>
      </c>
      <c r="E3795" t="s">
        <v>55</v>
      </c>
      <c r="F3795">
        <v>97.56</v>
      </c>
      <c r="G3795" t="s">
        <v>31</v>
      </c>
      <c r="H3795" t="s">
        <v>15</v>
      </c>
      <c r="I3795">
        <v>3.6</v>
      </c>
      <c r="J3795">
        <v>15</v>
      </c>
      <c r="K3795">
        <v>5</v>
      </c>
    </row>
    <row r="3796" spans="1:11" x14ac:dyDescent="0.35">
      <c r="A3796">
        <v>3795</v>
      </c>
      <c r="B3796">
        <v>28</v>
      </c>
      <c r="C3796" t="s">
        <v>16</v>
      </c>
      <c r="D3796" t="s">
        <v>27</v>
      </c>
      <c r="E3796" t="s">
        <v>32</v>
      </c>
      <c r="F3796">
        <v>2248.23</v>
      </c>
      <c r="G3796" t="s">
        <v>19</v>
      </c>
      <c r="H3796" t="s">
        <v>15</v>
      </c>
      <c r="I3796">
        <v>3.6</v>
      </c>
      <c r="J3796">
        <v>23</v>
      </c>
      <c r="K3796">
        <v>9</v>
      </c>
    </row>
    <row r="3797" spans="1:11" x14ac:dyDescent="0.35">
      <c r="A3797">
        <v>3796</v>
      </c>
      <c r="B3797">
        <v>59</v>
      </c>
      <c r="C3797" t="s">
        <v>11</v>
      </c>
      <c r="D3797" t="s">
        <v>25</v>
      </c>
      <c r="E3797" t="s">
        <v>54</v>
      </c>
      <c r="F3797">
        <v>26.78</v>
      </c>
      <c r="G3797" t="s">
        <v>24</v>
      </c>
      <c r="H3797" t="s">
        <v>15</v>
      </c>
      <c r="I3797">
        <v>5</v>
      </c>
      <c r="J3797">
        <v>19</v>
      </c>
      <c r="K3797">
        <v>7</v>
      </c>
    </row>
    <row r="3798" spans="1:11" x14ac:dyDescent="0.35">
      <c r="A3798">
        <v>3797</v>
      </c>
      <c r="B3798">
        <v>67</v>
      </c>
      <c r="C3798" t="s">
        <v>11</v>
      </c>
      <c r="D3798" t="s">
        <v>29</v>
      </c>
      <c r="E3798" t="s">
        <v>30</v>
      </c>
      <c r="F3798">
        <v>99.35</v>
      </c>
      <c r="G3798" t="s">
        <v>14</v>
      </c>
      <c r="H3798" t="s">
        <v>37</v>
      </c>
      <c r="I3798">
        <v>4</v>
      </c>
      <c r="J3798">
        <v>15</v>
      </c>
      <c r="K3798">
        <v>5</v>
      </c>
    </row>
    <row r="3799" spans="1:11" x14ac:dyDescent="0.35">
      <c r="A3799">
        <v>3798</v>
      </c>
      <c r="B3799">
        <v>35</v>
      </c>
      <c r="C3799" t="s">
        <v>16</v>
      </c>
      <c r="D3799" t="s">
        <v>27</v>
      </c>
      <c r="E3799" t="s">
        <v>32</v>
      </c>
      <c r="F3799">
        <v>1797.25</v>
      </c>
      <c r="G3799" t="s">
        <v>24</v>
      </c>
      <c r="H3799" t="s">
        <v>15</v>
      </c>
      <c r="I3799">
        <v>4.5</v>
      </c>
      <c r="J3799">
        <v>8</v>
      </c>
      <c r="K3799">
        <v>4</v>
      </c>
    </row>
    <row r="3800" spans="1:11" x14ac:dyDescent="0.35">
      <c r="A3800">
        <v>3799</v>
      </c>
      <c r="B3800">
        <v>68</v>
      </c>
      <c r="C3800" t="s">
        <v>16</v>
      </c>
      <c r="D3800" t="s">
        <v>27</v>
      </c>
      <c r="E3800" t="s">
        <v>53</v>
      </c>
      <c r="F3800">
        <v>2202.2600000000002</v>
      </c>
      <c r="G3800" t="s">
        <v>19</v>
      </c>
      <c r="H3800" t="s">
        <v>15</v>
      </c>
      <c r="I3800">
        <v>3.9</v>
      </c>
      <c r="J3800">
        <v>15</v>
      </c>
      <c r="K3800">
        <v>5</v>
      </c>
    </row>
    <row r="3801" spans="1:11" x14ac:dyDescent="0.35">
      <c r="A3801">
        <v>3800</v>
      </c>
      <c r="B3801">
        <v>43</v>
      </c>
      <c r="C3801" t="s">
        <v>11</v>
      </c>
      <c r="D3801" t="s">
        <v>12</v>
      </c>
      <c r="E3801" t="s">
        <v>56</v>
      </c>
      <c r="F3801">
        <v>109.12</v>
      </c>
      <c r="G3801" t="s">
        <v>24</v>
      </c>
      <c r="H3801" t="s">
        <v>15</v>
      </c>
      <c r="I3801">
        <v>3.6</v>
      </c>
      <c r="J3801">
        <v>16</v>
      </c>
      <c r="K3801">
        <v>3</v>
      </c>
    </row>
    <row r="3802" spans="1:11" x14ac:dyDescent="0.35">
      <c r="A3802">
        <v>3801</v>
      </c>
      <c r="B3802">
        <v>21</v>
      </c>
      <c r="C3802" t="s">
        <v>11</v>
      </c>
      <c r="D3802" t="s">
        <v>29</v>
      </c>
      <c r="E3802" t="s">
        <v>55</v>
      </c>
      <c r="F3802">
        <v>76.900000000000006</v>
      </c>
      <c r="G3802" t="s">
        <v>19</v>
      </c>
      <c r="H3802" t="s">
        <v>15</v>
      </c>
      <c r="I3802">
        <v>4.9000000000000004</v>
      </c>
      <c r="J3802">
        <v>17</v>
      </c>
      <c r="K3802">
        <v>6</v>
      </c>
    </row>
    <row r="3803" spans="1:11" x14ac:dyDescent="0.35">
      <c r="A3803">
        <v>3802</v>
      </c>
      <c r="B3803">
        <v>51</v>
      </c>
      <c r="C3803" t="s">
        <v>11</v>
      </c>
      <c r="D3803" t="s">
        <v>12</v>
      </c>
      <c r="E3803" t="s">
        <v>56</v>
      </c>
      <c r="F3803">
        <v>99.61</v>
      </c>
      <c r="G3803" t="s">
        <v>24</v>
      </c>
      <c r="H3803" t="s">
        <v>15</v>
      </c>
      <c r="I3803">
        <v>3.8</v>
      </c>
      <c r="J3803">
        <v>20</v>
      </c>
      <c r="K3803">
        <v>10</v>
      </c>
    </row>
    <row r="3804" spans="1:11" x14ac:dyDescent="0.35">
      <c r="A3804">
        <v>3803</v>
      </c>
      <c r="B3804">
        <v>64</v>
      </c>
      <c r="C3804" t="s">
        <v>11</v>
      </c>
      <c r="D3804" t="s">
        <v>29</v>
      </c>
      <c r="E3804" t="s">
        <v>30</v>
      </c>
      <c r="F3804">
        <v>81.88</v>
      </c>
      <c r="G3804" t="s">
        <v>14</v>
      </c>
      <c r="H3804" t="s">
        <v>37</v>
      </c>
      <c r="I3804">
        <v>4.5999999999999996</v>
      </c>
      <c r="J3804">
        <v>18</v>
      </c>
      <c r="K3804">
        <v>4</v>
      </c>
    </row>
    <row r="3805" spans="1:11" x14ac:dyDescent="0.35">
      <c r="A3805">
        <v>3804</v>
      </c>
      <c r="B3805">
        <v>38</v>
      </c>
      <c r="C3805" t="s">
        <v>11</v>
      </c>
      <c r="D3805" t="s">
        <v>20</v>
      </c>
      <c r="E3805" t="s">
        <v>36</v>
      </c>
      <c r="F3805">
        <v>211.85</v>
      </c>
      <c r="G3805" t="s">
        <v>31</v>
      </c>
      <c r="H3805" t="s">
        <v>15</v>
      </c>
      <c r="I3805">
        <v>4.5</v>
      </c>
      <c r="J3805">
        <v>2</v>
      </c>
      <c r="K3805">
        <v>1</v>
      </c>
    </row>
    <row r="3806" spans="1:11" x14ac:dyDescent="0.35">
      <c r="A3806">
        <v>3805</v>
      </c>
      <c r="B3806">
        <v>60</v>
      </c>
      <c r="C3806" t="s">
        <v>11</v>
      </c>
      <c r="D3806" t="s">
        <v>29</v>
      </c>
      <c r="E3806" t="s">
        <v>51</v>
      </c>
      <c r="F3806">
        <v>72.84</v>
      </c>
      <c r="G3806" t="s">
        <v>19</v>
      </c>
      <c r="H3806" t="s">
        <v>15</v>
      </c>
      <c r="I3806">
        <v>4.5</v>
      </c>
      <c r="J3806">
        <v>13</v>
      </c>
      <c r="K3806">
        <v>4</v>
      </c>
    </row>
    <row r="3807" spans="1:11" x14ac:dyDescent="0.35">
      <c r="A3807">
        <v>3806</v>
      </c>
      <c r="B3807">
        <v>33</v>
      </c>
      <c r="C3807" t="s">
        <v>11</v>
      </c>
      <c r="D3807" t="s">
        <v>12</v>
      </c>
      <c r="E3807" t="s">
        <v>56</v>
      </c>
      <c r="F3807">
        <v>126.38</v>
      </c>
      <c r="G3807" t="s">
        <v>24</v>
      </c>
      <c r="H3807" t="s">
        <v>15</v>
      </c>
      <c r="I3807">
        <v>2.8</v>
      </c>
      <c r="J3807">
        <v>12</v>
      </c>
      <c r="K3807">
        <v>6</v>
      </c>
    </row>
    <row r="3808" spans="1:11" x14ac:dyDescent="0.35">
      <c r="A3808">
        <v>3807</v>
      </c>
      <c r="B3808">
        <v>25</v>
      </c>
      <c r="C3808" t="s">
        <v>11</v>
      </c>
      <c r="D3808" t="s">
        <v>20</v>
      </c>
      <c r="E3808" t="s">
        <v>39</v>
      </c>
      <c r="F3808">
        <v>91.07</v>
      </c>
      <c r="G3808" t="s">
        <v>31</v>
      </c>
      <c r="H3808" t="s">
        <v>15</v>
      </c>
      <c r="I3808">
        <v>4.0999999999999996</v>
      </c>
      <c r="J3808">
        <v>30</v>
      </c>
      <c r="K3808">
        <v>10</v>
      </c>
    </row>
    <row r="3809" spans="1:11" x14ac:dyDescent="0.35">
      <c r="A3809">
        <v>3808</v>
      </c>
      <c r="B3809">
        <v>42</v>
      </c>
      <c r="C3809" t="s">
        <v>16</v>
      </c>
      <c r="D3809" t="s">
        <v>17</v>
      </c>
      <c r="E3809" t="s">
        <v>48</v>
      </c>
      <c r="F3809">
        <v>104.3</v>
      </c>
      <c r="G3809" t="s">
        <v>31</v>
      </c>
      <c r="H3809" t="s">
        <v>15</v>
      </c>
      <c r="I3809">
        <v>4.7</v>
      </c>
      <c r="J3809">
        <v>11</v>
      </c>
      <c r="K3809">
        <v>3</v>
      </c>
    </row>
    <row r="3810" spans="1:11" x14ac:dyDescent="0.35">
      <c r="A3810">
        <v>3809</v>
      </c>
      <c r="B3810">
        <v>36</v>
      </c>
      <c r="C3810" t="s">
        <v>11</v>
      </c>
      <c r="D3810" t="s">
        <v>33</v>
      </c>
      <c r="E3810" t="s">
        <v>34</v>
      </c>
      <c r="F3810">
        <v>142.78</v>
      </c>
      <c r="G3810" t="s">
        <v>19</v>
      </c>
      <c r="H3810" t="s">
        <v>15</v>
      </c>
      <c r="I3810">
        <v>3.7</v>
      </c>
      <c r="J3810">
        <v>24</v>
      </c>
      <c r="K3810">
        <v>7</v>
      </c>
    </row>
    <row r="3811" spans="1:11" x14ac:dyDescent="0.35">
      <c r="A3811">
        <v>3810</v>
      </c>
      <c r="B3811">
        <v>64</v>
      </c>
      <c r="C3811" t="s">
        <v>11</v>
      </c>
      <c r="D3811" t="s">
        <v>41</v>
      </c>
      <c r="E3811" t="s">
        <v>44</v>
      </c>
      <c r="F3811">
        <v>152.88</v>
      </c>
      <c r="G3811" t="s">
        <v>14</v>
      </c>
      <c r="H3811" t="s">
        <v>15</v>
      </c>
      <c r="I3811">
        <v>4</v>
      </c>
      <c r="J3811">
        <v>12</v>
      </c>
      <c r="K3811">
        <v>6</v>
      </c>
    </row>
    <row r="3812" spans="1:11" x14ac:dyDescent="0.35">
      <c r="A3812">
        <v>3811</v>
      </c>
      <c r="B3812">
        <v>33</v>
      </c>
      <c r="C3812" t="s">
        <v>11</v>
      </c>
      <c r="D3812" t="s">
        <v>12</v>
      </c>
      <c r="E3812" t="s">
        <v>56</v>
      </c>
      <c r="F3812">
        <v>92.62</v>
      </c>
      <c r="G3812" t="s">
        <v>14</v>
      </c>
      <c r="H3812" t="s">
        <v>15</v>
      </c>
      <c r="I3812">
        <v>3.4</v>
      </c>
      <c r="J3812">
        <v>10</v>
      </c>
      <c r="K3812">
        <v>5</v>
      </c>
    </row>
    <row r="3813" spans="1:11" x14ac:dyDescent="0.35">
      <c r="A3813">
        <v>3812</v>
      </c>
      <c r="B3813">
        <v>24</v>
      </c>
      <c r="C3813" t="s">
        <v>11</v>
      </c>
      <c r="D3813" t="s">
        <v>29</v>
      </c>
      <c r="E3813" t="s">
        <v>51</v>
      </c>
      <c r="F3813">
        <v>35.21</v>
      </c>
      <c r="G3813" t="s">
        <v>31</v>
      </c>
      <c r="H3813" t="s">
        <v>15</v>
      </c>
      <c r="I3813">
        <v>3.5</v>
      </c>
      <c r="J3813">
        <v>7</v>
      </c>
      <c r="K3813">
        <v>1</v>
      </c>
    </row>
    <row r="3814" spans="1:11" x14ac:dyDescent="0.35">
      <c r="A3814">
        <v>3813</v>
      </c>
      <c r="B3814">
        <v>55</v>
      </c>
      <c r="C3814" t="s">
        <v>11</v>
      </c>
      <c r="D3814" t="s">
        <v>29</v>
      </c>
      <c r="E3814" t="s">
        <v>51</v>
      </c>
      <c r="F3814">
        <v>63.85</v>
      </c>
      <c r="G3814" t="s">
        <v>24</v>
      </c>
      <c r="H3814" t="s">
        <v>15</v>
      </c>
      <c r="I3814">
        <v>4</v>
      </c>
      <c r="J3814">
        <v>17</v>
      </c>
      <c r="K3814">
        <v>6</v>
      </c>
    </row>
    <row r="3815" spans="1:11" x14ac:dyDescent="0.35">
      <c r="A3815">
        <v>3814</v>
      </c>
      <c r="B3815">
        <v>31</v>
      </c>
      <c r="C3815" t="s">
        <v>16</v>
      </c>
      <c r="D3815" t="s">
        <v>27</v>
      </c>
      <c r="E3815" t="s">
        <v>32</v>
      </c>
      <c r="F3815">
        <v>1015.78</v>
      </c>
      <c r="G3815" t="s">
        <v>14</v>
      </c>
      <c r="H3815" t="s">
        <v>15</v>
      </c>
      <c r="I3815">
        <v>3.7</v>
      </c>
      <c r="J3815">
        <v>12</v>
      </c>
      <c r="K3815">
        <v>6</v>
      </c>
    </row>
    <row r="3816" spans="1:11" x14ac:dyDescent="0.35">
      <c r="A3816">
        <v>3815</v>
      </c>
      <c r="B3816">
        <v>49</v>
      </c>
      <c r="C3816" t="s">
        <v>16</v>
      </c>
      <c r="D3816" t="s">
        <v>17</v>
      </c>
      <c r="E3816" t="s">
        <v>42</v>
      </c>
      <c r="F3816">
        <v>60.79</v>
      </c>
      <c r="G3816" t="s">
        <v>14</v>
      </c>
      <c r="H3816" t="s">
        <v>15</v>
      </c>
      <c r="I3816">
        <v>3.9</v>
      </c>
      <c r="J3816">
        <v>4</v>
      </c>
      <c r="K3816">
        <v>2</v>
      </c>
    </row>
    <row r="3817" spans="1:11" x14ac:dyDescent="0.35">
      <c r="A3817">
        <v>3816</v>
      </c>
      <c r="B3817">
        <v>61</v>
      </c>
      <c r="C3817" t="s">
        <v>11</v>
      </c>
      <c r="D3817" t="s">
        <v>41</v>
      </c>
      <c r="E3817" t="s">
        <v>46</v>
      </c>
      <c r="F3817">
        <v>189.41</v>
      </c>
      <c r="G3817" t="s">
        <v>24</v>
      </c>
      <c r="H3817" t="s">
        <v>15</v>
      </c>
      <c r="I3817">
        <v>3.2</v>
      </c>
      <c r="J3817">
        <v>6</v>
      </c>
      <c r="K3817">
        <v>3</v>
      </c>
    </row>
    <row r="3818" spans="1:11" x14ac:dyDescent="0.35">
      <c r="A3818">
        <v>3817</v>
      </c>
      <c r="B3818">
        <v>24</v>
      </c>
      <c r="C3818" t="s">
        <v>16</v>
      </c>
      <c r="D3818" t="s">
        <v>25</v>
      </c>
      <c r="E3818" t="s">
        <v>57</v>
      </c>
      <c r="F3818">
        <v>38.06</v>
      </c>
      <c r="G3818" t="s">
        <v>19</v>
      </c>
      <c r="H3818" t="s">
        <v>37</v>
      </c>
      <c r="I3818">
        <v>4.7</v>
      </c>
      <c r="J3818">
        <v>20</v>
      </c>
      <c r="K3818">
        <v>5</v>
      </c>
    </row>
    <row r="3819" spans="1:11" x14ac:dyDescent="0.35">
      <c r="A3819">
        <v>3818</v>
      </c>
      <c r="B3819">
        <v>32</v>
      </c>
      <c r="C3819" t="s">
        <v>11</v>
      </c>
      <c r="D3819" t="s">
        <v>29</v>
      </c>
      <c r="E3819" t="s">
        <v>55</v>
      </c>
      <c r="F3819">
        <v>148.62</v>
      </c>
      <c r="G3819" t="s">
        <v>14</v>
      </c>
      <c r="H3819" t="s">
        <v>15</v>
      </c>
      <c r="I3819">
        <v>3.1</v>
      </c>
      <c r="J3819">
        <v>4</v>
      </c>
      <c r="K3819">
        <v>2</v>
      </c>
    </row>
    <row r="3820" spans="1:11" x14ac:dyDescent="0.35">
      <c r="A3820">
        <v>3819</v>
      </c>
      <c r="B3820">
        <v>39</v>
      </c>
      <c r="C3820" t="s">
        <v>16</v>
      </c>
      <c r="D3820" t="s">
        <v>25</v>
      </c>
      <c r="E3820" t="s">
        <v>47</v>
      </c>
      <c r="F3820">
        <v>70.510000000000005</v>
      </c>
      <c r="G3820" t="s">
        <v>31</v>
      </c>
      <c r="H3820" t="s">
        <v>15</v>
      </c>
      <c r="I3820">
        <v>4.0999999999999996</v>
      </c>
      <c r="J3820">
        <v>18</v>
      </c>
      <c r="K3820">
        <v>4</v>
      </c>
    </row>
    <row r="3821" spans="1:11" x14ac:dyDescent="0.35">
      <c r="A3821">
        <v>3820</v>
      </c>
      <c r="B3821">
        <v>47</v>
      </c>
      <c r="C3821" t="s">
        <v>16</v>
      </c>
      <c r="D3821" t="s">
        <v>17</v>
      </c>
      <c r="E3821" t="s">
        <v>35</v>
      </c>
      <c r="F3821">
        <v>86.22</v>
      </c>
      <c r="G3821" t="s">
        <v>14</v>
      </c>
      <c r="H3821" t="s">
        <v>37</v>
      </c>
      <c r="I3821">
        <v>5</v>
      </c>
      <c r="J3821">
        <v>28</v>
      </c>
      <c r="K3821">
        <v>9</v>
      </c>
    </row>
    <row r="3822" spans="1:11" x14ac:dyDescent="0.35">
      <c r="A3822">
        <v>3821</v>
      </c>
      <c r="B3822">
        <v>41</v>
      </c>
      <c r="C3822" t="s">
        <v>16</v>
      </c>
      <c r="D3822" t="s">
        <v>25</v>
      </c>
      <c r="E3822" t="s">
        <v>54</v>
      </c>
      <c r="F3822">
        <v>14.42</v>
      </c>
      <c r="G3822" t="s">
        <v>31</v>
      </c>
      <c r="H3822" t="s">
        <v>37</v>
      </c>
      <c r="I3822">
        <v>3.8</v>
      </c>
      <c r="J3822">
        <v>16</v>
      </c>
      <c r="K3822">
        <v>3</v>
      </c>
    </row>
    <row r="3823" spans="1:11" x14ac:dyDescent="0.35">
      <c r="A3823">
        <v>3822</v>
      </c>
      <c r="B3823">
        <v>70</v>
      </c>
      <c r="C3823" t="s">
        <v>16</v>
      </c>
      <c r="D3823" t="s">
        <v>17</v>
      </c>
      <c r="E3823" t="s">
        <v>48</v>
      </c>
      <c r="F3823">
        <v>189.46</v>
      </c>
      <c r="G3823" t="s">
        <v>31</v>
      </c>
      <c r="H3823" t="s">
        <v>15</v>
      </c>
      <c r="I3823">
        <v>4.3</v>
      </c>
      <c r="J3823">
        <v>20</v>
      </c>
      <c r="K3823">
        <v>5</v>
      </c>
    </row>
    <row r="3824" spans="1:11" x14ac:dyDescent="0.35">
      <c r="A3824">
        <v>3823</v>
      </c>
      <c r="B3824">
        <v>56</v>
      </c>
      <c r="C3824" t="s">
        <v>11</v>
      </c>
      <c r="D3824" t="s">
        <v>29</v>
      </c>
      <c r="E3824" t="s">
        <v>30</v>
      </c>
      <c r="F3824">
        <v>68.849999999999994</v>
      </c>
      <c r="G3824" t="s">
        <v>14</v>
      </c>
      <c r="H3824" t="s">
        <v>37</v>
      </c>
      <c r="I3824">
        <v>5</v>
      </c>
      <c r="J3824">
        <v>10</v>
      </c>
      <c r="K3824">
        <v>5</v>
      </c>
    </row>
    <row r="3825" spans="1:11" x14ac:dyDescent="0.35">
      <c r="A3825">
        <v>3824</v>
      </c>
      <c r="B3825">
        <v>30</v>
      </c>
      <c r="C3825" t="s">
        <v>16</v>
      </c>
      <c r="D3825" t="s">
        <v>27</v>
      </c>
      <c r="E3825" t="s">
        <v>28</v>
      </c>
      <c r="F3825">
        <v>1289.45</v>
      </c>
      <c r="G3825" t="s">
        <v>19</v>
      </c>
      <c r="H3825" t="s">
        <v>15</v>
      </c>
      <c r="I3825">
        <v>3.9</v>
      </c>
      <c r="J3825">
        <v>24</v>
      </c>
      <c r="K3825">
        <v>7</v>
      </c>
    </row>
    <row r="3826" spans="1:11" x14ac:dyDescent="0.35">
      <c r="A3826">
        <v>3825</v>
      </c>
      <c r="B3826">
        <v>37</v>
      </c>
      <c r="C3826" t="s">
        <v>16</v>
      </c>
      <c r="D3826" t="s">
        <v>20</v>
      </c>
      <c r="E3826" t="s">
        <v>39</v>
      </c>
      <c r="F3826">
        <v>152.16</v>
      </c>
      <c r="G3826" t="s">
        <v>14</v>
      </c>
      <c r="H3826" t="s">
        <v>15</v>
      </c>
      <c r="I3826">
        <v>2.9</v>
      </c>
      <c r="J3826">
        <v>18</v>
      </c>
      <c r="K3826">
        <v>4</v>
      </c>
    </row>
    <row r="3827" spans="1:11" x14ac:dyDescent="0.35">
      <c r="A3827">
        <v>3826</v>
      </c>
      <c r="B3827">
        <v>37</v>
      </c>
      <c r="C3827" t="s">
        <v>11</v>
      </c>
      <c r="D3827" t="s">
        <v>12</v>
      </c>
      <c r="E3827" t="s">
        <v>13</v>
      </c>
      <c r="F3827">
        <v>108.77</v>
      </c>
      <c r="G3827" t="s">
        <v>31</v>
      </c>
      <c r="H3827" t="s">
        <v>15</v>
      </c>
      <c r="I3827">
        <v>4.2</v>
      </c>
      <c r="J3827">
        <v>12</v>
      </c>
      <c r="K3827">
        <v>6</v>
      </c>
    </row>
    <row r="3828" spans="1:11" x14ac:dyDescent="0.35">
      <c r="A3828">
        <v>3827</v>
      </c>
      <c r="B3828">
        <v>57</v>
      </c>
      <c r="C3828" t="s">
        <v>16</v>
      </c>
      <c r="D3828" t="s">
        <v>20</v>
      </c>
      <c r="E3828" t="s">
        <v>36</v>
      </c>
      <c r="F3828">
        <v>102.42</v>
      </c>
      <c r="G3828" t="s">
        <v>14</v>
      </c>
      <c r="H3828" t="s">
        <v>15</v>
      </c>
      <c r="I3828">
        <v>3.5</v>
      </c>
      <c r="J3828">
        <v>2</v>
      </c>
      <c r="K3828">
        <v>1</v>
      </c>
    </row>
    <row r="3829" spans="1:11" x14ac:dyDescent="0.35">
      <c r="A3829">
        <v>3828</v>
      </c>
      <c r="B3829">
        <v>35</v>
      </c>
      <c r="C3829" t="s">
        <v>11</v>
      </c>
      <c r="D3829" t="s">
        <v>12</v>
      </c>
      <c r="E3829" t="s">
        <v>56</v>
      </c>
      <c r="F3829">
        <v>89.77</v>
      </c>
      <c r="G3829" t="s">
        <v>19</v>
      </c>
      <c r="H3829" t="s">
        <v>15</v>
      </c>
      <c r="I3829">
        <v>3.6</v>
      </c>
      <c r="J3829">
        <v>6</v>
      </c>
      <c r="K3829">
        <v>3</v>
      </c>
    </row>
    <row r="3830" spans="1:11" x14ac:dyDescent="0.35">
      <c r="A3830">
        <v>3829</v>
      </c>
      <c r="B3830">
        <v>66</v>
      </c>
      <c r="C3830" t="s">
        <v>16</v>
      </c>
      <c r="D3830" t="s">
        <v>27</v>
      </c>
      <c r="E3830" t="s">
        <v>49</v>
      </c>
      <c r="F3830">
        <v>2342.16</v>
      </c>
      <c r="G3830" t="s">
        <v>31</v>
      </c>
      <c r="H3830" t="s">
        <v>15</v>
      </c>
      <c r="I3830">
        <v>3.7</v>
      </c>
      <c r="J3830">
        <v>23</v>
      </c>
      <c r="K3830">
        <v>9</v>
      </c>
    </row>
    <row r="3831" spans="1:11" x14ac:dyDescent="0.35">
      <c r="A3831">
        <v>3830</v>
      </c>
      <c r="B3831">
        <v>54</v>
      </c>
      <c r="C3831" t="s">
        <v>11</v>
      </c>
      <c r="D3831" t="s">
        <v>29</v>
      </c>
      <c r="E3831" t="s">
        <v>51</v>
      </c>
      <c r="F3831">
        <v>101.65</v>
      </c>
      <c r="G3831" t="s">
        <v>31</v>
      </c>
      <c r="H3831" t="s">
        <v>15</v>
      </c>
      <c r="I3831">
        <v>3.9</v>
      </c>
      <c r="J3831">
        <v>12</v>
      </c>
      <c r="K3831">
        <v>6</v>
      </c>
    </row>
    <row r="3832" spans="1:11" x14ac:dyDescent="0.35">
      <c r="A3832">
        <v>3831</v>
      </c>
      <c r="B3832">
        <v>57</v>
      </c>
      <c r="C3832" t="s">
        <v>11</v>
      </c>
      <c r="D3832" t="s">
        <v>20</v>
      </c>
      <c r="E3832" t="s">
        <v>39</v>
      </c>
      <c r="F3832">
        <v>194.84</v>
      </c>
      <c r="G3832" t="s">
        <v>19</v>
      </c>
      <c r="H3832" t="s">
        <v>15</v>
      </c>
      <c r="I3832">
        <v>4.7</v>
      </c>
      <c r="J3832">
        <v>22</v>
      </c>
      <c r="K3832">
        <v>6</v>
      </c>
    </row>
    <row r="3833" spans="1:11" x14ac:dyDescent="0.35">
      <c r="A3833">
        <v>3832</v>
      </c>
      <c r="B3833">
        <v>27</v>
      </c>
      <c r="C3833" t="s">
        <v>16</v>
      </c>
      <c r="D3833" t="s">
        <v>27</v>
      </c>
      <c r="E3833" t="s">
        <v>32</v>
      </c>
      <c r="F3833">
        <v>1483.08</v>
      </c>
      <c r="G3833" t="s">
        <v>19</v>
      </c>
      <c r="H3833" t="s">
        <v>15</v>
      </c>
      <c r="I3833">
        <v>4.0999999999999996</v>
      </c>
      <c r="J3833">
        <v>16</v>
      </c>
      <c r="K3833">
        <v>3</v>
      </c>
    </row>
    <row r="3834" spans="1:11" x14ac:dyDescent="0.35">
      <c r="A3834">
        <v>3833</v>
      </c>
      <c r="B3834">
        <v>66</v>
      </c>
      <c r="C3834" t="s">
        <v>11</v>
      </c>
      <c r="D3834" t="s">
        <v>25</v>
      </c>
      <c r="E3834" t="s">
        <v>57</v>
      </c>
      <c r="F3834">
        <v>16.63</v>
      </c>
      <c r="G3834" t="s">
        <v>19</v>
      </c>
      <c r="H3834" t="s">
        <v>37</v>
      </c>
      <c r="I3834">
        <v>3</v>
      </c>
      <c r="J3834">
        <v>15</v>
      </c>
      <c r="K3834">
        <v>5</v>
      </c>
    </row>
    <row r="3835" spans="1:11" x14ac:dyDescent="0.35">
      <c r="A3835">
        <v>3834</v>
      </c>
      <c r="B3835">
        <v>45</v>
      </c>
      <c r="C3835" t="s">
        <v>16</v>
      </c>
      <c r="D3835" t="s">
        <v>20</v>
      </c>
      <c r="E3835" t="s">
        <v>21</v>
      </c>
      <c r="F3835">
        <v>191.91</v>
      </c>
      <c r="G3835" t="s">
        <v>24</v>
      </c>
      <c r="H3835" t="s">
        <v>15</v>
      </c>
      <c r="I3835">
        <v>3</v>
      </c>
      <c r="J3835">
        <v>8</v>
      </c>
      <c r="K3835">
        <v>4</v>
      </c>
    </row>
    <row r="3836" spans="1:11" x14ac:dyDescent="0.35">
      <c r="A3836">
        <v>3835</v>
      </c>
      <c r="B3836">
        <v>48</v>
      </c>
      <c r="C3836" t="s">
        <v>16</v>
      </c>
      <c r="D3836" t="s">
        <v>17</v>
      </c>
      <c r="E3836" t="s">
        <v>48</v>
      </c>
      <c r="F3836">
        <v>114.46</v>
      </c>
      <c r="G3836" t="s">
        <v>14</v>
      </c>
      <c r="H3836" t="s">
        <v>15</v>
      </c>
      <c r="I3836">
        <v>3.5</v>
      </c>
      <c r="J3836">
        <v>7</v>
      </c>
      <c r="K3836">
        <v>1</v>
      </c>
    </row>
    <row r="3837" spans="1:11" x14ac:dyDescent="0.35">
      <c r="A3837">
        <v>3836</v>
      </c>
      <c r="B3837">
        <v>44</v>
      </c>
      <c r="C3837" t="s">
        <v>16</v>
      </c>
      <c r="D3837" t="s">
        <v>22</v>
      </c>
      <c r="E3837" t="s">
        <v>23</v>
      </c>
      <c r="F3837">
        <v>194.94</v>
      </c>
      <c r="G3837" t="s">
        <v>14</v>
      </c>
      <c r="H3837" t="s">
        <v>15</v>
      </c>
      <c r="I3837">
        <v>2.6</v>
      </c>
      <c r="J3837">
        <v>20</v>
      </c>
      <c r="K3837">
        <v>5</v>
      </c>
    </row>
    <row r="3838" spans="1:11" x14ac:dyDescent="0.35">
      <c r="A3838">
        <v>3837</v>
      </c>
      <c r="B3838">
        <v>42</v>
      </c>
      <c r="C3838" t="s">
        <v>11</v>
      </c>
      <c r="D3838" t="s">
        <v>41</v>
      </c>
      <c r="E3838" t="s">
        <v>46</v>
      </c>
      <c r="F3838">
        <v>161.16999999999999</v>
      </c>
      <c r="G3838" t="s">
        <v>19</v>
      </c>
      <c r="H3838" t="s">
        <v>15</v>
      </c>
      <c r="I3838">
        <v>3.2</v>
      </c>
      <c r="J3838">
        <v>10</v>
      </c>
      <c r="K3838">
        <v>5</v>
      </c>
    </row>
    <row r="3839" spans="1:11" x14ac:dyDescent="0.35">
      <c r="A3839">
        <v>3838</v>
      </c>
      <c r="B3839">
        <v>21</v>
      </c>
      <c r="C3839" t="s">
        <v>11</v>
      </c>
      <c r="D3839" t="s">
        <v>29</v>
      </c>
      <c r="E3839" t="s">
        <v>51</v>
      </c>
      <c r="F3839">
        <v>128.63</v>
      </c>
      <c r="G3839" t="s">
        <v>19</v>
      </c>
      <c r="H3839" t="s">
        <v>15</v>
      </c>
      <c r="I3839">
        <v>3.7</v>
      </c>
      <c r="J3839">
        <v>16</v>
      </c>
      <c r="K3839">
        <v>3</v>
      </c>
    </row>
    <row r="3840" spans="1:11" x14ac:dyDescent="0.35">
      <c r="A3840">
        <v>3839</v>
      </c>
      <c r="B3840">
        <v>42</v>
      </c>
      <c r="C3840" t="s">
        <v>16</v>
      </c>
      <c r="D3840" t="s">
        <v>27</v>
      </c>
      <c r="E3840" t="s">
        <v>28</v>
      </c>
      <c r="F3840">
        <v>1995.79</v>
      </c>
      <c r="G3840" t="s">
        <v>31</v>
      </c>
      <c r="H3840" t="s">
        <v>15</v>
      </c>
      <c r="I3840">
        <v>3</v>
      </c>
      <c r="J3840">
        <v>4</v>
      </c>
      <c r="K3840">
        <v>2</v>
      </c>
    </row>
    <row r="3841" spans="1:11" x14ac:dyDescent="0.35">
      <c r="A3841">
        <v>3840</v>
      </c>
      <c r="B3841">
        <v>57</v>
      </c>
      <c r="C3841" t="s">
        <v>16</v>
      </c>
      <c r="D3841" t="s">
        <v>33</v>
      </c>
      <c r="E3841" t="s">
        <v>40</v>
      </c>
      <c r="F3841">
        <v>184.11</v>
      </c>
      <c r="G3841" t="s">
        <v>19</v>
      </c>
      <c r="H3841" t="s">
        <v>15</v>
      </c>
      <c r="I3841">
        <v>3.4</v>
      </c>
      <c r="J3841">
        <v>17</v>
      </c>
      <c r="K3841">
        <v>6</v>
      </c>
    </row>
    <row r="3842" spans="1:11" x14ac:dyDescent="0.35">
      <c r="A3842">
        <v>3841</v>
      </c>
      <c r="B3842">
        <v>31</v>
      </c>
      <c r="C3842" t="s">
        <v>11</v>
      </c>
      <c r="D3842" t="s">
        <v>41</v>
      </c>
      <c r="E3842" t="s">
        <v>45</v>
      </c>
      <c r="F3842">
        <v>42.28</v>
      </c>
      <c r="G3842" t="s">
        <v>14</v>
      </c>
      <c r="H3842" t="s">
        <v>15</v>
      </c>
      <c r="I3842">
        <v>4.2</v>
      </c>
      <c r="J3842">
        <v>8</v>
      </c>
      <c r="K3842">
        <v>4</v>
      </c>
    </row>
    <row r="3843" spans="1:11" x14ac:dyDescent="0.35">
      <c r="A3843">
        <v>3842</v>
      </c>
      <c r="B3843">
        <v>34</v>
      </c>
      <c r="C3843" t="s">
        <v>11</v>
      </c>
      <c r="D3843" t="s">
        <v>25</v>
      </c>
      <c r="E3843" t="s">
        <v>47</v>
      </c>
      <c r="F3843">
        <v>32.97</v>
      </c>
      <c r="G3843" t="s">
        <v>19</v>
      </c>
      <c r="H3843" t="s">
        <v>37</v>
      </c>
      <c r="I3843">
        <v>2.2000000000000002</v>
      </c>
      <c r="J3843">
        <v>22</v>
      </c>
      <c r="K3843">
        <v>6</v>
      </c>
    </row>
    <row r="3844" spans="1:11" x14ac:dyDescent="0.35">
      <c r="A3844">
        <v>3843</v>
      </c>
      <c r="B3844">
        <v>36</v>
      </c>
      <c r="C3844" t="s">
        <v>16</v>
      </c>
      <c r="D3844" t="s">
        <v>17</v>
      </c>
      <c r="E3844" t="s">
        <v>42</v>
      </c>
      <c r="F3844">
        <v>177.58</v>
      </c>
      <c r="G3844" t="s">
        <v>14</v>
      </c>
      <c r="H3844" t="s">
        <v>15</v>
      </c>
      <c r="I3844">
        <v>5</v>
      </c>
      <c r="J3844">
        <v>20</v>
      </c>
      <c r="K3844">
        <v>5</v>
      </c>
    </row>
    <row r="3845" spans="1:11" x14ac:dyDescent="0.35">
      <c r="A3845">
        <v>3844</v>
      </c>
      <c r="B3845">
        <v>52</v>
      </c>
      <c r="C3845" t="s">
        <v>16</v>
      </c>
      <c r="D3845" t="s">
        <v>25</v>
      </c>
      <c r="E3845" t="s">
        <v>47</v>
      </c>
      <c r="F3845">
        <v>28.33</v>
      </c>
      <c r="G3845" t="s">
        <v>31</v>
      </c>
      <c r="H3845" t="s">
        <v>15</v>
      </c>
      <c r="I3845">
        <v>2.6</v>
      </c>
      <c r="J3845">
        <v>10</v>
      </c>
      <c r="K3845">
        <v>5</v>
      </c>
    </row>
    <row r="3846" spans="1:11" x14ac:dyDescent="0.35">
      <c r="A3846">
        <v>3845</v>
      </c>
      <c r="B3846">
        <v>56</v>
      </c>
      <c r="C3846" t="s">
        <v>16</v>
      </c>
      <c r="D3846" t="s">
        <v>27</v>
      </c>
      <c r="E3846" t="s">
        <v>53</v>
      </c>
      <c r="F3846">
        <v>1509.77</v>
      </c>
      <c r="G3846" t="s">
        <v>19</v>
      </c>
      <c r="H3846" t="s">
        <v>15</v>
      </c>
      <c r="I3846">
        <v>4.0999999999999996</v>
      </c>
      <c r="J3846">
        <v>8</v>
      </c>
      <c r="K3846">
        <v>4</v>
      </c>
    </row>
    <row r="3847" spans="1:11" x14ac:dyDescent="0.35">
      <c r="A3847">
        <v>3846</v>
      </c>
      <c r="B3847">
        <v>22</v>
      </c>
      <c r="C3847" t="s">
        <v>16</v>
      </c>
      <c r="D3847" t="s">
        <v>33</v>
      </c>
      <c r="E3847" t="s">
        <v>34</v>
      </c>
      <c r="F3847">
        <v>221.34</v>
      </c>
      <c r="G3847" t="s">
        <v>31</v>
      </c>
      <c r="H3847" t="s">
        <v>15</v>
      </c>
      <c r="I3847">
        <v>3</v>
      </c>
      <c r="J3847">
        <v>9</v>
      </c>
      <c r="K3847">
        <v>2</v>
      </c>
    </row>
    <row r="3848" spans="1:11" x14ac:dyDescent="0.35">
      <c r="A3848">
        <v>3847</v>
      </c>
      <c r="B3848">
        <v>25</v>
      </c>
      <c r="C3848" t="s">
        <v>16</v>
      </c>
      <c r="D3848" t="s">
        <v>33</v>
      </c>
      <c r="E3848" t="s">
        <v>34</v>
      </c>
      <c r="F3848">
        <v>129.19999999999999</v>
      </c>
      <c r="G3848" t="s">
        <v>24</v>
      </c>
      <c r="H3848" t="s">
        <v>15</v>
      </c>
      <c r="I3848">
        <v>3.8</v>
      </c>
      <c r="J3848">
        <v>11</v>
      </c>
      <c r="K3848">
        <v>3</v>
      </c>
    </row>
    <row r="3849" spans="1:11" x14ac:dyDescent="0.35">
      <c r="A3849">
        <v>3848</v>
      </c>
      <c r="B3849">
        <v>33</v>
      </c>
      <c r="C3849" t="s">
        <v>11</v>
      </c>
      <c r="D3849" t="s">
        <v>29</v>
      </c>
      <c r="E3849" t="s">
        <v>51</v>
      </c>
      <c r="F3849">
        <v>33.51</v>
      </c>
      <c r="G3849" t="s">
        <v>24</v>
      </c>
      <c r="H3849" t="s">
        <v>15</v>
      </c>
      <c r="I3849">
        <v>3.8</v>
      </c>
      <c r="J3849">
        <v>16</v>
      </c>
      <c r="K3849">
        <v>8</v>
      </c>
    </row>
    <row r="3850" spans="1:11" x14ac:dyDescent="0.35">
      <c r="A3850">
        <v>3849</v>
      </c>
      <c r="B3850">
        <v>60</v>
      </c>
      <c r="C3850" t="s">
        <v>11</v>
      </c>
      <c r="D3850" t="s">
        <v>41</v>
      </c>
      <c r="E3850" t="s">
        <v>42</v>
      </c>
      <c r="F3850">
        <v>73.260000000000005</v>
      </c>
      <c r="G3850" t="s">
        <v>24</v>
      </c>
      <c r="H3850" t="s">
        <v>15</v>
      </c>
      <c r="I3850">
        <v>3</v>
      </c>
      <c r="J3850">
        <v>9</v>
      </c>
      <c r="K3850">
        <v>2</v>
      </c>
    </row>
    <row r="3851" spans="1:11" x14ac:dyDescent="0.35">
      <c r="A3851">
        <v>3850</v>
      </c>
      <c r="B3851">
        <v>22</v>
      </c>
      <c r="C3851" t="s">
        <v>16</v>
      </c>
      <c r="D3851" t="s">
        <v>27</v>
      </c>
      <c r="E3851" t="s">
        <v>53</v>
      </c>
      <c r="F3851">
        <v>2440.87</v>
      </c>
      <c r="G3851" t="s">
        <v>31</v>
      </c>
      <c r="H3851" t="s">
        <v>15</v>
      </c>
      <c r="I3851">
        <v>3.7</v>
      </c>
      <c r="J3851">
        <v>22</v>
      </c>
      <c r="K3851">
        <v>6</v>
      </c>
    </row>
    <row r="3852" spans="1:11" x14ac:dyDescent="0.35">
      <c r="A3852">
        <v>3851</v>
      </c>
      <c r="B3852">
        <v>35</v>
      </c>
      <c r="C3852" t="s">
        <v>11</v>
      </c>
      <c r="D3852" t="s">
        <v>22</v>
      </c>
      <c r="E3852" t="s">
        <v>52</v>
      </c>
      <c r="F3852">
        <v>164.39</v>
      </c>
      <c r="G3852" t="s">
        <v>31</v>
      </c>
      <c r="H3852" t="s">
        <v>15</v>
      </c>
      <c r="I3852">
        <v>3.9</v>
      </c>
      <c r="J3852">
        <v>15</v>
      </c>
      <c r="K3852">
        <v>5</v>
      </c>
    </row>
    <row r="3853" spans="1:11" x14ac:dyDescent="0.35">
      <c r="A3853">
        <v>3852</v>
      </c>
      <c r="B3853">
        <v>35</v>
      </c>
      <c r="C3853" t="s">
        <v>11</v>
      </c>
      <c r="D3853" t="s">
        <v>12</v>
      </c>
      <c r="E3853" t="s">
        <v>13</v>
      </c>
      <c r="F3853">
        <v>72.819999999999993</v>
      </c>
      <c r="G3853" t="s">
        <v>19</v>
      </c>
      <c r="H3853" t="s">
        <v>37</v>
      </c>
      <c r="I3853">
        <v>5</v>
      </c>
      <c r="J3853">
        <v>24</v>
      </c>
      <c r="K3853">
        <v>7</v>
      </c>
    </row>
    <row r="3854" spans="1:11" x14ac:dyDescent="0.35">
      <c r="A3854">
        <v>3853</v>
      </c>
      <c r="B3854">
        <v>22</v>
      </c>
      <c r="C3854" t="s">
        <v>11</v>
      </c>
      <c r="D3854" t="s">
        <v>33</v>
      </c>
      <c r="E3854" t="s">
        <v>38</v>
      </c>
      <c r="F3854">
        <v>195.2</v>
      </c>
      <c r="G3854" t="s">
        <v>31</v>
      </c>
      <c r="H3854" t="s">
        <v>15</v>
      </c>
      <c r="I3854">
        <v>3.6</v>
      </c>
      <c r="J3854">
        <v>17</v>
      </c>
      <c r="K3854">
        <v>6</v>
      </c>
    </row>
    <row r="3855" spans="1:11" x14ac:dyDescent="0.35">
      <c r="A3855">
        <v>3854</v>
      </c>
      <c r="B3855">
        <v>52</v>
      </c>
      <c r="C3855" t="s">
        <v>11</v>
      </c>
      <c r="D3855" t="s">
        <v>33</v>
      </c>
      <c r="E3855" t="s">
        <v>38</v>
      </c>
      <c r="F3855">
        <v>165.9</v>
      </c>
      <c r="G3855" t="s">
        <v>19</v>
      </c>
      <c r="H3855" t="s">
        <v>15</v>
      </c>
      <c r="I3855">
        <v>3.3</v>
      </c>
      <c r="J3855">
        <v>7</v>
      </c>
      <c r="K3855">
        <v>1</v>
      </c>
    </row>
    <row r="3856" spans="1:11" x14ac:dyDescent="0.35">
      <c r="A3856">
        <v>3855</v>
      </c>
      <c r="B3856">
        <v>57</v>
      </c>
      <c r="C3856" t="s">
        <v>16</v>
      </c>
      <c r="D3856" t="s">
        <v>20</v>
      </c>
      <c r="E3856" t="s">
        <v>36</v>
      </c>
      <c r="F3856">
        <v>53.33</v>
      </c>
      <c r="G3856" t="s">
        <v>14</v>
      </c>
      <c r="H3856" t="s">
        <v>15</v>
      </c>
      <c r="I3856">
        <v>3.7</v>
      </c>
      <c r="J3856">
        <v>15</v>
      </c>
      <c r="K3856">
        <v>5</v>
      </c>
    </row>
    <row r="3857" spans="1:11" x14ac:dyDescent="0.35">
      <c r="A3857">
        <v>3856</v>
      </c>
      <c r="B3857">
        <v>43</v>
      </c>
      <c r="C3857" t="s">
        <v>16</v>
      </c>
      <c r="D3857" t="s">
        <v>20</v>
      </c>
      <c r="E3857" t="s">
        <v>36</v>
      </c>
      <c r="F3857">
        <v>186.13</v>
      </c>
      <c r="G3857" t="s">
        <v>31</v>
      </c>
      <c r="H3857" t="s">
        <v>15</v>
      </c>
      <c r="I3857">
        <v>2.7</v>
      </c>
      <c r="J3857">
        <v>8</v>
      </c>
      <c r="K3857">
        <v>4</v>
      </c>
    </row>
    <row r="3858" spans="1:11" x14ac:dyDescent="0.35">
      <c r="A3858">
        <v>3857</v>
      </c>
      <c r="B3858">
        <v>51</v>
      </c>
      <c r="C3858" t="s">
        <v>16</v>
      </c>
      <c r="D3858" t="s">
        <v>17</v>
      </c>
      <c r="E3858" t="s">
        <v>35</v>
      </c>
      <c r="F3858">
        <v>71.650000000000006</v>
      </c>
      <c r="G3858" t="s">
        <v>31</v>
      </c>
      <c r="H3858" t="s">
        <v>37</v>
      </c>
      <c r="I3858">
        <v>4.2</v>
      </c>
      <c r="J3858">
        <v>19</v>
      </c>
      <c r="K3858">
        <v>7</v>
      </c>
    </row>
    <row r="3859" spans="1:11" x14ac:dyDescent="0.35">
      <c r="A3859">
        <v>3858</v>
      </c>
      <c r="B3859">
        <v>55</v>
      </c>
      <c r="C3859" t="s">
        <v>16</v>
      </c>
      <c r="D3859" t="s">
        <v>20</v>
      </c>
      <c r="E3859" t="s">
        <v>36</v>
      </c>
      <c r="F3859">
        <v>128.66999999999999</v>
      </c>
      <c r="G3859" t="s">
        <v>19</v>
      </c>
      <c r="H3859" t="s">
        <v>15</v>
      </c>
      <c r="I3859">
        <v>4.0999999999999996</v>
      </c>
      <c r="J3859">
        <v>20</v>
      </c>
      <c r="K3859">
        <v>5</v>
      </c>
    </row>
    <row r="3860" spans="1:11" x14ac:dyDescent="0.35">
      <c r="A3860">
        <v>3859</v>
      </c>
      <c r="B3860">
        <v>68</v>
      </c>
      <c r="C3860" t="s">
        <v>11</v>
      </c>
      <c r="D3860" t="s">
        <v>29</v>
      </c>
      <c r="E3860" t="s">
        <v>51</v>
      </c>
      <c r="F3860">
        <v>72.5</v>
      </c>
      <c r="G3860" t="s">
        <v>14</v>
      </c>
      <c r="H3860" t="s">
        <v>37</v>
      </c>
      <c r="I3860">
        <v>3</v>
      </c>
      <c r="J3860">
        <v>28</v>
      </c>
      <c r="K3860">
        <v>9</v>
      </c>
    </row>
    <row r="3861" spans="1:11" x14ac:dyDescent="0.35">
      <c r="A3861">
        <v>3860</v>
      </c>
      <c r="B3861">
        <v>61</v>
      </c>
      <c r="C3861" t="s">
        <v>11</v>
      </c>
      <c r="D3861" t="s">
        <v>25</v>
      </c>
      <c r="E3861" t="s">
        <v>54</v>
      </c>
      <c r="F3861">
        <v>25.6</v>
      </c>
      <c r="G3861" t="s">
        <v>19</v>
      </c>
      <c r="H3861" t="s">
        <v>37</v>
      </c>
      <c r="I3861">
        <v>4</v>
      </c>
      <c r="J3861">
        <v>13</v>
      </c>
      <c r="K3861">
        <v>4</v>
      </c>
    </row>
    <row r="3862" spans="1:11" x14ac:dyDescent="0.35">
      <c r="A3862">
        <v>3861</v>
      </c>
      <c r="B3862">
        <v>54</v>
      </c>
      <c r="C3862" t="s">
        <v>11</v>
      </c>
      <c r="D3862" t="s">
        <v>41</v>
      </c>
      <c r="E3862" t="s">
        <v>42</v>
      </c>
      <c r="F3862">
        <v>48.92</v>
      </c>
      <c r="G3862" t="s">
        <v>31</v>
      </c>
      <c r="H3862" t="s">
        <v>15</v>
      </c>
      <c r="I3862">
        <v>4.2</v>
      </c>
      <c r="J3862">
        <v>22</v>
      </c>
      <c r="K3862">
        <v>6</v>
      </c>
    </row>
    <row r="3863" spans="1:11" x14ac:dyDescent="0.35">
      <c r="A3863">
        <v>3862</v>
      </c>
      <c r="B3863">
        <v>65</v>
      </c>
      <c r="C3863" t="s">
        <v>11</v>
      </c>
      <c r="D3863" t="s">
        <v>12</v>
      </c>
      <c r="E3863" t="s">
        <v>13</v>
      </c>
      <c r="F3863">
        <v>82.14</v>
      </c>
      <c r="G3863" t="s">
        <v>31</v>
      </c>
      <c r="H3863" t="s">
        <v>37</v>
      </c>
      <c r="I3863">
        <v>3.3</v>
      </c>
      <c r="J3863">
        <v>17</v>
      </c>
      <c r="K3863">
        <v>6</v>
      </c>
    </row>
    <row r="3864" spans="1:11" x14ac:dyDescent="0.35">
      <c r="A3864">
        <v>3863</v>
      </c>
      <c r="B3864">
        <v>42</v>
      </c>
      <c r="C3864" t="s">
        <v>16</v>
      </c>
      <c r="D3864" t="s">
        <v>33</v>
      </c>
      <c r="E3864" t="s">
        <v>34</v>
      </c>
      <c r="F3864">
        <v>74.959999999999994</v>
      </c>
      <c r="G3864" t="s">
        <v>24</v>
      </c>
      <c r="H3864" t="s">
        <v>37</v>
      </c>
      <c r="I3864">
        <v>2.4</v>
      </c>
      <c r="J3864">
        <v>22</v>
      </c>
      <c r="K3864">
        <v>6</v>
      </c>
    </row>
    <row r="3865" spans="1:11" x14ac:dyDescent="0.35">
      <c r="A3865">
        <v>3864</v>
      </c>
      <c r="B3865">
        <v>53</v>
      </c>
      <c r="C3865" t="s">
        <v>11</v>
      </c>
      <c r="D3865" t="s">
        <v>25</v>
      </c>
      <c r="E3865" t="s">
        <v>47</v>
      </c>
      <c r="F3865">
        <v>36.549999999999997</v>
      </c>
      <c r="G3865" t="s">
        <v>19</v>
      </c>
      <c r="H3865" t="s">
        <v>15</v>
      </c>
      <c r="I3865">
        <v>3.8</v>
      </c>
      <c r="J3865">
        <v>15</v>
      </c>
      <c r="K3865">
        <v>5</v>
      </c>
    </row>
    <row r="3866" spans="1:11" x14ac:dyDescent="0.35">
      <c r="A3866">
        <v>3865</v>
      </c>
      <c r="B3866">
        <v>25</v>
      </c>
      <c r="C3866" t="s">
        <v>16</v>
      </c>
      <c r="D3866" t="s">
        <v>20</v>
      </c>
      <c r="E3866" t="s">
        <v>21</v>
      </c>
      <c r="F3866">
        <v>162.61000000000001</v>
      </c>
      <c r="G3866" t="s">
        <v>24</v>
      </c>
      <c r="H3866" t="s">
        <v>15</v>
      </c>
      <c r="I3866">
        <v>4.7</v>
      </c>
      <c r="J3866">
        <v>16</v>
      </c>
      <c r="K3866">
        <v>3</v>
      </c>
    </row>
    <row r="3867" spans="1:11" x14ac:dyDescent="0.35">
      <c r="A3867">
        <v>3866</v>
      </c>
      <c r="B3867">
        <v>49</v>
      </c>
      <c r="C3867" t="s">
        <v>16</v>
      </c>
      <c r="D3867" t="s">
        <v>20</v>
      </c>
      <c r="E3867" t="s">
        <v>21</v>
      </c>
      <c r="F3867">
        <v>75.87</v>
      </c>
      <c r="G3867" t="s">
        <v>19</v>
      </c>
      <c r="H3867" t="s">
        <v>37</v>
      </c>
      <c r="I3867">
        <v>3</v>
      </c>
      <c r="J3867">
        <v>11</v>
      </c>
      <c r="K3867">
        <v>3</v>
      </c>
    </row>
    <row r="3868" spans="1:11" x14ac:dyDescent="0.35">
      <c r="A3868">
        <v>3867</v>
      </c>
      <c r="B3868">
        <v>59</v>
      </c>
      <c r="C3868" t="s">
        <v>11</v>
      </c>
      <c r="D3868" t="s">
        <v>25</v>
      </c>
      <c r="E3868" t="s">
        <v>47</v>
      </c>
      <c r="F3868">
        <v>16.71</v>
      </c>
      <c r="G3868" t="s">
        <v>31</v>
      </c>
      <c r="H3868" t="s">
        <v>15</v>
      </c>
      <c r="I3868">
        <v>3.9</v>
      </c>
      <c r="J3868">
        <v>17</v>
      </c>
      <c r="K3868">
        <v>6</v>
      </c>
    </row>
    <row r="3869" spans="1:11" x14ac:dyDescent="0.35">
      <c r="A3869">
        <v>3868</v>
      </c>
      <c r="B3869">
        <v>66</v>
      </c>
      <c r="C3869" t="s">
        <v>11</v>
      </c>
      <c r="D3869" t="s">
        <v>12</v>
      </c>
      <c r="E3869" t="s">
        <v>13</v>
      </c>
      <c r="F3869">
        <v>118.57</v>
      </c>
      <c r="G3869" t="s">
        <v>14</v>
      </c>
      <c r="H3869" t="s">
        <v>15</v>
      </c>
      <c r="I3869">
        <v>2.9</v>
      </c>
      <c r="J3869">
        <v>15</v>
      </c>
      <c r="K3869">
        <v>5</v>
      </c>
    </row>
    <row r="3870" spans="1:11" x14ac:dyDescent="0.35">
      <c r="A3870">
        <v>3869</v>
      </c>
      <c r="B3870">
        <v>26</v>
      </c>
      <c r="C3870" t="s">
        <v>11</v>
      </c>
      <c r="D3870" t="s">
        <v>41</v>
      </c>
      <c r="E3870" t="s">
        <v>42</v>
      </c>
      <c r="F3870">
        <v>71.72</v>
      </c>
      <c r="G3870" t="s">
        <v>19</v>
      </c>
      <c r="H3870" t="s">
        <v>15</v>
      </c>
      <c r="I3870">
        <v>3.5</v>
      </c>
      <c r="J3870">
        <v>21</v>
      </c>
      <c r="K3870">
        <v>8</v>
      </c>
    </row>
    <row r="3871" spans="1:11" x14ac:dyDescent="0.35">
      <c r="A3871">
        <v>3870</v>
      </c>
      <c r="B3871">
        <v>64</v>
      </c>
      <c r="C3871" t="s">
        <v>11</v>
      </c>
      <c r="D3871" t="s">
        <v>22</v>
      </c>
      <c r="E3871" t="s">
        <v>52</v>
      </c>
      <c r="F3871">
        <v>280.58999999999997</v>
      </c>
      <c r="G3871" t="s">
        <v>31</v>
      </c>
      <c r="H3871" t="s">
        <v>15</v>
      </c>
      <c r="I3871">
        <v>4.9000000000000004</v>
      </c>
      <c r="J3871">
        <v>17</v>
      </c>
      <c r="K3871">
        <v>6</v>
      </c>
    </row>
    <row r="3872" spans="1:11" x14ac:dyDescent="0.35">
      <c r="A3872">
        <v>3871</v>
      </c>
      <c r="B3872">
        <v>46</v>
      </c>
      <c r="C3872" t="s">
        <v>11</v>
      </c>
      <c r="D3872" t="s">
        <v>41</v>
      </c>
      <c r="E3872" t="s">
        <v>42</v>
      </c>
      <c r="F3872">
        <v>121.97</v>
      </c>
      <c r="G3872" t="s">
        <v>31</v>
      </c>
      <c r="H3872" t="s">
        <v>15</v>
      </c>
      <c r="I3872">
        <v>4.5999999999999996</v>
      </c>
      <c r="J3872">
        <v>26</v>
      </c>
      <c r="K3872">
        <v>8</v>
      </c>
    </row>
    <row r="3873" spans="1:11" x14ac:dyDescent="0.35">
      <c r="A3873">
        <v>3872</v>
      </c>
      <c r="B3873">
        <v>62</v>
      </c>
      <c r="C3873" t="s">
        <v>16</v>
      </c>
      <c r="D3873" t="s">
        <v>20</v>
      </c>
      <c r="E3873" t="s">
        <v>39</v>
      </c>
      <c r="F3873">
        <v>125.84</v>
      </c>
      <c r="G3873" t="s">
        <v>14</v>
      </c>
      <c r="H3873" t="s">
        <v>15</v>
      </c>
      <c r="I3873">
        <v>3.9</v>
      </c>
      <c r="J3873">
        <v>8</v>
      </c>
      <c r="K3873">
        <v>4</v>
      </c>
    </row>
    <row r="3874" spans="1:11" x14ac:dyDescent="0.35">
      <c r="A3874">
        <v>3873</v>
      </c>
      <c r="B3874">
        <v>43</v>
      </c>
      <c r="C3874" t="s">
        <v>16</v>
      </c>
      <c r="D3874" t="s">
        <v>20</v>
      </c>
      <c r="E3874" t="s">
        <v>39</v>
      </c>
      <c r="F3874">
        <v>199.76</v>
      </c>
      <c r="G3874" t="s">
        <v>31</v>
      </c>
      <c r="H3874" t="s">
        <v>15</v>
      </c>
      <c r="I3874">
        <v>2.4</v>
      </c>
      <c r="J3874">
        <v>24</v>
      </c>
      <c r="K3874">
        <v>7</v>
      </c>
    </row>
    <row r="3875" spans="1:11" x14ac:dyDescent="0.35">
      <c r="A3875">
        <v>3874</v>
      </c>
      <c r="B3875">
        <v>63</v>
      </c>
      <c r="C3875" t="s">
        <v>16</v>
      </c>
      <c r="D3875" t="s">
        <v>20</v>
      </c>
      <c r="E3875" t="s">
        <v>21</v>
      </c>
      <c r="F3875">
        <v>245.47</v>
      </c>
      <c r="G3875" t="s">
        <v>19</v>
      </c>
      <c r="H3875" t="s">
        <v>15</v>
      </c>
      <c r="I3875">
        <v>4.0999999999999996</v>
      </c>
      <c r="J3875">
        <v>12</v>
      </c>
      <c r="K3875">
        <v>6</v>
      </c>
    </row>
    <row r="3876" spans="1:11" x14ac:dyDescent="0.35">
      <c r="A3876">
        <v>3875</v>
      </c>
      <c r="B3876">
        <v>36</v>
      </c>
      <c r="C3876" t="s">
        <v>11</v>
      </c>
      <c r="D3876" t="s">
        <v>29</v>
      </c>
      <c r="E3876" t="s">
        <v>51</v>
      </c>
      <c r="F3876">
        <v>63.27</v>
      </c>
      <c r="G3876" t="s">
        <v>31</v>
      </c>
      <c r="H3876" t="s">
        <v>15</v>
      </c>
      <c r="I3876">
        <v>2.8</v>
      </c>
      <c r="J3876">
        <v>12</v>
      </c>
      <c r="K3876">
        <v>6</v>
      </c>
    </row>
    <row r="3877" spans="1:11" x14ac:dyDescent="0.35">
      <c r="A3877">
        <v>3876</v>
      </c>
      <c r="B3877">
        <v>48</v>
      </c>
      <c r="C3877" t="s">
        <v>11</v>
      </c>
      <c r="D3877" t="s">
        <v>33</v>
      </c>
      <c r="E3877" t="s">
        <v>38</v>
      </c>
      <c r="F3877">
        <v>71.12</v>
      </c>
      <c r="G3877" t="s">
        <v>14</v>
      </c>
      <c r="H3877" t="s">
        <v>15</v>
      </c>
      <c r="I3877">
        <v>4.2</v>
      </c>
      <c r="J3877">
        <v>18</v>
      </c>
      <c r="K3877">
        <v>4</v>
      </c>
    </row>
    <row r="3878" spans="1:11" x14ac:dyDescent="0.35">
      <c r="A3878">
        <v>3877</v>
      </c>
      <c r="B3878">
        <v>52</v>
      </c>
      <c r="C3878" t="s">
        <v>11</v>
      </c>
      <c r="D3878" t="s">
        <v>22</v>
      </c>
      <c r="E3878" t="s">
        <v>43</v>
      </c>
      <c r="F3878">
        <v>71.95</v>
      </c>
      <c r="G3878" t="s">
        <v>31</v>
      </c>
      <c r="H3878" t="s">
        <v>37</v>
      </c>
      <c r="I3878">
        <v>3.6</v>
      </c>
      <c r="J3878">
        <v>21</v>
      </c>
      <c r="K3878">
        <v>8</v>
      </c>
    </row>
    <row r="3879" spans="1:11" x14ac:dyDescent="0.35">
      <c r="A3879">
        <v>3878</v>
      </c>
      <c r="B3879">
        <v>34</v>
      </c>
      <c r="C3879" t="s">
        <v>16</v>
      </c>
      <c r="D3879" t="s">
        <v>22</v>
      </c>
      <c r="E3879" t="s">
        <v>52</v>
      </c>
      <c r="F3879">
        <v>199.66</v>
      </c>
      <c r="G3879" t="s">
        <v>24</v>
      </c>
      <c r="H3879" t="s">
        <v>15</v>
      </c>
      <c r="I3879">
        <v>3.3</v>
      </c>
      <c r="J3879">
        <v>8</v>
      </c>
      <c r="K3879">
        <v>4</v>
      </c>
    </row>
    <row r="3880" spans="1:11" x14ac:dyDescent="0.35">
      <c r="A3880">
        <v>3879</v>
      </c>
      <c r="B3880">
        <v>46</v>
      </c>
      <c r="C3880" t="s">
        <v>11</v>
      </c>
      <c r="D3880" t="s">
        <v>12</v>
      </c>
      <c r="E3880" t="s">
        <v>13</v>
      </c>
      <c r="F3880">
        <v>52.31</v>
      </c>
      <c r="G3880" t="s">
        <v>24</v>
      </c>
      <c r="H3880" t="s">
        <v>37</v>
      </c>
      <c r="I3880">
        <v>5</v>
      </c>
      <c r="J3880">
        <v>22</v>
      </c>
      <c r="K3880">
        <v>6</v>
      </c>
    </row>
    <row r="3881" spans="1:11" x14ac:dyDescent="0.35">
      <c r="A3881">
        <v>3880</v>
      </c>
      <c r="B3881">
        <v>35</v>
      </c>
      <c r="C3881" t="s">
        <v>11</v>
      </c>
      <c r="D3881" t="s">
        <v>29</v>
      </c>
      <c r="E3881" t="s">
        <v>55</v>
      </c>
      <c r="F3881">
        <v>92</v>
      </c>
      <c r="G3881" t="s">
        <v>31</v>
      </c>
      <c r="H3881" t="s">
        <v>37</v>
      </c>
      <c r="I3881">
        <v>4.8</v>
      </c>
      <c r="J3881">
        <v>30</v>
      </c>
      <c r="K3881">
        <v>10</v>
      </c>
    </row>
    <row r="3882" spans="1:11" x14ac:dyDescent="0.35">
      <c r="A3882">
        <v>3881</v>
      </c>
      <c r="B3882">
        <v>39</v>
      </c>
      <c r="C3882" t="s">
        <v>11</v>
      </c>
      <c r="D3882" t="s">
        <v>12</v>
      </c>
      <c r="E3882" t="s">
        <v>56</v>
      </c>
      <c r="F3882">
        <v>41.86</v>
      </c>
      <c r="G3882" t="s">
        <v>19</v>
      </c>
      <c r="H3882" t="s">
        <v>15</v>
      </c>
      <c r="I3882">
        <v>2.8</v>
      </c>
      <c r="J3882">
        <v>18</v>
      </c>
      <c r="K3882">
        <v>4</v>
      </c>
    </row>
    <row r="3883" spans="1:11" x14ac:dyDescent="0.35">
      <c r="A3883">
        <v>3882</v>
      </c>
      <c r="B3883">
        <v>67</v>
      </c>
      <c r="C3883" t="s">
        <v>11</v>
      </c>
      <c r="D3883" t="s">
        <v>33</v>
      </c>
      <c r="E3883" t="s">
        <v>40</v>
      </c>
      <c r="F3883">
        <v>134.68</v>
      </c>
      <c r="G3883" t="s">
        <v>31</v>
      </c>
      <c r="H3883" t="s">
        <v>15</v>
      </c>
      <c r="I3883">
        <v>4.0999999999999996</v>
      </c>
      <c r="J3883">
        <v>15</v>
      </c>
      <c r="K3883">
        <v>5</v>
      </c>
    </row>
    <row r="3884" spans="1:11" x14ac:dyDescent="0.35">
      <c r="A3884">
        <v>3883</v>
      </c>
      <c r="B3884">
        <v>52</v>
      </c>
      <c r="C3884" t="s">
        <v>16</v>
      </c>
      <c r="D3884" t="s">
        <v>20</v>
      </c>
      <c r="E3884" t="s">
        <v>21</v>
      </c>
      <c r="F3884">
        <v>91.41</v>
      </c>
      <c r="G3884" t="s">
        <v>14</v>
      </c>
      <c r="H3884" t="s">
        <v>37</v>
      </c>
      <c r="I3884">
        <v>2.9</v>
      </c>
      <c r="J3884">
        <v>6</v>
      </c>
      <c r="K3884">
        <v>3</v>
      </c>
    </row>
    <row r="3885" spans="1:11" x14ac:dyDescent="0.35">
      <c r="A3885">
        <v>3884</v>
      </c>
      <c r="B3885">
        <v>29</v>
      </c>
      <c r="C3885" t="s">
        <v>11</v>
      </c>
      <c r="D3885" t="s">
        <v>25</v>
      </c>
      <c r="E3885" t="s">
        <v>47</v>
      </c>
      <c r="F3885">
        <v>29.99</v>
      </c>
      <c r="G3885" t="s">
        <v>31</v>
      </c>
      <c r="H3885" t="s">
        <v>15</v>
      </c>
      <c r="I3885">
        <v>4.5</v>
      </c>
      <c r="J3885">
        <v>17</v>
      </c>
      <c r="K3885">
        <v>6</v>
      </c>
    </row>
    <row r="3886" spans="1:11" x14ac:dyDescent="0.35">
      <c r="A3886">
        <v>3885</v>
      </c>
      <c r="B3886">
        <v>55</v>
      </c>
      <c r="C3886" t="s">
        <v>16</v>
      </c>
      <c r="D3886" t="s">
        <v>22</v>
      </c>
      <c r="E3886" t="s">
        <v>43</v>
      </c>
      <c r="F3886">
        <v>261.19</v>
      </c>
      <c r="G3886" t="s">
        <v>19</v>
      </c>
      <c r="H3886" t="s">
        <v>15</v>
      </c>
      <c r="I3886">
        <v>3.2</v>
      </c>
      <c r="J3886">
        <v>24</v>
      </c>
      <c r="K3886">
        <v>7</v>
      </c>
    </row>
    <row r="3887" spans="1:11" x14ac:dyDescent="0.35">
      <c r="A3887">
        <v>3886</v>
      </c>
      <c r="B3887">
        <v>70</v>
      </c>
      <c r="C3887" t="s">
        <v>16</v>
      </c>
      <c r="D3887" t="s">
        <v>33</v>
      </c>
      <c r="E3887" t="s">
        <v>38</v>
      </c>
      <c r="F3887">
        <v>87.98</v>
      </c>
      <c r="G3887" t="s">
        <v>19</v>
      </c>
      <c r="H3887" t="s">
        <v>15</v>
      </c>
      <c r="I3887">
        <v>3.2</v>
      </c>
      <c r="J3887">
        <v>12</v>
      </c>
      <c r="K3887">
        <v>6</v>
      </c>
    </row>
    <row r="3888" spans="1:11" x14ac:dyDescent="0.35">
      <c r="A3888">
        <v>3887</v>
      </c>
      <c r="B3888">
        <v>41</v>
      </c>
      <c r="C3888" t="s">
        <v>16</v>
      </c>
      <c r="D3888" t="s">
        <v>17</v>
      </c>
      <c r="E3888" t="s">
        <v>35</v>
      </c>
      <c r="F3888">
        <v>152.87</v>
      </c>
      <c r="G3888" t="s">
        <v>31</v>
      </c>
      <c r="H3888" t="s">
        <v>15</v>
      </c>
      <c r="I3888">
        <v>4.5</v>
      </c>
      <c r="J3888">
        <v>12</v>
      </c>
      <c r="K3888">
        <v>6</v>
      </c>
    </row>
    <row r="3889" spans="1:11" x14ac:dyDescent="0.35">
      <c r="A3889">
        <v>3888</v>
      </c>
      <c r="B3889">
        <v>24</v>
      </c>
      <c r="C3889" t="s">
        <v>16</v>
      </c>
      <c r="D3889" t="s">
        <v>22</v>
      </c>
      <c r="E3889" t="s">
        <v>52</v>
      </c>
      <c r="F3889">
        <v>160.16999999999999</v>
      </c>
      <c r="G3889" t="s">
        <v>19</v>
      </c>
      <c r="H3889" t="s">
        <v>15</v>
      </c>
      <c r="I3889">
        <v>3.7</v>
      </c>
      <c r="J3889">
        <v>18</v>
      </c>
      <c r="K3889">
        <v>4</v>
      </c>
    </row>
    <row r="3890" spans="1:11" x14ac:dyDescent="0.35">
      <c r="A3890">
        <v>3889</v>
      </c>
      <c r="B3890">
        <v>61</v>
      </c>
      <c r="C3890" t="s">
        <v>16</v>
      </c>
      <c r="D3890" t="s">
        <v>20</v>
      </c>
      <c r="E3890" t="s">
        <v>21</v>
      </c>
      <c r="F3890">
        <v>92.21</v>
      </c>
      <c r="G3890" t="s">
        <v>19</v>
      </c>
      <c r="H3890" t="s">
        <v>15</v>
      </c>
      <c r="I3890">
        <v>4.2</v>
      </c>
      <c r="J3890">
        <v>10</v>
      </c>
      <c r="K3890">
        <v>5</v>
      </c>
    </row>
    <row r="3891" spans="1:11" x14ac:dyDescent="0.35">
      <c r="A3891">
        <v>3890</v>
      </c>
      <c r="B3891">
        <v>55</v>
      </c>
      <c r="C3891" t="s">
        <v>11</v>
      </c>
      <c r="D3891" t="s">
        <v>41</v>
      </c>
      <c r="E3891" t="s">
        <v>46</v>
      </c>
      <c r="F3891">
        <v>68.75</v>
      </c>
      <c r="G3891" t="s">
        <v>31</v>
      </c>
      <c r="H3891" t="s">
        <v>15</v>
      </c>
      <c r="I3891">
        <v>4.9000000000000004</v>
      </c>
      <c r="J3891">
        <v>9</v>
      </c>
      <c r="K3891">
        <v>2</v>
      </c>
    </row>
    <row r="3892" spans="1:11" x14ac:dyDescent="0.35">
      <c r="A3892">
        <v>3891</v>
      </c>
      <c r="B3892">
        <v>36</v>
      </c>
      <c r="C3892" t="s">
        <v>16</v>
      </c>
      <c r="D3892" t="s">
        <v>27</v>
      </c>
      <c r="E3892" t="s">
        <v>32</v>
      </c>
      <c r="F3892">
        <v>2199.9299999999998</v>
      </c>
      <c r="G3892" t="s">
        <v>24</v>
      </c>
      <c r="H3892" t="s">
        <v>15</v>
      </c>
      <c r="I3892">
        <v>4.3</v>
      </c>
      <c r="J3892">
        <v>17</v>
      </c>
      <c r="K3892">
        <v>6</v>
      </c>
    </row>
    <row r="3893" spans="1:11" x14ac:dyDescent="0.35">
      <c r="A3893">
        <v>3892</v>
      </c>
      <c r="B3893">
        <v>67</v>
      </c>
      <c r="C3893" t="s">
        <v>11</v>
      </c>
      <c r="D3893" t="s">
        <v>33</v>
      </c>
      <c r="E3893" t="s">
        <v>38</v>
      </c>
      <c r="F3893">
        <v>191.36</v>
      </c>
      <c r="G3893" t="s">
        <v>24</v>
      </c>
      <c r="H3893" t="s">
        <v>15</v>
      </c>
      <c r="I3893">
        <v>4.0999999999999996</v>
      </c>
      <c r="J3893">
        <v>18</v>
      </c>
      <c r="K3893">
        <v>4</v>
      </c>
    </row>
    <row r="3894" spans="1:11" x14ac:dyDescent="0.35">
      <c r="A3894">
        <v>3893</v>
      </c>
      <c r="B3894">
        <v>50</v>
      </c>
      <c r="C3894" t="s">
        <v>16</v>
      </c>
      <c r="D3894" t="s">
        <v>22</v>
      </c>
      <c r="E3894" t="s">
        <v>52</v>
      </c>
      <c r="F3894">
        <v>55.82</v>
      </c>
      <c r="G3894" t="s">
        <v>19</v>
      </c>
      <c r="H3894" t="s">
        <v>37</v>
      </c>
      <c r="I3894">
        <v>3.7</v>
      </c>
      <c r="J3894">
        <v>16</v>
      </c>
      <c r="K3894">
        <v>3</v>
      </c>
    </row>
    <row r="3895" spans="1:11" x14ac:dyDescent="0.35">
      <c r="A3895">
        <v>3894</v>
      </c>
      <c r="B3895">
        <v>33</v>
      </c>
      <c r="C3895" t="s">
        <v>11</v>
      </c>
      <c r="D3895" t="s">
        <v>33</v>
      </c>
      <c r="E3895" t="s">
        <v>34</v>
      </c>
      <c r="F3895">
        <v>222.12</v>
      </c>
      <c r="G3895" t="s">
        <v>24</v>
      </c>
      <c r="H3895" t="s">
        <v>15</v>
      </c>
      <c r="I3895">
        <v>4.0999999999999996</v>
      </c>
      <c r="J3895">
        <v>10</v>
      </c>
      <c r="K3895">
        <v>5</v>
      </c>
    </row>
    <row r="3896" spans="1:11" x14ac:dyDescent="0.35">
      <c r="A3896">
        <v>3895</v>
      </c>
      <c r="B3896">
        <v>33</v>
      </c>
      <c r="C3896" t="s">
        <v>11</v>
      </c>
      <c r="D3896" t="s">
        <v>25</v>
      </c>
      <c r="E3896" t="s">
        <v>47</v>
      </c>
      <c r="F3896">
        <v>78.680000000000007</v>
      </c>
      <c r="G3896" t="s">
        <v>31</v>
      </c>
      <c r="H3896" t="s">
        <v>15</v>
      </c>
      <c r="I3896">
        <v>3.4</v>
      </c>
      <c r="J3896">
        <v>6</v>
      </c>
      <c r="K3896">
        <v>3</v>
      </c>
    </row>
    <row r="3897" spans="1:11" x14ac:dyDescent="0.35">
      <c r="A3897">
        <v>3896</v>
      </c>
      <c r="B3897">
        <v>53</v>
      </c>
      <c r="C3897" t="s">
        <v>11</v>
      </c>
      <c r="D3897" t="s">
        <v>33</v>
      </c>
      <c r="E3897" t="s">
        <v>34</v>
      </c>
      <c r="F3897">
        <v>151.9</v>
      </c>
      <c r="G3897" t="s">
        <v>31</v>
      </c>
      <c r="H3897" t="s">
        <v>15</v>
      </c>
      <c r="I3897">
        <v>3.5</v>
      </c>
      <c r="J3897">
        <v>7</v>
      </c>
      <c r="K3897">
        <v>1</v>
      </c>
    </row>
    <row r="3898" spans="1:11" x14ac:dyDescent="0.35">
      <c r="A3898">
        <v>3897</v>
      </c>
      <c r="B3898">
        <v>41</v>
      </c>
      <c r="C3898" t="s">
        <v>11</v>
      </c>
      <c r="D3898" t="s">
        <v>41</v>
      </c>
      <c r="E3898" t="s">
        <v>45</v>
      </c>
      <c r="F3898">
        <v>34.340000000000003</v>
      </c>
      <c r="G3898" t="s">
        <v>14</v>
      </c>
      <c r="H3898" t="s">
        <v>37</v>
      </c>
      <c r="I3898">
        <v>3.7</v>
      </c>
      <c r="J3898">
        <v>24</v>
      </c>
      <c r="K3898">
        <v>7</v>
      </c>
    </row>
    <row r="3899" spans="1:11" x14ac:dyDescent="0.35">
      <c r="A3899">
        <v>3898</v>
      </c>
      <c r="B3899">
        <v>44</v>
      </c>
      <c r="C3899" t="s">
        <v>16</v>
      </c>
      <c r="D3899" t="s">
        <v>22</v>
      </c>
      <c r="E3899" t="s">
        <v>52</v>
      </c>
      <c r="F3899">
        <v>193.78</v>
      </c>
      <c r="G3899" t="s">
        <v>14</v>
      </c>
      <c r="H3899" t="s">
        <v>15</v>
      </c>
      <c r="I3899">
        <v>3.9</v>
      </c>
      <c r="J3899">
        <v>11</v>
      </c>
      <c r="K3899">
        <v>3</v>
      </c>
    </row>
    <row r="3900" spans="1:11" x14ac:dyDescent="0.35">
      <c r="A3900">
        <v>3899</v>
      </c>
      <c r="B3900">
        <v>44</v>
      </c>
      <c r="C3900" t="s">
        <v>11</v>
      </c>
      <c r="D3900" t="s">
        <v>33</v>
      </c>
      <c r="E3900" t="s">
        <v>40</v>
      </c>
      <c r="F3900">
        <v>165.49</v>
      </c>
      <c r="G3900" t="s">
        <v>24</v>
      </c>
      <c r="H3900" t="s">
        <v>15</v>
      </c>
      <c r="I3900">
        <v>3.8</v>
      </c>
      <c r="J3900">
        <v>20</v>
      </c>
      <c r="K3900">
        <v>5</v>
      </c>
    </row>
    <row r="3901" spans="1:11" x14ac:dyDescent="0.35">
      <c r="A3901">
        <v>3900</v>
      </c>
      <c r="B3901">
        <v>26</v>
      </c>
      <c r="C3901" t="s">
        <v>11</v>
      </c>
      <c r="D3901" t="s">
        <v>41</v>
      </c>
      <c r="E3901" t="s">
        <v>46</v>
      </c>
      <c r="F3901">
        <v>98.13</v>
      </c>
      <c r="G3901" t="s">
        <v>31</v>
      </c>
      <c r="H3901" t="s">
        <v>37</v>
      </c>
      <c r="I3901">
        <v>3</v>
      </c>
      <c r="J3901">
        <v>15</v>
      </c>
      <c r="K3901">
        <v>5</v>
      </c>
    </row>
    <row r="3902" spans="1:11" x14ac:dyDescent="0.35">
      <c r="A3902">
        <v>3901</v>
      </c>
      <c r="B3902">
        <v>60</v>
      </c>
      <c r="C3902" t="s">
        <v>16</v>
      </c>
      <c r="D3902" t="s">
        <v>17</v>
      </c>
      <c r="E3902" t="s">
        <v>18</v>
      </c>
      <c r="F3902">
        <v>101.85</v>
      </c>
      <c r="G3902" t="s">
        <v>24</v>
      </c>
      <c r="H3902" t="s">
        <v>15</v>
      </c>
      <c r="I3902">
        <v>4.4000000000000004</v>
      </c>
      <c r="J3902">
        <v>10</v>
      </c>
      <c r="K3902">
        <v>5</v>
      </c>
    </row>
    <row r="3903" spans="1:11" x14ac:dyDescent="0.35">
      <c r="A3903">
        <v>3902</v>
      </c>
      <c r="B3903">
        <v>20</v>
      </c>
      <c r="C3903" t="s">
        <v>11</v>
      </c>
      <c r="D3903" t="s">
        <v>29</v>
      </c>
      <c r="E3903" t="s">
        <v>55</v>
      </c>
      <c r="F3903">
        <v>140.1</v>
      </c>
      <c r="G3903" t="s">
        <v>31</v>
      </c>
      <c r="H3903" t="s">
        <v>15</v>
      </c>
      <c r="I3903">
        <v>3.7</v>
      </c>
      <c r="J3903">
        <v>4</v>
      </c>
      <c r="K3903">
        <v>2</v>
      </c>
    </row>
    <row r="3904" spans="1:11" x14ac:dyDescent="0.35">
      <c r="A3904">
        <v>3903</v>
      </c>
      <c r="B3904">
        <v>45</v>
      </c>
      <c r="C3904" t="s">
        <v>16</v>
      </c>
      <c r="D3904" t="s">
        <v>25</v>
      </c>
      <c r="E3904" t="s">
        <v>47</v>
      </c>
      <c r="F3904">
        <v>8.33</v>
      </c>
      <c r="G3904" t="s">
        <v>19</v>
      </c>
      <c r="H3904" t="s">
        <v>15</v>
      </c>
      <c r="I3904">
        <v>2.7</v>
      </c>
      <c r="J3904">
        <v>12</v>
      </c>
      <c r="K3904">
        <v>6</v>
      </c>
    </row>
    <row r="3905" spans="1:11" x14ac:dyDescent="0.35">
      <c r="A3905">
        <v>3904</v>
      </c>
      <c r="B3905">
        <v>41</v>
      </c>
      <c r="C3905" t="s">
        <v>16</v>
      </c>
      <c r="D3905" t="s">
        <v>27</v>
      </c>
      <c r="E3905" t="s">
        <v>28</v>
      </c>
      <c r="F3905">
        <v>2137.8000000000002</v>
      </c>
      <c r="G3905" t="s">
        <v>24</v>
      </c>
      <c r="H3905" t="s">
        <v>15</v>
      </c>
      <c r="I3905">
        <v>2.9</v>
      </c>
      <c r="J3905">
        <v>11</v>
      </c>
      <c r="K3905">
        <v>3</v>
      </c>
    </row>
    <row r="3906" spans="1:11" x14ac:dyDescent="0.35">
      <c r="A3906">
        <v>3905</v>
      </c>
      <c r="B3906">
        <v>24</v>
      </c>
      <c r="C3906" t="s">
        <v>16</v>
      </c>
      <c r="D3906" t="s">
        <v>27</v>
      </c>
      <c r="E3906" t="s">
        <v>49</v>
      </c>
      <c r="F3906">
        <v>1012.48</v>
      </c>
      <c r="G3906" t="s">
        <v>24</v>
      </c>
      <c r="H3906" t="s">
        <v>15</v>
      </c>
      <c r="I3906">
        <v>5</v>
      </c>
      <c r="J3906">
        <v>12</v>
      </c>
      <c r="K3906">
        <v>6</v>
      </c>
    </row>
    <row r="3907" spans="1:11" x14ac:dyDescent="0.35">
      <c r="A3907">
        <v>3906</v>
      </c>
      <c r="B3907">
        <v>23</v>
      </c>
      <c r="C3907" t="s">
        <v>16</v>
      </c>
      <c r="D3907" t="s">
        <v>33</v>
      </c>
      <c r="E3907" t="s">
        <v>34</v>
      </c>
      <c r="F3907">
        <v>159.02000000000001</v>
      </c>
      <c r="G3907" t="s">
        <v>19</v>
      </c>
      <c r="H3907" t="s">
        <v>15</v>
      </c>
      <c r="I3907">
        <v>3.4</v>
      </c>
      <c r="J3907">
        <v>6</v>
      </c>
      <c r="K3907">
        <v>3</v>
      </c>
    </row>
    <row r="3908" spans="1:11" x14ac:dyDescent="0.35">
      <c r="A3908">
        <v>3907</v>
      </c>
      <c r="B3908">
        <v>70</v>
      </c>
      <c r="C3908" t="s">
        <v>11</v>
      </c>
      <c r="D3908" t="s">
        <v>29</v>
      </c>
      <c r="E3908" t="s">
        <v>30</v>
      </c>
      <c r="F3908">
        <v>65.099999999999994</v>
      </c>
      <c r="G3908" t="s">
        <v>24</v>
      </c>
      <c r="H3908" t="s">
        <v>37</v>
      </c>
      <c r="I3908">
        <v>3.5</v>
      </c>
      <c r="J3908">
        <v>11</v>
      </c>
      <c r="K3908">
        <v>3</v>
      </c>
    </row>
    <row r="3909" spans="1:11" x14ac:dyDescent="0.35">
      <c r="A3909">
        <v>3908</v>
      </c>
      <c r="B3909">
        <v>45</v>
      </c>
      <c r="C3909" t="s">
        <v>16</v>
      </c>
      <c r="D3909" t="s">
        <v>27</v>
      </c>
      <c r="E3909" t="s">
        <v>53</v>
      </c>
      <c r="F3909">
        <v>1162.1500000000001</v>
      </c>
      <c r="G3909" t="s">
        <v>19</v>
      </c>
      <c r="H3909" t="s">
        <v>15</v>
      </c>
      <c r="I3909">
        <v>3.9</v>
      </c>
      <c r="J3909">
        <v>9</v>
      </c>
      <c r="K3909">
        <v>2</v>
      </c>
    </row>
    <row r="3910" spans="1:11" x14ac:dyDescent="0.35">
      <c r="A3910">
        <v>3909</v>
      </c>
      <c r="B3910">
        <v>51</v>
      </c>
      <c r="C3910" t="s">
        <v>16</v>
      </c>
      <c r="D3910" t="s">
        <v>33</v>
      </c>
      <c r="E3910" t="s">
        <v>34</v>
      </c>
      <c r="F3910">
        <v>226.35</v>
      </c>
      <c r="G3910" t="s">
        <v>31</v>
      </c>
      <c r="H3910" t="s">
        <v>15</v>
      </c>
      <c r="I3910">
        <v>4.2</v>
      </c>
      <c r="J3910">
        <v>20</v>
      </c>
      <c r="K3910">
        <v>10</v>
      </c>
    </row>
    <row r="3911" spans="1:11" x14ac:dyDescent="0.35">
      <c r="A3911">
        <v>3910</v>
      </c>
      <c r="B3911">
        <v>38</v>
      </c>
      <c r="C3911" t="s">
        <v>16</v>
      </c>
      <c r="D3911" t="s">
        <v>27</v>
      </c>
      <c r="E3911" t="s">
        <v>49</v>
      </c>
      <c r="F3911">
        <v>1523</v>
      </c>
      <c r="G3911" t="s">
        <v>31</v>
      </c>
      <c r="H3911" t="s">
        <v>15</v>
      </c>
      <c r="I3911">
        <v>5</v>
      </c>
      <c r="J3911">
        <v>32</v>
      </c>
      <c r="K3911">
        <v>11</v>
      </c>
    </row>
    <row r="3912" spans="1:11" x14ac:dyDescent="0.35">
      <c r="A3912">
        <v>3911</v>
      </c>
      <c r="B3912">
        <v>59</v>
      </c>
      <c r="C3912" t="s">
        <v>16</v>
      </c>
      <c r="D3912" t="s">
        <v>22</v>
      </c>
      <c r="E3912" t="s">
        <v>52</v>
      </c>
      <c r="F3912">
        <v>152.75</v>
      </c>
      <c r="G3912" t="s">
        <v>14</v>
      </c>
      <c r="H3912" t="s">
        <v>15</v>
      </c>
      <c r="I3912">
        <v>3.6</v>
      </c>
      <c r="J3912">
        <v>30</v>
      </c>
      <c r="K3912">
        <v>10</v>
      </c>
    </row>
    <row r="3913" spans="1:11" x14ac:dyDescent="0.35">
      <c r="A3913">
        <v>3912</v>
      </c>
      <c r="B3913">
        <v>42</v>
      </c>
      <c r="C3913" t="s">
        <v>16</v>
      </c>
      <c r="D3913" t="s">
        <v>20</v>
      </c>
      <c r="E3913" t="s">
        <v>36</v>
      </c>
      <c r="F3913">
        <v>243.12</v>
      </c>
      <c r="G3913" t="s">
        <v>14</v>
      </c>
      <c r="H3913" t="s">
        <v>15</v>
      </c>
      <c r="I3913">
        <v>5</v>
      </c>
      <c r="J3913">
        <v>14</v>
      </c>
      <c r="K3913">
        <v>7</v>
      </c>
    </row>
    <row r="3914" spans="1:11" x14ac:dyDescent="0.35">
      <c r="A3914">
        <v>3913</v>
      </c>
      <c r="B3914">
        <v>64</v>
      </c>
      <c r="C3914" t="s">
        <v>16</v>
      </c>
      <c r="D3914" t="s">
        <v>25</v>
      </c>
      <c r="E3914" t="s">
        <v>26</v>
      </c>
      <c r="F3914">
        <v>11.97</v>
      </c>
      <c r="G3914" t="s">
        <v>31</v>
      </c>
      <c r="H3914" t="s">
        <v>15</v>
      </c>
      <c r="I3914">
        <v>4</v>
      </c>
      <c r="J3914">
        <v>9</v>
      </c>
      <c r="K3914">
        <v>2</v>
      </c>
    </row>
    <row r="3915" spans="1:11" x14ac:dyDescent="0.35">
      <c r="A3915">
        <v>3914</v>
      </c>
      <c r="B3915">
        <v>23</v>
      </c>
      <c r="C3915" t="s">
        <v>16</v>
      </c>
      <c r="D3915" t="s">
        <v>33</v>
      </c>
      <c r="E3915" t="s">
        <v>38</v>
      </c>
      <c r="F3915">
        <v>75.64</v>
      </c>
      <c r="G3915" t="s">
        <v>14</v>
      </c>
      <c r="H3915" t="s">
        <v>15</v>
      </c>
      <c r="I3915">
        <v>2.8</v>
      </c>
      <c r="J3915">
        <v>22</v>
      </c>
      <c r="K3915">
        <v>6</v>
      </c>
    </row>
    <row r="3916" spans="1:11" x14ac:dyDescent="0.35">
      <c r="A3916">
        <v>3915</v>
      </c>
      <c r="B3916">
        <v>31</v>
      </c>
      <c r="C3916" t="s">
        <v>16</v>
      </c>
      <c r="D3916" t="s">
        <v>20</v>
      </c>
      <c r="E3916" t="s">
        <v>21</v>
      </c>
      <c r="F3916">
        <v>107.78</v>
      </c>
      <c r="G3916" t="s">
        <v>14</v>
      </c>
      <c r="H3916" t="s">
        <v>15</v>
      </c>
      <c r="I3916">
        <v>3.5</v>
      </c>
      <c r="J3916">
        <v>15</v>
      </c>
      <c r="K3916">
        <v>5</v>
      </c>
    </row>
    <row r="3917" spans="1:11" x14ac:dyDescent="0.35">
      <c r="A3917">
        <v>3916</v>
      </c>
      <c r="B3917">
        <v>64</v>
      </c>
      <c r="C3917" t="s">
        <v>16</v>
      </c>
      <c r="D3917" t="s">
        <v>20</v>
      </c>
      <c r="E3917" t="s">
        <v>21</v>
      </c>
      <c r="F3917">
        <v>170.99</v>
      </c>
      <c r="G3917" t="s">
        <v>31</v>
      </c>
      <c r="H3917" t="s">
        <v>15</v>
      </c>
      <c r="I3917">
        <v>3.7</v>
      </c>
      <c r="J3917">
        <v>14</v>
      </c>
      <c r="K3917">
        <v>7</v>
      </c>
    </row>
    <row r="3918" spans="1:11" x14ac:dyDescent="0.35">
      <c r="A3918">
        <v>3917</v>
      </c>
      <c r="B3918">
        <v>61</v>
      </c>
      <c r="C3918" t="s">
        <v>11</v>
      </c>
      <c r="D3918" t="s">
        <v>12</v>
      </c>
      <c r="E3918" t="s">
        <v>56</v>
      </c>
      <c r="F3918">
        <v>171.53</v>
      </c>
      <c r="G3918" t="s">
        <v>31</v>
      </c>
      <c r="H3918" t="s">
        <v>15</v>
      </c>
      <c r="I3918">
        <v>3.5</v>
      </c>
      <c r="J3918">
        <v>16</v>
      </c>
      <c r="K3918">
        <v>3</v>
      </c>
    </row>
    <row r="3919" spans="1:11" x14ac:dyDescent="0.35">
      <c r="A3919">
        <v>3918</v>
      </c>
      <c r="B3919">
        <v>27</v>
      </c>
      <c r="C3919" t="s">
        <v>11</v>
      </c>
      <c r="D3919" t="s">
        <v>29</v>
      </c>
      <c r="E3919" t="s">
        <v>55</v>
      </c>
      <c r="F3919">
        <v>76.489999999999995</v>
      </c>
      <c r="G3919" t="s">
        <v>19</v>
      </c>
      <c r="H3919" t="s">
        <v>15</v>
      </c>
      <c r="I3919">
        <v>4.3</v>
      </c>
      <c r="J3919">
        <v>9</v>
      </c>
      <c r="K3919">
        <v>2</v>
      </c>
    </row>
    <row r="3920" spans="1:11" x14ac:dyDescent="0.35">
      <c r="A3920">
        <v>3919</v>
      </c>
      <c r="B3920">
        <v>22</v>
      </c>
      <c r="C3920" t="s">
        <v>11</v>
      </c>
      <c r="D3920" t="s">
        <v>41</v>
      </c>
      <c r="E3920" t="s">
        <v>42</v>
      </c>
      <c r="F3920">
        <v>180.68</v>
      </c>
      <c r="G3920" t="s">
        <v>24</v>
      </c>
      <c r="H3920" t="s">
        <v>15</v>
      </c>
      <c r="I3920">
        <v>4.5</v>
      </c>
      <c r="J3920">
        <v>21</v>
      </c>
      <c r="K3920">
        <v>8</v>
      </c>
    </row>
    <row r="3921" spans="1:11" x14ac:dyDescent="0.35">
      <c r="A3921">
        <v>3920</v>
      </c>
      <c r="B3921">
        <v>69</v>
      </c>
      <c r="C3921" t="s">
        <v>16</v>
      </c>
      <c r="D3921" t="s">
        <v>20</v>
      </c>
      <c r="E3921" t="s">
        <v>39</v>
      </c>
      <c r="F3921">
        <v>51.3</v>
      </c>
      <c r="G3921" t="s">
        <v>14</v>
      </c>
      <c r="H3921" t="s">
        <v>37</v>
      </c>
      <c r="I3921">
        <v>2.5</v>
      </c>
      <c r="J3921">
        <v>9</v>
      </c>
      <c r="K3921">
        <v>2</v>
      </c>
    </row>
    <row r="3922" spans="1:11" x14ac:dyDescent="0.35">
      <c r="A3922">
        <v>3921</v>
      </c>
      <c r="B3922">
        <v>66</v>
      </c>
      <c r="C3922" t="s">
        <v>16</v>
      </c>
      <c r="D3922" t="s">
        <v>17</v>
      </c>
      <c r="E3922" t="s">
        <v>42</v>
      </c>
      <c r="F3922">
        <v>40.06</v>
      </c>
      <c r="G3922" t="s">
        <v>31</v>
      </c>
      <c r="H3922" t="s">
        <v>37</v>
      </c>
      <c r="I3922">
        <v>3.1</v>
      </c>
      <c r="J3922">
        <v>20</v>
      </c>
      <c r="K3922">
        <v>5</v>
      </c>
    </row>
    <row r="3923" spans="1:11" x14ac:dyDescent="0.35">
      <c r="A3923">
        <v>3922</v>
      </c>
      <c r="B3923">
        <v>39</v>
      </c>
      <c r="C3923" t="s">
        <v>16</v>
      </c>
      <c r="D3923" t="s">
        <v>20</v>
      </c>
      <c r="E3923" t="s">
        <v>39</v>
      </c>
      <c r="F3923">
        <v>149.28</v>
      </c>
      <c r="G3923" t="s">
        <v>24</v>
      </c>
      <c r="H3923" t="s">
        <v>15</v>
      </c>
      <c r="I3923">
        <v>2.9</v>
      </c>
      <c r="J3923">
        <v>15</v>
      </c>
      <c r="K3923">
        <v>5</v>
      </c>
    </row>
    <row r="3924" spans="1:11" x14ac:dyDescent="0.35">
      <c r="A3924">
        <v>3923</v>
      </c>
      <c r="B3924">
        <v>22</v>
      </c>
      <c r="C3924" t="s">
        <v>16</v>
      </c>
      <c r="D3924" t="s">
        <v>33</v>
      </c>
      <c r="E3924" t="s">
        <v>38</v>
      </c>
      <c r="F3924">
        <v>168.49</v>
      </c>
      <c r="G3924" t="s">
        <v>19</v>
      </c>
      <c r="H3924" t="s">
        <v>15</v>
      </c>
      <c r="I3924">
        <v>4.9000000000000004</v>
      </c>
      <c r="J3924">
        <v>19</v>
      </c>
      <c r="K3924">
        <v>7</v>
      </c>
    </row>
    <row r="3925" spans="1:11" x14ac:dyDescent="0.35">
      <c r="A3925">
        <v>3924</v>
      </c>
      <c r="B3925">
        <v>53</v>
      </c>
      <c r="C3925" t="s">
        <v>11</v>
      </c>
      <c r="D3925" t="s">
        <v>33</v>
      </c>
      <c r="E3925" t="s">
        <v>38</v>
      </c>
      <c r="F3925">
        <v>141.58000000000001</v>
      </c>
      <c r="G3925" t="s">
        <v>19</v>
      </c>
      <c r="H3925" t="s">
        <v>15</v>
      </c>
      <c r="I3925">
        <v>1.7</v>
      </c>
      <c r="J3925">
        <v>10</v>
      </c>
      <c r="K3925">
        <v>5</v>
      </c>
    </row>
    <row r="3926" spans="1:11" x14ac:dyDescent="0.35">
      <c r="A3926">
        <v>3925</v>
      </c>
      <c r="B3926">
        <v>50</v>
      </c>
      <c r="C3926" t="s">
        <v>11</v>
      </c>
      <c r="D3926" t="s">
        <v>33</v>
      </c>
      <c r="E3926" t="s">
        <v>38</v>
      </c>
      <c r="F3926">
        <v>227.28</v>
      </c>
      <c r="G3926" t="s">
        <v>19</v>
      </c>
      <c r="H3926" t="s">
        <v>15</v>
      </c>
      <c r="I3926">
        <v>3.8</v>
      </c>
      <c r="J3926">
        <v>16</v>
      </c>
      <c r="K3926">
        <v>3</v>
      </c>
    </row>
    <row r="3927" spans="1:11" x14ac:dyDescent="0.35">
      <c r="A3927">
        <v>3926</v>
      </c>
      <c r="B3927">
        <v>45</v>
      </c>
      <c r="C3927" t="s">
        <v>16</v>
      </c>
      <c r="D3927" t="s">
        <v>17</v>
      </c>
      <c r="E3927" t="s">
        <v>18</v>
      </c>
      <c r="F3927">
        <v>49.65</v>
      </c>
      <c r="G3927" t="s">
        <v>31</v>
      </c>
      <c r="H3927" t="s">
        <v>15</v>
      </c>
      <c r="I3927">
        <v>4.9000000000000004</v>
      </c>
      <c r="J3927">
        <v>26</v>
      </c>
      <c r="K3927">
        <v>8</v>
      </c>
    </row>
    <row r="3928" spans="1:11" x14ac:dyDescent="0.35">
      <c r="A3928">
        <v>3927</v>
      </c>
      <c r="B3928">
        <v>54</v>
      </c>
      <c r="C3928" t="s">
        <v>16</v>
      </c>
      <c r="D3928" t="s">
        <v>17</v>
      </c>
      <c r="E3928" t="s">
        <v>48</v>
      </c>
      <c r="F3928">
        <v>48.95</v>
      </c>
      <c r="G3928" t="s">
        <v>24</v>
      </c>
      <c r="H3928" t="s">
        <v>15</v>
      </c>
      <c r="I3928">
        <v>2.6</v>
      </c>
      <c r="J3928">
        <v>13</v>
      </c>
      <c r="K3928">
        <v>4</v>
      </c>
    </row>
    <row r="3929" spans="1:11" x14ac:dyDescent="0.35">
      <c r="A3929">
        <v>3928</v>
      </c>
      <c r="B3929">
        <v>38</v>
      </c>
      <c r="C3929" t="s">
        <v>11</v>
      </c>
      <c r="D3929" t="s">
        <v>22</v>
      </c>
      <c r="E3929" t="s">
        <v>43</v>
      </c>
      <c r="F3929">
        <v>289.17</v>
      </c>
      <c r="G3929" t="s">
        <v>24</v>
      </c>
      <c r="H3929" t="s">
        <v>15</v>
      </c>
      <c r="I3929">
        <v>3.9</v>
      </c>
      <c r="J3929">
        <v>6</v>
      </c>
      <c r="K3929">
        <v>3</v>
      </c>
    </row>
    <row r="3930" spans="1:11" x14ac:dyDescent="0.35">
      <c r="A3930">
        <v>3929</v>
      </c>
      <c r="B3930">
        <v>45</v>
      </c>
      <c r="C3930" t="s">
        <v>11</v>
      </c>
      <c r="D3930" t="s">
        <v>12</v>
      </c>
      <c r="E3930" t="s">
        <v>56</v>
      </c>
      <c r="F3930">
        <v>51.88</v>
      </c>
      <c r="G3930" t="s">
        <v>24</v>
      </c>
      <c r="H3930" t="s">
        <v>15</v>
      </c>
      <c r="I3930">
        <v>4.5999999999999996</v>
      </c>
      <c r="J3930">
        <v>8</v>
      </c>
      <c r="K3930">
        <v>4</v>
      </c>
    </row>
    <row r="3931" spans="1:11" x14ac:dyDescent="0.35">
      <c r="A3931">
        <v>3930</v>
      </c>
      <c r="B3931">
        <v>36</v>
      </c>
      <c r="C3931" t="s">
        <v>11</v>
      </c>
      <c r="D3931" t="s">
        <v>41</v>
      </c>
      <c r="E3931" t="s">
        <v>45</v>
      </c>
      <c r="F3931">
        <v>70.98</v>
      </c>
      <c r="G3931" t="s">
        <v>24</v>
      </c>
      <c r="H3931" t="s">
        <v>37</v>
      </c>
      <c r="I3931">
        <v>3.4</v>
      </c>
      <c r="J3931">
        <v>6</v>
      </c>
      <c r="K3931">
        <v>3</v>
      </c>
    </row>
    <row r="3932" spans="1:11" x14ac:dyDescent="0.35">
      <c r="A3932">
        <v>3931</v>
      </c>
      <c r="B3932">
        <v>34</v>
      </c>
      <c r="C3932" t="s">
        <v>16</v>
      </c>
      <c r="D3932" t="s">
        <v>17</v>
      </c>
      <c r="E3932" t="s">
        <v>35</v>
      </c>
      <c r="F3932">
        <v>63.17</v>
      </c>
      <c r="G3932" t="s">
        <v>31</v>
      </c>
      <c r="H3932" t="s">
        <v>15</v>
      </c>
      <c r="I3932">
        <v>3.6</v>
      </c>
      <c r="J3932">
        <v>20</v>
      </c>
      <c r="K3932">
        <v>10</v>
      </c>
    </row>
    <row r="3933" spans="1:11" x14ac:dyDescent="0.35">
      <c r="A3933">
        <v>3932</v>
      </c>
      <c r="B3933">
        <v>69</v>
      </c>
      <c r="C3933" t="s">
        <v>16</v>
      </c>
      <c r="D3933" t="s">
        <v>20</v>
      </c>
      <c r="E3933" t="s">
        <v>36</v>
      </c>
      <c r="F3933">
        <v>235.79</v>
      </c>
      <c r="G3933" t="s">
        <v>24</v>
      </c>
      <c r="H3933" t="s">
        <v>15</v>
      </c>
      <c r="I3933">
        <v>3.7</v>
      </c>
      <c r="J3933">
        <v>11</v>
      </c>
      <c r="K3933">
        <v>3</v>
      </c>
    </row>
    <row r="3934" spans="1:11" x14ac:dyDescent="0.35">
      <c r="A3934">
        <v>3933</v>
      </c>
      <c r="B3934">
        <v>25</v>
      </c>
      <c r="C3934" t="s">
        <v>16</v>
      </c>
      <c r="D3934" t="s">
        <v>20</v>
      </c>
      <c r="E3934" t="s">
        <v>39</v>
      </c>
      <c r="F3934">
        <v>156.57</v>
      </c>
      <c r="G3934" t="s">
        <v>24</v>
      </c>
      <c r="H3934" t="s">
        <v>15</v>
      </c>
      <c r="I3934">
        <v>3.5</v>
      </c>
      <c r="J3934">
        <v>17</v>
      </c>
      <c r="K3934">
        <v>6</v>
      </c>
    </row>
    <row r="3935" spans="1:11" x14ac:dyDescent="0.35">
      <c r="A3935">
        <v>3934</v>
      </c>
      <c r="B3935">
        <v>70</v>
      </c>
      <c r="C3935" t="s">
        <v>11</v>
      </c>
      <c r="D3935" t="s">
        <v>25</v>
      </c>
      <c r="E3935" t="s">
        <v>26</v>
      </c>
      <c r="F3935">
        <v>58.72</v>
      </c>
      <c r="G3935" t="s">
        <v>19</v>
      </c>
      <c r="H3935" t="s">
        <v>15</v>
      </c>
      <c r="I3935">
        <v>4.5</v>
      </c>
      <c r="J3935">
        <v>26</v>
      </c>
      <c r="K3935">
        <v>8</v>
      </c>
    </row>
    <row r="3936" spans="1:11" x14ac:dyDescent="0.35">
      <c r="A3936">
        <v>3935</v>
      </c>
      <c r="B3936">
        <v>26</v>
      </c>
      <c r="C3936" t="s">
        <v>16</v>
      </c>
      <c r="D3936" t="s">
        <v>17</v>
      </c>
      <c r="E3936" t="s">
        <v>42</v>
      </c>
      <c r="F3936">
        <v>148.72999999999999</v>
      </c>
      <c r="G3936" t="s">
        <v>24</v>
      </c>
      <c r="H3936" t="s">
        <v>15</v>
      </c>
      <c r="I3936">
        <v>3.5</v>
      </c>
      <c r="J3936">
        <v>20</v>
      </c>
      <c r="K3936">
        <v>5</v>
      </c>
    </row>
    <row r="3937" spans="1:11" x14ac:dyDescent="0.35">
      <c r="A3937">
        <v>3936</v>
      </c>
      <c r="B3937">
        <v>41</v>
      </c>
      <c r="C3937" t="s">
        <v>16</v>
      </c>
      <c r="D3937" t="s">
        <v>27</v>
      </c>
      <c r="E3937" t="s">
        <v>53</v>
      </c>
      <c r="F3937">
        <v>560.16</v>
      </c>
      <c r="G3937" t="s">
        <v>14</v>
      </c>
      <c r="H3937" t="s">
        <v>15</v>
      </c>
      <c r="I3937">
        <v>3.4</v>
      </c>
      <c r="J3937">
        <v>8</v>
      </c>
      <c r="K3937">
        <v>4</v>
      </c>
    </row>
    <row r="3938" spans="1:11" x14ac:dyDescent="0.35">
      <c r="A3938">
        <v>3937</v>
      </c>
      <c r="B3938">
        <v>70</v>
      </c>
      <c r="C3938" t="s">
        <v>11</v>
      </c>
      <c r="D3938" t="s">
        <v>29</v>
      </c>
      <c r="E3938" t="s">
        <v>51</v>
      </c>
      <c r="F3938">
        <v>57.57</v>
      </c>
      <c r="G3938" t="s">
        <v>19</v>
      </c>
      <c r="H3938" t="s">
        <v>15</v>
      </c>
      <c r="I3938">
        <v>4.2</v>
      </c>
      <c r="J3938">
        <v>28</v>
      </c>
      <c r="K3938">
        <v>9</v>
      </c>
    </row>
    <row r="3939" spans="1:11" x14ac:dyDescent="0.35">
      <c r="A3939">
        <v>3938</v>
      </c>
      <c r="B3939">
        <v>67</v>
      </c>
      <c r="C3939" t="s">
        <v>16</v>
      </c>
      <c r="D3939" t="s">
        <v>20</v>
      </c>
      <c r="E3939" t="s">
        <v>21</v>
      </c>
      <c r="F3939">
        <v>177.81</v>
      </c>
      <c r="G3939" t="s">
        <v>31</v>
      </c>
      <c r="H3939" t="s">
        <v>15</v>
      </c>
      <c r="I3939">
        <v>4.4000000000000004</v>
      </c>
      <c r="J3939">
        <v>24</v>
      </c>
      <c r="K3939">
        <v>7</v>
      </c>
    </row>
    <row r="3940" spans="1:11" x14ac:dyDescent="0.35">
      <c r="A3940">
        <v>3939</v>
      </c>
      <c r="B3940">
        <v>51</v>
      </c>
      <c r="C3940" t="s">
        <v>11</v>
      </c>
      <c r="D3940" t="s">
        <v>20</v>
      </c>
      <c r="E3940" t="s">
        <v>21</v>
      </c>
      <c r="F3940">
        <v>184.15</v>
      </c>
      <c r="G3940" t="s">
        <v>14</v>
      </c>
      <c r="H3940" t="s">
        <v>15</v>
      </c>
      <c r="I3940">
        <v>4.5</v>
      </c>
      <c r="J3940">
        <v>19</v>
      </c>
      <c r="K3940">
        <v>7</v>
      </c>
    </row>
    <row r="3941" spans="1:11" x14ac:dyDescent="0.35">
      <c r="A3941">
        <v>3940</v>
      </c>
      <c r="B3941">
        <v>57</v>
      </c>
      <c r="C3941" t="s">
        <v>11</v>
      </c>
      <c r="D3941" t="s">
        <v>29</v>
      </c>
      <c r="E3941" t="s">
        <v>51</v>
      </c>
      <c r="F3941">
        <v>113.42</v>
      </c>
      <c r="G3941" t="s">
        <v>24</v>
      </c>
      <c r="H3941" t="s">
        <v>15</v>
      </c>
      <c r="I3941">
        <v>5</v>
      </c>
      <c r="J3941">
        <v>24</v>
      </c>
      <c r="K3941">
        <v>7</v>
      </c>
    </row>
    <row r="3942" spans="1:11" x14ac:dyDescent="0.35">
      <c r="A3942">
        <v>3941</v>
      </c>
      <c r="B3942">
        <v>43</v>
      </c>
      <c r="C3942" t="s">
        <v>16</v>
      </c>
      <c r="D3942" t="s">
        <v>17</v>
      </c>
      <c r="E3942" t="s">
        <v>18</v>
      </c>
      <c r="F3942">
        <v>73.540000000000006</v>
      </c>
      <c r="G3942" t="s">
        <v>14</v>
      </c>
      <c r="H3942" t="s">
        <v>37</v>
      </c>
      <c r="I3942">
        <v>2.4</v>
      </c>
      <c r="J3942">
        <v>11</v>
      </c>
      <c r="K3942">
        <v>3</v>
      </c>
    </row>
    <row r="3943" spans="1:11" x14ac:dyDescent="0.35">
      <c r="A3943">
        <v>3942</v>
      </c>
      <c r="B3943">
        <v>63</v>
      </c>
      <c r="C3943" t="s">
        <v>11</v>
      </c>
      <c r="D3943" t="s">
        <v>12</v>
      </c>
      <c r="E3943" t="s">
        <v>13</v>
      </c>
      <c r="F3943">
        <v>83.01</v>
      </c>
      <c r="G3943" t="s">
        <v>31</v>
      </c>
      <c r="H3943" t="s">
        <v>15</v>
      </c>
      <c r="I3943">
        <v>2.9</v>
      </c>
      <c r="J3943">
        <v>20</v>
      </c>
      <c r="K3943">
        <v>5</v>
      </c>
    </row>
    <row r="3944" spans="1:11" x14ac:dyDescent="0.35">
      <c r="A3944">
        <v>3943</v>
      </c>
      <c r="B3944">
        <v>42</v>
      </c>
      <c r="C3944" t="s">
        <v>11</v>
      </c>
      <c r="D3944" t="s">
        <v>12</v>
      </c>
      <c r="E3944" t="s">
        <v>56</v>
      </c>
      <c r="F3944">
        <v>136.71</v>
      </c>
      <c r="G3944" t="s">
        <v>24</v>
      </c>
      <c r="H3944" t="s">
        <v>15</v>
      </c>
      <c r="I3944">
        <v>2.2999999999999998</v>
      </c>
      <c r="J3944">
        <v>16</v>
      </c>
      <c r="K3944">
        <v>3</v>
      </c>
    </row>
    <row r="3945" spans="1:11" x14ac:dyDescent="0.35">
      <c r="A3945">
        <v>3944</v>
      </c>
      <c r="B3945">
        <v>46</v>
      </c>
      <c r="C3945" t="s">
        <v>16</v>
      </c>
      <c r="D3945" t="s">
        <v>27</v>
      </c>
      <c r="E3945" t="s">
        <v>32</v>
      </c>
      <c r="F3945">
        <v>1464.71</v>
      </c>
      <c r="G3945" t="s">
        <v>14</v>
      </c>
      <c r="H3945" t="s">
        <v>15</v>
      </c>
      <c r="I3945">
        <v>2.2999999999999998</v>
      </c>
      <c r="J3945">
        <v>12</v>
      </c>
      <c r="K3945">
        <v>6</v>
      </c>
    </row>
    <row r="3946" spans="1:11" x14ac:dyDescent="0.35">
      <c r="A3946">
        <v>3945</v>
      </c>
      <c r="B3946">
        <v>69</v>
      </c>
      <c r="C3946" t="s">
        <v>16</v>
      </c>
      <c r="D3946" t="s">
        <v>17</v>
      </c>
      <c r="E3946" t="s">
        <v>48</v>
      </c>
      <c r="F3946">
        <v>173.52</v>
      </c>
      <c r="G3946" t="s">
        <v>31</v>
      </c>
      <c r="H3946" t="s">
        <v>15</v>
      </c>
      <c r="I3946">
        <v>3.2</v>
      </c>
      <c r="J3946">
        <v>10</v>
      </c>
      <c r="K3946">
        <v>5</v>
      </c>
    </row>
    <row r="3947" spans="1:11" x14ac:dyDescent="0.35">
      <c r="A3947">
        <v>3946</v>
      </c>
      <c r="B3947">
        <v>49</v>
      </c>
      <c r="C3947" t="s">
        <v>16</v>
      </c>
      <c r="D3947" t="s">
        <v>27</v>
      </c>
      <c r="E3947" t="s">
        <v>53</v>
      </c>
      <c r="F3947">
        <v>1875.63</v>
      </c>
      <c r="G3947" t="s">
        <v>24</v>
      </c>
      <c r="H3947" t="s">
        <v>15</v>
      </c>
      <c r="I3947">
        <v>3.5</v>
      </c>
      <c r="J3947">
        <v>18</v>
      </c>
      <c r="K3947">
        <v>4</v>
      </c>
    </row>
    <row r="3948" spans="1:11" x14ac:dyDescent="0.35">
      <c r="A3948">
        <v>3947</v>
      </c>
      <c r="B3948">
        <v>36</v>
      </c>
      <c r="C3948" t="s">
        <v>11</v>
      </c>
      <c r="D3948" t="s">
        <v>29</v>
      </c>
      <c r="E3948" t="s">
        <v>55</v>
      </c>
      <c r="F3948">
        <v>149.27000000000001</v>
      </c>
      <c r="G3948" t="s">
        <v>24</v>
      </c>
      <c r="H3948" t="s">
        <v>15</v>
      </c>
      <c r="I3948">
        <v>3.2</v>
      </c>
      <c r="J3948">
        <v>6</v>
      </c>
      <c r="K3948">
        <v>3</v>
      </c>
    </row>
    <row r="3949" spans="1:11" x14ac:dyDescent="0.35">
      <c r="A3949">
        <v>3948</v>
      </c>
      <c r="B3949">
        <v>37</v>
      </c>
      <c r="C3949" t="s">
        <v>11</v>
      </c>
      <c r="D3949" t="s">
        <v>33</v>
      </c>
      <c r="E3949" t="s">
        <v>38</v>
      </c>
      <c r="F3949">
        <v>116.16</v>
      </c>
      <c r="G3949" t="s">
        <v>14</v>
      </c>
      <c r="H3949" t="s">
        <v>15</v>
      </c>
      <c r="I3949">
        <v>4.7</v>
      </c>
      <c r="J3949">
        <v>20</v>
      </c>
      <c r="K3949">
        <v>5</v>
      </c>
    </row>
    <row r="3950" spans="1:11" x14ac:dyDescent="0.35">
      <c r="A3950">
        <v>3949</v>
      </c>
      <c r="B3950">
        <v>21</v>
      </c>
      <c r="C3950" t="s">
        <v>11</v>
      </c>
      <c r="D3950" t="s">
        <v>12</v>
      </c>
      <c r="E3950" t="s">
        <v>13</v>
      </c>
      <c r="F3950">
        <v>159.82</v>
      </c>
      <c r="G3950" t="s">
        <v>14</v>
      </c>
      <c r="H3950" t="s">
        <v>15</v>
      </c>
      <c r="I3950">
        <v>3.9</v>
      </c>
      <c r="J3950">
        <v>4</v>
      </c>
      <c r="K3950">
        <v>2</v>
      </c>
    </row>
    <row r="3951" spans="1:11" x14ac:dyDescent="0.35">
      <c r="A3951">
        <v>3950</v>
      </c>
      <c r="B3951">
        <v>70</v>
      </c>
      <c r="C3951" t="s">
        <v>11</v>
      </c>
      <c r="D3951" t="s">
        <v>41</v>
      </c>
      <c r="E3951" t="s">
        <v>45</v>
      </c>
      <c r="F3951">
        <v>53.66</v>
      </c>
      <c r="G3951" t="s">
        <v>31</v>
      </c>
      <c r="H3951" t="s">
        <v>37</v>
      </c>
      <c r="I3951">
        <v>2.6</v>
      </c>
      <c r="J3951">
        <v>20</v>
      </c>
      <c r="K3951">
        <v>5</v>
      </c>
    </row>
    <row r="3952" spans="1:11" x14ac:dyDescent="0.35">
      <c r="A3952">
        <v>3951</v>
      </c>
      <c r="B3952">
        <v>40</v>
      </c>
      <c r="C3952" t="s">
        <v>11</v>
      </c>
      <c r="D3952" t="s">
        <v>41</v>
      </c>
      <c r="E3952" t="s">
        <v>44</v>
      </c>
      <c r="F3952">
        <v>180.23</v>
      </c>
      <c r="G3952" t="s">
        <v>19</v>
      </c>
      <c r="H3952" t="s">
        <v>15</v>
      </c>
      <c r="I3952">
        <v>3.8</v>
      </c>
      <c r="J3952">
        <v>13</v>
      </c>
      <c r="K3952">
        <v>4</v>
      </c>
    </row>
    <row r="3953" spans="1:11" x14ac:dyDescent="0.35">
      <c r="A3953">
        <v>3952</v>
      </c>
      <c r="B3953">
        <v>65</v>
      </c>
      <c r="C3953" t="s">
        <v>16</v>
      </c>
      <c r="D3953" t="s">
        <v>20</v>
      </c>
      <c r="E3953" t="s">
        <v>39</v>
      </c>
      <c r="F3953">
        <v>177.72</v>
      </c>
      <c r="G3953" t="s">
        <v>24</v>
      </c>
      <c r="H3953" t="s">
        <v>15</v>
      </c>
      <c r="I3953">
        <v>3.6</v>
      </c>
      <c r="J3953">
        <v>21</v>
      </c>
      <c r="K3953">
        <v>8</v>
      </c>
    </row>
    <row r="3954" spans="1:11" x14ac:dyDescent="0.35">
      <c r="A3954">
        <v>3953</v>
      </c>
      <c r="B3954">
        <v>65</v>
      </c>
      <c r="C3954" t="s">
        <v>16</v>
      </c>
      <c r="D3954" t="s">
        <v>27</v>
      </c>
      <c r="E3954" t="s">
        <v>32</v>
      </c>
      <c r="F3954">
        <v>2849.33</v>
      </c>
      <c r="G3954" t="s">
        <v>19</v>
      </c>
      <c r="H3954" t="s">
        <v>15</v>
      </c>
      <c r="I3954">
        <v>4.5999999999999996</v>
      </c>
      <c r="J3954">
        <v>18</v>
      </c>
      <c r="K3954">
        <v>4</v>
      </c>
    </row>
    <row r="3955" spans="1:11" x14ac:dyDescent="0.35">
      <c r="A3955">
        <v>3954</v>
      </c>
      <c r="B3955">
        <v>34</v>
      </c>
      <c r="C3955" t="s">
        <v>16</v>
      </c>
      <c r="D3955" t="s">
        <v>25</v>
      </c>
      <c r="E3955" t="s">
        <v>57</v>
      </c>
      <c r="F3955">
        <v>5.92</v>
      </c>
      <c r="G3955" t="s">
        <v>19</v>
      </c>
      <c r="H3955" t="s">
        <v>15</v>
      </c>
      <c r="I3955">
        <v>4.2</v>
      </c>
      <c r="J3955">
        <v>15</v>
      </c>
      <c r="K3955">
        <v>5</v>
      </c>
    </row>
    <row r="3956" spans="1:11" x14ac:dyDescent="0.35">
      <c r="A3956">
        <v>3955</v>
      </c>
      <c r="B3956">
        <v>37</v>
      </c>
      <c r="C3956" t="s">
        <v>16</v>
      </c>
      <c r="D3956" t="s">
        <v>20</v>
      </c>
      <c r="E3956" t="s">
        <v>21</v>
      </c>
      <c r="F3956">
        <v>120</v>
      </c>
      <c r="G3956" t="s">
        <v>19</v>
      </c>
      <c r="H3956" t="s">
        <v>15</v>
      </c>
      <c r="I3956">
        <v>2.8</v>
      </c>
      <c r="J3956">
        <v>15</v>
      </c>
      <c r="K3956">
        <v>5</v>
      </c>
    </row>
    <row r="3957" spans="1:11" x14ac:dyDescent="0.35">
      <c r="A3957">
        <v>3956</v>
      </c>
      <c r="B3957">
        <v>35</v>
      </c>
      <c r="C3957" t="s">
        <v>16</v>
      </c>
      <c r="D3957" t="s">
        <v>33</v>
      </c>
      <c r="E3957" t="s">
        <v>34</v>
      </c>
      <c r="F3957">
        <v>151.72999999999999</v>
      </c>
      <c r="G3957" t="s">
        <v>31</v>
      </c>
      <c r="H3957" t="s">
        <v>15</v>
      </c>
      <c r="I3957">
        <v>3.3</v>
      </c>
      <c r="J3957">
        <v>8</v>
      </c>
      <c r="K3957">
        <v>4</v>
      </c>
    </row>
    <row r="3958" spans="1:11" x14ac:dyDescent="0.35">
      <c r="A3958">
        <v>3957</v>
      </c>
      <c r="B3958">
        <v>66</v>
      </c>
      <c r="C3958" t="s">
        <v>16</v>
      </c>
      <c r="D3958" t="s">
        <v>17</v>
      </c>
      <c r="E3958" t="s">
        <v>35</v>
      </c>
      <c r="F3958">
        <v>188.31</v>
      </c>
      <c r="G3958" t="s">
        <v>24</v>
      </c>
      <c r="H3958" t="s">
        <v>15</v>
      </c>
      <c r="I3958">
        <v>5</v>
      </c>
      <c r="J3958">
        <v>6</v>
      </c>
      <c r="K3958">
        <v>3</v>
      </c>
    </row>
    <row r="3959" spans="1:11" x14ac:dyDescent="0.35">
      <c r="A3959">
        <v>3958</v>
      </c>
      <c r="B3959">
        <v>63</v>
      </c>
      <c r="C3959" t="s">
        <v>11</v>
      </c>
      <c r="D3959" t="s">
        <v>22</v>
      </c>
      <c r="E3959" t="s">
        <v>52</v>
      </c>
      <c r="F3959">
        <v>96.14</v>
      </c>
      <c r="G3959" t="s">
        <v>19</v>
      </c>
      <c r="H3959" t="s">
        <v>37</v>
      </c>
      <c r="I3959">
        <v>4.9000000000000004</v>
      </c>
      <c r="J3959">
        <v>24</v>
      </c>
      <c r="K3959">
        <v>7</v>
      </c>
    </row>
    <row r="3960" spans="1:11" x14ac:dyDescent="0.35">
      <c r="A3960">
        <v>3959</v>
      </c>
      <c r="B3960">
        <v>68</v>
      </c>
      <c r="C3960" t="s">
        <v>11</v>
      </c>
      <c r="D3960" t="s">
        <v>20</v>
      </c>
      <c r="E3960" t="s">
        <v>39</v>
      </c>
      <c r="F3960">
        <v>57.13</v>
      </c>
      <c r="G3960" t="s">
        <v>14</v>
      </c>
      <c r="H3960" t="s">
        <v>37</v>
      </c>
      <c r="I3960">
        <v>3.9</v>
      </c>
      <c r="J3960">
        <v>18</v>
      </c>
      <c r="K3960">
        <v>9</v>
      </c>
    </row>
    <row r="3961" spans="1:11" x14ac:dyDescent="0.35">
      <c r="A3961">
        <v>3960</v>
      </c>
      <c r="B3961">
        <v>58</v>
      </c>
      <c r="C3961" t="s">
        <v>16</v>
      </c>
      <c r="D3961" t="s">
        <v>22</v>
      </c>
      <c r="E3961" t="s">
        <v>52</v>
      </c>
      <c r="F3961">
        <v>53.9</v>
      </c>
      <c r="G3961" t="s">
        <v>24</v>
      </c>
      <c r="H3961" t="s">
        <v>37</v>
      </c>
      <c r="I3961">
        <v>4.4000000000000004</v>
      </c>
      <c r="J3961">
        <v>24</v>
      </c>
      <c r="K3961">
        <v>7</v>
      </c>
    </row>
    <row r="3962" spans="1:11" x14ac:dyDescent="0.35">
      <c r="A3962">
        <v>3961</v>
      </c>
      <c r="B3962">
        <v>48</v>
      </c>
      <c r="C3962" t="s">
        <v>11</v>
      </c>
      <c r="D3962" t="s">
        <v>41</v>
      </c>
      <c r="E3962" t="s">
        <v>46</v>
      </c>
      <c r="F3962">
        <v>108.03</v>
      </c>
      <c r="G3962" t="s">
        <v>19</v>
      </c>
      <c r="H3962" t="s">
        <v>15</v>
      </c>
      <c r="I3962">
        <v>2.9</v>
      </c>
      <c r="J3962">
        <v>13</v>
      </c>
      <c r="K3962">
        <v>4</v>
      </c>
    </row>
    <row r="3963" spans="1:11" x14ac:dyDescent="0.35">
      <c r="A3963">
        <v>3962</v>
      </c>
      <c r="B3963">
        <v>33</v>
      </c>
      <c r="C3963" t="s">
        <v>11</v>
      </c>
      <c r="D3963" t="s">
        <v>12</v>
      </c>
      <c r="E3963" t="s">
        <v>13</v>
      </c>
      <c r="F3963">
        <v>37.950000000000003</v>
      </c>
      <c r="G3963" t="s">
        <v>24</v>
      </c>
      <c r="H3963" t="s">
        <v>37</v>
      </c>
      <c r="I3963">
        <v>4.5</v>
      </c>
      <c r="J3963">
        <v>14</v>
      </c>
      <c r="K3963">
        <v>7</v>
      </c>
    </row>
    <row r="3964" spans="1:11" x14ac:dyDescent="0.35">
      <c r="A3964">
        <v>3963</v>
      </c>
      <c r="B3964">
        <v>61</v>
      </c>
      <c r="C3964" t="s">
        <v>16</v>
      </c>
      <c r="D3964" t="s">
        <v>20</v>
      </c>
      <c r="E3964" t="s">
        <v>39</v>
      </c>
      <c r="F3964">
        <v>105.24</v>
      </c>
      <c r="G3964" t="s">
        <v>31</v>
      </c>
      <c r="H3964" t="s">
        <v>15</v>
      </c>
      <c r="I3964">
        <v>4.5999999999999996</v>
      </c>
      <c r="J3964">
        <v>12</v>
      </c>
      <c r="K3964">
        <v>6</v>
      </c>
    </row>
    <row r="3965" spans="1:11" x14ac:dyDescent="0.35">
      <c r="A3965">
        <v>3964</v>
      </c>
      <c r="B3965">
        <v>39</v>
      </c>
      <c r="C3965" t="s">
        <v>16</v>
      </c>
      <c r="D3965" t="s">
        <v>27</v>
      </c>
      <c r="E3965" t="s">
        <v>49</v>
      </c>
      <c r="F3965">
        <v>1041.0999999999999</v>
      </c>
      <c r="G3965" t="s">
        <v>24</v>
      </c>
      <c r="H3965" t="s">
        <v>15</v>
      </c>
      <c r="I3965">
        <v>3.4</v>
      </c>
      <c r="J3965">
        <v>19</v>
      </c>
      <c r="K3965">
        <v>7</v>
      </c>
    </row>
    <row r="3966" spans="1:11" x14ac:dyDescent="0.35">
      <c r="A3966">
        <v>3965</v>
      </c>
      <c r="B3966">
        <v>41</v>
      </c>
      <c r="C3966" t="s">
        <v>16</v>
      </c>
      <c r="D3966" t="s">
        <v>20</v>
      </c>
      <c r="E3966" t="s">
        <v>39</v>
      </c>
      <c r="F3966">
        <v>171.63</v>
      </c>
      <c r="G3966" t="s">
        <v>24</v>
      </c>
      <c r="H3966" t="s">
        <v>15</v>
      </c>
      <c r="I3966">
        <v>4.4000000000000004</v>
      </c>
      <c r="J3966">
        <v>16</v>
      </c>
      <c r="K3966">
        <v>3</v>
      </c>
    </row>
    <row r="3967" spans="1:11" x14ac:dyDescent="0.35">
      <c r="A3967">
        <v>3966</v>
      </c>
      <c r="B3967">
        <v>60</v>
      </c>
      <c r="C3967" t="s">
        <v>11</v>
      </c>
      <c r="D3967" t="s">
        <v>33</v>
      </c>
      <c r="E3967" t="s">
        <v>40</v>
      </c>
      <c r="F3967">
        <v>234.84</v>
      </c>
      <c r="G3967" t="s">
        <v>31</v>
      </c>
      <c r="H3967" t="s">
        <v>15</v>
      </c>
      <c r="I3967">
        <v>5</v>
      </c>
      <c r="J3967">
        <v>29</v>
      </c>
      <c r="K3967">
        <v>12</v>
      </c>
    </row>
    <row r="3968" spans="1:11" x14ac:dyDescent="0.35">
      <c r="A3968">
        <v>3967</v>
      </c>
      <c r="B3968">
        <v>38</v>
      </c>
      <c r="C3968" t="s">
        <v>11</v>
      </c>
      <c r="D3968" t="s">
        <v>33</v>
      </c>
      <c r="E3968" t="s">
        <v>38</v>
      </c>
      <c r="F3968">
        <v>68.16</v>
      </c>
      <c r="G3968" t="s">
        <v>24</v>
      </c>
      <c r="H3968" t="s">
        <v>15</v>
      </c>
      <c r="I3968">
        <v>4.3</v>
      </c>
      <c r="J3968">
        <v>22</v>
      </c>
      <c r="K3968">
        <v>6</v>
      </c>
    </row>
    <row r="3969" spans="1:11" x14ac:dyDescent="0.35">
      <c r="A3969">
        <v>3968</v>
      </c>
      <c r="B3969">
        <v>21</v>
      </c>
      <c r="C3969" t="s">
        <v>16</v>
      </c>
      <c r="D3969" t="s">
        <v>33</v>
      </c>
      <c r="E3969" t="s">
        <v>34</v>
      </c>
      <c r="F3969">
        <v>245.4</v>
      </c>
      <c r="G3969" t="s">
        <v>24</v>
      </c>
      <c r="H3969" t="s">
        <v>15</v>
      </c>
      <c r="I3969">
        <v>3.9</v>
      </c>
      <c r="J3969">
        <v>4</v>
      </c>
      <c r="K3969">
        <v>2</v>
      </c>
    </row>
    <row r="3970" spans="1:11" x14ac:dyDescent="0.35">
      <c r="A3970">
        <v>3969</v>
      </c>
      <c r="B3970">
        <v>56</v>
      </c>
      <c r="C3970" t="s">
        <v>11</v>
      </c>
      <c r="D3970" t="s">
        <v>29</v>
      </c>
      <c r="E3970" t="s">
        <v>30</v>
      </c>
      <c r="F3970">
        <v>79.16</v>
      </c>
      <c r="G3970" t="s">
        <v>24</v>
      </c>
      <c r="H3970" t="s">
        <v>37</v>
      </c>
      <c r="I3970">
        <v>3</v>
      </c>
      <c r="J3970">
        <v>9</v>
      </c>
      <c r="K3970">
        <v>2</v>
      </c>
    </row>
    <row r="3971" spans="1:11" x14ac:dyDescent="0.35">
      <c r="A3971">
        <v>3970</v>
      </c>
      <c r="B3971">
        <v>51</v>
      </c>
      <c r="C3971" t="s">
        <v>11</v>
      </c>
      <c r="D3971" t="s">
        <v>33</v>
      </c>
      <c r="E3971" t="s">
        <v>38</v>
      </c>
      <c r="F3971">
        <v>88.4</v>
      </c>
      <c r="G3971" t="s">
        <v>14</v>
      </c>
      <c r="H3971" t="s">
        <v>37</v>
      </c>
      <c r="I3971">
        <v>4</v>
      </c>
      <c r="J3971">
        <v>6</v>
      </c>
      <c r="K3971">
        <v>3</v>
      </c>
    </row>
    <row r="3972" spans="1:11" x14ac:dyDescent="0.35">
      <c r="A3972">
        <v>3971</v>
      </c>
      <c r="B3972">
        <v>27</v>
      </c>
      <c r="C3972" t="s">
        <v>11</v>
      </c>
      <c r="D3972" t="s">
        <v>22</v>
      </c>
      <c r="E3972" t="s">
        <v>23</v>
      </c>
      <c r="F3972">
        <v>271.83999999999997</v>
      </c>
      <c r="G3972" t="s">
        <v>19</v>
      </c>
      <c r="H3972" t="s">
        <v>15</v>
      </c>
      <c r="I3972">
        <v>3.5</v>
      </c>
      <c r="J3972">
        <v>12</v>
      </c>
      <c r="K3972">
        <v>6</v>
      </c>
    </row>
    <row r="3973" spans="1:11" x14ac:dyDescent="0.35">
      <c r="A3973">
        <v>3972</v>
      </c>
      <c r="B3973">
        <v>68</v>
      </c>
      <c r="C3973" t="s">
        <v>11</v>
      </c>
      <c r="D3973" t="s">
        <v>12</v>
      </c>
      <c r="E3973" t="s">
        <v>13</v>
      </c>
      <c r="F3973">
        <v>119.54</v>
      </c>
      <c r="G3973" t="s">
        <v>24</v>
      </c>
      <c r="H3973" t="s">
        <v>15</v>
      </c>
      <c r="I3973">
        <v>3.8</v>
      </c>
      <c r="J3973">
        <v>4</v>
      </c>
      <c r="K3973">
        <v>2</v>
      </c>
    </row>
    <row r="3974" spans="1:11" x14ac:dyDescent="0.35">
      <c r="A3974">
        <v>3973</v>
      </c>
      <c r="B3974">
        <v>20</v>
      </c>
      <c r="C3974" t="s">
        <v>16</v>
      </c>
      <c r="D3974" t="s">
        <v>33</v>
      </c>
      <c r="E3974" t="s">
        <v>40</v>
      </c>
      <c r="F3974">
        <v>99.98</v>
      </c>
      <c r="G3974" t="s">
        <v>14</v>
      </c>
      <c r="H3974" t="s">
        <v>37</v>
      </c>
      <c r="I3974">
        <v>4.3</v>
      </c>
      <c r="J3974">
        <v>4</v>
      </c>
      <c r="K3974">
        <v>2</v>
      </c>
    </row>
    <row r="3975" spans="1:11" x14ac:dyDescent="0.35">
      <c r="A3975">
        <v>3974</v>
      </c>
      <c r="B3975">
        <v>51</v>
      </c>
      <c r="C3975" t="s">
        <v>11</v>
      </c>
      <c r="D3975" t="s">
        <v>29</v>
      </c>
      <c r="E3975" t="s">
        <v>30</v>
      </c>
      <c r="F3975">
        <v>98.45</v>
      </c>
      <c r="G3975" t="s">
        <v>24</v>
      </c>
      <c r="H3975" t="s">
        <v>37</v>
      </c>
      <c r="I3975">
        <v>4</v>
      </c>
      <c r="J3975">
        <v>20</v>
      </c>
      <c r="K3975">
        <v>5</v>
      </c>
    </row>
    <row r="3976" spans="1:11" x14ac:dyDescent="0.35">
      <c r="A3976">
        <v>3975</v>
      </c>
      <c r="B3976">
        <v>52</v>
      </c>
      <c r="C3976" t="s">
        <v>16</v>
      </c>
      <c r="D3976" t="s">
        <v>33</v>
      </c>
      <c r="E3976" t="s">
        <v>34</v>
      </c>
      <c r="F3976">
        <v>152.72</v>
      </c>
      <c r="G3976" t="s">
        <v>14</v>
      </c>
      <c r="H3976" t="s">
        <v>15</v>
      </c>
      <c r="I3976">
        <v>3.6</v>
      </c>
      <c r="J3976">
        <v>19</v>
      </c>
      <c r="K3976">
        <v>7</v>
      </c>
    </row>
    <row r="3977" spans="1:11" x14ac:dyDescent="0.35">
      <c r="A3977">
        <v>3976</v>
      </c>
      <c r="B3977">
        <v>36</v>
      </c>
      <c r="C3977" t="s">
        <v>16</v>
      </c>
      <c r="D3977" t="s">
        <v>33</v>
      </c>
      <c r="E3977" t="s">
        <v>38</v>
      </c>
      <c r="F3977">
        <v>149.22999999999999</v>
      </c>
      <c r="G3977" t="s">
        <v>24</v>
      </c>
      <c r="H3977" t="s">
        <v>15</v>
      </c>
      <c r="I3977">
        <v>4.2</v>
      </c>
      <c r="J3977">
        <v>13</v>
      </c>
      <c r="K3977">
        <v>4</v>
      </c>
    </row>
    <row r="3978" spans="1:11" x14ac:dyDescent="0.35">
      <c r="A3978">
        <v>3977</v>
      </c>
      <c r="B3978">
        <v>57</v>
      </c>
      <c r="C3978" t="s">
        <v>11</v>
      </c>
      <c r="D3978" t="s">
        <v>33</v>
      </c>
      <c r="E3978" t="s">
        <v>34</v>
      </c>
      <c r="F3978">
        <v>222.63</v>
      </c>
      <c r="G3978" t="s">
        <v>14</v>
      </c>
      <c r="H3978" t="s">
        <v>15</v>
      </c>
      <c r="I3978">
        <v>3.9</v>
      </c>
      <c r="J3978">
        <v>14</v>
      </c>
      <c r="K3978">
        <v>2</v>
      </c>
    </row>
    <row r="3979" spans="1:11" x14ac:dyDescent="0.35">
      <c r="A3979">
        <v>3978</v>
      </c>
      <c r="B3979">
        <v>60</v>
      </c>
      <c r="C3979" t="s">
        <v>11</v>
      </c>
      <c r="D3979" t="s">
        <v>33</v>
      </c>
      <c r="E3979" t="s">
        <v>40</v>
      </c>
      <c r="F3979">
        <v>180.72</v>
      </c>
      <c r="G3979" t="s">
        <v>31</v>
      </c>
      <c r="H3979" t="s">
        <v>15</v>
      </c>
      <c r="I3979">
        <v>3.7</v>
      </c>
      <c r="J3979">
        <v>4</v>
      </c>
      <c r="K3979">
        <v>2</v>
      </c>
    </row>
    <row r="3980" spans="1:11" x14ac:dyDescent="0.35">
      <c r="A3980">
        <v>3979</v>
      </c>
      <c r="B3980">
        <v>61</v>
      </c>
      <c r="C3980" t="s">
        <v>16</v>
      </c>
      <c r="D3980" t="s">
        <v>33</v>
      </c>
      <c r="E3980" t="s">
        <v>38</v>
      </c>
      <c r="F3980">
        <v>223.63</v>
      </c>
      <c r="G3980" t="s">
        <v>19</v>
      </c>
      <c r="H3980" t="s">
        <v>15</v>
      </c>
      <c r="I3980">
        <v>2.4</v>
      </c>
      <c r="J3980">
        <v>10</v>
      </c>
      <c r="K3980">
        <v>5</v>
      </c>
    </row>
    <row r="3981" spans="1:11" x14ac:dyDescent="0.35">
      <c r="A3981">
        <v>3980</v>
      </c>
      <c r="B3981">
        <v>43</v>
      </c>
      <c r="C3981" t="s">
        <v>16</v>
      </c>
      <c r="D3981" t="s">
        <v>27</v>
      </c>
      <c r="E3981" t="s">
        <v>28</v>
      </c>
      <c r="F3981">
        <v>2843.54</v>
      </c>
      <c r="G3981" t="s">
        <v>14</v>
      </c>
      <c r="H3981" t="s">
        <v>15</v>
      </c>
      <c r="I3981">
        <v>4.7</v>
      </c>
      <c r="J3981">
        <v>12</v>
      </c>
      <c r="K3981">
        <v>6</v>
      </c>
    </row>
    <row r="3982" spans="1:11" x14ac:dyDescent="0.35">
      <c r="A3982">
        <v>3981</v>
      </c>
      <c r="B3982">
        <v>21</v>
      </c>
      <c r="C3982" t="s">
        <v>16</v>
      </c>
      <c r="D3982" t="s">
        <v>20</v>
      </c>
      <c r="E3982" t="s">
        <v>21</v>
      </c>
      <c r="F3982">
        <v>84.88</v>
      </c>
      <c r="G3982" t="s">
        <v>14</v>
      </c>
      <c r="H3982" t="s">
        <v>37</v>
      </c>
      <c r="I3982">
        <v>3.5</v>
      </c>
      <c r="J3982">
        <v>12</v>
      </c>
      <c r="K3982">
        <v>6</v>
      </c>
    </row>
    <row r="3983" spans="1:11" x14ac:dyDescent="0.35">
      <c r="A3983">
        <v>3982</v>
      </c>
      <c r="B3983">
        <v>31</v>
      </c>
      <c r="C3983" t="s">
        <v>16</v>
      </c>
      <c r="D3983" t="s">
        <v>27</v>
      </c>
      <c r="E3983" t="s">
        <v>28</v>
      </c>
      <c r="F3983">
        <v>2371.4899999999998</v>
      </c>
      <c r="G3983" t="s">
        <v>24</v>
      </c>
      <c r="H3983" t="s">
        <v>15</v>
      </c>
      <c r="I3983">
        <v>4.5</v>
      </c>
      <c r="J3983">
        <v>8</v>
      </c>
      <c r="K3983">
        <v>4</v>
      </c>
    </row>
    <row r="3984" spans="1:11" x14ac:dyDescent="0.35">
      <c r="A3984">
        <v>3983</v>
      </c>
      <c r="B3984">
        <v>62</v>
      </c>
      <c r="C3984" t="s">
        <v>16</v>
      </c>
      <c r="D3984" t="s">
        <v>20</v>
      </c>
      <c r="E3984" t="s">
        <v>39</v>
      </c>
      <c r="F3984">
        <v>150.02000000000001</v>
      </c>
      <c r="G3984" t="s">
        <v>14</v>
      </c>
      <c r="H3984" t="s">
        <v>15</v>
      </c>
      <c r="I3984">
        <v>3.8</v>
      </c>
      <c r="J3984">
        <v>20</v>
      </c>
      <c r="K3984">
        <v>10</v>
      </c>
    </row>
    <row r="3985" spans="1:11" x14ac:dyDescent="0.35">
      <c r="A3985">
        <v>3984</v>
      </c>
      <c r="B3985">
        <v>63</v>
      </c>
      <c r="C3985" t="s">
        <v>16</v>
      </c>
      <c r="D3985" t="s">
        <v>17</v>
      </c>
      <c r="E3985" t="s">
        <v>42</v>
      </c>
      <c r="F3985">
        <v>136.77000000000001</v>
      </c>
      <c r="G3985" t="s">
        <v>24</v>
      </c>
      <c r="H3985" t="s">
        <v>15</v>
      </c>
      <c r="I3985">
        <v>4.5</v>
      </c>
      <c r="J3985">
        <v>14</v>
      </c>
      <c r="K3985">
        <v>2</v>
      </c>
    </row>
    <row r="3986" spans="1:11" x14ac:dyDescent="0.35">
      <c r="A3986">
        <v>3985</v>
      </c>
      <c r="B3986">
        <v>66</v>
      </c>
      <c r="C3986" t="s">
        <v>16</v>
      </c>
      <c r="D3986" t="s">
        <v>27</v>
      </c>
      <c r="E3986" t="s">
        <v>32</v>
      </c>
      <c r="F3986">
        <v>2709.03</v>
      </c>
      <c r="G3986" t="s">
        <v>31</v>
      </c>
      <c r="H3986" t="s">
        <v>15</v>
      </c>
      <c r="I3986">
        <v>2</v>
      </c>
      <c r="J3986">
        <v>20</v>
      </c>
      <c r="K3986">
        <v>10</v>
      </c>
    </row>
    <row r="3987" spans="1:11" x14ac:dyDescent="0.35">
      <c r="A3987">
        <v>3986</v>
      </c>
      <c r="B3987">
        <v>31</v>
      </c>
      <c r="C3987" t="s">
        <v>11</v>
      </c>
      <c r="D3987" t="s">
        <v>41</v>
      </c>
      <c r="E3987" t="s">
        <v>44</v>
      </c>
      <c r="F3987">
        <v>147.94999999999999</v>
      </c>
      <c r="G3987" t="s">
        <v>19</v>
      </c>
      <c r="H3987" t="s">
        <v>15</v>
      </c>
      <c r="I3987">
        <v>3.5</v>
      </c>
      <c r="J3987">
        <v>17</v>
      </c>
      <c r="K3987">
        <v>6</v>
      </c>
    </row>
    <row r="3988" spans="1:11" x14ac:dyDescent="0.35">
      <c r="A3988">
        <v>3987</v>
      </c>
      <c r="B3988">
        <v>42</v>
      </c>
      <c r="C3988" t="s">
        <v>16</v>
      </c>
      <c r="D3988" t="s">
        <v>20</v>
      </c>
      <c r="E3988" t="s">
        <v>21</v>
      </c>
      <c r="F3988">
        <v>114.5</v>
      </c>
      <c r="G3988" t="s">
        <v>19</v>
      </c>
      <c r="H3988" t="s">
        <v>15</v>
      </c>
      <c r="I3988">
        <v>2.8</v>
      </c>
      <c r="J3988">
        <v>14</v>
      </c>
      <c r="K3988">
        <v>2</v>
      </c>
    </row>
    <row r="3989" spans="1:11" x14ac:dyDescent="0.35">
      <c r="A3989">
        <v>3988</v>
      </c>
      <c r="B3989">
        <v>34</v>
      </c>
      <c r="C3989" t="s">
        <v>16</v>
      </c>
      <c r="D3989" t="s">
        <v>20</v>
      </c>
      <c r="E3989" t="s">
        <v>39</v>
      </c>
      <c r="F3989">
        <v>238.61</v>
      </c>
      <c r="G3989" t="s">
        <v>31</v>
      </c>
      <c r="H3989" t="s">
        <v>15</v>
      </c>
      <c r="I3989">
        <v>3.9</v>
      </c>
      <c r="J3989">
        <v>11</v>
      </c>
      <c r="K3989">
        <v>3</v>
      </c>
    </row>
    <row r="3990" spans="1:11" x14ac:dyDescent="0.35">
      <c r="A3990">
        <v>3989</v>
      </c>
      <c r="B3990">
        <v>61</v>
      </c>
      <c r="C3990" t="s">
        <v>16</v>
      </c>
      <c r="D3990" t="s">
        <v>27</v>
      </c>
      <c r="E3990" t="s">
        <v>28</v>
      </c>
      <c r="F3990">
        <v>2513.3200000000002</v>
      </c>
      <c r="G3990" t="s">
        <v>24</v>
      </c>
      <c r="H3990" t="s">
        <v>15</v>
      </c>
      <c r="I3990">
        <v>3.6</v>
      </c>
      <c r="J3990">
        <v>6</v>
      </c>
      <c r="K3990">
        <v>3</v>
      </c>
    </row>
    <row r="3991" spans="1:11" x14ac:dyDescent="0.35">
      <c r="A3991">
        <v>3990</v>
      </c>
      <c r="B3991">
        <v>47</v>
      </c>
      <c r="C3991" t="s">
        <v>16</v>
      </c>
      <c r="D3991" t="s">
        <v>20</v>
      </c>
      <c r="E3991" t="s">
        <v>36</v>
      </c>
      <c r="F3991">
        <v>221.85</v>
      </c>
      <c r="G3991" t="s">
        <v>19</v>
      </c>
      <c r="H3991" t="s">
        <v>15</v>
      </c>
      <c r="I3991">
        <v>4.4000000000000004</v>
      </c>
      <c r="J3991">
        <v>16</v>
      </c>
      <c r="K3991">
        <v>3</v>
      </c>
    </row>
    <row r="3992" spans="1:11" x14ac:dyDescent="0.35">
      <c r="A3992">
        <v>3991</v>
      </c>
      <c r="B3992">
        <v>39</v>
      </c>
      <c r="C3992" t="s">
        <v>16</v>
      </c>
      <c r="D3992" t="s">
        <v>33</v>
      </c>
      <c r="E3992" t="s">
        <v>40</v>
      </c>
      <c r="F3992">
        <v>217.91</v>
      </c>
      <c r="G3992" t="s">
        <v>19</v>
      </c>
      <c r="H3992" t="s">
        <v>15</v>
      </c>
      <c r="I3992">
        <v>3</v>
      </c>
      <c r="J3992">
        <v>20</v>
      </c>
      <c r="K3992">
        <v>5</v>
      </c>
    </row>
    <row r="3993" spans="1:11" x14ac:dyDescent="0.35">
      <c r="A3993">
        <v>3992</v>
      </c>
      <c r="B3993">
        <v>29</v>
      </c>
      <c r="C3993" t="s">
        <v>16</v>
      </c>
      <c r="D3993" t="s">
        <v>33</v>
      </c>
      <c r="E3993" t="s">
        <v>40</v>
      </c>
      <c r="F3993">
        <v>88.9</v>
      </c>
      <c r="G3993" t="s">
        <v>31</v>
      </c>
      <c r="H3993" t="s">
        <v>37</v>
      </c>
      <c r="I3993">
        <v>2.8</v>
      </c>
      <c r="J3993">
        <v>15</v>
      </c>
      <c r="K3993">
        <v>5</v>
      </c>
    </row>
    <row r="3994" spans="1:11" x14ac:dyDescent="0.35">
      <c r="A3994">
        <v>3993</v>
      </c>
      <c r="B3994">
        <v>49</v>
      </c>
      <c r="C3994" t="s">
        <v>11</v>
      </c>
      <c r="D3994" t="s">
        <v>22</v>
      </c>
      <c r="E3994" t="s">
        <v>23</v>
      </c>
      <c r="F3994">
        <v>248.98</v>
      </c>
      <c r="G3994" t="s">
        <v>19</v>
      </c>
      <c r="H3994" t="s">
        <v>15</v>
      </c>
      <c r="I3994">
        <v>3.8</v>
      </c>
      <c r="J3994">
        <v>23</v>
      </c>
      <c r="K3994">
        <v>9</v>
      </c>
    </row>
    <row r="3995" spans="1:11" x14ac:dyDescent="0.35">
      <c r="A3995">
        <v>3994</v>
      </c>
      <c r="B3995">
        <v>28</v>
      </c>
      <c r="C3995" t="s">
        <v>11</v>
      </c>
      <c r="D3995" t="s">
        <v>22</v>
      </c>
      <c r="E3995" t="s">
        <v>23</v>
      </c>
      <c r="F3995">
        <v>225.31</v>
      </c>
      <c r="G3995" t="s">
        <v>24</v>
      </c>
      <c r="H3995" t="s">
        <v>15</v>
      </c>
      <c r="I3995">
        <v>3.9</v>
      </c>
      <c r="J3995">
        <v>10</v>
      </c>
      <c r="K3995">
        <v>5</v>
      </c>
    </row>
    <row r="3996" spans="1:11" x14ac:dyDescent="0.35">
      <c r="A3996">
        <v>3995</v>
      </c>
      <c r="B3996">
        <v>23</v>
      </c>
      <c r="C3996" t="s">
        <v>11</v>
      </c>
      <c r="D3996" t="s">
        <v>12</v>
      </c>
      <c r="E3996" t="s">
        <v>13</v>
      </c>
      <c r="F3996">
        <v>163.88</v>
      </c>
      <c r="G3996" t="s">
        <v>19</v>
      </c>
      <c r="H3996" t="s">
        <v>15</v>
      </c>
      <c r="I3996">
        <v>4.7</v>
      </c>
      <c r="J3996">
        <v>12</v>
      </c>
      <c r="K3996">
        <v>6</v>
      </c>
    </row>
    <row r="3997" spans="1:11" x14ac:dyDescent="0.35">
      <c r="A3997">
        <v>3996</v>
      </c>
      <c r="B3997">
        <v>28</v>
      </c>
      <c r="C3997" t="s">
        <v>11</v>
      </c>
      <c r="D3997" t="s">
        <v>12</v>
      </c>
      <c r="E3997" t="s">
        <v>13</v>
      </c>
      <c r="F3997">
        <v>139.87</v>
      </c>
      <c r="G3997" t="s">
        <v>31</v>
      </c>
      <c r="H3997" t="s">
        <v>15</v>
      </c>
      <c r="I3997">
        <v>4.8</v>
      </c>
      <c r="J3997">
        <v>15</v>
      </c>
      <c r="K3997">
        <v>5</v>
      </c>
    </row>
    <row r="3998" spans="1:11" x14ac:dyDescent="0.35">
      <c r="A3998">
        <v>3997</v>
      </c>
      <c r="B3998">
        <v>67</v>
      </c>
      <c r="C3998" t="s">
        <v>11</v>
      </c>
      <c r="D3998" t="s">
        <v>12</v>
      </c>
      <c r="E3998" t="s">
        <v>13</v>
      </c>
      <c r="F3998">
        <v>133.21</v>
      </c>
      <c r="G3998" t="s">
        <v>31</v>
      </c>
      <c r="H3998" t="s">
        <v>15</v>
      </c>
      <c r="I3998">
        <v>4.5999999999999996</v>
      </c>
      <c r="J3998">
        <v>12</v>
      </c>
      <c r="K3998">
        <v>6</v>
      </c>
    </row>
    <row r="3999" spans="1:11" x14ac:dyDescent="0.35">
      <c r="A3999">
        <v>3998</v>
      </c>
      <c r="B3999">
        <v>63</v>
      </c>
      <c r="C3999" t="s">
        <v>11</v>
      </c>
      <c r="D3999" t="s">
        <v>12</v>
      </c>
      <c r="E3999" t="s">
        <v>13</v>
      </c>
      <c r="F3999">
        <v>138.94</v>
      </c>
      <c r="G3999" t="s">
        <v>31</v>
      </c>
      <c r="H3999" t="s">
        <v>15</v>
      </c>
      <c r="I3999">
        <v>3.8</v>
      </c>
      <c r="J3999">
        <v>18</v>
      </c>
      <c r="K3999">
        <v>9</v>
      </c>
    </row>
    <row r="4000" spans="1:11" x14ac:dyDescent="0.35">
      <c r="A4000">
        <v>3999</v>
      </c>
      <c r="B4000">
        <v>38</v>
      </c>
      <c r="C4000" t="s">
        <v>11</v>
      </c>
      <c r="D4000" t="s">
        <v>20</v>
      </c>
      <c r="E4000" t="s">
        <v>39</v>
      </c>
      <c r="F4000">
        <v>52.35</v>
      </c>
      <c r="G4000" t="s">
        <v>19</v>
      </c>
      <c r="H4000" t="s">
        <v>15</v>
      </c>
      <c r="I4000">
        <v>4.0999999999999996</v>
      </c>
      <c r="J4000">
        <v>21</v>
      </c>
      <c r="K4000">
        <v>8</v>
      </c>
    </row>
    <row r="4001" spans="1:11" x14ac:dyDescent="0.35">
      <c r="A4001">
        <v>4000</v>
      </c>
      <c r="B4001">
        <v>41</v>
      </c>
      <c r="C4001" t="s">
        <v>16</v>
      </c>
      <c r="D4001" t="s">
        <v>17</v>
      </c>
      <c r="E4001" t="s">
        <v>42</v>
      </c>
      <c r="F4001">
        <v>36.25</v>
      </c>
      <c r="G4001" t="s">
        <v>14</v>
      </c>
      <c r="H4001" t="s">
        <v>37</v>
      </c>
      <c r="I4001">
        <v>4.5999999999999996</v>
      </c>
      <c r="J4001">
        <v>18</v>
      </c>
      <c r="K4001">
        <v>4</v>
      </c>
    </row>
    <row r="4002" spans="1:11" x14ac:dyDescent="0.35">
      <c r="A4002">
        <v>4001</v>
      </c>
      <c r="B4002">
        <v>50</v>
      </c>
      <c r="C4002" t="s">
        <v>16</v>
      </c>
      <c r="D4002" t="s">
        <v>17</v>
      </c>
      <c r="E4002" t="s">
        <v>35</v>
      </c>
      <c r="F4002">
        <v>96.94</v>
      </c>
      <c r="G4002" t="s">
        <v>31</v>
      </c>
      <c r="H4002" t="s">
        <v>37</v>
      </c>
      <c r="I4002">
        <v>3.6</v>
      </c>
      <c r="J4002">
        <v>6</v>
      </c>
      <c r="K4002">
        <v>3</v>
      </c>
    </row>
    <row r="4003" spans="1:11" x14ac:dyDescent="0.35">
      <c r="A4003">
        <v>4002</v>
      </c>
      <c r="B4003">
        <v>65</v>
      </c>
      <c r="C4003" t="s">
        <v>11</v>
      </c>
      <c r="D4003" t="s">
        <v>41</v>
      </c>
      <c r="E4003" t="s">
        <v>42</v>
      </c>
      <c r="F4003">
        <v>170.25</v>
      </c>
      <c r="G4003" t="s">
        <v>14</v>
      </c>
      <c r="H4003" t="s">
        <v>15</v>
      </c>
      <c r="I4003">
        <v>4.7</v>
      </c>
      <c r="J4003">
        <v>26</v>
      </c>
      <c r="K4003">
        <v>8</v>
      </c>
    </row>
    <row r="4004" spans="1:11" x14ac:dyDescent="0.35">
      <c r="A4004">
        <v>4003</v>
      </c>
      <c r="B4004">
        <v>49</v>
      </c>
      <c r="C4004" t="s">
        <v>16</v>
      </c>
      <c r="D4004" t="s">
        <v>20</v>
      </c>
      <c r="E4004" t="s">
        <v>39</v>
      </c>
      <c r="F4004">
        <v>190.85</v>
      </c>
      <c r="G4004" t="s">
        <v>19</v>
      </c>
      <c r="H4004" t="s">
        <v>15</v>
      </c>
      <c r="I4004">
        <v>4</v>
      </c>
      <c r="J4004">
        <v>14</v>
      </c>
      <c r="K4004">
        <v>7</v>
      </c>
    </row>
    <row r="4005" spans="1:11" x14ac:dyDescent="0.35">
      <c r="A4005">
        <v>4004</v>
      </c>
      <c r="B4005">
        <v>41</v>
      </c>
      <c r="C4005" t="s">
        <v>16</v>
      </c>
      <c r="D4005" t="s">
        <v>17</v>
      </c>
      <c r="E4005" t="s">
        <v>18</v>
      </c>
      <c r="F4005">
        <v>106.08</v>
      </c>
      <c r="G4005" t="s">
        <v>14</v>
      </c>
      <c r="H4005" t="s">
        <v>15</v>
      </c>
      <c r="I4005">
        <v>4.0999999999999996</v>
      </c>
      <c r="J4005">
        <v>9</v>
      </c>
      <c r="K4005">
        <v>2</v>
      </c>
    </row>
    <row r="4006" spans="1:11" x14ac:dyDescent="0.35">
      <c r="A4006">
        <v>4005</v>
      </c>
      <c r="B4006">
        <v>24</v>
      </c>
      <c r="C4006" t="s">
        <v>11</v>
      </c>
      <c r="D4006" t="s">
        <v>29</v>
      </c>
      <c r="E4006" t="s">
        <v>51</v>
      </c>
      <c r="F4006">
        <v>124.83</v>
      </c>
      <c r="G4006" t="s">
        <v>24</v>
      </c>
      <c r="H4006" t="s">
        <v>15</v>
      </c>
      <c r="I4006">
        <v>2.6</v>
      </c>
      <c r="J4006">
        <v>12</v>
      </c>
      <c r="K4006">
        <v>1</v>
      </c>
    </row>
    <row r="4007" spans="1:11" x14ac:dyDescent="0.35">
      <c r="A4007">
        <v>4006</v>
      </c>
      <c r="B4007">
        <v>27</v>
      </c>
      <c r="C4007" t="s">
        <v>11</v>
      </c>
      <c r="D4007" t="s">
        <v>29</v>
      </c>
      <c r="E4007" t="s">
        <v>55</v>
      </c>
      <c r="F4007">
        <v>140.07</v>
      </c>
      <c r="G4007" t="s">
        <v>31</v>
      </c>
      <c r="H4007" t="s">
        <v>15</v>
      </c>
      <c r="I4007">
        <v>3.2</v>
      </c>
      <c r="J4007">
        <v>11</v>
      </c>
      <c r="K4007">
        <v>3</v>
      </c>
    </row>
    <row r="4008" spans="1:11" x14ac:dyDescent="0.35">
      <c r="A4008">
        <v>4007</v>
      </c>
      <c r="B4008">
        <v>50</v>
      </c>
      <c r="C4008" t="s">
        <v>11</v>
      </c>
      <c r="D4008" t="s">
        <v>25</v>
      </c>
      <c r="E4008" t="s">
        <v>26</v>
      </c>
      <c r="F4008">
        <v>72.930000000000007</v>
      </c>
      <c r="G4008" t="s">
        <v>24</v>
      </c>
      <c r="H4008" t="s">
        <v>37</v>
      </c>
      <c r="I4008">
        <v>3.8</v>
      </c>
      <c r="J4008">
        <v>10</v>
      </c>
      <c r="K4008">
        <v>5</v>
      </c>
    </row>
    <row r="4009" spans="1:11" x14ac:dyDescent="0.35">
      <c r="A4009">
        <v>4008</v>
      </c>
      <c r="B4009">
        <v>36</v>
      </c>
      <c r="C4009" t="s">
        <v>11</v>
      </c>
      <c r="D4009" t="s">
        <v>29</v>
      </c>
      <c r="E4009" t="s">
        <v>51</v>
      </c>
      <c r="F4009">
        <v>122.19</v>
      </c>
      <c r="G4009" t="s">
        <v>24</v>
      </c>
      <c r="H4009" t="s">
        <v>15</v>
      </c>
      <c r="I4009">
        <v>3.8</v>
      </c>
      <c r="J4009">
        <v>12</v>
      </c>
      <c r="K4009">
        <v>6</v>
      </c>
    </row>
    <row r="4010" spans="1:11" x14ac:dyDescent="0.35">
      <c r="A4010">
        <v>4009</v>
      </c>
      <c r="B4010">
        <v>52</v>
      </c>
      <c r="C4010" t="s">
        <v>16</v>
      </c>
      <c r="D4010" t="s">
        <v>27</v>
      </c>
      <c r="E4010" t="s">
        <v>32</v>
      </c>
      <c r="F4010">
        <v>1169.3900000000001</v>
      </c>
      <c r="G4010" t="s">
        <v>31</v>
      </c>
      <c r="H4010" t="s">
        <v>15</v>
      </c>
      <c r="I4010">
        <v>3</v>
      </c>
      <c r="J4010">
        <v>20</v>
      </c>
      <c r="K4010">
        <v>10</v>
      </c>
    </row>
    <row r="4011" spans="1:11" x14ac:dyDescent="0.35">
      <c r="A4011">
        <v>4010</v>
      </c>
      <c r="B4011">
        <v>66</v>
      </c>
      <c r="C4011" t="s">
        <v>11</v>
      </c>
      <c r="D4011" t="s">
        <v>20</v>
      </c>
      <c r="E4011" t="s">
        <v>21</v>
      </c>
      <c r="F4011">
        <v>195.24</v>
      </c>
      <c r="G4011" t="s">
        <v>24</v>
      </c>
      <c r="H4011" t="s">
        <v>15</v>
      </c>
      <c r="I4011">
        <v>5</v>
      </c>
      <c r="J4011">
        <v>18</v>
      </c>
      <c r="K4011">
        <v>4</v>
      </c>
    </row>
    <row r="4012" spans="1:11" x14ac:dyDescent="0.35">
      <c r="A4012">
        <v>4011</v>
      </c>
      <c r="B4012">
        <v>70</v>
      </c>
      <c r="C4012" t="s">
        <v>11</v>
      </c>
      <c r="D4012" t="s">
        <v>41</v>
      </c>
      <c r="E4012" t="s">
        <v>44</v>
      </c>
      <c r="F4012">
        <v>199.98</v>
      </c>
      <c r="G4012" t="s">
        <v>19</v>
      </c>
      <c r="H4012" t="s">
        <v>15</v>
      </c>
      <c r="I4012">
        <v>4</v>
      </c>
      <c r="J4012">
        <v>13</v>
      </c>
      <c r="K4012">
        <v>4</v>
      </c>
    </row>
    <row r="4013" spans="1:11" x14ac:dyDescent="0.35">
      <c r="A4013">
        <v>4012</v>
      </c>
      <c r="B4013">
        <v>44</v>
      </c>
      <c r="C4013" t="s">
        <v>11</v>
      </c>
      <c r="D4013" t="s">
        <v>41</v>
      </c>
      <c r="E4013" t="s">
        <v>44</v>
      </c>
      <c r="F4013">
        <v>81.96</v>
      </c>
      <c r="G4013" t="s">
        <v>14</v>
      </c>
      <c r="H4013" t="s">
        <v>37</v>
      </c>
      <c r="I4013">
        <v>2.7</v>
      </c>
      <c r="J4013">
        <v>10</v>
      </c>
      <c r="K4013">
        <v>5</v>
      </c>
    </row>
    <row r="4014" spans="1:11" x14ac:dyDescent="0.35">
      <c r="A4014">
        <v>4013</v>
      </c>
      <c r="B4014">
        <v>64</v>
      </c>
      <c r="C4014" t="s">
        <v>11</v>
      </c>
      <c r="D4014" t="s">
        <v>41</v>
      </c>
      <c r="E4014" t="s">
        <v>45</v>
      </c>
      <c r="F4014">
        <v>168.24</v>
      </c>
      <c r="G4014" t="s">
        <v>24</v>
      </c>
      <c r="H4014" t="s">
        <v>15</v>
      </c>
      <c r="I4014">
        <v>3.1</v>
      </c>
      <c r="J4014">
        <v>4</v>
      </c>
      <c r="K4014">
        <v>2</v>
      </c>
    </row>
    <row r="4015" spans="1:11" x14ac:dyDescent="0.35">
      <c r="A4015">
        <v>4014</v>
      </c>
      <c r="B4015">
        <v>37</v>
      </c>
      <c r="C4015" t="s">
        <v>11</v>
      </c>
      <c r="D4015" t="s">
        <v>29</v>
      </c>
      <c r="E4015" t="s">
        <v>30</v>
      </c>
      <c r="F4015">
        <v>38</v>
      </c>
      <c r="G4015" t="s">
        <v>14</v>
      </c>
      <c r="H4015" t="s">
        <v>15</v>
      </c>
      <c r="I4015">
        <v>4</v>
      </c>
      <c r="J4015">
        <v>16</v>
      </c>
      <c r="K4015">
        <v>8</v>
      </c>
    </row>
    <row r="4016" spans="1:11" x14ac:dyDescent="0.35">
      <c r="A4016">
        <v>4015</v>
      </c>
      <c r="B4016">
        <v>36</v>
      </c>
      <c r="C4016" t="s">
        <v>16</v>
      </c>
      <c r="D4016" t="s">
        <v>20</v>
      </c>
      <c r="E4016" t="s">
        <v>21</v>
      </c>
      <c r="F4016">
        <v>37.32</v>
      </c>
      <c r="G4016" t="s">
        <v>24</v>
      </c>
      <c r="H4016" t="s">
        <v>15</v>
      </c>
      <c r="I4016">
        <v>5</v>
      </c>
      <c r="J4016">
        <v>23</v>
      </c>
      <c r="K4016">
        <v>9</v>
      </c>
    </row>
    <row r="4017" spans="1:11" x14ac:dyDescent="0.35">
      <c r="A4017">
        <v>4016</v>
      </c>
      <c r="B4017">
        <v>58</v>
      </c>
      <c r="C4017" t="s">
        <v>11</v>
      </c>
      <c r="D4017" t="s">
        <v>12</v>
      </c>
      <c r="E4017" t="s">
        <v>56</v>
      </c>
      <c r="F4017">
        <v>152.99</v>
      </c>
      <c r="G4017" t="s">
        <v>31</v>
      </c>
      <c r="H4017" t="s">
        <v>15</v>
      </c>
      <c r="I4017">
        <v>3.2</v>
      </c>
      <c r="J4017">
        <v>17</v>
      </c>
      <c r="K4017">
        <v>6</v>
      </c>
    </row>
    <row r="4018" spans="1:11" x14ac:dyDescent="0.35">
      <c r="A4018">
        <v>4017</v>
      </c>
      <c r="B4018">
        <v>65</v>
      </c>
      <c r="C4018" t="s">
        <v>11</v>
      </c>
      <c r="D4018" t="s">
        <v>12</v>
      </c>
      <c r="E4018" t="s">
        <v>56</v>
      </c>
      <c r="F4018">
        <v>88.31</v>
      </c>
      <c r="G4018" t="s">
        <v>14</v>
      </c>
      <c r="H4018" t="s">
        <v>15</v>
      </c>
      <c r="I4018">
        <v>3.8</v>
      </c>
      <c r="J4018">
        <v>18</v>
      </c>
      <c r="K4018">
        <v>4</v>
      </c>
    </row>
    <row r="4019" spans="1:11" x14ac:dyDescent="0.35">
      <c r="A4019">
        <v>4018</v>
      </c>
      <c r="B4019">
        <v>35</v>
      </c>
      <c r="C4019" t="s">
        <v>16</v>
      </c>
      <c r="D4019" t="s">
        <v>17</v>
      </c>
      <c r="E4019" t="s">
        <v>18</v>
      </c>
      <c r="F4019">
        <v>49.5</v>
      </c>
      <c r="G4019" t="s">
        <v>19</v>
      </c>
      <c r="H4019" t="s">
        <v>37</v>
      </c>
      <c r="I4019">
        <v>4.5999999999999996</v>
      </c>
      <c r="J4019">
        <v>18</v>
      </c>
      <c r="K4019">
        <v>4</v>
      </c>
    </row>
    <row r="4020" spans="1:11" x14ac:dyDescent="0.35">
      <c r="A4020">
        <v>4019</v>
      </c>
      <c r="B4020">
        <v>41</v>
      </c>
      <c r="C4020" t="s">
        <v>16</v>
      </c>
      <c r="D4020" t="s">
        <v>20</v>
      </c>
      <c r="E4020" t="s">
        <v>21</v>
      </c>
      <c r="F4020">
        <v>201</v>
      </c>
      <c r="G4020" t="s">
        <v>31</v>
      </c>
      <c r="H4020" t="s">
        <v>15</v>
      </c>
      <c r="I4020">
        <v>4.5999999999999996</v>
      </c>
      <c r="J4020">
        <v>4</v>
      </c>
      <c r="K4020">
        <v>2</v>
      </c>
    </row>
    <row r="4021" spans="1:11" x14ac:dyDescent="0.35">
      <c r="A4021">
        <v>4020</v>
      </c>
      <c r="B4021">
        <v>52</v>
      </c>
      <c r="C4021" t="s">
        <v>11</v>
      </c>
      <c r="D4021" t="s">
        <v>12</v>
      </c>
      <c r="E4021" t="s">
        <v>56</v>
      </c>
      <c r="F4021">
        <v>85.67</v>
      </c>
      <c r="G4021" t="s">
        <v>31</v>
      </c>
      <c r="H4021" t="s">
        <v>37</v>
      </c>
      <c r="I4021">
        <v>2.7</v>
      </c>
      <c r="J4021">
        <v>8</v>
      </c>
      <c r="K4021">
        <v>4</v>
      </c>
    </row>
    <row r="4022" spans="1:11" x14ac:dyDescent="0.35">
      <c r="A4022">
        <v>4021</v>
      </c>
      <c r="B4022">
        <v>41</v>
      </c>
      <c r="C4022" t="s">
        <v>16</v>
      </c>
      <c r="D4022" t="s">
        <v>25</v>
      </c>
      <c r="E4022" t="s">
        <v>26</v>
      </c>
      <c r="F4022">
        <v>35.58</v>
      </c>
      <c r="G4022" t="s">
        <v>24</v>
      </c>
      <c r="H4022" t="s">
        <v>15</v>
      </c>
      <c r="I4022">
        <v>4.4000000000000004</v>
      </c>
      <c r="J4022">
        <v>24</v>
      </c>
      <c r="K4022">
        <v>7</v>
      </c>
    </row>
    <row r="4023" spans="1:11" x14ac:dyDescent="0.35">
      <c r="A4023">
        <v>4022</v>
      </c>
      <c r="B4023">
        <v>28</v>
      </c>
      <c r="C4023" t="s">
        <v>11</v>
      </c>
      <c r="D4023" t="s">
        <v>29</v>
      </c>
      <c r="E4023" t="s">
        <v>55</v>
      </c>
      <c r="F4023">
        <v>132.91</v>
      </c>
      <c r="G4023" t="s">
        <v>19</v>
      </c>
      <c r="H4023" t="s">
        <v>15</v>
      </c>
      <c r="I4023">
        <v>3.4</v>
      </c>
      <c r="J4023">
        <v>10</v>
      </c>
      <c r="K4023">
        <v>5</v>
      </c>
    </row>
    <row r="4024" spans="1:11" x14ac:dyDescent="0.35">
      <c r="A4024">
        <v>4023</v>
      </c>
      <c r="B4024">
        <v>54</v>
      </c>
      <c r="C4024" t="s">
        <v>11</v>
      </c>
      <c r="D4024" t="s">
        <v>41</v>
      </c>
      <c r="E4024" t="s">
        <v>42</v>
      </c>
      <c r="F4024">
        <v>41.9</v>
      </c>
      <c r="G4024" t="s">
        <v>19</v>
      </c>
      <c r="H4024" t="s">
        <v>37</v>
      </c>
      <c r="I4024">
        <v>3.3</v>
      </c>
      <c r="J4024">
        <v>14</v>
      </c>
      <c r="K4024">
        <v>2</v>
      </c>
    </row>
    <row r="4025" spans="1:11" x14ac:dyDescent="0.35">
      <c r="A4025">
        <v>4024</v>
      </c>
      <c r="B4025">
        <v>62</v>
      </c>
      <c r="C4025" t="s">
        <v>16</v>
      </c>
      <c r="D4025" t="s">
        <v>33</v>
      </c>
      <c r="E4025" t="s">
        <v>34</v>
      </c>
      <c r="F4025">
        <v>237.74</v>
      </c>
      <c r="G4025" t="s">
        <v>19</v>
      </c>
      <c r="H4025" t="s">
        <v>15</v>
      </c>
      <c r="I4025">
        <v>3.1</v>
      </c>
      <c r="J4025">
        <v>16</v>
      </c>
      <c r="K4025">
        <v>8</v>
      </c>
    </row>
    <row r="4026" spans="1:11" x14ac:dyDescent="0.35">
      <c r="A4026">
        <v>4025</v>
      </c>
      <c r="B4026">
        <v>66</v>
      </c>
      <c r="C4026" t="s">
        <v>11</v>
      </c>
      <c r="D4026" t="s">
        <v>29</v>
      </c>
      <c r="E4026" t="s">
        <v>55</v>
      </c>
      <c r="F4026">
        <v>66.59</v>
      </c>
      <c r="G4026" t="s">
        <v>14</v>
      </c>
      <c r="H4026" t="s">
        <v>15</v>
      </c>
      <c r="I4026">
        <v>3.4</v>
      </c>
      <c r="J4026">
        <v>22</v>
      </c>
      <c r="K4026">
        <v>6</v>
      </c>
    </row>
    <row r="4027" spans="1:11" x14ac:dyDescent="0.35">
      <c r="A4027">
        <v>4026</v>
      </c>
      <c r="B4027">
        <v>35</v>
      </c>
      <c r="C4027" t="s">
        <v>11</v>
      </c>
      <c r="D4027" t="s">
        <v>20</v>
      </c>
      <c r="E4027" t="s">
        <v>39</v>
      </c>
      <c r="F4027">
        <v>127.31</v>
      </c>
      <c r="G4027" t="s">
        <v>14</v>
      </c>
      <c r="H4027" t="s">
        <v>15</v>
      </c>
      <c r="I4027">
        <v>3.1</v>
      </c>
      <c r="J4027">
        <v>17</v>
      </c>
      <c r="K4027">
        <v>6</v>
      </c>
    </row>
    <row r="4028" spans="1:11" x14ac:dyDescent="0.35">
      <c r="A4028">
        <v>4027</v>
      </c>
      <c r="B4028">
        <v>59</v>
      </c>
      <c r="C4028" t="s">
        <v>11</v>
      </c>
      <c r="D4028" t="s">
        <v>22</v>
      </c>
      <c r="E4028" t="s">
        <v>23</v>
      </c>
      <c r="F4028">
        <v>123.5</v>
      </c>
      <c r="G4028" t="s">
        <v>31</v>
      </c>
      <c r="H4028" t="s">
        <v>15</v>
      </c>
      <c r="I4028">
        <v>3.3</v>
      </c>
      <c r="J4028">
        <v>22</v>
      </c>
      <c r="K4028">
        <v>11</v>
      </c>
    </row>
    <row r="4029" spans="1:11" x14ac:dyDescent="0.35">
      <c r="A4029">
        <v>4028</v>
      </c>
      <c r="B4029">
        <v>65</v>
      </c>
      <c r="C4029" t="s">
        <v>11</v>
      </c>
      <c r="D4029" t="s">
        <v>33</v>
      </c>
      <c r="E4029" t="s">
        <v>38</v>
      </c>
      <c r="F4029">
        <v>187.64</v>
      </c>
      <c r="G4029" t="s">
        <v>31</v>
      </c>
      <c r="H4029" t="s">
        <v>15</v>
      </c>
      <c r="I4029">
        <v>4.0999999999999996</v>
      </c>
      <c r="J4029">
        <v>26</v>
      </c>
      <c r="K4029">
        <v>8</v>
      </c>
    </row>
    <row r="4030" spans="1:11" x14ac:dyDescent="0.35">
      <c r="A4030">
        <v>4029</v>
      </c>
      <c r="B4030">
        <v>33</v>
      </c>
      <c r="C4030" t="s">
        <v>16</v>
      </c>
      <c r="D4030" t="s">
        <v>33</v>
      </c>
      <c r="E4030" t="s">
        <v>40</v>
      </c>
      <c r="F4030">
        <v>156.02000000000001</v>
      </c>
      <c r="G4030" t="s">
        <v>19</v>
      </c>
      <c r="H4030" t="s">
        <v>15</v>
      </c>
      <c r="I4030">
        <v>4.5999999999999996</v>
      </c>
      <c r="J4030">
        <v>13</v>
      </c>
      <c r="K4030">
        <v>4</v>
      </c>
    </row>
    <row r="4031" spans="1:11" x14ac:dyDescent="0.35">
      <c r="A4031">
        <v>4030</v>
      </c>
      <c r="B4031">
        <v>37</v>
      </c>
      <c r="C4031" t="s">
        <v>11</v>
      </c>
      <c r="D4031" t="s">
        <v>29</v>
      </c>
      <c r="E4031" t="s">
        <v>30</v>
      </c>
      <c r="F4031">
        <v>21.66</v>
      </c>
      <c r="G4031" t="s">
        <v>24</v>
      </c>
      <c r="H4031" t="s">
        <v>15</v>
      </c>
      <c r="I4031">
        <v>2.9</v>
      </c>
      <c r="J4031">
        <v>10</v>
      </c>
      <c r="K4031">
        <v>5</v>
      </c>
    </row>
    <row r="4032" spans="1:11" x14ac:dyDescent="0.35">
      <c r="A4032">
        <v>4031</v>
      </c>
      <c r="B4032">
        <v>66</v>
      </c>
      <c r="C4032" t="s">
        <v>11</v>
      </c>
      <c r="D4032" t="s">
        <v>12</v>
      </c>
      <c r="E4032" t="s">
        <v>50</v>
      </c>
      <c r="F4032">
        <v>155.30000000000001</v>
      </c>
      <c r="G4032" t="s">
        <v>14</v>
      </c>
      <c r="H4032" t="s">
        <v>15</v>
      </c>
      <c r="I4032">
        <v>2.8</v>
      </c>
      <c r="J4032">
        <v>10</v>
      </c>
      <c r="K4032">
        <v>5</v>
      </c>
    </row>
    <row r="4033" spans="1:11" x14ac:dyDescent="0.35">
      <c r="A4033">
        <v>4032</v>
      </c>
      <c r="B4033">
        <v>62</v>
      </c>
      <c r="C4033" t="s">
        <v>11</v>
      </c>
      <c r="D4033" t="s">
        <v>33</v>
      </c>
      <c r="E4033" t="s">
        <v>40</v>
      </c>
      <c r="F4033">
        <v>112.89</v>
      </c>
      <c r="G4033" t="s">
        <v>19</v>
      </c>
      <c r="H4033" t="s">
        <v>15</v>
      </c>
      <c r="I4033">
        <v>3.8</v>
      </c>
      <c r="J4033">
        <v>20</v>
      </c>
      <c r="K4033">
        <v>10</v>
      </c>
    </row>
    <row r="4034" spans="1:11" x14ac:dyDescent="0.35">
      <c r="A4034">
        <v>4033</v>
      </c>
      <c r="B4034">
        <v>22</v>
      </c>
      <c r="C4034" t="s">
        <v>11</v>
      </c>
      <c r="D4034" t="s">
        <v>12</v>
      </c>
      <c r="E4034" t="s">
        <v>13</v>
      </c>
      <c r="F4034">
        <v>66.64</v>
      </c>
      <c r="G4034" t="s">
        <v>24</v>
      </c>
      <c r="H4034" t="s">
        <v>37</v>
      </c>
      <c r="I4034">
        <v>3</v>
      </c>
      <c r="J4034">
        <v>15</v>
      </c>
      <c r="K4034">
        <v>5</v>
      </c>
    </row>
    <row r="4035" spans="1:11" x14ac:dyDescent="0.35">
      <c r="A4035">
        <v>4034</v>
      </c>
      <c r="B4035">
        <v>29</v>
      </c>
      <c r="C4035" t="s">
        <v>16</v>
      </c>
      <c r="D4035" t="s">
        <v>33</v>
      </c>
      <c r="E4035" t="s">
        <v>38</v>
      </c>
      <c r="F4035">
        <v>139.43</v>
      </c>
      <c r="G4035" t="s">
        <v>19</v>
      </c>
      <c r="H4035" t="s">
        <v>15</v>
      </c>
      <c r="I4035">
        <v>3.3</v>
      </c>
      <c r="J4035">
        <v>13</v>
      </c>
      <c r="K4035">
        <v>4</v>
      </c>
    </row>
    <row r="4036" spans="1:11" x14ac:dyDescent="0.35">
      <c r="A4036">
        <v>4035</v>
      </c>
      <c r="B4036">
        <v>52</v>
      </c>
      <c r="C4036" t="s">
        <v>11</v>
      </c>
      <c r="D4036" t="s">
        <v>29</v>
      </c>
      <c r="E4036" t="s">
        <v>55</v>
      </c>
      <c r="F4036">
        <v>106.44</v>
      </c>
      <c r="G4036" t="s">
        <v>31</v>
      </c>
      <c r="H4036" t="s">
        <v>15</v>
      </c>
      <c r="I4036">
        <v>4.5</v>
      </c>
      <c r="J4036">
        <v>18</v>
      </c>
      <c r="K4036">
        <v>4</v>
      </c>
    </row>
    <row r="4037" spans="1:11" x14ac:dyDescent="0.35">
      <c r="A4037">
        <v>4036</v>
      </c>
      <c r="B4037">
        <v>47</v>
      </c>
      <c r="C4037" t="s">
        <v>11</v>
      </c>
      <c r="D4037" t="s">
        <v>41</v>
      </c>
      <c r="E4037" t="s">
        <v>45</v>
      </c>
      <c r="F4037">
        <v>79.709999999999994</v>
      </c>
      <c r="G4037" t="s">
        <v>14</v>
      </c>
      <c r="H4037" t="s">
        <v>37</v>
      </c>
      <c r="I4037">
        <v>3.3</v>
      </c>
      <c r="J4037">
        <v>6</v>
      </c>
      <c r="K4037">
        <v>3</v>
      </c>
    </row>
    <row r="4038" spans="1:11" x14ac:dyDescent="0.35">
      <c r="A4038">
        <v>4037</v>
      </c>
      <c r="B4038">
        <v>67</v>
      </c>
      <c r="C4038" t="s">
        <v>16</v>
      </c>
      <c r="D4038" t="s">
        <v>17</v>
      </c>
      <c r="E4038" t="s">
        <v>35</v>
      </c>
      <c r="F4038">
        <v>188.64</v>
      </c>
      <c r="G4038" t="s">
        <v>24</v>
      </c>
      <c r="H4038" t="s">
        <v>15</v>
      </c>
      <c r="I4038">
        <v>4.5</v>
      </c>
      <c r="J4038">
        <v>20</v>
      </c>
      <c r="K4038">
        <v>5</v>
      </c>
    </row>
    <row r="4039" spans="1:11" x14ac:dyDescent="0.35">
      <c r="A4039">
        <v>4038</v>
      </c>
      <c r="B4039">
        <v>34</v>
      </c>
      <c r="C4039" t="s">
        <v>16</v>
      </c>
      <c r="D4039" t="s">
        <v>22</v>
      </c>
      <c r="E4039" t="s">
        <v>52</v>
      </c>
      <c r="F4039">
        <v>136.71</v>
      </c>
      <c r="G4039" t="s">
        <v>24</v>
      </c>
      <c r="H4039" t="s">
        <v>15</v>
      </c>
      <c r="I4039">
        <v>4</v>
      </c>
      <c r="J4039">
        <v>14</v>
      </c>
      <c r="K4039">
        <v>7</v>
      </c>
    </row>
    <row r="4040" spans="1:11" x14ac:dyDescent="0.35">
      <c r="A4040">
        <v>4039</v>
      </c>
      <c r="B4040">
        <v>42</v>
      </c>
      <c r="C4040" t="s">
        <v>11</v>
      </c>
      <c r="D4040" t="s">
        <v>33</v>
      </c>
      <c r="E4040" t="s">
        <v>34</v>
      </c>
      <c r="F4040">
        <v>211.73</v>
      </c>
      <c r="G4040" t="s">
        <v>24</v>
      </c>
      <c r="H4040" t="s">
        <v>15</v>
      </c>
      <c r="I4040">
        <v>4.5999999999999996</v>
      </c>
      <c r="J4040">
        <v>17</v>
      </c>
      <c r="K4040">
        <v>6</v>
      </c>
    </row>
    <row r="4041" spans="1:11" x14ac:dyDescent="0.35">
      <c r="A4041">
        <v>4040</v>
      </c>
      <c r="B4041">
        <v>51</v>
      </c>
      <c r="C4041" t="s">
        <v>11</v>
      </c>
      <c r="D4041" t="s">
        <v>29</v>
      </c>
      <c r="E4041" t="s">
        <v>55</v>
      </c>
      <c r="F4041">
        <v>86.9</v>
      </c>
      <c r="G4041" t="s">
        <v>31</v>
      </c>
      <c r="H4041" t="s">
        <v>15</v>
      </c>
      <c r="I4041">
        <v>4</v>
      </c>
      <c r="J4041">
        <v>16</v>
      </c>
      <c r="K4041">
        <v>8</v>
      </c>
    </row>
    <row r="4042" spans="1:11" x14ac:dyDescent="0.35">
      <c r="A4042">
        <v>4041</v>
      </c>
      <c r="B4042">
        <v>51</v>
      </c>
      <c r="C4042" t="s">
        <v>11</v>
      </c>
      <c r="D4042" t="s">
        <v>33</v>
      </c>
      <c r="E4042" t="s">
        <v>40</v>
      </c>
      <c r="F4042">
        <v>80.319999999999993</v>
      </c>
      <c r="G4042" t="s">
        <v>31</v>
      </c>
      <c r="H4042" t="s">
        <v>37</v>
      </c>
      <c r="I4042">
        <v>4</v>
      </c>
      <c r="J4042">
        <v>25</v>
      </c>
      <c r="K4042">
        <v>10</v>
      </c>
    </row>
    <row r="4043" spans="1:11" x14ac:dyDescent="0.35">
      <c r="A4043">
        <v>4042</v>
      </c>
      <c r="B4043">
        <v>50</v>
      </c>
      <c r="C4043" t="s">
        <v>11</v>
      </c>
      <c r="D4043" t="s">
        <v>41</v>
      </c>
      <c r="E4043" t="s">
        <v>46</v>
      </c>
      <c r="F4043">
        <v>110.41</v>
      </c>
      <c r="G4043" t="s">
        <v>24</v>
      </c>
      <c r="H4043" t="s">
        <v>15</v>
      </c>
      <c r="I4043">
        <v>3</v>
      </c>
      <c r="J4043">
        <v>17</v>
      </c>
      <c r="K4043">
        <v>6</v>
      </c>
    </row>
    <row r="4044" spans="1:11" x14ac:dyDescent="0.35">
      <c r="A4044">
        <v>4043</v>
      </c>
      <c r="B4044">
        <v>62</v>
      </c>
      <c r="C4044" t="s">
        <v>11</v>
      </c>
      <c r="D4044" t="s">
        <v>12</v>
      </c>
      <c r="E4044" t="s">
        <v>56</v>
      </c>
      <c r="F4044">
        <v>173.41</v>
      </c>
      <c r="G4044" t="s">
        <v>24</v>
      </c>
      <c r="H4044" t="s">
        <v>15</v>
      </c>
      <c r="I4044">
        <v>3.9</v>
      </c>
      <c r="J4044">
        <v>13</v>
      </c>
      <c r="K4044">
        <v>4</v>
      </c>
    </row>
    <row r="4045" spans="1:11" x14ac:dyDescent="0.35">
      <c r="A4045">
        <v>4044</v>
      </c>
      <c r="B4045">
        <v>41</v>
      </c>
      <c r="C4045" t="s">
        <v>16</v>
      </c>
      <c r="D4045" t="s">
        <v>33</v>
      </c>
      <c r="E4045" t="s">
        <v>34</v>
      </c>
      <c r="F4045">
        <v>227.74</v>
      </c>
      <c r="G4045" t="s">
        <v>24</v>
      </c>
      <c r="H4045" t="s">
        <v>15</v>
      </c>
      <c r="I4045">
        <v>3.6</v>
      </c>
      <c r="J4045">
        <v>8</v>
      </c>
      <c r="K4045">
        <v>4</v>
      </c>
    </row>
    <row r="4046" spans="1:11" x14ac:dyDescent="0.35">
      <c r="A4046">
        <v>4045</v>
      </c>
      <c r="B4046">
        <v>59</v>
      </c>
      <c r="C4046" t="s">
        <v>16</v>
      </c>
      <c r="D4046" t="s">
        <v>20</v>
      </c>
      <c r="E4046" t="s">
        <v>36</v>
      </c>
      <c r="F4046">
        <v>63.64</v>
      </c>
      <c r="G4046" t="s">
        <v>24</v>
      </c>
      <c r="H4046" t="s">
        <v>37</v>
      </c>
      <c r="I4046">
        <v>3.9</v>
      </c>
      <c r="J4046">
        <v>22</v>
      </c>
      <c r="K4046">
        <v>6</v>
      </c>
    </row>
    <row r="4047" spans="1:11" x14ac:dyDescent="0.35">
      <c r="A4047">
        <v>4046</v>
      </c>
      <c r="B4047">
        <v>39</v>
      </c>
      <c r="C4047" t="s">
        <v>16</v>
      </c>
      <c r="D4047" t="s">
        <v>27</v>
      </c>
      <c r="E4047" t="s">
        <v>53</v>
      </c>
      <c r="F4047">
        <v>2936.44</v>
      </c>
      <c r="G4047" t="s">
        <v>19</v>
      </c>
      <c r="H4047" t="s">
        <v>15</v>
      </c>
      <c r="I4047">
        <v>4.3</v>
      </c>
      <c r="J4047">
        <v>9</v>
      </c>
      <c r="K4047">
        <v>2</v>
      </c>
    </row>
    <row r="4048" spans="1:11" x14ac:dyDescent="0.35">
      <c r="A4048">
        <v>4047</v>
      </c>
      <c r="B4048">
        <v>48</v>
      </c>
      <c r="C4048" t="s">
        <v>11</v>
      </c>
      <c r="D4048" t="s">
        <v>41</v>
      </c>
      <c r="E4048" t="s">
        <v>46</v>
      </c>
      <c r="F4048">
        <v>85.77</v>
      </c>
      <c r="G4048" t="s">
        <v>14</v>
      </c>
      <c r="H4048" t="s">
        <v>37</v>
      </c>
      <c r="I4048">
        <v>4.2</v>
      </c>
      <c r="J4048">
        <v>15</v>
      </c>
      <c r="K4048">
        <v>5</v>
      </c>
    </row>
    <row r="4049" spans="1:11" x14ac:dyDescent="0.35">
      <c r="A4049">
        <v>4048</v>
      </c>
      <c r="B4049">
        <v>42</v>
      </c>
      <c r="C4049" t="s">
        <v>11</v>
      </c>
      <c r="D4049" t="s">
        <v>41</v>
      </c>
      <c r="E4049" t="s">
        <v>42</v>
      </c>
      <c r="F4049">
        <v>149.1</v>
      </c>
      <c r="G4049" t="s">
        <v>24</v>
      </c>
      <c r="H4049" t="s">
        <v>15</v>
      </c>
      <c r="I4049">
        <v>4.5999999999999996</v>
      </c>
      <c r="J4049">
        <v>32</v>
      </c>
      <c r="K4049">
        <v>11</v>
      </c>
    </row>
    <row r="4050" spans="1:11" x14ac:dyDescent="0.35">
      <c r="A4050">
        <v>4049</v>
      </c>
      <c r="B4050">
        <v>54</v>
      </c>
      <c r="C4050" t="s">
        <v>16</v>
      </c>
      <c r="D4050" t="s">
        <v>20</v>
      </c>
      <c r="E4050" t="s">
        <v>21</v>
      </c>
      <c r="F4050">
        <v>231.13</v>
      </c>
      <c r="G4050" t="s">
        <v>31</v>
      </c>
      <c r="H4050" t="s">
        <v>15</v>
      </c>
      <c r="I4050">
        <v>4.5999999999999996</v>
      </c>
      <c r="J4050">
        <v>21</v>
      </c>
      <c r="K4050">
        <v>8</v>
      </c>
    </row>
    <row r="4051" spans="1:11" x14ac:dyDescent="0.35">
      <c r="A4051">
        <v>4050</v>
      </c>
      <c r="B4051">
        <v>36</v>
      </c>
      <c r="C4051" t="s">
        <v>16</v>
      </c>
      <c r="D4051" t="s">
        <v>20</v>
      </c>
      <c r="E4051" t="s">
        <v>36</v>
      </c>
      <c r="F4051">
        <v>193.53</v>
      </c>
      <c r="G4051" t="s">
        <v>14</v>
      </c>
      <c r="H4051" t="s">
        <v>15</v>
      </c>
      <c r="I4051">
        <v>2.2000000000000002</v>
      </c>
      <c r="J4051">
        <v>10</v>
      </c>
      <c r="K4051">
        <v>5</v>
      </c>
    </row>
    <row r="4052" spans="1:11" x14ac:dyDescent="0.35">
      <c r="A4052">
        <v>4051</v>
      </c>
      <c r="B4052">
        <v>30</v>
      </c>
      <c r="C4052" t="s">
        <v>16</v>
      </c>
      <c r="D4052" t="s">
        <v>17</v>
      </c>
      <c r="E4052" t="s">
        <v>42</v>
      </c>
      <c r="F4052">
        <v>47.15</v>
      </c>
      <c r="G4052" t="s">
        <v>14</v>
      </c>
      <c r="H4052" t="s">
        <v>37</v>
      </c>
      <c r="I4052">
        <v>4.9000000000000004</v>
      </c>
      <c r="J4052">
        <v>24</v>
      </c>
      <c r="K4052">
        <v>7</v>
      </c>
    </row>
    <row r="4053" spans="1:11" x14ac:dyDescent="0.35">
      <c r="A4053">
        <v>4052</v>
      </c>
      <c r="B4053">
        <v>38</v>
      </c>
      <c r="C4053" t="s">
        <v>16</v>
      </c>
      <c r="D4053" t="s">
        <v>27</v>
      </c>
      <c r="E4053" t="s">
        <v>49</v>
      </c>
      <c r="F4053">
        <v>824.08</v>
      </c>
      <c r="G4053" t="s">
        <v>19</v>
      </c>
      <c r="H4053" t="s">
        <v>15</v>
      </c>
      <c r="I4053">
        <v>4.9000000000000004</v>
      </c>
      <c r="J4053">
        <v>12</v>
      </c>
      <c r="K4053">
        <v>6</v>
      </c>
    </row>
    <row r="4054" spans="1:11" x14ac:dyDescent="0.35">
      <c r="A4054">
        <v>4053</v>
      </c>
      <c r="B4054">
        <v>47</v>
      </c>
      <c r="C4054" t="s">
        <v>11</v>
      </c>
      <c r="D4054" t="s">
        <v>41</v>
      </c>
      <c r="E4054" t="s">
        <v>45</v>
      </c>
      <c r="F4054">
        <v>86.68</v>
      </c>
      <c r="G4054" t="s">
        <v>14</v>
      </c>
      <c r="H4054" t="s">
        <v>15</v>
      </c>
      <c r="I4054">
        <v>4.9000000000000004</v>
      </c>
      <c r="J4054">
        <v>16</v>
      </c>
      <c r="K4054">
        <v>3</v>
      </c>
    </row>
    <row r="4055" spans="1:11" x14ac:dyDescent="0.35">
      <c r="A4055">
        <v>4054</v>
      </c>
      <c r="B4055">
        <v>37</v>
      </c>
      <c r="C4055" t="s">
        <v>16</v>
      </c>
      <c r="D4055" t="s">
        <v>20</v>
      </c>
      <c r="E4055" t="s">
        <v>39</v>
      </c>
      <c r="F4055">
        <v>218.43</v>
      </c>
      <c r="G4055" t="s">
        <v>14</v>
      </c>
      <c r="H4055" t="s">
        <v>15</v>
      </c>
      <c r="I4055">
        <v>4.0999999999999996</v>
      </c>
      <c r="J4055">
        <v>20</v>
      </c>
      <c r="K4055">
        <v>5</v>
      </c>
    </row>
    <row r="4056" spans="1:11" x14ac:dyDescent="0.35">
      <c r="A4056">
        <v>4055</v>
      </c>
      <c r="B4056">
        <v>68</v>
      </c>
      <c r="C4056" t="s">
        <v>16</v>
      </c>
      <c r="D4056" t="s">
        <v>25</v>
      </c>
      <c r="E4056" t="s">
        <v>47</v>
      </c>
      <c r="F4056">
        <v>21.72</v>
      </c>
      <c r="G4056" t="s">
        <v>24</v>
      </c>
      <c r="H4056" t="s">
        <v>37</v>
      </c>
      <c r="I4056">
        <v>3.1</v>
      </c>
      <c r="J4056">
        <v>18</v>
      </c>
      <c r="K4056">
        <v>4</v>
      </c>
    </row>
    <row r="4057" spans="1:11" x14ac:dyDescent="0.35">
      <c r="A4057">
        <v>4056</v>
      </c>
      <c r="B4057">
        <v>21</v>
      </c>
      <c r="C4057" t="s">
        <v>11</v>
      </c>
      <c r="D4057" t="s">
        <v>29</v>
      </c>
      <c r="E4057" t="s">
        <v>30</v>
      </c>
      <c r="F4057">
        <v>23.57</v>
      </c>
      <c r="G4057" t="s">
        <v>31</v>
      </c>
      <c r="H4057" t="s">
        <v>37</v>
      </c>
      <c r="I4057">
        <v>4.3</v>
      </c>
      <c r="J4057">
        <v>22</v>
      </c>
      <c r="K4057">
        <v>6</v>
      </c>
    </row>
    <row r="4058" spans="1:11" x14ac:dyDescent="0.35">
      <c r="A4058">
        <v>4057</v>
      </c>
      <c r="B4058">
        <v>70</v>
      </c>
      <c r="C4058" t="s">
        <v>16</v>
      </c>
      <c r="D4058" t="s">
        <v>22</v>
      </c>
      <c r="E4058" t="s">
        <v>23</v>
      </c>
      <c r="F4058">
        <v>177.36</v>
      </c>
      <c r="G4058" t="s">
        <v>14</v>
      </c>
      <c r="H4058" t="s">
        <v>15</v>
      </c>
      <c r="I4058">
        <v>3.2</v>
      </c>
      <c r="J4058">
        <v>22</v>
      </c>
      <c r="K4058">
        <v>6</v>
      </c>
    </row>
    <row r="4059" spans="1:11" x14ac:dyDescent="0.35">
      <c r="A4059">
        <v>4058</v>
      </c>
      <c r="B4059">
        <v>49</v>
      </c>
      <c r="C4059" t="s">
        <v>11</v>
      </c>
      <c r="D4059" t="s">
        <v>41</v>
      </c>
      <c r="E4059" t="s">
        <v>46</v>
      </c>
      <c r="F4059">
        <v>125.76</v>
      </c>
      <c r="G4059" t="s">
        <v>19</v>
      </c>
      <c r="H4059" t="s">
        <v>15</v>
      </c>
      <c r="I4059">
        <v>3.6</v>
      </c>
      <c r="J4059">
        <v>16</v>
      </c>
      <c r="K4059">
        <v>3</v>
      </c>
    </row>
    <row r="4060" spans="1:11" x14ac:dyDescent="0.35">
      <c r="A4060">
        <v>4059</v>
      </c>
      <c r="B4060">
        <v>70</v>
      </c>
      <c r="C4060" t="s">
        <v>16</v>
      </c>
      <c r="D4060" t="s">
        <v>22</v>
      </c>
      <c r="E4060" t="s">
        <v>23</v>
      </c>
      <c r="F4060">
        <v>118.9</v>
      </c>
      <c r="G4060" t="s">
        <v>14</v>
      </c>
      <c r="H4060" t="s">
        <v>15</v>
      </c>
      <c r="I4060">
        <v>4.5</v>
      </c>
      <c r="J4060">
        <v>8</v>
      </c>
      <c r="K4060">
        <v>4</v>
      </c>
    </row>
    <row r="4061" spans="1:11" x14ac:dyDescent="0.35">
      <c r="A4061">
        <v>4060</v>
      </c>
      <c r="B4061">
        <v>60</v>
      </c>
      <c r="C4061" t="s">
        <v>16</v>
      </c>
      <c r="D4061" t="s">
        <v>20</v>
      </c>
      <c r="E4061" t="s">
        <v>36</v>
      </c>
      <c r="F4061">
        <v>103.3</v>
      </c>
      <c r="G4061" t="s">
        <v>24</v>
      </c>
      <c r="H4061" t="s">
        <v>15</v>
      </c>
      <c r="I4061">
        <v>3.2</v>
      </c>
      <c r="J4061">
        <v>26</v>
      </c>
      <c r="K4061">
        <v>8</v>
      </c>
    </row>
    <row r="4062" spans="1:11" x14ac:dyDescent="0.35">
      <c r="A4062">
        <v>4061</v>
      </c>
      <c r="B4062">
        <v>22</v>
      </c>
      <c r="C4062" t="s">
        <v>11</v>
      </c>
      <c r="D4062" t="s">
        <v>41</v>
      </c>
      <c r="E4062" t="s">
        <v>44</v>
      </c>
      <c r="F4062">
        <v>34.979999999999997</v>
      </c>
      <c r="G4062" t="s">
        <v>19</v>
      </c>
      <c r="H4062" t="s">
        <v>15</v>
      </c>
      <c r="I4062">
        <v>3.9</v>
      </c>
      <c r="J4062">
        <v>4</v>
      </c>
      <c r="K4062">
        <v>2</v>
      </c>
    </row>
    <row r="4063" spans="1:11" x14ac:dyDescent="0.35">
      <c r="A4063">
        <v>4062</v>
      </c>
      <c r="B4063">
        <v>44</v>
      </c>
      <c r="C4063" t="s">
        <v>16</v>
      </c>
      <c r="D4063" t="s">
        <v>17</v>
      </c>
      <c r="E4063" t="s">
        <v>48</v>
      </c>
      <c r="F4063">
        <v>193.69</v>
      </c>
      <c r="G4063" t="s">
        <v>31</v>
      </c>
      <c r="H4063" t="s">
        <v>15</v>
      </c>
      <c r="I4063">
        <v>2.8</v>
      </c>
      <c r="J4063">
        <v>17</v>
      </c>
      <c r="K4063">
        <v>6</v>
      </c>
    </row>
    <row r="4064" spans="1:11" x14ac:dyDescent="0.35">
      <c r="A4064">
        <v>4063</v>
      </c>
      <c r="B4064">
        <v>29</v>
      </c>
      <c r="C4064" t="s">
        <v>16</v>
      </c>
      <c r="D4064" t="s">
        <v>20</v>
      </c>
      <c r="E4064" t="s">
        <v>39</v>
      </c>
      <c r="F4064">
        <v>40.36</v>
      </c>
      <c r="G4064" t="s">
        <v>24</v>
      </c>
      <c r="H4064" t="s">
        <v>37</v>
      </c>
      <c r="I4064">
        <v>3.5</v>
      </c>
      <c r="J4064">
        <v>7</v>
      </c>
      <c r="K4064">
        <v>1</v>
      </c>
    </row>
    <row r="4065" spans="1:11" x14ac:dyDescent="0.35">
      <c r="A4065">
        <v>4064</v>
      </c>
      <c r="B4065">
        <v>66</v>
      </c>
      <c r="C4065" t="s">
        <v>16</v>
      </c>
      <c r="D4065" t="s">
        <v>27</v>
      </c>
      <c r="E4065" t="s">
        <v>28</v>
      </c>
      <c r="F4065">
        <v>1248.04</v>
      </c>
      <c r="G4065" t="s">
        <v>31</v>
      </c>
      <c r="H4065" t="s">
        <v>15</v>
      </c>
      <c r="I4065">
        <v>3.8</v>
      </c>
      <c r="J4065">
        <v>20</v>
      </c>
      <c r="K4065">
        <v>5</v>
      </c>
    </row>
    <row r="4066" spans="1:11" x14ac:dyDescent="0.35">
      <c r="A4066">
        <v>4065</v>
      </c>
      <c r="B4066">
        <v>64</v>
      </c>
      <c r="C4066" t="s">
        <v>16</v>
      </c>
      <c r="D4066" t="s">
        <v>20</v>
      </c>
      <c r="E4066" t="s">
        <v>39</v>
      </c>
      <c r="F4066">
        <v>176.11</v>
      </c>
      <c r="G4066" t="s">
        <v>14</v>
      </c>
      <c r="H4066" t="s">
        <v>15</v>
      </c>
      <c r="I4066">
        <v>3.5</v>
      </c>
      <c r="J4066">
        <v>10</v>
      </c>
      <c r="K4066">
        <v>5</v>
      </c>
    </row>
    <row r="4067" spans="1:11" x14ac:dyDescent="0.35">
      <c r="A4067">
        <v>4066</v>
      </c>
      <c r="B4067">
        <v>56</v>
      </c>
      <c r="C4067" t="s">
        <v>16</v>
      </c>
      <c r="D4067" t="s">
        <v>20</v>
      </c>
      <c r="E4067" t="s">
        <v>21</v>
      </c>
      <c r="F4067">
        <v>165.49</v>
      </c>
      <c r="G4067" t="s">
        <v>14</v>
      </c>
      <c r="H4067" t="s">
        <v>15</v>
      </c>
      <c r="I4067">
        <v>3.8</v>
      </c>
      <c r="J4067">
        <v>22</v>
      </c>
      <c r="K4067">
        <v>6</v>
      </c>
    </row>
    <row r="4068" spans="1:11" x14ac:dyDescent="0.35">
      <c r="A4068">
        <v>4067</v>
      </c>
      <c r="B4068">
        <v>65</v>
      </c>
      <c r="C4068" t="s">
        <v>16</v>
      </c>
      <c r="D4068" t="s">
        <v>20</v>
      </c>
      <c r="E4068" t="s">
        <v>36</v>
      </c>
      <c r="F4068">
        <v>147.71</v>
      </c>
      <c r="G4068" t="s">
        <v>14</v>
      </c>
      <c r="H4068" t="s">
        <v>15</v>
      </c>
      <c r="I4068">
        <v>3.4</v>
      </c>
      <c r="J4068">
        <v>13</v>
      </c>
      <c r="K4068">
        <v>4</v>
      </c>
    </row>
    <row r="4069" spans="1:11" x14ac:dyDescent="0.35">
      <c r="A4069">
        <v>4068</v>
      </c>
      <c r="B4069">
        <v>26</v>
      </c>
      <c r="C4069" t="s">
        <v>11</v>
      </c>
      <c r="D4069" t="s">
        <v>33</v>
      </c>
      <c r="E4069" t="s">
        <v>38</v>
      </c>
      <c r="F4069">
        <v>167.62</v>
      </c>
      <c r="G4069" t="s">
        <v>31</v>
      </c>
      <c r="H4069" t="s">
        <v>15</v>
      </c>
      <c r="I4069">
        <v>3.4</v>
      </c>
      <c r="J4069">
        <v>30</v>
      </c>
      <c r="K4069">
        <v>10</v>
      </c>
    </row>
    <row r="4070" spans="1:11" x14ac:dyDescent="0.35">
      <c r="A4070">
        <v>4069</v>
      </c>
      <c r="B4070">
        <v>53</v>
      </c>
      <c r="C4070" t="s">
        <v>16</v>
      </c>
      <c r="D4070" t="s">
        <v>22</v>
      </c>
      <c r="E4070" t="s">
        <v>52</v>
      </c>
      <c r="F4070">
        <v>103.21</v>
      </c>
      <c r="G4070" t="s">
        <v>24</v>
      </c>
      <c r="H4070" t="s">
        <v>15</v>
      </c>
      <c r="I4070">
        <v>3.3</v>
      </c>
      <c r="J4070">
        <v>11</v>
      </c>
      <c r="K4070">
        <v>3</v>
      </c>
    </row>
    <row r="4071" spans="1:11" x14ac:dyDescent="0.35">
      <c r="A4071">
        <v>4070</v>
      </c>
      <c r="B4071">
        <v>70</v>
      </c>
      <c r="C4071" t="s">
        <v>16</v>
      </c>
      <c r="D4071" t="s">
        <v>33</v>
      </c>
      <c r="E4071" t="s">
        <v>40</v>
      </c>
      <c r="F4071">
        <v>56.28</v>
      </c>
      <c r="G4071" t="s">
        <v>31</v>
      </c>
      <c r="H4071" t="s">
        <v>15</v>
      </c>
      <c r="I4071">
        <v>2.9</v>
      </c>
      <c r="J4071">
        <v>10</v>
      </c>
      <c r="K4071">
        <v>5</v>
      </c>
    </row>
    <row r="4072" spans="1:11" x14ac:dyDescent="0.35">
      <c r="A4072">
        <v>4071</v>
      </c>
      <c r="B4072">
        <v>48</v>
      </c>
      <c r="C4072" t="s">
        <v>16</v>
      </c>
      <c r="D4072" t="s">
        <v>20</v>
      </c>
      <c r="E4072" t="s">
        <v>36</v>
      </c>
      <c r="F4072">
        <v>136.24</v>
      </c>
      <c r="G4072" t="s">
        <v>31</v>
      </c>
      <c r="H4072" t="s">
        <v>15</v>
      </c>
      <c r="I4072">
        <v>3.3</v>
      </c>
      <c r="J4072">
        <v>14</v>
      </c>
      <c r="K4072">
        <v>7</v>
      </c>
    </row>
    <row r="4073" spans="1:11" x14ac:dyDescent="0.35">
      <c r="A4073">
        <v>4072</v>
      </c>
      <c r="B4073">
        <v>53</v>
      </c>
      <c r="C4073" t="s">
        <v>11</v>
      </c>
      <c r="D4073" t="s">
        <v>29</v>
      </c>
      <c r="E4073" t="s">
        <v>55</v>
      </c>
      <c r="F4073">
        <v>125.77</v>
      </c>
      <c r="G4073" t="s">
        <v>19</v>
      </c>
      <c r="H4073" t="s">
        <v>15</v>
      </c>
      <c r="I4073">
        <v>3.4</v>
      </c>
      <c r="J4073">
        <v>10</v>
      </c>
      <c r="K4073">
        <v>5</v>
      </c>
    </row>
    <row r="4074" spans="1:11" x14ac:dyDescent="0.35">
      <c r="A4074">
        <v>4073</v>
      </c>
      <c r="B4074">
        <v>26</v>
      </c>
      <c r="C4074" t="s">
        <v>11</v>
      </c>
      <c r="D4074" t="s">
        <v>12</v>
      </c>
      <c r="E4074" t="s">
        <v>50</v>
      </c>
      <c r="F4074">
        <v>62.53</v>
      </c>
      <c r="G4074" t="s">
        <v>31</v>
      </c>
      <c r="H4074" t="s">
        <v>37</v>
      </c>
      <c r="I4074">
        <v>3.8</v>
      </c>
      <c r="J4074">
        <v>16</v>
      </c>
      <c r="K4074">
        <v>8</v>
      </c>
    </row>
    <row r="4075" spans="1:11" x14ac:dyDescent="0.35">
      <c r="A4075">
        <v>4074</v>
      </c>
      <c r="B4075">
        <v>28</v>
      </c>
      <c r="C4075" t="s">
        <v>11</v>
      </c>
      <c r="D4075" t="s">
        <v>33</v>
      </c>
      <c r="E4075" t="s">
        <v>40</v>
      </c>
      <c r="F4075">
        <v>205.3</v>
      </c>
      <c r="G4075" t="s">
        <v>14</v>
      </c>
      <c r="H4075" t="s">
        <v>15</v>
      </c>
      <c r="I4075">
        <v>4.8</v>
      </c>
      <c r="J4075">
        <v>10</v>
      </c>
      <c r="K4075">
        <v>5</v>
      </c>
    </row>
    <row r="4076" spans="1:11" x14ac:dyDescent="0.35">
      <c r="A4076">
        <v>4075</v>
      </c>
      <c r="B4076">
        <v>39</v>
      </c>
      <c r="C4076" t="s">
        <v>11</v>
      </c>
      <c r="D4076" t="s">
        <v>29</v>
      </c>
      <c r="E4076" t="s">
        <v>51</v>
      </c>
      <c r="F4076">
        <v>99.04</v>
      </c>
      <c r="G4076" t="s">
        <v>14</v>
      </c>
      <c r="H4076" t="s">
        <v>15</v>
      </c>
      <c r="I4076">
        <v>4.5</v>
      </c>
      <c r="J4076">
        <v>26</v>
      </c>
      <c r="K4076">
        <v>8</v>
      </c>
    </row>
    <row r="4077" spans="1:11" x14ac:dyDescent="0.35">
      <c r="A4077">
        <v>4076</v>
      </c>
      <c r="B4077">
        <v>33</v>
      </c>
      <c r="C4077" t="s">
        <v>16</v>
      </c>
      <c r="D4077" t="s">
        <v>20</v>
      </c>
      <c r="E4077" t="s">
        <v>36</v>
      </c>
      <c r="F4077">
        <v>123.12</v>
      </c>
      <c r="G4077" t="s">
        <v>24</v>
      </c>
      <c r="H4077" t="s">
        <v>15</v>
      </c>
      <c r="I4077">
        <v>4</v>
      </c>
      <c r="J4077">
        <v>18</v>
      </c>
      <c r="K4077">
        <v>9</v>
      </c>
    </row>
    <row r="4078" spans="1:11" x14ac:dyDescent="0.35">
      <c r="A4078">
        <v>4077</v>
      </c>
      <c r="B4078">
        <v>40</v>
      </c>
      <c r="C4078" t="s">
        <v>16</v>
      </c>
      <c r="D4078" t="s">
        <v>27</v>
      </c>
      <c r="E4078" t="s">
        <v>49</v>
      </c>
      <c r="F4078">
        <v>1512.28</v>
      </c>
      <c r="G4078" t="s">
        <v>19</v>
      </c>
      <c r="H4078" t="s">
        <v>15</v>
      </c>
      <c r="I4078">
        <v>3.8</v>
      </c>
      <c r="J4078">
        <v>15</v>
      </c>
      <c r="K4078">
        <v>5</v>
      </c>
    </row>
    <row r="4079" spans="1:11" x14ac:dyDescent="0.35">
      <c r="A4079">
        <v>4078</v>
      </c>
      <c r="B4079">
        <v>62</v>
      </c>
      <c r="C4079" t="s">
        <v>16</v>
      </c>
      <c r="D4079" t="s">
        <v>17</v>
      </c>
      <c r="E4079" t="s">
        <v>35</v>
      </c>
      <c r="F4079">
        <v>71.94</v>
      </c>
      <c r="G4079" t="s">
        <v>31</v>
      </c>
      <c r="H4079" t="s">
        <v>15</v>
      </c>
      <c r="I4079">
        <v>4.9000000000000004</v>
      </c>
      <c r="J4079">
        <v>17</v>
      </c>
      <c r="K4079">
        <v>6</v>
      </c>
    </row>
    <row r="4080" spans="1:11" x14ac:dyDescent="0.35">
      <c r="A4080">
        <v>4079</v>
      </c>
      <c r="B4080">
        <v>28</v>
      </c>
      <c r="C4080" t="s">
        <v>16</v>
      </c>
      <c r="D4080" t="s">
        <v>20</v>
      </c>
      <c r="E4080" t="s">
        <v>21</v>
      </c>
      <c r="F4080">
        <v>153.12</v>
      </c>
      <c r="G4080" t="s">
        <v>24</v>
      </c>
      <c r="H4080" t="s">
        <v>15</v>
      </c>
      <c r="I4080">
        <v>4.4000000000000004</v>
      </c>
      <c r="J4080">
        <v>9</v>
      </c>
      <c r="K4080">
        <v>2</v>
      </c>
    </row>
    <row r="4081" spans="1:11" x14ac:dyDescent="0.35">
      <c r="A4081">
        <v>4080</v>
      </c>
      <c r="B4081">
        <v>43</v>
      </c>
      <c r="C4081" t="s">
        <v>11</v>
      </c>
      <c r="D4081" t="s">
        <v>12</v>
      </c>
      <c r="E4081" t="s">
        <v>50</v>
      </c>
      <c r="F4081">
        <v>74.33</v>
      </c>
      <c r="G4081" t="s">
        <v>14</v>
      </c>
      <c r="H4081" t="s">
        <v>15</v>
      </c>
      <c r="I4081">
        <v>3.6</v>
      </c>
      <c r="J4081">
        <v>11</v>
      </c>
      <c r="K4081">
        <v>3</v>
      </c>
    </row>
    <row r="4082" spans="1:11" x14ac:dyDescent="0.35">
      <c r="A4082">
        <v>4081</v>
      </c>
      <c r="B4082">
        <v>22</v>
      </c>
      <c r="C4082" t="s">
        <v>11</v>
      </c>
      <c r="D4082" t="s">
        <v>12</v>
      </c>
      <c r="E4082" t="s">
        <v>50</v>
      </c>
      <c r="F4082">
        <v>100.98</v>
      </c>
      <c r="G4082" t="s">
        <v>19</v>
      </c>
      <c r="H4082" t="s">
        <v>15</v>
      </c>
      <c r="I4082">
        <v>4.3</v>
      </c>
      <c r="J4082">
        <v>13</v>
      </c>
      <c r="K4082">
        <v>4</v>
      </c>
    </row>
    <row r="4083" spans="1:11" x14ac:dyDescent="0.35">
      <c r="A4083">
        <v>4082</v>
      </c>
      <c r="B4083">
        <v>51</v>
      </c>
      <c r="C4083" t="s">
        <v>16</v>
      </c>
      <c r="D4083" t="s">
        <v>27</v>
      </c>
      <c r="E4083" t="s">
        <v>49</v>
      </c>
      <c r="F4083">
        <v>2199.5100000000002</v>
      </c>
      <c r="G4083" t="s">
        <v>19</v>
      </c>
      <c r="H4083" t="s">
        <v>15</v>
      </c>
      <c r="I4083">
        <v>3.6</v>
      </c>
      <c r="J4083">
        <v>15</v>
      </c>
      <c r="K4083">
        <v>5</v>
      </c>
    </row>
    <row r="4084" spans="1:11" x14ac:dyDescent="0.35">
      <c r="A4084">
        <v>4083</v>
      </c>
      <c r="B4084">
        <v>53</v>
      </c>
      <c r="C4084" t="s">
        <v>16</v>
      </c>
      <c r="D4084" t="s">
        <v>20</v>
      </c>
      <c r="E4084" t="s">
        <v>39</v>
      </c>
      <c r="F4084">
        <v>74.23</v>
      </c>
      <c r="G4084" t="s">
        <v>24</v>
      </c>
      <c r="H4084" t="s">
        <v>15</v>
      </c>
      <c r="I4084">
        <v>2.2000000000000002</v>
      </c>
      <c r="J4084">
        <v>19</v>
      </c>
      <c r="K4084">
        <v>7</v>
      </c>
    </row>
    <row r="4085" spans="1:11" x14ac:dyDescent="0.35">
      <c r="A4085">
        <v>4084</v>
      </c>
      <c r="B4085">
        <v>36</v>
      </c>
      <c r="C4085" t="s">
        <v>16</v>
      </c>
      <c r="D4085" t="s">
        <v>27</v>
      </c>
      <c r="E4085" t="s">
        <v>49</v>
      </c>
      <c r="F4085">
        <v>2049.23</v>
      </c>
      <c r="G4085" t="s">
        <v>19</v>
      </c>
      <c r="H4085" t="s">
        <v>15</v>
      </c>
      <c r="I4085">
        <v>3</v>
      </c>
      <c r="J4085">
        <v>22</v>
      </c>
      <c r="K4085">
        <v>6</v>
      </c>
    </row>
    <row r="4086" spans="1:11" x14ac:dyDescent="0.35">
      <c r="A4086">
        <v>4085</v>
      </c>
      <c r="B4086">
        <v>68</v>
      </c>
      <c r="C4086" t="s">
        <v>16</v>
      </c>
      <c r="D4086" t="s">
        <v>27</v>
      </c>
      <c r="E4086" t="s">
        <v>28</v>
      </c>
      <c r="F4086">
        <v>2813.71</v>
      </c>
      <c r="G4086" t="s">
        <v>31</v>
      </c>
      <c r="H4086" t="s">
        <v>15</v>
      </c>
      <c r="I4086">
        <v>4.0999999999999996</v>
      </c>
      <c r="J4086">
        <v>13</v>
      </c>
      <c r="K4086">
        <v>4</v>
      </c>
    </row>
    <row r="4087" spans="1:11" x14ac:dyDescent="0.35">
      <c r="A4087">
        <v>4086</v>
      </c>
      <c r="B4087">
        <v>53</v>
      </c>
      <c r="C4087" t="s">
        <v>11</v>
      </c>
      <c r="D4087" t="s">
        <v>41</v>
      </c>
      <c r="E4087" t="s">
        <v>44</v>
      </c>
      <c r="F4087">
        <v>81.17</v>
      </c>
      <c r="G4087" t="s">
        <v>24</v>
      </c>
      <c r="H4087" t="s">
        <v>37</v>
      </c>
      <c r="I4087">
        <v>5</v>
      </c>
      <c r="J4087">
        <v>20</v>
      </c>
      <c r="K4087">
        <v>5</v>
      </c>
    </row>
    <row r="4088" spans="1:11" x14ac:dyDescent="0.35">
      <c r="A4088">
        <v>4087</v>
      </c>
      <c r="B4088">
        <v>46</v>
      </c>
      <c r="C4088" t="s">
        <v>16</v>
      </c>
      <c r="D4088" t="s">
        <v>17</v>
      </c>
      <c r="E4088" t="s">
        <v>42</v>
      </c>
      <c r="F4088">
        <v>30.78</v>
      </c>
      <c r="G4088" t="s">
        <v>24</v>
      </c>
      <c r="H4088" t="s">
        <v>15</v>
      </c>
      <c r="I4088">
        <v>5</v>
      </c>
      <c r="J4088">
        <v>12</v>
      </c>
      <c r="K4088">
        <v>6</v>
      </c>
    </row>
    <row r="4089" spans="1:11" x14ac:dyDescent="0.35">
      <c r="A4089">
        <v>4088</v>
      </c>
      <c r="B4089">
        <v>66</v>
      </c>
      <c r="C4089" t="s">
        <v>16</v>
      </c>
      <c r="D4089" t="s">
        <v>20</v>
      </c>
      <c r="E4089" t="s">
        <v>39</v>
      </c>
      <c r="F4089">
        <v>181.35</v>
      </c>
      <c r="G4089" t="s">
        <v>19</v>
      </c>
      <c r="H4089" t="s">
        <v>15</v>
      </c>
      <c r="I4089">
        <v>4</v>
      </c>
      <c r="J4089">
        <v>23</v>
      </c>
      <c r="K4089">
        <v>9</v>
      </c>
    </row>
    <row r="4090" spans="1:11" x14ac:dyDescent="0.35">
      <c r="A4090">
        <v>4089</v>
      </c>
      <c r="B4090">
        <v>68</v>
      </c>
      <c r="C4090" t="s">
        <v>16</v>
      </c>
      <c r="D4090" t="s">
        <v>27</v>
      </c>
      <c r="E4090" t="s">
        <v>49</v>
      </c>
      <c r="F4090">
        <v>2171.9299999999998</v>
      </c>
      <c r="G4090" t="s">
        <v>19</v>
      </c>
      <c r="H4090" t="s">
        <v>15</v>
      </c>
      <c r="I4090">
        <v>3.8</v>
      </c>
      <c r="J4090">
        <v>14</v>
      </c>
      <c r="K4090">
        <v>2</v>
      </c>
    </row>
    <row r="4091" spans="1:11" x14ac:dyDescent="0.35">
      <c r="A4091">
        <v>4090</v>
      </c>
      <c r="B4091">
        <v>24</v>
      </c>
      <c r="C4091" t="s">
        <v>11</v>
      </c>
      <c r="D4091" t="s">
        <v>20</v>
      </c>
      <c r="E4091" t="s">
        <v>36</v>
      </c>
      <c r="F4091">
        <v>164.57</v>
      </c>
      <c r="G4091" t="s">
        <v>19</v>
      </c>
      <c r="H4091" t="s">
        <v>15</v>
      </c>
      <c r="I4091">
        <v>3</v>
      </c>
      <c r="J4091">
        <v>14</v>
      </c>
      <c r="K4091">
        <v>7</v>
      </c>
    </row>
    <row r="4092" spans="1:11" x14ac:dyDescent="0.35">
      <c r="A4092">
        <v>4091</v>
      </c>
      <c r="B4092">
        <v>37</v>
      </c>
      <c r="C4092" t="s">
        <v>16</v>
      </c>
      <c r="D4092" t="s">
        <v>25</v>
      </c>
      <c r="E4092" t="s">
        <v>54</v>
      </c>
      <c r="F4092">
        <v>18.23</v>
      </c>
      <c r="G4092" t="s">
        <v>14</v>
      </c>
      <c r="H4092" t="s">
        <v>15</v>
      </c>
      <c r="I4092">
        <v>3.5</v>
      </c>
      <c r="J4092">
        <v>10</v>
      </c>
      <c r="K4092">
        <v>5</v>
      </c>
    </row>
    <row r="4093" spans="1:11" x14ac:dyDescent="0.35">
      <c r="A4093">
        <v>4092</v>
      </c>
      <c r="B4093">
        <v>64</v>
      </c>
      <c r="C4093" t="s">
        <v>11</v>
      </c>
      <c r="D4093" t="s">
        <v>29</v>
      </c>
      <c r="E4093" t="s">
        <v>55</v>
      </c>
      <c r="F4093">
        <v>73.92</v>
      </c>
      <c r="G4093" t="s">
        <v>24</v>
      </c>
      <c r="H4093" t="s">
        <v>15</v>
      </c>
      <c r="I4093">
        <v>3.1</v>
      </c>
      <c r="J4093">
        <v>7</v>
      </c>
      <c r="K4093">
        <v>1</v>
      </c>
    </row>
    <row r="4094" spans="1:11" x14ac:dyDescent="0.35">
      <c r="A4094">
        <v>4093</v>
      </c>
      <c r="B4094">
        <v>43</v>
      </c>
      <c r="C4094" t="s">
        <v>16</v>
      </c>
      <c r="D4094" t="s">
        <v>20</v>
      </c>
      <c r="E4094" t="s">
        <v>21</v>
      </c>
      <c r="F4094">
        <v>221.83</v>
      </c>
      <c r="G4094" t="s">
        <v>14</v>
      </c>
      <c r="H4094" t="s">
        <v>15</v>
      </c>
      <c r="I4094">
        <v>4.3</v>
      </c>
      <c r="J4094">
        <v>21</v>
      </c>
      <c r="K4094">
        <v>8</v>
      </c>
    </row>
    <row r="4095" spans="1:11" x14ac:dyDescent="0.35">
      <c r="A4095">
        <v>4094</v>
      </c>
      <c r="B4095">
        <v>68</v>
      </c>
      <c r="C4095" t="s">
        <v>11</v>
      </c>
      <c r="D4095" t="s">
        <v>29</v>
      </c>
      <c r="E4095" t="s">
        <v>51</v>
      </c>
      <c r="F4095">
        <v>100.18</v>
      </c>
      <c r="G4095" t="s">
        <v>14</v>
      </c>
      <c r="H4095" t="s">
        <v>15</v>
      </c>
      <c r="I4095">
        <v>3.3</v>
      </c>
      <c r="J4095">
        <v>18</v>
      </c>
      <c r="K4095">
        <v>4</v>
      </c>
    </row>
    <row r="4096" spans="1:11" x14ac:dyDescent="0.35">
      <c r="A4096">
        <v>4095</v>
      </c>
      <c r="B4096">
        <v>41</v>
      </c>
      <c r="C4096" t="s">
        <v>16</v>
      </c>
      <c r="D4096" t="s">
        <v>20</v>
      </c>
      <c r="E4096" t="s">
        <v>21</v>
      </c>
      <c r="F4096">
        <v>70.849999999999994</v>
      </c>
      <c r="G4096" t="s">
        <v>31</v>
      </c>
      <c r="H4096" t="s">
        <v>37</v>
      </c>
      <c r="I4096">
        <v>5</v>
      </c>
      <c r="J4096">
        <v>18</v>
      </c>
      <c r="K4096">
        <v>4</v>
      </c>
    </row>
    <row r="4097" spans="1:11" x14ac:dyDescent="0.35">
      <c r="A4097">
        <v>4096</v>
      </c>
      <c r="B4097">
        <v>26</v>
      </c>
      <c r="C4097" t="s">
        <v>11</v>
      </c>
      <c r="D4097" t="s">
        <v>22</v>
      </c>
      <c r="E4097" t="s">
        <v>23</v>
      </c>
      <c r="F4097">
        <v>209.2</v>
      </c>
      <c r="G4097" t="s">
        <v>19</v>
      </c>
      <c r="H4097" t="s">
        <v>15</v>
      </c>
      <c r="I4097">
        <v>4.3</v>
      </c>
      <c r="J4097">
        <v>6</v>
      </c>
      <c r="K4097">
        <v>3</v>
      </c>
    </row>
    <row r="4098" spans="1:11" x14ac:dyDescent="0.35">
      <c r="A4098">
        <v>4097</v>
      </c>
      <c r="B4098">
        <v>30</v>
      </c>
      <c r="C4098" t="s">
        <v>11</v>
      </c>
      <c r="D4098" t="s">
        <v>41</v>
      </c>
      <c r="E4098" t="s">
        <v>44</v>
      </c>
      <c r="F4098">
        <v>186.87</v>
      </c>
      <c r="G4098" t="s">
        <v>24</v>
      </c>
      <c r="H4098" t="s">
        <v>15</v>
      </c>
      <c r="I4098">
        <v>2.6</v>
      </c>
      <c r="J4098">
        <v>4</v>
      </c>
      <c r="K4098">
        <v>2</v>
      </c>
    </row>
    <row r="4099" spans="1:11" x14ac:dyDescent="0.35">
      <c r="A4099">
        <v>4098</v>
      </c>
      <c r="B4099">
        <v>68</v>
      </c>
      <c r="C4099" t="s">
        <v>11</v>
      </c>
      <c r="D4099" t="s">
        <v>12</v>
      </c>
      <c r="E4099" t="s">
        <v>56</v>
      </c>
      <c r="F4099">
        <v>150.12</v>
      </c>
      <c r="G4099" t="s">
        <v>24</v>
      </c>
      <c r="H4099" t="s">
        <v>15</v>
      </c>
      <c r="I4099">
        <v>2.9</v>
      </c>
      <c r="J4099">
        <v>6</v>
      </c>
      <c r="K4099">
        <v>3</v>
      </c>
    </row>
    <row r="4100" spans="1:11" x14ac:dyDescent="0.35">
      <c r="A4100">
        <v>4099</v>
      </c>
      <c r="B4100">
        <v>26</v>
      </c>
      <c r="C4100" t="s">
        <v>16</v>
      </c>
      <c r="D4100" t="s">
        <v>17</v>
      </c>
      <c r="E4100" t="s">
        <v>42</v>
      </c>
      <c r="F4100">
        <v>119.13</v>
      </c>
      <c r="G4100" t="s">
        <v>14</v>
      </c>
      <c r="H4100" t="s">
        <v>15</v>
      </c>
      <c r="I4100">
        <v>4.5</v>
      </c>
      <c r="J4100">
        <v>6</v>
      </c>
      <c r="K4100">
        <v>3</v>
      </c>
    </row>
    <row r="4101" spans="1:11" x14ac:dyDescent="0.35">
      <c r="A4101">
        <v>4100</v>
      </c>
      <c r="B4101">
        <v>40</v>
      </c>
      <c r="C4101" t="s">
        <v>16</v>
      </c>
      <c r="D4101" t="s">
        <v>27</v>
      </c>
      <c r="E4101" t="s">
        <v>49</v>
      </c>
      <c r="F4101">
        <v>2011.55</v>
      </c>
      <c r="G4101" t="s">
        <v>24</v>
      </c>
      <c r="H4101" t="s">
        <v>15</v>
      </c>
      <c r="I4101">
        <v>3.8</v>
      </c>
      <c r="J4101">
        <v>10</v>
      </c>
      <c r="K4101">
        <v>5</v>
      </c>
    </row>
    <row r="4102" spans="1:11" x14ac:dyDescent="0.35">
      <c r="A4102">
        <v>4101</v>
      </c>
      <c r="B4102">
        <v>65</v>
      </c>
      <c r="C4102" t="s">
        <v>11</v>
      </c>
      <c r="D4102" t="s">
        <v>12</v>
      </c>
      <c r="E4102" t="s">
        <v>50</v>
      </c>
      <c r="F4102">
        <v>98.52</v>
      </c>
      <c r="G4102" t="s">
        <v>31</v>
      </c>
      <c r="H4102" t="s">
        <v>37</v>
      </c>
      <c r="I4102">
        <v>5</v>
      </c>
      <c r="J4102">
        <v>12</v>
      </c>
      <c r="K4102">
        <v>6</v>
      </c>
    </row>
    <row r="4103" spans="1:11" x14ac:dyDescent="0.35">
      <c r="A4103">
        <v>4102</v>
      </c>
      <c r="B4103">
        <v>53</v>
      </c>
      <c r="C4103" t="s">
        <v>16</v>
      </c>
      <c r="D4103" t="s">
        <v>20</v>
      </c>
      <c r="E4103" t="s">
        <v>21</v>
      </c>
      <c r="F4103">
        <v>138.94</v>
      </c>
      <c r="G4103" t="s">
        <v>14</v>
      </c>
      <c r="H4103" t="s">
        <v>15</v>
      </c>
      <c r="I4103">
        <v>3.6</v>
      </c>
      <c r="J4103">
        <v>10</v>
      </c>
      <c r="K4103">
        <v>5</v>
      </c>
    </row>
    <row r="4104" spans="1:11" x14ac:dyDescent="0.35">
      <c r="A4104">
        <v>4103</v>
      </c>
      <c r="B4104">
        <v>60</v>
      </c>
      <c r="C4104" t="s">
        <v>11</v>
      </c>
      <c r="D4104" t="s">
        <v>12</v>
      </c>
      <c r="E4104" t="s">
        <v>13</v>
      </c>
      <c r="F4104">
        <v>84.56</v>
      </c>
      <c r="G4104" t="s">
        <v>19</v>
      </c>
      <c r="H4104" t="s">
        <v>37</v>
      </c>
      <c r="I4104">
        <v>3.5</v>
      </c>
      <c r="J4104">
        <v>22</v>
      </c>
      <c r="K4104">
        <v>6</v>
      </c>
    </row>
    <row r="4105" spans="1:11" x14ac:dyDescent="0.35">
      <c r="A4105">
        <v>4104</v>
      </c>
      <c r="B4105">
        <v>58</v>
      </c>
      <c r="C4105" t="s">
        <v>11</v>
      </c>
      <c r="D4105" t="s">
        <v>41</v>
      </c>
      <c r="E4105" t="s">
        <v>46</v>
      </c>
      <c r="F4105">
        <v>71.760000000000005</v>
      </c>
      <c r="G4105" t="s">
        <v>19</v>
      </c>
      <c r="H4105" t="s">
        <v>15</v>
      </c>
      <c r="I4105">
        <v>5</v>
      </c>
      <c r="J4105">
        <v>9</v>
      </c>
      <c r="K4105">
        <v>2</v>
      </c>
    </row>
    <row r="4106" spans="1:11" x14ac:dyDescent="0.35">
      <c r="A4106">
        <v>4105</v>
      </c>
      <c r="B4106">
        <v>47</v>
      </c>
      <c r="C4106" t="s">
        <v>16</v>
      </c>
      <c r="D4106" t="s">
        <v>27</v>
      </c>
      <c r="E4106" t="s">
        <v>49</v>
      </c>
      <c r="F4106">
        <v>2924.57</v>
      </c>
      <c r="G4106" t="s">
        <v>24</v>
      </c>
      <c r="H4106" t="s">
        <v>15</v>
      </c>
      <c r="I4106">
        <v>3.5</v>
      </c>
      <c r="J4106">
        <v>13</v>
      </c>
      <c r="K4106">
        <v>4</v>
      </c>
    </row>
    <row r="4107" spans="1:11" x14ac:dyDescent="0.35">
      <c r="A4107">
        <v>4106</v>
      </c>
      <c r="B4107">
        <v>57</v>
      </c>
      <c r="C4107" t="s">
        <v>11</v>
      </c>
      <c r="D4107" t="s">
        <v>12</v>
      </c>
      <c r="E4107" t="s">
        <v>13</v>
      </c>
      <c r="F4107">
        <v>96.5</v>
      </c>
      <c r="G4107" t="s">
        <v>19</v>
      </c>
      <c r="H4107" t="s">
        <v>15</v>
      </c>
      <c r="I4107">
        <v>2.9</v>
      </c>
      <c r="J4107">
        <v>13</v>
      </c>
      <c r="K4107">
        <v>4</v>
      </c>
    </row>
    <row r="4108" spans="1:11" x14ac:dyDescent="0.35">
      <c r="A4108">
        <v>4107</v>
      </c>
      <c r="B4108">
        <v>62</v>
      </c>
      <c r="C4108" t="s">
        <v>11</v>
      </c>
      <c r="D4108" t="s">
        <v>33</v>
      </c>
      <c r="E4108" t="s">
        <v>40</v>
      </c>
      <c r="F4108">
        <v>93.71</v>
      </c>
      <c r="G4108" t="s">
        <v>31</v>
      </c>
      <c r="H4108" t="s">
        <v>15</v>
      </c>
      <c r="I4108">
        <v>3.4</v>
      </c>
      <c r="J4108">
        <v>14</v>
      </c>
      <c r="K4108">
        <v>7</v>
      </c>
    </row>
    <row r="4109" spans="1:11" x14ac:dyDescent="0.35">
      <c r="A4109">
        <v>4108</v>
      </c>
      <c r="B4109">
        <v>59</v>
      </c>
      <c r="C4109" t="s">
        <v>11</v>
      </c>
      <c r="D4109" t="s">
        <v>41</v>
      </c>
      <c r="E4109" t="s">
        <v>46</v>
      </c>
      <c r="F4109">
        <v>107.94</v>
      </c>
      <c r="G4109" t="s">
        <v>24</v>
      </c>
      <c r="H4109" t="s">
        <v>15</v>
      </c>
      <c r="I4109">
        <v>3.5</v>
      </c>
      <c r="J4109">
        <v>10</v>
      </c>
      <c r="K4109">
        <v>5</v>
      </c>
    </row>
    <row r="4110" spans="1:11" x14ac:dyDescent="0.35">
      <c r="A4110">
        <v>4109</v>
      </c>
      <c r="B4110">
        <v>29</v>
      </c>
      <c r="C4110" t="s">
        <v>16</v>
      </c>
      <c r="D4110" t="s">
        <v>33</v>
      </c>
      <c r="E4110" t="s">
        <v>40</v>
      </c>
      <c r="F4110">
        <v>75.989999999999995</v>
      </c>
      <c r="G4110" t="s">
        <v>19</v>
      </c>
      <c r="H4110" t="s">
        <v>37</v>
      </c>
      <c r="I4110">
        <v>4.5999999999999996</v>
      </c>
      <c r="J4110">
        <v>18</v>
      </c>
      <c r="K4110">
        <v>4</v>
      </c>
    </row>
    <row r="4111" spans="1:11" x14ac:dyDescent="0.35">
      <c r="A4111">
        <v>4110</v>
      </c>
      <c r="B4111">
        <v>39</v>
      </c>
      <c r="C4111" t="s">
        <v>11</v>
      </c>
      <c r="D4111" t="s">
        <v>41</v>
      </c>
      <c r="E4111" t="s">
        <v>46</v>
      </c>
      <c r="F4111">
        <v>154.16999999999999</v>
      </c>
      <c r="G4111" t="s">
        <v>14</v>
      </c>
      <c r="H4111" t="s">
        <v>15</v>
      </c>
      <c r="I4111">
        <v>4</v>
      </c>
      <c r="J4111">
        <v>23</v>
      </c>
      <c r="K4111">
        <v>9</v>
      </c>
    </row>
    <row r="4112" spans="1:11" x14ac:dyDescent="0.35">
      <c r="A4112">
        <v>4111</v>
      </c>
      <c r="B4112">
        <v>23</v>
      </c>
      <c r="C4112" t="s">
        <v>11</v>
      </c>
      <c r="D4112" t="s">
        <v>12</v>
      </c>
      <c r="E4112" t="s">
        <v>13</v>
      </c>
      <c r="F4112">
        <v>100.67</v>
      </c>
      <c r="G4112" t="s">
        <v>31</v>
      </c>
      <c r="H4112" t="s">
        <v>15</v>
      </c>
      <c r="I4112">
        <v>3.7</v>
      </c>
      <c r="J4112">
        <v>18</v>
      </c>
      <c r="K4112">
        <v>4</v>
      </c>
    </row>
    <row r="4113" spans="1:11" x14ac:dyDescent="0.35">
      <c r="A4113">
        <v>4112</v>
      </c>
      <c r="B4113">
        <v>63</v>
      </c>
      <c r="C4113" t="s">
        <v>11</v>
      </c>
      <c r="D4113" t="s">
        <v>33</v>
      </c>
      <c r="E4113" t="s">
        <v>38</v>
      </c>
      <c r="F4113">
        <v>116.77</v>
      </c>
      <c r="G4113" t="s">
        <v>31</v>
      </c>
      <c r="H4113" t="s">
        <v>15</v>
      </c>
      <c r="I4113">
        <v>4.3</v>
      </c>
      <c r="J4113">
        <v>26</v>
      </c>
      <c r="K4113">
        <v>8</v>
      </c>
    </row>
    <row r="4114" spans="1:11" x14ac:dyDescent="0.35">
      <c r="A4114">
        <v>4113</v>
      </c>
      <c r="B4114">
        <v>38</v>
      </c>
      <c r="C4114" t="s">
        <v>16</v>
      </c>
      <c r="D4114" t="s">
        <v>33</v>
      </c>
      <c r="E4114" t="s">
        <v>38</v>
      </c>
      <c r="F4114">
        <v>157.97999999999999</v>
      </c>
      <c r="G4114" t="s">
        <v>31</v>
      </c>
      <c r="H4114" t="s">
        <v>15</v>
      </c>
      <c r="I4114">
        <v>4.9000000000000004</v>
      </c>
      <c r="J4114">
        <v>22</v>
      </c>
      <c r="K4114">
        <v>6</v>
      </c>
    </row>
    <row r="4115" spans="1:11" x14ac:dyDescent="0.35">
      <c r="A4115">
        <v>4114</v>
      </c>
      <c r="B4115">
        <v>63</v>
      </c>
      <c r="C4115" t="s">
        <v>11</v>
      </c>
      <c r="D4115" t="s">
        <v>20</v>
      </c>
      <c r="E4115" t="s">
        <v>21</v>
      </c>
      <c r="F4115">
        <v>108.5</v>
      </c>
      <c r="G4115" t="s">
        <v>14</v>
      </c>
      <c r="H4115" t="s">
        <v>15</v>
      </c>
      <c r="I4115">
        <v>3.5</v>
      </c>
      <c r="J4115">
        <v>17</v>
      </c>
      <c r="K4115">
        <v>6</v>
      </c>
    </row>
    <row r="4116" spans="1:11" x14ac:dyDescent="0.35">
      <c r="A4116">
        <v>4115</v>
      </c>
      <c r="B4116">
        <v>44</v>
      </c>
      <c r="C4116" t="s">
        <v>16</v>
      </c>
      <c r="D4116" t="s">
        <v>33</v>
      </c>
      <c r="E4116" t="s">
        <v>40</v>
      </c>
      <c r="F4116">
        <v>45.36</v>
      </c>
      <c r="G4116" t="s">
        <v>31</v>
      </c>
      <c r="H4116" t="s">
        <v>15</v>
      </c>
      <c r="I4116">
        <v>3</v>
      </c>
      <c r="J4116">
        <v>28</v>
      </c>
      <c r="K4116">
        <v>9</v>
      </c>
    </row>
    <row r="4117" spans="1:11" x14ac:dyDescent="0.35">
      <c r="A4117">
        <v>4116</v>
      </c>
      <c r="B4117">
        <v>68</v>
      </c>
      <c r="C4117" t="s">
        <v>16</v>
      </c>
      <c r="D4117" t="s">
        <v>17</v>
      </c>
      <c r="E4117" t="s">
        <v>42</v>
      </c>
      <c r="F4117">
        <v>185.02</v>
      </c>
      <c r="G4117" t="s">
        <v>14</v>
      </c>
      <c r="H4117" t="s">
        <v>15</v>
      </c>
      <c r="I4117">
        <v>3.8</v>
      </c>
      <c r="J4117">
        <v>14</v>
      </c>
      <c r="K4117">
        <v>2</v>
      </c>
    </row>
    <row r="4118" spans="1:11" x14ac:dyDescent="0.35">
      <c r="A4118">
        <v>4117</v>
      </c>
      <c r="B4118">
        <v>63</v>
      </c>
      <c r="C4118" t="s">
        <v>11</v>
      </c>
      <c r="D4118" t="s">
        <v>41</v>
      </c>
      <c r="E4118" t="s">
        <v>42</v>
      </c>
      <c r="F4118">
        <v>44.04</v>
      </c>
      <c r="G4118" t="s">
        <v>24</v>
      </c>
      <c r="H4118" t="s">
        <v>15</v>
      </c>
      <c r="I4118">
        <v>5</v>
      </c>
      <c r="J4118">
        <v>16</v>
      </c>
      <c r="K4118">
        <v>3</v>
      </c>
    </row>
    <row r="4119" spans="1:11" x14ac:dyDescent="0.35">
      <c r="A4119">
        <v>4118</v>
      </c>
      <c r="B4119">
        <v>27</v>
      </c>
      <c r="C4119" t="s">
        <v>16</v>
      </c>
      <c r="D4119" t="s">
        <v>20</v>
      </c>
      <c r="E4119" t="s">
        <v>39</v>
      </c>
      <c r="F4119">
        <v>100.08</v>
      </c>
      <c r="G4119" t="s">
        <v>19</v>
      </c>
      <c r="H4119" t="s">
        <v>15</v>
      </c>
      <c r="I4119">
        <v>3.6</v>
      </c>
      <c r="J4119">
        <v>5</v>
      </c>
      <c r="K4119">
        <v>0</v>
      </c>
    </row>
    <row r="4120" spans="1:11" x14ac:dyDescent="0.35">
      <c r="A4120">
        <v>4119</v>
      </c>
      <c r="B4120">
        <v>49</v>
      </c>
      <c r="C4120" t="s">
        <v>11</v>
      </c>
      <c r="D4120" t="s">
        <v>20</v>
      </c>
      <c r="E4120" t="s">
        <v>36</v>
      </c>
      <c r="F4120">
        <v>107.29</v>
      </c>
      <c r="G4120" t="s">
        <v>24</v>
      </c>
      <c r="H4120" t="s">
        <v>15</v>
      </c>
      <c r="I4120">
        <v>3.8</v>
      </c>
      <c r="J4120">
        <v>16</v>
      </c>
      <c r="K4120">
        <v>8</v>
      </c>
    </row>
    <row r="4121" spans="1:11" x14ac:dyDescent="0.35">
      <c r="A4121">
        <v>4120</v>
      </c>
      <c r="B4121">
        <v>43</v>
      </c>
      <c r="C4121" t="s">
        <v>11</v>
      </c>
      <c r="D4121" t="s">
        <v>22</v>
      </c>
      <c r="E4121" t="s">
        <v>52</v>
      </c>
      <c r="F4121">
        <v>163.18</v>
      </c>
      <c r="G4121" t="s">
        <v>31</v>
      </c>
      <c r="H4121" t="s">
        <v>15</v>
      </c>
      <c r="I4121">
        <v>5</v>
      </c>
      <c r="J4121">
        <v>6</v>
      </c>
      <c r="K4121">
        <v>3</v>
      </c>
    </row>
    <row r="4122" spans="1:11" x14ac:dyDescent="0.35">
      <c r="A4122">
        <v>4121</v>
      </c>
      <c r="B4122">
        <v>67</v>
      </c>
      <c r="C4122" t="s">
        <v>11</v>
      </c>
      <c r="D4122" t="s">
        <v>29</v>
      </c>
      <c r="E4122" t="s">
        <v>30</v>
      </c>
      <c r="F4122">
        <v>58.38</v>
      </c>
      <c r="G4122" t="s">
        <v>31</v>
      </c>
      <c r="H4122" t="s">
        <v>15</v>
      </c>
      <c r="I4122">
        <v>4</v>
      </c>
      <c r="J4122">
        <v>12</v>
      </c>
      <c r="K4122">
        <v>6</v>
      </c>
    </row>
    <row r="4123" spans="1:11" x14ac:dyDescent="0.35">
      <c r="A4123">
        <v>4122</v>
      </c>
      <c r="B4123">
        <v>69</v>
      </c>
      <c r="C4123" t="s">
        <v>16</v>
      </c>
      <c r="D4123" t="s">
        <v>20</v>
      </c>
      <c r="E4123" t="s">
        <v>21</v>
      </c>
      <c r="F4123">
        <v>169.84</v>
      </c>
      <c r="G4123" t="s">
        <v>19</v>
      </c>
      <c r="H4123" t="s">
        <v>15</v>
      </c>
      <c r="I4123">
        <v>3.5</v>
      </c>
      <c r="J4123">
        <v>18</v>
      </c>
      <c r="K4123">
        <v>4</v>
      </c>
    </row>
    <row r="4124" spans="1:11" x14ac:dyDescent="0.35">
      <c r="A4124">
        <v>4123</v>
      </c>
      <c r="B4124">
        <v>20</v>
      </c>
      <c r="C4124" t="s">
        <v>11</v>
      </c>
      <c r="D4124" t="s">
        <v>12</v>
      </c>
      <c r="E4124" t="s">
        <v>50</v>
      </c>
      <c r="F4124">
        <v>145.22</v>
      </c>
      <c r="G4124" t="s">
        <v>14</v>
      </c>
      <c r="H4124" t="s">
        <v>15</v>
      </c>
      <c r="I4124">
        <v>3.8</v>
      </c>
      <c r="J4124">
        <v>20</v>
      </c>
      <c r="K4124">
        <v>5</v>
      </c>
    </row>
    <row r="4125" spans="1:11" x14ac:dyDescent="0.35">
      <c r="A4125">
        <v>4124</v>
      </c>
      <c r="B4125">
        <v>31</v>
      </c>
      <c r="C4125" t="s">
        <v>16</v>
      </c>
      <c r="D4125" t="s">
        <v>20</v>
      </c>
      <c r="E4125" t="s">
        <v>21</v>
      </c>
      <c r="F4125">
        <v>117.9</v>
      </c>
      <c r="G4125" t="s">
        <v>24</v>
      </c>
      <c r="H4125" t="s">
        <v>15</v>
      </c>
      <c r="I4125">
        <v>4.5999999999999996</v>
      </c>
      <c r="J4125">
        <v>24</v>
      </c>
      <c r="K4125">
        <v>7</v>
      </c>
    </row>
    <row r="4126" spans="1:11" x14ac:dyDescent="0.35">
      <c r="A4126">
        <v>4125</v>
      </c>
      <c r="B4126">
        <v>23</v>
      </c>
      <c r="C4126" t="s">
        <v>11</v>
      </c>
      <c r="D4126" t="s">
        <v>33</v>
      </c>
      <c r="E4126" t="s">
        <v>38</v>
      </c>
      <c r="F4126">
        <v>92.07</v>
      </c>
      <c r="G4126" t="s">
        <v>19</v>
      </c>
      <c r="H4126" t="s">
        <v>15</v>
      </c>
      <c r="I4126">
        <v>3.2</v>
      </c>
      <c r="J4126">
        <v>18</v>
      </c>
      <c r="K4126">
        <v>4</v>
      </c>
    </row>
    <row r="4127" spans="1:11" x14ac:dyDescent="0.35">
      <c r="A4127">
        <v>4126</v>
      </c>
      <c r="B4127">
        <v>33</v>
      </c>
      <c r="C4127" t="s">
        <v>11</v>
      </c>
      <c r="D4127" t="s">
        <v>41</v>
      </c>
      <c r="E4127" t="s">
        <v>44</v>
      </c>
      <c r="F4127">
        <v>133.31</v>
      </c>
      <c r="G4127" t="s">
        <v>31</v>
      </c>
      <c r="H4127" t="s">
        <v>15</v>
      </c>
      <c r="I4127">
        <v>2.9</v>
      </c>
      <c r="J4127">
        <v>4</v>
      </c>
      <c r="K4127">
        <v>2</v>
      </c>
    </row>
    <row r="4128" spans="1:11" x14ac:dyDescent="0.35">
      <c r="A4128">
        <v>4127</v>
      </c>
      <c r="B4128">
        <v>22</v>
      </c>
      <c r="C4128" t="s">
        <v>11</v>
      </c>
      <c r="D4128" t="s">
        <v>12</v>
      </c>
      <c r="E4128" t="s">
        <v>56</v>
      </c>
      <c r="F4128">
        <v>77.069999999999993</v>
      </c>
      <c r="G4128" t="s">
        <v>19</v>
      </c>
      <c r="H4128" t="s">
        <v>15</v>
      </c>
      <c r="I4128">
        <v>4.7</v>
      </c>
      <c r="J4128">
        <v>18</v>
      </c>
      <c r="K4128">
        <v>4</v>
      </c>
    </row>
    <row r="4129" spans="1:11" x14ac:dyDescent="0.35">
      <c r="A4129">
        <v>4128</v>
      </c>
      <c r="B4129">
        <v>45</v>
      </c>
      <c r="C4129" t="s">
        <v>11</v>
      </c>
      <c r="D4129" t="s">
        <v>25</v>
      </c>
      <c r="E4129" t="s">
        <v>54</v>
      </c>
      <c r="F4129">
        <v>60.2</v>
      </c>
      <c r="G4129" t="s">
        <v>24</v>
      </c>
      <c r="H4129" t="s">
        <v>15</v>
      </c>
      <c r="I4129">
        <v>3.3</v>
      </c>
      <c r="J4129">
        <v>10</v>
      </c>
      <c r="K4129">
        <v>5</v>
      </c>
    </row>
    <row r="4130" spans="1:11" x14ac:dyDescent="0.35">
      <c r="A4130">
        <v>4129</v>
      </c>
      <c r="B4130">
        <v>39</v>
      </c>
      <c r="C4130" t="s">
        <v>11</v>
      </c>
      <c r="D4130" t="s">
        <v>33</v>
      </c>
      <c r="E4130" t="s">
        <v>34</v>
      </c>
      <c r="F4130">
        <v>113.87</v>
      </c>
      <c r="G4130" t="s">
        <v>19</v>
      </c>
      <c r="H4130" t="s">
        <v>15</v>
      </c>
      <c r="I4130">
        <v>4.3</v>
      </c>
      <c r="J4130">
        <v>8</v>
      </c>
      <c r="K4130">
        <v>4</v>
      </c>
    </row>
    <row r="4131" spans="1:11" x14ac:dyDescent="0.35">
      <c r="A4131">
        <v>4130</v>
      </c>
      <c r="B4131">
        <v>43</v>
      </c>
      <c r="C4131" t="s">
        <v>16</v>
      </c>
      <c r="D4131" t="s">
        <v>17</v>
      </c>
      <c r="E4131" t="s">
        <v>35</v>
      </c>
      <c r="F4131">
        <v>143.99</v>
      </c>
      <c r="G4131" t="s">
        <v>24</v>
      </c>
      <c r="H4131" t="s">
        <v>15</v>
      </c>
      <c r="I4131">
        <v>4</v>
      </c>
      <c r="J4131">
        <v>23</v>
      </c>
      <c r="K4131">
        <v>9</v>
      </c>
    </row>
    <row r="4132" spans="1:11" x14ac:dyDescent="0.35">
      <c r="A4132">
        <v>4131</v>
      </c>
      <c r="B4132">
        <v>50</v>
      </c>
      <c r="C4132" t="s">
        <v>16</v>
      </c>
      <c r="D4132" t="s">
        <v>17</v>
      </c>
      <c r="E4132" t="s">
        <v>18</v>
      </c>
      <c r="F4132">
        <v>131.03</v>
      </c>
      <c r="G4132" t="s">
        <v>14</v>
      </c>
      <c r="H4132" t="s">
        <v>15</v>
      </c>
      <c r="I4132">
        <v>3.3</v>
      </c>
      <c r="J4132">
        <v>24</v>
      </c>
      <c r="K4132">
        <v>7</v>
      </c>
    </row>
    <row r="4133" spans="1:11" x14ac:dyDescent="0.35">
      <c r="A4133">
        <v>4132</v>
      </c>
      <c r="B4133">
        <v>54</v>
      </c>
      <c r="C4133" t="s">
        <v>11</v>
      </c>
      <c r="D4133" t="s">
        <v>41</v>
      </c>
      <c r="E4133" t="s">
        <v>46</v>
      </c>
      <c r="F4133">
        <v>197.73</v>
      </c>
      <c r="G4133" t="s">
        <v>31</v>
      </c>
      <c r="H4133" t="s">
        <v>15</v>
      </c>
      <c r="I4133">
        <v>5</v>
      </c>
      <c r="J4133">
        <v>10</v>
      </c>
      <c r="K4133">
        <v>5</v>
      </c>
    </row>
    <row r="4134" spans="1:11" x14ac:dyDescent="0.35">
      <c r="A4134">
        <v>4133</v>
      </c>
      <c r="B4134">
        <v>46</v>
      </c>
      <c r="C4134" t="s">
        <v>11</v>
      </c>
      <c r="D4134" t="s">
        <v>33</v>
      </c>
      <c r="E4134" t="s">
        <v>38</v>
      </c>
      <c r="F4134">
        <v>40.76</v>
      </c>
      <c r="G4134" t="s">
        <v>14</v>
      </c>
      <c r="H4134" t="s">
        <v>37</v>
      </c>
      <c r="I4134">
        <v>4.7</v>
      </c>
      <c r="J4134">
        <v>2</v>
      </c>
      <c r="K4134">
        <v>1</v>
      </c>
    </row>
    <row r="4135" spans="1:11" x14ac:dyDescent="0.35">
      <c r="A4135">
        <v>4134</v>
      </c>
      <c r="B4135">
        <v>65</v>
      </c>
      <c r="C4135" t="s">
        <v>11</v>
      </c>
      <c r="D4135" t="s">
        <v>29</v>
      </c>
      <c r="E4135" t="s">
        <v>51</v>
      </c>
      <c r="F4135">
        <v>74.680000000000007</v>
      </c>
      <c r="G4135" t="s">
        <v>19</v>
      </c>
      <c r="H4135" t="s">
        <v>15</v>
      </c>
      <c r="I4135">
        <v>4.0999999999999996</v>
      </c>
      <c r="J4135">
        <v>18</v>
      </c>
      <c r="K4135">
        <v>9</v>
      </c>
    </row>
    <row r="4136" spans="1:11" x14ac:dyDescent="0.35">
      <c r="A4136">
        <v>4135</v>
      </c>
      <c r="B4136">
        <v>27</v>
      </c>
      <c r="C4136" t="s">
        <v>11</v>
      </c>
      <c r="D4136" t="s">
        <v>29</v>
      </c>
      <c r="E4136" t="s">
        <v>51</v>
      </c>
      <c r="F4136">
        <v>117.55</v>
      </c>
      <c r="G4136" t="s">
        <v>14</v>
      </c>
      <c r="H4136" t="s">
        <v>15</v>
      </c>
      <c r="I4136">
        <v>3.2</v>
      </c>
      <c r="J4136">
        <v>11</v>
      </c>
      <c r="K4136">
        <v>3</v>
      </c>
    </row>
    <row r="4137" spans="1:11" x14ac:dyDescent="0.35">
      <c r="A4137">
        <v>4136</v>
      </c>
      <c r="B4137">
        <v>44</v>
      </c>
      <c r="C4137" t="s">
        <v>11</v>
      </c>
      <c r="D4137" t="s">
        <v>22</v>
      </c>
      <c r="E4137" t="s">
        <v>23</v>
      </c>
      <c r="F4137">
        <v>211.32</v>
      </c>
      <c r="G4137" t="s">
        <v>14</v>
      </c>
      <c r="H4137" t="s">
        <v>15</v>
      </c>
      <c r="I4137">
        <v>4.5</v>
      </c>
      <c r="J4137">
        <v>16</v>
      </c>
      <c r="K4137">
        <v>8</v>
      </c>
    </row>
    <row r="4138" spans="1:11" x14ac:dyDescent="0.35">
      <c r="A4138">
        <v>4137</v>
      </c>
      <c r="B4138">
        <v>29</v>
      </c>
      <c r="C4138" t="s">
        <v>16</v>
      </c>
      <c r="D4138" t="s">
        <v>17</v>
      </c>
      <c r="E4138" t="s">
        <v>35</v>
      </c>
      <c r="F4138">
        <v>32.81</v>
      </c>
      <c r="G4138" t="s">
        <v>19</v>
      </c>
      <c r="H4138" t="s">
        <v>37</v>
      </c>
      <c r="I4138">
        <v>3.8</v>
      </c>
      <c r="J4138">
        <v>9</v>
      </c>
      <c r="K4138">
        <v>2</v>
      </c>
    </row>
    <row r="4139" spans="1:11" x14ac:dyDescent="0.35">
      <c r="A4139">
        <v>4138</v>
      </c>
      <c r="B4139">
        <v>41</v>
      </c>
      <c r="C4139" t="s">
        <v>16</v>
      </c>
      <c r="D4139" t="s">
        <v>33</v>
      </c>
      <c r="E4139" t="s">
        <v>34</v>
      </c>
      <c r="F4139">
        <v>104.2</v>
      </c>
      <c r="G4139" t="s">
        <v>24</v>
      </c>
      <c r="H4139" t="s">
        <v>15</v>
      </c>
      <c r="I4139">
        <v>4.0999999999999996</v>
      </c>
      <c r="J4139">
        <v>11</v>
      </c>
      <c r="K4139">
        <v>3</v>
      </c>
    </row>
    <row r="4140" spans="1:11" x14ac:dyDescent="0.35">
      <c r="A4140">
        <v>4139</v>
      </c>
      <c r="B4140">
        <v>25</v>
      </c>
      <c r="C4140" t="s">
        <v>16</v>
      </c>
      <c r="D4140" t="s">
        <v>27</v>
      </c>
      <c r="E4140" t="s">
        <v>32</v>
      </c>
      <c r="F4140">
        <v>991.14</v>
      </c>
      <c r="G4140" t="s">
        <v>24</v>
      </c>
      <c r="H4140" t="s">
        <v>15</v>
      </c>
      <c r="I4140">
        <v>2.1</v>
      </c>
      <c r="J4140">
        <v>4</v>
      </c>
      <c r="K4140">
        <v>2</v>
      </c>
    </row>
    <row r="4141" spans="1:11" x14ac:dyDescent="0.35">
      <c r="A4141">
        <v>4140</v>
      </c>
      <c r="B4141">
        <v>34</v>
      </c>
      <c r="C4141" t="s">
        <v>11</v>
      </c>
      <c r="D4141" t="s">
        <v>22</v>
      </c>
      <c r="E4141" t="s">
        <v>52</v>
      </c>
      <c r="F4141">
        <v>138.43</v>
      </c>
      <c r="G4141" t="s">
        <v>24</v>
      </c>
      <c r="H4141" t="s">
        <v>15</v>
      </c>
      <c r="I4141">
        <v>4.0999999999999996</v>
      </c>
      <c r="J4141">
        <v>12</v>
      </c>
      <c r="K4141">
        <v>1</v>
      </c>
    </row>
    <row r="4142" spans="1:11" x14ac:dyDescent="0.35">
      <c r="A4142">
        <v>4141</v>
      </c>
      <c r="B4142">
        <v>61</v>
      </c>
      <c r="C4142" t="s">
        <v>16</v>
      </c>
      <c r="D4142" t="s">
        <v>20</v>
      </c>
      <c r="E4142" t="s">
        <v>39</v>
      </c>
      <c r="F4142">
        <v>176.45</v>
      </c>
      <c r="G4142" t="s">
        <v>14</v>
      </c>
      <c r="H4142" t="s">
        <v>15</v>
      </c>
      <c r="I4142">
        <v>3.9</v>
      </c>
      <c r="J4142">
        <v>6</v>
      </c>
      <c r="K4142">
        <v>3</v>
      </c>
    </row>
    <row r="4143" spans="1:11" x14ac:dyDescent="0.35">
      <c r="A4143">
        <v>4142</v>
      </c>
      <c r="B4143">
        <v>56</v>
      </c>
      <c r="C4143" t="s">
        <v>16</v>
      </c>
      <c r="D4143" t="s">
        <v>17</v>
      </c>
      <c r="E4143" t="s">
        <v>35</v>
      </c>
      <c r="F4143">
        <v>156.69</v>
      </c>
      <c r="G4143" t="s">
        <v>31</v>
      </c>
      <c r="H4143" t="s">
        <v>15</v>
      </c>
      <c r="I4143">
        <v>3.7</v>
      </c>
      <c r="J4143">
        <v>11</v>
      </c>
      <c r="K4143">
        <v>3</v>
      </c>
    </row>
    <row r="4144" spans="1:11" x14ac:dyDescent="0.35">
      <c r="A4144">
        <v>4143</v>
      </c>
      <c r="B4144">
        <v>34</v>
      </c>
      <c r="C4144" t="s">
        <v>16</v>
      </c>
      <c r="D4144" t="s">
        <v>27</v>
      </c>
      <c r="E4144" t="s">
        <v>53</v>
      </c>
      <c r="F4144">
        <v>1532.93</v>
      </c>
      <c r="G4144" t="s">
        <v>24</v>
      </c>
      <c r="H4144" t="s">
        <v>15</v>
      </c>
      <c r="I4144">
        <v>3.8</v>
      </c>
      <c r="J4144">
        <v>24</v>
      </c>
      <c r="K4144">
        <v>7</v>
      </c>
    </row>
    <row r="4145" spans="1:11" x14ac:dyDescent="0.35">
      <c r="A4145">
        <v>4144</v>
      </c>
      <c r="B4145">
        <v>24</v>
      </c>
      <c r="C4145" t="s">
        <v>11</v>
      </c>
      <c r="D4145" t="s">
        <v>29</v>
      </c>
      <c r="E4145" t="s">
        <v>30</v>
      </c>
      <c r="F4145">
        <v>37.85</v>
      </c>
      <c r="G4145" t="s">
        <v>19</v>
      </c>
      <c r="H4145" t="s">
        <v>37</v>
      </c>
      <c r="I4145">
        <v>3.7</v>
      </c>
      <c r="J4145">
        <v>18</v>
      </c>
      <c r="K4145">
        <v>4</v>
      </c>
    </row>
    <row r="4146" spans="1:11" x14ac:dyDescent="0.35">
      <c r="A4146">
        <v>4145</v>
      </c>
      <c r="B4146">
        <v>49</v>
      </c>
      <c r="C4146" t="s">
        <v>16</v>
      </c>
      <c r="D4146" t="s">
        <v>17</v>
      </c>
      <c r="E4146" t="s">
        <v>42</v>
      </c>
      <c r="F4146">
        <v>132.37</v>
      </c>
      <c r="G4146" t="s">
        <v>31</v>
      </c>
      <c r="H4146" t="s">
        <v>15</v>
      </c>
      <c r="I4146">
        <v>2.9</v>
      </c>
      <c r="J4146">
        <v>13</v>
      </c>
      <c r="K4146">
        <v>4</v>
      </c>
    </row>
    <row r="4147" spans="1:11" x14ac:dyDescent="0.35">
      <c r="A4147">
        <v>4146</v>
      </c>
      <c r="B4147">
        <v>40</v>
      </c>
      <c r="C4147" t="s">
        <v>16</v>
      </c>
      <c r="D4147" t="s">
        <v>20</v>
      </c>
      <c r="E4147" t="s">
        <v>21</v>
      </c>
      <c r="F4147">
        <v>42.76</v>
      </c>
      <c r="G4147" t="s">
        <v>14</v>
      </c>
      <c r="H4147" t="s">
        <v>37</v>
      </c>
      <c r="I4147">
        <v>2.7</v>
      </c>
      <c r="J4147">
        <v>8</v>
      </c>
      <c r="K4147">
        <v>4</v>
      </c>
    </row>
    <row r="4148" spans="1:11" x14ac:dyDescent="0.35">
      <c r="A4148">
        <v>4147</v>
      </c>
      <c r="B4148">
        <v>39</v>
      </c>
      <c r="C4148" t="s">
        <v>11</v>
      </c>
      <c r="D4148" t="s">
        <v>29</v>
      </c>
      <c r="E4148" t="s">
        <v>51</v>
      </c>
      <c r="F4148">
        <v>28.3</v>
      </c>
      <c r="G4148" t="s">
        <v>19</v>
      </c>
      <c r="H4148" t="s">
        <v>15</v>
      </c>
      <c r="I4148">
        <v>3.9</v>
      </c>
      <c r="J4148">
        <v>28</v>
      </c>
      <c r="K4148">
        <v>9</v>
      </c>
    </row>
    <row r="4149" spans="1:11" x14ac:dyDescent="0.35">
      <c r="A4149">
        <v>4148</v>
      </c>
      <c r="B4149">
        <v>27</v>
      </c>
      <c r="C4149" t="s">
        <v>16</v>
      </c>
      <c r="D4149" t="s">
        <v>27</v>
      </c>
      <c r="E4149" t="s">
        <v>49</v>
      </c>
      <c r="F4149">
        <v>2662.63</v>
      </c>
      <c r="G4149" t="s">
        <v>19</v>
      </c>
      <c r="H4149" t="s">
        <v>15</v>
      </c>
      <c r="I4149">
        <v>3.4</v>
      </c>
      <c r="J4149">
        <v>15</v>
      </c>
      <c r="K4149">
        <v>5</v>
      </c>
    </row>
    <row r="4150" spans="1:11" x14ac:dyDescent="0.35">
      <c r="A4150">
        <v>4149</v>
      </c>
      <c r="B4150">
        <v>63</v>
      </c>
      <c r="C4150" t="s">
        <v>16</v>
      </c>
      <c r="D4150" t="s">
        <v>27</v>
      </c>
      <c r="E4150" t="s">
        <v>53</v>
      </c>
      <c r="F4150">
        <v>783.46</v>
      </c>
      <c r="G4150" t="s">
        <v>19</v>
      </c>
      <c r="H4150" t="s">
        <v>15</v>
      </c>
      <c r="I4150">
        <v>2.9</v>
      </c>
      <c r="J4150">
        <v>16</v>
      </c>
      <c r="K4150">
        <v>8</v>
      </c>
    </row>
    <row r="4151" spans="1:11" x14ac:dyDescent="0.35">
      <c r="A4151">
        <v>4150</v>
      </c>
      <c r="B4151">
        <v>40</v>
      </c>
      <c r="C4151" t="s">
        <v>11</v>
      </c>
      <c r="D4151" t="s">
        <v>12</v>
      </c>
      <c r="E4151" t="s">
        <v>50</v>
      </c>
      <c r="F4151">
        <v>28.71</v>
      </c>
      <c r="G4151" t="s">
        <v>24</v>
      </c>
      <c r="H4151" t="s">
        <v>37</v>
      </c>
      <c r="I4151">
        <v>2.5</v>
      </c>
      <c r="J4151">
        <v>16</v>
      </c>
      <c r="K4151">
        <v>8</v>
      </c>
    </row>
    <row r="4152" spans="1:11" x14ac:dyDescent="0.35">
      <c r="A4152">
        <v>4151</v>
      </c>
      <c r="B4152">
        <v>29</v>
      </c>
      <c r="C4152" t="s">
        <v>16</v>
      </c>
      <c r="D4152" t="s">
        <v>20</v>
      </c>
      <c r="E4152" t="s">
        <v>39</v>
      </c>
      <c r="F4152">
        <v>103</v>
      </c>
      <c r="G4152" t="s">
        <v>31</v>
      </c>
      <c r="H4152" t="s">
        <v>15</v>
      </c>
      <c r="I4152">
        <v>2.9</v>
      </c>
      <c r="J4152">
        <v>23</v>
      </c>
      <c r="K4152">
        <v>9</v>
      </c>
    </row>
    <row r="4153" spans="1:11" x14ac:dyDescent="0.35">
      <c r="A4153">
        <v>4152</v>
      </c>
      <c r="B4153">
        <v>48</v>
      </c>
      <c r="C4153" t="s">
        <v>16</v>
      </c>
      <c r="D4153" t="s">
        <v>17</v>
      </c>
      <c r="E4153" t="s">
        <v>48</v>
      </c>
      <c r="F4153">
        <v>121.26</v>
      </c>
      <c r="G4153" t="s">
        <v>31</v>
      </c>
      <c r="H4153" t="s">
        <v>15</v>
      </c>
      <c r="I4153">
        <v>1.9</v>
      </c>
      <c r="J4153">
        <v>12</v>
      </c>
      <c r="K4153">
        <v>6</v>
      </c>
    </row>
    <row r="4154" spans="1:11" x14ac:dyDescent="0.35">
      <c r="A4154">
        <v>4153</v>
      </c>
      <c r="B4154">
        <v>30</v>
      </c>
      <c r="C4154" t="s">
        <v>16</v>
      </c>
      <c r="D4154" t="s">
        <v>25</v>
      </c>
      <c r="E4154" t="s">
        <v>57</v>
      </c>
      <c r="F4154">
        <v>5.89</v>
      </c>
      <c r="G4154" t="s">
        <v>31</v>
      </c>
      <c r="H4154" t="s">
        <v>37</v>
      </c>
      <c r="I4154">
        <v>3.2</v>
      </c>
      <c r="J4154">
        <v>17</v>
      </c>
      <c r="K4154">
        <v>6</v>
      </c>
    </row>
    <row r="4155" spans="1:11" x14ac:dyDescent="0.35">
      <c r="A4155">
        <v>4154</v>
      </c>
      <c r="B4155">
        <v>35</v>
      </c>
      <c r="C4155" t="s">
        <v>16</v>
      </c>
      <c r="D4155" t="s">
        <v>33</v>
      </c>
      <c r="E4155" t="s">
        <v>38</v>
      </c>
      <c r="F4155">
        <v>240.97</v>
      </c>
      <c r="G4155" t="s">
        <v>31</v>
      </c>
      <c r="H4155" t="s">
        <v>15</v>
      </c>
      <c r="I4155">
        <v>2.8</v>
      </c>
      <c r="J4155">
        <v>22</v>
      </c>
      <c r="K4155">
        <v>6</v>
      </c>
    </row>
    <row r="4156" spans="1:11" x14ac:dyDescent="0.35">
      <c r="A4156">
        <v>4155</v>
      </c>
      <c r="B4156">
        <v>62</v>
      </c>
      <c r="C4156" t="s">
        <v>11</v>
      </c>
      <c r="D4156" t="s">
        <v>29</v>
      </c>
      <c r="E4156" t="s">
        <v>51</v>
      </c>
      <c r="F4156">
        <v>140.77000000000001</v>
      </c>
      <c r="G4156" t="s">
        <v>31</v>
      </c>
      <c r="H4156" t="s">
        <v>15</v>
      </c>
      <c r="I4156">
        <v>2.7</v>
      </c>
      <c r="J4156">
        <v>6</v>
      </c>
      <c r="K4156">
        <v>3</v>
      </c>
    </row>
    <row r="4157" spans="1:11" x14ac:dyDescent="0.35">
      <c r="A4157">
        <v>4156</v>
      </c>
      <c r="B4157">
        <v>21</v>
      </c>
      <c r="C4157" t="s">
        <v>16</v>
      </c>
      <c r="D4157" t="s">
        <v>27</v>
      </c>
      <c r="E4157" t="s">
        <v>53</v>
      </c>
      <c r="F4157">
        <v>1584.57</v>
      </c>
      <c r="G4157" t="s">
        <v>24</v>
      </c>
      <c r="H4157" t="s">
        <v>15</v>
      </c>
      <c r="I4157">
        <v>3.6</v>
      </c>
      <c r="J4157">
        <v>15</v>
      </c>
      <c r="K4157">
        <v>5</v>
      </c>
    </row>
    <row r="4158" spans="1:11" x14ac:dyDescent="0.35">
      <c r="A4158">
        <v>4157</v>
      </c>
      <c r="B4158">
        <v>56</v>
      </c>
      <c r="C4158" t="s">
        <v>11</v>
      </c>
      <c r="D4158" t="s">
        <v>41</v>
      </c>
      <c r="E4158" t="s">
        <v>45</v>
      </c>
      <c r="F4158">
        <v>123.71</v>
      </c>
      <c r="G4158" t="s">
        <v>14</v>
      </c>
      <c r="H4158" t="s">
        <v>15</v>
      </c>
      <c r="I4158">
        <v>3.2</v>
      </c>
      <c r="J4158">
        <v>11</v>
      </c>
      <c r="K4158">
        <v>3</v>
      </c>
    </row>
    <row r="4159" spans="1:11" x14ac:dyDescent="0.35">
      <c r="A4159">
        <v>4158</v>
      </c>
      <c r="B4159">
        <v>20</v>
      </c>
      <c r="C4159" t="s">
        <v>11</v>
      </c>
      <c r="D4159" t="s">
        <v>12</v>
      </c>
      <c r="E4159" t="s">
        <v>56</v>
      </c>
      <c r="F4159">
        <v>127.91</v>
      </c>
      <c r="G4159" t="s">
        <v>19</v>
      </c>
      <c r="H4159" t="s">
        <v>15</v>
      </c>
      <c r="I4159">
        <v>2.9</v>
      </c>
      <c r="J4159">
        <v>17</v>
      </c>
      <c r="K4159">
        <v>6</v>
      </c>
    </row>
    <row r="4160" spans="1:11" x14ac:dyDescent="0.35">
      <c r="A4160">
        <v>4159</v>
      </c>
      <c r="B4160">
        <v>22</v>
      </c>
      <c r="C4160" t="s">
        <v>11</v>
      </c>
      <c r="D4160" t="s">
        <v>25</v>
      </c>
      <c r="E4160" t="s">
        <v>26</v>
      </c>
      <c r="F4160">
        <v>23.75</v>
      </c>
      <c r="G4160" t="s">
        <v>19</v>
      </c>
      <c r="H4160" t="s">
        <v>15</v>
      </c>
      <c r="I4160">
        <v>3.7</v>
      </c>
      <c r="J4160">
        <v>18</v>
      </c>
      <c r="K4160">
        <v>4</v>
      </c>
    </row>
    <row r="4161" spans="1:11" x14ac:dyDescent="0.35">
      <c r="A4161">
        <v>4160</v>
      </c>
      <c r="B4161">
        <v>47</v>
      </c>
      <c r="C4161" t="s">
        <v>16</v>
      </c>
      <c r="D4161" t="s">
        <v>33</v>
      </c>
      <c r="E4161" t="s">
        <v>38</v>
      </c>
      <c r="F4161">
        <v>71.63</v>
      </c>
      <c r="G4161" t="s">
        <v>14</v>
      </c>
      <c r="H4161" t="s">
        <v>37</v>
      </c>
      <c r="I4161">
        <v>3.2</v>
      </c>
      <c r="J4161">
        <v>15</v>
      </c>
      <c r="K4161">
        <v>5</v>
      </c>
    </row>
    <row r="4162" spans="1:11" x14ac:dyDescent="0.35">
      <c r="A4162">
        <v>4161</v>
      </c>
      <c r="B4162">
        <v>44</v>
      </c>
      <c r="C4162" t="s">
        <v>11</v>
      </c>
      <c r="D4162" t="s">
        <v>12</v>
      </c>
      <c r="E4162" t="s">
        <v>56</v>
      </c>
      <c r="F4162">
        <v>132.41999999999999</v>
      </c>
      <c r="G4162" t="s">
        <v>14</v>
      </c>
      <c r="H4162" t="s">
        <v>15</v>
      </c>
      <c r="I4162">
        <v>3.7</v>
      </c>
      <c r="J4162">
        <v>15</v>
      </c>
      <c r="K4162">
        <v>5</v>
      </c>
    </row>
    <row r="4163" spans="1:11" x14ac:dyDescent="0.35">
      <c r="A4163">
        <v>4162</v>
      </c>
      <c r="B4163">
        <v>50</v>
      </c>
      <c r="C4163" t="s">
        <v>11</v>
      </c>
      <c r="D4163" t="s">
        <v>29</v>
      </c>
      <c r="E4163" t="s">
        <v>55</v>
      </c>
      <c r="F4163">
        <v>128.51</v>
      </c>
      <c r="G4163" t="s">
        <v>19</v>
      </c>
      <c r="H4163" t="s">
        <v>15</v>
      </c>
      <c r="I4163">
        <v>3.8</v>
      </c>
      <c r="J4163">
        <v>16</v>
      </c>
      <c r="K4163">
        <v>8</v>
      </c>
    </row>
    <row r="4164" spans="1:11" x14ac:dyDescent="0.35">
      <c r="A4164">
        <v>4163</v>
      </c>
      <c r="B4164">
        <v>39</v>
      </c>
      <c r="C4164" t="s">
        <v>16</v>
      </c>
      <c r="D4164" t="s">
        <v>17</v>
      </c>
      <c r="E4164" t="s">
        <v>48</v>
      </c>
      <c r="F4164">
        <v>143.5</v>
      </c>
      <c r="G4164" t="s">
        <v>24</v>
      </c>
      <c r="H4164" t="s">
        <v>15</v>
      </c>
      <c r="I4164">
        <v>4.9000000000000004</v>
      </c>
      <c r="J4164">
        <v>19</v>
      </c>
      <c r="K4164">
        <v>7</v>
      </c>
    </row>
    <row r="4165" spans="1:11" x14ac:dyDescent="0.35">
      <c r="A4165">
        <v>4164</v>
      </c>
      <c r="B4165">
        <v>64</v>
      </c>
      <c r="C4165" t="s">
        <v>11</v>
      </c>
      <c r="D4165" t="s">
        <v>33</v>
      </c>
      <c r="E4165" t="s">
        <v>40</v>
      </c>
      <c r="F4165">
        <v>162.31</v>
      </c>
      <c r="G4165" t="s">
        <v>31</v>
      </c>
      <c r="H4165" t="s">
        <v>15</v>
      </c>
      <c r="I4165">
        <v>3.7</v>
      </c>
      <c r="J4165">
        <v>14</v>
      </c>
      <c r="K4165">
        <v>7</v>
      </c>
    </row>
    <row r="4166" spans="1:11" x14ac:dyDescent="0.35">
      <c r="A4166">
        <v>4165</v>
      </c>
      <c r="B4166">
        <v>67</v>
      </c>
      <c r="C4166" t="s">
        <v>11</v>
      </c>
      <c r="D4166" t="s">
        <v>33</v>
      </c>
      <c r="E4166" t="s">
        <v>38</v>
      </c>
      <c r="F4166">
        <v>210.1</v>
      </c>
      <c r="G4166" t="s">
        <v>14</v>
      </c>
      <c r="H4166" t="s">
        <v>15</v>
      </c>
      <c r="I4166">
        <v>3.9</v>
      </c>
      <c r="J4166">
        <v>4</v>
      </c>
      <c r="K4166">
        <v>2</v>
      </c>
    </row>
    <row r="4167" spans="1:11" x14ac:dyDescent="0.35">
      <c r="A4167">
        <v>4166</v>
      </c>
      <c r="B4167">
        <v>48</v>
      </c>
      <c r="C4167" t="s">
        <v>16</v>
      </c>
      <c r="D4167" t="s">
        <v>27</v>
      </c>
      <c r="E4167" t="s">
        <v>28</v>
      </c>
      <c r="F4167">
        <v>1794.93</v>
      </c>
      <c r="G4167" t="s">
        <v>19</v>
      </c>
      <c r="H4167" t="s">
        <v>15</v>
      </c>
      <c r="I4167">
        <v>4.5999999999999996</v>
      </c>
      <c r="J4167">
        <v>16</v>
      </c>
      <c r="K4167">
        <v>8</v>
      </c>
    </row>
    <row r="4168" spans="1:11" x14ac:dyDescent="0.35">
      <c r="A4168">
        <v>4167</v>
      </c>
      <c r="B4168">
        <v>26</v>
      </c>
      <c r="C4168" t="s">
        <v>16</v>
      </c>
      <c r="D4168" t="s">
        <v>17</v>
      </c>
      <c r="E4168" t="s">
        <v>35</v>
      </c>
      <c r="F4168">
        <v>52.64</v>
      </c>
      <c r="G4168" t="s">
        <v>14</v>
      </c>
      <c r="H4168" t="s">
        <v>37</v>
      </c>
      <c r="I4168">
        <v>4.5</v>
      </c>
      <c r="J4168">
        <v>9</v>
      </c>
      <c r="K4168">
        <v>2</v>
      </c>
    </row>
    <row r="4169" spans="1:11" x14ac:dyDescent="0.35">
      <c r="A4169">
        <v>4168</v>
      </c>
      <c r="B4169">
        <v>46</v>
      </c>
      <c r="C4169" t="s">
        <v>16</v>
      </c>
      <c r="D4169" t="s">
        <v>20</v>
      </c>
      <c r="E4169" t="s">
        <v>39</v>
      </c>
      <c r="F4169">
        <v>119.62</v>
      </c>
      <c r="G4169" t="s">
        <v>14</v>
      </c>
      <c r="H4169" t="s">
        <v>15</v>
      </c>
      <c r="I4169">
        <v>4.5</v>
      </c>
      <c r="J4169">
        <v>15</v>
      </c>
      <c r="K4169">
        <v>5</v>
      </c>
    </row>
    <row r="4170" spans="1:11" x14ac:dyDescent="0.35">
      <c r="A4170">
        <v>4169</v>
      </c>
      <c r="B4170">
        <v>26</v>
      </c>
      <c r="C4170" t="s">
        <v>11</v>
      </c>
      <c r="D4170" t="s">
        <v>33</v>
      </c>
      <c r="E4170" t="s">
        <v>38</v>
      </c>
      <c r="F4170">
        <v>230.19</v>
      </c>
      <c r="G4170" t="s">
        <v>24</v>
      </c>
      <c r="H4170" t="s">
        <v>15</v>
      </c>
      <c r="I4170">
        <v>3.9</v>
      </c>
      <c r="J4170">
        <v>22</v>
      </c>
      <c r="K4170">
        <v>6</v>
      </c>
    </row>
    <row r="4171" spans="1:11" x14ac:dyDescent="0.35">
      <c r="A4171">
        <v>4170</v>
      </c>
      <c r="B4171">
        <v>50</v>
      </c>
      <c r="C4171" t="s">
        <v>11</v>
      </c>
      <c r="D4171" t="s">
        <v>22</v>
      </c>
      <c r="E4171" t="s">
        <v>23</v>
      </c>
      <c r="F4171">
        <v>58.78</v>
      </c>
      <c r="G4171" t="s">
        <v>24</v>
      </c>
      <c r="H4171" t="s">
        <v>37</v>
      </c>
      <c r="I4171">
        <v>4.8</v>
      </c>
      <c r="J4171">
        <v>16</v>
      </c>
      <c r="K4171">
        <v>3</v>
      </c>
    </row>
    <row r="4172" spans="1:11" x14ac:dyDescent="0.35">
      <c r="A4172">
        <v>4171</v>
      </c>
      <c r="B4172">
        <v>36</v>
      </c>
      <c r="C4172" t="s">
        <v>16</v>
      </c>
      <c r="D4172" t="s">
        <v>27</v>
      </c>
      <c r="E4172" t="s">
        <v>53</v>
      </c>
      <c r="F4172">
        <v>2331.58</v>
      </c>
      <c r="G4172" t="s">
        <v>24</v>
      </c>
      <c r="H4172" t="s">
        <v>15</v>
      </c>
      <c r="I4172">
        <v>3</v>
      </c>
      <c r="J4172">
        <v>8</v>
      </c>
      <c r="K4172">
        <v>4</v>
      </c>
    </row>
    <row r="4173" spans="1:11" x14ac:dyDescent="0.35">
      <c r="A4173">
        <v>4172</v>
      </c>
      <c r="B4173">
        <v>36</v>
      </c>
      <c r="C4173" t="s">
        <v>16</v>
      </c>
      <c r="D4173" t="s">
        <v>20</v>
      </c>
      <c r="E4173" t="s">
        <v>39</v>
      </c>
      <c r="F4173">
        <v>149.44</v>
      </c>
      <c r="G4173" t="s">
        <v>14</v>
      </c>
      <c r="H4173" t="s">
        <v>15</v>
      </c>
      <c r="I4173">
        <v>3.6</v>
      </c>
      <c r="J4173">
        <v>20</v>
      </c>
      <c r="K4173">
        <v>5</v>
      </c>
    </row>
    <row r="4174" spans="1:11" x14ac:dyDescent="0.35">
      <c r="A4174">
        <v>4173</v>
      </c>
      <c r="B4174">
        <v>64</v>
      </c>
      <c r="C4174" t="s">
        <v>16</v>
      </c>
      <c r="D4174" t="s">
        <v>27</v>
      </c>
      <c r="E4174" t="s">
        <v>53</v>
      </c>
      <c r="F4174">
        <v>2758.3</v>
      </c>
      <c r="G4174" t="s">
        <v>19</v>
      </c>
      <c r="H4174" t="s">
        <v>15</v>
      </c>
      <c r="I4174">
        <v>3.4</v>
      </c>
      <c r="J4174">
        <v>17</v>
      </c>
      <c r="K4174">
        <v>6</v>
      </c>
    </row>
    <row r="4175" spans="1:11" x14ac:dyDescent="0.35">
      <c r="A4175">
        <v>4174</v>
      </c>
      <c r="B4175">
        <v>69</v>
      </c>
      <c r="C4175" t="s">
        <v>11</v>
      </c>
      <c r="D4175" t="s">
        <v>29</v>
      </c>
      <c r="E4175" t="s">
        <v>51</v>
      </c>
      <c r="F4175">
        <v>87.77</v>
      </c>
      <c r="G4175" t="s">
        <v>14</v>
      </c>
      <c r="H4175" t="s">
        <v>37</v>
      </c>
      <c r="I4175">
        <v>3.9</v>
      </c>
      <c r="J4175">
        <v>9</v>
      </c>
      <c r="K4175">
        <v>2</v>
      </c>
    </row>
    <row r="4176" spans="1:11" x14ac:dyDescent="0.35">
      <c r="A4176">
        <v>4175</v>
      </c>
      <c r="B4176">
        <v>41</v>
      </c>
      <c r="C4176" t="s">
        <v>16</v>
      </c>
      <c r="D4176" t="s">
        <v>17</v>
      </c>
      <c r="E4176" t="s">
        <v>18</v>
      </c>
      <c r="F4176">
        <v>199.07</v>
      </c>
      <c r="G4176" t="s">
        <v>24</v>
      </c>
      <c r="H4176" t="s">
        <v>15</v>
      </c>
      <c r="I4176">
        <v>3.1</v>
      </c>
      <c r="J4176">
        <v>6</v>
      </c>
      <c r="K4176">
        <v>3</v>
      </c>
    </row>
    <row r="4177" spans="1:11" x14ac:dyDescent="0.35">
      <c r="A4177">
        <v>4176</v>
      </c>
      <c r="B4177">
        <v>39</v>
      </c>
      <c r="C4177" t="s">
        <v>16</v>
      </c>
      <c r="D4177" t="s">
        <v>17</v>
      </c>
      <c r="E4177" t="s">
        <v>18</v>
      </c>
      <c r="F4177">
        <v>145.5</v>
      </c>
      <c r="G4177" t="s">
        <v>14</v>
      </c>
      <c r="H4177" t="s">
        <v>15</v>
      </c>
      <c r="I4177">
        <v>3.8</v>
      </c>
      <c r="J4177">
        <v>4</v>
      </c>
      <c r="K4177">
        <v>2</v>
      </c>
    </row>
    <row r="4178" spans="1:11" x14ac:dyDescent="0.35">
      <c r="A4178">
        <v>4177</v>
      </c>
      <c r="B4178">
        <v>62</v>
      </c>
      <c r="C4178" t="s">
        <v>11</v>
      </c>
      <c r="D4178" t="s">
        <v>29</v>
      </c>
      <c r="E4178" t="s">
        <v>51</v>
      </c>
      <c r="F4178">
        <v>145.38999999999999</v>
      </c>
      <c r="G4178" t="s">
        <v>31</v>
      </c>
      <c r="H4178" t="s">
        <v>15</v>
      </c>
      <c r="I4178">
        <v>3.8</v>
      </c>
      <c r="J4178">
        <v>13</v>
      </c>
      <c r="K4178">
        <v>4</v>
      </c>
    </row>
    <row r="4179" spans="1:11" x14ac:dyDescent="0.35">
      <c r="A4179">
        <v>4178</v>
      </c>
      <c r="B4179">
        <v>47</v>
      </c>
      <c r="C4179" t="s">
        <v>16</v>
      </c>
      <c r="D4179" t="s">
        <v>27</v>
      </c>
      <c r="E4179" t="s">
        <v>28</v>
      </c>
      <c r="F4179">
        <v>1665.59</v>
      </c>
      <c r="G4179" t="s">
        <v>31</v>
      </c>
      <c r="H4179" t="s">
        <v>15</v>
      </c>
      <c r="I4179">
        <v>3.9</v>
      </c>
      <c r="J4179">
        <v>17</v>
      </c>
      <c r="K4179">
        <v>6</v>
      </c>
    </row>
    <row r="4180" spans="1:11" x14ac:dyDescent="0.35">
      <c r="A4180">
        <v>4179</v>
      </c>
      <c r="B4180">
        <v>46</v>
      </c>
      <c r="C4180" t="s">
        <v>11</v>
      </c>
      <c r="D4180" t="s">
        <v>33</v>
      </c>
      <c r="E4180" t="s">
        <v>38</v>
      </c>
      <c r="F4180">
        <v>89.47</v>
      </c>
      <c r="G4180" t="s">
        <v>19</v>
      </c>
      <c r="H4180" t="s">
        <v>37</v>
      </c>
      <c r="I4180">
        <v>4.3</v>
      </c>
      <c r="J4180">
        <v>17</v>
      </c>
      <c r="K4180">
        <v>6</v>
      </c>
    </row>
    <row r="4181" spans="1:11" x14ac:dyDescent="0.35">
      <c r="A4181">
        <v>4180</v>
      </c>
      <c r="B4181">
        <v>56</v>
      </c>
      <c r="C4181" t="s">
        <v>16</v>
      </c>
      <c r="D4181" t="s">
        <v>17</v>
      </c>
      <c r="E4181" t="s">
        <v>18</v>
      </c>
      <c r="F4181">
        <v>153.46</v>
      </c>
      <c r="G4181" t="s">
        <v>19</v>
      </c>
      <c r="H4181" t="s">
        <v>15</v>
      </c>
      <c r="I4181">
        <v>3.2</v>
      </c>
      <c r="J4181">
        <v>11</v>
      </c>
      <c r="K4181">
        <v>3</v>
      </c>
    </row>
    <row r="4182" spans="1:11" x14ac:dyDescent="0.35">
      <c r="A4182">
        <v>4181</v>
      </c>
      <c r="B4182">
        <v>32</v>
      </c>
      <c r="C4182" t="s">
        <v>11</v>
      </c>
      <c r="D4182" t="s">
        <v>12</v>
      </c>
      <c r="E4182" t="s">
        <v>50</v>
      </c>
      <c r="F4182">
        <v>156.18</v>
      </c>
      <c r="G4182" t="s">
        <v>24</v>
      </c>
      <c r="H4182" t="s">
        <v>15</v>
      </c>
      <c r="I4182">
        <v>2.6</v>
      </c>
      <c r="J4182">
        <v>12</v>
      </c>
      <c r="K4182">
        <v>6</v>
      </c>
    </row>
    <row r="4183" spans="1:11" x14ac:dyDescent="0.35">
      <c r="A4183">
        <v>4182</v>
      </c>
      <c r="B4183">
        <v>50</v>
      </c>
      <c r="C4183" t="s">
        <v>16</v>
      </c>
      <c r="D4183" t="s">
        <v>20</v>
      </c>
      <c r="E4183" t="s">
        <v>39</v>
      </c>
      <c r="F4183">
        <v>83.36</v>
      </c>
      <c r="G4183" t="s">
        <v>31</v>
      </c>
      <c r="H4183" t="s">
        <v>15</v>
      </c>
      <c r="I4183">
        <v>3.4</v>
      </c>
      <c r="J4183">
        <v>10</v>
      </c>
      <c r="K4183">
        <v>5</v>
      </c>
    </row>
    <row r="4184" spans="1:11" x14ac:dyDescent="0.35">
      <c r="A4184">
        <v>4183</v>
      </c>
      <c r="B4184">
        <v>58</v>
      </c>
      <c r="C4184" t="s">
        <v>16</v>
      </c>
      <c r="D4184" t="s">
        <v>17</v>
      </c>
      <c r="E4184" t="s">
        <v>35</v>
      </c>
      <c r="F4184">
        <v>171.56</v>
      </c>
      <c r="G4184" t="s">
        <v>31</v>
      </c>
      <c r="H4184" t="s">
        <v>15</v>
      </c>
      <c r="I4184">
        <v>3.9</v>
      </c>
      <c r="J4184">
        <v>8</v>
      </c>
      <c r="K4184">
        <v>4</v>
      </c>
    </row>
    <row r="4185" spans="1:11" x14ac:dyDescent="0.35">
      <c r="A4185">
        <v>4184</v>
      </c>
      <c r="B4185">
        <v>26</v>
      </c>
      <c r="C4185" t="s">
        <v>11</v>
      </c>
      <c r="D4185" t="s">
        <v>41</v>
      </c>
      <c r="E4185" t="s">
        <v>45</v>
      </c>
      <c r="F4185">
        <v>31.99</v>
      </c>
      <c r="G4185" t="s">
        <v>24</v>
      </c>
      <c r="H4185" t="s">
        <v>37</v>
      </c>
      <c r="I4185">
        <v>3.4</v>
      </c>
      <c r="J4185">
        <v>23</v>
      </c>
      <c r="K4185">
        <v>9</v>
      </c>
    </row>
    <row r="4186" spans="1:11" x14ac:dyDescent="0.35">
      <c r="A4186">
        <v>4185</v>
      </c>
      <c r="B4186">
        <v>58</v>
      </c>
      <c r="C4186" t="s">
        <v>11</v>
      </c>
      <c r="D4186" t="s">
        <v>41</v>
      </c>
      <c r="E4186" t="s">
        <v>45</v>
      </c>
      <c r="F4186">
        <v>199.24</v>
      </c>
      <c r="G4186" t="s">
        <v>24</v>
      </c>
      <c r="H4186" t="s">
        <v>15</v>
      </c>
      <c r="I4186">
        <v>3.3</v>
      </c>
      <c r="J4186">
        <v>15</v>
      </c>
      <c r="K4186">
        <v>5</v>
      </c>
    </row>
    <row r="4187" spans="1:11" x14ac:dyDescent="0.35">
      <c r="A4187">
        <v>4186</v>
      </c>
      <c r="B4187">
        <v>24</v>
      </c>
      <c r="C4187" t="s">
        <v>11</v>
      </c>
      <c r="D4187" t="s">
        <v>41</v>
      </c>
      <c r="E4187" t="s">
        <v>45</v>
      </c>
      <c r="F4187">
        <v>80.739999999999995</v>
      </c>
      <c r="G4187" t="s">
        <v>19</v>
      </c>
      <c r="H4187" t="s">
        <v>15</v>
      </c>
      <c r="I4187">
        <v>3.4</v>
      </c>
      <c r="J4187">
        <v>24</v>
      </c>
      <c r="K4187">
        <v>7</v>
      </c>
    </row>
    <row r="4188" spans="1:11" x14ac:dyDescent="0.35">
      <c r="A4188">
        <v>4187</v>
      </c>
      <c r="B4188">
        <v>65</v>
      </c>
      <c r="C4188" t="s">
        <v>11</v>
      </c>
      <c r="D4188" t="s">
        <v>33</v>
      </c>
      <c r="E4188" t="s">
        <v>38</v>
      </c>
      <c r="F4188">
        <v>231.77</v>
      </c>
      <c r="G4188" t="s">
        <v>14</v>
      </c>
      <c r="H4188" t="s">
        <v>15</v>
      </c>
      <c r="I4188">
        <v>3.5</v>
      </c>
      <c r="J4188">
        <v>22</v>
      </c>
      <c r="K4188">
        <v>6</v>
      </c>
    </row>
    <row r="4189" spans="1:11" x14ac:dyDescent="0.35">
      <c r="A4189">
        <v>4188</v>
      </c>
      <c r="B4189">
        <v>46</v>
      </c>
      <c r="C4189" t="s">
        <v>16</v>
      </c>
      <c r="D4189" t="s">
        <v>17</v>
      </c>
      <c r="E4189" t="s">
        <v>35</v>
      </c>
      <c r="F4189">
        <v>79.069999999999993</v>
      </c>
      <c r="G4189" t="s">
        <v>14</v>
      </c>
      <c r="H4189" t="s">
        <v>15</v>
      </c>
      <c r="I4189">
        <v>4.3</v>
      </c>
      <c r="J4189">
        <v>14</v>
      </c>
      <c r="K4189">
        <v>2</v>
      </c>
    </row>
    <row r="4190" spans="1:11" x14ac:dyDescent="0.35">
      <c r="A4190">
        <v>4189</v>
      </c>
      <c r="B4190">
        <v>57</v>
      </c>
      <c r="C4190" t="s">
        <v>11</v>
      </c>
      <c r="D4190" t="s">
        <v>25</v>
      </c>
      <c r="E4190" t="s">
        <v>47</v>
      </c>
      <c r="F4190">
        <v>13.76</v>
      </c>
      <c r="G4190" t="s">
        <v>24</v>
      </c>
      <c r="H4190" t="s">
        <v>15</v>
      </c>
      <c r="I4190">
        <v>4.4000000000000004</v>
      </c>
      <c r="J4190">
        <v>7</v>
      </c>
      <c r="K4190">
        <v>1</v>
      </c>
    </row>
    <row r="4191" spans="1:11" x14ac:dyDescent="0.35">
      <c r="A4191">
        <v>4190</v>
      </c>
      <c r="B4191">
        <v>27</v>
      </c>
      <c r="C4191" t="s">
        <v>11</v>
      </c>
      <c r="D4191" t="s">
        <v>29</v>
      </c>
      <c r="E4191" t="s">
        <v>30</v>
      </c>
      <c r="F4191">
        <v>113.95</v>
      </c>
      <c r="G4191" t="s">
        <v>19</v>
      </c>
      <c r="H4191" t="s">
        <v>15</v>
      </c>
      <c r="I4191">
        <v>3.7</v>
      </c>
      <c r="J4191">
        <v>11</v>
      </c>
      <c r="K4191">
        <v>3</v>
      </c>
    </row>
    <row r="4192" spans="1:11" x14ac:dyDescent="0.35">
      <c r="A4192">
        <v>4191</v>
      </c>
      <c r="B4192">
        <v>41</v>
      </c>
      <c r="C4192" t="s">
        <v>11</v>
      </c>
      <c r="D4192" t="s">
        <v>33</v>
      </c>
      <c r="E4192" t="s">
        <v>34</v>
      </c>
      <c r="F4192">
        <v>216.85</v>
      </c>
      <c r="G4192" t="s">
        <v>19</v>
      </c>
      <c r="H4192" t="s">
        <v>15</v>
      </c>
      <c r="I4192">
        <v>3.3</v>
      </c>
      <c r="J4192">
        <v>21</v>
      </c>
      <c r="K4192">
        <v>8</v>
      </c>
    </row>
    <row r="4193" spans="1:11" x14ac:dyDescent="0.35">
      <c r="A4193">
        <v>4192</v>
      </c>
      <c r="B4193">
        <v>40</v>
      </c>
      <c r="C4193" t="s">
        <v>11</v>
      </c>
      <c r="D4193" t="s">
        <v>29</v>
      </c>
      <c r="E4193" t="s">
        <v>30</v>
      </c>
      <c r="F4193">
        <v>58.55</v>
      </c>
      <c r="G4193" t="s">
        <v>19</v>
      </c>
      <c r="H4193" t="s">
        <v>37</v>
      </c>
      <c r="I4193">
        <v>4.8</v>
      </c>
      <c r="J4193">
        <v>6</v>
      </c>
      <c r="K4193">
        <v>3</v>
      </c>
    </row>
    <row r="4194" spans="1:11" x14ac:dyDescent="0.35">
      <c r="A4194">
        <v>4193</v>
      </c>
      <c r="B4194">
        <v>43</v>
      </c>
      <c r="C4194" t="s">
        <v>16</v>
      </c>
      <c r="D4194" t="s">
        <v>20</v>
      </c>
      <c r="E4194" t="s">
        <v>36</v>
      </c>
      <c r="F4194">
        <v>188.28</v>
      </c>
      <c r="G4194" t="s">
        <v>24</v>
      </c>
      <c r="H4194" t="s">
        <v>15</v>
      </c>
      <c r="I4194">
        <v>4.4000000000000004</v>
      </c>
      <c r="J4194">
        <v>19</v>
      </c>
      <c r="K4194">
        <v>7</v>
      </c>
    </row>
    <row r="4195" spans="1:11" x14ac:dyDescent="0.35">
      <c r="A4195">
        <v>4194</v>
      </c>
      <c r="B4195">
        <v>37</v>
      </c>
      <c r="C4195" t="s">
        <v>11</v>
      </c>
      <c r="D4195" t="s">
        <v>41</v>
      </c>
      <c r="E4195" t="s">
        <v>44</v>
      </c>
      <c r="F4195">
        <v>116.17</v>
      </c>
      <c r="G4195" t="s">
        <v>14</v>
      </c>
      <c r="H4195" t="s">
        <v>15</v>
      </c>
      <c r="I4195">
        <v>4.4000000000000004</v>
      </c>
      <c r="J4195">
        <v>22</v>
      </c>
      <c r="K4195">
        <v>6</v>
      </c>
    </row>
    <row r="4196" spans="1:11" x14ac:dyDescent="0.35">
      <c r="A4196">
        <v>4195</v>
      </c>
      <c r="B4196">
        <v>34</v>
      </c>
      <c r="C4196" t="s">
        <v>11</v>
      </c>
      <c r="D4196" t="s">
        <v>22</v>
      </c>
      <c r="E4196" t="s">
        <v>23</v>
      </c>
      <c r="F4196">
        <v>142.76</v>
      </c>
      <c r="G4196" t="s">
        <v>31</v>
      </c>
      <c r="H4196" t="s">
        <v>15</v>
      </c>
      <c r="I4196">
        <v>4.5999999999999996</v>
      </c>
      <c r="J4196">
        <v>19</v>
      </c>
      <c r="K4196">
        <v>7</v>
      </c>
    </row>
    <row r="4197" spans="1:11" x14ac:dyDescent="0.35">
      <c r="A4197">
        <v>4196</v>
      </c>
      <c r="B4197">
        <v>43</v>
      </c>
      <c r="C4197" t="s">
        <v>16</v>
      </c>
      <c r="D4197" t="s">
        <v>33</v>
      </c>
      <c r="E4197" t="s">
        <v>40</v>
      </c>
      <c r="F4197">
        <v>158.75</v>
      </c>
      <c r="G4197" t="s">
        <v>24</v>
      </c>
      <c r="H4197" t="s">
        <v>15</v>
      </c>
      <c r="I4197">
        <v>4.5</v>
      </c>
      <c r="J4197">
        <v>16</v>
      </c>
      <c r="K4197">
        <v>8</v>
      </c>
    </row>
    <row r="4198" spans="1:11" x14ac:dyDescent="0.35">
      <c r="A4198">
        <v>4197</v>
      </c>
      <c r="B4198">
        <v>49</v>
      </c>
      <c r="C4198" t="s">
        <v>11</v>
      </c>
      <c r="D4198" t="s">
        <v>25</v>
      </c>
      <c r="E4198" t="s">
        <v>54</v>
      </c>
      <c r="F4198">
        <v>43.81</v>
      </c>
      <c r="G4198" t="s">
        <v>19</v>
      </c>
      <c r="H4198" t="s">
        <v>37</v>
      </c>
      <c r="I4198">
        <v>4</v>
      </c>
      <c r="J4198">
        <v>12</v>
      </c>
      <c r="K4198">
        <v>6</v>
      </c>
    </row>
    <row r="4199" spans="1:11" x14ac:dyDescent="0.35">
      <c r="A4199">
        <v>4198</v>
      </c>
      <c r="B4199">
        <v>57</v>
      </c>
      <c r="C4199" t="s">
        <v>16</v>
      </c>
      <c r="D4199" t="s">
        <v>20</v>
      </c>
      <c r="E4199" t="s">
        <v>21</v>
      </c>
      <c r="F4199">
        <v>66.09</v>
      </c>
      <c r="G4199" t="s">
        <v>19</v>
      </c>
      <c r="H4199" t="s">
        <v>37</v>
      </c>
      <c r="I4199">
        <v>3.6</v>
      </c>
      <c r="J4199">
        <v>11</v>
      </c>
      <c r="K4199">
        <v>3</v>
      </c>
    </row>
    <row r="4200" spans="1:11" x14ac:dyDescent="0.35">
      <c r="A4200">
        <v>4199</v>
      </c>
      <c r="B4200">
        <v>60</v>
      </c>
      <c r="C4200" t="s">
        <v>16</v>
      </c>
      <c r="D4200" t="s">
        <v>27</v>
      </c>
      <c r="E4200" t="s">
        <v>49</v>
      </c>
      <c r="F4200">
        <v>2585.88</v>
      </c>
      <c r="G4200" t="s">
        <v>24</v>
      </c>
      <c r="H4200" t="s">
        <v>15</v>
      </c>
      <c r="I4200">
        <v>3.1</v>
      </c>
      <c r="J4200">
        <v>15</v>
      </c>
      <c r="K4200">
        <v>5</v>
      </c>
    </row>
    <row r="4201" spans="1:11" x14ac:dyDescent="0.35">
      <c r="A4201">
        <v>4200</v>
      </c>
      <c r="B4201">
        <v>45</v>
      </c>
      <c r="C4201" t="s">
        <v>16</v>
      </c>
      <c r="D4201" t="s">
        <v>27</v>
      </c>
      <c r="E4201" t="s">
        <v>49</v>
      </c>
      <c r="F4201">
        <v>2462.83</v>
      </c>
      <c r="G4201" t="s">
        <v>19</v>
      </c>
      <c r="H4201" t="s">
        <v>15</v>
      </c>
      <c r="I4201">
        <v>4.5</v>
      </c>
      <c r="J4201">
        <v>12</v>
      </c>
      <c r="K4201">
        <v>6</v>
      </c>
    </row>
    <row r="4202" spans="1:11" x14ac:dyDescent="0.35">
      <c r="A4202">
        <v>4201</v>
      </c>
      <c r="B4202">
        <v>38</v>
      </c>
      <c r="C4202" t="s">
        <v>16</v>
      </c>
      <c r="D4202" t="s">
        <v>20</v>
      </c>
      <c r="E4202" t="s">
        <v>36</v>
      </c>
      <c r="F4202">
        <v>92.59</v>
      </c>
      <c r="G4202" t="s">
        <v>19</v>
      </c>
      <c r="H4202" t="s">
        <v>15</v>
      </c>
      <c r="I4202">
        <v>4.5999999999999996</v>
      </c>
      <c r="J4202">
        <v>19</v>
      </c>
      <c r="K4202">
        <v>7</v>
      </c>
    </row>
    <row r="4203" spans="1:11" x14ac:dyDescent="0.35">
      <c r="A4203">
        <v>4202</v>
      </c>
      <c r="B4203">
        <v>52</v>
      </c>
      <c r="C4203" t="s">
        <v>11</v>
      </c>
      <c r="D4203" t="s">
        <v>41</v>
      </c>
      <c r="E4203" t="s">
        <v>42</v>
      </c>
      <c r="F4203">
        <v>132.66999999999999</v>
      </c>
      <c r="G4203" t="s">
        <v>14</v>
      </c>
      <c r="H4203" t="s">
        <v>15</v>
      </c>
      <c r="I4203">
        <v>5</v>
      </c>
      <c r="J4203">
        <v>13</v>
      </c>
      <c r="K4203">
        <v>4</v>
      </c>
    </row>
    <row r="4204" spans="1:11" x14ac:dyDescent="0.35">
      <c r="A4204">
        <v>4203</v>
      </c>
      <c r="B4204">
        <v>49</v>
      </c>
      <c r="C4204" t="s">
        <v>11</v>
      </c>
      <c r="D4204" t="s">
        <v>25</v>
      </c>
      <c r="E4204" t="s">
        <v>54</v>
      </c>
      <c r="F4204">
        <v>44.3</v>
      </c>
      <c r="G4204" t="s">
        <v>24</v>
      </c>
      <c r="H4204" t="s">
        <v>15</v>
      </c>
      <c r="I4204">
        <v>4.3</v>
      </c>
      <c r="J4204">
        <v>17</v>
      </c>
      <c r="K4204">
        <v>6</v>
      </c>
    </row>
    <row r="4205" spans="1:11" x14ac:dyDescent="0.35">
      <c r="A4205">
        <v>4204</v>
      </c>
      <c r="B4205">
        <v>26</v>
      </c>
      <c r="C4205" t="s">
        <v>11</v>
      </c>
      <c r="D4205" t="s">
        <v>29</v>
      </c>
      <c r="E4205" t="s">
        <v>30</v>
      </c>
      <c r="F4205">
        <v>76.87</v>
      </c>
      <c r="G4205" t="s">
        <v>19</v>
      </c>
      <c r="H4205" t="s">
        <v>15</v>
      </c>
      <c r="I4205">
        <v>3</v>
      </c>
      <c r="J4205">
        <v>10</v>
      </c>
      <c r="K4205">
        <v>5</v>
      </c>
    </row>
    <row r="4206" spans="1:11" x14ac:dyDescent="0.35">
      <c r="A4206">
        <v>4205</v>
      </c>
      <c r="B4206">
        <v>58</v>
      </c>
      <c r="C4206" t="s">
        <v>16</v>
      </c>
      <c r="D4206" t="s">
        <v>17</v>
      </c>
      <c r="E4206" t="s">
        <v>48</v>
      </c>
      <c r="F4206">
        <v>53.51</v>
      </c>
      <c r="G4206" t="s">
        <v>19</v>
      </c>
      <c r="H4206" t="s">
        <v>15</v>
      </c>
      <c r="I4206">
        <v>4.4000000000000004</v>
      </c>
      <c r="J4206">
        <v>12</v>
      </c>
      <c r="K4206">
        <v>6</v>
      </c>
    </row>
    <row r="4207" spans="1:11" x14ac:dyDescent="0.35">
      <c r="A4207">
        <v>4206</v>
      </c>
      <c r="B4207">
        <v>52</v>
      </c>
      <c r="C4207" t="s">
        <v>16</v>
      </c>
      <c r="D4207" t="s">
        <v>20</v>
      </c>
      <c r="E4207" t="s">
        <v>39</v>
      </c>
      <c r="F4207">
        <v>103.02</v>
      </c>
      <c r="G4207" t="s">
        <v>14</v>
      </c>
      <c r="H4207" t="s">
        <v>15</v>
      </c>
      <c r="I4207">
        <v>3.6</v>
      </c>
      <c r="J4207">
        <v>14</v>
      </c>
      <c r="K4207">
        <v>7</v>
      </c>
    </row>
    <row r="4208" spans="1:11" x14ac:dyDescent="0.35">
      <c r="A4208">
        <v>4207</v>
      </c>
      <c r="B4208">
        <v>64</v>
      </c>
      <c r="C4208" t="s">
        <v>16</v>
      </c>
      <c r="D4208" t="s">
        <v>33</v>
      </c>
      <c r="E4208" t="s">
        <v>40</v>
      </c>
      <c r="F4208">
        <v>184.26</v>
      </c>
      <c r="G4208" t="s">
        <v>24</v>
      </c>
      <c r="H4208" t="s">
        <v>15</v>
      </c>
      <c r="I4208">
        <v>4.5999999999999996</v>
      </c>
      <c r="J4208">
        <v>12</v>
      </c>
      <c r="K4208">
        <v>1</v>
      </c>
    </row>
    <row r="4209" spans="1:11" x14ac:dyDescent="0.35">
      <c r="A4209">
        <v>4208</v>
      </c>
      <c r="B4209">
        <v>55</v>
      </c>
      <c r="C4209" t="s">
        <v>11</v>
      </c>
      <c r="D4209" t="s">
        <v>33</v>
      </c>
      <c r="E4209" t="s">
        <v>40</v>
      </c>
      <c r="F4209">
        <v>171.05</v>
      </c>
      <c r="G4209" t="s">
        <v>14</v>
      </c>
      <c r="H4209" t="s">
        <v>15</v>
      </c>
      <c r="I4209">
        <v>3.8</v>
      </c>
      <c r="J4209">
        <v>12</v>
      </c>
      <c r="K4209">
        <v>6</v>
      </c>
    </row>
    <row r="4210" spans="1:11" x14ac:dyDescent="0.35">
      <c r="A4210">
        <v>4209</v>
      </c>
      <c r="B4210">
        <v>67</v>
      </c>
      <c r="C4210" t="s">
        <v>11</v>
      </c>
      <c r="D4210" t="s">
        <v>12</v>
      </c>
      <c r="E4210" t="s">
        <v>56</v>
      </c>
      <c r="F4210">
        <v>37.770000000000003</v>
      </c>
      <c r="G4210" t="s">
        <v>24</v>
      </c>
      <c r="H4210" t="s">
        <v>37</v>
      </c>
      <c r="I4210">
        <v>4.5</v>
      </c>
      <c r="J4210">
        <v>20</v>
      </c>
      <c r="K4210">
        <v>5</v>
      </c>
    </row>
    <row r="4211" spans="1:11" x14ac:dyDescent="0.35">
      <c r="A4211">
        <v>4210</v>
      </c>
      <c r="B4211">
        <v>41</v>
      </c>
      <c r="C4211" t="s">
        <v>16</v>
      </c>
      <c r="D4211" t="s">
        <v>22</v>
      </c>
      <c r="E4211" t="s">
        <v>43</v>
      </c>
      <c r="F4211">
        <v>170.89</v>
      </c>
      <c r="G4211" t="s">
        <v>14</v>
      </c>
      <c r="H4211" t="s">
        <v>15</v>
      </c>
      <c r="I4211">
        <v>4.7</v>
      </c>
      <c r="J4211">
        <v>24</v>
      </c>
      <c r="K4211">
        <v>7</v>
      </c>
    </row>
    <row r="4212" spans="1:11" x14ac:dyDescent="0.35">
      <c r="A4212">
        <v>4211</v>
      </c>
      <c r="B4212">
        <v>23</v>
      </c>
      <c r="C4212" t="s">
        <v>16</v>
      </c>
      <c r="D4212" t="s">
        <v>33</v>
      </c>
      <c r="E4212" t="s">
        <v>34</v>
      </c>
      <c r="F4212">
        <v>249.42</v>
      </c>
      <c r="G4212" t="s">
        <v>19</v>
      </c>
      <c r="H4212" t="s">
        <v>15</v>
      </c>
      <c r="I4212">
        <v>2.7</v>
      </c>
      <c r="J4212">
        <v>23</v>
      </c>
      <c r="K4212">
        <v>9</v>
      </c>
    </row>
    <row r="4213" spans="1:11" x14ac:dyDescent="0.35">
      <c r="A4213">
        <v>4212</v>
      </c>
      <c r="B4213">
        <v>66</v>
      </c>
      <c r="C4213" t="s">
        <v>11</v>
      </c>
      <c r="D4213" t="s">
        <v>33</v>
      </c>
      <c r="E4213" t="s">
        <v>38</v>
      </c>
      <c r="F4213">
        <v>167.08</v>
      </c>
      <c r="G4213" t="s">
        <v>19</v>
      </c>
      <c r="H4213" t="s">
        <v>15</v>
      </c>
      <c r="I4213">
        <v>4.2</v>
      </c>
      <c r="J4213">
        <v>24</v>
      </c>
      <c r="K4213">
        <v>7</v>
      </c>
    </row>
    <row r="4214" spans="1:11" x14ac:dyDescent="0.35">
      <c r="A4214">
        <v>4213</v>
      </c>
      <c r="B4214">
        <v>26</v>
      </c>
      <c r="C4214" t="s">
        <v>11</v>
      </c>
      <c r="D4214" t="s">
        <v>25</v>
      </c>
      <c r="E4214" t="s">
        <v>54</v>
      </c>
      <c r="F4214">
        <v>59.78</v>
      </c>
      <c r="G4214" t="s">
        <v>14</v>
      </c>
      <c r="H4214" t="s">
        <v>15</v>
      </c>
      <c r="I4214">
        <v>4.3</v>
      </c>
      <c r="J4214">
        <v>15</v>
      </c>
      <c r="K4214">
        <v>5</v>
      </c>
    </row>
    <row r="4215" spans="1:11" x14ac:dyDescent="0.35">
      <c r="A4215">
        <v>4214</v>
      </c>
      <c r="B4215">
        <v>44</v>
      </c>
      <c r="C4215" t="s">
        <v>11</v>
      </c>
      <c r="D4215" t="s">
        <v>41</v>
      </c>
      <c r="E4215" t="s">
        <v>45</v>
      </c>
      <c r="F4215">
        <v>32</v>
      </c>
      <c r="G4215" t="s">
        <v>14</v>
      </c>
      <c r="H4215" t="s">
        <v>15</v>
      </c>
      <c r="I4215">
        <v>5</v>
      </c>
      <c r="J4215">
        <v>14</v>
      </c>
      <c r="K4215">
        <v>7</v>
      </c>
    </row>
    <row r="4216" spans="1:11" x14ac:dyDescent="0.35">
      <c r="A4216">
        <v>4215</v>
      </c>
      <c r="B4216">
        <v>36</v>
      </c>
      <c r="C4216" t="s">
        <v>16</v>
      </c>
      <c r="D4216" t="s">
        <v>20</v>
      </c>
      <c r="E4216" t="s">
        <v>36</v>
      </c>
      <c r="F4216">
        <v>46.99</v>
      </c>
      <c r="G4216" t="s">
        <v>19</v>
      </c>
      <c r="H4216" t="s">
        <v>37</v>
      </c>
      <c r="I4216">
        <v>3.7</v>
      </c>
      <c r="J4216">
        <v>8</v>
      </c>
      <c r="K4216">
        <v>4</v>
      </c>
    </row>
    <row r="4217" spans="1:11" x14ac:dyDescent="0.35">
      <c r="A4217">
        <v>4216</v>
      </c>
      <c r="B4217">
        <v>31</v>
      </c>
      <c r="C4217" t="s">
        <v>16</v>
      </c>
      <c r="D4217" t="s">
        <v>33</v>
      </c>
      <c r="E4217" t="s">
        <v>40</v>
      </c>
      <c r="F4217">
        <v>82.9</v>
      </c>
      <c r="G4217" t="s">
        <v>24</v>
      </c>
      <c r="H4217" t="s">
        <v>15</v>
      </c>
      <c r="I4217">
        <v>4.2</v>
      </c>
      <c r="J4217">
        <v>16</v>
      </c>
      <c r="K4217">
        <v>3</v>
      </c>
    </row>
    <row r="4218" spans="1:11" x14ac:dyDescent="0.35">
      <c r="A4218">
        <v>4217</v>
      </c>
      <c r="B4218">
        <v>69</v>
      </c>
      <c r="C4218" t="s">
        <v>16</v>
      </c>
      <c r="D4218" t="s">
        <v>33</v>
      </c>
      <c r="E4218" t="s">
        <v>40</v>
      </c>
      <c r="F4218">
        <v>245.86</v>
      </c>
      <c r="G4218" t="s">
        <v>24</v>
      </c>
      <c r="H4218" t="s">
        <v>15</v>
      </c>
      <c r="I4218">
        <v>4</v>
      </c>
      <c r="J4218">
        <v>15</v>
      </c>
      <c r="K4218">
        <v>5</v>
      </c>
    </row>
    <row r="4219" spans="1:11" x14ac:dyDescent="0.35">
      <c r="A4219">
        <v>4218</v>
      </c>
      <c r="B4219">
        <v>48</v>
      </c>
      <c r="C4219" t="s">
        <v>11</v>
      </c>
      <c r="D4219" t="s">
        <v>12</v>
      </c>
      <c r="E4219" t="s">
        <v>13</v>
      </c>
      <c r="F4219">
        <v>94.05</v>
      </c>
      <c r="G4219" t="s">
        <v>19</v>
      </c>
      <c r="H4219" t="s">
        <v>37</v>
      </c>
      <c r="I4219">
        <v>4.3</v>
      </c>
      <c r="J4219">
        <v>10</v>
      </c>
      <c r="K4219">
        <v>5</v>
      </c>
    </row>
    <row r="4220" spans="1:11" x14ac:dyDescent="0.35">
      <c r="A4220">
        <v>4219</v>
      </c>
      <c r="B4220">
        <v>31</v>
      </c>
      <c r="C4220" t="s">
        <v>11</v>
      </c>
      <c r="D4220" t="s">
        <v>25</v>
      </c>
      <c r="E4220" t="s">
        <v>47</v>
      </c>
      <c r="F4220">
        <v>9.39</v>
      </c>
      <c r="G4220" t="s">
        <v>14</v>
      </c>
      <c r="H4220" t="s">
        <v>15</v>
      </c>
      <c r="I4220">
        <v>4.2</v>
      </c>
      <c r="J4220">
        <v>14</v>
      </c>
      <c r="K4220">
        <v>2</v>
      </c>
    </row>
    <row r="4221" spans="1:11" x14ac:dyDescent="0.35">
      <c r="A4221">
        <v>4220</v>
      </c>
      <c r="B4221">
        <v>33</v>
      </c>
      <c r="C4221" t="s">
        <v>11</v>
      </c>
      <c r="D4221" t="s">
        <v>33</v>
      </c>
      <c r="E4221" t="s">
        <v>34</v>
      </c>
      <c r="F4221">
        <v>115.37</v>
      </c>
      <c r="G4221" t="s">
        <v>24</v>
      </c>
      <c r="H4221" t="s">
        <v>15</v>
      </c>
      <c r="I4221">
        <v>2.8</v>
      </c>
      <c r="J4221">
        <v>6</v>
      </c>
      <c r="K4221">
        <v>3</v>
      </c>
    </row>
    <row r="4222" spans="1:11" x14ac:dyDescent="0.35">
      <c r="A4222">
        <v>4221</v>
      </c>
      <c r="B4222">
        <v>42</v>
      </c>
      <c r="C4222" t="s">
        <v>16</v>
      </c>
      <c r="D4222" t="s">
        <v>22</v>
      </c>
      <c r="E4222" t="s">
        <v>43</v>
      </c>
      <c r="F4222">
        <v>288.26</v>
      </c>
      <c r="G4222" t="s">
        <v>19</v>
      </c>
      <c r="H4222" t="s">
        <v>15</v>
      </c>
      <c r="I4222">
        <v>4.0999999999999996</v>
      </c>
      <c r="J4222">
        <v>10</v>
      </c>
      <c r="K4222">
        <v>5</v>
      </c>
    </row>
    <row r="4223" spans="1:11" x14ac:dyDescent="0.35">
      <c r="A4223">
        <v>4222</v>
      </c>
      <c r="B4223">
        <v>61</v>
      </c>
      <c r="C4223" t="s">
        <v>16</v>
      </c>
      <c r="D4223" t="s">
        <v>27</v>
      </c>
      <c r="E4223" t="s">
        <v>28</v>
      </c>
      <c r="F4223">
        <v>2235.09</v>
      </c>
      <c r="G4223" t="s">
        <v>24</v>
      </c>
      <c r="H4223" t="s">
        <v>15</v>
      </c>
      <c r="I4223">
        <v>4.4000000000000004</v>
      </c>
      <c r="J4223">
        <v>14</v>
      </c>
      <c r="K4223">
        <v>7</v>
      </c>
    </row>
    <row r="4224" spans="1:11" x14ac:dyDescent="0.35">
      <c r="A4224">
        <v>4223</v>
      </c>
      <c r="B4224">
        <v>62</v>
      </c>
      <c r="C4224" t="s">
        <v>16</v>
      </c>
      <c r="D4224" t="s">
        <v>20</v>
      </c>
      <c r="E4224" t="s">
        <v>21</v>
      </c>
      <c r="F4224">
        <v>173.92</v>
      </c>
      <c r="G4224" t="s">
        <v>31</v>
      </c>
      <c r="H4224" t="s">
        <v>15</v>
      </c>
      <c r="I4224">
        <v>4.2</v>
      </c>
      <c r="J4224">
        <v>8</v>
      </c>
      <c r="K4224">
        <v>4</v>
      </c>
    </row>
    <row r="4225" spans="1:11" x14ac:dyDescent="0.35">
      <c r="A4225">
        <v>4224</v>
      </c>
      <c r="B4225">
        <v>29</v>
      </c>
      <c r="C4225" t="s">
        <v>11</v>
      </c>
      <c r="D4225" t="s">
        <v>29</v>
      </c>
      <c r="E4225" t="s">
        <v>30</v>
      </c>
      <c r="F4225">
        <v>20.49</v>
      </c>
      <c r="G4225" t="s">
        <v>19</v>
      </c>
      <c r="H4225" t="s">
        <v>37</v>
      </c>
      <c r="I4225">
        <v>3.7</v>
      </c>
      <c r="J4225">
        <v>14</v>
      </c>
      <c r="K4225">
        <v>7</v>
      </c>
    </row>
    <row r="4226" spans="1:11" x14ac:dyDescent="0.35">
      <c r="A4226">
        <v>4225</v>
      </c>
      <c r="B4226">
        <v>23</v>
      </c>
      <c r="C4226" t="s">
        <v>11</v>
      </c>
      <c r="D4226" t="s">
        <v>29</v>
      </c>
      <c r="E4226" t="s">
        <v>55</v>
      </c>
      <c r="F4226">
        <v>46.62</v>
      </c>
      <c r="G4226" t="s">
        <v>24</v>
      </c>
      <c r="H4226" t="s">
        <v>37</v>
      </c>
      <c r="I4226">
        <v>5</v>
      </c>
      <c r="J4226">
        <v>22</v>
      </c>
      <c r="K4226">
        <v>6</v>
      </c>
    </row>
    <row r="4227" spans="1:11" x14ac:dyDescent="0.35">
      <c r="A4227">
        <v>4226</v>
      </c>
      <c r="B4227">
        <v>49</v>
      </c>
      <c r="C4227" t="s">
        <v>16</v>
      </c>
      <c r="D4227" t="s">
        <v>27</v>
      </c>
      <c r="E4227" t="s">
        <v>28</v>
      </c>
      <c r="F4227">
        <v>2552</v>
      </c>
      <c r="G4227" t="s">
        <v>14</v>
      </c>
      <c r="H4227" t="s">
        <v>15</v>
      </c>
      <c r="I4227">
        <v>4.5</v>
      </c>
      <c r="J4227">
        <v>18</v>
      </c>
      <c r="K4227">
        <v>4</v>
      </c>
    </row>
    <row r="4228" spans="1:11" x14ac:dyDescent="0.35">
      <c r="A4228">
        <v>4227</v>
      </c>
      <c r="B4228">
        <v>67</v>
      </c>
      <c r="C4228" t="s">
        <v>16</v>
      </c>
      <c r="D4228" t="s">
        <v>20</v>
      </c>
      <c r="E4228" t="s">
        <v>36</v>
      </c>
      <c r="F4228">
        <v>123.27</v>
      </c>
      <c r="G4228" t="s">
        <v>31</v>
      </c>
      <c r="H4228" t="s">
        <v>15</v>
      </c>
      <c r="I4228">
        <v>4.0999999999999996</v>
      </c>
      <c r="J4228">
        <v>12</v>
      </c>
      <c r="K4228">
        <v>6</v>
      </c>
    </row>
    <row r="4229" spans="1:11" x14ac:dyDescent="0.35">
      <c r="A4229">
        <v>4228</v>
      </c>
      <c r="B4229">
        <v>65</v>
      </c>
      <c r="C4229" t="s">
        <v>16</v>
      </c>
      <c r="D4229" t="s">
        <v>33</v>
      </c>
      <c r="E4229" t="s">
        <v>34</v>
      </c>
      <c r="F4229">
        <v>92.07</v>
      </c>
      <c r="G4229" t="s">
        <v>31</v>
      </c>
      <c r="H4229" t="s">
        <v>37</v>
      </c>
      <c r="I4229">
        <v>4.2</v>
      </c>
      <c r="J4229">
        <v>18</v>
      </c>
      <c r="K4229">
        <v>4</v>
      </c>
    </row>
    <row r="4230" spans="1:11" x14ac:dyDescent="0.35">
      <c r="A4230">
        <v>4229</v>
      </c>
      <c r="B4230">
        <v>30</v>
      </c>
      <c r="C4230" t="s">
        <v>11</v>
      </c>
      <c r="D4230" t="s">
        <v>12</v>
      </c>
      <c r="E4230" t="s">
        <v>56</v>
      </c>
      <c r="F4230">
        <v>37.86</v>
      </c>
      <c r="G4230" t="s">
        <v>19</v>
      </c>
      <c r="H4230" t="s">
        <v>37</v>
      </c>
      <c r="I4230">
        <v>4.9000000000000004</v>
      </c>
      <c r="J4230">
        <v>16</v>
      </c>
      <c r="K4230">
        <v>3</v>
      </c>
    </row>
    <row r="4231" spans="1:11" x14ac:dyDescent="0.35">
      <c r="A4231">
        <v>4230</v>
      </c>
      <c r="B4231">
        <v>52</v>
      </c>
      <c r="C4231" t="s">
        <v>16</v>
      </c>
      <c r="D4231" t="s">
        <v>27</v>
      </c>
      <c r="E4231" t="s">
        <v>32</v>
      </c>
      <c r="F4231">
        <v>1075.98</v>
      </c>
      <c r="G4231" t="s">
        <v>14</v>
      </c>
      <c r="H4231" t="s">
        <v>15</v>
      </c>
      <c r="I4231">
        <v>4</v>
      </c>
      <c r="J4231">
        <v>4</v>
      </c>
      <c r="K4231">
        <v>2</v>
      </c>
    </row>
    <row r="4232" spans="1:11" x14ac:dyDescent="0.35">
      <c r="A4232">
        <v>4231</v>
      </c>
      <c r="B4232">
        <v>70</v>
      </c>
      <c r="C4232" t="s">
        <v>16</v>
      </c>
      <c r="D4232" t="s">
        <v>33</v>
      </c>
      <c r="E4232" t="s">
        <v>34</v>
      </c>
      <c r="F4232">
        <v>71.55</v>
      </c>
      <c r="G4232" t="s">
        <v>31</v>
      </c>
      <c r="H4232" t="s">
        <v>37</v>
      </c>
      <c r="I4232">
        <v>4.5</v>
      </c>
      <c r="J4232">
        <v>10</v>
      </c>
      <c r="K4232">
        <v>5</v>
      </c>
    </row>
    <row r="4233" spans="1:11" x14ac:dyDescent="0.35">
      <c r="A4233">
        <v>4232</v>
      </c>
      <c r="B4233">
        <v>27</v>
      </c>
      <c r="C4233" t="s">
        <v>16</v>
      </c>
      <c r="D4233" t="s">
        <v>27</v>
      </c>
      <c r="E4233" t="s">
        <v>53</v>
      </c>
      <c r="F4233">
        <v>2020.46</v>
      </c>
      <c r="G4233" t="s">
        <v>14</v>
      </c>
      <c r="H4233" t="s">
        <v>15</v>
      </c>
      <c r="I4233">
        <v>5</v>
      </c>
      <c r="J4233">
        <v>23</v>
      </c>
      <c r="K4233">
        <v>9</v>
      </c>
    </row>
    <row r="4234" spans="1:11" x14ac:dyDescent="0.35">
      <c r="A4234">
        <v>4233</v>
      </c>
      <c r="B4234">
        <v>41</v>
      </c>
      <c r="C4234" t="s">
        <v>11</v>
      </c>
      <c r="D4234" t="s">
        <v>12</v>
      </c>
      <c r="E4234" t="s">
        <v>13</v>
      </c>
      <c r="F4234">
        <v>55.11</v>
      </c>
      <c r="G4234" t="s">
        <v>19</v>
      </c>
      <c r="H4234" t="s">
        <v>15</v>
      </c>
      <c r="I4234">
        <v>3.2</v>
      </c>
      <c r="J4234">
        <v>15</v>
      </c>
      <c r="K4234">
        <v>5</v>
      </c>
    </row>
    <row r="4235" spans="1:11" x14ac:dyDescent="0.35">
      <c r="A4235">
        <v>4234</v>
      </c>
      <c r="B4235">
        <v>22</v>
      </c>
      <c r="C4235" t="s">
        <v>11</v>
      </c>
      <c r="D4235" t="s">
        <v>29</v>
      </c>
      <c r="E4235" t="s">
        <v>51</v>
      </c>
      <c r="F4235">
        <v>120.3</v>
      </c>
      <c r="G4235" t="s">
        <v>19</v>
      </c>
      <c r="H4235" t="s">
        <v>15</v>
      </c>
      <c r="I4235">
        <v>3.3</v>
      </c>
      <c r="J4235">
        <v>11</v>
      </c>
      <c r="K4235">
        <v>3</v>
      </c>
    </row>
    <row r="4236" spans="1:11" x14ac:dyDescent="0.35">
      <c r="A4236">
        <v>4235</v>
      </c>
      <c r="B4236">
        <v>50</v>
      </c>
      <c r="C4236" t="s">
        <v>11</v>
      </c>
      <c r="D4236" t="s">
        <v>12</v>
      </c>
      <c r="E4236" t="s">
        <v>56</v>
      </c>
      <c r="F4236">
        <v>69.930000000000007</v>
      </c>
      <c r="G4236" t="s">
        <v>14</v>
      </c>
      <c r="H4236" t="s">
        <v>37</v>
      </c>
      <c r="I4236">
        <v>3.9</v>
      </c>
      <c r="J4236">
        <v>13</v>
      </c>
      <c r="K4236">
        <v>4</v>
      </c>
    </row>
    <row r="4237" spans="1:11" x14ac:dyDescent="0.35">
      <c r="A4237">
        <v>4236</v>
      </c>
      <c r="B4237">
        <v>27</v>
      </c>
      <c r="C4237" t="s">
        <v>11</v>
      </c>
      <c r="D4237" t="s">
        <v>41</v>
      </c>
      <c r="E4237" t="s">
        <v>45</v>
      </c>
      <c r="F4237">
        <v>185.32</v>
      </c>
      <c r="G4237" t="s">
        <v>31</v>
      </c>
      <c r="H4237" t="s">
        <v>15</v>
      </c>
      <c r="I4237">
        <v>4.5</v>
      </c>
      <c r="J4237">
        <v>19</v>
      </c>
      <c r="K4237">
        <v>7</v>
      </c>
    </row>
    <row r="4238" spans="1:11" x14ac:dyDescent="0.35">
      <c r="A4238">
        <v>4237</v>
      </c>
      <c r="B4238">
        <v>28</v>
      </c>
      <c r="C4238" t="s">
        <v>11</v>
      </c>
      <c r="D4238" t="s">
        <v>12</v>
      </c>
      <c r="E4238" t="s">
        <v>13</v>
      </c>
      <c r="F4238">
        <v>123.5</v>
      </c>
      <c r="G4238" t="s">
        <v>19</v>
      </c>
      <c r="H4238" t="s">
        <v>15</v>
      </c>
      <c r="I4238">
        <v>3</v>
      </c>
      <c r="J4238">
        <v>14</v>
      </c>
      <c r="K4238">
        <v>2</v>
      </c>
    </row>
    <row r="4239" spans="1:11" x14ac:dyDescent="0.35">
      <c r="A4239">
        <v>4238</v>
      </c>
      <c r="B4239">
        <v>52</v>
      </c>
      <c r="C4239" t="s">
        <v>16</v>
      </c>
      <c r="D4239" t="s">
        <v>33</v>
      </c>
      <c r="E4239" t="s">
        <v>34</v>
      </c>
      <c r="F4239">
        <v>56.61</v>
      </c>
      <c r="G4239" t="s">
        <v>31</v>
      </c>
      <c r="H4239" t="s">
        <v>37</v>
      </c>
      <c r="I4239">
        <v>2.9</v>
      </c>
      <c r="J4239">
        <v>15</v>
      </c>
      <c r="K4239">
        <v>5</v>
      </c>
    </row>
    <row r="4240" spans="1:11" x14ac:dyDescent="0.35">
      <c r="A4240">
        <v>4239</v>
      </c>
      <c r="B4240">
        <v>32</v>
      </c>
      <c r="C4240" t="s">
        <v>11</v>
      </c>
      <c r="D4240" t="s">
        <v>41</v>
      </c>
      <c r="E4240" t="s">
        <v>45</v>
      </c>
      <c r="F4240">
        <v>60.63</v>
      </c>
      <c r="G4240" t="s">
        <v>24</v>
      </c>
      <c r="H4240" t="s">
        <v>37</v>
      </c>
      <c r="I4240">
        <v>3.6</v>
      </c>
      <c r="J4240">
        <v>12</v>
      </c>
      <c r="K4240">
        <v>6</v>
      </c>
    </row>
    <row r="4241" spans="1:11" x14ac:dyDescent="0.35">
      <c r="A4241">
        <v>4240</v>
      </c>
      <c r="B4241">
        <v>68</v>
      </c>
      <c r="C4241" t="s">
        <v>11</v>
      </c>
      <c r="D4241" t="s">
        <v>12</v>
      </c>
      <c r="E4241" t="s">
        <v>56</v>
      </c>
      <c r="F4241">
        <v>80.92</v>
      </c>
      <c r="G4241" t="s">
        <v>19</v>
      </c>
      <c r="H4241" t="s">
        <v>15</v>
      </c>
      <c r="I4241">
        <v>4</v>
      </c>
      <c r="J4241">
        <v>16</v>
      </c>
      <c r="K4241">
        <v>3</v>
      </c>
    </row>
    <row r="4242" spans="1:11" x14ac:dyDescent="0.35">
      <c r="A4242">
        <v>4241</v>
      </c>
      <c r="B4242">
        <v>52</v>
      </c>
      <c r="C4242" t="s">
        <v>11</v>
      </c>
      <c r="D4242" t="s">
        <v>12</v>
      </c>
      <c r="E4242" t="s">
        <v>13</v>
      </c>
      <c r="F4242">
        <v>152.85</v>
      </c>
      <c r="G4242" t="s">
        <v>14</v>
      </c>
      <c r="H4242" t="s">
        <v>15</v>
      </c>
      <c r="I4242">
        <v>4.5</v>
      </c>
      <c r="J4242">
        <v>15</v>
      </c>
      <c r="K4242">
        <v>5</v>
      </c>
    </row>
    <row r="4243" spans="1:11" x14ac:dyDescent="0.35">
      <c r="A4243">
        <v>4242</v>
      </c>
      <c r="B4243">
        <v>29</v>
      </c>
      <c r="C4243" t="s">
        <v>16</v>
      </c>
      <c r="D4243" t="s">
        <v>27</v>
      </c>
      <c r="E4243" t="s">
        <v>28</v>
      </c>
      <c r="F4243">
        <v>2125.29</v>
      </c>
      <c r="G4243" t="s">
        <v>24</v>
      </c>
      <c r="H4243" t="s">
        <v>15</v>
      </c>
      <c r="I4243">
        <v>3.2</v>
      </c>
      <c r="J4243">
        <v>15</v>
      </c>
      <c r="K4243">
        <v>5</v>
      </c>
    </row>
    <row r="4244" spans="1:11" x14ac:dyDescent="0.35">
      <c r="A4244">
        <v>4243</v>
      </c>
      <c r="B4244">
        <v>58</v>
      </c>
      <c r="C4244" t="s">
        <v>16</v>
      </c>
      <c r="D4244" t="s">
        <v>17</v>
      </c>
      <c r="E4244" t="s">
        <v>48</v>
      </c>
      <c r="F4244">
        <v>123.77</v>
      </c>
      <c r="G4244" t="s">
        <v>14</v>
      </c>
      <c r="H4244" t="s">
        <v>15</v>
      </c>
      <c r="I4244">
        <v>3</v>
      </c>
      <c r="J4244">
        <v>17</v>
      </c>
      <c r="K4244">
        <v>6</v>
      </c>
    </row>
    <row r="4245" spans="1:11" x14ac:dyDescent="0.35">
      <c r="A4245">
        <v>4244</v>
      </c>
      <c r="B4245">
        <v>54</v>
      </c>
      <c r="C4245" t="s">
        <v>11</v>
      </c>
      <c r="D4245" t="s">
        <v>33</v>
      </c>
      <c r="E4245" t="s">
        <v>38</v>
      </c>
      <c r="F4245">
        <v>90.38</v>
      </c>
      <c r="G4245" t="s">
        <v>19</v>
      </c>
      <c r="H4245" t="s">
        <v>15</v>
      </c>
      <c r="I4245">
        <v>2.2000000000000002</v>
      </c>
      <c r="J4245">
        <v>11</v>
      </c>
      <c r="K4245">
        <v>3</v>
      </c>
    </row>
    <row r="4246" spans="1:11" x14ac:dyDescent="0.35">
      <c r="A4246">
        <v>4245</v>
      </c>
      <c r="B4246">
        <v>32</v>
      </c>
      <c r="C4246" t="s">
        <v>16</v>
      </c>
      <c r="D4246" t="s">
        <v>20</v>
      </c>
      <c r="E4246" t="s">
        <v>21</v>
      </c>
      <c r="F4246">
        <v>76.58</v>
      </c>
      <c r="G4246" t="s">
        <v>31</v>
      </c>
      <c r="H4246" t="s">
        <v>15</v>
      </c>
      <c r="I4246">
        <v>3</v>
      </c>
      <c r="J4246">
        <v>18</v>
      </c>
      <c r="K4246">
        <v>4</v>
      </c>
    </row>
    <row r="4247" spans="1:11" x14ac:dyDescent="0.35">
      <c r="A4247">
        <v>4246</v>
      </c>
      <c r="B4247">
        <v>68</v>
      </c>
      <c r="C4247" t="s">
        <v>11</v>
      </c>
      <c r="D4247" t="s">
        <v>33</v>
      </c>
      <c r="E4247" t="s">
        <v>40</v>
      </c>
      <c r="F4247">
        <v>167.65</v>
      </c>
      <c r="G4247" t="s">
        <v>31</v>
      </c>
      <c r="H4247" t="s">
        <v>15</v>
      </c>
      <c r="I4247">
        <v>4.4000000000000004</v>
      </c>
      <c r="J4247">
        <v>15</v>
      </c>
      <c r="K4247">
        <v>5</v>
      </c>
    </row>
    <row r="4248" spans="1:11" x14ac:dyDescent="0.35">
      <c r="A4248">
        <v>4247</v>
      </c>
      <c r="B4248">
        <v>29</v>
      </c>
      <c r="C4248" t="s">
        <v>16</v>
      </c>
      <c r="D4248" t="s">
        <v>20</v>
      </c>
      <c r="E4248" t="s">
        <v>36</v>
      </c>
      <c r="F4248">
        <v>140.16999999999999</v>
      </c>
      <c r="G4248" t="s">
        <v>19</v>
      </c>
      <c r="H4248" t="s">
        <v>15</v>
      </c>
      <c r="I4248">
        <v>3.1</v>
      </c>
      <c r="J4248">
        <v>14</v>
      </c>
      <c r="K4248">
        <v>2</v>
      </c>
    </row>
    <row r="4249" spans="1:11" x14ac:dyDescent="0.35">
      <c r="A4249">
        <v>4248</v>
      </c>
      <c r="B4249">
        <v>63</v>
      </c>
      <c r="C4249" t="s">
        <v>11</v>
      </c>
      <c r="D4249" t="s">
        <v>12</v>
      </c>
      <c r="E4249" t="s">
        <v>56</v>
      </c>
      <c r="F4249">
        <v>159.29</v>
      </c>
      <c r="G4249" t="s">
        <v>24</v>
      </c>
      <c r="H4249" t="s">
        <v>15</v>
      </c>
      <c r="I4249">
        <v>5</v>
      </c>
      <c r="J4249">
        <v>13</v>
      </c>
      <c r="K4249">
        <v>4</v>
      </c>
    </row>
    <row r="4250" spans="1:11" x14ac:dyDescent="0.35">
      <c r="A4250">
        <v>4249</v>
      </c>
      <c r="B4250">
        <v>51</v>
      </c>
      <c r="C4250" t="s">
        <v>11</v>
      </c>
      <c r="D4250" t="s">
        <v>41</v>
      </c>
      <c r="E4250" t="s">
        <v>45</v>
      </c>
      <c r="F4250">
        <v>182.14</v>
      </c>
      <c r="G4250" t="s">
        <v>14</v>
      </c>
      <c r="H4250" t="s">
        <v>15</v>
      </c>
      <c r="I4250">
        <v>3.3</v>
      </c>
      <c r="J4250">
        <v>18</v>
      </c>
      <c r="K4250">
        <v>4</v>
      </c>
    </row>
    <row r="4251" spans="1:11" x14ac:dyDescent="0.35">
      <c r="A4251">
        <v>4250</v>
      </c>
      <c r="B4251">
        <v>43</v>
      </c>
      <c r="C4251" t="s">
        <v>11</v>
      </c>
      <c r="D4251" t="s">
        <v>33</v>
      </c>
      <c r="E4251" t="s">
        <v>34</v>
      </c>
      <c r="F4251">
        <v>207.33</v>
      </c>
      <c r="G4251" t="s">
        <v>14</v>
      </c>
      <c r="H4251" t="s">
        <v>15</v>
      </c>
      <c r="I4251">
        <v>3.9</v>
      </c>
      <c r="J4251">
        <v>10</v>
      </c>
      <c r="K4251">
        <v>5</v>
      </c>
    </row>
    <row r="4252" spans="1:11" x14ac:dyDescent="0.35">
      <c r="A4252">
        <v>4251</v>
      </c>
      <c r="B4252">
        <v>20</v>
      </c>
      <c r="C4252" t="s">
        <v>11</v>
      </c>
      <c r="D4252" t="s">
        <v>29</v>
      </c>
      <c r="E4252" t="s">
        <v>51</v>
      </c>
      <c r="F4252">
        <v>142.55000000000001</v>
      </c>
      <c r="G4252" t="s">
        <v>14</v>
      </c>
      <c r="H4252" t="s">
        <v>15</v>
      </c>
      <c r="I4252">
        <v>3.7</v>
      </c>
      <c r="J4252">
        <v>14</v>
      </c>
      <c r="K4252">
        <v>2</v>
      </c>
    </row>
    <row r="4253" spans="1:11" x14ac:dyDescent="0.35">
      <c r="A4253">
        <v>4252</v>
      </c>
      <c r="B4253">
        <v>24</v>
      </c>
      <c r="C4253" t="s">
        <v>16</v>
      </c>
      <c r="D4253" t="s">
        <v>20</v>
      </c>
      <c r="E4253" t="s">
        <v>39</v>
      </c>
      <c r="F4253">
        <v>28.41</v>
      </c>
      <c r="G4253" t="s">
        <v>19</v>
      </c>
      <c r="H4253" t="s">
        <v>15</v>
      </c>
      <c r="I4253">
        <v>3.7</v>
      </c>
      <c r="J4253">
        <v>18</v>
      </c>
      <c r="K4253">
        <v>4</v>
      </c>
    </row>
    <row r="4254" spans="1:11" x14ac:dyDescent="0.35">
      <c r="A4254">
        <v>4253</v>
      </c>
      <c r="B4254">
        <v>22</v>
      </c>
      <c r="C4254" t="s">
        <v>11</v>
      </c>
      <c r="D4254" t="s">
        <v>22</v>
      </c>
      <c r="E4254" t="s">
        <v>52</v>
      </c>
      <c r="F4254">
        <v>53.87</v>
      </c>
      <c r="G4254" t="s">
        <v>31</v>
      </c>
      <c r="H4254" t="s">
        <v>15</v>
      </c>
      <c r="I4254">
        <v>3.7</v>
      </c>
      <c r="J4254">
        <v>9</v>
      </c>
      <c r="K4254">
        <v>2</v>
      </c>
    </row>
    <row r="4255" spans="1:11" x14ac:dyDescent="0.35">
      <c r="A4255">
        <v>4254</v>
      </c>
      <c r="B4255">
        <v>40</v>
      </c>
      <c r="C4255" t="s">
        <v>16</v>
      </c>
      <c r="D4255" t="s">
        <v>27</v>
      </c>
      <c r="E4255" t="s">
        <v>49</v>
      </c>
      <c r="F4255">
        <v>2648.55</v>
      </c>
      <c r="G4255" t="s">
        <v>14</v>
      </c>
      <c r="H4255" t="s">
        <v>15</v>
      </c>
      <c r="I4255">
        <v>5</v>
      </c>
      <c r="J4255">
        <v>16</v>
      </c>
      <c r="K4255">
        <v>8</v>
      </c>
    </row>
    <row r="4256" spans="1:11" x14ac:dyDescent="0.35">
      <c r="A4256">
        <v>4255</v>
      </c>
      <c r="B4256">
        <v>56</v>
      </c>
      <c r="C4256" t="s">
        <v>16</v>
      </c>
      <c r="D4256" t="s">
        <v>27</v>
      </c>
      <c r="E4256" t="s">
        <v>53</v>
      </c>
      <c r="F4256">
        <v>2273.5300000000002</v>
      </c>
      <c r="G4256" t="s">
        <v>31</v>
      </c>
      <c r="H4256" t="s">
        <v>15</v>
      </c>
      <c r="I4256">
        <v>3.9</v>
      </c>
      <c r="J4256">
        <v>25</v>
      </c>
      <c r="K4256">
        <v>10</v>
      </c>
    </row>
    <row r="4257" spans="1:11" x14ac:dyDescent="0.35">
      <c r="A4257">
        <v>4256</v>
      </c>
      <c r="B4257">
        <v>68</v>
      </c>
      <c r="C4257" t="s">
        <v>11</v>
      </c>
      <c r="D4257" t="s">
        <v>20</v>
      </c>
      <c r="E4257" t="s">
        <v>21</v>
      </c>
      <c r="F4257">
        <v>118.12</v>
      </c>
      <c r="G4257" t="s">
        <v>24</v>
      </c>
      <c r="H4257" t="s">
        <v>15</v>
      </c>
      <c r="I4257">
        <v>3.3</v>
      </c>
      <c r="J4257">
        <v>22</v>
      </c>
      <c r="K4257">
        <v>6</v>
      </c>
    </row>
    <row r="4258" spans="1:11" x14ac:dyDescent="0.35">
      <c r="A4258">
        <v>4257</v>
      </c>
      <c r="B4258">
        <v>39</v>
      </c>
      <c r="C4258" t="s">
        <v>11</v>
      </c>
      <c r="D4258" t="s">
        <v>33</v>
      </c>
      <c r="E4258" t="s">
        <v>38</v>
      </c>
      <c r="F4258">
        <v>226.03</v>
      </c>
      <c r="G4258" t="s">
        <v>24</v>
      </c>
      <c r="H4258" t="s">
        <v>15</v>
      </c>
      <c r="I4258">
        <v>3.8</v>
      </c>
      <c r="J4258">
        <v>20</v>
      </c>
      <c r="K4258">
        <v>5</v>
      </c>
    </row>
    <row r="4259" spans="1:11" x14ac:dyDescent="0.35">
      <c r="A4259">
        <v>4258</v>
      </c>
      <c r="B4259">
        <v>45</v>
      </c>
      <c r="C4259" t="s">
        <v>11</v>
      </c>
      <c r="D4259" t="s">
        <v>41</v>
      </c>
      <c r="E4259" t="s">
        <v>45</v>
      </c>
      <c r="F4259">
        <v>78.87</v>
      </c>
      <c r="G4259" t="s">
        <v>19</v>
      </c>
      <c r="H4259" t="s">
        <v>37</v>
      </c>
      <c r="I4259">
        <v>3.7</v>
      </c>
      <c r="J4259">
        <v>18</v>
      </c>
      <c r="K4259">
        <v>4</v>
      </c>
    </row>
    <row r="4260" spans="1:11" x14ac:dyDescent="0.35">
      <c r="A4260">
        <v>4259</v>
      </c>
      <c r="B4260">
        <v>63</v>
      </c>
      <c r="C4260" t="s">
        <v>16</v>
      </c>
      <c r="D4260" t="s">
        <v>20</v>
      </c>
      <c r="E4260" t="s">
        <v>21</v>
      </c>
      <c r="F4260">
        <v>119.9</v>
      </c>
      <c r="G4260" t="s">
        <v>14</v>
      </c>
      <c r="H4260" t="s">
        <v>15</v>
      </c>
      <c r="I4260">
        <v>4.5999999999999996</v>
      </c>
      <c r="J4260">
        <v>30</v>
      </c>
      <c r="K4260">
        <v>10</v>
      </c>
    </row>
    <row r="4261" spans="1:11" x14ac:dyDescent="0.35">
      <c r="A4261">
        <v>4260</v>
      </c>
      <c r="B4261">
        <v>46</v>
      </c>
      <c r="C4261" t="s">
        <v>11</v>
      </c>
      <c r="D4261" t="s">
        <v>12</v>
      </c>
      <c r="E4261" t="s">
        <v>13</v>
      </c>
      <c r="F4261">
        <v>64.95</v>
      </c>
      <c r="G4261" t="s">
        <v>14</v>
      </c>
      <c r="H4261" t="s">
        <v>37</v>
      </c>
      <c r="I4261">
        <v>3.6</v>
      </c>
      <c r="J4261">
        <v>12</v>
      </c>
      <c r="K4261">
        <v>1</v>
      </c>
    </row>
    <row r="4262" spans="1:11" x14ac:dyDescent="0.35">
      <c r="A4262">
        <v>4261</v>
      </c>
      <c r="B4262">
        <v>34</v>
      </c>
      <c r="C4262" t="s">
        <v>16</v>
      </c>
      <c r="D4262" t="s">
        <v>33</v>
      </c>
      <c r="E4262" t="s">
        <v>38</v>
      </c>
      <c r="F4262">
        <v>103.26</v>
      </c>
      <c r="G4262" t="s">
        <v>24</v>
      </c>
      <c r="H4262" t="s">
        <v>15</v>
      </c>
      <c r="I4262">
        <v>5</v>
      </c>
      <c r="J4262">
        <v>15</v>
      </c>
      <c r="K4262">
        <v>5</v>
      </c>
    </row>
    <row r="4263" spans="1:11" x14ac:dyDescent="0.35">
      <c r="A4263">
        <v>4262</v>
      </c>
      <c r="B4263">
        <v>69</v>
      </c>
      <c r="C4263" t="s">
        <v>16</v>
      </c>
      <c r="D4263" t="s">
        <v>27</v>
      </c>
      <c r="E4263" t="s">
        <v>53</v>
      </c>
      <c r="F4263">
        <v>1019.98</v>
      </c>
      <c r="G4263" t="s">
        <v>19</v>
      </c>
      <c r="H4263" t="s">
        <v>15</v>
      </c>
      <c r="I4263">
        <v>4.5</v>
      </c>
      <c r="J4263">
        <v>18</v>
      </c>
      <c r="K4263">
        <v>4</v>
      </c>
    </row>
    <row r="4264" spans="1:11" x14ac:dyDescent="0.35">
      <c r="A4264">
        <v>4263</v>
      </c>
      <c r="B4264">
        <v>48</v>
      </c>
      <c r="C4264" t="s">
        <v>11</v>
      </c>
      <c r="D4264" t="s">
        <v>12</v>
      </c>
      <c r="E4264" t="s">
        <v>50</v>
      </c>
      <c r="F4264">
        <v>177.11</v>
      </c>
      <c r="G4264" t="s">
        <v>14</v>
      </c>
      <c r="H4264" t="s">
        <v>15</v>
      </c>
      <c r="I4264">
        <v>4.7</v>
      </c>
      <c r="J4264">
        <v>6</v>
      </c>
      <c r="K4264">
        <v>3</v>
      </c>
    </row>
    <row r="4265" spans="1:11" x14ac:dyDescent="0.35">
      <c r="A4265">
        <v>4264</v>
      </c>
      <c r="B4265">
        <v>68</v>
      </c>
      <c r="C4265" t="s">
        <v>11</v>
      </c>
      <c r="D4265" t="s">
        <v>41</v>
      </c>
      <c r="E4265" t="s">
        <v>45</v>
      </c>
      <c r="F4265">
        <v>102.76</v>
      </c>
      <c r="G4265" t="s">
        <v>19</v>
      </c>
      <c r="H4265" t="s">
        <v>15</v>
      </c>
      <c r="I4265">
        <v>3.5</v>
      </c>
      <c r="J4265">
        <v>17</v>
      </c>
      <c r="K4265">
        <v>6</v>
      </c>
    </row>
    <row r="4266" spans="1:11" x14ac:dyDescent="0.35">
      <c r="A4266">
        <v>4265</v>
      </c>
      <c r="B4266">
        <v>58</v>
      </c>
      <c r="C4266" t="s">
        <v>16</v>
      </c>
      <c r="D4266" t="s">
        <v>17</v>
      </c>
      <c r="E4266" t="s">
        <v>35</v>
      </c>
      <c r="F4266">
        <v>115.46</v>
      </c>
      <c r="G4266" t="s">
        <v>19</v>
      </c>
      <c r="H4266" t="s">
        <v>15</v>
      </c>
      <c r="I4266">
        <v>5</v>
      </c>
      <c r="J4266">
        <v>14</v>
      </c>
      <c r="K4266">
        <v>7</v>
      </c>
    </row>
    <row r="4267" spans="1:11" x14ac:dyDescent="0.35">
      <c r="A4267">
        <v>4266</v>
      </c>
      <c r="B4267">
        <v>23</v>
      </c>
      <c r="C4267" t="s">
        <v>16</v>
      </c>
      <c r="D4267" t="s">
        <v>17</v>
      </c>
      <c r="E4267" t="s">
        <v>48</v>
      </c>
      <c r="F4267">
        <v>180.94</v>
      </c>
      <c r="G4267" t="s">
        <v>31</v>
      </c>
      <c r="H4267" t="s">
        <v>15</v>
      </c>
      <c r="I4267">
        <v>3.9</v>
      </c>
      <c r="J4267">
        <v>14</v>
      </c>
      <c r="K4267">
        <v>7</v>
      </c>
    </row>
    <row r="4268" spans="1:11" x14ac:dyDescent="0.35">
      <c r="A4268">
        <v>4267</v>
      </c>
      <c r="B4268">
        <v>62</v>
      </c>
      <c r="C4268" t="s">
        <v>11</v>
      </c>
      <c r="D4268" t="s">
        <v>12</v>
      </c>
      <c r="E4268" t="s">
        <v>56</v>
      </c>
      <c r="F4268">
        <v>155.55000000000001</v>
      </c>
      <c r="G4268" t="s">
        <v>14</v>
      </c>
      <c r="H4268" t="s">
        <v>15</v>
      </c>
      <c r="I4268">
        <v>3.9</v>
      </c>
      <c r="J4268">
        <v>22</v>
      </c>
      <c r="K4268">
        <v>6</v>
      </c>
    </row>
    <row r="4269" spans="1:11" x14ac:dyDescent="0.35">
      <c r="A4269">
        <v>4268</v>
      </c>
      <c r="B4269">
        <v>41</v>
      </c>
      <c r="C4269" t="s">
        <v>11</v>
      </c>
      <c r="D4269" t="s">
        <v>25</v>
      </c>
      <c r="E4269" t="s">
        <v>57</v>
      </c>
      <c r="F4269">
        <v>8.82</v>
      </c>
      <c r="G4269" t="s">
        <v>24</v>
      </c>
      <c r="H4269" t="s">
        <v>37</v>
      </c>
      <c r="I4269">
        <v>3.6</v>
      </c>
      <c r="J4269">
        <v>6</v>
      </c>
      <c r="K4269">
        <v>3</v>
      </c>
    </row>
    <row r="4270" spans="1:11" x14ac:dyDescent="0.35">
      <c r="A4270">
        <v>4269</v>
      </c>
      <c r="B4270">
        <v>38</v>
      </c>
      <c r="C4270" t="s">
        <v>11</v>
      </c>
      <c r="D4270" t="s">
        <v>41</v>
      </c>
      <c r="E4270" t="s">
        <v>44</v>
      </c>
      <c r="F4270">
        <v>87.41</v>
      </c>
      <c r="G4270" t="s">
        <v>19</v>
      </c>
      <c r="H4270" t="s">
        <v>15</v>
      </c>
      <c r="I4270">
        <v>3.8</v>
      </c>
      <c r="J4270">
        <v>2</v>
      </c>
      <c r="K4270">
        <v>1</v>
      </c>
    </row>
    <row r="4271" spans="1:11" x14ac:dyDescent="0.35">
      <c r="A4271">
        <v>4270</v>
      </c>
      <c r="B4271">
        <v>48</v>
      </c>
      <c r="C4271" t="s">
        <v>16</v>
      </c>
      <c r="D4271" t="s">
        <v>20</v>
      </c>
      <c r="E4271" t="s">
        <v>21</v>
      </c>
      <c r="F4271">
        <v>134.24</v>
      </c>
      <c r="G4271" t="s">
        <v>14</v>
      </c>
      <c r="H4271" t="s">
        <v>15</v>
      </c>
      <c r="I4271">
        <v>2.7</v>
      </c>
      <c r="J4271">
        <v>14</v>
      </c>
      <c r="K4271">
        <v>7</v>
      </c>
    </row>
    <row r="4272" spans="1:11" x14ac:dyDescent="0.35">
      <c r="A4272">
        <v>4271</v>
      </c>
      <c r="B4272">
        <v>48</v>
      </c>
      <c r="C4272" t="s">
        <v>11</v>
      </c>
      <c r="D4272" t="s">
        <v>29</v>
      </c>
      <c r="E4272" t="s">
        <v>30</v>
      </c>
      <c r="F4272">
        <v>101.02</v>
      </c>
      <c r="G4272" t="s">
        <v>31</v>
      </c>
      <c r="H4272" t="s">
        <v>15</v>
      </c>
      <c r="I4272">
        <v>4</v>
      </c>
      <c r="J4272">
        <v>22</v>
      </c>
      <c r="K4272">
        <v>6</v>
      </c>
    </row>
    <row r="4273" spans="1:11" x14ac:dyDescent="0.35">
      <c r="A4273">
        <v>4272</v>
      </c>
      <c r="B4273">
        <v>27</v>
      </c>
      <c r="C4273" t="s">
        <v>11</v>
      </c>
      <c r="D4273" t="s">
        <v>20</v>
      </c>
      <c r="E4273" t="s">
        <v>39</v>
      </c>
      <c r="F4273">
        <v>83.72</v>
      </c>
      <c r="G4273" t="s">
        <v>19</v>
      </c>
      <c r="H4273" t="s">
        <v>15</v>
      </c>
      <c r="I4273">
        <v>3</v>
      </c>
      <c r="J4273">
        <v>22</v>
      </c>
      <c r="K4273">
        <v>6</v>
      </c>
    </row>
    <row r="4274" spans="1:11" x14ac:dyDescent="0.35">
      <c r="A4274">
        <v>4273</v>
      </c>
      <c r="B4274">
        <v>64</v>
      </c>
      <c r="C4274" t="s">
        <v>16</v>
      </c>
      <c r="D4274" t="s">
        <v>17</v>
      </c>
      <c r="E4274" t="s">
        <v>48</v>
      </c>
      <c r="F4274">
        <v>71.42</v>
      </c>
      <c r="G4274" t="s">
        <v>19</v>
      </c>
      <c r="H4274" t="s">
        <v>37</v>
      </c>
      <c r="I4274">
        <v>2.8</v>
      </c>
      <c r="J4274">
        <v>10</v>
      </c>
      <c r="K4274">
        <v>5</v>
      </c>
    </row>
    <row r="4275" spans="1:11" x14ac:dyDescent="0.35">
      <c r="A4275">
        <v>4274</v>
      </c>
      <c r="B4275">
        <v>62</v>
      </c>
      <c r="C4275" t="s">
        <v>11</v>
      </c>
      <c r="D4275" t="s">
        <v>41</v>
      </c>
      <c r="E4275" t="s">
        <v>44</v>
      </c>
      <c r="F4275">
        <v>89.76</v>
      </c>
      <c r="G4275" t="s">
        <v>14</v>
      </c>
      <c r="H4275" t="s">
        <v>15</v>
      </c>
      <c r="I4275">
        <v>4.5999999999999996</v>
      </c>
      <c r="J4275">
        <v>28</v>
      </c>
      <c r="K4275">
        <v>9</v>
      </c>
    </row>
    <row r="4276" spans="1:11" x14ac:dyDescent="0.35">
      <c r="A4276">
        <v>4275</v>
      </c>
      <c r="B4276">
        <v>46</v>
      </c>
      <c r="C4276" t="s">
        <v>16</v>
      </c>
      <c r="D4276" t="s">
        <v>27</v>
      </c>
      <c r="E4276" t="s">
        <v>28</v>
      </c>
      <c r="F4276">
        <v>683.7</v>
      </c>
      <c r="G4276" t="s">
        <v>19</v>
      </c>
      <c r="H4276" t="s">
        <v>15</v>
      </c>
      <c r="I4276">
        <v>3.8</v>
      </c>
      <c r="J4276">
        <v>26</v>
      </c>
      <c r="K4276">
        <v>8</v>
      </c>
    </row>
    <row r="4277" spans="1:11" x14ac:dyDescent="0.35">
      <c r="A4277">
        <v>4276</v>
      </c>
      <c r="B4277">
        <v>58</v>
      </c>
      <c r="C4277" t="s">
        <v>16</v>
      </c>
      <c r="D4277" t="s">
        <v>20</v>
      </c>
      <c r="E4277" t="s">
        <v>39</v>
      </c>
      <c r="F4277">
        <v>151.74</v>
      </c>
      <c r="G4277" t="s">
        <v>14</v>
      </c>
      <c r="H4277" t="s">
        <v>15</v>
      </c>
      <c r="I4277">
        <v>4.4000000000000004</v>
      </c>
      <c r="J4277">
        <v>16</v>
      </c>
      <c r="K4277">
        <v>8</v>
      </c>
    </row>
    <row r="4278" spans="1:11" x14ac:dyDescent="0.35">
      <c r="A4278">
        <v>4277</v>
      </c>
      <c r="B4278">
        <v>58</v>
      </c>
      <c r="C4278" t="s">
        <v>16</v>
      </c>
      <c r="D4278" t="s">
        <v>33</v>
      </c>
      <c r="E4278" t="s">
        <v>40</v>
      </c>
      <c r="F4278">
        <v>72.22</v>
      </c>
      <c r="G4278" t="s">
        <v>24</v>
      </c>
      <c r="H4278" t="s">
        <v>15</v>
      </c>
      <c r="I4278">
        <v>2.6</v>
      </c>
      <c r="J4278">
        <v>16</v>
      </c>
      <c r="K4278">
        <v>8</v>
      </c>
    </row>
    <row r="4279" spans="1:11" x14ac:dyDescent="0.35">
      <c r="A4279">
        <v>4278</v>
      </c>
      <c r="B4279">
        <v>25</v>
      </c>
      <c r="C4279" t="s">
        <v>16</v>
      </c>
      <c r="D4279" t="s">
        <v>25</v>
      </c>
      <c r="E4279" t="s">
        <v>26</v>
      </c>
      <c r="F4279">
        <v>53.37</v>
      </c>
      <c r="G4279" t="s">
        <v>14</v>
      </c>
      <c r="H4279" t="s">
        <v>37</v>
      </c>
      <c r="I4279">
        <v>3.5</v>
      </c>
      <c r="J4279">
        <v>26</v>
      </c>
      <c r="K4279">
        <v>8</v>
      </c>
    </row>
    <row r="4280" spans="1:11" x14ac:dyDescent="0.35">
      <c r="A4280">
        <v>4279</v>
      </c>
      <c r="B4280">
        <v>49</v>
      </c>
      <c r="C4280" t="s">
        <v>16</v>
      </c>
      <c r="D4280" t="s">
        <v>20</v>
      </c>
      <c r="E4280" t="s">
        <v>36</v>
      </c>
      <c r="F4280">
        <v>33.07</v>
      </c>
      <c r="G4280" t="s">
        <v>24</v>
      </c>
      <c r="H4280" t="s">
        <v>15</v>
      </c>
      <c r="I4280">
        <v>2.9</v>
      </c>
      <c r="J4280">
        <v>22</v>
      </c>
      <c r="K4280">
        <v>6</v>
      </c>
    </row>
    <row r="4281" spans="1:11" x14ac:dyDescent="0.35">
      <c r="A4281">
        <v>4280</v>
      </c>
      <c r="B4281">
        <v>33</v>
      </c>
      <c r="C4281" t="s">
        <v>11</v>
      </c>
      <c r="D4281" t="s">
        <v>12</v>
      </c>
      <c r="E4281" t="s">
        <v>50</v>
      </c>
      <c r="F4281">
        <v>61.92</v>
      </c>
      <c r="G4281" t="s">
        <v>19</v>
      </c>
      <c r="H4281" t="s">
        <v>37</v>
      </c>
      <c r="I4281">
        <v>4.2</v>
      </c>
      <c r="J4281">
        <v>28</v>
      </c>
      <c r="K4281">
        <v>9</v>
      </c>
    </row>
    <row r="4282" spans="1:11" x14ac:dyDescent="0.35">
      <c r="A4282">
        <v>4281</v>
      </c>
      <c r="B4282">
        <v>43</v>
      </c>
      <c r="C4282" t="s">
        <v>16</v>
      </c>
      <c r="D4282" t="s">
        <v>20</v>
      </c>
      <c r="E4282" t="s">
        <v>39</v>
      </c>
      <c r="F4282">
        <v>88.84</v>
      </c>
      <c r="G4282" t="s">
        <v>14</v>
      </c>
      <c r="H4282" t="s">
        <v>15</v>
      </c>
      <c r="I4282">
        <v>3.5</v>
      </c>
      <c r="J4282">
        <v>16</v>
      </c>
      <c r="K4282">
        <v>8</v>
      </c>
    </row>
    <row r="4283" spans="1:11" x14ac:dyDescent="0.35">
      <c r="A4283">
        <v>4282</v>
      </c>
      <c r="B4283">
        <v>46</v>
      </c>
      <c r="C4283" t="s">
        <v>11</v>
      </c>
      <c r="D4283" t="s">
        <v>33</v>
      </c>
      <c r="E4283" t="s">
        <v>40</v>
      </c>
      <c r="F4283">
        <v>213.67</v>
      </c>
      <c r="G4283" t="s">
        <v>31</v>
      </c>
      <c r="H4283" t="s">
        <v>15</v>
      </c>
      <c r="I4283">
        <v>3.8</v>
      </c>
      <c r="J4283">
        <v>13</v>
      </c>
      <c r="K4283">
        <v>4</v>
      </c>
    </row>
    <row r="4284" spans="1:11" x14ac:dyDescent="0.35">
      <c r="A4284">
        <v>4283</v>
      </c>
      <c r="B4284">
        <v>32</v>
      </c>
      <c r="C4284" t="s">
        <v>16</v>
      </c>
      <c r="D4284" t="s">
        <v>27</v>
      </c>
      <c r="E4284" t="s">
        <v>32</v>
      </c>
      <c r="F4284">
        <v>744.74</v>
      </c>
      <c r="G4284" t="s">
        <v>24</v>
      </c>
      <c r="H4284" t="s">
        <v>15</v>
      </c>
      <c r="I4284">
        <v>2.9</v>
      </c>
      <c r="J4284">
        <v>4</v>
      </c>
      <c r="K4284">
        <v>2</v>
      </c>
    </row>
    <row r="4285" spans="1:11" x14ac:dyDescent="0.35">
      <c r="A4285">
        <v>4284</v>
      </c>
      <c r="B4285">
        <v>64</v>
      </c>
      <c r="C4285" t="s">
        <v>11</v>
      </c>
      <c r="D4285" t="s">
        <v>41</v>
      </c>
      <c r="E4285" t="s">
        <v>42</v>
      </c>
      <c r="F4285">
        <v>199.4</v>
      </c>
      <c r="G4285" t="s">
        <v>19</v>
      </c>
      <c r="H4285" t="s">
        <v>15</v>
      </c>
      <c r="I4285">
        <v>3.2</v>
      </c>
      <c r="J4285">
        <v>11</v>
      </c>
      <c r="K4285">
        <v>3</v>
      </c>
    </row>
    <row r="4286" spans="1:11" x14ac:dyDescent="0.35">
      <c r="A4286">
        <v>4285</v>
      </c>
      <c r="B4286">
        <v>67</v>
      </c>
      <c r="C4286" t="s">
        <v>11</v>
      </c>
      <c r="D4286" t="s">
        <v>41</v>
      </c>
      <c r="E4286" t="s">
        <v>46</v>
      </c>
      <c r="F4286">
        <v>122.67</v>
      </c>
      <c r="G4286" t="s">
        <v>14</v>
      </c>
      <c r="H4286" t="s">
        <v>15</v>
      </c>
      <c r="I4286">
        <v>3.6</v>
      </c>
      <c r="J4286">
        <v>24</v>
      </c>
      <c r="K4286">
        <v>7</v>
      </c>
    </row>
    <row r="4287" spans="1:11" x14ac:dyDescent="0.35">
      <c r="A4287">
        <v>4286</v>
      </c>
      <c r="B4287">
        <v>56</v>
      </c>
      <c r="C4287" t="s">
        <v>11</v>
      </c>
      <c r="D4287" t="s">
        <v>41</v>
      </c>
      <c r="E4287" t="s">
        <v>42</v>
      </c>
      <c r="F4287">
        <v>81.62</v>
      </c>
      <c r="G4287" t="s">
        <v>19</v>
      </c>
      <c r="H4287" t="s">
        <v>15</v>
      </c>
      <c r="I4287">
        <v>4.0999999999999996</v>
      </c>
      <c r="J4287">
        <v>22</v>
      </c>
      <c r="K4287">
        <v>6</v>
      </c>
    </row>
    <row r="4288" spans="1:11" x14ac:dyDescent="0.35">
      <c r="A4288">
        <v>4287</v>
      </c>
      <c r="B4288">
        <v>51</v>
      </c>
      <c r="C4288" t="s">
        <v>11</v>
      </c>
      <c r="D4288" t="s">
        <v>25</v>
      </c>
      <c r="E4288" t="s">
        <v>26</v>
      </c>
      <c r="F4288">
        <v>50.86</v>
      </c>
      <c r="G4288" t="s">
        <v>31</v>
      </c>
      <c r="H4288" t="s">
        <v>37</v>
      </c>
      <c r="I4288">
        <v>3.4</v>
      </c>
      <c r="J4288">
        <v>20</v>
      </c>
      <c r="K4288">
        <v>5</v>
      </c>
    </row>
    <row r="4289" spans="1:11" x14ac:dyDescent="0.35">
      <c r="A4289">
        <v>4288</v>
      </c>
      <c r="B4289">
        <v>42</v>
      </c>
      <c r="C4289" t="s">
        <v>11</v>
      </c>
      <c r="D4289" t="s">
        <v>33</v>
      </c>
      <c r="E4289" t="s">
        <v>34</v>
      </c>
      <c r="F4289">
        <v>50.03</v>
      </c>
      <c r="G4289" t="s">
        <v>19</v>
      </c>
      <c r="H4289" t="s">
        <v>37</v>
      </c>
      <c r="I4289">
        <v>4.0999999999999996</v>
      </c>
      <c r="J4289">
        <v>12</v>
      </c>
      <c r="K4289">
        <v>6</v>
      </c>
    </row>
    <row r="4290" spans="1:11" x14ac:dyDescent="0.35">
      <c r="A4290">
        <v>4289</v>
      </c>
      <c r="B4290">
        <v>46</v>
      </c>
      <c r="C4290" t="s">
        <v>16</v>
      </c>
      <c r="D4290" t="s">
        <v>33</v>
      </c>
      <c r="E4290" t="s">
        <v>34</v>
      </c>
      <c r="F4290">
        <v>140.4</v>
      </c>
      <c r="G4290" t="s">
        <v>24</v>
      </c>
      <c r="H4290" t="s">
        <v>15</v>
      </c>
      <c r="I4290">
        <v>3.5</v>
      </c>
      <c r="J4290">
        <v>18</v>
      </c>
      <c r="K4290">
        <v>9</v>
      </c>
    </row>
    <row r="4291" spans="1:11" x14ac:dyDescent="0.35">
      <c r="A4291">
        <v>4290</v>
      </c>
      <c r="B4291">
        <v>29</v>
      </c>
      <c r="C4291" t="s">
        <v>11</v>
      </c>
      <c r="D4291" t="s">
        <v>29</v>
      </c>
      <c r="E4291" t="s">
        <v>30</v>
      </c>
      <c r="F4291">
        <v>52.2</v>
      </c>
      <c r="G4291" t="s">
        <v>24</v>
      </c>
      <c r="H4291" t="s">
        <v>15</v>
      </c>
      <c r="I4291">
        <v>4.3</v>
      </c>
      <c r="J4291">
        <v>6</v>
      </c>
      <c r="K4291">
        <v>3</v>
      </c>
    </row>
    <row r="4292" spans="1:11" x14ac:dyDescent="0.35">
      <c r="A4292">
        <v>4291</v>
      </c>
      <c r="B4292">
        <v>67</v>
      </c>
      <c r="C4292" t="s">
        <v>16</v>
      </c>
      <c r="D4292" t="s">
        <v>20</v>
      </c>
      <c r="E4292" t="s">
        <v>39</v>
      </c>
      <c r="F4292">
        <v>161.66999999999999</v>
      </c>
      <c r="G4292" t="s">
        <v>19</v>
      </c>
      <c r="H4292" t="s">
        <v>15</v>
      </c>
      <c r="I4292">
        <v>2.8</v>
      </c>
      <c r="J4292">
        <v>10</v>
      </c>
      <c r="K4292">
        <v>5</v>
      </c>
    </row>
    <row r="4293" spans="1:11" x14ac:dyDescent="0.35">
      <c r="A4293">
        <v>4292</v>
      </c>
      <c r="B4293">
        <v>61</v>
      </c>
      <c r="C4293" t="s">
        <v>16</v>
      </c>
      <c r="D4293" t="s">
        <v>20</v>
      </c>
      <c r="E4293" t="s">
        <v>39</v>
      </c>
      <c r="F4293">
        <v>116.32</v>
      </c>
      <c r="G4293" t="s">
        <v>14</v>
      </c>
      <c r="H4293" t="s">
        <v>15</v>
      </c>
      <c r="I4293">
        <v>3.6</v>
      </c>
      <c r="J4293">
        <v>16</v>
      </c>
      <c r="K4293">
        <v>3</v>
      </c>
    </row>
    <row r="4294" spans="1:11" x14ac:dyDescent="0.35">
      <c r="A4294">
        <v>4293</v>
      </c>
      <c r="B4294">
        <v>63</v>
      </c>
      <c r="C4294" t="s">
        <v>11</v>
      </c>
      <c r="D4294" t="s">
        <v>29</v>
      </c>
      <c r="E4294" t="s">
        <v>55</v>
      </c>
      <c r="F4294">
        <v>88.46</v>
      </c>
      <c r="G4294" t="s">
        <v>24</v>
      </c>
      <c r="H4294" t="s">
        <v>37</v>
      </c>
      <c r="I4294">
        <v>4.2</v>
      </c>
      <c r="J4294">
        <v>18</v>
      </c>
      <c r="K4294">
        <v>4</v>
      </c>
    </row>
    <row r="4295" spans="1:11" x14ac:dyDescent="0.35">
      <c r="A4295">
        <v>4294</v>
      </c>
      <c r="B4295">
        <v>20</v>
      </c>
      <c r="C4295" t="s">
        <v>16</v>
      </c>
      <c r="D4295" t="s">
        <v>17</v>
      </c>
      <c r="E4295" t="s">
        <v>35</v>
      </c>
      <c r="F4295">
        <v>175.64</v>
      </c>
      <c r="G4295" t="s">
        <v>31</v>
      </c>
      <c r="H4295" t="s">
        <v>15</v>
      </c>
      <c r="I4295">
        <v>4</v>
      </c>
      <c r="J4295">
        <v>21</v>
      </c>
      <c r="K4295">
        <v>8</v>
      </c>
    </row>
    <row r="4296" spans="1:11" x14ac:dyDescent="0.35">
      <c r="A4296">
        <v>4295</v>
      </c>
      <c r="B4296">
        <v>68</v>
      </c>
      <c r="C4296" t="s">
        <v>11</v>
      </c>
      <c r="D4296" t="s">
        <v>33</v>
      </c>
      <c r="E4296" t="s">
        <v>38</v>
      </c>
      <c r="F4296">
        <v>109.35</v>
      </c>
      <c r="G4296" t="s">
        <v>31</v>
      </c>
      <c r="H4296" t="s">
        <v>15</v>
      </c>
      <c r="I4296">
        <v>4.2</v>
      </c>
      <c r="J4296">
        <v>15</v>
      </c>
      <c r="K4296">
        <v>5</v>
      </c>
    </row>
    <row r="4297" spans="1:11" x14ac:dyDescent="0.35">
      <c r="A4297">
        <v>4296</v>
      </c>
      <c r="B4297">
        <v>41</v>
      </c>
      <c r="C4297" t="s">
        <v>11</v>
      </c>
      <c r="D4297" t="s">
        <v>22</v>
      </c>
      <c r="E4297" t="s">
        <v>43</v>
      </c>
      <c r="F4297">
        <v>63.09</v>
      </c>
      <c r="G4297" t="s">
        <v>14</v>
      </c>
      <c r="H4297" t="s">
        <v>15</v>
      </c>
      <c r="I4297">
        <v>4.0999999999999996</v>
      </c>
      <c r="J4297">
        <v>20</v>
      </c>
      <c r="K4297">
        <v>5</v>
      </c>
    </row>
    <row r="4298" spans="1:11" x14ac:dyDescent="0.35">
      <c r="A4298">
        <v>4297</v>
      </c>
      <c r="B4298">
        <v>66</v>
      </c>
      <c r="C4298" t="s">
        <v>16</v>
      </c>
      <c r="D4298" t="s">
        <v>17</v>
      </c>
      <c r="E4298" t="s">
        <v>35</v>
      </c>
      <c r="F4298">
        <v>177.68</v>
      </c>
      <c r="G4298" t="s">
        <v>24</v>
      </c>
      <c r="H4298" t="s">
        <v>15</v>
      </c>
      <c r="I4298">
        <v>4.5999999999999996</v>
      </c>
      <c r="J4298">
        <v>22</v>
      </c>
      <c r="K4298">
        <v>6</v>
      </c>
    </row>
    <row r="4299" spans="1:11" x14ac:dyDescent="0.35">
      <c r="A4299">
        <v>4298</v>
      </c>
      <c r="B4299">
        <v>53</v>
      </c>
      <c r="C4299" t="s">
        <v>16</v>
      </c>
      <c r="D4299" t="s">
        <v>20</v>
      </c>
      <c r="E4299" t="s">
        <v>21</v>
      </c>
      <c r="F4299">
        <v>203.97</v>
      </c>
      <c r="G4299" t="s">
        <v>19</v>
      </c>
      <c r="H4299" t="s">
        <v>15</v>
      </c>
      <c r="I4299">
        <v>3.8</v>
      </c>
      <c r="J4299">
        <v>6</v>
      </c>
      <c r="K4299">
        <v>3</v>
      </c>
    </row>
    <row r="4300" spans="1:11" x14ac:dyDescent="0.35">
      <c r="A4300">
        <v>4299</v>
      </c>
      <c r="B4300">
        <v>66</v>
      </c>
      <c r="C4300" t="s">
        <v>16</v>
      </c>
      <c r="D4300" t="s">
        <v>33</v>
      </c>
      <c r="E4300" t="s">
        <v>38</v>
      </c>
      <c r="F4300">
        <v>55.18</v>
      </c>
      <c r="G4300" t="s">
        <v>19</v>
      </c>
      <c r="H4300" t="s">
        <v>37</v>
      </c>
      <c r="I4300">
        <v>5</v>
      </c>
      <c r="J4300">
        <v>16</v>
      </c>
      <c r="K4300">
        <v>8</v>
      </c>
    </row>
    <row r="4301" spans="1:11" x14ac:dyDescent="0.35">
      <c r="A4301">
        <v>4300</v>
      </c>
      <c r="B4301">
        <v>58</v>
      </c>
      <c r="C4301" t="s">
        <v>11</v>
      </c>
      <c r="D4301" t="s">
        <v>29</v>
      </c>
      <c r="E4301" t="s">
        <v>30</v>
      </c>
      <c r="F4301">
        <v>120.91</v>
      </c>
      <c r="G4301" t="s">
        <v>24</v>
      </c>
      <c r="H4301" t="s">
        <v>15</v>
      </c>
      <c r="I4301">
        <v>4.2</v>
      </c>
      <c r="J4301">
        <v>18</v>
      </c>
      <c r="K4301">
        <v>4</v>
      </c>
    </row>
    <row r="4302" spans="1:11" x14ac:dyDescent="0.35">
      <c r="A4302">
        <v>4301</v>
      </c>
      <c r="B4302">
        <v>65</v>
      </c>
      <c r="C4302" t="s">
        <v>11</v>
      </c>
      <c r="D4302" t="s">
        <v>33</v>
      </c>
      <c r="E4302" t="s">
        <v>40</v>
      </c>
      <c r="F4302">
        <v>107.79</v>
      </c>
      <c r="G4302" t="s">
        <v>31</v>
      </c>
      <c r="H4302" t="s">
        <v>15</v>
      </c>
      <c r="I4302">
        <v>3.9</v>
      </c>
      <c r="J4302">
        <v>12</v>
      </c>
      <c r="K4302">
        <v>6</v>
      </c>
    </row>
    <row r="4303" spans="1:11" x14ac:dyDescent="0.35">
      <c r="A4303">
        <v>4302</v>
      </c>
      <c r="B4303">
        <v>22</v>
      </c>
      <c r="C4303" t="s">
        <v>11</v>
      </c>
      <c r="D4303" t="s">
        <v>29</v>
      </c>
      <c r="E4303" t="s">
        <v>55</v>
      </c>
      <c r="F4303">
        <v>88.76</v>
      </c>
      <c r="G4303" t="s">
        <v>19</v>
      </c>
      <c r="H4303" t="s">
        <v>15</v>
      </c>
      <c r="I4303">
        <v>4</v>
      </c>
      <c r="J4303">
        <v>21</v>
      </c>
      <c r="K4303">
        <v>8</v>
      </c>
    </row>
    <row r="4304" spans="1:11" x14ac:dyDescent="0.35">
      <c r="A4304">
        <v>4303</v>
      </c>
      <c r="B4304">
        <v>41</v>
      </c>
      <c r="C4304" t="s">
        <v>16</v>
      </c>
      <c r="D4304" t="s">
        <v>20</v>
      </c>
      <c r="E4304" t="s">
        <v>39</v>
      </c>
      <c r="F4304">
        <v>131.51</v>
      </c>
      <c r="G4304" t="s">
        <v>24</v>
      </c>
      <c r="H4304" t="s">
        <v>15</v>
      </c>
      <c r="I4304">
        <v>3.4</v>
      </c>
      <c r="J4304">
        <v>14</v>
      </c>
      <c r="K4304">
        <v>7</v>
      </c>
    </row>
    <row r="4305" spans="1:11" x14ac:dyDescent="0.35">
      <c r="A4305">
        <v>4304</v>
      </c>
      <c r="B4305">
        <v>54</v>
      </c>
      <c r="C4305" t="s">
        <v>16</v>
      </c>
      <c r="D4305" t="s">
        <v>22</v>
      </c>
      <c r="E4305" t="s">
        <v>52</v>
      </c>
      <c r="F4305">
        <v>58.82</v>
      </c>
      <c r="G4305" t="s">
        <v>31</v>
      </c>
      <c r="H4305" t="s">
        <v>37</v>
      </c>
      <c r="I4305">
        <v>3.8</v>
      </c>
      <c r="J4305">
        <v>23</v>
      </c>
      <c r="K4305">
        <v>9</v>
      </c>
    </row>
    <row r="4306" spans="1:11" x14ac:dyDescent="0.35">
      <c r="A4306">
        <v>4305</v>
      </c>
      <c r="B4306">
        <v>62</v>
      </c>
      <c r="C4306" t="s">
        <v>16</v>
      </c>
      <c r="D4306" t="s">
        <v>17</v>
      </c>
      <c r="E4306" t="s">
        <v>35</v>
      </c>
      <c r="F4306">
        <v>184.53</v>
      </c>
      <c r="G4306" t="s">
        <v>24</v>
      </c>
      <c r="H4306" t="s">
        <v>15</v>
      </c>
      <c r="I4306">
        <v>4.2</v>
      </c>
      <c r="J4306">
        <v>28</v>
      </c>
      <c r="K4306">
        <v>9</v>
      </c>
    </row>
    <row r="4307" spans="1:11" x14ac:dyDescent="0.35">
      <c r="A4307">
        <v>4306</v>
      </c>
      <c r="B4307">
        <v>65</v>
      </c>
      <c r="C4307" t="s">
        <v>16</v>
      </c>
      <c r="D4307" t="s">
        <v>27</v>
      </c>
      <c r="E4307" t="s">
        <v>32</v>
      </c>
      <c r="F4307">
        <v>2803.45</v>
      </c>
      <c r="G4307" t="s">
        <v>19</v>
      </c>
      <c r="H4307" t="s">
        <v>15</v>
      </c>
      <c r="I4307">
        <v>3.1</v>
      </c>
      <c r="J4307">
        <v>12</v>
      </c>
      <c r="K4307">
        <v>1</v>
      </c>
    </row>
    <row r="4308" spans="1:11" x14ac:dyDescent="0.35">
      <c r="A4308">
        <v>4307</v>
      </c>
      <c r="B4308">
        <v>54</v>
      </c>
      <c r="C4308" t="s">
        <v>11</v>
      </c>
      <c r="D4308" t="s">
        <v>12</v>
      </c>
      <c r="E4308" t="s">
        <v>56</v>
      </c>
      <c r="F4308">
        <v>91.94</v>
      </c>
      <c r="G4308" t="s">
        <v>14</v>
      </c>
      <c r="H4308" t="s">
        <v>15</v>
      </c>
      <c r="I4308">
        <v>3.6</v>
      </c>
      <c r="J4308">
        <v>16</v>
      </c>
      <c r="K4308">
        <v>3</v>
      </c>
    </row>
    <row r="4309" spans="1:11" x14ac:dyDescent="0.35">
      <c r="A4309">
        <v>4308</v>
      </c>
      <c r="B4309">
        <v>45</v>
      </c>
      <c r="C4309" t="s">
        <v>16</v>
      </c>
      <c r="D4309" t="s">
        <v>22</v>
      </c>
      <c r="E4309" t="s">
        <v>23</v>
      </c>
      <c r="F4309">
        <v>130.44999999999999</v>
      </c>
      <c r="G4309" t="s">
        <v>24</v>
      </c>
      <c r="H4309" t="s">
        <v>15</v>
      </c>
      <c r="I4309">
        <v>4.5</v>
      </c>
      <c r="J4309">
        <v>14</v>
      </c>
      <c r="K4309">
        <v>7</v>
      </c>
    </row>
    <row r="4310" spans="1:11" x14ac:dyDescent="0.35">
      <c r="A4310">
        <v>4309</v>
      </c>
      <c r="B4310">
        <v>34</v>
      </c>
      <c r="C4310" t="s">
        <v>16</v>
      </c>
      <c r="D4310" t="s">
        <v>22</v>
      </c>
      <c r="E4310" t="s">
        <v>43</v>
      </c>
      <c r="F4310">
        <v>225</v>
      </c>
      <c r="G4310" t="s">
        <v>31</v>
      </c>
      <c r="H4310" t="s">
        <v>15</v>
      </c>
      <c r="I4310">
        <v>3.2</v>
      </c>
      <c r="J4310">
        <v>14</v>
      </c>
      <c r="K4310">
        <v>2</v>
      </c>
    </row>
    <row r="4311" spans="1:11" x14ac:dyDescent="0.35">
      <c r="A4311">
        <v>4310</v>
      </c>
      <c r="B4311">
        <v>32</v>
      </c>
      <c r="C4311" t="s">
        <v>16</v>
      </c>
      <c r="D4311" t="s">
        <v>33</v>
      </c>
      <c r="E4311" t="s">
        <v>38</v>
      </c>
      <c r="F4311">
        <v>237.39</v>
      </c>
      <c r="G4311" t="s">
        <v>14</v>
      </c>
      <c r="H4311" t="s">
        <v>15</v>
      </c>
      <c r="I4311">
        <v>5</v>
      </c>
      <c r="J4311">
        <v>24</v>
      </c>
      <c r="K4311">
        <v>7</v>
      </c>
    </row>
    <row r="4312" spans="1:11" x14ac:dyDescent="0.35">
      <c r="A4312">
        <v>4311</v>
      </c>
      <c r="B4312">
        <v>52</v>
      </c>
      <c r="C4312" t="s">
        <v>11</v>
      </c>
      <c r="D4312" t="s">
        <v>12</v>
      </c>
      <c r="E4312" t="s">
        <v>50</v>
      </c>
      <c r="F4312">
        <v>36.25</v>
      </c>
      <c r="G4312" t="s">
        <v>24</v>
      </c>
      <c r="H4312" t="s">
        <v>37</v>
      </c>
      <c r="I4312">
        <v>4</v>
      </c>
      <c r="J4312">
        <v>17</v>
      </c>
      <c r="K4312">
        <v>6</v>
      </c>
    </row>
    <row r="4313" spans="1:11" x14ac:dyDescent="0.35">
      <c r="A4313">
        <v>4312</v>
      </c>
      <c r="B4313">
        <v>53</v>
      </c>
      <c r="C4313" t="s">
        <v>16</v>
      </c>
      <c r="D4313" t="s">
        <v>33</v>
      </c>
      <c r="E4313" t="s">
        <v>34</v>
      </c>
      <c r="F4313">
        <v>70.209999999999994</v>
      </c>
      <c r="G4313" t="s">
        <v>19</v>
      </c>
      <c r="H4313" t="s">
        <v>15</v>
      </c>
      <c r="I4313">
        <v>3</v>
      </c>
      <c r="J4313">
        <v>8</v>
      </c>
      <c r="K4313">
        <v>4</v>
      </c>
    </row>
    <row r="4314" spans="1:11" x14ac:dyDescent="0.35">
      <c r="A4314">
        <v>4313</v>
      </c>
      <c r="B4314">
        <v>38</v>
      </c>
      <c r="C4314" t="s">
        <v>11</v>
      </c>
      <c r="D4314" t="s">
        <v>41</v>
      </c>
      <c r="E4314" t="s">
        <v>46</v>
      </c>
      <c r="F4314">
        <v>136.24</v>
      </c>
      <c r="G4314" t="s">
        <v>24</v>
      </c>
      <c r="H4314" t="s">
        <v>15</v>
      </c>
      <c r="I4314">
        <v>3.9</v>
      </c>
      <c r="J4314">
        <v>8</v>
      </c>
      <c r="K4314">
        <v>4</v>
      </c>
    </row>
    <row r="4315" spans="1:11" x14ac:dyDescent="0.35">
      <c r="A4315">
        <v>4314</v>
      </c>
      <c r="B4315">
        <v>44</v>
      </c>
      <c r="C4315" t="s">
        <v>11</v>
      </c>
      <c r="D4315" t="s">
        <v>41</v>
      </c>
      <c r="E4315" t="s">
        <v>44</v>
      </c>
      <c r="F4315">
        <v>159.32</v>
      </c>
      <c r="G4315" t="s">
        <v>14</v>
      </c>
      <c r="H4315" t="s">
        <v>15</v>
      </c>
      <c r="I4315">
        <v>4.3</v>
      </c>
      <c r="J4315">
        <v>10</v>
      </c>
      <c r="K4315">
        <v>5</v>
      </c>
    </row>
    <row r="4316" spans="1:11" x14ac:dyDescent="0.35">
      <c r="A4316">
        <v>4315</v>
      </c>
      <c r="B4316">
        <v>27</v>
      </c>
      <c r="C4316" t="s">
        <v>16</v>
      </c>
      <c r="D4316" t="s">
        <v>22</v>
      </c>
      <c r="E4316" t="s">
        <v>23</v>
      </c>
      <c r="F4316">
        <v>105.26</v>
      </c>
      <c r="G4316" t="s">
        <v>24</v>
      </c>
      <c r="H4316" t="s">
        <v>15</v>
      </c>
      <c r="I4316">
        <v>3.7</v>
      </c>
      <c r="J4316">
        <v>15</v>
      </c>
      <c r="K4316">
        <v>5</v>
      </c>
    </row>
    <row r="4317" spans="1:11" x14ac:dyDescent="0.35">
      <c r="A4317">
        <v>4316</v>
      </c>
      <c r="B4317">
        <v>55</v>
      </c>
      <c r="C4317" t="s">
        <v>11</v>
      </c>
      <c r="D4317" t="s">
        <v>22</v>
      </c>
      <c r="E4317" t="s">
        <v>43</v>
      </c>
      <c r="F4317">
        <v>214.41</v>
      </c>
      <c r="G4317" t="s">
        <v>24</v>
      </c>
      <c r="H4317" t="s">
        <v>15</v>
      </c>
      <c r="I4317">
        <v>3.7</v>
      </c>
      <c r="J4317">
        <v>11</v>
      </c>
      <c r="K4317">
        <v>3</v>
      </c>
    </row>
    <row r="4318" spans="1:11" x14ac:dyDescent="0.35">
      <c r="A4318">
        <v>4317</v>
      </c>
      <c r="B4318">
        <v>42</v>
      </c>
      <c r="C4318" t="s">
        <v>11</v>
      </c>
      <c r="D4318" t="s">
        <v>41</v>
      </c>
      <c r="E4318" t="s">
        <v>44</v>
      </c>
      <c r="F4318">
        <v>101.15</v>
      </c>
      <c r="G4318" t="s">
        <v>14</v>
      </c>
      <c r="H4318" t="s">
        <v>15</v>
      </c>
      <c r="I4318">
        <v>2.6</v>
      </c>
      <c r="J4318">
        <v>12</v>
      </c>
      <c r="K4318">
        <v>6</v>
      </c>
    </row>
    <row r="4319" spans="1:11" x14ac:dyDescent="0.35">
      <c r="A4319">
        <v>4318</v>
      </c>
      <c r="B4319">
        <v>39</v>
      </c>
      <c r="C4319" t="s">
        <v>11</v>
      </c>
      <c r="D4319" t="s">
        <v>25</v>
      </c>
      <c r="E4319" t="s">
        <v>47</v>
      </c>
      <c r="F4319">
        <v>23.86</v>
      </c>
      <c r="G4319" t="s">
        <v>31</v>
      </c>
      <c r="H4319" t="s">
        <v>37</v>
      </c>
      <c r="I4319">
        <v>3.7</v>
      </c>
      <c r="J4319">
        <v>14</v>
      </c>
      <c r="K4319">
        <v>7</v>
      </c>
    </row>
    <row r="4320" spans="1:11" x14ac:dyDescent="0.35">
      <c r="A4320">
        <v>4319</v>
      </c>
      <c r="B4320">
        <v>38</v>
      </c>
      <c r="C4320" t="s">
        <v>16</v>
      </c>
      <c r="D4320" t="s">
        <v>33</v>
      </c>
      <c r="E4320" t="s">
        <v>40</v>
      </c>
      <c r="F4320">
        <v>206.88</v>
      </c>
      <c r="G4320" t="s">
        <v>24</v>
      </c>
      <c r="H4320" t="s">
        <v>15</v>
      </c>
      <c r="I4320">
        <v>4.5</v>
      </c>
      <c r="J4320">
        <v>23</v>
      </c>
      <c r="K4320">
        <v>9</v>
      </c>
    </row>
    <row r="4321" spans="1:11" x14ac:dyDescent="0.35">
      <c r="A4321">
        <v>4320</v>
      </c>
      <c r="B4321">
        <v>33</v>
      </c>
      <c r="C4321" t="s">
        <v>11</v>
      </c>
      <c r="D4321" t="s">
        <v>41</v>
      </c>
      <c r="E4321" t="s">
        <v>42</v>
      </c>
      <c r="F4321">
        <v>152.85</v>
      </c>
      <c r="G4321" t="s">
        <v>24</v>
      </c>
      <c r="H4321" t="s">
        <v>15</v>
      </c>
      <c r="I4321">
        <v>2.9</v>
      </c>
      <c r="J4321">
        <v>17</v>
      </c>
      <c r="K4321">
        <v>6</v>
      </c>
    </row>
    <row r="4322" spans="1:11" x14ac:dyDescent="0.35">
      <c r="A4322">
        <v>4321</v>
      </c>
      <c r="B4322">
        <v>41</v>
      </c>
      <c r="C4322" t="s">
        <v>11</v>
      </c>
      <c r="D4322" t="s">
        <v>41</v>
      </c>
      <c r="E4322" t="s">
        <v>45</v>
      </c>
      <c r="F4322">
        <v>131.57</v>
      </c>
      <c r="G4322" t="s">
        <v>31</v>
      </c>
      <c r="H4322" t="s">
        <v>15</v>
      </c>
      <c r="I4322">
        <v>5</v>
      </c>
      <c r="J4322">
        <v>9</v>
      </c>
      <c r="K4322">
        <v>2</v>
      </c>
    </row>
    <row r="4323" spans="1:11" x14ac:dyDescent="0.35">
      <c r="A4323">
        <v>4322</v>
      </c>
      <c r="B4323">
        <v>46</v>
      </c>
      <c r="C4323" t="s">
        <v>16</v>
      </c>
      <c r="D4323" t="s">
        <v>20</v>
      </c>
      <c r="E4323" t="s">
        <v>21</v>
      </c>
      <c r="F4323">
        <v>61.71</v>
      </c>
      <c r="G4323" t="s">
        <v>14</v>
      </c>
      <c r="H4323" t="s">
        <v>15</v>
      </c>
      <c r="I4323">
        <v>4.8</v>
      </c>
      <c r="J4323">
        <v>18</v>
      </c>
      <c r="K4323">
        <v>4</v>
      </c>
    </row>
    <row r="4324" spans="1:11" x14ac:dyDescent="0.35">
      <c r="A4324">
        <v>4323</v>
      </c>
      <c r="B4324">
        <v>33</v>
      </c>
      <c r="C4324" t="s">
        <v>11</v>
      </c>
      <c r="D4324" t="s">
        <v>20</v>
      </c>
      <c r="E4324" t="s">
        <v>36</v>
      </c>
      <c r="F4324">
        <v>146.32</v>
      </c>
      <c r="G4324" t="s">
        <v>14</v>
      </c>
      <c r="H4324" t="s">
        <v>15</v>
      </c>
      <c r="I4324">
        <v>3.9</v>
      </c>
      <c r="J4324">
        <v>14</v>
      </c>
      <c r="K4324">
        <v>2</v>
      </c>
    </row>
    <row r="4325" spans="1:11" x14ac:dyDescent="0.35">
      <c r="A4325">
        <v>4324</v>
      </c>
      <c r="B4325">
        <v>30</v>
      </c>
      <c r="C4325" t="s">
        <v>16</v>
      </c>
      <c r="D4325" t="s">
        <v>20</v>
      </c>
      <c r="E4325" t="s">
        <v>21</v>
      </c>
      <c r="F4325">
        <v>176.43</v>
      </c>
      <c r="G4325" t="s">
        <v>14</v>
      </c>
      <c r="H4325" t="s">
        <v>15</v>
      </c>
      <c r="I4325">
        <v>3.9</v>
      </c>
      <c r="J4325">
        <v>10</v>
      </c>
      <c r="K4325">
        <v>5</v>
      </c>
    </row>
    <row r="4326" spans="1:11" x14ac:dyDescent="0.35">
      <c r="A4326">
        <v>4325</v>
      </c>
      <c r="B4326">
        <v>40</v>
      </c>
      <c r="C4326" t="s">
        <v>16</v>
      </c>
      <c r="D4326" t="s">
        <v>33</v>
      </c>
      <c r="E4326" t="s">
        <v>40</v>
      </c>
      <c r="F4326">
        <v>180.35</v>
      </c>
      <c r="G4326" t="s">
        <v>14</v>
      </c>
      <c r="H4326" t="s">
        <v>15</v>
      </c>
      <c r="I4326">
        <v>3.5</v>
      </c>
      <c r="J4326">
        <v>10</v>
      </c>
      <c r="K4326">
        <v>5</v>
      </c>
    </row>
    <row r="4327" spans="1:11" x14ac:dyDescent="0.35">
      <c r="A4327">
        <v>4326</v>
      </c>
      <c r="B4327">
        <v>31</v>
      </c>
      <c r="C4327" t="s">
        <v>11</v>
      </c>
      <c r="D4327" t="s">
        <v>22</v>
      </c>
      <c r="E4327" t="s">
        <v>43</v>
      </c>
      <c r="F4327">
        <v>46.08</v>
      </c>
      <c r="G4327" t="s">
        <v>14</v>
      </c>
      <c r="H4327" t="s">
        <v>15</v>
      </c>
      <c r="I4327">
        <v>3</v>
      </c>
      <c r="J4327">
        <v>17</v>
      </c>
      <c r="K4327">
        <v>6</v>
      </c>
    </row>
    <row r="4328" spans="1:11" x14ac:dyDescent="0.35">
      <c r="A4328">
        <v>4327</v>
      </c>
      <c r="B4328">
        <v>52</v>
      </c>
      <c r="C4328" t="s">
        <v>11</v>
      </c>
      <c r="D4328" t="s">
        <v>29</v>
      </c>
      <c r="E4328" t="s">
        <v>51</v>
      </c>
      <c r="F4328">
        <v>89.09</v>
      </c>
      <c r="G4328" t="s">
        <v>14</v>
      </c>
      <c r="H4328" t="s">
        <v>37</v>
      </c>
      <c r="I4328">
        <v>4.4000000000000004</v>
      </c>
      <c r="J4328">
        <v>12</v>
      </c>
      <c r="K4328">
        <v>6</v>
      </c>
    </row>
    <row r="4329" spans="1:11" x14ac:dyDescent="0.35">
      <c r="A4329">
        <v>4328</v>
      </c>
      <c r="B4329">
        <v>65</v>
      </c>
      <c r="C4329" t="s">
        <v>11</v>
      </c>
      <c r="D4329" t="s">
        <v>20</v>
      </c>
      <c r="E4329" t="s">
        <v>36</v>
      </c>
      <c r="F4329">
        <v>100.42</v>
      </c>
      <c r="G4329" t="s">
        <v>14</v>
      </c>
      <c r="H4329" t="s">
        <v>15</v>
      </c>
      <c r="I4329">
        <v>3.8</v>
      </c>
      <c r="J4329">
        <v>22</v>
      </c>
      <c r="K4329">
        <v>6</v>
      </c>
    </row>
    <row r="4330" spans="1:11" x14ac:dyDescent="0.35">
      <c r="A4330">
        <v>4329</v>
      </c>
      <c r="B4330">
        <v>48</v>
      </c>
      <c r="C4330" t="s">
        <v>16</v>
      </c>
      <c r="D4330" t="s">
        <v>17</v>
      </c>
      <c r="E4330" t="s">
        <v>35</v>
      </c>
      <c r="F4330">
        <v>89.83</v>
      </c>
      <c r="G4330" t="s">
        <v>31</v>
      </c>
      <c r="H4330" t="s">
        <v>15</v>
      </c>
      <c r="I4330">
        <v>4.0999999999999996</v>
      </c>
      <c r="J4330">
        <v>20</v>
      </c>
      <c r="K4330">
        <v>5</v>
      </c>
    </row>
    <row r="4331" spans="1:11" x14ac:dyDescent="0.35">
      <c r="A4331">
        <v>4330</v>
      </c>
      <c r="B4331">
        <v>54</v>
      </c>
      <c r="C4331" t="s">
        <v>16</v>
      </c>
      <c r="D4331" t="s">
        <v>27</v>
      </c>
      <c r="E4331" t="s">
        <v>28</v>
      </c>
      <c r="F4331">
        <v>970.58</v>
      </c>
      <c r="G4331" t="s">
        <v>31</v>
      </c>
      <c r="H4331" t="s">
        <v>15</v>
      </c>
      <c r="I4331">
        <v>4.7</v>
      </c>
      <c r="J4331">
        <v>18</v>
      </c>
      <c r="K4331">
        <v>9</v>
      </c>
    </row>
    <row r="4332" spans="1:11" x14ac:dyDescent="0.35">
      <c r="A4332">
        <v>4331</v>
      </c>
      <c r="B4332">
        <v>33</v>
      </c>
      <c r="C4332" t="s">
        <v>16</v>
      </c>
      <c r="D4332" t="s">
        <v>27</v>
      </c>
      <c r="E4332" t="s">
        <v>49</v>
      </c>
      <c r="F4332">
        <v>1987.37</v>
      </c>
      <c r="G4332" t="s">
        <v>31</v>
      </c>
      <c r="H4332" t="s">
        <v>15</v>
      </c>
      <c r="I4332">
        <v>3.9</v>
      </c>
      <c r="J4332">
        <v>14</v>
      </c>
      <c r="K4332">
        <v>2</v>
      </c>
    </row>
    <row r="4333" spans="1:11" x14ac:dyDescent="0.35">
      <c r="A4333">
        <v>4332</v>
      </c>
      <c r="B4333">
        <v>56</v>
      </c>
      <c r="C4333" t="s">
        <v>16</v>
      </c>
      <c r="D4333" t="s">
        <v>27</v>
      </c>
      <c r="E4333" t="s">
        <v>32</v>
      </c>
      <c r="F4333">
        <v>2918.5</v>
      </c>
      <c r="G4333" t="s">
        <v>24</v>
      </c>
      <c r="H4333" t="s">
        <v>15</v>
      </c>
      <c r="I4333">
        <v>2.8</v>
      </c>
      <c r="J4333">
        <v>15</v>
      </c>
      <c r="K4333">
        <v>5</v>
      </c>
    </row>
    <row r="4334" spans="1:11" x14ac:dyDescent="0.35">
      <c r="A4334">
        <v>4333</v>
      </c>
      <c r="B4334">
        <v>41</v>
      </c>
      <c r="C4334" t="s">
        <v>11</v>
      </c>
      <c r="D4334" t="s">
        <v>20</v>
      </c>
      <c r="E4334" t="s">
        <v>36</v>
      </c>
      <c r="F4334">
        <v>25.82</v>
      </c>
      <c r="G4334" t="s">
        <v>31</v>
      </c>
      <c r="H4334" t="s">
        <v>15</v>
      </c>
      <c r="I4334">
        <v>4.4000000000000004</v>
      </c>
      <c r="J4334">
        <v>16</v>
      </c>
      <c r="K4334">
        <v>3</v>
      </c>
    </row>
    <row r="4335" spans="1:11" x14ac:dyDescent="0.35">
      <c r="A4335">
        <v>4334</v>
      </c>
      <c r="B4335">
        <v>65</v>
      </c>
      <c r="C4335" t="s">
        <v>16</v>
      </c>
      <c r="D4335" t="s">
        <v>33</v>
      </c>
      <c r="E4335" t="s">
        <v>34</v>
      </c>
      <c r="F4335">
        <v>72.739999999999995</v>
      </c>
      <c r="G4335" t="s">
        <v>24</v>
      </c>
      <c r="H4335" t="s">
        <v>15</v>
      </c>
      <c r="I4335">
        <v>3</v>
      </c>
      <c r="J4335">
        <v>12</v>
      </c>
      <c r="K4335">
        <v>6</v>
      </c>
    </row>
    <row r="4336" spans="1:11" x14ac:dyDescent="0.35">
      <c r="A4336">
        <v>4335</v>
      </c>
      <c r="B4336">
        <v>32</v>
      </c>
      <c r="C4336" t="s">
        <v>11</v>
      </c>
      <c r="D4336" t="s">
        <v>29</v>
      </c>
      <c r="E4336" t="s">
        <v>55</v>
      </c>
      <c r="F4336">
        <v>139.69999999999999</v>
      </c>
      <c r="G4336" t="s">
        <v>31</v>
      </c>
      <c r="H4336" t="s">
        <v>15</v>
      </c>
      <c r="I4336">
        <v>3.1</v>
      </c>
      <c r="J4336">
        <v>20</v>
      </c>
      <c r="K4336">
        <v>5</v>
      </c>
    </row>
    <row r="4337" spans="1:11" x14ac:dyDescent="0.35">
      <c r="A4337">
        <v>4336</v>
      </c>
      <c r="B4337">
        <v>49</v>
      </c>
      <c r="C4337" t="s">
        <v>11</v>
      </c>
      <c r="D4337" t="s">
        <v>33</v>
      </c>
      <c r="E4337" t="s">
        <v>34</v>
      </c>
      <c r="F4337">
        <v>59.06</v>
      </c>
      <c r="G4337" t="s">
        <v>19</v>
      </c>
      <c r="H4337" t="s">
        <v>37</v>
      </c>
      <c r="I4337">
        <v>2.9</v>
      </c>
      <c r="J4337">
        <v>14</v>
      </c>
      <c r="K4337">
        <v>7</v>
      </c>
    </row>
    <row r="4338" spans="1:11" x14ac:dyDescent="0.35">
      <c r="A4338">
        <v>4337</v>
      </c>
      <c r="B4338">
        <v>61</v>
      </c>
      <c r="C4338" t="s">
        <v>16</v>
      </c>
      <c r="D4338" t="s">
        <v>20</v>
      </c>
      <c r="E4338" t="s">
        <v>21</v>
      </c>
      <c r="F4338">
        <v>101.88</v>
      </c>
      <c r="G4338" t="s">
        <v>19</v>
      </c>
      <c r="H4338" t="s">
        <v>15</v>
      </c>
      <c r="I4338">
        <v>3.9</v>
      </c>
      <c r="J4338">
        <v>11</v>
      </c>
      <c r="K4338">
        <v>3</v>
      </c>
    </row>
    <row r="4339" spans="1:11" x14ac:dyDescent="0.35">
      <c r="A4339">
        <v>4338</v>
      </c>
      <c r="B4339">
        <v>54</v>
      </c>
      <c r="C4339" t="s">
        <v>16</v>
      </c>
      <c r="D4339" t="s">
        <v>20</v>
      </c>
      <c r="E4339" t="s">
        <v>21</v>
      </c>
      <c r="F4339">
        <v>92.18</v>
      </c>
      <c r="G4339" t="s">
        <v>19</v>
      </c>
      <c r="H4339" t="s">
        <v>15</v>
      </c>
      <c r="I4339">
        <v>3.3</v>
      </c>
      <c r="J4339">
        <v>11</v>
      </c>
      <c r="K4339">
        <v>3</v>
      </c>
    </row>
    <row r="4340" spans="1:11" x14ac:dyDescent="0.35">
      <c r="A4340">
        <v>4339</v>
      </c>
      <c r="B4340">
        <v>50</v>
      </c>
      <c r="C4340" t="s">
        <v>11</v>
      </c>
      <c r="D4340" t="s">
        <v>20</v>
      </c>
      <c r="E4340" t="s">
        <v>21</v>
      </c>
      <c r="F4340">
        <v>118.5</v>
      </c>
      <c r="G4340" t="s">
        <v>31</v>
      </c>
      <c r="H4340" t="s">
        <v>15</v>
      </c>
      <c r="I4340">
        <v>4.5999999999999996</v>
      </c>
      <c r="J4340">
        <v>20</v>
      </c>
      <c r="K4340">
        <v>10</v>
      </c>
    </row>
    <row r="4341" spans="1:11" x14ac:dyDescent="0.35">
      <c r="A4341">
        <v>4340</v>
      </c>
      <c r="B4341">
        <v>61</v>
      </c>
      <c r="C4341" t="s">
        <v>16</v>
      </c>
      <c r="D4341" t="s">
        <v>27</v>
      </c>
      <c r="E4341" t="s">
        <v>28</v>
      </c>
      <c r="F4341">
        <v>1079.3399999999999</v>
      </c>
      <c r="G4341" t="s">
        <v>14</v>
      </c>
      <c r="H4341" t="s">
        <v>15</v>
      </c>
      <c r="I4341">
        <v>3.6</v>
      </c>
      <c r="J4341">
        <v>26</v>
      </c>
      <c r="K4341">
        <v>8</v>
      </c>
    </row>
    <row r="4342" spans="1:11" x14ac:dyDescent="0.35">
      <c r="A4342">
        <v>4341</v>
      </c>
      <c r="B4342">
        <v>60</v>
      </c>
      <c r="C4342" t="s">
        <v>11</v>
      </c>
      <c r="D4342" t="s">
        <v>29</v>
      </c>
      <c r="E4342" t="s">
        <v>30</v>
      </c>
      <c r="F4342">
        <v>65.44</v>
      </c>
      <c r="G4342" t="s">
        <v>14</v>
      </c>
      <c r="H4342" t="s">
        <v>37</v>
      </c>
      <c r="I4342">
        <v>5</v>
      </c>
      <c r="J4342">
        <v>16</v>
      </c>
      <c r="K4342">
        <v>3</v>
      </c>
    </row>
    <row r="4343" spans="1:11" x14ac:dyDescent="0.35">
      <c r="A4343">
        <v>4342</v>
      </c>
      <c r="B4343">
        <v>42</v>
      </c>
      <c r="C4343" t="s">
        <v>11</v>
      </c>
      <c r="D4343" t="s">
        <v>29</v>
      </c>
      <c r="E4343" t="s">
        <v>55</v>
      </c>
      <c r="F4343">
        <v>25.79</v>
      </c>
      <c r="G4343" t="s">
        <v>24</v>
      </c>
      <c r="H4343" t="s">
        <v>37</v>
      </c>
      <c r="I4343">
        <v>4</v>
      </c>
      <c r="J4343">
        <v>8</v>
      </c>
      <c r="K4343">
        <v>4</v>
      </c>
    </row>
    <row r="4344" spans="1:11" x14ac:dyDescent="0.35">
      <c r="A4344">
        <v>4343</v>
      </c>
      <c r="B4344">
        <v>45</v>
      </c>
      <c r="C4344" t="s">
        <v>11</v>
      </c>
      <c r="D4344" t="s">
        <v>33</v>
      </c>
      <c r="E4344" t="s">
        <v>38</v>
      </c>
      <c r="F4344">
        <v>50.12</v>
      </c>
      <c r="G4344" t="s">
        <v>24</v>
      </c>
      <c r="H4344" t="s">
        <v>37</v>
      </c>
      <c r="I4344">
        <v>3.3</v>
      </c>
      <c r="J4344">
        <v>9</v>
      </c>
      <c r="K4344">
        <v>2</v>
      </c>
    </row>
    <row r="4345" spans="1:11" x14ac:dyDescent="0.35">
      <c r="A4345">
        <v>4344</v>
      </c>
      <c r="B4345">
        <v>28</v>
      </c>
      <c r="C4345" t="s">
        <v>16</v>
      </c>
      <c r="D4345" t="s">
        <v>20</v>
      </c>
      <c r="E4345" t="s">
        <v>36</v>
      </c>
      <c r="F4345">
        <v>131.99</v>
      </c>
      <c r="G4345" t="s">
        <v>24</v>
      </c>
      <c r="H4345" t="s">
        <v>15</v>
      </c>
      <c r="I4345">
        <v>4</v>
      </c>
      <c r="J4345">
        <v>23</v>
      </c>
      <c r="K4345">
        <v>9</v>
      </c>
    </row>
    <row r="4346" spans="1:11" x14ac:dyDescent="0.35">
      <c r="A4346">
        <v>4345</v>
      </c>
      <c r="B4346">
        <v>53</v>
      </c>
      <c r="C4346" t="s">
        <v>11</v>
      </c>
      <c r="D4346" t="s">
        <v>33</v>
      </c>
      <c r="E4346" t="s">
        <v>38</v>
      </c>
      <c r="F4346">
        <v>56.27</v>
      </c>
      <c r="G4346" t="s">
        <v>19</v>
      </c>
      <c r="H4346" t="s">
        <v>37</v>
      </c>
      <c r="I4346">
        <v>3.3</v>
      </c>
      <c r="J4346">
        <v>16</v>
      </c>
      <c r="K4346">
        <v>8</v>
      </c>
    </row>
    <row r="4347" spans="1:11" x14ac:dyDescent="0.35">
      <c r="A4347">
        <v>4346</v>
      </c>
      <c r="B4347">
        <v>59</v>
      </c>
      <c r="C4347" t="s">
        <v>16</v>
      </c>
      <c r="D4347" t="s">
        <v>27</v>
      </c>
      <c r="E4347" t="s">
        <v>49</v>
      </c>
      <c r="F4347">
        <v>639.16999999999996</v>
      </c>
      <c r="G4347" t="s">
        <v>24</v>
      </c>
      <c r="H4347" t="s">
        <v>15</v>
      </c>
      <c r="I4347">
        <v>3.9</v>
      </c>
      <c r="J4347">
        <v>16</v>
      </c>
      <c r="K4347">
        <v>8</v>
      </c>
    </row>
    <row r="4348" spans="1:11" x14ac:dyDescent="0.35">
      <c r="A4348">
        <v>4347</v>
      </c>
      <c r="B4348">
        <v>42</v>
      </c>
      <c r="C4348" t="s">
        <v>11</v>
      </c>
      <c r="D4348" t="s">
        <v>33</v>
      </c>
      <c r="E4348" t="s">
        <v>34</v>
      </c>
      <c r="F4348">
        <v>56.5</v>
      </c>
      <c r="G4348" t="s">
        <v>19</v>
      </c>
      <c r="H4348" t="s">
        <v>15</v>
      </c>
      <c r="I4348">
        <v>4.0999999999999996</v>
      </c>
      <c r="J4348">
        <v>8</v>
      </c>
      <c r="K4348">
        <v>4</v>
      </c>
    </row>
    <row r="4349" spans="1:11" x14ac:dyDescent="0.35">
      <c r="A4349">
        <v>4348</v>
      </c>
      <c r="B4349">
        <v>69</v>
      </c>
      <c r="C4349" t="s">
        <v>11</v>
      </c>
      <c r="D4349" t="s">
        <v>20</v>
      </c>
      <c r="E4349" t="s">
        <v>21</v>
      </c>
      <c r="F4349">
        <v>49.1</v>
      </c>
      <c r="G4349" t="s">
        <v>31</v>
      </c>
      <c r="H4349" t="s">
        <v>37</v>
      </c>
      <c r="I4349">
        <v>3</v>
      </c>
      <c r="J4349">
        <v>22</v>
      </c>
      <c r="K4349">
        <v>6</v>
      </c>
    </row>
    <row r="4350" spans="1:11" x14ac:dyDescent="0.35">
      <c r="A4350">
        <v>4349</v>
      </c>
      <c r="B4350">
        <v>70</v>
      </c>
      <c r="C4350" t="s">
        <v>11</v>
      </c>
      <c r="D4350" t="s">
        <v>12</v>
      </c>
      <c r="E4350" t="s">
        <v>56</v>
      </c>
      <c r="F4350">
        <v>27.04</v>
      </c>
      <c r="G4350" t="s">
        <v>24</v>
      </c>
      <c r="H4350" t="s">
        <v>15</v>
      </c>
      <c r="I4350">
        <v>3.9</v>
      </c>
      <c r="J4350">
        <v>16</v>
      </c>
      <c r="K4350">
        <v>3</v>
      </c>
    </row>
    <row r="4351" spans="1:11" x14ac:dyDescent="0.35">
      <c r="A4351">
        <v>4350</v>
      </c>
      <c r="B4351">
        <v>69</v>
      </c>
      <c r="C4351" t="s">
        <v>16</v>
      </c>
      <c r="D4351" t="s">
        <v>33</v>
      </c>
      <c r="E4351" t="s">
        <v>40</v>
      </c>
      <c r="F4351">
        <v>116.04</v>
      </c>
      <c r="G4351" t="s">
        <v>24</v>
      </c>
      <c r="H4351" t="s">
        <v>15</v>
      </c>
      <c r="I4351">
        <v>3.3</v>
      </c>
      <c r="J4351">
        <v>17</v>
      </c>
      <c r="K4351">
        <v>6</v>
      </c>
    </row>
    <row r="4352" spans="1:11" x14ac:dyDescent="0.35">
      <c r="A4352">
        <v>4351</v>
      </c>
      <c r="B4352">
        <v>21</v>
      </c>
      <c r="C4352" t="s">
        <v>11</v>
      </c>
      <c r="D4352" t="s">
        <v>20</v>
      </c>
      <c r="E4352" t="s">
        <v>36</v>
      </c>
      <c r="F4352">
        <v>130.69999999999999</v>
      </c>
      <c r="G4352" t="s">
        <v>14</v>
      </c>
      <c r="H4352" t="s">
        <v>15</v>
      </c>
      <c r="I4352">
        <v>3.5</v>
      </c>
      <c r="J4352">
        <v>10</v>
      </c>
      <c r="K4352">
        <v>5</v>
      </c>
    </row>
    <row r="4353" spans="1:11" x14ac:dyDescent="0.35">
      <c r="A4353">
        <v>4352</v>
      </c>
      <c r="B4353">
        <v>23</v>
      </c>
      <c r="C4353" t="s">
        <v>16</v>
      </c>
      <c r="D4353" t="s">
        <v>27</v>
      </c>
      <c r="E4353" t="s">
        <v>28</v>
      </c>
      <c r="F4353">
        <v>1990.13</v>
      </c>
      <c r="G4353" t="s">
        <v>19</v>
      </c>
      <c r="H4353" t="s">
        <v>15</v>
      </c>
      <c r="I4353">
        <v>4.0999999999999996</v>
      </c>
      <c r="J4353">
        <v>10</v>
      </c>
      <c r="K4353">
        <v>0</v>
      </c>
    </row>
    <row r="4354" spans="1:11" x14ac:dyDescent="0.35">
      <c r="A4354">
        <v>4353</v>
      </c>
      <c r="B4354">
        <v>59</v>
      </c>
      <c r="C4354" t="s">
        <v>11</v>
      </c>
      <c r="D4354" t="s">
        <v>33</v>
      </c>
      <c r="E4354" t="s">
        <v>40</v>
      </c>
      <c r="F4354">
        <v>198.56</v>
      </c>
      <c r="G4354" t="s">
        <v>31</v>
      </c>
      <c r="H4354" t="s">
        <v>15</v>
      </c>
      <c r="I4354">
        <v>3.4</v>
      </c>
      <c r="J4354">
        <v>10</v>
      </c>
      <c r="K4354">
        <v>5</v>
      </c>
    </row>
    <row r="4355" spans="1:11" x14ac:dyDescent="0.35">
      <c r="A4355">
        <v>4354</v>
      </c>
      <c r="B4355">
        <v>68</v>
      </c>
      <c r="C4355" t="s">
        <v>11</v>
      </c>
      <c r="D4355" t="s">
        <v>12</v>
      </c>
      <c r="E4355" t="s">
        <v>50</v>
      </c>
      <c r="F4355">
        <v>116.6</v>
      </c>
      <c r="G4355" t="s">
        <v>24</v>
      </c>
      <c r="H4355" t="s">
        <v>15</v>
      </c>
      <c r="I4355">
        <v>3.4</v>
      </c>
      <c r="J4355">
        <v>16</v>
      </c>
      <c r="K4355">
        <v>3</v>
      </c>
    </row>
    <row r="4356" spans="1:11" x14ac:dyDescent="0.35">
      <c r="A4356">
        <v>4355</v>
      </c>
      <c r="B4356">
        <v>41</v>
      </c>
      <c r="C4356" t="s">
        <v>16</v>
      </c>
      <c r="D4356" t="s">
        <v>17</v>
      </c>
      <c r="E4356" t="s">
        <v>18</v>
      </c>
      <c r="F4356">
        <v>143.78</v>
      </c>
      <c r="G4356" t="s">
        <v>24</v>
      </c>
      <c r="H4356" t="s">
        <v>15</v>
      </c>
      <c r="I4356">
        <v>3.6</v>
      </c>
      <c r="J4356">
        <v>24</v>
      </c>
      <c r="K4356">
        <v>12</v>
      </c>
    </row>
    <row r="4357" spans="1:11" x14ac:dyDescent="0.35">
      <c r="A4357">
        <v>4356</v>
      </c>
      <c r="B4357">
        <v>22</v>
      </c>
      <c r="C4357" t="s">
        <v>16</v>
      </c>
      <c r="D4357" t="s">
        <v>33</v>
      </c>
      <c r="E4357" t="s">
        <v>34</v>
      </c>
      <c r="F4357">
        <v>72.510000000000005</v>
      </c>
      <c r="G4357" t="s">
        <v>19</v>
      </c>
      <c r="H4357" t="s">
        <v>37</v>
      </c>
      <c r="I4357">
        <v>3.7</v>
      </c>
      <c r="J4357">
        <v>11</v>
      </c>
      <c r="K4357">
        <v>3</v>
      </c>
    </row>
    <row r="4358" spans="1:11" x14ac:dyDescent="0.35">
      <c r="A4358">
        <v>4357</v>
      </c>
      <c r="B4358">
        <v>20</v>
      </c>
      <c r="C4358" t="s">
        <v>16</v>
      </c>
      <c r="D4358" t="s">
        <v>33</v>
      </c>
      <c r="E4358" t="s">
        <v>34</v>
      </c>
      <c r="F4358">
        <v>238.67</v>
      </c>
      <c r="G4358" t="s">
        <v>19</v>
      </c>
      <c r="H4358" t="s">
        <v>15</v>
      </c>
      <c r="I4358">
        <v>4.0999999999999996</v>
      </c>
      <c r="J4358">
        <v>12</v>
      </c>
      <c r="K4358">
        <v>6</v>
      </c>
    </row>
    <row r="4359" spans="1:11" x14ac:dyDescent="0.35">
      <c r="A4359">
        <v>4358</v>
      </c>
      <c r="B4359">
        <v>52</v>
      </c>
      <c r="C4359" t="s">
        <v>16</v>
      </c>
      <c r="D4359" t="s">
        <v>17</v>
      </c>
      <c r="E4359" t="s">
        <v>18</v>
      </c>
      <c r="F4359">
        <v>164.35</v>
      </c>
      <c r="G4359" t="s">
        <v>24</v>
      </c>
      <c r="H4359" t="s">
        <v>15</v>
      </c>
      <c r="I4359">
        <v>4.0999999999999996</v>
      </c>
      <c r="J4359">
        <v>4</v>
      </c>
      <c r="K4359">
        <v>2</v>
      </c>
    </row>
    <row r="4360" spans="1:11" x14ac:dyDescent="0.35">
      <c r="A4360">
        <v>4359</v>
      </c>
      <c r="B4360">
        <v>69</v>
      </c>
      <c r="C4360" t="s">
        <v>16</v>
      </c>
      <c r="D4360" t="s">
        <v>27</v>
      </c>
      <c r="E4360" t="s">
        <v>53</v>
      </c>
      <c r="F4360">
        <v>1339.11</v>
      </c>
      <c r="G4360" t="s">
        <v>14</v>
      </c>
      <c r="H4360" t="s">
        <v>15</v>
      </c>
      <c r="I4360">
        <v>3.5</v>
      </c>
      <c r="J4360">
        <v>9</v>
      </c>
      <c r="K4360">
        <v>2</v>
      </c>
    </row>
    <row r="4361" spans="1:11" x14ac:dyDescent="0.35">
      <c r="A4361">
        <v>4360</v>
      </c>
      <c r="B4361">
        <v>42</v>
      </c>
      <c r="C4361" t="s">
        <v>16</v>
      </c>
      <c r="D4361" t="s">
        <v>20</v>
      </c>
      <c r="E4361" t="s">
        <v>39</v>
      </c>
      <c r="F4361">
        <v>198.2</v>
      </c>
      <c r="G4361" t="s">
        <v>14</v>
      </c>
      <c r="H4361" t="s">
        <v>15</v>
      </c>
      <c r="I4361">
        <v>3.3</v>
      </c>
      <c r="J4361">
        <v>8</v>
      </c>
      <c r="K4361">
        <v>4</v>
      </c>
    </row>
    <row r="4362" spans="1:11" x14ac:dyDescent="0.35">
      <c r="A4362">
        <v>4361</v>
      </c>
      <c r="B4362">
        <v>37</v>
      </c>
      <c r="C4362" t="s">
        <v>16</v>
      </c>
      <c r="D4362" t="s">
        <v>25</v>
      </c>
      <c r="E4362" t="s">
        <v>54</v>
      </c>
      <c r="F4362">
        <v>62.87</v>
      </c>
      <c r="G4362" t="s">
        <v>31</v>
      </c>
      <c r="H4362" t="s">
        <v>37</v>
      </c>
      <c r="I4362">
        <v>3.5</v>
      </c>
      <c r="J4362">
        <v>14</v>
      </c>
      <c r="K4362">
        <v>7</v>
      </c>
    </row>
    <row r="4363" spans="1:11" x14ac:dyDescent="0.35">
      <c r="A4363">
        <v>4362</v>
      </c>
      <c r="B4363">
        <v>29</v>
      </c>
      <c r="C4363" t="s">
        <v>11</v>
      </c>
      <c r="D4363" t="s">
        <v>41</v>
      </c>
      <c r="E4363" t="s">
        <v>46</v>
      </c>
      <c r="F4363">
        <v>150.07</v>
      </c>
      <c r="G4363" t="s">
        <v>19</v>
      </c>
      <c r="H4363" t="s">
        <v>15</v>
      </c>
      <c r="I4363">
        <v>3.9</v>
      </c>
      <c r="J4363">
        <v>19</v>
      </c>
      <c r="K4363">
        <v>7</v>
      </c>
    </row>
    <row r="4364" spans="1:11" x14ac:dyDescent="0.35">
      <c r="A4364">
        <v>4363</v>
      </c>
      <c r="B4364">
        <v>51</v>
      </c>
      <c r="C4364" t="s">
        <v>16</v>
      </c>
      <c r="D4364" t="s">
        <v>25</v>
      </c>
      <c r="E4364" t="s">
        <v>54</v>
      </c>
      <c r="F4364">
        <v>71.540000000000006</v>
      </c>
      <c r="G4364" t="s">
        <v>24</v>
      </c>
      <c r="H4364" t="s">
        <v>37</v>
      </c>
      <c r="I4364">
        <v>3.5</v>
      </c>
      <c r="J4364">
        <v>16</v>
      </c>
      <c r="K4364">
        <v>3</v>
      </c>
    </row>
    <row r="4365" spans="1:11" x14ac:dyDescent="0.35">
      <c r="A4365">
        <v>4364</v>
      </c>
      <c r="B4365">
        <v>26</v>
      </c>
      <c r="C4365" t="s">
        <v>11</v>
      </c>
      <c r="D4365" t="s">
        <v>41</v>
      </c>
      <c r="E4365" t="s">
        <v>44</v>
      </c>
      <c r="F4365">
        <v>43.22</v>
      </c>
      <c r="G4365" t="s">
        <v>19</v>
      </c>
      <c r="H4365" t="s">
        <v>37</v>
      </c>
      <c r="I4365">
        <v>2.9</v>
      </c>
      <c r="J4365">
        <v>2</v>
      </c>
      <c r="K4365">
        <v>1</v>
      </c>
    </row>
    <row r="4366" spans="1:11" x14ac:dyDescent="0.35">
      <c r="A4366">
        <v>4365</v>
      </c>
      <c r="B4366">
        <v>49</v>
      </c>
      <c r="C4366" t="s">
        <v>16</v>
      </c>
      <c r="D4366" t="s">
        <v>33</v>
      </c>
      <c r="E4366" t="s">
        <v>38</v>
      </c>
      <c r="F4366">
        <v>173.46</v>
      </c>
      <c r="G4366" t="s">
        <v>14</v>
      </c>
      <c r="H4366" t="s">
        <v>15</v>
      </c>
      <c r="I4366">
        <v>3.8</v>
      </c>
      <c r="J4366">
        <v>22</v>
      </c>
      <c r="K4366">
        <v>6</v>
      </c>
    </row>
    <row r="4367" spans="1:11" x14ac:dyDescent="0.35">
      <c r="A4367">
        <v>4366</v>
      </c>
      <c r="B4367">
        <v>47</v>
      </c>
      <c r="C4367" t="s">
        <v>16</v>
      </c>
      <c r="D4367" t="s">
        <v>22</v>
      </c>
      <c r="E4367" t="s">
        <v>43</v>
      </c>
      <c r="F4367">
        <v>286.8</v>
      </c>
      <c r="G4367" t="s">
        <v>19</v>
      </c>
      <c r="H4367" t="s">
        <v>15</v>
      </c>
      <c r="I4367">
        <v>5</v>
      </c>
      <c r="J4367">
        <v>19</v>
      </c>
      <c r="K4367">
        <v>7</v>
      </c>
    </row>
    <row r="4368" spans="1:11" x14ac:dyDescent="0.35">
      <c r="A4368">
        <v>4367</v>
      </c>
      <c r="B4368">
        <v>30</v>
      </c>
      <c r="C4368" t="s">
        <v>16</v>
      </c>
      <c r="D4368" t="s">
        <v>17</v>
      </c>
      <c r="E4368" t="s">
        <v>48</v>
      </c>
      <c r="F4368">
        <v>83.11</v>
      </c>
      <c r="G4368" t="s">
        <v>14</v>
      </c>
      <c r="H4368" t="s">
        <v>15</v>
      </c>
      <c r="I4368">
        <v>3.6</v>
      </c>
      <c r="J4368">
        <v>14</v>
      </c>
      <c r="K4368">
        <v>2</v>
      </c>
    </row>
    <row r="4369" spans="1:11" x14ac:dyDescent="0.35">
      <c r="A4369">
        <v>4368</v>
      </c>
      <c r="B4369">
        <v>22</v>
      </c>
      <c r="C4369" t="s">
        <v>11</v>
      </c>
      <c r="D4369" t="s">
        <v>29</v>
      </c>
      <c r="E4369" t="s">
        <v>30</v>
      </c>
      <c r="F4369">
        <v>27.57</v>
      </c>
      <c r="G4369" t="s">
        <v>19</v>
      </c>
      <c r="H4369" t="s">
        <v>37</v>
      </c>
      <c r="I4369">
        <v>4.0999999999999996</v>
      </c>
      <c r="J4369">
        <v>14</v>
      </c>
      <c r="K4369">
        <v>7</v>
      </c>
    </row>
    <row r="4370" spans="1:11" x14ac:dyDescent="0.35">
      <c r="A4370">
        <v>4369</v>
      </c>
      <c r="B4370">
        <v>46</v>
      </c>
      <c r="C4370" t="s">
        <v>11</v>
      </c>
      <c r="D4370" t="s">
        <v>33</v>
      </c>
      <c r="E4370" t="s">
        <v>40</v>
      </c>
      <c r="F4370">
        <v>208.33</v>
      </c>
      <c r="G4370" t="s">
        <v>24</v>
      </c>
      <c r="H4370" t="s">
        <v>15</v>
      </c>
      <c r="I4370">
        <v>3.9</v>
      </c>
      <c r="J4370">
        <v>8</v>
      </c>
      <c r="K4370">
        <v>4</v>
      </c>
    </row>
    <row r="4371" spans="1:11" x14ac:dyDescent="0.35">
      <c r="A4371">
        <v>4370</v>
      </c>
      <c r="B4371">
        <v>57</v>
      </c>
      <c r="C4371" t="s">
        <v>11</v>
      </c>
      <c r="D4371" t="s">
        <v>41</v>
      </c>
      <c r="E4371" t="s">
        <v>46</v>
      </c>
      <c r="F4371">
        <v>43.06</v>
      </c>
      <c r="G4371" t="s">
        <v>24</v>
      </c>
      <c r="H4371" t="s">
        <v>15</v>
      </c>
      <c r="I4371">
        <v>5</v>
      </c>
      <c r="J4371">
        <v>20</v>
      </c>
      <c r="K4371">
        <v>5</v>
      </c>
    </row>
    <row r="4372" spans="1:11" x14ac:dyDescent="0.35">
      <c r="A4372">
        <v>4371</v>
      </c>
      <c r="B4372">
        <v>63</v>
      </c>
      <c r="C4372" t="s">
        <v>11</v>
      </c>
      <c r="D4372" t="s">
        <v>25</v>
      </c>
      <c r="E4372" t="s">
        <v>57</v>
      </c>
      <c r="F4372">
        <v>42.76</v>
      </c>
      <c r="G4372" t="s">
        <v>14</v>
      </c>
      <c r="H4372" t="s">
        <v>37</v>
      </c>
      <c r="I4372">
        <v>4.3</v>
      </c>
      <c r="J4372">
        <v>24</v>
      </c>
      <c r="K4372">
        <v>7</v>
      </c>
    </row>
    <row r="4373" spans="1:11" x14ac:dyDescent="0.35">
      <c r="A4373">
        <v>4372</v>
      </c>
      <c r="B4373">
        <v>54</v>
      </c>
      <c r="C4373" t="s">
        <v>16</v>
      </c>
      <c r="D4373" t="s">
        <v>17</v>
      </c>
      <c r="E4373" t="s">
        <v>48</v>
      </c>
      <c r="F4373">
        <v>80.56</v>
      </c>
      <c r="G4373" t="s">
        <v>31</v>
      </c>
      <c r="H4373" t="s">
        <v>15</v>
      </c>
      <c r="I4373">
        <v>4</v>
      </c>
      <c r="J4373">
        <v>26</v>
      </c>
      <c r="K4373">
        <v>8</v>
      </c>
    </row>
    <row r="4374" spans="1:11" x14ac:dyDescent="0.35">
      <c r="A4374">
        <v>4373</v>
      </c>
      <c r="B4374">
        <v>32</v>
      </c>
      <c r="C4374" t="s">
        <v>11</v>
      </c>
      <c r="D4374" t="s">
        <v>41</v>
      </c>
      <c r="E4374" t="s">
        <v>44</v>
      </c>
      <c r="F4374">
        <v>59.17</v>
      </c>
      <c r="G4374" t="s">
        <v>24</v>
      </c>
      <c r="H4374" t="s">
        <v>15</v>
      </c>
      <c r="I4374">
        <v>3</v>
      </c>
      <c r="J4374">
        <v>12</v>
      </c>
      <c r="K4374">
        <v>6</v>
      </c>
    </row>
    <row r="4375" spans="1:11" x14ac:dyDescent="0.35">
      <c r="A4375">
        <v>4374</v>
      </c>
      <c r="B4375">
        <v>69</v>
      </c>
      <c r="C4375" t="s">
        <v>16</v>
      </c>
      <c r="D4375" t="s">
        <v>25</v>
      </c>
      <c r="E4375" t="s">
        <v>47</v>
      </c>
      <c r="F4375">
        <v>58.67</v>
      </c>
      <c r="G4375" t="s">
        <v>24</v>
      </c>
      <c r="H4375" t="s">
        <v>37</v>
      </c>
      <c r="I4375">
        <v>4.7</v>
      </c>
      <c r="J4375">
        <v>28</v>
      </c>
      <c r="K4375">
        <v>9</v>
      </c>
    </row>
    <row r="4376" spans="1:11" x14ac:dyDescent="0.35">
      <c r="A4376">
        <v>4375</v>
      </c>
      <c r="B4376">
        <v>65</v>
      </c>
      <c r="C4376" t="s">
        <v>16</v>
      </c>
      <c r="D4376" t="s">
        <v>27</v>
      </c>
      <c r="E4376" t="s">
        <v>49</v>
      </c>
      <c r="F4376">
        <v>2600.4699999999998</v>
      </c>
      <c r="G4376" t="s">
        <v>14</v>
      </c>
      <c r="H4376" t="s">
        <v>15</v>
      </c>
      <c r="I4376">
        <v>2.1</v>
      </c>
      <c r="J4376">
        <v>13</v>
      </c>
      <c r="K4376">
        <v>4</v>
      </c>
    </row>
    <row r="4377" spans="1:11" x14ac:dyDescent="0.35">
      <c r="A4377">
        <v>4376</v>
      </c>
      <c r="B4377">
        <v>57</v>
      </c>
      <c r="C4377" t="s">
        <v>11</v>
      </c>
      <c r="D4377" t="s">
        <v>41</v>
      </c>
      <c r="E4377" t="s">
        <v>44</v>
      </c>
      <c r="F4377">
        <v>54.73</v>
      </c>
      <c r="G4377" t="s">
        <v>14</v>
      </c>
      <c r="H4377" t="s">
        <v>37</v>
      </c>
      <c r="I4377">
        <v>3.7</v>
      </c>
      <c r="J4377">
        <v>22</v>
      </c>
      <c r="K4377">
        <v>11</v>
      </c>
    </row>
    <row r="4378" spans="1:11" x14ac:dyDescent="0.35">
      <c r="A4378">
        <v>4377</v>
      </c>
      <c r="B4378">
        <v>27</v>
      </c>
      <c r="C4378" t="s">
        <v>16</v>
      </c>
      <c r="D4378" t="s">
        <v>33</v>
      </c>
      <c r="E4378" t="s">
        <v>38</v>
      </c>
      <c r="F4378">
        <v>66.290000000000006</v>
      </c>
      <c r="G4378" t="s">
        <v>14</v>
      </c>
      <c r="H4378" t="s">
        <v>37</v>
      </c>
      <c r="I4378">
        <v>3</v>
      </c>
      <c r="J4378">
        <v>11</v>
      </c>
      <c r="K4378">
        <v>3</v>
      </c>
    </row>
    <row r="4379" spans="1:11" x14ac:dyDescent="0.35">
      <c r="A4379">
        <v>4378</v>
      </c>
      <c r="B4379">
        <v>40</v>
      </c>
      <c r="C4379" t="s">
        <v>11</v>
      </c>
      <c r="D4379" t="s">
        <v>41</v>
      </c>
      <c r="E4379" t="s">
        <v>42</v>
      </c>
      <c r="F4379">
        <v>65.430000000000007</v>
      </c>
      <c r="G4379" t="s">
        <v>19</v>
      </c>
      <c r="H4379" t="s">
        <v>15</v>
      </c>
      <c r="I4379">
        <v>3.6</v>
      </c>
      <c r="J4379">
        <v>14</v>
      </c>
      <c r="K4379">
        <v>2</v>
      </c>
    </row>
    <row r="4380" spans="1:11" x14ac:dyDescent="0.35">
      <c r="A4380">
        <v>4379</v>
      </c>
      <c r="B4380">
        <v>62</v>
      </c>
      <c r="C4380" t="s">
        <v>16</v>
      </c>
      <c r="D4380" t="s">
        <v>20</v>
      </c>
      <c r="E4380" t="s">
        <v>36</v>
      </c>
      <c r="F4380">
        <v>50.26</v>
      </c>
      <c r="G4380" t="s">
        <v>24</v>
      </c>
      <c r="H4380" t="s">
        <v>37</v>
      </c>
      <c r="I4380">
        <v>2.8</v>
      </c>
      <c r="J4380">
        <v>19</v>
      </c>
      <c r="K4380">
        <v>7</v>
      </c>
    </row>
    <row r="4381" spans="1:11" x14ac:dyDescent="0.35">
      <c r="A4381">
        <v>4380</v>
      </c>
      <c r="B4381">
        <v>27</v>
      </c>
      <c r="C4381" t="s">
        <v>11</v>
      </c>
      <c r="D4381" t="s">
        <v>29</v>
      </c>
      <c r="E4381" t="s">
        <v>51</v>
      </c>
      <c r="F4381">
        <v>125.15</v>
      </c>
      <c r="G4381" t="s">
        <v>31</v>
      </c>
      <c r="H4381" t="s">
        <v>15</v>
      </c>
      <c r="I4381">
        <v>3.9</v>
      </c>
      <c r="J4381">
        <v>18</v>
      </c>
      <c r="K4381">
        <v>4</v>
      </c>
    </row>
    <row r="4382" spans="1:11" x14ac:dyDescent="0.35">
      <c r="A4382">
        <v>4381</v>
      </c>
      <c r="B4382">
        <v>62</v>
      </c>
      <c r="C4382" t="s">
        <v>16</v>
      </c>
      <c r="D4382" t="s">
        <v>33</v>
      </c>
      <c r="E4382" t="s">
        <v>40</v>
      </c>
      <c r="F4382">
        <v>166.81</v>
      </c>
      <c r="G4382" t="s">
        <v>24</v>
      </c>
      <c r="H4382" t="s">
        <v>15</v>
      </c>
      <c r="I4382">
        <v>4.5999999999999996</v>
      </c>
      <c r="J4382">
        <v>28</v>
      </c>
      <c r="K4382">
        <v>9</v>
      </c>
    </row>
    <row r="4383" spans="1:11" x14ac:dyDescent="0.35">
      <c r="A4383">
        <v>4382</v>
      </c>
      <c r="B4383">
        <v>46</v>
      </c>
      <c r="C4383" t="s">
        <v>11</v>
      </c>
      <c r="D4383" t="s">
        <v>41</v>
      </c>
      <c r="E4383" t="s">
        <v>44</v>
      </c>
      <c r="F4383">
        <v>141.44999999999999</v>
      </c>
      <c r="G4383" t="s">
        <v>31</v>
      </c>
      <c r="H4383" t="s">
        <v>15</v>
      </c>
      <c r="I4383">
        <v>5</v>
      </c>
      <c r="J4383">
        <v>14</v>
      </c>
      <c r="K4383">
        <v>7</v>
      </c>
    </row>
    <row r="4384" spans="1:11" x14ac:dyDescent="0.35">
      <c r="A4384">
        <v>4383</v>
      </c>
      <c r="B4384">
        <v>60</v>
      </c>
      <c r="C4384" t="s">
        <v>16</v>
      </c>
      <c r="D4384" t="s">
        <v>33</v>
      </c>
      <c r="E4384" t="s">
        <v>40</v>
      </c>
      <c r="F4384">
        <v>167.45</v>
      </c>
      <c r="G4384" t="s">
        <v>19</v>
      </c>
      <c r="H4384" t="s">
        <v>15</v>
      </c>
      <c r="I4384">
        <v>4.4000000000000004</v>
      </c>
      <c r="J4384">
        <v>5</v>
      </c>
      <c r="K4384">
        <v>0</v>
      </c>
    </row>
    <row r="4385" spans="1:11" x14ac:dyDescent="0.35">
      <c r="A4385">
        <v>4384</v>
      </c>
      <c r="B4385">
        <v>62</v>
      </c>
      <c r="C4385" t="s">
        <v>16</v>
      </c>
      <c r="D4385" t="s">
        <v>33</v>
      </c>
      <c r="E4385" t="s">
        <v>34</v>
      </c>
      <c r="F4385">
        <v>151.56</v>
      </c>
      <c r="G4385" t="s">
        <v>19</v>
      </c>
      <c r="H4385" t="s">
        <v>15</v>
      </c>
      <c r="I4385">
        <v>4.0999999999999996</v>
      </c>
      <c r="J4385">
        <v>13</v>
      </c>
      <c r="K4385">
        <v>4</v>
      </c>
    </row>
    <row r="4386" spans="1:11" x14ac:dyDescent="0.35">
      <c r="A4386">
        <v>4385</v>
      </c>
      <c r="B4386">
        <v>49</v>
      </c>
      <c r="C4386" t="s">
        <v>16</v>
      </c>
      <c r="D4386" t="s">
        <v>17</v>
      </c>
      <c r="E4386" t="s">
        <v>35</v>
      </c>
      <c r="F4386">
        <v>49.58</v>
      </c>
      <c r="G4386" t="s">
        <v>14</v>
      </c>
      <c r="H4386" t="s">
        <v>37</v>
      </c>
      <c r="I4386">
        <v>4.5999999999999996</v>
      </c>
      <c r="J4386">
        <v>21</v>
      </c>
      <c r="K4386">
        <v>8</v>
      </c>
    </row>
    <row r="4387" spans="1:11" x14ac:dyDescent="0.35">
      <c r="A4387">
        <v>4386</v>
      </c>
      <c r="B4387">
        <v>21</v>
      </c>
      <c r="C4387" t="s">
        <v>11</v>
      </c>
      <c r="D4387" t="s">
        <v>33</v>
      </c>
      <c r="E4387" t="s">
        <v>34</v>
      </c>
      <c r="F4387">
        <v>170.32</v>
      </c>
      <c r="G4387" t="s">
        <v>19</v>
      </c>
      <c r="H4387" t="s">
        <v>15</v>
      </c>
      <c r="I4387">
        <v>4.8</v>
      </c>
      <c r="J4387">
        <v>21</v>
      </c>
      <c r="K4387">
        <v>8</v>
      </c>
    </row>
    <row r="4388" spans="1:11" x14ac:dyDescent="0.35">
      <c r="A4388">
        <v>4387</v>
      </c>
      <c r="B4388">
        <v>25</v>
      </c>
      <c r="C4388" t="s">
        <v>11</v>
      </c>
      <c r="D4388" t="s">
        <v>12</v>
      </c>
      <c r="E4388" t="s">
        <v>50</v>
      </c>
      <c r="F4388">
        <v>30.47</v>
      </c>
      <c r="G4388" t="s">
        <v>24</v>
      </c>
      <c r="H4388" t="s">
        <v>15</v>
      </c>
      <c r="I4388">
        <v>4.5</v>
      </c>
      <c r="J4388">
        <v>20</v>
      </c>
      <c r="K4388">
        <v>5</v>
      </c>
    </row>
    <row r="4389" spans="1:11" x14ac:dyDescent="0.35">
      <c r="A4389">
        <v>4388</v>
      </c>
      <c r="B4389">
        <v>50</v>
      </c>
      <c r="C4389" t="s">
        <v>16</v>
      </c>
      <c r="D4389" t="s">
        <v>25</v>
      </c>
      <c r="E4389" t="s">
        <v>47</v>
      </c>
      <c r="F4389">
        <v>10.5</v>
      </c>
      <c r="G4389" t="s">
        <v>24</v>
      </c>
      <c r="H4389" t="s">
        <v>37</v>
      </c>
      <c r="I4389">
        <v>4.5</v>
      </c>
      <c r="J4389">
        <v>26</v>
      </c>
      <c r="K4389">
        <v>8</v>
      </c>
    </row>
    <row r="4390" spans="1:11" x14ac:dyDescent="0.35">
      <c r="A4390">
        <v>4389</v>
      </c>
      <c r="B4390">
        <v>63</v>
      </c>
      <c r="C4390" t="s">
        <v>16</v>
      </c>
      <c r="D4390" t="s">
        <v>27</v>
      </c>
      <c r="E4390" t="s">
        <v>53</v>
      </c>
      <c r="F4390">
        <v>2558.44</v>
      </c>
      <c r="G4390" t="s">
        <v>19</v>
      </c>
      <c r="H4390" t="s">
        <v>15</v>
      </c>
      <c r="I4390">
        <v>4.2</v>
      </c>
      <c r="J4390">
        <v>6</v>
      </c>
      <c r="K4390">
        <v>3</v>
      </c>
    </row>
    <row r="4391" spans="1:11" x14ac:dyDescent="0.35">
      <c r="A4391">
        <v>4390</v>
      </c>
      <c r="B4391">
        <v>58</v>
      </c>
      <c r="C4391" t="s">
        <v>11</v>
      </c>
      <c r="D4391" t="s">
        <v>41</v>
      </c>
      <c r="E4391" t="s">
        <v>42</v>
      </c>
      <c r="F4391">
        <v>32.71</v>
      </c>
      <c r="G4391" t="s">
        <v>19</v>
      </c>
      <c r="H4391" t="s">
        <v>37</v>
      </c>
      <c r="I4391">
        <v>3.4</v>
      </c>
      <c r="J4391">
        <v>17</v>
      </c>
      <c r="K4391">
        <v>6</v>
      </c>
    </row>
    <row r="4392" spans="1:11" x14ac:dyDescent="0.35">
      <c r="A4392">
        <v>4391</v>
      </c>
      <c r="B4392">
        <v>25</v>
      </c>
      <c r="C4392" t="s">
        <v>16</v>
      </c>
      <c r="D4392" t="s">
        <v>20</v>
      </c>
      <c r="E4392" t="s">
        <v>21</v>
      </c>
      <c r="F4392">
        <v>203.65</v>
      </c>
      <c r="G4392" t="s">
        <v>31</v>
      </c>
      <c r="H4392" t="s">
        <v>15</v>
      </c>
      <c r="I4392">
        <v>4.7</v>
      </c>
      <c r="J4392">
        <v>26</v>
      </c>
      <c r="K4392">
        <v>13</v>
      </c>
    </row>
    <row r="4393" spans="1:11" x14ac:dyDescent="0.35">
      <c r="A4393">
        <v>4392</v>
      </c>
      <c r="B4393">
        <v>66</v>
      </c>
      <c r="C4393" t="s">
        <v>11</v>
      </c>
      <c r="D4393" t="s">
        <v>22</v>
      </c>
      <c r="E4393" t="s">
        <v>52</v>
      </c>
      <c r="F4393">
        <v>186.33</v>
      </c>
      <c r="G4393" t="s">
        <v>31</v>
      </c>
      <c r="H4393" t="s">
        <v>15</v>
      </c>
      <c r="I4393">
        <v>3.9</v>
      </c>
      <c r="J4393">
        <v>12</v>
      </c>
      <c r="K4393">
        <v>6</v>
      </c>
    </row>
    <row r="4394" spans="1:11" x14ac:dyDescent="0.35">
      <c r="A4394">
        <v>4393</v>
      </c>
      <c r="B4394">
        <v>63</v>
      </c>
      <c r="C4394" t="s">
        <v>11</v>
      </c>
      <c r="D4394" t="s">
        <v>20</v>
      </c>
      <c r="E4394" t="s">
        <v>36</v>
      </c>
      <c r="F4394">
        <v>154.41</v>
      </c>
      <c r="G4394" t="s">
        <v>14</v>
      </c>
      <c r="H4394" t="s">
        <v>15</v>
      </c>
      <c r="I4394">
        <v>3.5</v>
      </c>
      <c r="J4394">
        <v>16</v>
      </c>
      <c r="K4394">
        <v>3</v>
      </c>
    </row>
    <row r="4395" spans="1:11" x14ac:dyDescent="0.35">
      <c r="A4395">
        <v>4394</v>
      </c>
      <c r="B4395">
        <v>70</v>
      </c>
      <c r="C4395" t="s">
        <v>11</v>
      </c>
      <c r="D4395" t="s">
        <v>29</v>
      </c>
      <c r="E4395" t="s">
        <v>30</v>
      </c>
      <c r="F4395">
        <v>105.45</v>
      </c>
      <c r="G4395" t="s">
        <v>14</v>
      </c>
      <c r="H4395" t="s">
        <v>15</v>
      </c>
      <c r="I4395">
        <v>3.2</v>
      </c>
      <c r="J4395">
        <v>16</v>
      </c>
      <c r="K4395">
        <v>3</v>
      </c>
    </row>
    <row r="4396" spans="1:11" x14ac:dyDescent="0.35">
      <c r="A4396">
        <v>4395</v>
      </c>
      <c r="B4396">
        <v>28</v>
      </c>
      <c r="C4396" t="s">
        <v>11</v>
      </c>
      <c r="D4396" t="s">
        <v>25</v>
      </c>
      <c r="E4396" t="s">
        <v>26</v>
      </c>
      <c r="F4396">
        <v>71.260000000000005</v>
      </c>
      <c r="G4396" t="s">
        <v>14</v>
      </c>
      <c r="H4396" t="s">
        <v>15</v>
      </c>
      <c r="I4396">
        <v>3.6</v>
      </c>
      <c r="J4396">
        <v>11</v>
      </c>
      <c r="K4396">
        <v>3</v>
      </c>
    </row>
    <row r="4397" spans="1:11" x14ac:dyDescent="0.35">
      <c r="A4397">
        <v>4396</v>
      </c>
      <c r="B4397">
        <v>28</v>
      </c>
      <c r="C4397" t="s">
        <v>11</v>
      </c>
      <c r="D4397" t="s">
        <v>33</v>
      </c>
      <c r="E4397" t="s">
        <v>40</v>
      </c>
      <c r="F4397">
        <v>210.09</v>
      </c>
      <c r="G4397" t="s">
        <v>31</v>
      </c>
      <c r="H4397" t="s">
        <v>15</v>
      </c>
      <c r="I4397">
        <v>4.4000000000000004</v>
      </c>
      <c r="J4397">
        <v>24</v>
      </c>
      <c r="K4397">
        <v>7</v>
      </c>
    </row>
    <row r="4398" spans="1:11" x14ac:dyDescent="0.35">
      <c r="A4398">
        <v>4397</v>
      </c>
      <c r="B4398">
        <v>36</v>
      </c>
      <c r="C4398" t="s">
        <v>11</v>
      </c>
      <c r="D4398" t="s">
        <v>29</v>
      </c>
      <c r="E4398" t="s">
        <v>30</v>
      </c>
      <c r="F4398">
        <v>28.51</v>
      </c>
      <c r="G4398" t="s">
        <v>19</v>
      </c>
      <c r="H4398" t="s">
        <v>15</v>
      </c>
      <c r="I4398">
        <v>2.9</v>
      </c>
      <c r="J4398">
        <v>16</v>
      </c>
      <c r="K4398">
        <v>3</v>
      </c>
    </row>
    <row r="4399" spans="1:11" x14ac:dyDescent="0.35">
      <c r="A4399">
        <v>4398</v>
      </c>
      <c r="B4399">
        <v>47</v>
      </c>
      <c r="C4399" t="s">
        <v>11</v>
      </c>
      <c r="D4399" t="s">
        <v>29</v>
      </c>
      <c r="E4399" t="s">
        <v>55</v>
      </c>
      <c r="F4399">
        <v>108.76</v>
      </c>
      <c r="G4399" t="s">
        <v>19</v>
      </c>
      <c r="H4399" t="s">
        <v>15</v>
      </c>
      <c r="I4399">
        <v>3.7</v>
      </c>
      <c r="J4399">
        <v>6</v>
      </c>
      <c r="K4399">
        <v>3</v>
      </c>
    </row>
    <row r="4400" spans="1:11" x14ac:dyDescent="0.35">
      <c r="A4400">
        <v>4399</v>
      </c>
      <c r="B4400">
        <v>25</v>
      </c>
      <c r="C4400" t="s">
        <v>11</v>
      </c>
      <c r="D4400" t="s">
        <v>33</v>
      </c>
      <c r="E4400" t="s">
        <v>40</v>
      </c>
      <c r="F4400">
        <v>248.94</v>
      </c>
      <c r="G4400" t="s">
        <v>14</v>
      </c>
      <c r="H4400" t="s">
        <v>15</v>
      </c>
      <c r="I4400">
        <v>2.5</v>
      </c>
      <c r="J4400">
        <v>18</v>
      </c>
      <c r="K4400">
        <v>4</v>
      </c>
    </row>
    <row r="4401" spans="1:11" x14ac:dyDescent="0.35">
      <c r="A4401">
        <v>4400</v>
      </c>
      <c r="B4401">
        <v>55</v>
      </c>
      <c r="C4401" t="s">
        <v>16</v>
      </c>
      <c r="D4401" t="s">
        <v>17</v>
      </c>
      <c r="E4401" t="s">
        <v>18</v>
      </c>
      <c r="F4401">
        <v>178.99</v>
      </c>
      <c r="G4401" t="s">
        <v>19</v>
      </c>
      <c r="H4401" t="s">
        <v>15</v>
      </c>
      <c r="I4401">
        <v>5</v>
      </c>
      <c r="J4401">
        <v>8</v>
      </c>
      <c r="K4401">
        <v>4</v>
      </c>
    </row>
    <row r="4402" spans="1:11" x14ac:dyDescent="0.35">
      <c r="A4402">
        <v>4401</v>
      </c>
      <c r="B4402">
        <v>22</v>
      </c>
      <c r="C4402" t="s">
        <v>11</v>
      </c>
      <c r="D4402" t="s">
        <v>25</v>
      </c>
      <c r="E4402" t="s">
        <v>26</v>
      </c>
      <c r="F4402">
        <v>64.91</v>
      </c>
      <c r="G4402" t="s">
        <v>19</v>
      </c>
      <c r="H4402" t="s">
        <v>37</v>
      </c>
      <c r="I4402">
        <v>2.9</v>
      </c>
      <c r="J4402">
        <v>15</v>
      </c>
      <c r="K4402">
        <v>5</v>
      </c>
    </row>
    <row r="4403" spans="1:11" x14ac:dyDescent="0.35">
      <c r="A4403">
        <v>4402</v>
      </c>
      <c r="B4403">
        <v>55</v>
      </c>
      <c r="C4403" t="s">
        <v>16</v>
      </c>
      <c r="D4403" t="s">
        <v>27</v>
      </c>
      <c r="E4403" t="s">
        <v>32</v>
      </c>
      <c r="F4403">
        <v>1774.32</v>
      </c>
      <c r="G4403" t="s">
        <v>31</v>
      </c>
      <c r="H4403" t="s">
        <v>15</v>
      </c>
      <c r="I4403">
        <v>4</v>
      </c>
      <c r="J4403">
        <v>26</v>
      </c>
      <c r="K4403">
        <v>8</v>
      </c>
    </row>
    <row r="4404" spans="1:11" x14ac:dyDescent="0.35">
      <c r="A4404">
        <v>4403</v>
      </c>
      <c r="B4404">
        <v>25</v>
      </c>
      <c r="C4404" t="s">
        <v>16</v>
      </c>
      <c r="D4404" t="s">
        <v>17</v>
      </c>
      <c r="E4404" t="s">
        <v>18</v>
      </c>
      <c r="F4404">
        <v>173.88</v>
      </c>
      <c r="G4404" t="s">
        <v>19</v>
      </c>
      <c r="H4404" t="s">
        <v>15</v>
      </c>
      <c r="I4404">
        <v>4.4000000000000004</v>
      </c>
      <c r="J4404">
        <v>21</v>
      </c>
      <c r="K4404">
        <v>8</v>
      </c>
    </row>
    <row r="4405" spans="1:11" x14ac:dyDescent="0.35">
      <c r="A4405">
        <v>4404</v>
      </c>
      <c r="B4405">
        <v>34</v>
      </c>
      <c r="C4405" t="s">
        <v>16</v>
      </c>
      <c r="D4405" t="s">
        <v>20</v>
      </c>
      <c r="E4405" t="s">
        <v>39</v>
      </c>
      <c r="F4405">
        <v>130.83000000000001</v>
      </c>
      <c r="G4405" t="s">
        <v>19</v>
      </c>
      <c r="H4405" t="s">
        <v>15</v>
      </c>
      <c r="I4405">
        <v>3.6</v>
      </c>
      <c r="J4405">
        <v>20</v>
      </c>
      <c r="K4405">
        <v>5</v>
      </c>
    </row>
    <row r="4406" spans="1:11" x14ac:dyDescent="0.35">
      <c r="A4406">
        <v>4405</v>
      </c>
      <c r="B4406">
        <v>39</v>
      </c>
      <c r="C4406" t="s">
        <v>11</v>
      </c>
      <c r="D4406" t="s">
        <v>12</v>
      </c>
      <c r="E4406" t="s">
        <v>56</v>
      </c>
      <c r="F4406">
        <v>47.44</v>
      </c>
      <c r="G4406" t="s">
        <v>31</v>
      </c>
      <c r="H4406" t="s">
        <v>15</v>
      </c>
      <c r="I4406">
        <v>3.8</v>
      </c>
      <c r="J4406">
        <v>15</v>
      </c>
      <c r="K4406">
        <v>5</v>
      </c>
    </row>
    <row r="4407" spans="1:11" x14ac:dyDescent="0.35">
      <c r="A4407">
        <v>4406</v>
      </c>
      <c r="B4407">
        <v>65</v>
      </c>
      <c r="C4407" t="s">
        <v>16</v>
      </c>
      <c r="D4407" t="s">
        <v>17</v>
      </c>
      <c r="E4407" t="s">
        <v>42</v>
      </c>
      <c r="F4407">
        <v>76.94</v>
      </c>
      <c r="G4407" t="s">
        <v>19</v>
      </c>
      <c r="H4407" t="s">
        <v>15</v>
      </c>
      <c r="I4407">
        <v>3.9</v>
      </c>
      <c r="J4407">
        <v>16</v>
      </c>
      <c r="K4407">
        <v>8</v>
      </c>
    </row>
    <row r="4408" spans="1:11" x14ac:dyDescent="0.35">
      <c r="A4408">
        <v>4407</v>
      </c>
      <c r="B4408">
        <v>51</v>
      </c>
      <c r="C4408" t="s">
        <v>11</v>
      </c>
      <c r="D4408" t="s">
        <v>33</v>
      </c>
      <c r="E4408" t="s">
        <v>40</v>
      </c>
      <c r="F4408">
        <v>79.66</v>
      </c>
      <c r="G4408" t="s">
        <v>14</v>
      </c>
      <c r="H4408" t="s">
        <v>15</v>
      </c>
      <c r="I4408">
        <v>3.8</v>
      </c>
      <c r="J4408">
        <v>2</v>
      </c>
      <c r="K4408">
        <v>1</v>
      </c>
    </row>
    <row r="4409" spans="1:11" x14ac:dyDescent="0.35">
      <c r="A4409">
        <v>4408</v>
      </c>
      <c r="B4409">
        <v>52</v>
      </c>
      <c r="C4409" t="s">
        <v>16</v>
      </c>
      <c r="D4409" t="s">
        <v>33</v>
      </c>
      <c r="E4409" t="s">
        <v>40</v>
      </c>
      <c r="F4409">
        <v>91.9</v>
      </c>
      <c r="G4409" t="s">
        <v>24</v>
      </c>
      <c r="H4409" t="s">
        <v>37</v>
      </c>
      <c r="I4409">
        <v>2.5</v>
      </c>
      <c r="J4409">
        <v>8</v>
      </c>
      <c r="K4409">
        <v>4</v>
      </c>
    </row>
    <row r="4410" spans="1:11" x14ac:dyDescent="0.35">
      <c r="A4410">
        <v>4409</v>
      </c>
      <c r="B4410">
        <v>48</v>
      </c>
      <c r="C4410" t="s">
        <v>11</v>
      </c>
      <c r="D4410" t="s">
        <v>33</v>
      </c>
      <c r="E4410" t="s">
        <v>38</v>
      </c>
      <c r="F4410">
        <v>146.85</v>
      </c>
      <c r="G4410" t="s">
        <v>19</v>
      </c>
      <c r="H4410" t="s">
        <v>15</v>
      </c>
      <c r="I4410">
        <v>3.5</v>
      </c>
      <c r="J4410">
        <v>11</v>
      </c>
      <c r="K4410">
        <v>3</v>
      </c>
    </row>
    <row r="4411" spans="1:11" x14ac:dyDescent="0.35">
      <c r="A4411">
        <v>4410</v>
      </c>
      <c r="B4411">
        <v>25</v>
      </c>
      <c r="C4411" t="s">
        <v>11</v>
      </c>
      <c r="D4411" t="s">
        <v>12</v>
      </c>
      <c r="E4411" t="s">
        <v>13</v>
      </c>
      <c r="F4411">
        <v>100.99</v>
      </c>
      <c r="G4411" t="s">
        <v>14</v>
      </c>
      <c r="H4411" t="s">
        <v>15</v>
      </c>
      <c r="I4411">
        <v>3.5</v>
      </c>
      <c r="J4411">
        <v>19</v>
      </c>
      <c r="K4411">
        <v>7</v>
      </c>
    </row>
    <row r="4412" spans="1:11" x14ac:dyDescent="0.35">
      <c r="A4412">
        <v>4411</v>
      </c>
      <c r="B4412">
        <v>35</v>
      </c>
      <c r="C4412" t="s">
        <v>16</v>
      </c>
      <c r="D4412" t="s">
        <v>27</v>
      </c>
      <c r="E4412" t="s">
        <v>49</v>
      </c>
      <c r="F4412">
        <v>2272.6999999999998</v>
      </c>
      <c r="G4412" t="s">
        <v>24</v>
      </c>
      <c r="H4412" t="s">
        <v>15</v>
      </c>
      <c r="I4412">
        <v>2.2999999999999998</v>
      </c>
      <c r="J4412">
        <v>14</v>
      </c>
      <c r="K4412">
        <v>7</v>
      </c>
    </row>
    <row r="4413" spans="1:11" x14ac:dyDescent="0.35">
      <c r="A4413">
        <v>4412</v>
      </c>
      <c r="B4413">
        <v>42</v>
      </c>
      <c r="C4413" t="s">
        <v>16</v>
      </c>
      <c r="D4413" t="s">
        <v>27</v>
      </c>
      <c r="E4413" t="s">
        <v>28</v>
      </c>
      <c r="F4413">
        <v>783.29</v>
      </c>
      <c r="G4413" t="s">
        <v>24</v>
      </c>
      <c r="H4413" t="s">
        <v>15</v>
      </c>
      <c r="I4413">
        <v>3.6</v>
      </c>
      <c r="J4413">
        <v>20</v>
      </c>
      <c r="K4413">
        <v>5</v>
      </c>
    </row>
    <row r="4414" spans="1:11" x14ac:dyDescent="0.35">
      <c r="A4414">
        <v>4413</v>
      </c>
      <c r="B4414">
        <v>46</v>
      </c>
      <c r="C4414" t="s">
        <v>16</v>
      </c>
      <c r="D4414" t="s">
        <v>20</v>
      </c>
      <c r="E4414" t="s">
        <v>36</v>
      </c>
      <c r="F4414">
        <v>125.6</v>
      </c>
      <c r="G4414" t="s">
        <v>19</v>
      </c>
      <c r="H4414" t="s">
        <v>15</v>
      </c>
      <c r="I4414">
        <v>1.8</v>
      </c>
      <c r="J4414">
        <v>10</v>
      </c>
      <c r="K4414">
        <v>5</v>
      </c>
    </row>
    <row r="4415" spans="1:11" x14ac:dyDescent="0.35">
      <c r="A4415">
        <v>4414</v>
      </c>
      <c r="B4415">
        <v>21</v>
      </c>
      <c r="C4415" t="s">
        <v>16</v>
      </c>
      <c r="D4415" t="s">
        <v>33</v>
      </c>
      <c r="E4415" t="s">
        <v>34</v>
      </c>
      <c r="F4415">
        <v>151.15</v>
      </c>
      <c r="G4415" t="s">
        <v>31</v>
      </c>
      <c r="H4415" t="s">
        <v>15</v>
      </c>
      <c r="I4415">
        <v>4.2</v>
      </c>
      <c r="J4415">
        <v>9</v>
      </c>
      <c r="K4415">
        <v>2</v>
      </c>
    </row>
    <row r="4416" spans="1:11" x14ac:dyDescent="0.35">
      <c r="A4416">
        <v>4415</v>
      </c>
      <c r="B4416">
        <v>22</v>
      </c>
      <c r="C4416" t="s">
        <v>11</v>
      </c>
      <c r="D4416" t="s">
        <v>29</v>
      </c>
      <c r="E4416" t="s">
        <v>51</v>
      </c>
      <c r="F4416">
        <v>116.28</v>
      </c>
      <c r="G4416" t="s">
        <v>31</v>
      </c>
      <c r="H4416" t="s">
        <v>15</v>
      </c>
      <c r="I4416">
        <v>4.2</v>
      </c>
      <c r="J4416">
        <v>12</v>
      </c>
      <c r="K4416">
        <v>6</v>
      </c>
    </row>
    <row r="4417" spans="1:11" x14ac:dyDescent="0.35">
      <c r="A4417">
        <v>4416</v>
      </c>
      <c r="B4417">
        <v>53</v>
      </c>
      <c r="C4417" t="s">
        <v>11</v>
      </c>
      <c r="D4417" t="s">
        <v>25</v>
      </c>
      <c r="E4417" t="s">
        <v>26</v>
      </c>
      <c r="F4417">
        <v>46.85</v>
      </c>
      <c r="G4417" t="s">
        <v>24</v>
      </c>
      <c r="H4417" t="s">
        <v>37</v>
      </c>
      <c r="I4417">
        <v>3</v>
      </c>
      <c r="J4417">
        <v>18</v>
      </c>
      <c r="K4417">
        <v>4</v>
      </c>
    </row>
    <row r="4418" spans="1:11" x14ac:dyDescent="0.35">
      <c r="A4418">
        <v>4417</v>
      </c>
      <c r="B4418">
        <v>26</v>
      </c>
      <c r="C4418" t="s">
        <v>16</v>
      </c>
      <c r="D4418" t="s">
        <v>27</v>
      </c>
      <c r="E4418" t="s">
        <v>32</v>
      </c>
      <c r="F4418">
        <v>2162.23</v>
      </c>
      <c r="G4418" t="s">
        <v>19</v>
      </c>
      <c r="H4418" t="s">
        <v>15</v>
      </c>
      <c r="I4418">
        <v>4.0999999999999996</v>
      </c>
      <c r="J4418">
        <v>4</v>
      </c>
      <c r="K4418">
        <v>2</v>
      </c>
    </row>
    <row r="4419" spans="1:11" x14ac:dyDescent="0.35">
      <c r="A4419">
        <v>4418</v>
      </c>
      <c r="B4419">
        <v>29</v>
      </c>
      <c r="C4419" t="s">
        <v>16</v>
      </c>
      <c r="D4419" t="s">
        <v>17</v>
      </c>
      <c r="E4419" t="s">
        <v>48</v>
      </c>
      <c r="F4419">
        <v>99.56</v>
      </c>
      <c r="G4419" t="s">
        <v>19</v>
      </c>
      <c r="H4419" t="s">
        <v>15</v>
      </c>
      <c r="I4419">
        <v>3</v>
      </c>
      <c r="J4419">
        <v>20</v>
      </c>
      <c r="K4419">
        <v>5</v>
      </c>
    </row>
    <row r="4420" spans="1:11" x14ac:dyDescent="0.35">
      <c r="A4420">
        <v>4419</v>
      </c>
      <c r="B4420">
        <v>22</v>
      </c>
      <c r="C4420" t="s">
        <v>16</v>
      </c>
      <c r="D4420" t="s">
        <v>27</v>
      </c>
      <c r="E4420" t="s">
        <v>49</v>
      </c>
      <c r="F4420">
        <v>2633.36</v>
      </c>
      <c r="G4420" t="s">
        <v>19</v>
      </c>
      <c r="H4420" t="s">
        <v>15</v>
      </c>
      <c r="I4420">
        <v>4.2</v>
      </c>
      <c r="J4420">
        <v>18</v>
      </c>
      <c r="K4420">
        <v>4</v>
      </c>
    </row>
    <row r="4421" spans="1:11" x14ac:dyDescent="0.35">
      <c r="A4421">
        <v>4420</v>
      </c>
      <c r="B4421">
        <v>63</v>
      </c>
      <c r="C4421" t="s">
        <v>11</v>
      </c>
      <c r="D4421" t="s">
        <v>12</v>
      </c>
      <c r="E4421" t="s">
        <v>50</v>
      </c>
      <c r="F4421">
        <v>132.84</v>
      </c>
      <c r="G4421" t="s">
        <v>14</v>
      </c>
      <c r="H4421" t="s">
        <v>15</v>
      </c>
      <c r="I4421">
        <v>4.0999999999999996</v>
      </c>
      <c r="J4421">
        <v>20</v>
      </c>
      <c r="K4421">
        <v>5</v>
      </c>
    </row>
    <row r="4422" spans="1:11" x14ac:dyDescent="0.35">
      <c r="A4422">
        <v>4421</v>
      </c>
      <c r="B4422">
        <v>20</v>
      </c>
      <c r="C4422" t="s">
        <v>11</v>
      </c>
      <c r="D4422" t="s">
        <v>33</v>
      </c>
      <c r="E4422" t="s">
        <v>38</v>
      </c>
      <c r="F4422">
        <v>161.07</v>
      </c>
      <c r="G4422" t="s">
        <v>19</v>
      </c>
      <c r="H4422" t="s">
        <v>15</v>
      </c>
      <c r="I4422">
        <v>3.7</v>
      </c>
      <c r="J4422">
        <v>8</v>
      </c>
      <c r="K4422">
        <v>4</v>
      </c>
    </row>
    <row r="4423" spans="1:11" x14ac:dyDescent="0.35">
      <c r="A4423">
        <v>4422</v>
      </c>
      <c r="B4423">
        <v>50</v>
      </c>
      <c r="C4423" t="s">
        <v>11</v>
      </c>
      <c r="D4423" t="s">
        <v>29</v>
      </c>
      <c r="E4423" t="s">
        <v>30</v>
      </c>
      <c r="F4423">
        <v>35.9</v>
      </c>
      <c r="G4423" t="s">
        <v>14</v>
      </c>
      <c r="H4423" t="s">
        <v>15</v>
      </c>
      <c r="I4423">
        <v>4.4000000000000004</v>
      </c>
      <c r="J4423">
        <v>18</v>
      </c>
      <c r="K4423">
        <v>9</v>
      </c>
    </row>
    <row r="4424" spans="1:11" x14ac:dyDescent="0.35">
      <c r="A4424">
        <v>4423</v>
      </c>
      <c r="B4424">
        <v>54</v>
      </c>
      <c r="C4424" t="s">
        <v>11</v>
      </c>
      <c r="D4424" t="s">
        <v>41</v>
      </c>
      <c r="E4424" t="s">
        <v>46</v>
      </c>
      <c r="F4424">
        <v>41.24</v>
      </c>
      <c r="G4424" t="s">
        <v>14</v>
      </c>
      <c r="H4424" t="s">
        <v>37</v>
      </c>
      <c r="I4424">
        <v>3.4</v>
      </c>
      <c r="J4424">
        <v>19</v>
      </c>
      <c r="K4424">
        <v>7</v>
      </c>
    </row>
    <row r="4425" spans="1:11" x14ac:dyDescent="0.35">
      <c r="A4425">
        <v>4424</v>
      </c>
      <c r="B4425">
        <v>45</v>
      </c>
      <c r="C4425" t="s">
        <v>16</v>
      </c>
      <c r="D4425" t="s">
        <v>20</v>
      </c>
      <c r="E4425" t="s">
        <v>39</v>
      </c>
      <c r="F4425">
        <v>160.08000000000001</v>
      </c>
      <c r="G4425" t="s">
        <v>31</v>
      </c>
      <c r="H4425" t="s">
        <v>15</v>
      </c>
      <c r="I4425">
        <v>3.9</v>
      </c>
      <c r="J4425">
        <v>17</v>
      </c>
      <c r="K4425">
        <v>6</v>
      </c>
    </row>
    <row r="4426" spans="1:11" x14ac:dyDescent="0.35">
      <c r="A4426">
        <v>4425</v>
      </c>
      <c r="B4426">
        <v>59</v>
      </c>
      <c r="C4426" t="s">
        <v>11</v>
      </c>
      <c r="D4426" t="s">
        <v>12</v>
      </c>
      <c r="E4426" t="s">
        <v>56</v>
      </c>
      <c r="F4426">
        <v>152.97</v>
      </c>
      <c r="G4426" t="s">
        <v>24</v>
      </c>
      <c r="H4426" t="s">
        <v>15</v>
      </c>
      <c r="I4426">
        <v>3.5</v>
      </c>
      <c r="J4426">
        <v>17</v>
      </c>
      <c r="K4426">
        <v>6</v>
      </c>
    </row>
    <row r="4427" spans="1:11" x14ac:dyDescent="0.35">
      <c r="A4427">
        <v>4426</v>
      </c>
      <c r="B4427">
        <v>43</v>
      </c>
      <c r="C4427" t="s">
        <v>11</v>
      </c>
      <c r="D4427" t="s">
        <v>41</v>
      </c>
      <c r="E4427" t="s">
        <v>44</v>
      </c>
      <c r="F4427">
        <v>71.83</v>
      </c>
      <c r="G4427" t="s">
        <v>31</v>
      </c>
      <c r="H4427" t="s">
        <v>37</v>
      </c>
      <c r="I4427">
        <v>4.0999999999999996</v>
      </c>
      <c r="J4427">
        <v>12</v>
      </c>
      <c r="K4427">
        <v>6</v>
      </c>
    </row>
    <row r="4428" spans="1:11" x14ac:dyDescent="0.35">
      <c r="A4428">
        <v>4427</v>
      </c>
      <c r="B4428">
        <v>21</v>
      </c>
      <c r="C4428" t="s">
        <v>11</v>
      </c>
      <c r="D4428" t="s">
        <v>12</v>
      </c>
      <c r="E4428" t="s">
        <v>13</v>
      </c>
      <c r="F4428">
        <v>95.84</v>
      </c>
      <c r="G4428" t="s">
        <v>14</v>
      </c>
      <c r="H4428" t="s">
        <v>37</v>
      </c>
      <c r="I4428">
        <v>4.3</v>
      </c>
      <c r="J4428">
        <v>22</v>
      </c>
      <c r="K4428">
        <v>6</v>
      </c>
    </row>
    <row r="4429" spans="1:11" x14ac:dyDescent="0.35">
      <c r="A4429">
        <v>4428</v>
      </c>
      <c r="B4429">
        <v>62</v>
      </c>
      <c r="C4429" t="s">
        <v>16</v>
      </c>
      <c r="D4429" t="s">
        <v>22</v>
      </c>
      <c r="E4429" t="s">
        <v>23</v>
      </c>
      <c r="F4429">
        <v>38.659999999999997</v>
      </c>
      <c r="G4429" t="s">
        <v>24</v>
      </c>
      <c r="H4429" t="s">
        <v>37</v>
      </c>
      <c r="I4429">
        <v>3.6</v>
      </c>
      <c r="J4429">
        <v>8</v>
      </c>
      <c r="K4429">
        <v>4</v>
      </c>
    </row>
    <row r="4430" spans="1:11" x14ac:dyDescent="0.35">
      <c r="A4430">
        <v>4429</v>
      </c>
      <c r="B4430">
        <v>44</v>
      </c>
      <c r="C4430" t="s">
        <v>16</v>
      </c>
      <c r="D4430" t="s">
        <v>27</v>
      </c>
      <c r="E4430" t="s">
        <v>32</v>
      </c>
      <c r="F4430">
        <v>1769.68</v>
      </c>
      <c r="G4430" t="s">
        <v>19</v>
      </c>
      <c r="H4430" t="s">
        <v>15</v>
      </c>
      <c r="I4430">
        <v>4.8</v>
      </c>
      <c r="J4430">
        <v>20</v>
      </c>
      <c r="K4430">
        <v>5</v>
      </c>
    </row>
    <row r="4431" spans="1:11" x14ac:dyDescent="0.35">
      <c r="A4431">
        <v>4430</v>
      </c>
      <c r="B4431">
        <v>44</v>
      </c>
      <c r="C4431" t="s">
        <v>11</v>
      </c>
      <c r="D4431" t="s">
        <v>33</v>
      </c>
      <c r="E4431" t="s">
        <v>34</v>
      </c>
      <c r="F4431">
        <v>103.11</v>
      </c>
      <c r="G4431" t="s">
        <v>24</v>
      </c>
      <c r="H4431" t="s">
        <v>15</v>
      </c>
      <c r="I4431">
        <v>3.1</v>
      </c>
      <c r="J4431">
        <v>15</v>
      </c>
      <c r="K4431">
        <v>5</v>
      </c>
    </row>
    <row r="4432" spans="1:11" x14ac:dyDescent="0.35">
      <c r="A4432">
        <v>4431</v>
      </c>
      <c r="B4432">
        <v>45</v>
      </c>
      <c r="C4432" t="s">
        <v>11</v>
      </c>
      <c r="D4432" t="s">
        <v>33</v>
      </c>
      <c r="E4432" t="s">
        <v>34</v>
      </c>
      <c r="F4432">
        <v>118.28</v>
      </c>
      <c r="G4432" t="s">
        <v>24</v>
      </c>
      <c r="H4432" t="s">
        <v>15</v>
      </c>
      <c r="I4432">
        <v>4</v>
      </c>
      <c r="J4432">
        <v>10</v>
      </c>
      <c r="K4432">
        <v>5</v>
      </c>
    </row>
    <row r="4433" spans="1:11" x14ac:dyDescent="0.35">
      <c r="A4433">
        <v>4432</v>
      </c>
      <c r="B4433">
        <v>37</v>
      </c>
      <c r="C4433" t="s">
        <v>11</v>
      </c>
      <c r="D4433" t="s">
        <v>12</v>
      </c>
      <c r="E4433" t="s">
        <v>56</v>
      </c>
      <c r="F4433">
        <v>162.69999999999999</v>
      </c>
      <c r="G4433" t="s">
        <v>24</v>
      </c>
      <c r="H4433" t="s">
        <v>15</v>
      </c>
      <c r="I4433">
        <v>3.5</v>
      </c>
      <c r="J4433">
        <v>19</v>
      </c>
      <c r="K4433">
        <v>7</v>
      </c>
    </row>
    <row r="4434" spans="1:11" x14ac:dyDescent="0.35">
      <c r="A4434">
        <v>4433</v>
      </c>
      <c r="B4434">
        <v>49</v>
      </c>
      <c r="C4434" t="s">
        <v>16</v>
      </c>
      <c r="D4434" t="s">
        <v>20</v>
      </c>
      <c r="E4434" t="s">
        <v>36</v>
      </c>
      <c r="F4434">
        <v>75.760000000000005</v>
      </c>
      <c r="G4434" t="s">
        <v>31</v>
      </c>
      <c r="H4434" t="s">
        <v>37</v>
      </c>
      <c r="I4434">
        <v>4.5</v>
      </c>
      <c r="J4434">
        <v>15</v>
      </c>
      <c r="K4434">
        <v>5</v>
      </c>
    </row>
    <row r="4435" spans="1:11" x14ac:dyDescent="0.35">
      <c r="A4435">
        <v>4434</v>
      </c>
      <c r="B4435">
        <v>63</v>
      </c>
      <c r="C4435" t="s">
        <v>16</v>
      </c>
      <c r="D4435" t="s">
        <v>20</v>
      </c>
      <c r="E4435" t="s">
        <v>39</v>
      </c>
      <c r="F4435">
        <v>234.8</v>
      </c>
      <c r="G4435" t="s">
        <v>19</v>
      </c>
      <c r="H4435" t="s">
        <v>15</v>
      </c>
      <c r="I4435">
        <v>3.1</v>
      </c>
      <c r="J4435">
        <v>16</v>
      </c>
      <c r="K4435">
        <v>3</v>
      </c>
    </row>
    <row r="4436" spans="1:11" x14ac:dyDescent="0.35">
      <c r="A4436">
        <v>4435</v>
      </c>
      <c r="B4436">
        <v>25</v>
      </c>
      <c r="C4436" t="s">
        <v>11</v>
      </c>
      <c r="D4436" t="s">
        <v>33</v>
      </c>
      <c r="E4436" t="s">
        <v>38</v>
      </c>
      <c r="F4436">
        <v>107.61</v>
      </c>
      <c r="G4436" t="s">
        <v>31</v>
      </c>
      <c r="H4436" t="s">
        <v>15</v>
      </c>
      <c r="I4436">
        <v>4.8</v>
      </c>
      <c r="J4436">
        <v>17</v>
      </c>
      <c r="K4436">
        <v>6</v>
      </c>
    </row>
    <row r="4437" spans="1:11" x14ac:dyDescent="0.35">
      <c r="A4437">
        <v>4436</v>
      </c>
      <c r="B4437">
        <v>44</v>
      </c>
      <c r="C4437" t="s">
        <v>16</v>
      </c>
      <c r="D4437" t="s">
        <v>20</v>
      </c>
      <c r="E4437" t="s">
        <v>21</v>
      </c>
      <c r="F4437">
        <v>150.15</v>
      </c>
      <c r="G4437" t="s">
        <v>19</v>
      </c>
      <c r="H4437" t="s">
        <v>15</v>
      </c>
      <c r="I4437">
        <v>3.5</v>
      </c>
      <c r="J4437">
        <v>20</v>
      </c>
      <c r="K4437">
        <v>5</v>
      </c>
    </row>
    <row r="4438" spans="1:11" x14ac:dyDescent="0.35">
      <c r="A4438">
        <v>4437</v>
      </c>
      <c r="B4438">
        <v>36</v>
      </c>
      <c r="C4438" t="s">
        <v>16</v>
      </c>
      <c r="D4438" t="s">
        <v>20</v>
      </c>
      <c r="E4438" t="s">
        <v>39</v>
      </c>
      <c r="F4438">
        <v>97.03</v>
      </c>
      <c r="G4438" t="s">
        <v>31</v>
      </c>
      <c r="H4438" t="s">
        <v>15</v>
      </c>
      <c r="I4438">
        <v>3.4</v>
      </c>
      <c r="J4438">
        <v>6</v>
      </c>
      <c r="K4438">
        <v>3</v>
      </c>
    </row>
    <row r="4439" spans="1:11" x14ac:dyDescent="0.35">
      <c r="A4439">
        <v>4438</v>
      </c>
      <c r="B4439">
        <v>44</v>
      </c>
      <c r="C4439" t="s">
        <v>11</v>
      </c>
      <c r="D4439" t="s">
        <v>20</v>
      </c>
      <c r="E4439" t="s">
        <v>36</v>
      </c>
      <c r="F4439">
        <v>129.12</v>
      </c>
      <c r="G4439" t="s">
        <v>31</v>
      </c>
      <c r="H4439" t="s">
        <v>15</v>
      </c>
      <c r="I4439">
        <v>5</v>
      </c>
      <c r="J4439">
        <v>20</v>
      </c>
      <c r="K4439">
        <v>5</v>
      </c>
    </row>
    <row r="4440" spans="1:11" x14ac:dyDescent="0.35">
      <c r="A4440">
        <v>4439</v>
      </c>
      <c r="B4440">
        <v>31</v>
      </c>
      <c r="C4440" t="s">
        <v>11</v>
      </c>
      <c r="D4440" t="s">
        <v>33</v>
      </c>
      <c r="E4440" t="s">
        <v>38</v>
      </c>
      <c r="F4440">
        <v>75.930000000000007</v>
      </c>
      <c r="G4440" t="s">
        <v>14</v>
      </c>
      <c r="H4440" t="s">
        <v>15</v>
      </c>
      <c r="I4440">
        <v>3.5</v>
      </c>
      <c r="J4440">
        <v>18</v>
      </c>
      <c r="K4440">
        <v>4</v>
      </c>
    </row>
    <row r="4441" spans="1:11" x14ac:dyDescent="0.35">
      <c r="A4441">
        <v>4440</v>
      </c>
      <c r="B4441">
        <v>46</v>
      </c>
      <c r="C4441" t="s">
        <v>11</v>
      </c>
      <c r="D4441" t="s">
        <v>41</v>
      </c>
      <c r="E4441" t="s">
        <v>45</v>
      </c>
      <c r="F4441">
        <v>181.75</v>
      </c>
      <c r="G4441" t="s">
        <v>24</v>
      </c>
      <c r="H4441" t="s">
        <v>15</v>
      </c>
      <c r="I4441">
        <v>4.3</v>
      </c>
      <c r="J4441">
        <v>8</v>
      </c>
      <c r="K4441">
        <v>4</v>
      </c>
    </row>
    <row r="4442" spans="1:11" x14ac:dyDescent="0.35">
      <c r="A4442">
        <v>4441</v>
      </c>
      <c r="B4442">
        <v>43</v>
      </c>
      <c r="C4442" t="s">
        <v>16</v>
      </c>
      <c r="D4442" t="s">
        <v>27</v>
      </c>
      <c r="E4442" t="s">
        <v>28</v>
      </c>
      <c r="F4442">
        <v>1217.08</v>
      </c>
      <c r="G4442" t="s">
        <v>19</v>
      </c>
      <c r="H4442" t="s">
        <v>15</v>
      </c>
      <c r="I4442">
        <v>4.5999999999999996</v>
      </c>
      <c r="J4442">
        <v>20</v>
      </c>
      <c r="K4442">
        <v>5</v>
      </c>
    </row>
    <row r="4443" spans="1:11" x14ac:dyDescent="0.35">
      <c r="A4443">
        <v>4442</v>
      </c>
      <c r="B4443">
        <v>23</v>
      </c>
      <c r="C4443" t="s">
        <v>11</v>
      </c>
      <c r="D4443" t="s">
        <v>33</v>
      </c>
      <c r="E4443" t="s">
        <v>40</v>
      </c>
      <c r="F4443">
        <v>241.42</v>
      </c>
      <c r="G4443" t="s">
        <v>19</v>
      </c>
      <c r="H4443" t="s">
        <v>15</v>
      </c>
      <c r="I4443">
        <v>5</v>
      </c>
      <c r="J4443">
        <v>8</v>
      </c>
      <c r="K4443">
        <v>4</v>
      </c>
    </row>
    <row r="4444" spans="1:11" x14ac:dyDescent="0.35">
      <c r="A4444">
        <v>4443</v>
      </c>
      <c r="B4444">
        <v>58</v>
      </c>
      <c r="C4444" t="s">
        <v>16</v>
      </c>
      <c r="D4444" t="s">
        <v>27</v>
      </c>
      <c r="E4444" t="s">
        <v>49</v>
      </c>
      <c r="F4444">
        <v>1944.24</v>
      </c>
      <c r="G4444" t="s">
        <v>19</v>
      </c>
      <c r="H4444" t="s">
        <v>15</v>
      </c>
      <c r="I4444">
        <v>2.7</v>
      </c>
      <c r="J4444">
        <v>22</v>
      </c>
      <c r="K4444">
        <v>6</v>
      </c>
    </row>
    <row r="4445" spans="1:11" x14ac:dyDescent="0.35">
      <c r="A4445">
        <v>4444</v>
      </c>
      <c r="B4445">
        <v>22</v>
      </c>
      <c r="C4445" t="s">
        <v>16</v>
      </c>
      <c r="D4445" t="s">
        <v>20</v>
      </c>
      <c r="E4445" t="s">
        <v>36</v>
      </c>
      <c r="F4445">
        <v>48.39</v>
      </c>
      <c r="G4445" t="s">
        <v>31</v>
      </c>
      <c r="H4445" t="s">
        <v>37</v>
      </c>
      <c r="I4445">
        <v>4</v>
      </c>
      <c r="J4445">
        <v>4</v>
      </c>
      <c r="K4445">
        <v>2</v>
      </c>
    </row>
    <row r="4446" spans="1:11" x14ac:dyDescent="0.35">
      <c r="A4446">
        <v>4445</v>
      </c>
      <c r="B4446">
        <v>63</v>
      </c>
      <c r="C4446" t="s">
        <v>11</v>
      </c>
      <c r="D4446" t="s">
        <v>12</v>
      </c>
      <c r="E4446" t="s">
        <v>50</v>
      </c>
      <c r="F4446">
        <v>107.47</v>
      </c>
      <c r="G4446" t="s">
        <v>14</v>
      </c>
      <c r="H4446" t="s">
        <v>15</v>
      </c>
      <c r="I4446">
        <v>2.2000000000000002</v>
      </c>
      <c r="J4446">
        <v>12</v>
      </c>
      <c r="K4446">
        <v>1</v>
      </c>
    </row>
    <row r="4447" spans="1:11" x14ac:dyDescent="0.35">
      <c r="A4447">
        <v>4446</v>
      </c>
      <c r="B4447">
        <v>62</v>
      </c>
      <c r="C4447" t="s">
        <v>16</v>
      </c>
      <c r="D4447" t="s">
        <v>27</v>
      </c>
      <c r="E4447" t="s">
        <v>53</v>
      </c>
      <c r="F4447">
        <v>1763.47</v>
      </c>
      <c r="G4447" t="s">
        <v>14</v>
      </c>
      <c r="H4447" t="s">
        <v>15</v>
      </c>
      <c r="I4447">
        <v>4</v>
      </c>
      <c r="J4447">
        <v>20</v>
      </c>
      <c r="K4447">
        <v>5</v>
      </c>
    </row>
    <row r="4448" spans="1:11" x14ac:dyDescent="0.35">
      <c r="A4448">
        <v>4447</v>
      </c>
      <c r="B4448">
        <v>69</v>
      </c>
      <c r="C4448" t="s">
        <v>11</v>
      </c>
      <c r="D4448" t="s">
        <v>41</v>
      </c>
      <c r="E4448" t="s">
        <v>46</v>
      </c>
      <c r="F4448">
        <v>159.97999999999999</v>
      </c>
      <c r="G4448" t="s">
        <v>24</v>
      </c>
      <c r="H4448" t="s">
        <v>15</v>
      </c>
      <c r="I4448">
        <v>2.9</v>
      </c>
      <c r="J4448">
        <v>24</v>
      </c>
      <c r="K4448">
        <v>7</v>
      </c>
    </row>
    <row r="4449" spans="1:11" x14ac:dyDescent="0.35">
      <c r="A4449">
        <v>4448</v>
      </c>
      <c r="B4449">
        <v>36</v>
      </c>
      <c r="C4449" t="s">
        <v>16</v>
      </c>
      <c r="D4449" t="s">
        <v>25</v>
      </c>
      <c r="E4449" t="s">
        <v>54</v>
      </c>
      <c r="F4449">
        <v>60.71</v>
      </c>
      <c r="G4449" t="s">
        <v>24</v>
      </c>
      <c r="H4449" t="s">
        <v>37</v>
      </c>
      <c r="I4449">
        <v>4.5</v>
      </c>
      <c r="J4449">
        <v>16</v>
      </c>
      <c r="K4449">
        <v>3</v>
      </c>
    </row>
    <row r="4450" spans="1:11" x14ac:dyDescent="0.35">
      <c r="A4450">
        <v>4449</v>
      </c>
      <c r="B4450">
        <v>46</v>
      </c>
      <c r="C4450" t="s">
        <v>11</v>
      </c>
      <c r="D4450" t="s">
        <v>22</v>
      </c>
      <c r="E4450" t="s">
        <v>43</v>
      </c>
      <c r="F4450">
        <v>118.81</v>
      </c>
      <c r="G4450" t="s">
        <v>14</v>
      </c>
      <c r="H4450" t="s">
        <v>15</v>
      </c>
      <c r="I4450">
        <v>4.0999999999999996</v>
      </c>
      <c r="J4450">
        <v>16</v>
      </c>
      <c r="K4450">
        <v>3</v>
      </c>
    </row>
    <row r="4451" spans="1:11" x14ac:dyDescent="0.35">
      <c r="A4451">
        <v>4450</v>
      </c>
      <c r="B4451">
        <v>53</v>
      </c>
      <c r="C4451" t="s">
        <v>16</v>
      </c>
      <c r="D4451" t="s">
        <v>20</v>
      </c>
      <c r="E4451" t="s">
        <v>21</v>
      </c>
      <c r="F4451">
        <v>115.93</v>
      </c>
      <c r="G4451" t="s">
        <v>31</v>
      </c>
      <c r="H4451" t="s">
        <v>15</v>
      </c>
      <c r="I4451">
        <v>3</v>
      </c>
      <c r="J4451">
        <v>6</v>
      </c>
      <c r="K4451">
        <v>3</v>
      </c>
    </row>
    <row r="4452" spans="1:11" x14ac:dyDescent="0.35">
      <c r="A4452">
        <v>4451</v>
      </c>
      <c r="B4452">
        <v>20</v>
      </c>
      <c r="C4452" t="s">
        <v>11</v>
      </c>
      <c r="D4452" t="s">
        <v>29</v>
      </c>
      <c r="E4452" t="s">
        <v>30</v>
      </c>
      <c r="F4452">
        <v>109.6</v>
      </c>
      <c r="G4452" t="s">
        <v>24</v>
      </c>
      <c r="H4452" t="s">
        <v>15</v>
      </c>
      <c r="I4452">
        <v>4.4000000000000004</v>
      </c>
      <c r="J4452">
        <v>16</v>
      </c>
      <c r="K4452">
        <v>8</v>
      </c>
    </row>
    <row r="4453" spans="1:11" x14ac:dyDescent="0.35">
      <c r="A4453">
        <v>4452</v>
      </c>
      <c r="B4453">
        <v>48</v>
      </c>
      <c r="C4453" t="s">
        <v>16</v>
      </c>
      <c r="D4453" t="s">
        <v>33</v>
      </c>
      <c r="E4453" t="s">
        <v>34</v>
      </c>
      <c r="F4453">
        <v>197.83</v>
      </c>
      <c r="G4453" t="s">
        <v>14</v>
      </c>
      <c r="H4453" t="s">
        <v>15</v>
      </c>
      <c r="I4453">
        <v>3.4</v>
      </c>
      <c r="J4453">
        <v>17</v>
      </c>
      <c r="K4453">
        <v>6</v>
      </c>
    </row>
    <row r="4454" spans="1:11" x14ac:dyDescent="0.35">
      <c r="A4454">
        <v>4453</v>
      </c>
      <c r="B4454">
        <v>29</v>
      </c>
      <c r="C4454" t="s">
        <v>11</v>
      </c>
      <c r="D4454" t="s">
        <v>33</v>
      </c>
      <c r="E4454" t="s">
        <v>40</v>
      </c>
      <c r="F4454">
        <v>68.819999999999993</v>
      </c>
      <c r="G4454" t="s">
        <v>31</v>
      </c>
      <c r="H4454" t="s">
        <v>15</v>
      </c>
      <c r="I4454">
        <v>3.6</v>
      </c>
      <c r="J4454">
        <v>0</v>
      </c>
      <c r="K4454">
        <v>0</v>
      </c>
    </row>
    <row r="4455" spans="1:11" x14ac:dyDescent="0.35">
      <c r="A4455">
        <v>4454</v>
      </c>
      <c r="B4455">
        <v>43</v>
      </c>
      <c r="C4455" t="s">
        <v>16</v>
      </c>
      <c r="D4455" t="s">
        <v>17</v>
      </c>
      <c r="E4455" t="s">
        <v>35</v>
      </c>
      <c r="F4455">
        <v>112.21</v>
      </c>
      <c r="G4455" t="s">
        <v>31</v>
      </c>
      <c r="H4455" t="s">
        <v>15</v>
      </c>
      <c r="I4455">
        <v>4.0999999999999996</v>
      </c>
      <c r="J4455">
        <v>12</v>
      </c>
      <c r="K4455">
        <v>6</v>
      </c>
    </row>
    <row r="4456" spans="1:11" x14ac:dyDescent="0.35">
      <c r="A4456">
        <v>4455</v>
      </c>
      <c r="B4456">
        <v>37</v>
      </c>
      <c r="C4456" t="s">
        <v>16</v>
      </c>
      <c r="D4456" t="s">
        <v>33</v>
      </c>
      <c r="E4456" t="s">
        <v>38</v>
      </c>
      <c r="F4456">
        <v>75.17</v>
      </c>
      <c r="G4456" t="s">
        <v>14</v>
      </c>
      <c r="H4456" t="s">
        <v>15</v>
      </c>
      <c r="I4456">
        <v>2.9</v>
      </c>
      <c r="J4456">
        <v>11</v>
      </c>
      <c r="K4456">
        <v>3</v>
      </c>
    </row>
    <row r="4457" spans="1:11" x14ac:dyDescent="0.35">
      <c r="A4457">
        <v>4456</v>
      </c>
      <c r="B4457">
        <v>49</v>
      </c>
      <c r="C4457" t="s">
        <v>16</v>
      </c>
      <c r="D4457" t="s">
        <v>27</v>
      </c>
      <c r="E4457" t="s">
        <v>53</v>
      </c>
      <c r="F4457">
        <v>2429.83</v>
      </c>
      <c r="G4457" t="s">
        <v>24</v>
      </c>
      <c r="H4457" t="s">
        <v>15</v>
      </c>
      <c r="I4457">
        <v>2.9</v>
      </c>
      <c r="J4457">
        <v>18</v>
      </c>
      <c r="K4457">
        <v>9</v>
      </c>
    </row>
    <row r="4458" spans="1:11" x14ac:dyDescent="0.35">
      <c r="A4458">
        <v>4457</v>
      </c>
      <c r="B4458">
        <v>38</v>
      </c>
      <c r="C4458" t="s">
        <v>16</v>
      </c>
      <c r="D4458" t="s">
        <v>27</v>
      </c>
      <c r="E4458" t="s">
        <v>53</v>
      </c>
      <c r="F4458">
        <v>1961.17</v>
      </c>
      <c r="G4458" t="s">
        <v>31</v>
      </c>
      <c r="H4458" t="s">
        <v>15</v>
      </c>
      <c r="I4458">
        <v>2.9</v>
      </c>
      <c r="J4458">
        <v>26</v>
      </c>
      <c r="K4458">
        <v>8</v>
      </c>
    </row>
    <row r="4459" spans="1:11" x14ac:dyDescent="0.35">
      <c r="A4459">
        <v>4458</v>
      </c>
      <c r="B4459">
        <v>41</v>
      </c>
      <c r="C4459" t="s">
        <v>11</v>
      </c>
      <c r="D4459" t="s">
        <v>33</v>
      </c>
      <c r="E4459" t="s">
        <v>38</v>
      </c>
      <c r="F4459">
        <v>119.89</v>
      </c>
      <c r="G4459" t="s">
        <v>24</v>
      </c>
      <c r="H4459" t="s">
        <v>15</v>
      </c>
      <c r="I4459">
        <v>3.6</v>
      </c>
      <c r="J4459">
        <v>11</v>
      </c>
      <c r="K4459">
        <v>3</v>
      </c>
    </row>
    <row r="4460" spans="1:11" x14ac:dyDescent="0.35">
      <c r="A4460">
        <v>4459</v>
      </c>
      <c r="B4460">
        <v>25</v>
      </c>
      <c r="C4460" t="s">
        <v>11</v>
      </c>
      <c r="D4460" t="s">
        <v>25</v>
      </c>
      <c r="E4460" t="s">
        <v>54</v>
      </c>
      <c r="F4460">
        <v>78.319999999999993</v>
      </c>
      <c r="G4460" t="s">
        <v>24</v>
      </c>
      <c r="H4460" t="s">
        <v>37</v>
      </c>
      <c r="I4460">
        <v>4.5999999999999996</v>
      </c>
      <c r="J4460">
        <v>24</v>
      </c>
      <c r="K4460">
        <v>7</v>
      </c>
    </row>
    <row r="4461" spans="1:11" x14ac:dyDescent="0.35">
      <c r="A4461">
        <v>4460</v>
      </c>
      <c r="B4461">
        <v>55</v>
      </c>
      <c r="C4461" t="s">
        <v>16</v>
      </c>
      <c r="D4461" t="s">
        <v>27</v>
      </c>
      <c r="E4461" t="s">
        <v>28</v>
      </c>
      <c r="F4461">
        <v>1710.6</v>
      </c>
      <c r="G4461" t="s">
        <v>14</v>
      </c>
      <c r="H4461" t="s">
        <v>15</v>
      </c>
      <c r="I4461">
        <v>4</v>
      </c>
      <c r="J4461">
        <v>16</v>
      </c>
      <c r="K4461">
        <v>3</v>
      </c>
    </row>
    <row r="4462" spans="1:11" x14ac:dyDescent="0.35">
      <c r="A4462">
        <v>4461</v>
      </c>
      <c r="B4462">
        <v>47</v>
      </c>
      <c r="C4462" t="s">
        <v>11</v>
      </c>
      <c r="D4462" t="s">
        <v>33</v>
      </c>
      <c r="E4462" t="s">
        <v>38</v>
      </c>
      <c r="F4462">
        <v>148.86000000000001</v>
      </c>
      <c r="G4462" t="s">
        <v>14</v>
      </c>
      <c r="H4462" t="s">
        <v>15</v>
      </c>
      <c r="I4462">
        <v>3.4</v>
      </c>
      <c r="J4462">
        <v>16</v>
      </c>
      <c r="K4462">
        <v>3</v>
      </c>
    </row>
    <row r="4463" spans="1:11" x14ac:dyDescent="0.35">
      <c r="A4463">
        <v>4462</v>
      </c>
      <c r="B4463">
        <v>70</v>
      </c>
      <c r="C4463" t="s">
        <v>16</v>
      </c>
      <c r="D4463" t="s">
        <v>22</v>
      </c>
      <c r="E4463" t="s">
        <v>23</v>
      </c>
      <c r="F4463">
        <v>194.65</v>
      </c>
      <c r="G4463" t="s">
        <v>31</v>
      </c>
      <c r="H4463" t="s">
        <v>15</v>
      </c>
      <c r="I4463">
        <v>3.3</v>
      </c>
      <c r="J4463">
        <v>12</v>
      </c>
      <c r="K4463">
        <v>6</v>
      </c>
    </row>
    <row r="4464" spans="1:11" x14ac:dyDescent="0.35">
      <c r="A4464">
        <v>4463</v>
      </c>
      <c r="B4464">
        <v>59</v>
      </c>
      <c r="C4464" t="s">
        <v>11</v>
      </c>
      <c r="D4464" t="s">
        <v>29</v>
      </c>
      <c r="E4464" t="s">
        <v>30</v>
      </c>
      <c r="F4464">
        <v>58.65</v>
      </c>
      <c r="G4464" t="s">
        <v>14</v>
      </c>
      <c r="H4464" t="s">
        <v>37</v>
      </c>
      <c r="I4464">
        <v>3.3</v>
      </c>
      <c r="J4464">
        <v>12</v>
      </c>
      <c r="K4464">
        <v>6</v>
      </c>
    </row>
    <row r="4465" spans="1:11" x14ac:dyDescent="0.35">
      <c r="A4465">
        <v>4464</v>
      </c>
      <c r="B4465">
        <v>21</v>
      </c>
      <c r="C4465" t="s">
        <v>11</v>
      </c>
      <c r="D4465" t="s">
        <v>33</v>
      </c>
      <c r="E4465" t="s">
        <v>38</v>
      </c>
      <c r="F4465">
        <v>228.61</v>
      </c>
      <c r="G4465" t="s">
        <v>14</v>
      </c>
      <c r="H4465" t="s">
        <v>15</v>
      </c>
      <c r="I4465">
        <v>2.5</v>
      </c>
      <c r="J4465">
        <v>10</v>
      </c>
      <c r="K4465">
        <v>5</v>
      </c>
    </row>
    <row r="4466" spans="1:11" x14ac:dyDescent="0.35">
      <c r="A4466">
        <v>4465</v>
      </c>
      <c r="B4466">
        <v>62</v>
      </c>
      <c r="C4466" t="s">
        <v>16</v>
      </c>
      <c r="D4466" t="s">
        <v>27</v>
      </c>
      <c r="E4466" t="s">
        <v>28</v>
      </c>
      <c r="F4466">
        <v>2057.65</v>
      </c>
      <c r="G4466" t="s">
        <v>19</v>
      </c>
      <c r="H4466" t="s">
        <v>15</v>
      </c>
      <c r="I4466">
        <v>4.0999999999999996</v>
      </c>
      <c r="J4466">
        <v>24</v>
      </c>
      <c r="K4466">
        <v>7</v>
      </c>
    </row>
    <row r="4467" spans="1:11" x14ac:dyDescent="0.35">
      <c r="A4467">
        <v>4466</v>
      </c>
      <c r="B4467">
        <v>25</v>
      </c>
      <c r="C4467" t="s">
        <v>11</v>
      </c>
      <c r="D4467" t="s">
        <v>33</v>
      </c>
      <c r="E4467" t="s">
        <v>38</v>
      </c>
      <c r="F4467">
        <v>138.83000000000001</v>
      </c>
      <c r="G4467" t="s">
        <v>31</v>
      </c>
      <c r="H4467" t="s">
        <v>15</v>
      </c>
      <c r="I4467">
        <v>3.8</v>
      </c>
      <c r="J4467">
        <v>20</v>
      </c>
      <c r="K4467">
        <v>5</v>
      </c>
    </row>
    <row r="4468" spans="1:11" x14ac:dyDescent="0.35">
      <c r="A4468">
        <v>4467</v>
      </c>
      <c r="B4468">
        <v>23</v>
      </c>
      <c r="C4468" t="s">
        <v>16</v>
      </c>
      <c r="D4468" t="s">
        <v>17</v>
      </c>
      <c r="E4468" t="s">
        <v>18</v>
      </c>
      <c r="F4468">
        <v>106.76</v>
      </c>
      <c r="G4468" t="s">
        <v>31</v>
      </c>
      <c r="H4468" t="s">
        <v>15</v>
      </c>
      <c r="I4468">
        <v>4.5</v>
      </c>
      <c r="J4468">
        <v>20</v>
      </c>
      <c r="K4468">
        <v>5</v>
      </c>
    </row>
    <row r="4469" spans="1:11" x14ac:dyDescent="0.35">
      <c r="A4469">
        <v>4468</v>
      </c>
      <c r="B4469">
        <v>62</v>
      </c>
      <c r="C4469" t="s">
        <v>16</v>
      </c>
      <c r="D4469" t="s">
        <v>27</v>
      </c>
      <c r="E4469" t="s">
        <v>53</v>
      </c>
      <c r="F4469">
        <v>2593.67</v>
      </c>
      <c r="G4469" t="s">
        <v>14</v>
      </c>
      <c r="H4469" t="s">
        <v>15</v>
      </c>
      <c r="I4469">
        <v>2.9</v>
      </c>
      <c r="J4469">
        <v>10</v>
      </c>
      <c r="K4469">
        <v>5</v>
      </c>
    </row>
    <row r="4470" spans="1:11" x14ac:dyDescent="0.35">
      <c r="A4470">
        <v>4469</v>
      </c>
      <c r="B4470">
        <v>30</v>
      </c>
      <c r="C4470" t="s">
        <v>16</v>
      </c>
      <c r="D4470" t="s">
        <v>17</v>
      </c>
      <c r="E4470" t="s">
        <v>48</v>
      </c>
      <c r="F4470">
        <v>195.55</v>
      </c>
      <c r="G4470" t="s">
        <v>19</v>
      </c>
      <c r="H4470" t="s">
        <v>15</v>
      </c>
      <c r="I4470">
        <v>3.9</v>
      </c>
      <c r="J4470">
        <v>18</v>
      </c>
      <c r="K4470">
        <v>4</v>
      </c>
    </row>
    <row r="4471" spans="1:11" x14ac:dyDescent="0.35">
      <c r="A4471">
        <v>4470</v>
      </c>
      <c r="B4471">
        <v>69</v>
      </c>
      <c r="C4471" t="s">
        <v>16</v>
      </c>
      <c r="D4471" t="s">
        <v>22</v>
      </c>
      <c r="E4471" t="s">
        <v>52</v>
      </c>
      <c r="F4471">
        <v>127.32</v>
      </c>
      <c r="G4471" t="s">
        <v>19</v>
      </c>
      <c r="H4471" t="s">
        <v>15</v>
      </c>
      <c r="I4471">
        <v>3.5</v>
      </c>
      <c r="J4471">
        <v>4</v>
      </c>
      <c r="K4471">
        <v>2</v>
      </c>
    </row>
    <row r="4472" spans="1:11" x14ac:dyDescent="0.35">
      <c r="A4472">
        <v>4471</v>
      </c>
      <c r="B4472">
        <v>29</v>
      </c>
      <c r="C4472" t="s">
        <v>16</v>
      </c>
      <c r="D4472" t="s">
        <v>33</v>
      </c>
      <c r="E4472" t="s">
        <v>34</v>
      </c>
      <c r="F4472">
        <v>86.48</v>
      </c>
      <c r="G4472" t="s">
        <v>19</v>
      </c>
      <c r="H4472" t="s">
        <v>15</v>
      </c>
      <c r="I4472">
        <v>3.7</v>
      </c>
      <c r="J4472">
        <v>11</v>
      </c>
      <c r="K4472">
        <v>3</v>
      </c>
    </row>
    <row r="4473" spans="1:11" x14ac:dyDescent="0.35">
      <c r="A4473">
        <v>4472</v>
      </c>
      <c r="B4473">
        <v>21</v>
      </c>
      <c r="C4473" t="s">
        <v>11</v>
      </c>
      <c r="D4473" t="s">
        <v>29</v>
      </c>
      <c r="E4473" t="s">
        <v>55</v>
      </c>
      <c r="F4473">
        <v>109.66</v>
      </c>
      <c r="G4473" t="s">
        <v>24</v>
      </c>
      <c r="H4473" t="s">
        <v>15</v>
      </c>
      <c r="I4473">
        <v>3.5</v>
      </c>
      <c r="J4473">
        <v>16</v>
      </c>
      <c r="K4473">
        <v>8</v>
      </c>
    </row>
    <row r="4474" spans="1:11" x14ac:dyDescent="0.35">
      <c r="A4474">
        <v>4473</v>
      </c>
      <c r="B4474">
        <v>57</v>
      </c>
      <c r="C4474" t="s">
        <v>11</v>
      </c>
      <c r="D4474" t="s">
        <v>12</v>
      </c>
      <c r="E4474" t="s">
        <v>13</v>
      </c>
      <c r="F4474">
        <v>63.39</v>
      </c>
      <c r="G4474" t="s">
        <v>24</v>
      </c>
      <c r="H4474" t="s">
        <v>37</v>
      </c>
      <c r="I4474">
        <v>4</v>
      </c>
      <c r="J4474">
        <v>17</v>
      </c>
      <c r="K4474">
        <v>6</v>
      </c>
    </row>
    <row r="4475" spans="1:11" x14ac:dyDescent="0.35">
      <c r="A4475">
        <v>4474</v>
      </c>
      <c r="B4475">
        <v>61</v>
      </c>
      <c r="C4475" t="s">
        <v>11</v>
      </c>
      <c r="D4475" t="s">
        <v>41</v>
      </c>
      <c r="E4475" t="s">
        <v>45</v>
      </c>
      <c r="F4475">
        <v>198.86</v>
      </c>
      <c r="G4475" t="s">
        <v>24</v>
      </c>
      <c r="H4475" t="s">
        <v>15</v>
      </c>
      <c r="I4475">
        <v>3.5</v>
      </c>
      <c r="J4475">
        <v>15</v>
      </c>
      <c r="K4475">
        <v>5</v>
      </c>
    </row>
    <row r="4476" spans="1:11" x14ac:dyDescent="0.35">
      <c r="A4476">
        <v>4475</v>
      </c>
      <c r="B4476">
        <v>29</v>
      </c>
      <c r="C4476" t="s">
        <v>11</v>
      </c>
      <c r="D4476" t="s">
        <v>29</v>
      </c>
      <c r="E4476" t="s">
        <v>51</v>
      </c>
      <c r="F4476">
        <v>143.68</v>
      </c>
      <c r="G4476" t="s">
        <v>19</v>
      </c>
      <c r="H4476" t="s">
        <v>15</v>
      </c>
      <c r="I4476">
        <v>3.5</v>
      </c>
      <c r="J4476">
        <v>11</v>
      </c>
      <c r="K4476">
        <v>3</v>
      </c>
    </row>
    <row r="4477" spans="1:11" x14ac:dyDescent="0.35">
      <c r="A4477">
        <v>4476</v>
      </c>
      <c r="B4477">
        <v>44</v>
      </c>
      <c r="C4477" t="s">
        <v>16</v>
      </c>
      <c r="D4477" t="s">
        <v>27</v>
      </c>
      <c r="E4477" t="s">
        <v>28</v>
      </c>
      <c r="F4477">
        <v>605.67999999999995</v>
      </c>
      <c r="G4477" t="s">
        <v>31</v>
      </c>
      <c r="H4477" t="s">
        <v>15</v>
      </c>
      <c r="I4477">
        <v>3</v>
      </c>
      <c r="J4477">
        <v>20</v>
      </c>
      <c r="K4477">
        <v>5</v>
      </c>
    </row>
    <row r="4478" spans="1:11" x14ac:dyDescent="0.35">
      <c r="A4478">
        <v>4477</v>
      </c>
      <c r="B4478">
        <v>24</v>
      </c>
      <c r="C4478" t="s">
        <v>11</v>
      </c>
      <c r="D4478" t="s">
        <v>33</v>
      </c>
      <c r="E4478" t="s">
        <v>34</v>
      </c>
      <c r="F4478">
        <v>52.58</v>
      </c>
      <c r="G4478" t="s">
        <v>14</v>
      </c>
      <c r="H4478" t="s">
        <v>37</v>
      </c>
      <c r="I4478">
        <v>2.4</v>
      </c>
      <c r="J4478">
        <v>13</v>
      </c>
      <c r="K4478">
        <v>4</v>
      </c>
    </row>
    <row r="4479" spans="1:11" x14ac:dyDescent="0.35">
      <c r="A4479">
        <v>4478</v>
      </c>
      <c r="B4479">
        <v>51</v>
      </c>
      <c r="C4479" t="s">
        <v>16</v>
      </c>
      <c r="D4479" t="s">
        <v>20</v>
      </c>
      <c r="E4479" t="s">
        <v>36</v>
      </c>
      <c r="F4479">
        <v>179.61</v>
      </c>
      <c r="G4479" t="s">
        <v>14</v>
      </c>
      <c r="H4479" t="s">
        <v>15</v>
      </c>
      <c r="I4479">
        <v>2.9</v>
      </c>
      <c r="J4479">
        <v>9</v>
      </c>
      <c r="K4479">
        <v>2</v>
      </c>
    </row>
    <row r="4480" spans="1:11" x14ac:dyDescent="0.35">
      <c r="A4480">
        <v>4479</v>
      </c>
      <c r="B4480">
        <v>35</v>
      </c>
      <c r="C4480" t="s">
        <v>11</v>
      </c>
      <c r="D4480" t="s">
        <v>41</v>
      </c>
      <c r="E4480" t="s">
        <v>46</v>
      </c>
      <c r="F4480">
        <v>170.61</v>
      </c>
      <c r="G4480" t="s">
        <v>19</v>
      </c>
      <c r="H4480" t="s">
        <v>15</v>
      </c>
      <c r="I4480">
        <v>4.3</v>
      </c>
      <c r="J4480">
        <v>24</v>
      </c>
      <c r="K4480">
        <v>7</v>
      </c>
    </row>
    <row r="4481" spans="1:11" x14ac:dyDescent="0.35">
      <c r="A4481">
        <v>4480</v>
      </c>
      <c r="B4481">
        <v>61</v>
      </c>
      <c r="C4481" t="s">
        <v>16</v>
      </c>
      <c r="D4481" t="s">
        <v>17</v>
      </c>
      <c r="E4481" t="s">
        <v>18</v>
      </c>
      <c r="F4481">
        <v>124.26</v>
      </c>
      <c r="G4481" t="s">
        <v>31</v>
      </c>
      <c r="H4481" t="s">
        <v>15</v>
      </c>
      <c r="I4481">
        <v>3.6</v>
      </c>
      <c r="J4481">
        <v>15</v>
      </c>
      <c r="K4481">
        <v>5</v>
      </c>
    </row>
    <row r="4482" spans="1:11" x14ac:dyDescent="0.35">
      <c r="A4482">
        <v>4481</v>
      </c>
      <c r="B4482">
        <v>54</v>
      </c>
      <c r="C4482" t="s">
        <v>11</v>
      </c>
      <c r="D4482" t="s">
        <v>41</v>
      </c>
      <c r="E4482" t="s">
        <v>45</v>
      </c>
      <c r="F4482">
        <v>102.38</v>
      </c>
      <c r="G4482" t="s">
        <v>14</v>
      </c>
      <c r="H4482" t="s">
        <v>15</v>
      </c>
      <c r="I4482">
        <v>4.8</v>
      </c>
      <c r="J4482">
        <v>6</v>
      </c>
      <c r="K4482">
        <v>3</v>
      </c>
    </row>
    <row r="4483" spans="1:11" x14ac:dyDescent="0.35">
      <c r="A4483">
        <v>4482</v>
      </c>
      <c r="B4483">
        <v>31</v>
      </c>
      <c r="C4483" t="s">
        <v>16</v>
      </c>
      <c r="D4483" t="s">
        <v>17</v>
      </c>
      <c r="E4483" t="s">
        <v>42</v>
      </c>
      <c r="F4483">
        <v>129.77000000000001</v>
      </c>
      <c r="G4483" t="s">
        <v>14</v>
      </c>
      <c r="H4483" t="s">
        <v>15</v>
      </c>
      <c r="I4483">
        <v>3.3</v>
      </c>
      <c r="J4483">
        <v>11</v>
      </c>
      <c r="K4483">
        <v>3</v>
      </c>
    </row>
    <row r="4484" spans="1:11" x14ac:dyDescent="0.35">
      <c r="A4484">
        <v>4483</v>
      </c>
      <c r="B4484">
        <v>31</v>
      </c>
      <c r="C4484" t="s">
        <v>16</v>
      </c>
      <c r="D4484" t="s">
        <v>20</v>
      </c>
      <c r="E4484" t="s">
        <v>21</v>
      </c>
      <c r="F4484">
        <v>107.4</v>
      </c>
      <c r="G4484" t="s">
        <v>19</v>
      </c>
      <c r="H4484" t="s">
        <v>15</v>
      </c>
      <c r="I4484">
        <v>3.2</v>
      </c>
      <c r="J4484">
        <v>15</v>
      </c>
      <c r="K4484">
        <v>5</v>
      </c>
    </row>
    <row r="4485" spans="1:11" x14ac:dyDescent="0.35">
      <c r="A4485">
        <v>4484</v>
      </c>
      <c r="B4485">
        <v>56</v>
      </c>
      <c r="C4485" t="s">
        <v>16</v>
      </c>
      <c r="D4485" t="s">
        <v>27</v>
      </c>
      <c r="E4485" t="s">
        <v>28</v>
      </c>
      <c r="F4485">
        <v>1554.91</v>
      </c>
      <c r="G4485" t="s">
        <v>14</v>
      </c>
      <c r="H4485" t="s">
        <v>15</v>
      </c>
      <c r="I4485">
        <v>2.8</v>
      </c>
      <c r="J4485">
        <v>7</v>
      </c>
      <c r="K4485">
        <v>1</v>
      </c>
    </row>
    <row r="4486" spans="1:11" x14ac:dyDescent="0.35">
      <c r="A4486">
        <v>4485</v>
      </c>
      <c r="B4486">
        <v>66</v>
      </c>
      <c r="C4486" t="s">
        <v>11</v>
      </c>
      <c r="D4486" t="s">
        <v>41</v>
      </c>
      <c r="E4486" t="s">
        <v>45</v>
      </c>
      <c r="F4486">
        <v>131.11000000000001</v>
      </c>
      <c r="G4486" t="s">
        <v>14</v>
      </c>
      <c r="H4486" t="s">
        <v>15</v>
      </c>
      <c r="I4486">
        <v>3</v>
      </c>
      <c r="J4486">
        <v>20</v>
      </c>
      <c r="K4486">
        <v>10</v>
      </c>
    </row>
    <row r="4487" spans="1:11" x14ac:dyDescent="0.35">
      <c r="A4487">
        <v>4486</v>
      </c>
      <c r="B4487">
        <v>38</v>
      </c>
      <c r="C4487" t="s">
        <v>16</v>
      </c>
      <c r="D4487" t="s">
        <v>17</v>
      </c>
      <c r="E4487" t="s">
        <v>48</v>
      </c>
      <c r="F4487">
        <v>52.09</v>
      </c>
      <c r="G4487" t="s">
        <v>24</v>
      </c>
      <c r="H4487" t="s">
        <v>15</v>
      </c>
      <c r="I4487">
        <v>4.2</v>
      </c>
      <c r="J4487">
        <v>14</v>
      </c>
      <c r="K4487">
        <v>2</v>
      </c>
    </row>
    <row r="4488" spans="1:11" x14ac:dyDescent="0.35">
      <c r="A4488">
        <v>4487</v>
      </c>
      <c r="B4488">
        <v>25</v>
      </c>
      <c r="C4488" t="s">
        <v>16</v>
      </c>
      <c r="D4488" t="s">
        <v>20</v>
      </c>
      <c r="E4488" t="s">
        <v>39</v>
      </c>
      <c r="F4488">
        <v>130.22999999999999</v>
      </c>
      <c r="G4488" t="s">
        <v>31</v>
      </c>
      <c r="H4488" t="s">
        <v>15</v>
      </c>
      <c r="I4488">
        <v>4.7</v>
      </c>
      <c r="J4488">
        <v>16</v>
      </c>
      <c r="K4488">
        <v>3</v>
      </c>
    </row>
    <row r="4489" spans="1:11" x14ac:dyDescent="0.35">
      <c r="A4489">
        <v>4488</v>
      </c>
      <c r="B4489">
        <v>44</v>
      </c>
      <c r="C4489" t="s">
        <v>16</v>
      </c>
      <c r="D4489" t="s">
        <v>20</v>
      </c>
      <c r="E4489" t="s">
        <v>21</v>
      </c>
      <c r="F4489">
        <v>125.56</v>
      </c>
      <c r="G4489" t="s">
        <v>31</v>
      </c>
      <c r="H4489" t="s">
        <v>15</v>
      </c>
      <c r="I4489">
        <v>3.2</v>
      </c>
      <c r="J4489">
        <v>12</v>
      </c>
      <c r="K4489">
        <v>1</v>
      </c>
    </row>
    <row r="4490" spans="1:11" x14ac:dyDescent="0.35">
      <c r="A4490">
        <v>4489</v>
      </c>
      <c r="B4490">
        <v>60</v>
      </c>
      <c r="C4490" t="s">
        <v>11</v>
      </c>
      <c r="D4490" t="s">
        <v>33</v>
      </c>
      <c r="E4490" t="s">
        <v>40</v>
      </c>
      <c r="F4490">
        <v>76.16</v>
      </c>
      <c r="G4490" t="s">
        <v>24</v>
      </c>
      <c r="H4490" t="s">
        <v>15</v>
      </c>
      <c r="I4490">
        <v>4.7</v>
      </c>
      <c r="J4490">
        <v>13</v>
      </c>
      <c r="K4490">
        <v>4</v>
      </c>
    </row>
    <row r="4491" spans="1:11" x14ac:dyDescent="0.35">
      <c r="A4491">
        <v>4490</v>
      </c>
      <c r="B4491">
        <v>50</v>
      </c>
      <c r="C4491" t="s">
        <v>16</v>
      </c>
      <c r="D4491" t="s">
        <v>17</v>
      </c>
      <c r="E4491" t="s">
        <v>35</v>
      </c>
      <c r="F4491">
        <v>37.53</v>
      </c>
      <c r="G4491" t="s">
        <v>24</v>
      </c>
      <c r="H4491" t="s">
        <v>15</v>
      </c>
      <c r="I4491">
        <v>3.5</v>
      </c>
      <c r="J4491">
        <v>8</v>
      </c>
      <c r="K4491">
        <v>4</v>
      </c>
    </row>
    <row r="4492" spans="1:11" x14ac:dyDescent="0.35">
      <c r="A4492">
        <v>4491</v>
      </c>
      <c r="B4492">
        <v>51</v>
      </c>
      <c r="C4492" t="s">
        <v>16</v>
      </c>
      <c r="D4492" t="s">
        <v>17</v>
      </c>
      <c r="E4492" t="s">
        <v>35</v>
      </c>
      <c r="F4492">
        <v>100.29</v>
      </c>
      <c r="G4492" t="s">
        <v>24</v>
      </c>
      <c r="H4492" t="s">
        <v>15</v>
      </c>
      <c r="I4492">
        <v>3.5</v>
      </c>
      <c r="J4492">
        <v>14</v>
      </c>
      <c r="K4492">
        <v>7</v>
      </c>
    </row>
    <row r="4493" spans="1:11" x14ac:dyDescent="0.35">
      <c r="A4493">
        <v>4492</v>
      </c>
      <c r="B4493">
        <v>26</v>
      </c>
      <c r="C4493" t="s">
        <v>16</v>
      </c>
      <c r="D4493" t="s">
        <v>27</v>
      </c>
      <c r="E4493" t="s">
        <v>49</v>
      </c>
      <c r="F4493">
        <v>1336.49</v>
      </c>
      <c r="G4493" t="s">
        <v>24</v>
      </c>
      <c r="H4493" t="s">
        <v>15</v>
      </c>
      <c r="I4493">
        <v>3.8</v>
      </c>
      <c r="J4493">
        <v>9</v>
      </c>
      <c r="K4493">
        <v>2</v>
      </c>
    </row>
    <row r="4494" spans="1:11" x14ac:dyDescent="0.35">
      <c r="A4494">
        <v>4493</v>
      </c>
      <c r="B4494">
        <v>23</v>
      </c>
      <c r="C4494" t="s">
        <v>16</v>
      </c>
      <c r="D4494" t="s">
        <v>22</v>
      </c>
      <c r="E4494" t="s">
        <v>52</v>
      </c>
      <c r="F4494">
        <v>207.75</v>
      </c>
      <c r="G4494" t="s">
        <v>24</v>
      </c>
      <c r="H4494" t="s">
        <v>15</v>
      </c>
      <c r="I4494">
        <v>4.9000000000000004</v>
      </c>
      <c r="J4494">
        <v>17</v>
      </c>
      <c r="K4494">
        <v>6</v>
      </c>
    </row>
    <row r="4495" spans="1:11" x14ac:dyDescent="0.35">
      <c r="A4495">
        <v>4494</v>
      </c>
      <c r="B4495">
        <v>25</v>
      </c>
      <c r="C4495" t="s">
        <v>11</v>
      </c>
      <c r="D4495" t="s">
        <v>22</v>
      </c>
      <c r="E4495" t="s">
        <v>43</v>
      </c>
      <c r="F4495">
        <v>44.45</v>
      </c>
      <c r="G4495" t="s">
        <v>31</v>
      </c>
      <c r="H4495" t="s">
        <v>37</v>
      </c>
      <c r="I4495">
        <v>5</v>
      </c>
      <c r="J4495">
        <v>10</v>
      </c>
      <c r="K4495">
        <v>5</v>
      </c>
    </row>
    <row r="4496" spans="1:11" x14ac:dyDescent="0.35">
      <c r="A4496">
        <v>4495</v>
      </c>
      <c r="B4496">
        <v>34</v>
      </c>
      <c r="C4496" t="s">
        <v>11</v>
      </c>
      <c r="D4496" t="s">
        <v>22</v>
      </c>
      <c r="E4496" t="s">
        <v>52</v>
      </c>
      <c r="F4496">
        <v>228.41</v>
      </c>
      <c r="G4496" t="s">
        <v>24</v>
      </c>
      <c r="H4496" t="s">
        <v>15</v>
      </c>
      <c r="I4496">
        <v>3.5</v>
      </c>
      <c r="J4496">
        <v>8</v>
      </c>
      <c r="K4496">
        <v>4</v>
      </c>
    </row>
    <row r="4497" spans="1:11" x14ac:dyDescent="0.35">
      <c r="A4497">
        <v>4496</v>
      </c>
      <c r="B4497">
        <v>24</v>
      </c>
      <c r="C4497" t="s">
        <v>16</v>
      </c>
      <c r="D4497" t="s">
        <v>22</v>
      </c>
      <c r="E4497" t="s">
        <v>52</v>
      </c>
      <c r="F4497">
        <v>69.23</v>
      </c>
      <c r="G4497" t="s">
        <v>19</v>
      </c>
      <c r="H4497" t="s">
        <v>37</v>
      </c>
      <c r="I4497">
        <v>4.2</v>
      </c>
      <c r="J4497">
        <v>4</v>
      </c>
      <c r="K4497">
        <v>2</v>
      </c>
    </row>
    <row r="4498" spans="1:11" x14ac:dyDescent="0.35">
      <c r="A4498">
        <v>4497</v>
      </c>
      <c r="B4498">
        <v>40</v>
      </c>
      <c r="C4498" t="s">
        <v>11</v>
      </c>
      <c r="D4498" t="s">
        <v>29</v>
      </c>
      <c r="E4498" t="s">
        <v>55</v>
      </c>
      <c r="F4498">
        <v>37.65</v>
      </c>
      <c r="G4498" t="s">
        <v>24</v>
      </c>
      <c r="H4498" t="s">
        <v>37</v>
      </c>
      <c r="I4498">
        <v>4.3</v>
      </c>
      <c r="J4498">
        <v>27</v>
      </c>
      <c r="K4498">
        <v>11</v>
      </c>
    </row>
    <row r="4499" spans="1:11" x14ac:dyDescent="0.35">
      <c r="A4499">
        <v>4498</v>
      </c>
      <c r="B4499">
        <v>23</v>
      </c>
      <c r="C4499" t="s">
        <v>16</v>
      </c>
      <c r="D4499" t="s">
        <v>27</v>
      </c>
      <c r="E4499" t="s">
        <v>49</v>
      </c>
      <c r="F4499">
        <v>1286.98</v>
      </c>
      <c r="G4499" t="s">
        <v>19</v>
      </c>
      <c r="H4499" t="s">
        <v>15</v>
      </c>
      <c r="I4499">
        <v>4</v>
      </c>
      <c r="J4499">
        <v>14</v>
      </c>
      <c r="K4499">
        <v>7</v>
      </c>
    </row>
    <row r="4500" spans="1:11" x14ac:dyDescent="0.35">
      <c r="A4500">
        <v>4499</v>
      </c>
      <c r="B4500">
        <v>28</v>
      </c>
      <c r="C4500" t="s">
        <v>11</v>
      </c>
      <c r="D4500" t="s">
        <v>33</v>
      </c>
      <c r="E4500" t="s">
        <v>40</v>
      </c>
      <c r="F4500">
        <v>99.44</v>
      </c>
      <c r="G4500" t="s">
        <v>24</v>
      </c>
      <c r="H4500" t="s">
        <v>15</v>
      </c>
      <c r="I4500">
        <v>3.7</v>
      </c>
      <c r="J4500">
        <v>20</v>
      </c>
      <c r="K4500">
        <v>5</v>
      </c>
    </row>
    <row r="4501" spans="1:11" x14ac:dyDescent="0.35">
      <c r="A4501">
        <v>4500</v>
      </c>
      <c r="B4501">
        <v>22</v>
      </c>
      <c r="C4501" t="s">
        <v>16</v>
      </c>
      <c r="D4501" t="s">
        <v>20</v>
      </c>
      <c r="E4501" t="s">
        <v>21</v>
      </c>
      <c r="F4501">
        <v>215.07</v>
      </c>
      <c r="G4501" t="s">
        <v>24</v>
      </c>
      <c r="H4501" t="s">
        <v>15</v>
      </c>
      <c r="I4501">
        <v>2.5</v>
      </c>
      <c r="J4501">
        <v>24</v>
      </c>
      <c r="K4501">
        <v>7</v>
      </c>
    </row>
    <row r="4502" spans="1:11" x14ac:dyDescent="0.35">
      <c r="A4502">
        <v>4501</v>
      </c>
      <c r="B4502">
        <v>27</v>
      </c>
      <c r="C4502" t="s">
        <v>16</v>
      </c>
      <c r="D4502" t="s">
        <v>27</v>
      </c>
      <c r="E4502" t="s">
        <v>53</v>
      </c>
      <c r="F4502">
        <v>975.24</v>
      </c>
      <c r="G4502" t="s">
        <v>19</v>
      </c>
      <c r="H4502" t="s">
        <v>15</v>
      </c>
      <c r="I4502">
        <v>3.6</v>
      </c>
      <c r="J4502">
        <v>4</v>
      </c>
      <c r="K4502">
        <v>2</v>
      </c>
    </row>
    <row r="4503" spans="1:11" x14ac:dyDescent="0.35">
      <c r="A4503">
        <v>4502</v>
      </c>
      <c r="B4503">
        <v>58</v>
      </c>
      <c r="C4503" t="s">
        <v>11</v>
      </c>
      <c r="D4503" t="s">
        <v>41</v>
      </c>
      <c r="E4503" t="s">
        <v>44</v>
      </c>
      <c r="F4503">
        <v>52.67</v>
      </c>
      <c r="G4503" t="s">
        <v>19</v>
      </c>
      <c r="H4503" t="s">
        <v>37</v>
      </c>
      <c r="I4503">
        <v>3.3</v>
      </c>
      <c r="J4503">
        <v>16</v>
      </c>
      <c r="K4503">
        <v>8</v>
      </c>
    </row>
    <row r="4504" spans="1:11" x14ac:dyDescent="0.35">
      <c r="A4504">
        <v>4503</v>
      </c>
      <c r="B4504">
        <v>49</v>
      </c>
      <c r="C4504" t="s">
        <v>16</v>
      </c>
      <c r="D4504" t="s">
        <v>27</v>
      </c>
      <c r="E4504" t="s">
        <v>53</v>
      </c>
      <c r="F4504">
        <v>2177.2800000000002</v>
      </c>
      <c r="G4504" t="s">
        <v>31</v>
      </c>
      <c r="H4504" t="s">
        <v>15</v>
      </c>
      <c r="I4504">
        <v>3.6</v>
      </c>
      <c r="J4504">
        <v>26</v>
      </c>
      <c r="K4504">
        <v>8</v>
      </c>
    </row>
    <row r="4505" spans="1:11" x14ac:dyDescent="0.35">
      <c r="A4505">
        <v>4504</v>
      </c>
      <c r="B4505">
        <v>60</v>
      </c>
      <c r="C4505" t="s">
        <v>11</v>
      </c>
      <c r="D4505" t="s">
        <v>41</v>
      </c>
      <c r="E4505" t="s">
        <v>45</v>
      </c>
      <c r="F4505">
        <v>90.75</v>
      </c>
      <c r="G4505" t="s">
        <v>19</v>
      </c>
      <c r="H4505" t="s">
        <v>15</v>
      </c>
      <c r="I4505">
        <v>3.7</v>
      </c>
      <c r="J4505">
        <v>25</v>
      </c>
      <c r="K4505">
        <v>10</v>
      </c>
    </row>
    <row r="4506" spans="1:11" x14ac:dyDescent="0.35">
      <c r="A4506">
        <v>4505</v>
      </c>
      <c r="B4506">
        <v>23</v>
      </c>
      <c r="C4506" t="s">
        <v>11</v>
      </c>
      <c r="D4506" t="s">
        <v>33</v>
      </c>
      <c r="E4506" t="s">
        <v>40</v>
      </c>
      <c r="F4506">
        <v>200.4</v>
      </c>
      <c r="G4506" t="s">
        <v>14</v>
      </c>
      <c r="H4506" t="s">
        <v>15</v>
      </c>
      <c r="I4506">
        <v>3</v>
      </c>
      <c r="J4506">
        <v>19</v>
      </c>
      <c r="K4506">
        <v>7</v>
      </c>
    </row>
    <row r="4507" spans="1:11" x14ac:dyDescent="0.35">
      <c r="A4507">
        <v>4506</v>
      </c>
      <c r="B4507">
        <v>51</v>
      </c>
      <c r="C4507" t="s">
        <v>11</v>
      </c>
      <c r="D4507" t="s">
        <v>29</v>
      </c>
      <c r="E4507" t="s">
        <v>30</v>
      </c>
      <c r="F4507">
        <v>20.2</v>
      </c>
      <c r="G4507" t="s">
        <v>14</v>
      </c>
      <c r="H4507" t="s">
        <v>37</v>
      </c>
      <c r="I4507">
        <v>5</v>
      </c>
      <c r="J4507">
        <v>15</v>
      </c>
      <c r="K4507">
        <v>5</v>
      </c>
    </row>
    <row r="4508" spans="1:11" x14ac:dyDescent="0.35">
      <c r="A4508">
        <v>4507</v>
      </c>
      <c r="B4508">
        <v>42</v>
      </c>
      <c r="C4508" t="s">
        <v>16</v>
      </c>
      <c r="D4508" t="s">
        <v>17</v>
      </c>
      <c r="E4508" t="s">
        <v>18</v>
      </c>
      <c r="F4508">
        <v>120.04</v>
      </c>
      <c r="G4508" t="s">
        <v>31</v>
      </c>
      <c r="H4508" t="s">
        <v>15</v>
      </c>
      <c r="I4508">
        <v>4.8</v>
      </c>
      <c r="J4508">
        <v>17</v>
      </c>
      <c r="K4508">
        <v>6</v>
      </c>
    </row>
    <row r="4509" spans="1:11" x14ac:dyDescent="0.35">
      <c r="A4509">
        <v>4508</v>
      </c>
      <c r="B4509">
        <v>63</v>
      </c>
      <c r="C4509" t="s">
        <v>11</v>
      </c>
      <c r="D4509" t="s">
        <v>29</v>
      </c>
      <c r="E4509" t="s">
        <v>55</v>
      </c>
      <c r="F4509">
        <v>64.58</v>
      </c>
      <c r="G4509" t="s">
        <v>14</v>
      </c>
      <c r="H4509" t="s">
        <v>15</v>
      </c>
      <c r="I4509">
        <v>3.5</v>
      </c>
      <c r="J4509">
        <v>6</v>
      </c>
      <c r="K4509">
        <v>3</v>
      </c>
    </row>
    <row r="4510" spans="1:11" x14ac:dyDescent="0.35">
      <c r="A4510">
        <v>4509</v>
      </c>
      <c r="B4510">
        <v>21</v>
      </c>
      <c r="C4510" t="s">
        <v>16</v>
      </c>
      <c r="D4510" t="s">
        <v>25</v>
      </c>
      <c r="E4510" t="s">
        <v>47</v>
      </c>
      <c r="F4510">
        <v>5.44</v>
      </c>
      <c r="G4510" t="s">
        <v>31</v>
      </c>
      <c r="H4510" t="s">
        <v>15</v>
      </c>
      <c r="I4510">
        <v>3.7</v>
      </c>
      <c r="J4510">
        <v>22</v>
      </c>
      <c r="K4510">
        <v>6</v>
      </c>
    </row>
    <row r="4511" spans="1:11" x14ac:dyDescent="0.35">
      <c r="A4511">
        <v>4510</v>
      </c>
      <c r="B4511">
        <v>52</v>
      </c>
      <c r="C4511" t="s">
        <v>16</v>
      </c>
      <c r="D4511" t="s">
        <v>27</v>
      </c>
      <c r="E4511" t="s">
        <v>28</v>
      </c>
      <c r="F4511">
        <v>1371.54</v>
      </c>
      <c r="G4511" t="s">
        <v>24</v>
      </c>
      <c r="H4511" t="s">
        <v>15</v>
      </c>
      <c r="I4511">
        <v>3.4</v>
      </c>
      <c r="J4511">
        <v>14</v>
      </c>
      <c r="K4511">
        <v>7</v>
      </c>
    </row>
    <row r="4512" spans="1:11" x14ac:dyDescent="0.35">
      <c r="A4512">
        <v>4511</v>
      </c>
      <c r="B4512">
        <v>30</v>
      </c>
      <c r="C4512" t="s">
        <v>16</v>
      </c>
      <c r="D4512" t="s">
        <v>33</v>
      </c>
      <c r="E4512" t="s">
        <v>34</v>
      </c>
      <c r="F4512">
        <v>193.68</v>
      </c>
      <c r="G4512" t="s">
        <v>24</v>
      </c>
      <c r="H4512" t="s">
        <v>15</v>
      </c>
      <c r="I4512">
        <v>3.1</v>
      </c>
      <c r="J4512">
        <v>14</v>
      </c>
      <c r="K4512">
        <v>2</v>
      </c>
    </row>
    <row r="4513" spans="1:11" x14ac:dyDescent="0.35">
      <c r="A4513">
        <v>4512</v>
      </c>
      <c r="B4513">
        <v>70</v>
      </c>
      <c r="C4513" t="s">
        <v>11</v>
      </c>
      <c r="D4513" t="s">
        <v>41</v>
      </c>
      <c r="E4513" t="s">
        <v>42</v>
      </c>
      <c r="F4513">
        <v>142.97</v>
      </c>
      <c r="G4513" t="s">
        <v>24</v>
      </c>
      <c r="H4513" t="s">
        <v>15</v>
      </c>
      <c r="I4513">
        <v>4</v>
      </c>
      <c r="J4513">
        <v>17</v>
      </c>
      <c r="K4513">
        <v>6</v>
      </c>
    </row>
    <row r="4514" spans="1:11" x14ac:dyDescent="0.35">
      <c r="A4514">
        <v>4513</v>
      </c>
      <c r="B4514">
        <v>61</v>
      </c>
      <c r="C4514" t="s">
        <v>11</v>
      </c>
      <c r="D4514" t="s">
        <v>12</v>
      </c>
      <c r="E4514" t="s">
        <v>50</v>
      </c>
      <c r="F4514">
        <v>119.4</v>
      </c>
      <c r="G4514" t="s">
        <v>24</v>
      </c>
      <c r="H4514" t="s">
        <v>15</v>
      </c>
      <c r="I4514">
        <v>4.3</v>
      </c>
      <c r="J4514">
        <v>26</v>
      </c>
      <c r="K4514">
        <v>8</v>
      </c>
    </row>
    <row r="4515" spans="1:11" x14ac:dyDescent="0.35">
      <c r="A4515">
        <v>4514</v>
      </c>
      <c r="B4515">
        <v>55</v>
      </c>
      <c r="C4515" t="s">
        <v>11</v>
      </c>
      <c r="D4515" t="s">
        <v>41</v>
      </c>
      <c r="E4515" t="s">
        <v>45</v>
      </c>
      <c r="F4515">
        <v>178.14</v>
      </c>
      <c r="G4515" t="s">
        <v>14</v>
      </c>
      <c r="H4515" t="s">
        <v>15</v>
      </c>
      <c r="I4515">
        <v>4.7</v>
      </c>
      <c r="J4515">
        <v>16</v>
      </c>
      <c r="K4515">
        <v>3</v>
      </c>
    </row>
    <row r="4516" spans="1:11" x14ac:dyDescent="0.35">
      <c r="A4516">
        <v>4515</v>
      </c>
      <c r="B4516">
        <v>65</v>
      </c>
      <c r="C4516" t="s">
        <v>16</v>
      </c>
      <c r="D4516" t="s">
        <v>25</v>
      </c>
      <c r="E4516" t="s">
        <v>54</v>
      </c>
      <c r="F4516">
        <v>13.59</v>
      </c>
      <c r="G4516" t="s">
        <v>19</v>
      </c>
      <c r="H4516" t="s">
        <v>15</v>
      </c>
      <c r="I4516">
        <v>3.1</v>
      </c>
      <c r="J4516">
        <v>10</v>
      </c>
      <c r="K4516">
        <v>5</v>
      </c>
    </row>
    <row r="4517" spans="1:11" x14ac:dyDescent="0.35">
      <c r="A4517">
        <v>4516</v>
      </c>
      <c r="B4517">
        <v>41</v>
      </c>
      <c r="C4517" t="s">
        <v>16</v>
      </c>
      <c r="D4517" t="s">
        <v>25</v>
      </c>
      <c r="E4517" t="s">
        <v>57</v>
      </c>
      <c r="F4517">
        <v>11.01</v>
      </c>
      <c r="G4517" t="s">
        <v>31</v>
      </c>
      <c r="H4517" t="s">
        <v>37</v>
      </c>
      <c r="I4517">
        <v>4.5999999999999996</v>
      </c>
      <c r="J4517">
        <v>13</v>
      </c>
      <c r="K4517">
        <v>4</v>
      </c>
    </row>
    <row r="4518" spans="1:11" x14ac:dyDescent="0.35">
      <c r="A4518">
        <v>4517</v>
      </c>
      <c r="B4518">
        <v>35</v>
      </c>
      <c r="C4518" t="s">
        <v>16</v>
      </c>
      <c r="D4518" t="s">
        <v>20</v>
      </c>
      <c r="E4518" t="s">
        <v>36</v>
      </c>
      <c r="F4518">
        <v>156.76</v>
      </c>
      <c r="G4518" t="s">
        <v>24</v>
      </c>
      <c r="H4518" t="s">
        <v>15</v>
      </c>
      <c r="I4518">
        <v>3.3</v>
      </c>
      <c r="J4518">
        <v>6</v>
      </c>
      <c r="K4518">
        <v>3</v>
      </c>
    </row>
    <row r="4519" spans="1:11" x14ac:dyDescent="0.35">
      <c r="A4519">
        <v>4518</v>
      </c>
      <c r="B4519">
        <v>55</v>
      </c>
      <c r="C4519" t="s">
        <v>11</v>
      </c>
      <c r="D4519" t="s">
        <v>33</v>
      </c>
      <c r="E4519" t="s">
        <v>34</v>
      </c>
      <c r="F4519">
        <v>40.21</v>
      </c>
      <c r="G4519" t="s">
        <v>14</v>
      </c>
      <c r="H4519" t="s">
        <v>15</v>
      </c>
      <c r="I4519">
        <v>3.5</v>
      </c>
      <c r="J4519">
        <v>14</v>
      </c>
      <c r="K4519">
        <v>2</v>
      </c>
    </row>
    <row r="4520" spans="1:11" x14ac:dyDescent="0.35">
      <c r="A4520">
        <v>4519</v>
      </c>
      <c r="B4520">
        <v>65</v>
      </c>
      <c r="C4520" t="s">
        <v>11</v>
      </c>
      <c r="D4520" t="s">
        <v>29</v>
      </c>
      <c r="E4520" t="s">
        <v>55</v>
      </c>
      <c r="F4520">
        <v>54.03</v>
      </c>
      <c r="G4520" t="s">
        <v>31</v>
      </c>
      <c r="H4520" t="s">
        <v>15</v>
      </c>
      <c r="I4520">
        <v>3.6</v>
      </c>
      <c r="J4520">
        <v>15</v>
      </c>
      <c r="K4520">
        <v>5</v>
      </c>
    </row>
    <row r="4521" spans="1:11" x14ac:dyDescent="0.35">
      <c r="A4521">
        <v>4520</v>
      </c>
      <c r="B4521">
        <v>40</v>
      </c>
      <c r="C4521" t="s">
        <v>11</v>
      </c>
      <c r="D4521" t="s">
        <v>22</v>
      </c>
      <c r="E4521" t="s">
        <v>43</v>
      </c>
      <c r="F4521">
        <v>216.9</v>
      </c>
      <c r="G4521" t="s">
        <v>31</v>
      </c>
      <c r="H4521" t="s">
        <v>15</v>
      </c>
      <c r="I4521">
        <v>3.7</v>
      </c>
      <c r="J4521">
        <v>4</v>
      </c>
      <c r="K4521">
        <v>2</v>
      </c>
    </row>
    <row r="4522" spans="1:11" x14ac:dyDescent="0.35">
      <c r="A4522">
        <v>4521</v>
      </c>
      <c r="B4522">
        <v>59</v>
      </c>
      <c r="C4522" t="s">
        <v>11</v>
      </c>
      <c r="D4522" t="s">
        <v>12</v>
      </c>
      <c r="E4522" t="s">
        <v>50</v>
      </c>
      <c r="F4522">
        <v>29.8</v>
      </c>
      <c r="G4522" t="s">
        <v>24</v>
      </c>
      <c r="H4522" t="s">
        <v>37</v>
      </c>
      <c r="I4522">
        <v>3.2</v>
      </c>
      <c r="J4522">
        <v>10</v>
      </c>
      <c r="K4522">
        <v>5</v>
      </c>
    </row>
    <row r="4523" spans="1:11" x14ac:dyDescent="0.35">
      <c r="A4523">
        <v>4522</v>
      </c>
      <c r="B4523">
        <v>59</v>
      </c>
      <c r="C4523" t="s">
        <v>11</v>
      </c>
      <c r="D4523" t="s">
        <v>29</v>
      </c>
      <c r="E4523" t="s">
        <v>30</v>
      </c>
      <c r="F4523">
        <v>111.6</v>
      </c>
      <c r="G4523" t="s">
        <v>19</v>
      </c>
      <c r="H4523" t="s">
        <v>15</v>
      </c>
      <c r="I4523">
        <v>2.2000000000000002</v>
      </c>
      <c r="J4523">
        <v>4</v>
      </c>
      <c r="K4523">
        <v>2</v>
      </c>
    </row>
    <row r="4524" spans="1:11" x14ac:dyDescent="0.35">
      <c r="A4524">
        <v>4523</v>
      </c>
      <c r="B4524">
        <v>70</v>
      </c>
      <c r="C4524" t="s">
        <v>11</v>
      </c>
      <c r="D4524" t="s">
        <v>41</v>
      </c>
      <c r="E4524" t="s">
        <v>45</v>
      </c>
      <c r="F4524">
        <v>161.66999999999999</v>
      </c>
      <c r="G4524" t="s">
        <v>24</v>
      </c>
      <c r="H4524" t="s">
        <v>15</v>
      </c>
      <c r="I4524">
        <v>3.8</v>
      </c>
      <c r="J4524">
        <v>17</v>
      </c>
      <c r="K4524">
        <v>6</v>
      </c>
    </row>
    <row r="4525" spans="1:11" x14ac:dyDescent="0.35">
      <c r="A4525">
        <v>4524</v>
      </c>
      <c r="B4525">
        <v>59</v>
      </c>
      <c r="C4525" t="s">
        <v>16</v>
      </c>
      <c r="D4525" t="s">
        <v>22</v>
      </c>
      <c r="E4525" t="s">
        <v>52</v>
      </c>
      <c r="F4525">
        <v>155.09</v>
      </c>
      <c r="G4525" t="s">
        <v>31</v>
      </c>
      <c r="H4525" t="s">
        <v>15</v>
      </c>
      <c r="I4525">
        <v>3.6</v>
      </c>
      <c r="J4525">
        <v>18</v>
      </c>
      <c r="K4525">
        <v>9</v>
      </c>
    </row>
    <row r="4526" spans="1:11" x14ac:dyDescent="0.35">
      <c r="A4526">
        <v>4525</v>
      </c>
      <c r="B4526">
        <v>61</v>
      </c>
      <c r="C4526" t="s">
        <v>11</v>
      </c>
      <c r="D4526" t="s">
        <v>20</v>
      </c>
      <c r="E4526" t="s">
        <v>21</v>
      </c>
      <c r="F4526">
        <v>140.07</v>
      </c>
      <c r="G4526" t="s">
        <v>31</v>
      </c>
      <c r="H4526" t="s">
        <v>15</v>
      </c>
      <c r="I4526">
        <v>4</v>
      </c>
      <c r="J4526">
        <v>10</v>
      </c>
      <c r="K4526">
        <v>5</v>
      </c>
    </row>
    <row r="4527" spans="1:11" x14ac:dyDescent="0.35">
      <c r="A4527">
        <v>4526</v>
      </c>
      <c r="B4527">
        <v>68</v>
      </c>
      <c r="C4527" t="s">
        <v>16</v>
      </c>
      <c r="D4527" t="s">
        <v>27</v>
      </c>
      <c r="E4527" t="s">
        <v>53</v>
      </c>
      <c r="F4527">
        <v>894.06</v>
      </c>
      <c r="G4527" t="s">
        <v>24</v>
      </c>
      <c r="H4527" t="s">
        <v>15</v>
      </c>
      <c r="I4527">
        <v>3.9</v>
      </c>
      <c r="J4527">
        <v>10</v>
      </c>
      <c r="K4527">
        <v>5</v>
      </c>
    </row>
    <row r="4528" spans="1:11" x14ac:dyDescent="0.35">
      <c r="A4528">
        <v>4527</v>
      </c>
      <c r="B4528">
        <v>45</v>
      </c>
      <c r="C4528" t="s">
        <v>11</v>
      </c>
      <c r="D4528" t="s">
        <v>33</v>
      </c>
      <c r="E4528" t="s">
        <v>34</v>
      </c>
      <c r="F4528">
        <v>232.18</v>
      </c>
      <c r="G4528" t="s">
        <v>24</v>
      </c>
      <c r="H4528" t="s">
        <v>15</v>
      </c>
      <c r="I4528">
        <v>4.5</v>
      </c>
      <c r="J4528">
        <v>20</v>
      </c>
      <c r="K4528">
        <v>5</v>
      </c>
    </row>
    <row r="4529" spans="1:11" x14ac:dyDescent="0.35">
      <c r="A4529">
        <v>4528</v>
      </c>
      <c r="B4529">
        <v>35</v>
      </c>
      <c r="C4529" t="s">
        <v>11</v>
      </c>
      <c r="D4529" t="s">
        <v>33</v>
      </c>
      <c r="E4529" t="s">
        <v>40</v>
      </c>
      <c r="F4529">
        <v>185.34</v>
      </c>
      <c r="G4529" t="s">
        <v>31</v>
      </c>
      <c r="H4529" t="s">
        <v>15</v>
      </c>
      <c r="I4529">
        <v>3.6</v>
      </c>
      <c r="J4529">
        <v>13</v>
      </c>
      <c r="K4529">
        <v>4</v>
      </c>
    </row>
    <row r="4530" spans="1:11" x14ac:dyDescent="0.35">
      <c r="A4530">
        <v>4529</v>
      </c>
      <c r="B4530">
        <v>54</v>
      </c>
      <c r="C4530" t="s">
        <v>16</v>
      </c>
      <c r="D4530" t="s">
        <v>20</v>
      </c>
      <c r="E4530" t="s">
        <v>39</v>
      </c>
      <c r="F4530">
        <v>245.45</v>
      </c>
      <c r="G4530" t="s">
        <v>31</v>
      </c>
      <c r="H4530" t="s">
        <v>15</v>
      </c>
      <c r="I4530">
        <v>3.6</v>
      </c>
      <c r="J4530">
        <v>8</v>
      </c>
      <c r="K4530">
        <v>4</v>
      </c>
    </row>
    <row r="4531" spans="1:11" x14ac:dyDescent="0.35">
      <c r="A4531">
        <v>4530</v>
      </c>
      <c r="B4531">
        <v>53</v>
      </c>
      <c r="C4531" t="s">
        <v>11</v>
      </c>
      <c r="D4531" t="s">
        <v>29</v>
      </c>
      <c r="E4531" t="s">
        <v>55</v>
      </c>
      <c r="F4531">
        <v>30.54</v>
      </c>
      <c r="G4531" t="s">
        <v>14</v>
      </c>
      <c r="H4531" t="s">
        <v>15</v>
      </c>
      <c r="I4531">
        <v>4</v>
      </c>
      <c r="J4531">
        <v>7</v>
      </c>
      <c r="K4531">
        <v>1</v>
      </c>
    </row>
    <row r="4532" spans="1:11" x14ac:dyDescent="0.35">
      <c r="A4532">
        <v>4531</v>
      </c>
      <c r="B4532">
        <v>30</v>
      </c>
      <c r="C4532" t="s">
        <v>11</v>
      </c>
      <c r="D4532" t="s">
        <v>41</v>
      </c>
      <c r="E4532" t="s">
        <v>45</v>
      </c>
      <c r="F4532">
        <v>95.64</v>
      </c>
      <c r="G4532" t="s">
        <v>24</v>
      </c>
      <c r="H4532" t="s">
        <v>37</v>
      </c>
      <c r="I4532">
        <v>4.5</v>
      </c>
      <c r="J4532">
        <v>17</v>
      </c>
      <c r="K4532">
        <v>6</v>
      </c>
    </row>
    <row r="4533" spans="1:11" x14ac:dyDescent="0.35">
      <c r="A4533">
        <v>4532</v>
      </c>
      <c r="B4533">
        <v>52</v>
      </c>
      <c r="C4533" t="s">
        <v>16</v>
      </c>
      <c r="D4533" t="s">
        <v>17</v>
      </c>
      <c r="E4533" t="s">
        <v>18</v>
      </c>
      <c r="F4533">
        <v>134.28</v>
      </c>
      <c r="G4533" t="s">
        <v>24</v>
      </c>
      <c r="H4533" t="s">
        <v>15</v>
      </c>
      <c r="I4533">
        <v>3.1</v>
      </c>
      <c r="J4533">
        <v>8</v>
      </c>
      <c r="K4533">
        <v>4</v>
      </c>
    </row>
    <row r="4534" spans="1:11" x14ac:dyDescent="0.35">
      <c r="A4534">
        <v>4533</v>
      </c>
      <c r="B4534">
        <v>42</v>
      </c>
      <c r="C4534" t="s">
        <v>16</v>
      </c>
      <c r="D4534" t="s">
        <v>20</v>
      </c>
      <c r="E4534" t="s">
        <v>21</v>
      </c>
      <c r="F4534">
        <v>249.3</v>
      </c>
      <c r="G4534" t="s">
        <v>31</v>
      </c>
      <c r="H4534" t="s">
        <v>15</v>
      </c>
      <c r="I4534">
        <v>5</v>
      </c>
      <c r="J4534">
        <v>18</v>
      </c>
      <c r="K4534">
        <v>4</v>
      </c>
    </row>
    <row r="4535" spans="1:11" x14ac:dyDescent="0.35">
      <c r="A4535">
        <v>4534</v>
      </c>
      <c r="B4535">
        <v>44</v>
      </c>
      <c r="C4535" t="s">
        <v>16</v>
      </c>
      <c r="D4535" t="s">
        <v>33</v>
      </c>
      <c r="E4535" t="s">
        <v>40</v>
      </c>
      <c r="F4535">
        <v>55.33</v>
      </c>
      <c r="G4535" t="s">
        <v>31</v>
      </c>
      <c r="H4535" t="s">
        <v>15</v>
      </c>
      <c r="I4535">
        <v>4.5</v>
      </c>
      <c r="J4535">
        <v>28</v>
      </c>
      <c r="K4535">
        <v>9</v>
      </c>
    </row>
    <row r="4536" spans="1:11" x14ac:dyDescent="0.35">
      <c r="A4536">
        <v>4535</v>
      </c>
      <c r="B4536">
        <v>60</v>
      </c>
      <c r="C4536" t="s">
        <v>16</v>
      </c>
      <c r="D4536" t="s">
        <v>25</v>
      </c>
      <c r="E4536" t="s">
        <v>26</v>
      </c>
      <c r="F4536">
        <v>10.3</v>
      </c>
      <c r="G4536" t="s">
        <v>19</v>
      </c>
      <c r="H4536" t="s">
        <v>37</v>
      </c>
      <c r="I4536">
        <v>3.9</v>
      </c>
      <c r="J4536">
        <v>17</v>
      </c>
      <c r="K4536">
        <v>6</v>
      </c>
    </row>
    <row r="4537" spans="1:11" x14ac:dyDescent="0.35">
      <c r="A4537">
        <v>4536</v>
      </c>
      <c r="B4537">
        <v>22</v>
      </c>
      <c r="C4537" t="s">
        <v>11</v>
      </c>
      <c r="D4537" t="s">
        <v>33</v>
      </c>
      <c r="E4537" t="s">
        <v>34</v>
      </c>
      <c r="F4537">
        <v>109.51</v>
      </c>
      <c r="G4537" t="s">
        <v>19</v>
      </c>
      <c r="H4537" t="s">
        <v>15</v>
      </c>
      <c r="I4537">
        <v>4.8</v>
      </c>
      <c r="J4537">
        <v>10</v>
      </c>
      <c r="K4537">
        <v>5</v>
      </c>
    </row>
    <row r="4538" spans="1:11" x14ac:dyDescent="0.35">
      <c r="A4538">
        <v>4537</v>
      </c>
      <c r="B4538">
        <v>31</v>
      </c>
      <c r="C4538" t="s">
        <v>16</v>
      </c>
      <c r="D4538" t="s">
        <v>27</v>
      </c>
      <c r="E4538" t="s">
        <v>32</v>
      </c>
      <c r="F4538">
        <v>1550.91</v>
      </c>
      <c r="G4538" t="s">
        <v>19</v>
      </c>
      <c r="H4538" t="s">
        <v>15</v>
      </c>
      <c r="I4538">
        <v>2.1</v>
      </c>
      <c r="J4538">
        <v>9</v>
      </c>
      <c r="K4538">
        <v>2</v>
      </c>
    </row>
    <row r="4539" spans="1:11" x14ac:dyDescent="0.35">
      <c r="A4539">
        <v>4538</v>
      </c>
      <c r="B4539">
        <v>38</v>
      </c>
      <c r="C4539" t="s">
        <v>16</v>
      </c>
      <c r="D4539" t="s">
        <v>33</v>
      </c>
      <c r="E4539" t="s">
        <v>40</v>
      </c>
      <c r="F4539">
        <v>192.19</v>
      </c>
      <c r="G4539" t="s">
        <v>14</v>
      </c>
      <c r="H4539" t="s">
        <v>15</v>
      </c>
      <c r="I4539">
        <v>3.5</v>
      </c>
      <c r="J4539">
        <v>11</v>
      </c>
      <c r="K4539">
        <v>3</v>
      </c>
    </row>
    <row r="4540" spans="1:11" x14ac:dyDescent="0.35">
      <c r="A4540">
        <v>4539</v>
      </c>
      <c r="B4540">
        <v>49</v>
      </c>
      <c r="C4540" t="s">
        <v>16</v>
      </c>
      <c r="D4540" t="s">
        <v>27</v>
      </c>
      <c r="E4540" t="s">
        <v>32</v>
      </c>
      <c r="F4540">
        <v>2208.2199999999998</v>
      </c>
      <c r="G4540" t="s">
        <v>31</v>
      </c>
      <c r="H4540" t="s">
        <v>15</v>
      </c>
      <c r="I4540">
        <v>3.8</v>
      </c>
      <c r="J4540">
        <v>8</v>
      </c>
      <c r="K4540">
        <v>4</v>
      </c>
    </row>
    <row r="4541" spans="1:11" x14ac:dyDescent="0.35">
      <c r="A4541">
        <v>4540</v>
      </c>
      <c r="B4541">
        <v>23</v>
      </c>
      <c r="C4541" t="s">
        <v>11</v>
      </c>
      <c r="D4541" t="s">
        <v>20</v>
      </c>
      <c r="E4541" t="s">
        <v>39</v>
      </c>
      <c r="F4541">
        <v>37.85</v>
      </c>
      <c r="G4541" t="s">
        <v>24</v>
      </c>
      <c r="H4541" t="s">
        <v>15</v>
      </c>
      <c r="I4541">
        <v>3.1</v>
      </c>
      <c r="J4541">
        <v>19</v>
      </c>
      <c r="K4541">
        <v>7</v>
      </c>
    </row>
    <row r="4542" spans="1:11" x14ac:dyDescent="0.35">
      <c r="A4542">
        <v>4541</v>
      </c>
      <c r="B4542">
        <v>40</v>
      </c>
      <c r="C4542" t="s">
        <v>11</v>
      </c>
      <c r="D4542" t="s">
        <v>33</v>
      </c>
      <c r="E4542" t="s">
        <v>40</v>
      </c>
      <c r="F4542">
        <v>96.16</v>
      </c>
      <c r="G4542" t="s">
        <v>31</v>
      </c>
      <c r="H4542" t="s">
        <v>37</v>
      </c>
      <c r="I4542">
        <v>4.0999999999999996</v>
      </c>
      <c r="J4542">
        <v>14</v>
      </c>
      <c r="K4542">
        <v>2</v>
      </c>
    </row>
    <row r="4543" spans="1:11" x14ac:dyDescent="0.35">
      <c r="A4543">
        <v>4542</v>
      </c>
      <c r="B4543">
        <v>62</v>
      </c>
      <c r="C4543" t="s">
        <v>16</v>
      </c>
      <c r="D4543" t="s">
        <v>33</v>
      </c>
      <c r="E4543" t="s">
        <v>34</v>
      </c>
      <c r="F4543">
        <v>73.58</v>
      </c>
      <c r="G4543" t="s">
        <v>19</v>
      </c>
      <c r="H4543" t="s">
        <v>15</v>
      </c>
      <c r="I4543">
        <v>3.2</v>
      </c>
      <c r="J4543">
        <v>10</v>
      </c>
      <c r="K4543">
        <v>5</v>
      </c>
    </row>
    <row r="4544" spans="1:11" x14ac:dyDescent="0.35">
      <c r="A4544">
        <v>4543</v>
      </c>
      <c r="B4544">
        <v>27</v>
      </c>
      <c r="C4544" t="s">
        <v>11</v>
      </c>
      <c r="D4544" t="s">
        <v>33</v>
      </c>
      <c r="E4544" t="s">
        <v>34</v>
      </c>
      <c r="F4544">
        <v>108.25</v>
      </c>
      <c r="G4544" t="s">
        <v>24</v>
      </c>
      <c r="H4544" t="s">
        <v>15</v>
      </c>
      <c r="I4544">
        <v>4.4000000000000004</v>
      </c>
      <c r="J4544">
        <v>15</v>
      </c>
      <c r="K4544">
        <v>5</v>
      </c>
    </row>
    <row r="4545" spans="1:11" x14ac:dyDescent="0.35">
      <c r="A4545">
        <v>4544</v>
      </c>
      <c r="B4545">
        <v>35</v>
      </c>
      <c r="C4545" t="s">
        <v>11</v>
      </c>
      <c r="D4545" t="s">
        <v>20</v>
      </c>
      <c r="E4545" t="s">
        <v>21</v>
      </c>
      <c r="F4545">
        <v>84.39</v>
      </c>
      <c r="G4545" t="s">
        <v>31</v>
      </c>
      <c r="H4545" t="s">
        <v>15</v>
      </c>
      <c r="I4545">
        <v>4.8</v>
      </c>
      <c r="J4545">
        <v>19</v>
      </c>
      <c r="K4545">
        <v>7</v>
      </c>
    </row>
    <row r="4546" spans="1:11" x14ac:dyDescent="0.35">
      <c r="A4546">
        <v>4545</v>
      </c>
      <c r="B4546">
        <v>21</v>
      </c>
      <c r="C4546" t="s">
        <v>16</v>
      </c>
      <c r="D4546" t="s">
        <v>27</v>
      </c>
      <c r="E4546" t="s">
        <v>49</v>
      </c>
      <c r="F4546">
        <v>2196.35</v>
      </c>
      <c r="G4546" t="s">
        <v>24</v>
      </c>
      <c r="H4546" t="s">
        <v>15</v>
      </c>
      <c r="I4546">
        <v>3.8</v>
      </c>
      <c r="J4546">
        <v>10</v>
      </c>
      <c r="K4546">
        <v>5</v>
      </c>
    </row>
    <row r="4547" spans="1:11" x14ac:dyDescent="0.35">
      <c r="A4547">
        <v>4546</v>
      </c>
      <c r="B4547">
        <v>55</v>
      </c>
      <c r="C4547" t="s">
        <v>16</v>
      </c>
      <c r="D4547" t="s">
        <v>17</v>
      </c>
      <c r="E4547" t="s">
        <v>35</v>
      </c>
      <c r="F4547">
        <v>56.1</v>
      </c>
      <c r="G4547" t="s">
        <v>24</v>
      </c>
      <c r="H4547" t="s">
        <v>15</v>
      </c>
      <c r="I4547">
        <v>5</v>
      </c>
      <c r="J4547">
        <v>12</v>
      </c>
      <c r="K4547">
        <v>6</v>
      </c>
    </row>
    <row r="4548" spans="1:11" x14ac:dyDescent="0.35">
      <c r="A4548">
        <v>4547</v>
      </c>
      <c r="B4548">
        <v>49</v>
      </c>
      <c r="C4548" t="s">
        <v>16</v>
      </c>
      <c r="D4548" t="s">
        <v>17</v>
      </c>
      <c r="E4548" t="s">
        <v>48</v>
      </c>
      <c r="F4548">
        <v>115.95</v>
      </c>
      <c r="G4548" t="s">
        <v>19</v>
      </c>
      <c r="H4548" t="s">
        <v>15</v>
      </c>
      <c r="I4548">
        <v>3.7</v>
      </c>
      <c r="J4548">
        <v>15</v>
      </c>
      <c r="K4548">
        <v>5</v>
      </c>
    </row>
    <row r="4549" spans="1:11" x14ac:dyDescent="0.35">
      <c r="A4549">
        <v>4548</v>
      </c>
      <c r="B4549">
        <v>60</v>
      </c>
      <c r="C4549" t="s">
        <v>16</v>
      </c>
      <c r="D4549" t="s">
        <v>20</v>
      </c>
      <c r="E4549" t="s">
        <v>21</v>
      </c>
      <c r="F4549">
        <v>122.97</v>
      </c>
      <c r="G4549" t="s">
        <v>14</v>
      </c>
      <c r="H4549" t="s">
        <v>15</v>
      </c>
      <c r="I4549">
        <v>3.8</v>
      </c>
      <c r="J4549">
        <v>9</v>
      </c>
      <c r="K4549">
        <v>2</v>
      </c>
    </row>
    <row r="4550" spans="1:11" x14ac:dyDescent="0.35">
      <c r="A4550">
        <v>4549</v>
      </c>
      <c r="B4550">
        <v>46</v>
      </c>
      <c r="C4550" t="s">
        <v>16</v>
      </c>
      <c r="D4550" t="s">
        <v>27</v>
      </c>
      <c r="E4550" t="s">
        <v>28</v>
      </c>
      <c r="F4550">
        <v>561.66</v>
      </c>
      <c r="G4550" t="s">
        <v>31</v>
      </c>
      <c r="H4550" t="s">
        <v>15</v>
      </c>
      <c r="I4550">
        <v>3.8</v>
      </c>
      <c r="J4550">
        <v>12</v>
      </c>
      <c r="K4550">
        <v>6</v>
      </c>
    </row>
    <row r="4551" spans="1:11" x14ac:dyDescent="0.35">
      <c r="A4551">
        <v>4550</v>
      </c>
      <c r="B4551">
        <v>69</v>
      </c>
      <c r="C4551" t="s">
        <v>11</v>
      </c>
      <c r="D4551" t="s">
        <v>41</v>
      </c>
      <c r="E4551" t="s">
        <v>45</v>
      </c>
      <c r="F4551">
        <v>73.88</v>
      </c>
      <c r="G4551" t="s">
        <v>31</v>
      </c>
      <c r="H4551" t="s">
        <v>15</v>
      </c>
      <c r="I4551">
        <v>4.3</v>
      </c>
      <c r="J4551">
        <v>17</v>
      </c>
      <c r="K4551">
        <v>6</v>
      </c>
    </row>
    <row r="4552" spans="1:11" x14ac:dyDescent="0.35">
      <c r="A4552">
        <v>4551</v>
      </c>
      <c r="B4552">
        <v>49</v>
      </c>
      <c r="C4552" t="s">
        <v>11</v>
      </c>
      <c r="D4552" t="s">
        <v>33</v>
      </c>
      <c r="E4552" t="s">
        <v>38</v>
      </c>
      <c r="F4552">
        <v>96.13</v>
      </c>
      <c r="G4552" t="s">
        <v>19</v>
      </c>
      <c r="H4552" t="s">
        <v>37</v>
      </c>
      <c r="I4552">
        <v>4</v>
      </c>
      <c r="J4552">
        <v>15</v>
      </c>
      <c r="K4552">
        <v>5</v>
      </c>
    </row>
    <row r="4553" spans="1:11" x14ac:dyDescent="0.35">
      <c r="A4553">
        <v>4552</v>
      </c>
      <c r="B4553">
        <v>58</v>
      </c>
      <c r="C4553" t="s">
        <v>16</v>
      </c>
      <c r="D4553" t="s">
        <v>17</v>
      </c>
      <c r="E4553" t="s">
        <v>35</v>
      </c>
      <c r="F4553">
        <v>128.34</v>
      </c>
      <c r="G4553" t="s">
        <v>19</v>
      </c>
      <c r="H4553" t="s">
        <v>15</v>
      </c>
      <c r="I4553">
        <v>3.6</v>
      </c>
      <c r="J4553">
        <v>22</v>
      </c>
      <c r="K4553">
        <v>6</v>
      </c>
    </row>
    <row r="4554" spans="1:11" x14ac:dyDescent="0.35">
      <c r="A4554">
        <v>4553</v>
      </c>
      <c r="B4554">
        <v>22</v>
      </c>
      <c r="C4554" t="s">
        <v>16</v>
      </c>
      <c r="D4554" t="s">
        <v>25</v>
      </c>
      <c r="E4554" t="s">
        <v>54</v>
      </c>
      <c r="F4554">
        <v>36.200000000000003</v>
      </c>
      <c r="G4554" t="s">
        <v>14</v>
      </c>
      <c r="H4554" t="s">
        <v>37</v>
      </c>
      <c r="I4554">
        <v>5</v>
      </c>
      <c r="J4554">
        <v>20</v>
      </c>
      <c r="K4554">
        <v>5</v>
      </c>
    </row>
    <row r="4555" spans="1:11" x14ac:dyDescent="0.35">
      <c r="A4555">
        <v>4554</v>
      </c>
      <c r="B4555">
        <v>50</v>
      </c>
      <c r="C4555" t="s">
        <v>11</v>
      </c>
      <c r="D4555" t="s">
        <v>29</v>
      </c>
      <c r="E4555" t="s">
        <v>55</v>
      </c>
      <c r="F4555">
        <v>22.59</v>
      </c>
      <c r="G4555" t="s">
        <v>19</v>
      </c>
      <c r="H4555" t="s">
        <v>37</v>
      </c>
      <c r="I4555">
        <v>3.9</v>
      </c>
      <c r="J4555">
        <v>20</v>
      </c>
      <c r="K4555">
        <v>5</v>
      </c>
    </row>
    <row r="4556" spans="1:11" x14ac:dyDescent="0.35">
      <c r="A4556">
        <v>4555</v>
      </c>
      <c r="B4556">
        <v>41</v>
      </c>
      <c r="C4556" t="s">
        <v>11</v>
      </c>
      <c r="D4556" t="s">
        <v>33</v>
      </c>
      <c r="E4556" t="s">
        <v>38</v>
      </c>
      <c r="F4556">
        <v>55.08</v>
      </c>
      <c r="G4556" t="s">
        <v>19</v>
      </c>
      <c r="H4556" t="s">
        <v>37</v>
      </c>
      <c r="I4556">
        <v>4</v>
      </c>
      <c r="J4556">
        <v>26</v>
      </c>
      <c r="K4556">
        <v>8</v>
      </c>
    </row>
    <row r="4557" spans="1:11" x14ac:dyDescent="0.35">
      <c r="A4557">
        <v>4556</v>
      </c>
      <c r="B4557">
        <v>68</v>
      </c>
      <c r="C4557" t="s">
        <v>11</v>
      </c>
      <c r="D4557" t="s">
        <v>12</v>
      </c>
      <c r="E4557" t="s">
        <v>56</v>
      </c>
      <c r="F4557">
        <v>121.36</v>
      </c>
      <c r="G4557" t="s">
        <v>24</v>
      </c>
      <c r="H4557" t="s">
        <v>15</v>
      </c>
      <c r="I4557">
        <v>2.7</v>
      </c>
      <c r="J4557">
        <v>15</v>
      </c>
      <c r="K4557">
        <v>5</v>
      </c>
    </row>
    <row r="4558" spans="1:11" x14ac:dyDescent="0.35">
      <c r="A4558">
        <v>4557</v>
      </c>
      <c r="B4558">
        <v>67</v>
      </c>
      <c r="C4558" t="s">
        <v>16</v>
      </c>
      <c r="D4558" t="s">
        <v>33</v>
      </c>
      <c r="E4558" t="s">
        <v>34</v>
      </c>
      <c r="F4558">
        <v>202.9</v>
      </c>
      <c r="G4558" t="s">
        <v>14</v>
      </c>
      <c r="H4558" t="s">
        <v>15</v>
      </c>
      <c r="I4558">
        <v>3.7</v>
      </c>
      <c r="J4558">
        <v>20</v>
      </c>
      <c r="K4558">
        <v>5</v>
      </c>
    </row>
    <row r="4559" spans="1:11" x14ac:dyDescent="0.35">
      <c r="A4559">
        <v>4558</v>
      </c>
      <c r="B4559">
        <v>67</v>
      </c>
      <c r="C4559" t="s">
        <v>16</v>
      </c>
      <c r="D4559" t="s">
        <v>17</v>
      </c>
      <c r="E4559" t="s">
        <v>42</v>
      </c>
      <c r="F4559">
        <v>185.7</v>
      </c>
      <c r="G4559" t="s">
        <v>14</v>
      </c>
      <c r="H4559" t="s">
        <v>15</v>
      </c>
      <c r="I4559">
        <v>3.1</v>
      </c>
      <c r="J4559">
        <v>2</v>
      </c>
      <c r="K4559">
        <v>1</v>
      </c>
    </row>
    <row r="4560" spans="1:11" x14ac:dyDescent="0.35">
      <c r="A4560">
        <v>4559</v>
      </c>
      <c r="B4560">
        <v>24</v>
      </c>
      <c r="C4560" t="s">
        <v>16</v>
      </c>
      <c r="D4560" t="s">
        <v>17</v>
      </c>
      <c r="E4560" t="s">
        <v>42</v>
      </c>
      <c r="F4560">
        <v>156.16999999999999</v>
      </c>
      <c r="G4560" t="s">
        <v>19</v>
      </c>
      <c r="H4560" t="s">
        <v>15</v>
      </c>
      <c r="I4560">
        <v>4.0999999999999996</v>
      </c>
      <c r="J4560">
        <v>11</v>
      </c>
      <c r="K4560">
        <v>3</v>
      </c>
    </row>
    <row r="4561" spans="1:11" x14ac:dyDescent="0.35">
      <c r="A4561">
        <v>4560</v>
      </c>
      <c r="B4561">
        <v>56</v>
      </c>
      <c r="C4561" t="s">
        <v>11</v>
      </c>
      <c r="D4561" t="s">
        <v>29</v>
      </c>
      <c r="E4561" t="s">
        <v>30</v>
      </c>
      <c r="F4561">
        <v>32.07</v>
      </c>
      <c r="G4561" t="s">
        <v>31</v>
      </c>
      <c r="H4561" t="s">
        <v>15</v>
      </c>
      <c r="I4561">
        <v>3.7</v>
      </c>
      <c r="J4561">
        <v>34</v>
      </c>
      <c r="K4561">
        <v>12</v>
      </c>
    </row>
    <row r="4562" spans="1:11" x14ac:dyDescent="0.35">
      <c r="A4562">
        <v>4561</v>
      </c>
      <c r="B4562">
        <v>70</v>
      </c>
      <c r="C4562" t="s">
        <v>11</v>
      </c>
      <c r="D4562" t="s">
        <v>25</v>
      </c>
      <c r="E4562" t="s">
        <v>47</v>
      </c>
      <c r="F4562">
        <v>65.38</v>
      </c>
      <c r="G4562" t="s">
        <v>31</v>
      </c>
      <c r="H4562" t="s">
        <v>37</v>
      </c>
      <c r="I4562">
        <v>3.7</v>
      </c>
      <c r="J4562">
        <v>20</v>
      </c>
      <c r="K4562">
        <v>5</v>
      </c>
    </row>
    <row r="4563" spans="1:11" x14ac:dyDescent="0.35">
      <c r="A4563">
        <v>4562</v>
      </c>
      <c r="B4563">
        <v>62</v>
      </c>
      <c r="C4563" t="s">
        <v>11</v>
      </c>
      <c r="D4563" t="s">
        <v>33</v>
      </c>
      <c r="E4563" t="s">
        <v>34</v>
      </c>
      <c r="F4563">
        <v>48.76</v>
      </c>
      <c r="G4563" t="s">
        <v>14</v>
      </c>
      <c r="H4563" t="s">
        <v>15</v>
      </c>
      <c r="I4563">
        <v>3.4</v>
      </c>
      <c r="J4563">
        <v>10</v>
      </c>
      <c r="K4563">
        <v>5</v>
      </c>
    </row>
    <row r="4564" spans="1:11" x14ac:dyDescent="0.35">
      <c r="A4564">
        <v>4563</v>
      </c>
      <c r="B4564">
        <v>55</v>
      </c>
      <c r="C4564" t="s">
        <v>11</v>
      </c>
      <c r="D4564" t="s">
        <v>33</v>
      </c>
      <c r="E4564" t="s">
        <v>38</v>
      </c>
      <c r="F4564">
        <v>133.82</v>
      </c>
      <c r="G4564" t="s">
        <v>19</v>
      </c>
      <c r="H4564" t="s">
        <v>15</v>
      </c>
      <c r="I4564">
        <v>4.5</v>
      </c>
      <c r="J4564">
        <v>17</v>
      </c>
      <c r="K4564">
        <v>6</v>
      </c>
    </row>
    <row r="4565" spans="1:11" x14ac:dyDescent="0.35">
      <c r="A4565">
        <v>4564</v>
      </c>
      <c r="B4565">
        <v>41</v>
      </c>
      <c r="C4565" t="s">
        <v>11</v>
      </c>
      <c r="D4565" t="s">
        <v>20</v>
      </c>
      <c r="E4565" t="s">
        <v>36</v>
      </c>
      <c r="F4565">
        <v>189.59</v>
      </c>
      <c r="G4565" t="s">
        <v>14</v>
      </c>
      <c r="H4565" t="s">
        <v>15</v>
      </c>
      <c r="I4565">
        <v>3</v>
      </c>
      <c r="J4565">
        <v>10</v>
      </c>
      <c r="K4565">
        <v>5</v>
      </c>
    </row>
    <row r="4566" spans="1:11" x14ac:dyDescent="0.35">
      <c r="A4566">
        <v>4565</v>
      </c>
      <c r="B4566">
        <v>64</v>
      </c>
      <c r="C4566" t="s">
        <v>11</v>
      </c>
      <c r="D4566" t="s">
        <v>12</v>
      </c>
      <c r="E4566" t="s">
        <v>13</v>
      </c>
      <c r="F4566">
        <v>129.44999999999999</v>
      </c>
      <c r="G4566" t="s">
        <v>14</v>
      </c>
      <c r="H4566" t="s">
        <v>15</v>
      </c>
      <c r="I4566">
        <v>3.9</v>
      </c>
      <c r="J4566">
        <v>13</v>
      </c>
      <c r="K4566">
        <v>4</v>
      </c>
    </row>
    <row r="4567" spans="1:11" x14ac:dyDescent="0.35">
      <c r="A4567">
        <v>4566</v>
      </c>
      <c r="B4567">
        <v>67</v>
      </c>
      <c r="C4567" t="s">
        <v>16</v>
      </c>
      <c r="D4567" t="s">
        <v>33</v>
      </c>
      <c r="E4567" t="s">
        <v>38</v>
      </c>
      <c r="F4567">
        <v>151.13</v>
      </c>
      <c r="G4567" t="s">
        <v>14</v>
      </c>
      <c r="H4567" t="s">
        <v>15</v>
      </c>
      <c r="I4567">
        <v>3.6</v>
      </c>
      <c r="J4567">
        <v>4</v>
      </c>
      <c r="K4567">
        <v>2</v>
      </c>
    </row>
    <row r="4568" spans="1:11" x14ac:dyDescent="0.35">
      <c r="A4568">
        <v>4567</v>
      </c>
      <c r="B4568">
        <v>30</v>
      </c>
      <c r="C4568" t="s">
        <v>16</v>
      </c>
      <c r="D4568" t="s">
        <v>33</v>
      </c>
      <c r="E4568" t="s">
        <v>40</v>
      </c>
      <c r="F4568">
        <v>122.89</v>
      </c>
      <c r="G4568" t="s">
        <v>24</v>
      </c>
      <c r="H4568" t="s">
        <v>15</v>
      </c>
      <c r="I4568">
        <v>5</v>
      </c>
      <c r="J4568">
        <v>13</v>
      </c>
      <c r="K4568">
        <v>4</v>
      </c>
    </row>
    <row r="4569" spans="1:11" x14ac:dyDescent="0.35">
      <c r="A4569">
        <v>4568</v>
      </c>
      <c r="B4569">
        <v>70</v>
      </c>
      <c r="C4569" t="s">
        <v>16</v>
      </c>
      <c r="D4569" t="s">
        <v>33</v>
      </c>
      <c r="E4569" t="s">
        <v>38</v>
      </c>
      <c r="F4569">
        <v>112.06</v>
      </c>
      <c r="G4569" t="s">
        <v>19</v>
      </c>
      <c r="H4569" t="s">
        <v>15</v>
      </c>
      <c r="I4569">
        <v>5</v>
      </c>
      <c r="J4569">
        <v>25</v>
      </c>
      <c r="K4569">
        <v>10</v>
      </c>
    </row>
    <row r="4570" spans="1:11" x14ac:dyDescent="0.35">
      <c r="A4570">
        <v>4569</v>
      </c>
      <c r="B4570">
        <v>66</v>
      </c>
      <c r="C4570" t="s">
        <v>11</v>
      </c>
      <c r="D4570" t="s">
        <v>20</v>
      </c>
      <c r="E4570" t="s">
        <v>39</v>
      </c>
      <c r="F4570">
        <v>115.8</v>
      </c>
      <c r="G4570" t="s">
        <v>24</v>
      </c>
      <c r="H4570" t="s">
        <v>15</v>
      </c>
      <c r="I4570">
        <v>3.2</v>
      </c>
      <c r="J4570">
        <v>12</v>
      </c>
      <c r="K4570">
        <v>1</v>
      </c>
    </row>
    <row r="4571" spans="1:11" x14ac:dyDescent="0.35">
      <c r="A4571">
        <v>4570</v>
      </c>
      <c r="B4571">
        <v>55</v>
      </c>
      <c r="C4571" t="s">
        <v>11</v>
      </c>
      <c r="D4571" t="s">
        <v>25</v>
      </c>
      <c r="E4571" t="s">
        <v>47</v>
      </c>
      <c r="F4571">
        <v>68.87</v>
      </c>
      <c r="G4571" t="s">
        <v>14</v>
      </c>
      <c r="H4571" t="s">
        <v>37</v>
      </c>
      <c r="I4571">
        <v>4</v>
      </c>
      <c r="J4571">
        <v>6</v>
      </c>
      <c r="K4571">
        <v>3</v>
      </c>
    </row>
    <row r="4572" spans="1:11" x14ac:dyDescent="0.35">
      <c r="A4572">
        <v>4571</v>
      </c>
      <c r="B4572">
        <v>63</v>
      </c>
      <c r="C4572" t="s">
        <v>16</v>
      </c>
      <c r="D4572" t="s">
        <v>17</v>
      </c>
      <c r="E4572" t="s">
        <v>42</v>
      </c>
      <c r="F4572">
        <v>99.6</v>
      </c>
      <c r="G4572" t="s">
        <v>14</v>
      </c>
      <c r="H4572" t="s">
        <v>37</v>
      </c>
      <c r="I4572">
        <v>4.5999999999999996</v>
      </c>
      <c r="J4572">
        <v>14</v>
      </c>
      <c r="K4572">
        <v>2</v>
      </c>
    </row>
    <row r="4573" spans="1:11" x14ac:dyDescent="0.35">
      <c r="A4573">
        <v>4572</v>
      </c>
      <c r="B4573">
        <v>65</v>
      </c>
      <c r="C4573" t="s">
        <v>16</v>
      </c>
      <c r="D4573" t="s">
        <v>20</v>
      </c>
      <c r="E4573" t="s">
        <v>36</v>
      </c>
      <c r="F4573">
        <v>112.71</v>
      </c>
      <c r="G4573" t="s">
        <v>24</v>
      </c>
      <c r="H4573" t="s">
        <v>15</v>
      </c>
      <c r="I4573">
        <v>4.7</v>
      </c>
      <c r="J4573">
        <v>25</v>
      </c>
      <c r="K4573">
        <v>10</v>
      </c>
    </row>
    <row r="4574" spans="1:11" x14ac:dyDescent="0.35">
      <c r="A4574">
        <v>4573</v>
      </c>
      <c r="B4574">
        <v>42</v>
      </c>
      <c r="C4574" t="s">
        <v>16</v>
      </c>
      <c r="D4574" t="s">
        <v>33</v>
      </c>
      <c r="E4574" t="s">
        <v>34</v>
      </c>
      <c r="F4574">
        <v>176.05</v>
      </c>
      <c r="G4574" t="s">
        <v>31</v>
      </c>
      <c r="H4574" t="s">
        <v>15</v>
      </c>
      <c r="I4574">
        <v>4.3</v>
      </c>
      <c r="J4574">
        <v>10</v>
      </c>
      <c r="K4574">
        <v>5</v>
      </c>
    </row>
    <row r="4575" spans="1:11" x14ac:dyDescent="0.35">
      <c r="A4575">
        <v>4574</v>
      </c>
      <c r="B4575">
        <v>53</v>
      </c>
      <c r="C4575" t="s">
        <v>16</v>
      </c>
      <c r="D4575" t="s">
        <v>20</v>
      </c>
      <c r="E4575" t="s">
        <v>21</v>
      </c>
      <c r="F4575">
        <v>122.14</v>
      </c>
      <c r="G4575" t="s">
        <v>31</v>
      </c>
      <c r="H4575" t="s">
        <v>15</v>
      </c>
      <c r="I4575">
        <v>4.7</v>
      </c>
      <c r="J4575">
        <v>17</v>
      </c>
      <c r="K4575">
        <v>6</v>
      </c>
    </row>
    <row r="4576" spans="1:11" x14ac:dyDescent="0.35">
      <c r="A4576">
        <v>4575</v>
      </c>
      <c r="B4576">
        <v>29</v>
      </c>
      <c r="C4576" t="s">
        <v>11</v>
      </c>
      <c r="D4576" t="s">
        <v>41</v>
      </c>
      <c r="E4576" t="s">
        <v>44</v>
      </c>
      <c r="F4576">
        <v>70.08</v>
      </c>
      <c r="G4576" t="s">
        <v>24</v>
      </c>
      <c r="H4576" t="s">
        <v>15</v>
      </c>
      <c r="I4576">
        <v>3.1</v>
      </c>
      <c r="J4576">
        <v>8</v>
      </c>
      <c r="K4576">
        <v>4</v>
      </c>
    </row>
    <row r="4577" spans="1:11" x14ac:dyDescent="0.35">
      <c r="A4577">
        <v>4576</v>
      </c>
      <c r="B4577">
        <v>31</v>
      </c>
      <c r="C4577" t="s">
        <v>11</v>
      </c>
      <c r="D4577" t="s">
        <v>22</v>
      </c>
      <c r="E4577" t="s">
        <v>43</v>
      </c>
      <c r="F4577">
        <v>212.12</v>
      </c>
      <c r="G4577" t="s">
        <v>19</v>
      </c>
      <c r="H4577" t="s">
        <v>15</v>
      </c>
      <c r="I4577">
        <v>3.6</v>
      </c>
      <c r="J4577">
        <v>8</v>
      </c>
      <c r="K4577">
        <v>4</v>
      </c>
    </row>
    <row r="4578" spans="1:11" x14ac:dyDescent="0.35">
      <c r="A4578">
        <v>4577</v>
      </c>
      <c r="B4578">
        <v>22</v>
      </c>
      <c r="C4578" t="s">
        <v>16</v>
      </c>
      <c r="D4578" t="s">
        <v>17</v>
      </c>
      <c r="E4578" t="s">
        <v>35</v>
      </c>
      <c r="F4578">
        <v>132.21</v>
      </c>
      <c r="G4578" t="s">
        <v>19</v>
      </c>
      <c r="H4578" t="s">
        <v>15</v>
      </c>
      <c r="I4578">
        <v>4.2</v>
      </c>
      <c r="J4578">
        <v>12</v>
      </c>
      <c r="K4578">
        <v>6</v>
      </c>
    </row>
    <row r="4579" spans="1:11" x14ac:dyDescent="0.35">
      <c r="A4579">
        <v>4578</v>
      </c>
      <c r="B4579">
        <v>61</v>
      </c>
      <c r="C4579" t="s">
        <v>16</v>
      </c>
      <c r="D4579" t="s">
        <v>22</v>
      </c>
      <c r="E4579" t="s">
        <v>43</v>
      </c>
      <c r="F4579">
        <v>30.41</v>
      </c>
      <c r="G4579" t="s">
        <v>19</v>
      </c>
      <c r="H4579" t="s">
        <v>15</v>
      </c>
      <c r="I4579">
        <v>4.5</v>
      </c>
      <c r="J4579">
        <v>24</v>
      </c>
      <c r="K4579">
        <v>7</v>
      </c>
    </row>
    <row r="4580" spans="1:11" x14ac:dyDescent="0.35">
      <c r="A4580">
        <v>4579</v>
      </c>
      <c r="B4580">
        <v>70</v>
      </c>
      <c r="C4580" t="s">
        <v>11</v>
      </c>
      <c r="D4580" t="s">
        <v>41</v>
      </c>
      <c r="E4580" t="s">
        <v>44</v>
      </c>
      <c r="F4580">
        <v>155.75</v>
      </c>
      <c r="G4580" t="s">
        <v>19</v>
      </c>
      <c r="H4580" t="s">
        <v>15</v>
      </c>
      <c r="I4580">
        <v>4.8</v>
      </c>
      <c r="J4580">
        <v>26</v>
      </c>
      <c r="K4580">
        <v>8</v>
      </c>
    </row>
    <row r="4581" spans="1:11" x14ac:dyDescent="0.35">
      <c r="A4581">
        <v>4580</v>
      </c>
      <c r="B4581">
        <v>23</v>
      </c>
      <c r="C4581" t="s">
        <v>11</v>
      </c>
      <c r="D4581" t="s">
        <v>41</v>
      </c>
      <c r="E4581" t="s">
        <v>45</v>
      </c>
      <c r="F4581">
        <v>139.63999999999999</v>
      </c>
      <c r="G4581" t="s">
        <v>31</v>
      </c>
      <c r="H4581" t="s">
        <v>15</v>
      </c>
      <c r="I4581">
        <v>3.2</v>
      </c>
      <c r="J4581">
        <v>13</v>
      </c>
      <c r="K4581">
        <v>4</v>
      </c>
    </row>
    <row r="4582" spans="1:11" x14ac:dyDescent="0.35">
      <c r="A4582">
        <v>4581</v>
      </c>
      <c r="B4582">
        <v>37</v>
      </c>
      <c r="C4582" t="s">
        <v>11</v>
      </c>
      <c r="D4582" t="s">
        <v>41</v>
      </c>
      <c r="E4582" t="s">
        <v>44</v>
      </c>
      <c r="F4582">
        <v>68.14</v>
      </c>
      <c r="G4582" t="s">
        <v>19</v>
      </c>
      <c r="H4582" t="s">
        <v>15</v>
      </c>
      <c r="I4582">
        <v>5</v>
      </c>
      <c r="J4582">
        <v>15</v>
      </c>
      <c r="K4582">
        <v>5</v>
      </c>
    </row>
    <row r="4583" spans="1:11" x14ac:dyDescent="0.35">
      <c r="A4583">
        <v>4582</v>
      </c>
      <c r="B4583">
        <v>46</v>
      </c>
      <c r="C4583" t="s">
        <v>11</v>
      </c>
      <c r="D4583" t="s">
        <v>29</v>
      </c>
      <c r="E4583" t="s">
        <v>55</v>
      </c>
      <c r="F4583">
        <v>90.16</v>
      </c>
      <c r="G4583" t="s">
        <v>14</v>
      </c>
      <c r="H4583" t="s">
        <v>37</v>
      </c>
      <c r="I4583">
        <v>3.4</v>
      </c>
      <c r="J4583">
        <v>8</v>
      </c>
      <c r="K4583">
        <v>4</v>
      </c>
    </row>
    <row r="4584" spans="1:11" x14ac:dyDescent="0.35">
      <c r="A4584">
        <v>4583</v>
      </c>
      <c r="B4584">
        <v>30</v>
      </c>
      <c r="C4584" t="s">
        <v>16</v>
      </c>
      <c r="D4584" t="s">
        <v>25</v>
      </c>
      <c r="E4584" t="s">
        <v>57</v>
      </c>
      <c r="F4584">
        <v>31.14</v>
      </c>
      <c r="G4584" t="s">
        <v>31</v>
      </c>
      <c r="H4584" t="s">
        <v>37</v>
      </c>
      <c r="I4584">
        <v>4.3</v>
      </c>
      <c r="J4584">
        <v>22</v>
      </c>
      <c r="K4584">
        <v>6</v>
      </c>
    </row>
    <row r="4585" spans="1:11" x14ac:dyDescent="0.35">
      <c r="A4585">
        <v>4584</v>
      </c>
      <c r="B4585">
        <v>40</v>
      </c>
      <c r="C4585" t="s">
        <v>11</v>
      </c>
      <c r="D4585" t="s">
        <v>29</v>
      </c>
      <c r="E4585" t="s">
        <v>30</v>
      </c>
      <c r="F4585">
        <v>58.36</v>
      </c>
      <c r="G4585" t="s">
        <v>24</v>
      </c>
      <c r="H4585" t="s">
        <v>37</v>
      </c>
      <c r="I4585">
        <v>3.4</v>
      </c>
      <c r="J4585">
        <v>16</v>
      </c>
      <c r="K4585">
        <v>3</v>
      </c>
    </row>
    <row r="4586" spans="1:11" x14ac:dyDescent="0.35">
      <c r="A4586">
        <v>4585</v>
      </c>
      <c r="B4586">
        <v>22</v>
      </c>
      <c r="C4586" t="s">
        <v>11</v>
      </c>
      <c r="D4586" t="s">
        <v>33</v>
      </c>
      <c r="E4586" t="s">
        <v>38</v>
      </c>
      <c r="F4586">
        <v>185.34</v>
      </c>
      <c r="G4586" t="s">
        <v>24</v>
      </c>
      <c r="H4586" t="s">
        <v>15</v>
      </c>
      <c r="I4586">
        <v>3.7</v>
      </c>
      <c r="J4586">
        <v>13</v>
      </c>
      <c r="K4586">
        <v>4</v>
      </c>
    </row>
    <row r="4587" spans="1:11" x14ac:dyDescent="0.35">
      <c r="A4587">
        <v>4586</v>
      </c>
      <c r="B4587">
        <v>36</v>
      </c>
      <c r="C4587" t="s">
        <v>11</v>
      </c>
      <c r="D4587" t="s">
        <v>33</v>
      </c>
      <c r="E4587" t="s">
        <v>40</v>
      </c>
      <c r="F4587">
        <v>195.92</v>
      </c>
      <c r="G4587" t="s">
        <v>19</v>
      </c>
      <c r="H4587" t="s">
        <v>15</v>
      </c>
      <c r="I4587">
        <v>3.3</v>
      </c>
      <c r="J4587">
        <v>8</v>
      </c>
      <c r="K4587">
        <v>4</v>
      </c>
    </row>
    <row r="4588" spans="1:11" x14ac:dyDescent="0.35">
      <c r="A4588">
        <v>4587</v>
      </c>
      <c r="B4588">
        <v>37</v>
      </c>
      <c r="C4588" t="s">
        <v>11</v>
      </c>
      <c r="D4588" t="s">
        <v>29</v>
      </c>
      <c r="E4588" t="s">
        <v>55</v>
      </c>
      <c r="F4588">
        <v>126.73</v>
      </c>
      <c r="G4588" t="s">
        <v>31</v>
      </c>
      <c r="H4588" t="s">
        <v>15</v>
      </c>
      <c r="I4588">
        <v>4.4000000000000004</v>
      </c>
      <c r="J4588">
        <v>18</v>
      </c>
      <c r="K4588">
        <v>4</v>
      </c>
    </row>
    <row r="4589" spans="1:11" x14ac:dyDescent="0.35">
      <c r="A4589">
        <v>4588</v>
      </c>
      <c r="B4589">
        <v>36</v>
      </c>
      <c r="C4589" t="s">
        <v>16</v>
      </c>
      <c r="D4589" t="s">
        <v>20</v>
      </c>
      <c r="E4589" t="s">
        <v>39</v>
      </c>
      <c r="F4589">
        <v>57.52</v>
      </c>
      <c r="G4589" t="s">
        <v>24</v>
      </c>
      <c r="H4589" t="s">
        <v>37</v>
      </c>
      <c r="I4589">
        <v>3.6</v>
      </c>
      <c r="J4589">
        <v>17</v>
      </c>
      <c r="K4589">
        <v>6</v>
      </c>
    </row>
    <row r="4590" spans="1:11" x14ac:dyDescent="0.35">
      <c r="A4590">
        <v>4589</v>
      </c>
      <c r="B4590">
        <v>63</v>
      </c>
      <c r="C4590" t="s">
        <v>11</v>
      </c>
      <c r="D4590" t="s">
        <v>20</v>
      </c>
      <c r="E4590" t="s">
        <v>36</v>
      </c>
      <c r="F4590">
        <v>50.03</v>
      </c>
      <c r="G4590" t="s">
        <v>31</v>
      </c>
      <c r="H4590" t="s">
        <v>37</v>
      </c>
      <c r="I4590">
        <v>4.9000000000000004</v>
      </c>
      <c r="J4590">
        <v>13</v>
      </c>
      <c r="K4590">
        <v>4</v>
      </c>
    </row>
    <row r="4591" spans="1:11" x14ac:dyDescent="0.35">
      <c r="A4591">
        <v>4590</v>
      </c>
      <c r="B4591">
        <v>55</v>
      </c>
      <c r="C4591" t="s">
        <v>16</v>
      </c>
      <c r="D4591" t="s">
        <v>33</v>
      </c>
      <c r="E4591" t="s">
        <v>34</v>
      </c>
      <c r="F4591">
        <v>127.27</v>
      </c>
      <c r="G4591" t="s">
        <v>19</v>
      </c>
      <c r="H4591" t="s">
        <v>15</v>
      </c>
      <c r="I4591">
        <v>3.8</v>
      </c>
      <c r="J4591">
        <v>17</v>
      </c>
      <c r="K4591">
        <v>6</v>
      </c>
    </row>
    <row r="4592" spans="1:11" x14ac:dyDescent="0.35">
      <c r="A4592">
        <v>4591</v>
      </c>
      <c r="B4592">
        <v>59</v>
      </c>
      <c r="C4592" t="s">
        <v>16</v>
      </c>
      <c r="D4592" t="s">
        <v>33</v>
      </c>
      <c r="E4592" t="s">
        <v>38</v>
      </c>
      <c r="F4592">
        <v>146.82</v>
      </c>
      <c r="G4592" t="s">
        <v>14</v>
      </c>
      <c r="H4592" t="s">
        <v>15</v>
      </c>
      <c r="I4592">
        <v>2.8</v>
      </c>
      <c r="J4592">
        <v>9</v>
      </c>
      <c r="K4592">
        <v>2</v>
      </c>
    </row>
    <row r="4593" spans="1:11" x14ac:dyDescent="0.35">
      <c r="A4593">
        <v>4592</v>
      </c>
      <c r="B4593">
        <v>27</v>
      </c>
      <c r="C4593" t="s">
        <v>16</v>
      </c>
      <c r="D4593" t="s">
        <v>27</v>
      </c>
      <c r="E4593" t="s">
        <v>53</v>
      </c>
      <c r="F4593">
        <v>1476.44</v>
      </c>
      <c r="G4593" t="s">
        <v>14</v>
      </c>
      <c r="H4593" t="s">
        <v>15</v>
      </c>
      <c r="I4593">
        <v>5</v>
      </c>
      <c r="J4593">
        <v>16</v>
      </c>
      <c r="K4593">
        <v>3</v>
      </c>
    </row>
    <row r="4594" spans="1:11" x14ac:dyDescent="0.35">
      <c r="A4594">
        <v>4593</v>
      </c>
      <c r="B4594">
        <v>40</v>
      </c>
      <c r="C4594" t="s">
        <v>11</v>
      </c>
      <c r="D4594" t="s">
        <v>22</v>
      </c>
      <c r="E4594" t="s">
        <v>52</v>
      </c>
      <c r="F4594">
        <v>67.92</v>
      </c>
      <c r="G4594" t="s">
        <v>19</v>
      </c>
      <c r="H4594" t="s">
        <v>15</v>
      </c>
      <c r="I4594">
        <v>4.5999999999999996</v>
      </c>
      <c r="J4594">
        <v>12</v>
      </c>
      <c r="K4594">
        <v>6</v>
      </c>
    </row>
    <row r="4595" spans="1:11" x14ac:dyDescent="0.35">
      <c r="A4595">
        <v>4594</v>
      </c>
      <c r="B4595">
        <v>45</v>
      </c>
      <c r="C4595" t="s">
        <v>11</v>
      </c>
      <c r="D4595" t="s">
        <v>29</v>
      </c>
      <c r="E4595" t="s">
        <v>55</v>
      </c>
      <c r="F4595">
        <v>78.650000000000006</v>
      </c>
      <c r="G4595" t="s">
        <v>24</v>
      </c>
      <c r="H4595" t="s">
        <v>37</v>
      </c>
      <c r="I4595">
        <v>3.6</v>
      </c>
      <c r="J4595">
        <v>18</v>
      </c>
      <c r="K4595">
        <v>4</v>
      </c>
    </row>
    <row r="4596" spans="1:11" x14ac:dyDescent="0.35">
      <c r="A4596">
        <v>4595</v>
      </c>
      <c r="B4596">
        <v>64</v>
      </c>
      <c r="C4596" t="s">
        <v>16</v>
      </c>
      <c r="D4596" t="s">
        <v>17</v>
      </c>
      <c r="E4596" t="s">
        <v>48</v>
      </c>
      <c r="F4596">
        <v>158.12</v>
      </c>
      <c r="G4596" t="s">
        <v>31</v>
      </c>
      <c r="H4596" t="s">
        <v>15</v>
      </c>
      <c r="I4596">
        <v>3.9</v>
      </c>
      <c r="J4596">
        <v>4</v>
      </c>
      <c r="K4596">
        <v>2</v>
      </c>
    </row>
    <row r="4597" spans="1:11" x14ac:dyDescent="0.35">
      <c r="A4597">
        <v>4596</v>
      </c>
      <c r="B4597">
        <v>44</v>
      </c>
      <c r="C4597" t="s">
        <v>11</v>
      </c>
      <c r="D4597" t="s">
        <v>12</v>
      </c>
      <c r="E4597" t="s">
        <v>50</v>
      </c>
      <c r="F4597">
        <v>92.21</v>
      </c>
      <c r="G4597" t="s">
        <v>19</v>
      </c>
      <c r="H4597" t="s">
        <v>15</v>
      </c>
      <c r="I4597">
        <v>2.9</v>
      </c>
      <c r="J4597">
        <v>15</v>
      </c>
      <c r="K4597">
        <v>5</v>
      </c>
    </row>
    <row r="4598" spans="1:11" x14ac:dyDescent="0.35">
      <c r="A4598">
        <v>4597</v>
      </c>
      <c r="B4598">
        <v>27</v>
      </c>
      <c r="C4598" t="s">
        <v>16</v>
      </c>
      <c r="D4598" t="s">
        <v>17</v>
      </c>
      <c r="E4598" t="s">
        <v>18</v>
      </c>
      <c r="F4598">
        <v>86.53</v>
      </c>
      <c r="G4598" t="s">
        <v>24</v>
      </c>
      <c r="H4598" t="s">
        <v>15</v>
      </c>
      <c r="I4598">
        <v>4.0999999999999996</v>
      </c>
      <c r="J4598">
        <v>5</v>
      </c>
      <c r="K4598">
        <v>0</v>
      </c>
    </row>
    <row r="4599" spans="1:11" x14ac:dyDescent="0.35">
      <c r="A4599">
        <v>4598</v>
      </c>
      <c r="B4599">
        <v>64</v>
      </c>
      <c r="C4599" t="s">
        <v>11</v>
      </c>
      <c r="D4599" t="s">
        <v>33</v>
      </c>
      <c r="E4599" t="s">
        <v>34</v>
      </c>
      <c r="F4599">
        <v>233.47</v>
      </c>
      <c r="G4599" t="s">
        <v>14</v>
      </c>
      <c r="H4599" t="s">
        <v>15</v>
      </c>
      <c r="I4599">
        <v>4.8</v>
      </c>
      <c r="J4599">
        <v>6</v>
      </c>
      <c r="K4599">
        <v>3</v>
      </c>
    </row>
    <row r="4600" spans="1:11" x14ac:dyDescent="0.35">
      <c r="A4600">
        <v>4599</v>
      </c>
      <c r="B4600">
        <v>60</v>
      </c>
      <c r="C4600" t="s">
        <v>16</v>
      </c>
      <c r="D4600" t="s">
        <v>22</v>
      </c>
      <c r="E4600" t="s">
        <v>43</v>
      </c>
      <c r="F4600">
        <v>82.83</v>
      </c>
      <c r="G4600" t="s">
        <v>19</v>
      </c>
      <c r="H4600" t="s">
        <v>37</v>
      </c>
      <c r="I4600">
        <v>3.6</v>
      </c>
      <c r="J4600">
        <v>21</v>
      </c>
      <c r="K4600">
        <v>8</v>
      </c>
    </row>
    <row r="4601" spans="1:11" x14ac:dyDescent="0.35">
      <c r="A4601">
        <v>4600</v>
      </c>
      <c r="B4601">
        <v>60</v>
      </c>
      <c r="C4601" t="s">
        <v>11</v>
      </c>
      <c r="D4601" t="s">
        <v>20</v>
      </c>
      <c r="E4601" t="s">
        <v>21</v>
      </c>
      <c r="F4601">
        <v>217.78</v>
      </c>
      <c r="G4601" t="s">
        <v>24</v>
      </c>
      <c r="H4601" t="s">
        <v>15</v>
      </c>
      <c r="I4601">
        <v>4.8</v>
      </c>
      <c r="J4601">
        <v>18</v>
      </c>
      <c r="K4601">
        <v>4</v>
      </c>
    </row>
    <row r="4602" spans="1:11" x14ac:dyDescent="0.35">
      <c r="A4602">
        <v>4601</v>
      </c>
      <c r="B4602">
        <v>68</v>
      </c>
      <c r="C4602" t="s">
        <v>11</v>
      </c>
      <c r="D4602" t="s">
        <v>33</v>
      </c>
      <c r="E4602" t="s">
        <v>40</v>
      </c>
      <c r="F4602">
        <v>69.89</v>
      </c>
      <c r="G4602" t="s">
        <v>14</v>
      </c>
      <c r="H4602" t="s">
        <v>37</v>
      </c>
      <c r="I4602">
        <v>3.9</v>
      </c>
      <c r="J4602">
        <v>9</v>
      </c>
      <c r="K4602">
        <v>2</v>
      </c>
    </row>
    <row r="4603" spans="1:11" x14ac:dyDescent="0.35">
      <c r="A4603">
        <v>4602</v>
      </c>
      <c r="B4603">
        <v>23</v>
      </c>
      <c r="C4603" t="s">
        <v>11</v>
      </c>
      <c r="D4603" t="s">
        <v>29</v>
      </c>
      <c r="E4603" t="s">
        <v>30</v>
      </c>
      <c r="F4603">
        <v>86.48</v>
      </c>
      <c r="G4603" t="s">
        <v>24</v>
      </c>
      <c r="H4603" t="s">
        <v>15</v>
      </c>
      <c r="I4603">
        <v>4.3</v>
      </c>
      <c r="J4603">
        <v>13</v>
      </c>
      <c r="K4603">
        <v>4</v>
      </c>
    </row>
    <row r="4604" spans="1:11" x14ac:dyDescent="0.35">
      <c r="A4604">
        <v>4603</v>
      </c>
      <c r="B4604">
        <v>63</v>
      </c>
      <c r="C4604" t="s">
        <v>16</v>
      </c>
      <c r="D4604" t="s">
        <v>20</v>
      </c>
      <c r="E4604" t="s">
        <v>36</v>
      </c>
      <c r="F4604">
        <v>29.89</v>
      </c>
      <c r="G4604" t="s">
        <v>14</v>
      </c>
      <c r="H4604" t="s">
        <v>37</v>
      </c>
      <c r="I4604">
        <v>3.9</v>
      </c>
      <c r="J4604">
        <v>14</v>
      </c>
      <c r="K4604">
        <v>7</v>
      </c>
    </row>
    <row r="4605" spans="1:11" x14ac:dyDescent="0.35">
      <c r="A4605">
        <v>4604</v>
      </c>
      <c r="B4605">
        <v>25</v>
      </c>
      <c r="C4605" t="s">
        <v>16</v>
      </c>
      <c r="D4605" t="s">
        <v>20</v>
      </c>
      <c r="E4605" t="s">
        <v>39</v>
      </c>
      <c r="F4605">
        <v>30.91</v>
      </c>
      <c r="G4605" t="s">
        <v>14</v>
      </c>
      <c r="H4605" t="s">
        <v>37</v>
      </c>
      <c r="I4605">
        <v>3.9</v>
      </c>
      <c r="J4605">
        <v>22</v>
      </c>
      <c r="K4605">
        <v>6</v>
      </c>
    </row>
    <row r="4606" spans="1:11" x14ac:dyDescent="0.35">
      <c r="A4606">
        <v>4605</v>
      </c>
      <c r="B4606">
        <v>44</v>
      </c>
      <c r="C4606" t="s">
        <v>11</v>
      </c>
      <c r="D4606" t="s">
        <v>29</v>
      </c>
      <c r="E4606" t="s">
        <v>55</v>
      </c>
      <c r="F4606">
        <v>138.36000000000001</v>
      </c>
      <c r="G4606" t="s">
        <v>24</v>
      </c>
      <c r="H4606" t="s">
        <v>15</v>
      </c>
      <c r="I4606">
        <v>4.4000000000000004</v>
      </c>
      <c r="J4606">
        <v>16</v>
      </c>
      <c r="K4606">
        <v>3</v>
      </c>
    </row>
    <row r="4607" spans="1:11" x14ac:dyDescent="0.35">
      <c r="A4607">
        <v>4606</v>
      </c>
      <c r="B4607">
        <v>48</v>
      </c>
      <c r="C4607" t="s">
        <v>11</v>
      </c>
      <c r="D4607" t="s">
        <v>41</v>
      </c>
      <c r="E4607" t="s">
        <v>46</v>
      </c>
      <c r="F4607">
        <v>42.2</v>
      </c>
      <c r="G4607" t="s">
        <v>24</v>
      </c>
      <c r="H4607" t="s">
        <v>37</v>
      </c>
      <c r="I4607">
        <v>3.1</v>
      </c>
      <c r="J4607">
        <v>16</v>
      </c>
      <c r="K4607">
        <v>3</v>
      </c>
    </row>
    <row r="4608" spans="1:11" x14ac:dyDescent="0.35">
      <c r="A4608">
        <v>4607</v>
      </c>
      <c r="B4608">
        <v>30</v>
      </c>
      <c r="C4608" t="s">
        <v>11</v>
      </c>
      <c r="D4608" t="s">
        <v>41</v>
      </c>
      <c r="E4608" t="s">
        <v>46</v>
      </c>
      <c r="F4608">
        <v>137.13</v>
      </c>
      <c r="G4608" t="s">
        <v>31</v>
      </c>
      <c r="H4608" t="s">
        <v>15</v>
      </c>
      <c r="I4608">
        <v>4.4000000000000004</v>
      </c>
      <c r="J4608">
        <v>16</v>
      </c>
      <c r="K4608">
        <v>3</v>
      </c>
    </row>
    <row r="4609" spans="1:11" x14ac:dyDescent="0.35">
      <c r="A4609">
        <v>4608</v>
      </c>
      <c r="B4609">
        <v>24</v>
      </c>
      <c r="C4609" t="s">
        <v>16</v>
      </c>
      <c r="D4609" t="s">
        <v>22</v>
      </c>
      <c r="E4609" t="s">
        <v>23</v>
      </c>
      <c r="F4609">
        <v>232.57</v>
      </c>
      <c r="G4609" t="s">
        <v>31</v>
      </c>
      <c r="H4609" t="s">
        <v>15</v>
      </c>
      <c r="I4609">
        <v>3.6</v>
      </c>
      <c r="J4609">
        <v>26</v>
      </c>
      <c r="K4609">
        <v>8</v>
      </c>
    </row>
    <row r="4610" spans="1:11" x14ac:dyDescent="0.35">
      <c r="A4610">
        <v>4609</v>
      </c>
      <c r="B4610">
        <v>25</v>
      </c>
      <c r="C4610" t="s">
        <v>11</v>
      </c>
      <c r="D4610" t="s">
        <v>12</v>
      </c>
      <c r="E4610" t="s">
        <v>13</v>
      </c>
      <c r="F4610">
        <v>22.59</v>
      </c>
      <c r="G4610" t="s">
        <v>24</v>
      </c>
      <c r="H4610" t="s">
        <v>37</v>
      </c>
      <c r="I4610">
        <v>2.9</v>
      </c>
      <c r="J4610">
        <v>12</v>
      </c>
      <c r="K4610">
        <v>6</v>
      </c>
    </row>
    <row r="4611" spans="1:11" x14ac:dyDescent="0.35">
      <c r="A4611">
        <v>4610</v>
      </c>
      <c r="B4611">
        <v>50</v>
      </c>
      <c r="C4611" t="s">
        <v>16</v>
      </c>
      <c r="D4611" t="s">
        <v>27</v>
      </c>
      <c r="E4611" t="s">
        <v>32</v>
      </c>
      <c r="F4611">
        <v>2642.49</v>
      </c>
      <c r="G4611" t="s">
        <v>24</v>
      </c>
      <c r="H4611" t="s">
        <v>15</v>
      </c>
      <c r="I4611">
        <v>3.5</v>
      </c>
      <c r="J4611">
        <v>20</v>
      </c>
      <c r="K4611">
        <v>5</v>
      </c>
    </row>
    <row r="4612" spans="1:11" x14ac:dyDescent="0.35">
      <c r="A4612">
        <v>4611</v>
      </c>
      <c r="B4612">
        <v>64</v>
      </c>
      <c r="C4612" t="s">
        <v>11</v>
      </c>
      <c r="D4612" t="s">
        <v>29</v>
      </c>
      <c r="E4612" t="s">
        <v>55</v>
      </c>
      <c r="F4612">
        <v>103.84</v>
      </c>
      <c r="G4612" t="s">
        <v>19</v>
      </c>
      <c r="H4612" t="s">
        <v>15</v>
      </c>
      <c r="I4612">
        <v>4.3</v>
      </c>
      <c r="J4612">
        <v>14</v>
      </c>
      <c r="K4612">
        <v>7</v>
      </c>
    </row>
    <row r="4613" spans="1:11" x14ac:dyDescent="0.35">
      <c r="A4613">
        <v>4612</v>
      </c>
      <c r="B4613">
        <v>28</v>
      </c>
      <c r="C4613" t="s">
        <v>11</v>
      </c>
      <c r="D4613" t="s">
        <v>29</v>
      </c>
      <c r="E4613" t="s">
        <v>30</v>
      </c>
      <c r="F4613">
        <v>107.9</v>
      </c>
      <c r="G4613" t="s">
        <v>31</v>
      </c>
      <c r="H4613" t="s">
        <v>15</v>
      </c>
      <c r="I4613">
        <v>3.2</v>
      </c>
      <c r="J4613">
        <v>11</v>
      </c>
      <c r="K4613">
        <v>3</v>
      </c>
    </row>
    <row r="4614" spans="1:11" x14ac:dyDescent="0.35">
      <c r="A4614">
        <v>4613</v>
      </c>
      <c r="B4614">
        <v>55</v>
      </c>
      <c r="C4614" t="s">
        <v>16</v>
      </c>
      <c r="D4614" t="s">
        <v>20</v>
      </c>
      <c r="E4614" t="s">
        <v>39</v>
      </c>
      <c r="F4614">
        <v>175.64</v>
      </c>
      <c r="G4614" t="s">
        <v>31</v>
      </c>
      <c r="H4614" t="s">
        <v>15</v>
      </c>
      <c r="I4614">
        <v>4.4000000000000004</v>
      </c>
      <c r="J4614">
        <v>18</v>
      </c>
      <c r="K4614">
        <v>9</v>
      </c>
    </row>
    <row r="4615" spans="1:11" x14ac:dyDescent="0.35">
      <c r="A4615">
        <v>4614</v>
      </c>
      <c r="B4615">
        <v>42</v>
      </c>
      <c r="C4615" t="s">
        <v>16</v>
      </c>
      <c r="D4615" t="s">
        <v>27</v>
      </c>
      <c r="E4615" t="s">
        <v>28</v>
      </c>
      <c r="F4615">
        <v>909.94</v>
      </c>
      <c r="G4615" t="s">
        <v>14</v>
      </c>
      <c r="H4615" t="s">
        <v>15</v>
      </c>
      <c r="I4615">
        <v>3.5</v>
      </c>
      <c r="J4615">
        <v>19</v>
      </c>
      <c r="K4615">
        <v>7</v>
      </c>
    </row>
    <row r="4616" spans="1:11" x14ac:dyDescent="0.35">
      <c r="A4616">
        <v>4615</v>
      </c>
      <c r="B4616">
        <v>37</v>
      </c>
      <c r="C4616" t="s">
        <v>16</v>
      </c>
      <c r="D4616" t="s">
        <v>20</v>
      </c>
      <c r="E4616" t="s">
        <v>39</v>
      </c>
      <c r="F4616">
        <v>72.13</v>
      </c>
      <c r="G4616" t="s">
        <v>14</v>
      </c>
      <c r="H4616" t="s">
        <v>37</v>
      </c>
      <c r="I4616">
        <v>3.6</v>
      </c>
      <c r="J4616">
        <v>12</v>
      </c>
      <c r="K4616">
        <v>6</v>
      </c>
    </row>
    <row r="4617" spans="1:11" x14ac:dyDescent="0.35">
      <c r="A4617">
        <v>4616</v>
      </c>
      <c r="B4617">
        <v>60</v>
      </c>
      <c r="C4617" t="s">
        <v>11</v>
      </c>
      <c r="D4617" t="s">
        <v>33</v>
      </c>
      <c r="E4617" t="s">
        <v>34</v>
      </c>
      <c r="F4617">
        <v>150.30000000000001</v>
      </c>
      <c r="G4617" t="s">
        <v>31</v>
      </c>
      <c r="H4617" t="s">
        <v>15</v>
      </c>
      <c r="I4617">
        <v>4.2</v>
      </c>
      <c r="J4617">
        <v>22</v>
      </c>
      <c r="K4617">
        <v>6</v>
      </c>
    </row>
    <row r="4618" spans="1:11" x14ac:dyDescent="0.35">
      <c r="A4618">
        <v>4617</v>
      </c>
      <c r="B4618">
        <v>32</v>
      </c>
      <c r="C4618" t="s">
        <v>16</v>
      </c>
      <c r="D4618" t="s">
        <v>20</v>
      </c>
      <c r="E4618" t="s">
        <v>21</v>
      </c>
      <c r="F4618">
        <v>59.98</v>
      </c>
      <c r="G4618" t="s">
        <v>14</v>
      </c>
      <c r="H4618" t="s">
        <v>37</v>
      </c>
      <c r="I4618">
        <v>4.4000000000000004</v>
      </c>
      <c r="J4618">
        <v>11</v>
      </c>
      <c r="K4618">
        <v>3</v>
      </c>
    </row>
    <row r="4619" spans="1:11" x14ac:dyDescent="0.35">
      <c r="A4619">
        <v>4618</v>
      </c>
      <c r="B4619">
        <v>38</v>
      </c>
      <c r="C4619" t="s">
        <v>11</v>
      </c>
      <c r="D4619" t="s">
        <v>41</v>
      </c>
      <c r="E4619" t="s">
        <v>42</v>
      </c>
      <c r="F4619">
        <v>55.88</v>
      </c>
      <c r="G4619" t="s">
        <v>24</v>
      </c>
      <c r="H4619" t="s">
        <v>15</v>
      </c>
      <c r="I4619">
        <v>4.9000000000000004</v>
      </c>
      <c r="J4619">
        <v>18</v>
      </c>
      <c r="K4619">
        <v>9</v>
      </c>
    </row>
    <row r="4620" spans="1:11" x14ac:dyDescent="0.35">
      <c r="A4620">
        <v>4619</v>
      </c>
      <c r="B4620">
        <v>62</v>
      </c>
      <c r="C4620" t="s">
        <v>16</v>
      </c>
      <c r="D4620" t="s">
        <v>17</v>
      </c>
      <c r="E4620" t="s">
        <v>42</v>
      </c>
      <c r="F4620">
        <v>86.82</v>
      </c>
      <c r="G4620" t="s">
        <v>31</v>
      </c>
      <c r="H4620" t="s">
        <v>37</v>
      </c>
      <c r="I4620">
        <v>3</v>
      </c>
      <c r="J4620">
        <v>11</v>
      </c>
      <c r="K4620">
        <v>3</v>
      </c>
    </row>
    <row r="4621" spans="1:11" x14ac:dyDescent="0.35">
      <c r="A4621">
        <v>4620</v>
      </c>
      <c r="B4621">
        <v>58</v>
      </c>
      <c r="C4621" t="s">
        <v>16</v>
      </c>
      <c r="D4621" t="s">
        <v>20</v>
      </c>
      <c r="E4621" t="s">
        <v>21</v>
      </c>
      <c r="F4621">
        <v>88.53</v>
      </c>
      <c r="G4621" t="s">
        <v>24</v>
      </c>
      <c r="H4621" t="s">
        <v>15</v>
      </c>
      <c r="I4621">
        <v>3.5</v>
      </c>
      <c r="J4621">
        <v>13</v>
      </c>
      <c r="K4621">
        <v>4</v>
      </c>
    </row>
    <row r="4622" spans="1:11" x14ac:dyDescent="0.35">
      <c r="A4622">
        <v>4621</v>
      </c>
      <c r="B4622">
        <v>20</v>
      </c>
      <c r="C4622" t="s">
        <v>16</v>
      </c>
      <c r="D4622" t="s">
        <v>33</v>
      </c>
      <c r="E4622" t="s">
        <v>40</v>
      </c>
      <c r="F4622">
        <v>155.1</v>
      </c>
      <c r="G4622" t="s">
        <v>14</v>
      </c>
      <c r="H4622" t="s">
        <v>15</v>
      </c>
      <c r="I4622">
        <v>3.8</v>
      </c>
      <c r="J4622">
        <v>7</v>
      </c>
      <c r="K4622">
        <v>1</v>
      </c>
    </row>
    <row r="4623" spans="1:11" x14ac:dyDescent="0.35">
      <c r="A4623">
        <v>4622</v>
      </c>
      <c r="B4623">
        <v>43</v>
      </c>
      <c r="C4623" t="s">
        <v>11</v>
      </c>
      <c r="D4623" t="s">
        <v>29</v>
      </c>
      <c r="E4623" t="s">
        <v>30</v>
      </c>
      <c r="F4623">
        <v>79.400000000000006</v>
      </c>
      <c r="G4623" t="s">
        <v>24</v>
      </c>
      <c r="H4623" t="s">
        <v>37</v>
      </c>
      <c r="I4623">
        <v>4.3</v>
      </c>
      <c r="J4623">
        <v>21</v>
      </c>
      <c r="K4623">
        <v>8</v>
      </c>
    </row>
    <row r="4624" spans="1:11" x14ac:dyDescent="0.35">
      <c r="A4624">
        <v>4623</v>
      </c>
      <c r="B4624">
        <v>23</v>
      </c>
      <c r="C4624" t="s">
        <v>16</v>
      </c>
      <c r="D4624" t="s">
        <v>27</v>
      </c>
      <c r="E4624" t="s">
        <v>28</v>
      </c>
      <c r="F4624">
        <v>1000.65</v>
      </c>
      <c r="G4624" t="s">
        <v>19</v>
      </c>
      <c r="H4624" t="s">
        <v>15</v>
      </c>
      <c r="I4624">
        <v>3.6</v>
      </c>
      <c r="J4624">
        <v>19</v>
      </c>
      <c r="K4624">
        <v>7</v>
      </c>
    </row>
    <row r="4625" spans="1:11" x14ac:dyDescent="0.35">
      <c r="A4625">
        <v>4624</v>
      </c>
      <c r="B4625">
        <v>34</v>
      </c>
      <c r="C4625" t="s">
        <v>16</v>
      </c>
      <c r="D4625" t="s">
        <v>27</v>
      </c>
      <c r="E4625" t="s">
        <v>28</v>
      </c>
      <c r="F4625">
        <v>654.41999999999996</v>
      </c>
      <c r="G4625" t="s">
        <v>31</v>
      </c>
      <c r="H4625" t="s">
        <v>15</v>
      </c>
      <c r="I4625">
        <v>5</v>
      </c>
      <c r="J4625">
        <v>13</v>
      </c>
      <c r="K4625">
        <v>4</v>
      </c>
    </row>
    <row r="4626" spans="1:11" x14ac:dyDescent="0.35">
      <c r="A4626">
        <v>4625</v>
      </c>
      <c r="B4626">
        <v>31</v>
      </c>
      <c r="C4626" t="s">
        <v>16</v>
      </c>
      <c r="D4626" t="s">
        <v>20</v>
      </c>
      <c r="E4626" t="s">
        <v>39</v>
      </c>
      <c r="F4626">
        <v>226.81</v>
      </c>
      <c r="G4626" t="s">
        <v>19</v>
      </c>
      <c r="H4626" t="s">
        <v>15</v>
      </c>
      <c r="I4626">
        <v>4.5</v>
      </c>
      <c r="J4626">
        <v>4</v>
      </c>
      <c r="K4626">
        <v>2</v>
      </c>
    </row>
    <row r="4627" spans="1:11" x14ac:dyDescent="0.35">
      <c r="A4627">
        <v>4626</v>
      </c>
      <c r="B4627">
        <v>32</v>
      </c>
      <c r="C4627" t="s">
        <v>11</v>
      </c>
      <c r="D4627" t="s">
        <v>12</v>
      </c>
      <c r="E4627" t="s">
        <v>50</v>
      </c>
      <c r="F4627">
        <v>40.26</v>
      </c>
      <c r="G4627" t="s">
        <v>31</v>
      </c>
      <c r="H4627" t="s">
        <v>15</v>
      </c>
      <c r="I4627">
        <v>5</v>
      </c>
      <c r="J4627">
        <v>18</v>
      </c>
      <c r="K4627">
        <v>4</v>
      </c>
    </row>
    <row r="4628" spans="1:11" x14ac:dyDescent="0.35">
      <c r="A4628">
        <v>4627</v>
      </c>
      <c r="B4628">
        <v>55</v>
      </c>
      <c r="C4628" t="s">
        <v>16</v>
      </c>
      <c r="D4628" t="s">
        <v>27</v>
      </c>
      <c r="E4628" t="s">
        <v>32</v>
      </c>
      <c r="F4628">
        <v>556.03</v>
      </c>
      <c r="G4628" t="s">
        <v>14</v>
      </c>
      <c r="H4628" t="s">
        <v>15</v>
      </c>
      <c r="I4628">
        <v>4.0999999999999996</v>
      </c>
      <c r="J4628">
        <v>12</v>
      </c>
      <c r="K4628">
        <v>6</v>
      </c>
    </row>
    <row r="4629" spans="1:11" x14ac:dyDescent="0.35">
      <c r="A4629">
        <v>4628</v>
      </c>
      <c r="B4629">
        <v>35</v>
      </c>
      <c r="C4629" t="s">
        <v>11</v>
      </c>
      <c r="D4629" t="s">
        <v>29</v>
      </c>
      <c r="E4629" t="s">
        <v>55</v>
      </c>
      <c r="F4629">
        <v>108.74</v>
      </c>
      <c r="G4629" t="s">
        <v>24</v>
      </c>
      <c r="H4629" t="s">
        <v>15</v>
      </c>
      <c r="I4629">
        <v>3.8</v>
      </c>
      <c r="J4629">
        <v>4</v>
      </c>
      <c r="K4629">
        <v>2</v>
      </c>
    </row>
    <row r="4630" spans="1:11" x14ac:dyDescent="0.35">
      <c r="A4630">
        <v>4629</v>
      </c>
      <c r="B4630">
        <v>27</v>
      </c>
      <c r="C4630" t="s">
        <v>11</v>
      </c>
      <c r="D4630" t="s">
        <v>22</v>
      </c>
      <c r="E4630" t="s">
        <v>23</v>
      </c>
      <c r="F4630">
        <v>176.23</v>
      </c>
      <c r="G4630" t="s">
        <v>14</v>
      </c>
      <c r="H4630" t="s">
        <v>15</v>
      </c>
      <c r="I4630">
        <v>4.0999999999999996</v>
      </c>
      <c r="J4630">
        <v>20</v>
      </c>
      <c r="K4630">
        <v>5</v>
      </c>
    </row>
    <row r="4631" spans="1:11" x14ac:dyDescent="0.35">
      <c r="A4631">
        <v>4630</v>
      </c>
      <c r="B4631">
        <v>30</v>
      </c>
      <c r="C4631" t="s">
        <v>11</v>
      </c>
      <c r="D4631" t="s">
        <v>33</v>
      </c>
      <c r="E4631" t="s">
        <v>34</v>
      </c>
      <c r="F4631">
        <v>189.68</v>
      </c>
      <c r="G4631" t="s">
        <v>31</v>
      </c>
      <c r="H4631" t="s">
        <v>15</v>
      </c>
      <c r="I4631">
        <v>4</v>
      </c>
      <c r="J4631">
        <v>13</v>
      </c>
      <c r="K4631">
        <v>4</v>
      </c>
    </row>
    <row r="4632" spans="1:11" x14ac:dyDescent="0.35">
      <c r="A4632">
        <v>4631</v>
      </c>
      <c r="B4632">
        <v>34</v>
      </c>
      <c r="C4632" t="s">
        <v>11</v>
      </c>
      <c r="D4632" t="s">
        <v>20</v>
      </c>
      <c r="E4632" t="s">
        <v>36</v>
      </c>
      <c r="F4632">
        <v>196.56</v>
      </c>
      <c r="G4632" t="s">
        <v>31</v>
      </c>
      <c r="H4632" t="s">
        <v>15</v>
      </c>
      <c r="I4632">
        <v>3.8</v>
      </c>
      <c r="J4632">
        <v>14</v>
      </c>
      <c r="K4632">
        <v>7</v>
      </c>
    </row>
    <row r="4633" spans="1:11" x14ac:dyDescent="0.35">
      <c r="A4633">
        <v>4632</v>
      </c>
      <c r="B4633">
        <v>52</v>
      </c>
      <c r="C4633" t="s">
        <v>16</v>
      </c>
      <c r="D4633" t="s">
        <v>20</v>
      </c>
      <c r="E4633" t="s">
        <v>21</v>
      </c>
      <c r="F4633">
        <v>42.78</v>
      </c>
      <c r="G4633" t="s">
        <v>24</v>
      </c>
      <c r="H4633" t="s">
        <v>37</v>
      </c>
      <c r="I4633">
        <v>2.5</v>
      </c>
      <c r="J4633">
        <v>10</v>
      </c>
      <c r="K4633">
        <v>5</v>
      </c>
    </row>
    <row r="4634" spans="1:11" x14ac:dyDescent="0.35">
      <c r="A4634">
        <v>4633</v>
      </c>
      <c r="B4634">
        <v>70</v>
      </c>
      <c r="C4634" t="s">
        <v>16</v>
      </c>
      <c r="D4634" t="s">
        <v>17</v>
      </c>
      <c r="E4634" t="s">
        <v>42</v>
      </c>
      <c r="F4634">
        <v>79.5</v>
      </c>
      <c r="G4634" t="s">
        <v>14</v>
      </c>
      <c r="H4634" t="s">
        <v>15</v>
      </c>
      <c r="I4634">
        <v>4.4000000000000004</v>
      </c>
      <c r="J4634">
        <v>13</v>
      </c>
      <c r="K4634">
        <v>4</v>
      </c>
    </row>
    <row r="4635" spans="1:11" x14ac:dyDescent="0.35">
      <c r="A4635">
        <v>4634</v>
      </c>
      <c r="B4635">
        <v>42</v>
      </c>
      <c r="C4635" t="s">
        <v>11</v>
      </c>
      <c r="D4635" t="s">
        <v>33</v>
      </c>
      <c r="E4635" t="s">
        <v>40</v>
      </c>
      <c r="F4635">
        <v>145.34</v>
      </c>
      <c r="G4635" t="s">
        <v>31</v>
      </c>
      <c r="H4635" t="s">
        <v>15</v>
      </c>
      <c r="I4635">
        <v>4.0999999999999996</v>
      </c>
      <c r="J4635">
        <v>6</v>
      </c>
      <c r="K4635">
        <v>3</v>
      </c>
    </row>
    <row r="4636" spans="1:11" x14ac:dyDescent="0.35">
      <c r="A4636">
        <v>4635</v>
      </c>
      <c r="B4636">
        <v>29</v>
      </c>
      <c r="C4636" t="s">
        <v>16</v>
      </c>
      <c r="D4636" t="s">
        <v>27</v>
      </c>
      <c r="E4636" t="s">
        <v>49</v>
      </c>
      <c r="F4636">
        <v>1135.48</v>
      </c>
      <c r="G4636" t="s">
        <v>14</v>
      </c>
      <c r="H4636" t="s">
        <v>15</v>
      </c>
      <c r="I4636">
        <v>4.2</v>
      </c>
      <c r="J4636">
        <v>8</v>
      </c>
      <c r="K4636">
        <v>4</v>
      </c>
    </row>
    <row r="4637" spans="1:11" x14ac:dyDescent="0.35">
      <c r="A4637">
        <v>4636</v>
      </c>
      <c r="B4637">
        <v>33</v>
      </c>
      <c r="C4637" t="s">
        <v>11</v>
      </c>
      <c r="D4637" t="s">
        <v>33</v>
      </c>
      <c r="E4637" t="s">
        <v>38</v>
      </c>
      <c r="F4637">
        <v>156.04</v>
      </c>
      <c r="G4637" t="s">
        <v>31</v>
      </c>
      <c r="H4637" t="s">
        <v>15</v>
      </c>
      <c r="I4637">
        <v>4.4000000000000004</v>
      </c>
      <c r="J4637">
        <v>20</v>
      </c>
      <c r="K4637">
        <v>5</v>
      </c>
    </row>
    <row r="4638" spans="1:11" x14ac:dyDescent="0.35">
      <c r="A4638">
        <v>4637</v>
      </c>
      <c r="B4638">
        <v>68</v>
      </c>
      <c r="C4638" t="s">
        <v>11</v>
      </c>
      <c r="D4638" t="s">
        <v>29</v>
      </c>
      <c r="E4638" t="s">
        <v>55</v>
      </c>
      <c r="F4638">
        <v>91.12</v>
      </c>
      <c r="G4638" t="s">
        <v>14</v>
      </c>
      <c r="H4638" t="s">
        <v>15</v>
      </c>
      <c r="I4638">
        <v>3.7</v>
      </c>
      <c r="J4638">
        <v>20</v>
      </c>
      <c r="K4638">
        <v>5</v>
      </c>
    </row>
    <row r="4639" spans="1:11" x14ac:dyDescent="0.35">
      <c r="A4639">
        <v>4638</v>
      </c>
      <c r="B4639">
        <v>47</v>
      </c>
      <c r="C4639" t="s">
        <v>11</v>
      </c>
      <c r="D4639" t="s">
        <v>29</v>
      </c>
      <c r="E4639" t="s">
        <v>51</v>
      </c>
      <c r="F4639">
        <v>125.68</v>
      </c>
      <c r="G4639" t="s">
        <v>31</v>
      </c>
      <c r="H4639" t="s">
        <v>15</v>
      </c>
      <c r="I4639">
        <v>4.9000000000000004</v>
      </c>
      <c r="J4639">
        <v>18</v>
      </c>
      <c r="K4639">
        <v>4</v>
      </c>
    </row>
    <row r="4640" spans="1:11" x14ac:dyDescent="0.35">
      <c r="A4640">
        <v>4639</v>
      </c>
      <c r="B4640">
        <v>59</v>
      </c>
      <c r="C4640" t="s">
        <v>16</v>
      </c>
      <c r="D4640" t="s">
        <v>33</v>
      </c>
      <c r="E4640" t="s">
        <v>40</v>
      </c>
      <c r="F4640">
        <v>118.38</v>
      </c>
      <c r="G4640" t="s">
        <v>14</v>
      </c>
      <c r="H4640" t="s">
        <v>15</v>
      </c>
      <c r="I4640">
        <v>4.3</v>
      </c>
      <c r="J4640">
        <v>17</v>
      </c>
      <c r="K4640">
        <v>6</v>
      </c>
    </row>
    <row r="4641" spans="1:11" x14ac:dyDescent="0.35">
      <c r="A4641">
        <v>4640</v>
      </c>
      <c r="B4641">
        <v>41</v>
      </c>
      <c r="C4641" t="s">
        <v>16</v>
      </c>
      <c r="D4641" t="s">
        <v>27</v>
      </c>
      <c r="E4641" t="s">
        <v>32</v>
      </c>
      <c r="F4641">
        <v>2452.5500000000002</v>
      </c>
      <c r="G4641" t="s">
        <v>24</v>
      </c>
      <c r="H4641" t="s">
        <v>15</v>
      </c>
      <c r="I4641">
        <v>4.4000000000000004</v>
      </c>
      <c r="J4641">
        <v>18</v>
      </c>
      <c r="K4641">
        <v>4</v>
      </c>
    </row>
    <row r="4642" spans="1:11" x14ac:dyDescent="0.35">
      <c r="A4642">
        <v>4641</v>
      </c>
      <c r="B4642">
        <v>60</v>
      </c>
      <c r="C4642" t="s">
        <v>11</v>
      </c>
      <c r="D4642" t="s">
        <v>33</v>
      </c>
      <c r="E4642" t="s">
        <v>38</v>
      </c>
      <c r="F4642">
        <v>126.78</v>
      </c>
      <c r="G4642" t="s">
        <v>31</v>
      </c>
      <c r="H4642" t="s">
        <v>15</v>
      </c>
      <c r="I4642">
        <v>3.2</v>
      </c>
      <c r="J4642">
        <v>13</v>
      </c>
      <c r="K4642">
        <v>4</v>
      </c>
    </row>
    <row r="4643" spans="1:11" x14ac:dyDescent="0.35">
      <c r="A4643">
        <v>4642</v>
      </c>
      <c r="B4643">
        <v>20</v>
      </c>
      <c r="C4643" t="s">
        <v>16</v>
      </c>
      <c r="D4643" t="s">
        <v>20</v>
      </c>
      <c r="E4643" t="s">
        <v>39</v>
      </c>
      <c r="F4643">
        <v>167.57</v>
      </c>
      <c r="G4643" t="s">
        <v>31</v>
      </c>
      <c r="H4643" t="s">
        <v>15</v>
      </c>
      <c r="I4643">
        <v>2.7</v>
      </c>
      <c r="J4643">
        <v>13</v>
      </c>
      <c r="K4643">
        <v>4</v>
      </c>
    </row>
    <row r="4644" spans="1:11" x14ac:dyDescent="0.35">
      <c r="A4644">
        <v>4643</v>
      </c>
      <c r="B4644">
        <v>29</v>
      </c>
      <c r="C4644" t="s">
        <v>16</v>
      </c>
      <c r="D4644" t="s">
        <v>17</v>
      </c>
      <c r="E4644" t="s">
        <v>18</v>
      </c>
      <c r="F4644">
        <v>89.05</v>
      </c>
      <c r="G4644" t="s">
        <v>19</v>
      </c>
      <c r="H4644" t="s">
        <v>37</v>
      </c>
      <c r="I4644">
        <v>3.8</v>
      </c>
      <c r="J4644">
        <v>15</v>
      </c>
      <c r="K4644">
        <v>5</v>
      </c>
    </row>
    <row r="4645" spans="1:11" x14ac:dyDescent="0.35">
      <c r="A4645">
        <v>4644</v>
      </c>
      <c r="B4645">
        <v>41</v>
      </c>
      <c r="C4645" t="s">
        <v>11</v>
      </c>
      <c r="D4645" t="s">
        <v>33</v>
      </c>
      <c r="E4645" t="s">
        <v>34</v>
      </c>
      <c r="F4645">
        <v>83.85</v>
      </c>
      <c r="G4645" t="s">
        <v>14</v>
      </c>
      <c r="H4645" t="s">
        <v>37</v>
      </c>
      <c r="I4645">
        <v>4.4000000000000004</v>
      </c>
      <c r="J4645">
        <v>24</v>
      </c>
      <c r="K4645">
        <v>7</v>
      </c>
    </row>
    <row r="4646" spans="1:11" x14ac:dyDescent="0.35">
      <c r="A4646">
        <v>4645</v>
      </c>
      <c r="B4646">
        <v>22</v>
      </c>
      <c r="C4646" t="s">
        <v>11</v>
      </c>
      <c r="D4646" t="s">
        <v>41</v>
      </c>
      <c r="E4646" t="s">
        <v>44</v>
      </c>
      <c r="F4646">
        <v>73.430000000000007</v>
      </c>
      <c r="G4646" t="s">
        <v>14</v>
      </c>
      <c r="H4646" t="s">
        <v>15</v>
      </c>
      <c r="I4646">
        <v>3.9</v>
      </c>
      <c r="J4646">
        <v>18</v>
      </c>
      <c r="K4646">
        <v>4</v>
      </c>
    </row>
    <row r="4647" spans="1:11" x14ac:dyDescent="0.35">
      <c r="A4647">
        <v>4646</v>
      </c>
      <c r="B4647">
        <v>50</v>
      </c>
      <c r="C4647" t="s">
        <v>11</v>
      </c>
      <c r="D4647" t="s">
        <v>22</v>
      </c>
      <c r="E4647" t="s">
        <v>23</v>
      </c>
      <c r="F4647">
        <v>99.03</v>
      </c>
      <c r="G4647" t="s">
        <v>24</v>
      </c>
      <c r="H4647" t="s">
        <v>15</v>
      </c>
      <c r="I4647">
        <v>4.5999999999999996</v>
      </c>
      <c r="J4647">
        <v>17</v>
      </c>
      <c r="K4647">
        <v>6</v>
      </c>
    </row>
    <row r="4648" spans="1:11" x14ac:dyDescent="0.35">
      <c r="A4648">
        <v>4647</v>
      </c>
      <c r="B4648">
        <v>51</v>
      </c>
      <c r="C4648" t="s">
        <v>16</v>
      </c>
      <c r="D4648" t="s">
        <v>27</v>
      </c>
      <c r="E4648" t="s">
        <v>49</v>
      </c>
      <c r="F4648">
        <v>912.84</v>
      </c>
      <c r="G4648" t="s">
        <v>31</v>
      </c>
      <c r="H4648" t="s">
        <v>15</v>
      </c>
      <c r="I4648">
        <v>4.4000000000000004</v>
      </c>
      <c r="J4648">
        <v>18</v>
      </c>
      <c r="K4648">
        <v>9</v>
      </c>
    </row>
    <row r="4649" spans="1:11" x14ac:dyDescent="0.35">
      <c r="A4649">
        <v>4648</v>
      </c>
      <c r="B4649">
        <v>30</v>
      </c>
      <c r="C4649" t="s">
        <v>16</v>
      </c>
      <c r="D4649" t="s">
        <v>33</v>
      </c>
      <c r="E4649" t="s">
        <v>38</v>
      </c>
      <c r="F4649">
        <v>115.58</v>
      </c>
      <c r="G4649" t="s">
        <v>19</v>
      </c>
      <c r="H4649" t="s">
        <v>15</v>
      </c>
      <c r="I4649">
        <v>4.3</v>
      </c>
      <c r="J4649">
        <v>15</v>
      </c>
      <c r="K4649">
        <v>5</v>
      </c>
    </row>
    <row r="4650" spans="1:11" x14ac:dyDescent="0.35">
      <c r="A4650">
        <v>4649</v>
      </c>
      <c r="B4650">
        <v>47</v>
      </c>
      <c r="C4650" t="s">
        <v>16</v>
      </c>
      <c r="D4650" t="s">
        <v>17</v>
      </c>
      <c r="E4650" t="s">
        <v>35</v>
      </c>
      <c r="F4650">
        <v>93.05</v>
      </c>
      <c r="G4650" t="s">
        <v>24</v>
      </c>
      <c r="H4650" t="s">
        <v>37</v>
      </c>
      <c r="I4650">
        <v>3.6</v>
      </c>
      <c r="J4650">
        <v>15</v>
      </c>
      <c r="K4650">
        <v>5</v>
      </c>
    </row>
    <row r="4651" spans="1:11" x14ac:dyDescent="0.35">
      <c r="A4651">
        <v>4650</v>
      </c>
      <c r="B4651">
        <v>67</v>
      </c>
      <c r="C4651" t="s">
        <v>11</v>
      </c>
      <c r="D4651" t="s">
        <v>41</v>
      </c>
      <c r="E4651" t="s">
        <v>44</v>
      </c>
      <c r="F4651">
        <v>35.619999999999997</v>
      </c>
      <c r="G4651" t="s">
        <v>19</v>
      </c>
      <c r="H4651" t="s">
        <v>37</v>
      </c>
      <c r="I4651">
        <v>3.4</v>
      </c>
      <c r="J4651">
        <v>13</v>
      </c>
      <c r="K4651">
        <v>4</v>
      </c>
    </row>
    <row r="4652" spans="1:11" x14ac:dyDescent="0.35">
      <c r="A4652">
        <v>4651</v>
      </c>
      <c r="B4652">
        <v>64</v>
      </c>
      <c r="C4652" t="s">
        <v>11</v>
      </c>
      <c r="D4652" t="s">
        <v>12</v>
      </c>
      <c r="E4652" t="s">
        <v>50</v>
      </c>
      <c r="F4652">
        <v>132.69</v>
      </c>
      <c r="G4652" t="s">
        <v>31</v>
      </c>
      <c r="H4652" t="s">
        <v>15</v>
      </c>
      <c r="I4652">
        <v>3.3</v>
      </c>
      <c r="J4652">
        <v>19</v>
      </c>
      <c r="K4652">
        <v>7</v>
      </c>
    </row>
    <row r="4653" spans="1:11" x14ac:dyDescent="0.35">
      <c r="A4653">
        <v>4652</v>
      </c>
      <c r="B4653">
        <v>25</v>
      </c>
      <c r="C4653" t="s">
        <v>16</v>
      </c>
      <c r="D4653" t="s">
        <v>17</v>
      </c>
      <c r="E4653" t="s">
        <v>35</v>
      </c>
      <c r="F4653">
        <v>170.07</v>
      </c>
      <c r="G4653" t="s">
        <v>19</v>
      </c>
      <c r="H4653" t="s">
        <v>15</v>
      </c>
      <c r="I4653">
        <v>3.6</v>
      </c>
      <c r="J4653">
        <v>9</v>
      </c>
      <c r="K4653">
        <v>2</v>
      </c>
    </row>
    <row r="4654" spans="1:11" x14ac:dyDescent="0.35">
      <c r="A4654">
        <v>4653</v>
      </c>
      <c r="B4654">
        <v>48</v>
      </c>
      <c r="C4654" t="s">
        <v>11</v>
      </c>
      <c r="D4654" t="s">
        <v>12</v>
      </c>
      <c r="E4654" t="s">
        <v>56</v>
      </c>
      <c r="F4654">
        <v>86.33</v>
      </c>
      <c r="G4654" t="s">
        <v>31</v>
      </c>
      <c r="H4654" t="s">
        <v>15</v>
      </c>
      <c r="I4654">
        <v>3.4</v>
      </c>
      <c r="J4654">
        <v>6</v>
      </c>
      <c r="K4654">
        <v>3</v>
      </c>
    </row>
    <row r="4655" spans="1:11" x14ac:dyDescent="0.35">
      <c r="A4655">
        <v>4654</v>
      </c>
      <c r="B4655">
        <v>47</v>
      </c>
      <c r="C4655" t="s">
        <v>16</v>
      </c>
      <c r="D4655" t="s">
        <v>27</v>
      </c>
      <c r="E4655" t="s">
        <v>53</v>
      </c>
      <c r="F4655">
        <v>2683.15</v>
      </c>
      <c r="G4655" t="s">
        <v>14</v>
      </c>
      <c r="H4655" t="s">
        <v>15</v>
      </c>
      <c r="I4655">
        <v>3.3</v>
      </c>
      <c r="J4655">
        <v>11</v>
      </c>
      <c r="K4655">
        <v>3</v>
      </c>
    </row>
    <row r="4656" spans="1:11" x14ac:dyDescent="0.35">
      <c r="A4656">
        <v>4655</v>
      </c>
      <c r="B4656">
        <v>64</v>
      </c>
      <c r="C4656" t="s">
        <v>16</v>
      </c>
      <c r="D4656" t="s">
        <v>27</v>
      </c>
      <c r="E4656" t="s">
        <v>32</v>
      </c>
      <c r="F4656">
        <v>1406.03</v>
      </c>
      <c r="G4656" t="s">
        <v>24</v>
      </c>
      <c r="H4656" t="s">
        <v>15</v>
      </c>
      <c r="I4656">
        <v>3.7</v>
      </c>
      <c r="J4656">
        <v>22</v>
      </c>
      <c r="K4656">
        <v>6</v>
      </c>
    </row>
    <row r="4657" spans="1:11" x14ac:dyDescent="0.35">
      <c r="A4657">
        <v>4656</v>
      </c>
      <c r="B4657">
        <v>41</v>
      </c>
      <c r="C4657" t="s">
        <v>11</v>
      </c>
      <c r="D4657" t="s">
        <v>33</v>
      </c>
      <c r="E4657" t="s">
        <v>34</v>
      </c>
      <c r="F4657">
        <v>192.14</v>
      </c>
      <c r="G4657" t="s">
        <v>31</v>
      </c>
      <c r="H4657" t="s">
        <v>15</v>
      </c>
      <c r="I4657">
        <v>3.8</v>
      </c>
      <c r="J4657">
        <v>13</v>
      </c>
      <c r="K4657">
        <v>4</v>
      </c>
    </row>
    <row r="4658" spans="1:11" x14ac:dyDescent="0.35">
      <c r="A4658">
        <v>4657</v>
      </c>
      <c r="B4658">
        <v>56</v>
      </c>
      <c r="C4658" t="s">
        <v>11</v>
      </c>
      <c r="D4658" t="s">
        <v>33</v>
      </c>
      <c r="E4658" t="s">
        <v>38</v>
      </c>
      <c r="F4658">
        <v>234.23</v>
      </c>
      <c r="G4658" t="s">
        <v>19</v>
      </c>
      <c r="H4658" t="s">
        <v>15</v>
      </c>
      <c r="I4658">
        <v>4.7</v>
      </c>
      <c r="J4658">
        <v>13</v>
      </c>
      <c r="K4658">
        <v>4</v>
      </c>
    </row>
    <row r="4659" spans="1:11" x14ac:dyDescent="0.35">
      <c r="A4659">
        <v>4658</v>
      </c>
      <c r="B4659">
        <v>65</v>
      </c>
      <c r="C4659" t="s">
        <v>11</v>
      </c>
      <c r="D4659" t="s">
        <v>41</v>
      </c>
      <c r="E4659" t="s">
        <v>45</v>
      </c>
      <c r="F4659">
        <v>50.96</v>
      </c>
      <c r="G4659" t="s">
        <v>14</v>
      </c>
      <c r="H4659" t="s">
        <v>15</v>
      </c>
      <c r="I4659">
        <v>4</v>
      </c>
      <c r="J4659">
        <v>23</v>
      </c>
      <c r="K4659">
        <v>9</v>
      </c>
    </row>
    <row r="4660" spans="1:11" x14ac:dyDescent="0.35">
      <c r="A4660">
        <v>4659</v>
      </c>
      <c r="B4660">
        <v>62</v>
      </c>
      <c r="C4660" t="s">
        <v>11</v>
      </c>
      <c r="D4660" t="s">
        <v>33</v>
      </c>
      <c r="E4660" t="s">
        <v>40</v>
      </c>
      <c r="F4660">
        <v>50.04</v>
      </c>
      <c r="G4660" t="s">
        <v>19</v>
      </c>
      <c r="H4660" t="s">
        <v>37</v>
      </c>
      <c r="I4660">
        <v>2.5</v>
      </c>
      <c r="J4660">
        <v>19</v>
      </c>
      <c r="K4660">
        <v>7</v>
      </c>
    </row>
    <row r="4661" spans="1:11" x14ac:dyDescent="0.35">
      <c r="A4661">
        <v>4660</v>
      </c>
      <c r="B4661">
        <v>63</v>
      </c>
      <c r="C4661" t="s">
        <v>16</v>
      </c>
      <c r="D4661" t="s">
        <v>17</v>
      </c>
      <c r="E4661" t="s">
        <v>42</v>
      </c>
      <c r="F4661">
        <v>156.43</v>
      </c>
      <c r="G4661" t="s">
        <v>24</v>
      </c>
      <c r="H4661" t="s">
        <v>15</v>
      </c>
      <c r="I4661">
        <v>3.7</v>
      </c>
      <c r="J4661">
        <v>13</v>
      </c>
      <c r="K4661">
        <v>4</v>
      </c>
    </row>
    <row r="4662" spans="1:11" x14ac:dyDescent="0.35">
      <c r="A4662">
        <v>4661</v>
      </c>
      <c r="B4662">
        <v>32</v>
      </c>
      <c r="C4662" t="s">
        <v>11</v>
      </c>
      <c r="D4662" t="s">
        <v>33</v>
      </c>
      <c r="E4662" t="s">
        <v>34</v>
      </c>
      <c r="F4662">
        <v>44.71</v>
      </c>
      <c r="G4662" t="s">
        <v>24</v>
      </c>
      <c r="H4662" t="s">
        <v>37</v>
      </c>
      <c r="I4662">
        <v>3.8</v>
      </c>
      <c r="J4662">
        <v>18</v>
      </c>
      <c r="K4662">
        <v>4</v>
      </c>
    </row>
    <row r="4663" spans="1:11" x14ac:dyDescent="0.35">
      <c r="A4663">
        <v>4662</v>
      </c>
      <c r="B4663">
        <v>42</v>
      </c>
      <c r="C4663" t="s">
        <v>16</v>
      </c>
      <c r="D4663" t="s">
        <v>33</v>
      </c>
      <c r="E4663" t="s">
        <v>34</v>
      </c>
      <c r="F4663">
        <v>220.57</v>
      </c>
      <c r="G4663" t="s">
        <v>19</v>
      </c>
      <c r="H4663" t="s">
        <v>15</v>
      </c>
      <c r="I4663">
        <v>2.4</v>
      </c>
      <c r="J4663">
        <v>15</v>
      </c>
      <c r="K4663">
        <v>5</v>
      </c>
    </row>
    <row r="4664" spans="1:11" x14ac:dyDescent="0.35">
      <c r="A4664">
        <v>4663</v>
      </c>
      <c r="B4664">
        <v>31</v>
      </c>
      <c r="C4664" t="s">
        <v>11</v>
      </c>
      <c r="D4664" t="s">
        <v>33</v>
      </c>
      <c r="E4664" t="s">
        <v>38</v>
      </c>
      <c r="F4664">
        <v>42.84</v>
      </c>
      <c r="G4664" t="s">
        <v>14</v>
      </c>
      <c r="H4664" t="s">
        <v>37</v>
      </c>
      <c r="I4664">
        <v>3.4</v>
      </c>
      <c r="J4664">
        <v>5</v>
      </c>
      <c r="K4664">
        <v>0</v>
      </c>
    </row>
    <row r="4665" spans="1:11" x14ac:dyDescent="0.35">
      <c r="A4665">
        <v>4664</v>
      </c>
      <c r="B4665">
        <v>65</v>
      </c>
      <c r="C4665" t="s">
        <v>16</v>
      </c>
      <c r="D4665" t="s">
        <v>20</v>
      </c>
      <c r="E4665" t="s">
        <v>21</v>
      </c>
      <c r="F4665">
        <v>182.38</v>
      </c>
      <c r="G4665" t="s">
        <v>24</v>
      </c>
      <c r="H4665" t="s">
        <v>15</v>
      </c>
      <c r="I4665">
        <v>4.5999999999999996</v>
      </c>
      <c r="J4665">
        <v>11</v>
      </c>
      <c r="K4665">
        <v>3</v>
      </c>
    </row>
    <row r="4666" spans="1:11" x14ac:dyDescent="0.35">
      <c r="A4666">
        <v>4665</v>
      </c>
      <c r="B4666">
        <v>47</v>
      </c>
      <c r="C4666" t="s">
        <v>16</v>
      </c>
      <c r="D4666" t="s">
        <v>33</v>
      </c>
      <c r="E4666" t="s">
        <v>34</v>
      </c>
      <c r="F4666">
        <v>147.94</v>
      </c>
      <c r="G4666" t="s">
        <v>19</v>
      </c>
      <c r="H4666" t="s">
        <v>15</v>
      </c>
      <c r="I4666">
        <v>4.3</v>
      </c>
      <c r="J4666">
        <v>26</v>
      </c>
      <c r="K4666">
        <v>8</v>
      </c>
    </row>
    <row r="4667" spans="1:11" x14ac:dyDescent="0.35">
      <c r="A4667">
        <v>4666</v>
      </c>
      <c r="B4667">
        <v>55</v>
      </c>
      <c r="C4667" t="s">
        <v>16</v>
      </c>
      <c r="D4667" t="s">
        <v>17</v>
      </c>
      <c r="E4667" t="s">
        <v>42</v>
      </c>
      <c r="F4667">
        <v>178.41</v>
      </c>
      <c r="G4667" t="s">
        <v>14</v>
      </c>
      <c r="H4667" t="s">
        <v>15</v>
      </c>
      <c r="I4667">
        <v>4</v>
      </c>
      <c r="J4667">
        <v>11</v>
      </c>
      <c r="K4667">
        <v>3</v>
      </c>
    </row>
    <row r="4668" spans="1:11" x14ac:dyDescent="0.35">
      <c r="A4668">
        <v>4667</v>
      </c>
      <c r="B4668">
        <v>35</v>
      </c>
      <c r="C4668" t="s">
        <v>11</v>
      </c>
      <c r="D4668" t="s">
        <v>29</v>
      </c>
      <c r="E4668" t="s">
        <v>51</v>
      </c>
      <c r="F4668">
        <v>24.39</v>
      </c>
      <c r="G4668" t="s">
        <v>14</v>
      </c>
      <c r="H4668" t="s">
        <v>15</v>
      </c>
      <c r="I4668">
        <v>2.9</v>
      </c>
      <c r="J4668">
        <v>14</v>
      </c>
      <c r="K4668">
        <v>2</v>
      </c>
    </row>
    <row r="4669" spans="1:11" x14ac:dyDescent="0.35">
      <c r="A4669">
        <v>4668</v>
      </c>
      <c r="B4669">
        <v>42</v>
      </c>
      <c r="C4669" t="s">
        <v>11</v>
      </c>
      <c r="D4669" t="s">
        <v>29</v>
      </c>
      <c r="E4669" t="s">
        <v>30</v>
      </c>
      <c r="F4669">
        <v>94.95</v>
      </c>
      <c r="G4669" t="s">
        <v>24</v>
      </c>
      <c r="H4669" t="s">
        <v>15</v>
      </c>
      <c r="I4669">
        <v>3.6</v>
      </c>
      <c r="J4669">
        <v>9</v>
      </c>
      <c r="K4669">
        <v>2</v>
      </c>
    </row>
    <row r="4670" spans="1:11" x14ac:dyDescent="0.35">
      <c r="A4670">
        <v>4669</v>
      </c>
      <c r="B4670">
        <v>60</v>
      </c>
      <c r="C4670" t="s">
        <v>11</v>
      </c>
      <c r="D4670" t="s">
        <v>20</v>
      </c>
      <c r="E4670" t="s">
        <v>36</v>
      </c>
      <c r="F4670">
        <v>119.16</v>
      </c>
      <c r="G4670" t="s">
        <v>31</v>
      </c>
      <c r="H4670" t="s">
        <v>15</v>
      </c>
      <c r="I4670">
        <v>4.3</v>
      </c>
      <c r="J4670">
        <v>5</v>
      </c>
      <c r="K4670">
        <v>0</v>
      </c>
    </row>
    <row r="4671" spans="1:11" x14ac:dyDescent="0.35">
      <c r="A4671">
        <v>4670</v>
      </c>
      <c r="B4671">
        <v>66</v>
      </c>
      <c r="C4671" t="s">
        <v>11</v>
      </c>
      <c r="D4671" t="s">
        <v>29</v>
      </c>
      <c r="E4671" t="s">
        <v>30</v>
      </c>
      <c r="F4671">
        <v>102.5</v>
      </c>
      <c r="G4671" t="s">
        <v>31</v>
      </c>
      <c r="H4671" t="s">
        <v>15</v>
      </c>
      <c r="I4671">
        <v>3.1</v>
      </c>
      <c r="J4671">
        <v>10</v>
      </c>
      <c r="K4671">
        <v>5</v>
      </c>
    </row>
    <row r="4672" spans="1:11" x14ac:dyDescent="0.35">
      <c r="A4672">
        <v>4671</v>
      </c>
      <c r="B4672">
        <v>54</v>
      </c>
      <c r="C4672" t="s">
        <v>11</v>
      </c>
      <c r="D4672" t="s">
        <v>12</v>
      </c>
      <c r="E4672" t="s">
        <v>13</v>
      </c>
      <c r="F4672">
        <v>151.18</v>
      </c>
      <c r="G4672" t="s">
        <v>19</v>
      </c>
      <c r="H4672" t="s">
        <v>15</v>
      </c>
      <c r="I4672">
        <v>4.9000000000000004</v>
      </c>
      <c r="J4672">
        <v>11</v>
      </c>
      <c r="K4672">
        <v>3</v>
      </c>
    </row>
    <row r="4673" spans="1:11" x14ac:dyDescent="0.35">
      <c r="A4673">
        <v>4672</v>
      </c>
      <c r="B4673">
        <v>69</v>
      </c>
      <c r="C4673" t="s">
        <v>16</v>
      </c>
      <c r="D4673" t="s">
        <v>17</v>
      </c>
      <c r="E4673" t="s">
        <v>42</v>
      </c>
      <c r="F4673">
        <v>172.82</v>
      </c>
      <c r="G4673" t="s">
        <v>14</v>
      </c>
      <c r="H4673" t="s">
        <v>15</v>
      </c>
      <c r="I4673">
        <v>3.2</v>
      </c>
      <c r="J4673">
        <v>17</v>
      </c>
      <c r="K4673">
        <v>6</v>
      </c>
    </row>
    <row r="4674" spans="1:11" x14ac:dyDescent="0.35">
      <c r="A4674">
        <v>4673</v>
      </c>
      <c r="B4674">
        <v>59</v>
      </c>
      <c r="C4674" t="s">
        <v>16</v>
      </c>
      <c r="D4674" t="s">
        <v>20</v>
      </c>
      <c r="E4674" t="s">
        <v>39</v>
      </c>
      <c r="F4674">
        <v>181.52</v>
      </c>
      <c r="G4674" t="s">
        <v>19</v>
      </c>
      <c r="H4674" t="s">
        <v>15</v>
      </c>
      <c r="I4674">
        <v>4.4000000000000004</v>
      </c>
      <c r="J4674">
        <v>20</v>
      </c>
      <c r="K4674">
        <v>5</v>
      </c>
    </row>
    <row r="4675" spans="1:11" x14ac:dyDescent="0.35">
      <c r="A4675">
        <v>4674</v>
      </c>
      <c r="B4675">
        <v>23</v>
      </c>
      <c r="C4675" t="s">
        <v>11</v>
      </c>
      <c r="D4675" t="s">
        <v>12</v>
      </c>
      <c r="E4675" t="s">
        <v>13</v>
      </c>
      <c r="F4675">
        <v>120.86</v>
      </c>
      <c r="G4675" t="s">
        <v>19</v>
      </c>
      <c r="H4675" t="s">
        <v>15</v>
      </c>
      <c r="I4675">
        <v>3.9</v>
      </c>
      <c r="J4675">
        <v>8</v>
      </c>
      <c r="K4675">
        <v>4</v>
      </c>
    </row>
    <row r="4676" spans="1:11" x14ac:dyDescent="0.35">
      <c r="A4676">
        <v>4675</v>
      </c>
      <c r="B4676">
        <v>45</v>
      </c>
      <c r="C4676" t="s">
        <v>16</v>
      </c>
      <c r="D4676" t="s">
        <v>20</v>
      </c>
      <c r="E4676" t="s">
        <v>36</v>
      </c>
      <c r="F4676">
        <v>153.69999999999999</v>
      </c>
      <c r="G4676" t="s">
        <v>19</v>
      </c>
      <c r="H4676" t="s">
        <v>15</v>
      </c>
      <c r="I4676">
        <v>2.9</v>
      </c>
      <c r="J4676">
        <v>12</v>
      </c>
      <c r="K4676">
        <v>6</v>
      </c>
    </row>
    <row r="4677" spans="1:11" x14ac:dyDescent="0.35">
      <c r="A4677">
        <v>4676</v>
      </c>
      <c r="B4677">
        <v>55</v>
      </c>
      <c r="C4677" t="s">
        <v>11</v>
      </c>
      <c r="D4677" t="s">
        <v>33</v>
      </c>
      <c r="E4677" t="s">
        <v>40</v>
      </c>
      <c r="F4677">
        <v>220.12</v>
      </c>
      <c r="G4677" t="s">
        <v>19</v>
      </c>
      <c r="H4677" t="s">
        <v>15</v>
      </c>
      <c r="I4677">
        <v>3.7</v>
      </c>
      <c r="J4677">
        <v>15</v>
      </c>
      <c r="K4677">
        <v>5</v>
      </c>
    </row>
    <row r="4678" spans="1:11" x14ac:dyDescent="0.35">
      <c r="A4678">
        <v>4677</v>
      </c>
      <c r="B4678">
        <v>56</v>
      </c>
      <c r="C4678" t="s">
        <v>16</v>
      </c>
      <c r="D4678" t="s">
        <v>33</v>
      </c>
      <c r="E4678" t="s">
        <v>34</v>
      </c>
      <c r="F4678">
        <v>197.64</v>
      </c>
      <c r="G4678" t="s">
        <v>24</v>
      </c>
      <c r="H4678" t="s">
        <v>15</v>
      </c>
      <c r="I4678">
        <v>3.8</v>
      </c>
      <c r="J4678">
        <v>21</v>
      </c>
      <c r="K4678">
        <v>8</v>
      </c>
    </row>
    <row r="4679" spans="1:11" x14ac:dyDescent="0.35">
      <c r="A4679">
        <v>4678</v>
      </c>
      <c r="B4679">
        <v>37</v>
      </c>
      <c r="C4679" t="s">
        <v>11</v>
      </c>
      <c r="D4679" t="s">
        <v>12</v>
      </c>
      <c r="E4679" t="s">
        <v>50</v>
      </c>
      <c r="F4679">
        <v>172.67</v>
      </c>
      <c r="G4679" t="s">
        <v>14</v>
      </c>
      <c r="H4679" t="s">
        <v>15</v>
      </c>
      <c r="I4679">
        <v>3.4</v>
      </c>
      <c r="J4679">
        <v>11</v>
      </c>
      <c r="K4679">
        <v>3</v>
      </c>
    </row>
    <row r="4680" spans="1:11" x14ac:dyDescent="0.35">
      <c r="A4680">
        <v>4679</v>
      </c>
      <c r="B4680">
        <v>26</v>
      </c>
      <c r="C4680" t="s">
        <v>16</v>
      </c>
      <c r="D4680" t="s">
        <v>17</v>
      </c>
      <c r="E4680" t="s">
        <v>42</v>
      </c>
      <c r="F4680">
        <v>146.24</v>
      </c>
      <c r="G4680" t="s">
        <v>31</v>
      </c>
      <c r="H4680" t="s">
        <v>15</v>
      </c>
      <c r="I4680">
        <v>4.4000000000000004</v>
      </c>
      <c r="J4680">
        <v>23</v>
      </c>
      <c r="K4680">
        <v>9</v>
      </c>
    </row>
    <row r="4681" spans="1:11" x14ac:dyDescent="0.35">
      <c r="A4681">
        <v>4680</v>
      </c>
      <c r="B4681">
        <v>29</v>
      </c>
      <c r="C4681" t="s">
        <v>11</v>
      </c>
      <c r="D4681" t="s">
        <v>12</v>
      </c>
      <c r="E4681" t="s">
        <v>13</v>
      </c>
      <c r="F4681">
        <v>22.75</v>
      </c>
      <c r="G4681" t="s">
        <v>19</v>
      </c>
      <c r="H4681" t="s">
        <v>15</v>
      </c>
      <c r="I4681">
        <v>4.2</v>
      </c>
      <c r="J4681">
        <v>24</v>
      </c>
      <c r="K4681">
        <v>7</v>
      </c>
    </row>
    <row r="4682" spans="1:11" x14ac:dyDescent="0.35">
      <c r="A4682">
        <v>4681</v>
      </c>
      <c r="B4682">
        <v>27</v>
      </c>
      <c r="C4682" t="s">
        <v>16</v>
      </c>
      <c r="D4682" t="s">
        <v>20</v>
      </c>
      <c r="E4682" t="s">
        <v>36</v>
      </c>
      <c r="F4682">
        <v>229.25</v>
      </c>
      <c r="G4682" t="s">
        <v>19</v>
      </c>
      <c r="H4682" t="s">
        <v>15</v>
      </c>
      <c r="I4682">
        <v>4.0999999999999996</v>
      </c>
      <c r="J4682">
        <v>30</v>
      </c>
      <c r="K4682">
        <v>10</v>
      </c>
    </row>
    <row r="4683" spans="1:11" x14ac:dyDescent="0.35">
      <c r="A4683">
        <v>4682</v>
      </c>
      <c r="B4683">
        <v>40</v>
      </c>
      <c r="C4683" t="s">
        <v>16</v>
      </c>
      <c r="D4683" t="s">
        <v>27</v>
      </c>
      <c r="E4683" t="s">
        <v>49</v>
      </c>
      <c r="F4683">
        <v>2163.41</v>
      </c>
      <c r="G4683" t="s">
        <v>19</v>
      </c>
      <c r="H4683" t="s">
        <v>15</v>
      </c>
      <c r="I4683">
        <v>3.9</v>
      </c>
      <c r="J4683">
        <v>11</v>
      </c>
      <c r="K4683">
        <v>3</v>
      </c>
    </row>
    <row r="4684" spans="1:11" x14ac:dyDescent="0.35">
      <c r="A4684">
        <v>4683</v>
      </c>
      <c r="B4684">
        <v>42</v>
      </c>
      <c r="C4684" t="s">
        <v>11</v>
      </c>
      <c r="D4684" t="s">
        <v>33</v>
      </c>
      <c r="E4684" t="s">
        <v>40</v>
      </c>
      <c r="F4684">
        <v>222.57</v>
      </c>
      <c r="G4684" t="s">
        <v>24</v>
      </c>
      <c r="H4684" t="s">
        <v>15</v>
      </c>
      <c r="I4684">
        <v>3.3</v>
      </c>
      <c r="J4684">
        <v>12</v>
      </c>
      <c r="K4684">
        <v>6</v>
      </c>
    </row>
    <row r="4685" spans="1:11" x14ac:dyDescent="0.35">
      <c r="A4685">
        <v>4684</v>
      </c>
      <c r="B4685">
        <v>23</v>
      </c>
      <c r="C4685" t="s">
        <v>11</v>
      </c>
      <c r="D4685" t="s">
        <v>41</v>
      </c>
      <c r="E4685" t="s">
        <v>44</v>
      </c>
      <c r="F4685">
        <v>75.36</v>
      </c>
      <c r="G4685" t="s">
        <v>19</v>
      </c>
      <c r="H4685" t="s">
        <v>37</v>
      </c>
      <c r="I4685">
        <v>3.2</v>
      </c>
      <c r="J4685">
        <v>15</v>
      </c>
      <c r="K4685">
        <v>5</v>
      </c>
    </row>
    <row r="4686" spans="1:11" x14ac:dyDescent="0.35">
      <c r="A4686">
        <v>4685</v>
      </c>
      <c r="B4686">
        <v>68</v>
      </c>
      <c r="C4686" t="s">
        <v>16</v>
      </c>
      <c r="D4686" t="s">
        <v>27</v>
      </c>
      <c r="E4686" t="s">
        <v>32</v>
      </c>
      <c r="F4686">
        <v>1944.68</v>
      </c>
      <c r="G4686" t="s">
        <v>19</v>
      </c>
      <c r="H4686" t="s">
        <v>15</v>
      </c>
      <c r="I4686">
        <v>2.4</v>
      </c>
      <c r="J4686">
        <v>18</v>
      </c>
      <c r="K4686">
        <v>4</v>
      </c>
    </row>
    <row r="4687" spans="1:11" x14ac:dyDescent="0.35">
      <c r="A4687">
        <v>4686</v>
      </c>
      <c r="B4687">
        <v>22</v>
      </c>
      <c r="C4687" t="s">
        <v>16</v>
      </c>
      <c r="D4687" t="s">
        <v>20</v>
      </c>
      <c r="E4687" t="s">
        <v>36</v>
      </c>
      <c r="F4687">
        <v>40.119999999999997</v>
      </c>
      <c r="G4687" t="s">
        <v>31</v>
      </c>
      <c r="H4687" t="s">
        <v>37</v>
      </c>
      <c r="I4687">
        <v>4.2</v>
      </c>
      <c r="J4687">
        <v>9</v>
      </c>
      <c r="K4687">
        <v>2</v>
      </c>
    </row>
    <row r="4688" spans="1:11" x14ac:dyDescent="0.35">
      <c r="A4688">
        <v>4687</v>
      </c>
      <c r="B4688">
        <v>54</v>
      </c>
      <c r="C4688" t="s">
        <v>11</v>
      </c>
      <c r="D4688" t="s">
        <v>20</v>
      </c>
      <c r="E4688" t="s">
        <v>36</v>
      </c>
      <c r="F4688">
        <v>48.75</v>
      </c>
      <c r="G4688" t="s">
        <v>24</v>
      </c>
      <c r="H4688" t="s">
        <v>37</v>
      </c>
      <c r="I4688">
        <v>3.8</v>
      </c>
      <c r="J4688">
        <v>18</v>
      </c>
      <c r="K4688">
        <v>4</v>
      </c>
    </row>
    <row r="4689" spans="1:11" x14ac:dyDescent="0.35">
      <c r="A4689">
        <v>4688</v>
      </c>
      <c r="B4689">
        <v>50</v>
      </c>
      <c r="C4689" t="s">
        <v>11</v>
      </c>
      <c r="D4689" t="s">
        <v>25</v>
      </c>
      <c r="E4689" t="s">
        <v>47</v>
      </c>
      <c r="F4689">
        <v>43.15</v>
      </c>
      <c r="G4689" t="s">
        <v>24</v>
      </c>
      <c r="H4689" t="s">
        <v>15</v>
      </c>
      <c r="I4689">
        <v>3.5</v>
      </c>
      <c r="J4689">
        <v>20</v>
      </c>
      <c r="K4689">
        <v>5</v>
      </c>
    </row>
    <row r="4690" spans="1:11" x14ac:dyDescent="0.35">
      <c r="A4690">
        <v>4689</v>
      </c>
      <c r="B4690">
        <v>34</v>
      </c>
      <c r="C4690" t="s">
        <v>16</v>
      </c>
      <c r="D4690" t="s">
        <v>20</v>
      </c>
      <c r="E4690" t="s">
        <v>21</v>
      </c>
      <c r="F4690">
        <v>246.17</v>
      </c>
      <c r="G4690" t="s">
        <v>24</v>
      </c>
      <c r="H4690" t="s">
        <v>15</v>
      </c>
      <c r="I4690">
        <v>3.1</v>
      </c>
      <c r="J4690">
        <v>17</v>
      </c>
      <c r="K4690">
        <v>6</v>
      </c>
    </row>
    <row r="4691" spans="1:11" x14ac:dyDescent="0.35">
      <c r="A4691">
        <v>4690</v>
      </c>
      <c r="B4691">
        <v>28</v>
      </c>
      <c r="C4691" t="s">
        <v>16</v>
      </c>
      <c r="D4691" t="s">
        <v>17</v>
      </c>
      <c r="E4691" t="s">
        <v>35</v>
      </c>
      <c r="F4691">
        <v>185.01</v>
      </c>
      <c r="G4691" t="s">
        <v>24</v>
      </c>
      <c r="H4691" t="s">
        <v>15</v>
      </c>
      <c r="I4691">
        <v>4.0999999999999996</v>
      </c>
      <c r="J4691">
        <v>13</v>
      </c>
      <c r="K4691">
        <v>4</v>
      </c>
    </row>
    <row r="4692" spans="1:11" x14ac:dyDescent="0.35">
      <c r="A4692">
        <v>4691</v>
      </c>
      <c r="B4692">
        <v>32</v>
      </c>
      <c r="C4692" t="s">
        <v>16</v>
      </c>
      <c r="D4692" t="s">
        <v>17</v>
      </c>
      <c r="E4692" t="s">
        <v>42</v>
      </c>
      <c r="F4692">
        <v>81.069999999999993</v>
      </c>
      <c r="G4692" t="s">
        <v>31</v>
      </c>
      <c r="H4692" t="s">
        <v>15</v>
      </c>
      <c r="I4692">
        <v>3.8</v>
      </c>
      <c r="J4692">
        <v>24</v>
      </c>
      <c r="K4692">
        <v>7</v>
      </c>
    </row>
    <row r="4693" spans="1:11" x14ac:dyDescent="0.35">
      <c r="A4693">
        <v>4692</v>
      </c>
      <c r="B4693">
        <v>50</v>
      </c>
      <c r="C4693" t="s">
        <v>16</v>
      </c>
      <c r="D4693" t="s">
        <v>17</v>
      </c>
      <c r="E4693" t="s">
        <v>35</v>
      </c>
      <c r="F4693">
        <v>108.87</v>
      </c>
      <c r="G4693" t="s">
        <v>19</v>
      </c>
      <c r="H4693" t="s">
        <v>15</v>
      </c>
      <c r="I4693">
        <v>4</v>
      </c>
      <c r="J4693">
        <v>12</v>
      </c>
      <c r="K4693">
        <v>6</v>
      </c>
    </row>
    <row r="4694" spans="1:11" x14ac:dyDescent="0.35">
      <c r="A4694">
        <v>4693</v>
      </c>
      <c r="B4694">
        <v>34</v>
      </c>
      <c r="C4694" t="s">
        <v>11</v>
      </c>
      <c r="D4694" t="s">
        <v>12</v>
      </c>
      <c r="E4694" t="s">
        <v>13</v>
      </c>
      <c r="F4694">
        <v>52.23</v>
      </c>
      <c r="G4694" t="s">
        <v>19</v>
      </c>
      <c r="H4694" t="s">
        <v>15</v>
      </c>
      <c r="I4694">
        <v>3.7</v>
      </c>
      <c r="J4694">
        <v>15</v>
      </c>
      <c r="K4694">
        <v>5</v>
      </c>
    </row>
    <row r="4695" spans="1:11" x14ac:dyDescent="0.35">
      <c r="A4695">
        <v>4694</v>
      </c>
      <c r="B4695">
        <v>60</v>
      </c>
      <c r="C4695" t="s">
        <v>11</v>
      </c>
      <c r="D4695" t="s">
        <v>12</v>
      </c>
      <c r="E4695" t="s">
        <v>56</v>
      </c>
      <c r="F4695">
        <v>129.80000000000001</v>
      </c>
      <c r="G4695" t="s">
        <v>19</v>
      </c>
      <c r="H4695" t="s">
        <v>15</v>
      </c>
      <c r="I4695">
        <v>4</v>
      </c>
      <c r="J4695">
        <v>24</v>
      </c>
      <c r="K4695">
        <v>7</v>
      </c>
    </row>
    <row r="4696" spans="1:11" x14ac:dyDescent="0.35">
      <c r="A4696">
        <v>4695</v>
      </c>
      <c r="B4696">
        <v>59</v>
      </c>
      <c r="C4696" t="s">
        <v>16</v>
      </c>
      <c r="D4696" t="s">
        <v>17</v>
      </c>
      <c r="E4696" t="s">
        <v>48</v>
      </c>
      <c r="F4696">
        <v>115.65</v>
      </c>
      <c r="G4696" t="s">
        <v>24</v>
      </c>
      <c r="H4696" t="s">
        <v>15</v>
      </c>
      <c r="I4696">
        <v>4.8</v>
      </c>
      <c r="J4696">
        <v>15</v>
      </c>
      <c r="K4696">
        <v>5</v>
      </c>
    </row>
    <row r="4697" spans="1:11" x14ac:dyDescent="0.35">
      <c r="A4697">
        <v>4696</v>
      </c>
      <c r="B4697">
        <v>40</v>
      </c>
      <c r="C4697" t="s">
        <v>11</v>
      </c>
      <c r="D4697" t="s">
        <v>25</v>
      </c>
      <c r="E4697" t="s">
        <v>47</v>
      </c>
      <c r="F4697">
        <v>25.94</v>
      </c>
      <c r="G4697" t="s">
        <v>31</v>
      </c>
      <c r="H4697" t="s">
        <v>37</v>
      </c>
      <c r="I4697">
        <v>3.3</v>
      </c>
      <c r="J4697">
        <v>9</v>
      </c>
      <c r="K4697">
        <v>2</v>
      </c>
    </row>
    <row r="4698" spans="1:11" x14ac:dyDescent="0.35">
      <c r="A4698">
        <v>4697</v>
      </c>
      <c r="B4698">
        <v>66</v>
      </c>
      <c r="C4698" t="s">
        <v>11</v>
      </c>
      <c r="D4698" t="s">
        <v>41</v>
      </c>
      <c r="E4698" t="s">
        <v>45</v>
      </c>
      <c r="F4698">
        <v>101.87</v>
      </c>
      <c r="G4698" t="s">
        <v>19</v>
      </c>
      <c r="H4698" t="s">
        <v>15</v>
      </c>
      <c r="I4698">
        <v>3.3</v>
      </c>
      <c r="J4698">
        <v>11</v>
      </c>
      <c r="K4698">
        <v>3</v>
      </c>
    </row>
    <row r="4699" spans="1:11" x14ac:dyDescent="0.35">
      <c r="A4699">
        <v>4698</v>
      </c>
      <c r="B4699">
        <v>44</v>
      </c>
      <c r="C4699" t="s">
        <v>11</v>
      </c>
      <c r="D4699" t="s">
        <v>29</v>
      </c>
      <c r="E4699" t="s">
        <v>30</v>
      </c>
      <c r="F4699">
        <v>106.04</v>
      </c>
      <c r="G4699" t="s">
        <v>19</v>
      </c>
      <c r="H4699" t="s">
        <v>15</v>
      </c>
      <c r="I4699">
        <v>3.6</v>
      </c>
      <c r="J4699">
        <v>17</v>
      </c>
      <c r="K4699">
        <v>6</v>
      </c>
    </row>
    <row r="4700" spans="1:11" x14ac:dyDescent="0.35">
      <c r="A4700">
        <v>4699</v>
      </c>
      <c r="B4700">
        <v>43</v>
      </c>
      <c r="C4700" t="s">
        <v>11</v>
      </c>
      <c r="D4700" t="s">
        <v>33</v>
      </c>
      <c r="E4700" t="s">
        <v>40</v>
      </c>
      <c r="F4700">
        <v>200.13</v>
      </c>
      <c r="G4700" t="s">
        <v>14</v>
      </c>
      <c r="H4700" t="s">
        <v>15</v>
      </c>
      <c r="I4700">
        <v>4</v>
      </c>
      <c r="J4700">
        <v>17</v>
      </c>
      <c r="K4700">
        <v>6</v>
      </c>
    </row>
    <row r="4701" spans="1:11" x14ac:dyDescent="0.35">
      <c r="A4701">
        <v>4700</v>
      </c>
      <c r="B4701">
        <v>60</v>
      </c>
      <c r="C4701" t="s">
        <v>16</v>
      </c>
      <c r="D4701" t="s">
        <v>33</v>
      </c>
      <c r="E4701" t="s">
        <v>40</v>
      </c>
      <c r="F4701">
        <v>210.29</v>
      </c>
      <c r="G4701" t="s">
        <v>31</v>
      </c>
      <c r="H4701" t="s">
        <v>15</v>
      </c>
      <c r="I4701">
        <v>4.8</v>
      </c>
      <c r="J4701">
        <v>15</v>
      </c>
      <c r="K4701">
        <v>5</v>
      </c>
    </row>
    <row r="4702" spans="1:11" x14ac:dyDescent="0.35">
      <c r="A4702">
        <v>4701</v>
      </c>
      <c r="B4702">
        <v>41</v>
      </c>
      <c r="C4702" t="s">
        <v>11</v>
      </c>
      <c r="D4702" t="s">
        <v>41</v>
      </c>
      <c r="E4702" t="s">
        <v>42</v>
      </c>
      <c r="F4702">
        <v>41.5</v>
      </c>
      <c r="G4702" t="s">
        <v>24</v>
      </c>
      <c r="H4702" t="s">
        <v>15</v>
      </c>
      <c r="I4702">
        <v>4.0999999999999996</v>
      </c>
      <c r="J4702">
        <v>13</v>
      </c>
      <c r="K4702">
        <v>4</v>
      </c>
    </row>
    <row r="4703" spans="1:11" x14ac:dyDescent="0.35">
      <c r="A4703">
        <v>4702</v>
      </c>
      <c r="B4703">
        <v>32</v>
      </c>
      <c r="C4703" t="s">
        <v>16</v>
      </c>
      <c r="D4703" t="s">
        <v>20</v>
      </c>
      <c r="E4703" t="s">
        <v>39</v>
      </c>
      <c r="F4703">
        <v>186.57</v>
      </c>
      <c r="G4703" t="s">
        <v>31</v>
      </c>
      <c r="H4703" t="s">
        <v>15</v>
      </c>
      <c r="I4703">
        <v>3.2</v>
      </c>
      <c r="J4703">
        <v>12</v>
      </c>
      <c r="K4703">
        <v>6</v>
      </c>
    </row>
    <row r="4704" spans="1:11" x14ac:dyDescent="0.35">
      <c r="A4704">
        <v>4703</v>
      </c>
      <c r="B4704">
        <v>42</v>
      </c>
      <c r="C4704" t="s">
        <v>16</v>
      </c>
      <c r="D4704" t="s">
        <v>17</v>
      </c>
      <c r="E4704" t="s">
        <v>35</v>
      </c>
      <c r="F4704">
        <v>189.79</v>
      </c>
      <c r="G4704" t="s">
        <v>24</v>
      </c>
      <c r="H4704" t="s">
        <v>15</v>
      </c>
      <c r="I4704">
        <v>3</v>
      </c>
      <c r="J4704">
        <v>14</v>
      </c>
      <c r="K4704">
        <v>7</v>
      </c>
    </row>
    <row r="4705" spans="1:11" x14ac:dyDescent="0.35">
      <c r="A4705">
        <v>4704</v>
      </c>
      <c r="B4705">
        <v>30</v>
      </c>
      <c r="C4705" t="s">
        <v>16</v>
      </c>
      <c r="D4705" t="s">
        <v>25</v>
      </c>
      <c r="E4705" t="s">
        <v>54</v>
      </c>
      <c r="F4705">
        <v>63.78</v>
      </c>
      <c r="G4705" t="s">
        <v>24</v>
      </c>
      <c r="H4705" t="s">
        <v>37</v>
      </c>
      <c r="I4705">
        <v>4.4000000000000004</v>
      </c>
      <c r="J4705">
        <v>21</v>
      </c>
      <c r="K4705">
        <v>8</v>
      </c>
    </row>
    <row r="4706" spans="1:11" x14ac:dyDescent="0.35">
      <c r="A4706">
        <v>4705</v>
      </c>
      <c r="B4706">
        <v>25</v>
      </c>
      <c r="C4706" t="s">
        <v>11</v>
      </c>
      <c r="D4706" t="s">
        <v>41</v>
      </c>
      <c r="E4706" t="s">
        <v>44</v>
      </c>
      <c r="F4706">
        <v>161.91</v>
      </c>
      <c r="G4706" t="s">
        <v>24</v>
      </c>
      <c r="H4706" t="s">
        <v>15</v>
      </c>
      <c r="I4706">
        <v>3.6</v>
      </c>
      <c r="J4706">
        <v>14</v>
      </c>
      <c r="K4706">
        <v>7</v>
      </c>
    </row>
    <row r="4707" spans="1:11" x14ac:dyDescent="0.35">
      <c r="A4707">
        <v>4706</v>
      </c>
      <c r="B4707">
        <v>54</v>
      </c>
      <c r="C4707" t="s">
        <v>16</v>
      </c>
      <c r="D4707" t="s">
        <v>27</v>
      </c>
      <c r="E4707" t="s">
        <v>53</v>
      </c>
      <c r="F4707">
        <v>2349.33</v>
      </c>
      <c r="G4707" t="s">
        <v>31</v>
      </c>
      <c r="H4707" t="s">
        <v>15</v>
      </c>
      <c r="I4707">
        <v>3.3</v>
      </c>
      <c r="J4707">
        <v>7</v>
      </c>
      <c r="K4707">
        <v>1</v>
      </c>
    </row>
    <row r="4708" spans="1:11" x14ac:dyDescent="0.35">
      <c r="A4708">
        <v>4707</v>
      </c>
      <c r="B4708">
        <v>70</v>
      </c>
      <c r="C4708" t="s">
        <v>11</v>
      </c>
      <c r="D4708" t="s">
        <v>41</v>
      </c>
      <c r="E4708" t="s">
        <v>42</v>
      </c>
      <c r="F4708">
        <v>61.86</v>
      </c>
      <c r="G4708" t="s">
        <v>31</v>
      </c>
      <c r="H4708" t="s">
        <v>15</v>
      </c>
      <c r="I4708">
        <v>2.9</v>
      </c>
      <c r="J4708">
        <v>17</v>
      </c>
      <c r="K4708">
        <v>6</v>
      </c>
    </row>
    <row r="4709" spans="1:11" x14ac:dyDescent="0.35">
      <c r="A4709">
        <v>4708</v>
      </c>
      <c r="B4709">
        <v>26</v>
      </c>
      <c r="C4709" t="s">
        <v>11</v>
      </c>
      <c r="D4709" t="s">
        <v>41</v>
      </c>
      <c r="E4709" t="s">
        <v>42</v>
      </c>
      <c r="F4709">
        <v>96.69</v>
      </c>
      <c r="G4709" t="s">
        <v>14</v>
      </c>
      <c r="H4709" t="s">
        <v>37</v>
      </c>
      <c r="I4709">
        <v>4.8</v>
      </c>
      <c r="J4709">
        <v>18</v>
      </c>
      <c r="K4709">
        <v>4</v>
      </c>
    </row>
    <row r="4710" spans="1:11" x14ac:dyDescent="0.35">
      <c r="A4710">
        <v>4709</v>
      </c>
      <c r="B4710">
        <v>57</v>
      </c>
      <c r="C4710" t="s">
        <v>16</v>
      </c>
      <c r="D4710" t="s">
        <v>20</v>
      </c>
      <c r="E4710" t="s">
        <v>36</v>
      </c>
      <c r="F4710">
        <v>126.2</v>
      </c>
      <c r="G4710" t="s">
        <v>14</v>
      </c>
      <c r="H4710" t="s">
        <v>15</v>
      </c>
      <c r="I4710">
        <v>5</v>
      </c>
      <c r="J4710">
        <v>11</v>
      </c>
      <c r="K4710">
        <v>3</v>
      </c>
    </row>
    <row r="4711" spans="1:11" x14ac:dyDescent="0.35">
      <c r="A4711">
        <v>4710</v>
      </c>
      <c r="B4711">
        <v>38</v>
      </c>
      <c r="C4711" t="s">
        <v>11</v>
      </c>
      <c r="D4711" t="s">
        <v>29</v>
      </c>
      <c r="E4711" t="s">
        <v>51</v>
      </c>
      <c r="F4711">
        <v>62.65</v>
      </c>
      <c r="G4711" t="s">
        <v>14</v>
      </c>
      <c r="H4711" t="s">
        <v>15</v>
      </c>
      <c r="I4711">
        <v>3.3</v>
      </c>
      <c r="J4711">
        <v>13</v>
      </c>
      <c r="K4711">
        <v>4</v>
      </c>
    </row>
    <row r="4712" spans="1:11" x14ac:dyDescent="0.35">
      <c r="A4712">
        <v>4711</v>
      </c>
      <c r="B4712">
        <v>57</v>
      </c>
      <c r="C4712" t="s">
        <v>11</v>
      </c>
      <c r="D4712" t="s">
        <v>41</v>
      </c>
      <c r="E4712" t="s">
        <v>45</v>
      </c>
      <c r="F4712">
        <v>149.91</v>
      </c>
      <c r="G4712" t="s">
        <v>24</v>
      </c>
      <c r="H4712" t="s">
        <v>15</v>
      </c>
      <c r="I4712">
        <v>3.1</v>
      </c>
      <c r="J4712">
        <v>14</v>
      </c>
      <c r="K4712">
        <v>7</v>
      </c>
    </row>
    <row r="4713" spans="1:11" x14ac:dyDescent="0.35">
      <c r="A4713">
        <v>4712</v>
      </c>
      <c r="B4713">
        <v>68</v>
      </c>
      <c r="C4713" t="s">
        <v>11</v>
      </c>
      <c r="D4713" t="s">
        <v>25</v>
      </c>
      <c r="E4713" t="s">
        <v>57</v>
      </c>
      <c r="F4713">
        <v>54.83</v>
      </c>
      <c r="G4713" t="s">
        <v>24</v>
      </c>
      <c r="H4713" t="s">
        <v>37</v>
      </c>
      <c r="I4713">
        <v>3.5</v>
      </c>
      <c r="J4713">
        <v>12</v>
      </c>
      <c r="K4713">
        <v>6</v>
      </c>
    </row>
    <row r="4714" spans="1:11" x14ac:dyDescent="0.35">
      <c r="A4714">
        <v>4713</v>
      </c>
      <c r="B4714">
        <v>26</v>
      </c>
      <c r="C4714" t="s">
        <v>16</v>
      </c>
      <c r="D4714" t="s">
        <v>27</v>
      </c>
      <c r="E4714" t="s">
        <v>53</v>
      </c>
      <c r="F4714">
        <v>733.03</v>
      </c>
      <c r="G4714" t="s">
        <v>19</v>
      </c>
      <c r="H4714" t="s">
        <v>15</v>
      </c>
      <c r="I4714">
        <v>3</v>
      </c>
      <c r="J4714">
        <v>13</v>
      </c>
      <c r="K4714">
        <v>4</v>
      </c>
    </row>
    <row r="4715" spans="1:11" x14ac:dyDescent="0.35">
      <c r="A4715">
        <v>4714</v>
      </c>
      <c r="B4715">
        <v>22</v>
      </c>
      <c r="C4715" t="s">
        <v>16</v>
      </c>
      <c r="D4715" t="s">
        <v>33</v>
      </c>
      <c r="E4715" t="s">
        <v>34</v>
      </c>
      <c r="F4715">
        <v>116.76</v>
      </c>
      <c r="G4715" t="s">
        <v>24</v>
      </c>
      <c r="H4715" t="s">
        <v>15</v>
      </c>
      <c r="I4715">
        <v>4.8</v>
      </c>
      <c r="J4715">
        <v>17</v>
      </c>
      <c r="K4715">
        <v>6</v>
      </c>
    </row>
    <row r="4716" spans="1:11" x14ac:dyDescent="0.35">
      <c r="A4716">
        <v>4715</v>
      </c>
      <c r="B4716">
        <v>38</v>
      </c>
      <c r="C4716" t="s">
        <v>16</v>
      </c>
      <c r="D4716" t="s">
        <v>33</v>
      </c>
      <c r="E4716" t="s">
        <v>40</v>
      </c>
      <c r="F4716">
        <v>139.77000000000001</v>
      </c>
      <c r="G4716" t="s">
        <v>24</v>
      </c>
      <c r="H4716" t="s">
        <v>15</v>
      </c>
      <c r="I4716">
        <v>5</v>
      </c>
      <c r="J4716">
        <v>8</v>
      </c>
      <c r="K4716">
        <v>4</v>
      </c>
    </row>
    <row r="4717" spans="1:11" x14ac:dyDescent="0.35">
      <c r="A4717">
        <v>4716</v>
      </c>
      <c r="B4717">
        <v>58</v>
      </c>
      <c r="C4717" t="s">
        <v>16</v>
      </c>
      <c r="D4717" t="s">
        <v>20</v>
      </c>
      <c r="E4717" t="s">
        <v>39</v>
      </c>
      <c r="F4717">
        <v>95.93</v>
      </c>
      <c r="G4717" t="s">
        <v>31</v>
      </c>
      <c r="H4717" t="s">
        <v>15</v>
      </c>
      <c r="I4717">
        <v>3.7</v>
      </c>
      <c r="J4717">
        <v>13</v>
      </c>
      <c r="K4717">
        <v>4</v>
      </c>
    </row>
    <row r="4718" spans="1:11" x14ac:dyDescent="0.35">
      <c r="A4718">
        <v>4717</v>
      </c>
      <c r="B4718">
        <v>66</v>
      </c>
      <c r="C4718" t="s">
        <v>16</v>
      </c>
      <c r="D4718" t="s">
        <v>20</v>
      </c>
      <c r="E4718" t="s">
        <v>21</v>
      </c>
      <c r="F4718">
        <v>51.77</v>
      </c>
      <c r="G4718" t="s">
        <v>31</v>
      </c>
      <c r="H4718" t="s">
        <v>37</v>
      </c>
      <c r="I4718">
        <v>5</v>
      </c>
      <c r="J4718">
        <v>17</v>
      </c>
      <c r="K4718">
        <v>6</v>
      </c>
    </row>
    <row r="4719" spans="1:11" x14ac:dyDescent="0.35">
      <c r="A4719">
        <v>4718</v>
      </c>
      <c r="B4719">
        <v>44</v>
      </c>
      <c r="C4719" t="s">
        <v>11</v>
      </c>
      <c r="D4719" t="s">
        <v>29</v>
      </c>
      <c r="E4719" t="s">
        <v>55</v>
      </c>
      <c r="F4719">
        <v>28.68</v>
      </c>
      <c r="G4719" t="s">
        <v>19</v>
      </c>
      <c r="H4719" t="s">
        <v>37</v>
      </c>
      <c r="I4719">
        <v>3.5</v>
      </c>
      <c r="J4719">
        <v>12</v>
      </c>
      <c r="K4719">
        <v>6</v>
      </c>
    </row>
    <row r="4720" spans="1:11" x14ac:dyDescent="0.35">
      <c r="A4720">
        <v>4719</v>
      </c>
      <c r="B4720">
        <v>34</v>
      </c>
      <c r="C4720" t="s">
        <v>11</v>
      </c>
      <c r="D4720" t="s">
        <v>12</v>
      </c>
      <c r="E4720" t="s">
        <v>56</v>
      </c>
      <c r="F4720">
        <v>140.63</v>
      </c>
      <c r="G4720" t="s">
        <v>31</v>
      </c>
      <c r="H4720" t="s">
        <v>15</v>
      </c>
      <c r="I4720">
        <v>4.5</v>
      </c>
      <c r="J4720">
        <v>19</v>
      </c>
      <c r="K4720">
        <v>7</v>
      </c>
    </row>
    <row r="4721" spans="1:11" x14ac:dyDescent="0.35">
      <c r="A4721">
        <v>4720</v>
      </c>
      <c r="B4721">
        <v>25</v>
      </c>
      <c r="C4721" t="s">
        <v>16</v>
      </c>
      <c r="D4721" t="s">
        <v>20</v>
      </c>
      <c r="E4721" t="s">
        <v>21</v>
      </c>
      <c r="F4721">
        <v>27.85</v>
      </c>
      <c r="G4721" t="s">
        <v>24</v>
      </c>
      <c r="H4721" t="s">
        <v>15</v>
      </c>
      <c r="I4721">
        <v>3.5</v>
      </c>
      <c r="J4721">
        <v>2</v>
      </c>
      <c r="K4721">
        <v>1</v>
      </c>
    </row>
    <row r="4722" spans="1:11" x14ac:dyDescent="0.35">
      <c r="A4722">
        <v>4721</v>
      </c>
      <c r="B4722">
        <v>49</v>
      </c>
      <c r="C4722" t="s">
        <v>16</v>
      </c>
      <c r="D4722" t="s">
        <v>27</v>
      </c>
      <c r="E4722" t="s">
        <v>28</v>
      </c>
      <c r="F4722">
        <v>2620.52</v>
      </c>
      <c r="G4722" t="s">
        <v>24</v>
      </c>
      <c r="H4722" t="s">
        <v>15</v>
      </c>
      <c r="I4722">
        <v>3.3</v>
      </c>
      <c r="J4722">
        <v>18</v>
      </c>
      <c r="K4722">
        <v>4</v>
      </c>
    </row>
    <row r="4723" spans="1:11" x14ac:dyDescent="0.35">
      <c r="A4723">
        <v>4722</v>
      </c>
      <c r="B4723">
        <v>36</v>
      </c>
      <c r="C4723" t="s">
        <v>11</v>
      </c>
      <c r="D4723" t="s">
        <v>12</v>
      </c>
      <c r="E4723" t="s">
        <v>50</v>
      </c>
      <c r="F4723">
        <v>60.24</v>
      </c>
      <c r="G4723" t="s">
        <v>24</v>
      </c>
      <c r="H4723" t="s">
        <v>37</v>
      </c>
      <c r="I4723">
        <v>4.4000000000000004</v>
      </c>
      <c r="J4723">
        <v>6</v>
      </c>
      <c r="K4723">
        <v>3</v>
      </c>
    </row>
    <row r="4724" spans="1:11" x14ac:dyDescent="0.35">
      <c r="A4724">
        <v>4723</v>
      </c>
      <c r="B4724">
        <v>24</v>
      </c>
      <c r="C4724" t="s">
        <v>16</v>
      </c>
      <c r="D4724" t="s">
        <v>20</v>
      </c>
      <c r="E4724" t="s">
        <v>36</v>
      </c>
      <c r="F4724">
        <v>89.29</v>
      </c>
      <c r="G4724" t="s">
        <v>24</v>
      </c>
      <c r="H4724" t="s">
        <v>15</v>
      </c>
      <c r="I4724">
        <v>3.8</v>
      </c>
      <c r="J4724">
        <v>0</v>
      </c>
      <c r="K4724">
        <v>0</v>
      </c>
    </row>
    <row r="4725" spans="1:11" x14ac:dyDescent="0.35">
      <c r="A4725">
        <v>4724</v>
      </c>
      <c r="B4725">
        <v>32</v>
      </c>
      <c r="C4725" t="s">
        <v>11</v>
      </c>
      <c r="D4725" t="s">
        <v>33</v>
      </c>
      <c r="E4725" t="s">
        <v>38</v>
      </c>
      <c r="F4725">
        <v>52.53</v>
      </c>
      <c r="G4725" t="s">
        <v>19</v>
      </c>
      <c r="H4725" t="s">
        <v>37</v>
      </c>
      <c r="I4725">
        <v>3.1</v>
      </c>
      <c r="J4725">
        <v>18</v>
      </c>
      <c r="K4725">
        <v>4</v>
      </c>
    </row>
    <row r="4726" spans="1:11" x14ac:dyDescent="0.35">
      <c r="A4726">
        <v>4725</v>
      </c>
      <c r="B4726">
        <v>62</v>
      </c>
      <c r="C4726" t="s">
        <v>11</v>
      </c>
      <c r="D4726" t="s">
        <v>29</v>
      </c>
      <c r="E4726" t="s">
        <v>30</v>
      </c>
      <c r="F4726">
        <v>93.41</v>
      </c>
      <c r="G4726" t="s">
        <v>24</v>
      </c>
      <c r="H4726" t="s">
        <v>37</v>
      </c>
      <c r="I4726">
        <v>4.0999999999999996</v>
      </c>
      <c r="J4726">
        <v>12</v>
      </c>
      <c r="K4726">
        <v>6</v>
      </c>
    </row>
    <row r="4727" spans="1:11" x14ac:dyDescent="0.35">
      <c r="A4727">
        <v>4726</v>
      </c>
      <c r="B4727">
        <v>48</v>
      </c>
      <c r="C4727" t="s">
        <v>11</v>
      </c>
      <c r="D4727" t="s">
        <v>29</v>
      </c>
      <c r="E4727" t="s">
        <v>51</v>
      </c>
      <c r="F4727">
        <v>96.12</v>
      </c>
      <c r="G4727" t="s">
        <v>14</v>
      </c>
      <c r="H4727" t="s">
        <v>15</v>
      </c>
      <c r="I4727">
        <v>3.8</v>
      </c>
      <c r="J4727">
        <v>22</v>
      </c>
      <c r="K4727">
        <v>11</v>
      </c>
    </row>
    <row r="4728" spans="1:11" x14ac:dyDescent="0.35">
      <c r="A4728">
        <v>4727</v>
      </c>
      <c r="B4728">
        <v>44</v>
      </c>
      <c r="C4728" t="s">
        <v>16</v>
      </c>
      <c r="D4728" t="s">
        <v>25</v>
      </c>
      <c r="E4728" t="s">
        <v>26</v>
      </c>
      <c r="F4728">
        <v>51.5</v>
      </c>
      <c r="G4728" t="s">
        <v>14</v>
      </c>
      <c r="H4728" t="s">
        <v>37</v>
      </c>
      <c r="I4728">
        <v>3.8</v>
      </c>
      <c r="J4728">
        <v>22</v>
      </c>
      <c r="K4728">
        <v>6</v>
      </c>
    </row>
    <row r="4729" spans="1:11" x14ac:dyDescent="0.35">
      <c r="A4729">
        <v>4728</v>
      </c>
      <c r="B4729">
        <v>58</v>
      </c>
      <c r="C4729" t="s">
        <v>16</v>
      </c>
      <c r="D4729" t="s">
        <v>20</v>
      </c>
      <c r="E4729" t="s">
        <v>21</v>
      </c>
      <c r="F4729">
        <v>147.1</v>
      </c>
      <c r="G4729" t="s">
        <v>31</v>
      </c>
      <c r="H4729" t="s">
        <v>15</v>
      </c>
      <c r="I4729">
        <v>4.0999999999999996</v>
      </c>
      <c r="J4729">
        <v>12</v>
      </c>
      <c r="K4729">
        <v>1</v>
      </c>
    </row>
    <row r="4730" spans="1:11" x14ac:dyDescent="0.35">
      <c r="A4730">
        <v>4729</v>
      </c>
      <c r="B4730">
        <v>59</v>
      </c>
      <c r="C4730" t="s">
        <v>16</v>
      </c>
      <c r="D4730" t="s">
        <v>33</v>
      </c>
      <c r="E4730" t="s">
        <v>40</v>
      </c>
      <c r="F4730">
        <v>208.77</v>
      </c>
      <c r="G4730" t="s">
        <v>19</v>
      </c>
      <c r="H4730" t="s">
        <v>15</v>
      </c>
      <c r="I4730">
        <v>4</v>
      </c>
      <c r="J4730">
        <v>12</v>
      </c>
      <c r="K4730">
        <v>6</v>
      </c>
    </row>
    <row r="4731" spans="1:11" x14ac:dyDescent="0.35">
      <c r="A4731">
        <v>4730</v>
      </c>
      <c r="B4731">
        <v>31</v>
      </c>
      <c r="C4731" t="s">
        <v>16</v>
      </c>
      <c r="D4731" t="s">
        <v>33</v>
      </c>
      <c r="E4731" t="s">
        <v>40</v>
      </c>
      <c r="F4731">
        <v>222.63</v>
      </c>
      <c r="G4731" t="s">
        <v>31</v>
      </c>
      <c r="H4731" t="s">
        <v>15</v>
      </c>
      <c r="I4731">
        <v>4.3</v>
      </c>
      <c r="J4731">
        <v>18</v>
      </c>
      <c r="K4731">
        <v>9</v>
      </c>
    </row>
    <row r="4732" spans="1:11" x14ac:dyDescent="0.35">
      <c r="A4732">
        <v>4731</v>
      </c>
      <c r="B4732">
        <v>37</v>
      </c>
      <c r="C4732" t="s">
        <v>11</v>
      </c>
      <c r="D4732" t="s">
        <v>41</v>
      </c>
      <c r="E4732" t="s">
        <v>44</v>
      </c>
      <c r="F4732">
        <v>56.66</v>
      </c>
      <c r="G4732" t="s">
        <v>14</v>
      </c>
      <c r="H4732" t="s">
        <v>15</v>
      </c>
      <c r="I4732">
        <v>5</v>
      </c>
      <c r="J4732">
        <v>14</v>
      </c>
      <c r="K4732">
        <v>7</v>
      </c>
    </row>
    <row r="4733" spans="1:11" x14ac:dyDescent="0.35">
      <c r="A4733">
        <v>4732</v>
      </c>
      <c r="B4733">
        <v>32</v>
      </c>
      <c r="C4733" t="s">
        <v>16</v>
      </c>
      <c r="D4733" t="s">
        <v>20</v>
      </c>
      <c r="E4733" t="s">
        <v>39</v>
      </c>
      <c r="F4733">
        <v>46.9</v>
      </c>
      <c r="G4733" t="s">
        <v>19</v>
      </c>
      <c r="H4733" t="s">
        <v>37</v>
      </c>
      <c r="I4733">
        <v>3.4</v>
      </c>
      <c r="J4733">
        <v>17</v>
      </c>
      <c r="K4733">
        <v>6</v>
      </c>
    </row>
    <row r="4734" spans="1:11" x14ac:dyDescent="0.35">
      <c r="A4734">
        <v>4733</v>
      </c>
      <c r="B4734">
        <v>69</v>
      </c>
      <c r="C4734" t="s">
        <v>16</v>
      </c>
      <c r="D4734" t="s">
        <v>27</v>
      </c>
      <c r="E4734" t="s">
        <v>32</v>
      </c>
      <c r="F4734">
        <v>771.91</v>
      </c>
      <c r="G4734" t="s">
        <v>14</v>
      </c>
      <c r="H4734" t="s">
        <v>15</v>
      </c>
      <c r="I4734">
        <v>4.8</v>
      </c>
      <c r="J4734">
        <v>14</v>
      </c>
      <c r="K4734">
        <v>7</v>
      </c>
    </row>
    <row r="4735" spans="1:11" x14ac:dyDescent="0.35">
      <c r="A4735">
        <v>4734</v>
      </c>
      <c r="B4735">
        <v>40</v>
      </c>
      <c r="C4735" t="s">
        <v>16</v>
      </c>
      <c r="D4735" t="s">
        <v>20</v>
      </c>
      <c r="E4735" t="s">
        <v>36</v>
      </c>
      <c r="F4735">
        <v>122.71</v>
      </c>
      <c r="G4735" t="s">
        <v>14</v>
      </c>
      <c r="H4735" t="s">
        <v>15</v>
      </c>
      <c r="I4735">
        <v>2.8</v>
      </c>
      <c r="J4735">
        <v>13</v>
      </c>
      <c r="K4735">
        <v>4</v>
      </c>
    </row>
    <row r="4736" spans="1:11" x14ac:dyDescent="0.35">
      <c r="A4736">
        <v>4735</v>
      </c>
      <c r="B4736">
        <v>21</v>
      </c>
      <c r="C4736" t="s">
        <v>11</v>
      </c>
      <c r="D4736" t="s">
        <v>41</v>
      </c>
      <c r="E4736" t="s">
        <v>42</v>
      </c>
      <c r="F4736">
        <v>195.09</v>
      </c>
      <c r="G4736" t="s">
        <v>24</v>
      </c>
      <c r="H4736" t="s">
        <v>15</v>
      </c>
      <c r="I4736">
        <v>4.4000000000000004</v>
      </c>
      <c r="J4736">
        <v>20</v>
      </c>
      <c r="K4736">
        <v>5</v>
      </c>
    </row>
    <row r="4737" spans="1:11" x14ac:dyDescent="0.35">
      <c r="A4737">
        <v>4736</v>
      </c>
      <c r="B4737">
        <v>60</v>
      </c>
      <c r="C4737" t="s">
        <v>11</v>
      </c>
      <c r="D4737" t="s">
        <v>29</v>
      </c>
      <c r="E4737" t="s">
        <v>30</v>
      </c>
      <c r="F4737">
        <v>80.38</v>
      </c>
      <c r="G4737" t="s">
        <v>19</v>
      </c>
      <c r="H4737" t="s">
        <v>15</v>
      </c>
      <c r="I4737">
        <v>3.6</v>
      </c>
      <c r="J4737">
        <v>14</v>
      </c>
      <c r="K4737">
        <v>7</v>
      </c>
    </row>
    <row r="4738" spans="1:11" x14ac:dyDescent="0.35">
      <c r="A4738">
        <v>4737</v>
      </c>
      <c r="B4738">
        <v>66</v>
      </c>
      <c r="C4738" t="s">
        <v>11</v>
      </c>
      <c r="D4738" t="s">
        <v>41</v>
      </c>
      <c r="E4738" t="s">
        <v>45</v>
      </c>
      <c r="F4738">
        <v>109.58</v>
      </c>
      <c r="G4738" t="s">
        <v>31</v>
      </c>
      <c r="H4738" t="s">
        <v>15</v>
      </c>
      <c r="I4738">
        <v>4.3</v>
      </c>
      <c r="J4738">
        <v>26</v>
      </c>
      <c r="K4738">
        <v>8</v>
      </c>
    </row>
    <row r="4739" spans="1:11" x14ac:dyDescent="0.35">
      <c r="A4739">
        <v>4738</v>
      </c>
      <c r="B4739">
        <v>42</v>
      </c>
      <c r="C4739" t="s">
        <v>11</v>
      </c>
      <c r="D4739" t="s">
        <v>29</v>
      </c>
      <c r="E4739" t="s">
        <v>51</v>
      </c>
      <c r="F4739">
        <v>133.84</v>
      </c>
      <c r="G4739" t="s">
        <v>31</v>
      </c>
      <c r="H4739" t="s">
        <v>15</v>
      </c>
      <c r="I4739">
        <v>3.3</v>
      </c>
      <c r="J4739">
        <v>14</v>
      </c>
      <c r="K4739">
        <v>7</v>
      </c>
    </row>
    <row r="4740" spans="1:11" x14ac:dyDescent="0.35">
      <c r="A4740">
        <v>4739</v>
      </c>
      <c r="B4740">
        <v>28</v>
      </c>
      <c r="C4740" t="s">
        <v>16</v>
      </c>
      <c r="D4740" t="s">
        <v>17</v>
      </c>
      <c r="E4740" t="s">
        <v>35</v>
      </c>
      <c r="F4740">
        <v>37.090000000000003</v>
      </c>
      <c r="G4740" t="s">
        <v>31</v>
      </c>
      <c r="H4740" t="s">
        <v>15</v>
      </c>
      <c r="I4740">
        <v>4.4000000000000004</v>
      </c>
      <c r="J4740">
        <v>22</v>
      </c>
      <c r="K4740">
        <v>6</v>
      </c>
    </row>
    <row r="4741" spans="1:11" x14ac:dyDescent="0.35">
      <c r="A4741">
        <v>4740</v>
      </c>
      <c r="B4741">
        <v>50</v>
      </c>
      <c r="C4741" t="s">
        <v>16</v>
      </c>
      <c r="D4741" t="s">
        <v>25</v>
      </c>
      <c r="E4741" t="s">
        <v>47</v>
      </c>
      <c r="F4741">
        <v>19.579999999999998</v>
      </c>
      <c r="G4741" t="s">
        <v>24</v>
      </c>
      <c r="H4741" t="s">
        <v>15</v>
      </c>
      <c r="I4741">
        <v>3.3</v>
      </c>
      <c r="J4741">
        <v>19</v>
      </c>
      <c r="K4741">
        <v>7</v>
      </c>
    </row>
    <row r="4742" spans="1:11" x14ac:dyDescent="0.35">
      <c r="A4742">
        <v>4741</v>
      </c>
      <c r="B4742">
        <v>65</v>
      </c>
      <c r="C4742" t="s">
        <v>16</v>
      </c>
      <c r="D4742" t="s">
        <v>25</v>
      </c>
      <c r="E4742" t="s">
        <v>47</v>
      </c>
      <c r="F4742">
        <v>13.95</v>
      </c>
      <c r="G4742" t="s">
        <v>31</v>
      </c>
      <c r="H4742" t="s">
        <v>15</v>
      </c>
      <c r="I4742">
        <v>4.0999999999999996</v>
      </c>
      <c r="J4742">
        <v>21</v>
      </c>
      <c r="K4742">
        <v>8</v>
      </c>
    </row>
    <row r="4743" spans="1:11" x14ac:dyDescent="0.35">
      <c r="A4743">
        <v>4742</v>
      </c>
      <c r="B4743">
        <v>48</v>
      </c>
      <c r="C4743" t="s">
        <v>16</v>
      </c>
      <c r="D4743" t="s">
        <v>20</v>
      </c>
      <c r="E4743" t="s">
        <v>39</v>
      </c>
      <c r="F4743">
        <v>147.08000000000001</v>
      </c>
      <c r="G4743" t="s">
        <v>31</v>
      </c>
      <c r="H4743" t="s">
        <v>15</v>
      </c>
      <c r="I4743">
        <v>3.4</v>
      </c>
      <c r="J4743">
        <v>20</v>
      </c>
      <c r="K4743">
        <v>5</v>
      </c>
    </row>
    <row r="4744" spans="1:11" x14ac:dyDescent="0.35">
      <c r="A4744">
        <v>4743</v>
      </c>
      <c r="B4744">
        <v>56</v>
      </c>
      <c r="C4744" t="s">
        <v>11</v>
      </c>
      <c r="D4744" t="s">
        <v>41</v>
      </c>
      <c r="E4744" t="s">
        <v>44</v>
      </c>
      <c r="F4744">
        <v>172.44</v>
      </c>
      <c r="G4744" t="s">
        <v>31</v>
      </c>
      <c r="H4744" t="s">
        <v>15</v>
      </c>
      <c r="I4744">
        <v>3.7</v>
      </c>
      <c r="J4744">
        <v>18</v>
      </c>
      <c r="K4744">
        <v>4</v>
      </c>
    </row>
    <row r="4745" spans="1:11" x14ac:dyDescent="0.35">
      <c r="A4745">
        <v>4744</v>
      </c>
      <c r="B4745">
        <v>41</v>
      </c>
      <c r="C4745" t="s">
        <v>16</v>
      </c>
      <c r="D4745" t="s">
        <v>20</v>
      </c>
      <c r="E4745" t="s">
        <v>39</v>
      </c>
      <c r="F4745">
        <v>179</v>
      </c>
      <c r="G4745" t="s">
        <v>14</v>
      </c>
      <c r="H4745" t="s">
        <v>15</v>
      </c>
      <c r="I4745">
        <v>4.9000000000000004</v>
      </c>
      <c r="J4745">
        <v>8</v>
      </c>
      <c r="K4745">
        <v>4</v>
      </c>
    </row>
    <row r="4746" spans="1:11" x14ac:dyDescent="0.35">
      <c r="A4746">
        <v>4745</v>
      </c>
      <c r="B4746">
        <v>26</v>
      </c>
      <c r="C4746" t="s">
        <v>11</v>
      </c>
      <c r="D4746" t="s">
        <v>33</v>
      </c>
      <c r="E4746" t="s">
        <v>38</v>
      </c>
      <c r="F4746">
        <v>104.75</v>
      </c>
      <c r="G4746" t="s">
        <v>24</v>
      </c>
      <c r="H4746" t="s">
        <v>15</v>
      </c>
      <c r="I4746">
        <v>4.0999999999999996</v>
      </c>
      <c r="J4746">
        <v>6</v>
      </c>
      <c r="K4746">
        <v>3</v>
      </c>
    </row>
    <row r="4747" spans="1:11" x14ac:dyDescent="0.35">
      <c r="A4747">
        <v>4746</v>
      </c>
      <c r="B4747">
        <v>61</v>
      </c>
      <c r="C4747" t="s">
        <v>16</v>
      </c>
      <c r="D4747" t="s">
        <v>20</v>
      </c>
      <c r="E4747" t="s">
        <v>21</v>
      </c>
      <c r="F4747">
        <v>216.67</v>
      </c>
      <c r="G4747" t="s">
        <v>14</v>
      </c>
      <c r="H4747" t="s">
        <v>15</v>
      </c>
      <c r="I4747">
        <v>4.4000000000000004</v>
      </c>
      <c r="J4747">
        <v>13</v>
      </c>
      <c r="K4747">
        <v>4</v>
      </c>
    </row>
    <row r="4748" spans="1:11" x14ac:dyDescent="0.35">
      <c r="A4748">
        <v>4747</v>
      </c>
      <c r="B4748">
        <v>54</v>
      </c>
      <c r="C4748" t="s">
        <v>16</v>
      </c>
      <c r="D4748" t="s">
        <v>27</v>
      </c>
      <c r="E4748" t="s">
        <v>49</v>
      </c>
      <c r="F4748">
        <v>572.52</v>
      </c>
      <c r="G4748" t="s">
        <v>14</v>
      </c>
      <c r="H4748" t="s">
        <v>15</v>
      </c>
      <c r="I4748">
        <v>3.7</v>
      </c>
      <c r="J4748">
        <v>11</v>
      </c>
      <c r="K4748">
        <v>3</v>
      </c>
    </row>
    <row r="4749" spans="1:11" x14ac:dyDescent="0.35">
      <c r="A4749">
        <v>4748</v>
      </c>
      <c r="B4749">
        <v>45</v>
      </c>
      <c r="C4749" t="s">
        <v>11</v>
      </c>
      <c r="D4749" t="s">
        <v>33</v>
      </c>
      <c r="E4749" t="s">
        <v>40</v>
      </c>
      <c r="F4749">
        <v>198.44</v>
      </c>
      <c r="G4749" t="s">
        <v>24</v>
      </c>
      <c r="H4749" t="s">
        <v>15</v>
      </c>
      <c r="I4749">
        <v>2.6</v>
      </c>
      <c r="J4749">
        <v>18</v>
      </c>
      <c r="K4749">
        <v>4</v>
      </c>
    </row>
    <row r="4750" spans="1:11" x14ac:dyDescent="0.35">
      <c r="A4750">
        <v>4749</v>
      </c>
      <c r="B4750">
        <v>66</v>
      </c>
      <c r="C4750" t="s">
        <v>16</v>
      </c>
      <c r="D4750" t="s">
        <v>20</v>
      </c>
      <c r="E4750" t="s">
        <v>36</v>
      </c>
      <c r="F4750">
        <v>32.81</v>
      </c>
      <c r="G4750" t="s">
        <v>14</v>
      </c>
      <c r="H4750" t="s">
        <v>37</v>
      </c>
      <c r="I4750">
        <v>3.6</v>
      </c>
      <c r="J4750">
        <v>16</v>
      </c>
      <c r="K4750">
        <v>3</v>
      </c>
    </row>
    <row r="4751" spans="1:11" x14ac:dyDescent="0.35">
      <c r="A4751">
        <v>4750</v>
      </c>
      <c r="B4751">
        <v>29</v>
      </c>
      <c r="C4751" t="s">
        <v>16</v>
      </c>
      <c r="D4751" t="s">
        <v>33</v>
      </c>
      <c r="E4751" t="s">
        <v>34</v>
      </c>
      <c r="F4751">
        <v>218.6</v>
      </c>
      <c r="G4751" t="s">
        <v>31</v>
      </c>
      <c r="H4751" t="s">
        <v>15</v>
      </c>
      <c r="I4751">
        <v>2.2999999999999998</v>
      </c>
      <c r="J4751">
        <v>8</v>
      </c>
      <c r="K4751">
        <v>4</v>
      </c>
    </row>
    <row r="4752" spans="1:11" x14ac:dyDescent="0.35">
      <c r="A4752">
        <v>4751</v>
      </c>
      <c r="B4752">
        <v>27</v>
      </c>
      <c r="C4752" t="s">
        <v>16</v>
      </c>
      <c r="D4752" t="s">
        <v>20</v>
      </c>
      <c r="E4752" t="s">
        <v>21</v>
      </c>
      <c r="F4752">
        <v>96.93</v>
      </c>
      <c r="G4752" t="s">
        <v>14</v>
      </c>
      <c r="H4752" t="s">
        <v>37</v>
      </c>
      <c r="I4752">
        <v>3.2</v>
      </c>
      <c r="J4752">
        <v>8</v>
      </c>
      <c r="K4752">
        <v>4</v>
      </c>
    </row>
    <row r="4753" spans="1:11" x14ac:dyDescent="0.35">
      <c r="A4753">
        <v>4752</v>
      </c>
      <c r="B4753">
        <v>29</v>
      </c>
      <c r="C4753" t="s">
        <v>16</v>
      </c>
      <c r="D4753" t="s">
        <v>27</v>
      </c>
      <c r="E4753" t="s">
        <v>53</v>
      </c>
      <c r="F4753">
        <v>2817.6</v>
      </c>
      <c r="G4753" t="s">
        <v>14</v>
      </c>
      <c r="H4753" t="s">
        <v>15</v>
      </c>
      <c r="I4753">
        <v>4.0999999999999996</v>
      </c>
      <c r="J4753">
        <v>14</v>
      </c>
      <c r="K4753">
        <v>2</v>
      </c>
    </row>
    <row r="4754" spans="1:11" x14ac:dyDescent="0.35">
      <c r="A4754">
        <v>4753</v>
      </c>
      <c r="B4754">
        <v>24</v>
      </c>
      <c r="C4754" t="s">
        <v>11</v>
      </c>
      <c r="D4754" t="s">
        <v>22</v>
      </c>
      <c r="E4754" t="s">
        <v>23</v>
      </c>
      <c r="F4754">
        <v>209.24</v>
      </c>
      <c r="G4754" t="s">
        <v>14</v>
      </c>
      <c r="H4754" t="s">
        <v>15</v>
      </c>
      <c r="I4754">
        <v>3.1</v>
      </c>
      <c r="J4754">
        <v>6</v>
      </c>
      <c r="K4754">
        <v>3</v>
      </c>
    </row>
    <row r="4755" spans="1:11" x14ac:dyDescent="0.35">
      <c r="A4755">
        <v>4754</v>
      </c>
      <c r="B4755">
        <v>65</v>
      </c>
      <c r="C4755" t="s">
        <v>16</v>
      </c>
      <c r="D4755" t="s">
        <v>22</v>
      </c>
      <c r="E4755" t="s">
        <v>52</v>
      </c>
      <c r="F4755">
        <v>205.4</v>
      </c>
      <c r="G4755" t="s">
        <v>31</v>
      </c>
      <c r="H4755" t="s">
        <v>15</v>
      </c>
      <c r="I4755">
        <v>3.8</v>
      </c>
      <c r="J4755">
        <v>8</v>
      </c>
      <c r="K4755">
        <v>4</v>
      </c>
    </row>
    <row r="4756" spans="1:11" x14ac:dyDescent="0.35">
      <c r="A4756">
        <v>4755</v>
      </c>
      <c r="B4756">
        <v>50</v>
      </c>
      <c r="C4756" t="s">
        <v>11</v>
      </c>
      <c r="D4756" t="s">
        <v>33</v>
      </c>
      <c r="E4756" t="s">
        <v>34</v>
      </c>
      <c r="F4756">
        <v>69.78</v>
      </c>
      <c r="G4756" t="s">
        <v>24</v>
      </c>
      <c r="H4756" t="s">
        <v>15</v>
      </c>
      <c r="I4756">
        <v>3.1</v>
      </c>
      <c r="J4756">
        <v>13</v>
      </c>
      <c r="K4756">
        <v>4</v>
      </c>
    </row>
    <row r="4757" spans="1:11" x14ac:dyDescent="0.35">
      <c r="A4757">
        <v>4756</v>
      </c>
      <c r="B4757">
        <v>28</v>
      </c>
      <c r="C4757" t="s">
        <v>11</v>
      </c>
      <c r="D4757" t="s">
        <v>29</v>
      </c>
      <c r="E4757" t="s">
        <v>51</v>
      </c>
      <c r="F4757">
        <v>133.09</v>
      </c>
      <c r="G4757" t="s">
        <v>24</v>
      </c>
      <c r="H4757" t="s">
        <v>15</v>
      </c>
      <c r="I4757">
        <v>4.4000000000000004</v>
      </c>
      <c r="J4757">
        <v>17</v>
      </c>
      <c r="K4757">
        <v>6</v>
      </c>
    </row>
    <row r="4758" spans="1:11" x14ac:dyDescent="0.35">
      <c r="A4758">
        <v>4757</v>
      </c>
      <c r="B4758">
        <v>26</v>
      </c>
      <c r="C4758" t="s">
        <v>16</v>
      </c>
      <c r="D4758" t="s">
        <v>22</v>
      </c>
      <c r="E4758" t="s">
        <v>23</v>
      </c>
      <c r="F4758">
        <v>239.79</v>
      </c>
      <c r="G4758" t="s">
        <v>19</v>
      </c>
      <c r="H4758" t="s">
        <v>15</v>
      </c>
      <c r="I4758">
        <v>3.5</v>
      </c>
      <c r="J4758">
        <v>8</v>
      </c>
      <c r="K4758">
        <v>4</v>
      </c>
    </row>
    <row r="4759" spans="1:11" x14ac:dyDescent="0.35">
      <c r="A4759">
        <v>4758</v>
      </c>
      <c r="B4759">
        <v>33</v>
      </c>
      <c r="C4759" t="s">
        <v>11</v>
      </c>
      <c r="D4759" t="s">
        <v>33</v>
      </c>
      <c r="E4759" t="s">
        <v>34</v>
      </c>
      <c r="F4759">
        <v>226.44</v>
      </c>
      <c r="G4759" t="s">
        <v>31</v>
      </c>
      <c r="H4759" t="s">
        <v>15</v>
      </c>
      <c r="I4759">
        <v>4.5</v>
      </c>
      <c r="J4759">
        <v>8</v>
      </c>
      <c r="K4759">
        <v>4</v>
      </c>
    </row>
    <row r="4760" spans="1:11" x14ac:dyDescent="0.35">
      <c r="A4760">
        <v>4759</v>
      </c>
      <c r="B4760">
        <v>69</v>
      </c>
      <c r="C4760" t="s">
        <v>16</v>
      </c>
      <c r="D4760" t="s">
        <v>22</v>
      </c>
      <c r="E4760" t="s">
        <v>52</v>
      </c>
      <c r="F4760">
        <v>232.66</v>
      </c>
      <c r="G4760" t="s">
        <v>19</v>
      </c>
      <c r="H4760" t="s">
        <v>15</v>
      </c>
      <c r="I4760">
        <v>3.7</v>
      </c>
      <c r="J4760">
        <v>26</v>
      </c>
      <c r="K4760">
        <v>8</v>
      </c>
    </row>
    <row r="4761" spans="1:11" x14ac:dyDescent="0.35">
      <c r="A4761">
        <v>4760</v>
      </c>
      <c r="B4761">
        <v>31</v>
      </c>
      <c r="C4761" t="s">
        <v>11</v>
      </c>
      <c r="D4761" t="s">
        <v>41</v>
      </c>
      <c r="E4761" t="s">
        <v>44</v>
      </c>
      <c r="F4761">
        <v>158.41999999999999</v>
      </c>
      <c r="G4761" t="s">
        <v>19</v>
      </c>
      <c r="H4761" t="s">
        <v>15</v>
      </c>
      <c r="I4761">
        <v>3.3</v>
      </c>
      <c r="J4761">
        <v>15</v>
      </c>
      <c r="K4761">
        <v>5</v>
      </c>
    </row>
    <row r="4762" spans="1:11" x14ac:dyDescent="0.35">
      <c r="A4762">
        <v>4761</v>
      </c>
      <c r="B4762">
        <v>59</v>
      </c>
      <c r="C4762" t="s">
        <v>11</v>
      </c>
      <c r="D4762" t="s">
        <v>25</v>
      </c>
      <c r="E4762" t="s">
        <v>57</v>
      </c>
      <c r="F4762">
        <v>23.69</v>
      </c>
      <c r="G4762" t="s">
        <v>14</v>
      </c>
      <c r="H4762" t="s">
        <v>37</v>
      </c>
      <c r="I4762">
        <v>3.5</v>
      </c>
      <c r="J4762">
        <v>14</v>
      </c>
      <c r="K4762">
        <v>2</v>
      </c>
    </row>
    <row r="4763" spans="1:11" x14ac:dyDescent="0.35">
      <c r="A4763">
        <v>4762</v>
      </c>
      <c r="B4763">
        <v>34</v>
      </c>
      <c r="C4763" t="s">
        <v>16</v>
      </c>
      <c r="D4763" t="s">
        <v>17</v>
      </c>
      <c r="E4763" t="s">
        <v>18</v>
      </c>
      <c r="F4763">
        <v>174.51</v>
      </c>
      <c r="G4763" t="s">
        <v>19</v>
      </c>
      <c r="H4763" t="s">
        <v>15</v>
      </c>
      <c r="I4763">
        <v>2.6</v>
      </c>
      <c r="J4763">
        <v>12</v>
      </c>
      <c r="K4763">
        <v>6</v>
      </c>
    </row>
    <row r="4764" spans="1:11" x14ac:dyDescent="0.35">
      <c r="A4764">
        <v>4763</v>
      </c>
      <c r="B4764">
        <v>36</v>
      </c>
      <c r="C4764" t="s">
        <v>16</v>
      </c>
      <c r="D4764" t="s">
        <v>20</v>
      </c>
      <c r="E4764" t="s">
        <v>39</v>
      </c>
      <c r="F4764">
        <v>189.27</v>
      </c>
      <c r="G4764" t="s">
        <v>14</v>
      </c>
      <c r="H4764" t="s">
        <v>15</v>
      </c>
      <c r="I4764">
        <v>2.4</v>
      </c>
      <c r="J4764">
        <v>16</v>
      </c>
      <c r="K4764">
        <v>3</v>
      </c>
    </row>
    <row r="4765" spans="1:11" x14ac:dyDescent="0.35">
      <c r="A4765">
        <v>4764</v>
      </c>
      <c r="B4765">
        <v>22</v>
      </c>
      <c r="C4765" t="s">
        <v>11</v>
      </c>
      <c r="D4765" t="s">
        <v>29</v>
      </c>
      <c r="E4765" t="s">
        <v>51</v>
      </c>
      <c r="F4765">
        <v>28.45</v>
      </c>
      <c r="G4765" t="s">
        <v>24</v>
      </c>
      <c r="H4765" t="s">
        <v>37</v>
      </c>
      <c r="I4765">
        <v>3.6</v>
      </c>
      <c r="J4765">
        <v>15</v>
      </c>
      <c r="K4765">
        <v>5</v>
      </c>
    </row>
    <row r="4766" spans="1:11" x14ac:dyDescent="0.35">
      <c r="A4766">
        <v>4765</v>
      </c>
      <c r="B4766">
        <v>42</v>
      </c>
      <c r="C4766" t="s">
        <v>11</v>
      </c>
      <c r="D4766" t="s">
        <v>12</v>
      </c>
      <c r="E4766" t="s">
        <v>13</v>
      </c>
      <c r="F4766">
        <v>103.25</v>
      </c>
      <c r="G4766" t="s">
        <v>31</v>
      </c>
      <c r="H4766" t="s">
        <v>15</v>
      </c>
      <c r="I4766">
        <v>4.0999999999999996</v>
      </c>
      <c r="J4766">
        <v>15</v>
      </c>
      <c r="K4766">
        <v>5</v>
      </c>
    </row>
    <row r="4767" spans="1:11" x14ac:dyDescent="0.35">
      <c r="A4767">
        <v>4766</v>
      </c>
      <c r="B4767">
        <v>32</v>
      </c>
      <c r="C4767" t="s">
        <v>16</v>
      </c>
      <c r="D4767" t="s">
        <v>27</v>
      </c>
      <c r="E4767" t="s">
        <v>28</v>
      </c>
      <c r="F4767">
        <v>2817.12</v>
      </c>
      <c r="G4767" t="s">
        <v>14</v>
      </c>
      <c r="H4767" t="s">
        <v>15</v>
      </c>
      <c r="I4767">
        <v>2.6</v>
      </c>
      <c r="J4767">
        <v>12</v>
      </c>
      <c r="K4767">
        <v>6</v>
      </c>
    </row>
    <row r="4768" spans="1:11" x14ac:dyDescent="0.35">
      <c r="A4768">
        <v>4767</v>
      </c>
      <c r="B4768">
        <v>45</v>
      </c>
      <c r="C4768" t="s">
        <v>16</v>
      </c>
      <c r="D4768" t="s">
        <v>33</v>
      </c>
      <c r="E4768" t="s">
        <v>40</v>
      </c>
      <c r="F4768">
        <v>239.66</v>
      </c>
      <c r="G4768" t="s">
        <v>19</v>
      </c>
      <c r="H4768" t="s">
        <v>15</v>
      </c>
      <c r="I4768">
        <v>4.7</v>
      </c>
      <c r="J4768">
        <v>12</v>
      </c>
      <c r="K4768">
        <v>6</v>
      </c>
    </row>
    <row r="4769" spans="1:11" x14ac:dyDescent="0.35">
      <c r="A4769">
        <v>4768</v>
      </c>
      <c r="B4769">
        <v>30</v>
      </c>
      <c r="C4769" t="s">
        <v>16</v>
      </c>
      <c r="D4769" t="s">
        <v>17</v>
      </c>
      <c r="E4769" t="s">
        <v>35</v>
      </c>
      <c r="F4769">
        <v>56.45</v>
      </c>
      <c r="G4769" t="s">
        <v>24</v>
      </c>
      <c r="H4769" t="s">
        <v>15</v>
      </c>
      <c r="I4769">
        <v>3.7</v>
      </c>
      <c r="J4769">
        <v>24</v>
      </c>
      <c r="K4769">
        <v>7</v>
      </c>
    </row>
    <row r="4770" spans="1:11" x14ac:dyDescent="0.35">
      <c r="A4770">
        <v>4769</v>
      </c>
      <c r="B4770">
        <v>69</v>
      </c>
      <c r="C4770" t="s">
        <v>11</v>
      </c>
      <c r="D4770" t="s">
        <v>33</v>
      </c>
      <c r="E4770" t="s">
        <v>34</v>
      </c>
      <c r="F4770">
        <v>114.1</v>
      </c>
      <c r="G4770" t="s">
        <v>24</v>
      </c>
      <c r="H4770" t="s">
        <v>15</v>
      </c>
      <c r="I4770">
        <v>3.4</v>
      </c>
      <c r="J4770">
        <v>28</v>
      </c>
      <c r="K4770">
        <v>9</v>
      </c>
    </row>
    <row r="4771" spans="1:11" x14ac:dyDescent="0.35">
      <c r="A4771">
        <v>4770</v>
      </c>
      <c r="B4771">
        <v>48</v>
      </c>
      <c r="C4771" t="s">
        <v>11</v>
      </c>
      <c r="D4771" t="s">
        <v>41</v>
      </c>
      <c r="E4771" t="s">
        <v>44</v>
      </c>
      <c r="F4771">
        <v>180.95</v>
      </c>
      <c r="G4771" t="s">
        <v>14</v>
      </c>
      <c r="H4771" t="s">
        <v>15</v>
      </c>
      <c r="I4771">
        <v>4</v>
      </c>
      <c r="J4771">
        <v>10</v>
      </c>
      <c r="K4771">
        <v>5</v>
      </c>
    </row>
    <row r="4772" spans="1:11" x14ac:dyDescent="0.35">
      <c r="A4772">
        <v>4771</v>
      </c>
      <c r="B4772">
        <v>44</v>
      </c>
      <c r="C4772" t="s">
        <v>11</v>
      </c>
      <c r="D4772" t="s">
        <v>41</v>
      </c>
      <c r="E4772" t="s">
        <v>42</v>
      </c>
      <c r="F4772">
        <v>45.18</v>
      </c>
      <c r="G4772" t="s">
        <v>19</v>
      </c>
      <c r="H4772" t="s">
        <v>15</v>
      </c>
      <c r="I4772">
        <v>4.4000000000000004</v>
      </c>
      <c r="J4772">
        <v>15</v>
      </c>
      <c r="K4772">
        <v>5</v>
      </c>
    </row>
    <row r="4773" spans="1:11" x14ac:dyDescent="0.35">
      <c r="A4773">
        <v>4772</v>
      </c>
      <c r="B4773">
        <v>30</v>
      </c>
      <c r="C4773" t="s">
        <v>16</v>
      </c>
      <c r="D4773" t="s">
        <v>33</v>
      </c>
      <c r="E4773" t="s">
        <v>34</v>
      </c>
      <c r="F4773">
        <v>243.11</v>
      </c>
      <c r="G4773" t="s">
        <v>24</v>
      </c>
      <c r="H4773" t="s">
        <v>15</v>
      </c>
      <c r="I4773">
        <v>3.4</v>
      </c>
      <c r="J4773">
        <v>18</v>
      </c>
      <c r="K4773">
        <v>9</v>
      </c>
    </row>
    <row r="4774" spans="1:11" x14ac:dyDescent="0.35">
      <c r="A4774">
        <v>4773</v>
      </c>
      <c r="B4774">
        <v>66</v>
      </c>
      <c r="C4774" t="s">
        <v>16</v>
      </c>
      <c r="D4774" t="s">
        <v>33</v>
      </c>
      <c r="E4774" t="s">
        <v>38</v>
      </c>
      <c r="F4774">
        <v>200.45</v>
      </c>
      <c r="G4774" t="s">
        <v>19</v>
      </c>
      <c r="H4774" t="s">
        <v>15</v>
      </c>
      <c r="I4774">
        <v>4.4000000000000004</v>
      </c>
      <c r="J4774">
        <v>18</v>
      </c>
      <c r="K4774">
        <v>4</v>
      </c>
    </row>
    <row r="4775" spans="1:11" x14ac:dyDescent="0.35">
      <c r="A4775">
        <v>4774</v>
      </c>
      <c r="B4775">
        <v>33</v>
      </c>
      <c r="C4775" t="s">
        <v>11</v>
      </c>
      <c r="D4775" t="s">
        <v>29</v>
      </c>
      <c r="E4775" t="s">
        <v>55</v>
      </c>
      <c r="F4775">
        <v>121.83</v>
      </c>
      <c r="G4775" t="s">
        <v>24</v>
      </c>
      <c r="H4775" t="s">
        <v>15</v>
      </c>
      <c r="I4775">
        <v>4.4000000000000004</v>
      </c>
      <c r="J4775">
        <v>8</v>
      </c>
      <c r="K4775">
        <v>4</v>
      </c>
    </row>
    <row r="4776" spans="1:11" x14ac:dyDescent="0.35">
      <c r="A4776">
        <v>4775</v>
      </c>
      <c r="B4776">
        <v>41</v>
      </c>
      <c r="C4776" t="s">
        <v>11</v>
      </c>
      <c r="D4776" t="s">
        <v>25</v>
      </c>
      <c r="E4776" t="s">
        <v>47</v>
      </c>
      <c r="F4776">
        <v>28.73</v>
      </c>
      <c r="G4776" t="s">
        <v>31</v>
      </c>
      <c r="H4776" t="s">
        <v>15</v>
      </c>
      <c r="I4776">
        <v>3.9</v>
      </c>
      <c r="J4776">
        <v>6</v>
      </c>
      <c r="K4776">
        <v>3</v>
      </c>
    </row>
    <row r="4777" spans="1:11" x14ac:dyDescent="0.35">
      <c r="A4777">
        <v>4776</v>
      </c>
      <c r="B4777">
        <v>27</v>
      </c>
      <c r="C4777" t="s">
        <v>11</v>
      </c>
      <c r="D4777" t="s">
        <v>33</v>
      </c>
      <c r="E4777" t="s">
        <v>34</v>
      </c>
      <c r="F4777">
        <v>117.43</v>
      </c>
      <c r="G4777" t="s">
        <v>19</v>
      </c>
      <c r="H4777" t="s">
        <v>15</v>
      </c>
      <c r="I4777">
        <v>3.4</v>
      </c>
      <c r="J4777">
        <v>10</v>
      </c>
      <c r="K4777">
        <v>5</v>
      </c>
    </row>
    <row r="4778" spans="1:11" x14ac:dyDescent="0.35">
      <c r="A4778">
        <v>4777</v>
      </c>
      <c r="B4778">
        <v>57</v>
      </c>
      <c r="C4778" t="s">
        <v>16</v>
      </c>
      <c r="D4778" t="s">
        <v>27</v>
      </c>
      <c r="E4778" t="s">
        <v>53</v>
      </c>
      <c r="F4778">
        <v>1597.87</v>
      </c>
      <c r="G4778" t="s">
        <v>14</v>
      </c>
      <c r="H4778" t="s">
        <v>15</v>
      </c>
      <c r="I4778">
        <v>4.2</v>
      </c>
      <c r="J4778">
        <v>19</v>
      </c>
      <c r="K4778">
        <v>7</v>
      </c>
    </row>
    <row r="4779" spans="1:11" x14ac:dyDescent="0.35">
      <c r="A4779">
        <v>4778</v>
      </c>
      <c r="B4779">
        <v>48</v>
      </c>
      <c r="C4779" t="s">
        <v>16</v>
      </c>
      <c r="D4779" t="s">
        <v>20</v>
      </c>
      <c r="E4779" t="s">
        <v>36</v>
      </c>
      <c r="F4779">
        <v>137.63</v>
      </c>
      <c r="G4779" t="s">
        <v>14</v>
      </c>
      <c r="H4779" t="s">
        <v>15</v>
      </c>
      <c r="I4779">
        <v>3.5</v>
      </c>
      <c r="J4779">
        <v>8</v>
      </c>
      <c r="K4779">
        <v>4</v>
      </c>
    </row>
    <row r="4780" spans="1:11" x14ac:dyDescent="0.35">
      <c r="A4780">
        <v>4779</v>
      </c>
      <c r="B4780">
        <v>67</v>
      </c>
      <c r="C4780" t="s">
        <v>11</v>
      </c>
      <c r="D4780" t="s">
        <v>41</v>
      </c>
      <c r="E4780" t="s">
        <v>44</v>
      </c>
      <c r="F4780">
        <v>134.72999999999999</v>
      </c>
      <c r="G4780" t="s">
        <v>24</v>
      </c>
      <c r="H4780" t="s">
        <v>15</v>
      </c>
      <c r="I4780">
        <v>3.9</v>
      </c>
      <c r="J4780">
        <v>13</v>
      </c>
      <c r="K4780">
        <v>4</v>
      </c>
    </row>
    <row r="4781" spans="1:11" x14ac:dyDescent="0.35">
      <c r="A4781">
        <v>4780</v>
      </c>
      <c r="B4781">
        <v>59</v>
      </c>
      <c r="C4781" t="s">
        <v>11</v>
      </c>
      <c r="D4781" t="s">
        <v>29</v>
      </c>
      <c r="E4781" t="s">
        <v>55</v>
      </c>
      <c r="F4781">
        <v>42.19</v>
      </c>
      <c r="G4781" t="s">
        <v>31</v>
      </c>
      <c r="H4781" t="s">
        <v>15</v>
      </c>
      <c r="I4781">
        <v>2.2000000000000002</v>
      </c>
      <c r="J4781">
        <v>11</v>
      </c>
      <c r="K4781">
        <v>3</v>
      </c>
    </row>
    <row r="4782" spans="1:11" x14ac:dyDescent="0.35">
      <c r="A4782">
        <v>4781</v>
      </c>
      <c r="B4782">
        <v>66</v>
      </c>
      <c r="C4782" t="s">
        <v>16</v>
      </c>
      <c r="D4782" t="s">
        <v>25</v>
      </c>
      <c r="E4782" t="s">
        <v>54</v>
      </c>
      <c r="F4782">
        <v>44.99</v>
      </c>
      <c r="G4782" t="s">
        <v>14</v>
      </c>
      <c r="H4782" t="s">
        <v>37</v>
      </c>
      <c r="I4782">
        <v>4.3</v>
      </c>
      <c r="J4782">
        <v>19</v>
      </c>
      <c r="K4782">
        <v>7</v>
      </c>
    </row>
    <row r="4783" spans="1:11" x14ac:dyDescent="0.35">
      <c r="A4783">
        <v>4782</v>
      </c>
      <c r="B4783">
        <v>60</v>
      </c>
      <c r="C4783" t="s">
        <v>16</v>
      </c>
      <c r="D4783" t="s">
        <v>25</v>
      </c>
      <c r="E4783" t="s">
        <v>57</v>
      </c>
      <c r="F4783">
        <v>5.98</v>
      </c>
      <c r="G4783" t="s">
        <v>31</v>
      </c>
      <c r="H4783" t="s">
        <v>37</v>
      </c>
      <c r="I4783">
        <v>3.7</v>
      </c>
      <c r="J4783">
        <v>15</v>
      </c>
      <c r="K4783">
        <v>5</v>
      </c>
    </row>
    <row r="4784" spans="1:11" x14ac:dyDescent="0.35">
      <c r="A4784">
        <v>4783</v>
      </c>
      <c r="B4784">
        <v>50</v>
      </c>
      <c r="C4784" t="s">
        <v>11</v>
      </c>
      <c r="D4784" t="s">
        <v>41</v>
      </c>
      <c r="E4784" t="s">
        <v>46</v>
      </c>
      <c r="F4784">
        <v>90.5</v>
      </c>
      <c r="G4784" t="s">
        <v>14</v>
      </c>
      <c r="H4784" t="s">
        <v>37</v>
      </c>
      <c r="I4784">
        <v>3.6</v>
      </c>
      <c r="J4784">
        <v>19</v>
      </c>
      <c r="K4784">
        <v>7</v>
      </c>
    </row>
    <row r="4785" spans="1:11" x14ac:dyDescent="0.35">
      <c r="A4785">
        <v>4784</v>
      </c>
      <c r="B4785">
        <v>67</v>
      </c>
      <c r="C4785" t="s">
        <v>11</v>
      </c>
      <c r="D4785" t="s">
        <v>41</v>
      </c>
      <c r="E4785" t="s">
        <v>42</v>
      </c>
      <c r="F4785">
        <v>61.64</v>
      </c>
      <c r="G4785" t="s">
        <v>19</v>
      </c>
      <c r="H4785" t="s">
        <v>37</v>
      </c>
      <c r="I4785">
        <v>3.8</v>
      </c>
      <c r="J4785">
        <v>14</v>
      </c>
      <c r="K4785">
        <v>2</v>
      </c>
    </row>
    <row r="4786" spans="1:11" x14ac:dyDescent="0.35">
      <c r="A4786">
        <v>4785</v>
      </c>
      <c r="B4786">
        <v>21</v>
      </c>
      <c r="C4786" t="s">
        <v>16</v>
      </c>
      <c r="D4786" t="s">
        <v>17</v>
      </c>
      <c r="E4786" t="s">
        <v>35</v>
      </c>
      <c r="F4786">
        <v>30.63</v>
      </c>
      <c r="G4786" t="s">
        <v>24</v>
      </c>
      <c r="H4786" t="s">
        <v>15</v>
      </c>
      <c r="I4786">
        <v>3.2</v>
      </c>
      <c r="J4786">
        <v>15</v>
      </c>
      <c r="K4786">
        <v>5</v>
      </c>
    </row>
    <row r="4787" spans="1:11" x14ac:dyDescent="0.35">
      <c r="A4787">
        <v>4786</v>
      </c>
      <c r="B4787">
        <v>31</v>
      </c>
      <c r="C4787" t="s">
        <v>16</v>
      </c>
      <c r="D4787" t="s">
        <v>20</v>
      </c>
      <c r="E4787" t="s">
        <v>39</v>
      </c>
      <c r="F4787">
        <v>82.96</v>
      </c>
      <c r="G4787" t="s">
        <v>19</v>
      </c>
      <c r="H4787" t="s">
        <v>15</v>
      </c>
      <c r="I4787">
        <v>3.2</v>
      </c>
      <c r="J4787">
        <v>13</v>
      </c>
      <c r="K4787">
        <v>4</v>
      </c>
    </row>
    <row r="4788" spans="1:11" x14ac:dyDescent="0.35">
      <c r="A4788">
        <v>4787</v>
      </c>
      <c r="B4788">
        <v>43</v>
      </c>
      <c r="C4788" t="s">
        <v>11</v>
      </c>
      <c r="D4788" t="s">
        <v>22</v>
      </c>
      <c r="E4788" t="s">
        <v>23</v>
      </c>
      <c r="F4788">
        <v>162.78</v>
      </c>
      <c r="G4788" t="s">
        <v>14</v>
      </c>
      <c r="H4788" t="s">
        <v>15</v>
      </c>
      <c r="I4788">
        <v>3.3</v>
      </c>
      <c r="J4788">
        <v>12</v>
      </c>
      <c r="K4788">
        <v>1</v>
      </c>
    </row>
    <row r="4789" spans="1:11" x14ac:dyDescent="0.35">
      <c r="A4789">
        <v>4788</v>
      </c>
      <c r="B4789">
        <v>20</v>
      </c>
      <c r="C4789" t="s">
        <v>16</v>
      </c>
      <c r="D4789" t="s">
        <v>20</v>
      </c>
      <c r="E4789" t="s">
        <v>39</v>
      </c>
      <c r="F4789">
        <v>173.24</v>
      </c>
      <c r="G4789" t="s">
        <v>19</v>
      </c>
      <c r="H4789" t="s">
        <v>15</v>
      </c>
      <c r="I4789">
        <v>2.9</v>
      </c>
      <c r="J4789">
        <v>10</v>
      </c>
      <c r="K4789">
        <v>5</v>
      </c>
    </row>
    <row r="4790" spans="1:11" x14ac:dyDescent="0.35">
      <c r="A4790">
        <v>4789</v>
      </c>
      <c r="B4790">
        <v>58</v>
      </c>
      <c r="C4790" t="s">
        <v>16</v>
      </c>
      <c r="D4790" t="s">
        <v>27</v>
      </c>
      <c r="E4790" t="s">
        <v>53</v>
      </c>
      <c r="F4790">
        <v>1498.26</v>
      </c>
      <c r="G4790" t="s">
        <v>19</v>
      </c>
      <c r="H4790" t="s">
        <v>15</v>
      </c>
      <c r="I4790">
        <v>4.2</v>
      </c>
      <c r="J4790">
        <v>8</v>
      </c>
      <c r="K4790">
        <v>4</v>
      </c>
    </row>
    <row r="4791" spans="1:11" x14ac:dyDescent="0.35">
      <c r="A4791">
        <v>4790</v>
      </c>
      <c r="B4791">
        <v>68</v>
      </c>
      <c r="C4791" t="s">
        <v>11</v>
      </c>
      <c r="D4791" t="s">
        <v>12</v>
      </c>
      <c r="E4791" t="s">
        <v>50</v>
      </c>
      <c r="F4791">
        <v>124.8</v>
      </c>
      <c r="G4791" t="s">
        <v>19</v>
      </c>
      <c r="H4791" t="s">
        <v>15</v>
      </c>
      <c r="I4791">
        <v>4.0999999999999996</v>
      </c>
      <c r="J4791">
        <v>11</v>
      </c>
      <c r="K4791">
        <v>3</v>
      </c>
    </row>
    <row r="4792" spans="1:11" x14ac:dyDescent="0.35">
      <c r="A4792">
        <v>4791</v>
      </c>
      <c r="B4792">
        <v>57</v>
      </c>
      <c r="C4792" t="s">
        <v>16</v>
      </c>
      <c r="D4792" t="s">
        <v>25</v>
      </c>
      <c r="E4792" t="s">
        <v>57</v>
      </c>
      <c r="F4792">
        <v>45.07</v>
      </c>
      <c r="G4792" t="s">
        <v>14</v>
      </c>
      <c r="H4792" t="s">
        <v>37</v>
      </c>
      <c r="I4792">
        <v>4.5</v>
      </c>
      <c r="J4792">
        <v>9</v>
      </c>
      <c r="K4792">
        <v>2</v>
      </c>
    </row>
    <row r="4793" spans="1:11" x14ac:dyDescent="0.35">
      <c r="A4793">
        <v>4792</v>
      </c>
      <c r="B4793">
        <v>66</v>
      </c>
      <c r="C4793" t="s">
        <v>11</v>
      </c>
      <c r="D4793" t="s">
        <v>41</v>
      </c>
      <c r="E4793" t="s">
        <v>46</v>
      </c>
      <c r="F4793">
        <v>121.66</v>
      </c>
      <c r="G4793" t="s">
        <v>24</v>
      </c>
      <c r="H4793" t="s">
        <v>15</v>
      </c>
      <c r="I4793">
        <v>3.9</v>
      </c>
      <c r="J4793">
        <v>24</v>
      </c>
      <c r="K4793">
        <v>7</v>
      </c>
    </row>
    <row r="4794" spans="1:11" x14ac:dyDescent="0.35">
      <c r="A4794">
        <v>4793</v>
      </c>
      <c r="B4794">
        <v>55</v>
      </c>
      <c r="C4794" t="s">
        <v>16</v>
      </c>
      <c r="D4794" t="s">
        <v>17</v>
      </c>
      <c r="E4794" t="s">
        <v>18</v>
      </c>
      <c r="F4794">
        <v>63.17</v>
      </c>
      <c r="G4794" t="s">
        <v>24</v>
      </c>
      <c r="H4794" t="s">
        <v>37</v>
      </c>
      <c r="I4794">
        <v>2.9</v>
      </c>
      <c r="J4794">
        <v>12</v>
      </c>
      <c r="K4794">
        <v>6</v>
      </c>
    </row>
    <row r="4795" spans="1:11" x14ac:dyDescent="0.35">
      <c r="A4795">
        <v>4794</v>
      </c>
      <c r="B4795">
        <v>37</v>
      </c>
      <c r="C4795" t="s">
        <v>16</v>
      </c>
      <c r="D4795" t="s">
        <v>17</v>
      </c>
      <c r="E4795" t="s">
        <v>48</v>
      </c>
      <c r="F4795">
        <v>34.630000000000003</v>
      </c>
      <c r="G4795" t="s">
        <v>31</v>
      </c>
      <c r="H4795" t="s">
        <v>37</v>
      </c>
      <c r="I4795">
        <v>2.9</v>
      </c>
      <c r="J4795">
        <v>10</v>
      </c>
      <c r="K4795">
        <v>0</v>
      </c>
    </row>
    <row r="4796" spans="1:11" x14ac:dyDescent="0.35">
      <c r="A4796">
        <v>4795</v>
      </c>
      <c r="B4796">
        <v>24</v>
      </c>
      <c r="C4796" t="s">
        <v>11</v>
      </c>
      <c r="D4796" t="s">
        <v>41</v>
      </c>
      <c r="E4796" t="s">
        <v>45</v>
      </c>
      <c r="F4796">
        <v>59.95</v>
      </c>
      <c r="G4796" t="s">
        <v>24</v>
      </c>
      <c r="H4796" t="s">
        <v>15</v>
      </c>
      <c r="I4796">
        <v>3.3</v>
      </c>
      <c r="J4796">
        <v>14</v>
      </c>
      <c r="K4796">
        <v>2</v>
      </c>
    </row>
    <row r="4797" spans="1:11" x14ac:dyDescent="0.35">
      <c r="A4797">
        <v>4796</v>
      </c>
      <c r="B4797">
        <v>65</v>
      </c>
      <c r="C4797" t="s">
        <v>11</v>
      </c>
      <c r="D4797" t="s">
        <v>12</v>
      </c>
      <c r="E4797" t="s">
        <v>56</v>
      </c>
      <c r="F4797">
        <v>177.54</v>
      </c>
      <c r="G4797" t="s">
        <v>24</v>
      </c>
      <c r="H4797" t="s">
        <v>15</v>
      </c>
      <c r="I4797">
        <v>2.8</v>
      </c>
      <c r="J4797">
        <v>18</v>
      </c>
      <c r="K4797">
        <v>4</v>
      </c>
    </row>
    <row r="4798" spans="1:11" x14ac:dyDescent="0.35">
      <c r="A4798">
        <v>4797</v>
      </c>
      <c r="B4798">
        <v>66</v>
      </c>
      <c r="C4798" t="s">
        <v>16</v>
      </c>
      <c r="D4798" t="s">
        <v>20</v>
      </c>
      <c r="E4798" t="s">
        <v>36</v>
      </c>
      <c r="F4798">
        <v>97.98</v>
      </c>
      <c r="G4798" t="s">
        <v>14</v>
      </c>
      <c r="H4798" t="s">
        <v>37</v>
      </c>
      <c r="I4798">
        <v>3.3</v>
      </c>
      <c r="J4798">
        <v>18</v>
      </c>
      <c r="K4798">
        <v>9</v>
      </c>
    </row>
    <row r="4799" spans="1:11" x14ac:dyDescent="0.35">
      <c r="A4799">
        <v>4798</v>
      </c>
      <c r="B4799">
        <v>56</v>
      </c>
      <c r="C4799" t="s">
        <v>11</v>
      </c>
      <c r="D4799" t="s">
        <v>12</v>
      </c>
      <c r="E4799" t="s">
        <v>56</v>
      </c>
      <c r="F4799">
        <v>62.19</v>
      </c>
      <c r="G4799" t="s">
        <v>24</v>
      </c>
      <c r="H4799" t="s">
        <v>37</v>
      </c>
      <c r="I4799">
        <v>4.4000000000000004</v>
      </c>
      <c r="J4799">
        <v>7</v>
      </c>
      <c r="K4799">
        <v>1</v>
      </c>
    </row>
    <row r="4800" spans="1:11" x14ac:dyDescent="0.35">
      <c r="A4800">
        <v>4799</v>
      </c>
      <c r="B4800">
        <v>65</v>
      </c>
      <c r="C4800" t="s">
        <v>11</v>
      </c>
      <c r="D4800" t="s">
        <v>20</v>
      </c>
      <c r="E4800" t="s">
        <v>21</v>
      </c>
      <c r="F4800">
        <v>36.71</v>
      </c>
      <c r="G4800" t="s">
        <v>14</v>
      </c>
      <c r="H4800" t="s">
        <v>37</v>
      </c>
      <c r="I4800">
        <v>3.5</v>
      </c>
      <c r="J4800">
        <v>23</v>
      </c>
      <c r="K4800">
        <v>9</v>
      </c>
    </row>
    <row r="4801" spans="1:11" x14ac:dyDescent="0.35">
      <c r="A4801">
        <v>4800</v>
      </c>
      <c r="B4801">
        <v>50</v>
      </c>
      <c r="C4801" t="s">
        <v>11</v>
      </c>
      <c r="D4801" t="s">
        <v>20</v>
      </c>
      <c r="E4801" t="s">
        <v>36</v>
      </c>
      <c r="F4801">
        <v>34.659999999999997</v>
      </c>
      <c r="G4801" t="s">
        <v>31</v>
      </c>
      <c r="H4801" t="s">
        <v>15</v>
      </c>
      <c r="I4801">
        <v>2.8</v>
      </c>
      <c r="J4801">
        <v>12</v>
      </c>
      <c r="K4801">
        <v>6</v>
      </c>
    </row>
    <row r="4802" spans="1:11" x14ac:dyDescent="0.35">
      <c r="A4802">
        <v>4801</v>
      </c>
      <c r="B4802">
        <v>22</v>
      </c>
      <c r="C4802" t="s">
        <v>11</v>
      </c>
      <c r="D4802" t="s">
        <v>20</v>
      </c>
      <c r="E4802" t="s">
        <v>36</v>
      </c>
      <c r="F4802">
        <v>136.51</v>
      </c>
      <c r="G4802" t="s">
        <v>19</v>
      </c>
      <c r="H4802" t="s">
        <v>15</v>
      </c>
      <c r="I4802">
        <v>4.5</v>
      </c>
      <c r="J4802">
        <v>22</v>
      </c>
      <c r="K4802">
        <v>6</v>
      </c>
    </row>
    <row r="4803" spans="1:11" x14ac:dyDescent="0.35">
      <c r="A4803">
        <v>4802</v>
      </c>
      <c r="B4803">
        <v>67</v>
      </c>
      <c r="C4803" t="s">
        <v>11</v>
      </c>
      <c r="D4803" t="s">
        <v>41</v>
      </c>
      <c r="E4803" t="s">
        <v>46</v>
      </c>
      <c r="F4803">
        <v>81.05</v>
      </c>
      <c r="G4803" t="s">
        <v>19</v>
      </c>
      <c r="H4803" t="s">
        <v>37</v>
      </c>
      <c r="I4803">
        <v>4.5999999999999996</v>
      </c>
      <c r="J4803">
        <v>14</v>
      </c>
      <c r="K4803">
        <v>7</v>
      </c>
    </row>
    <row r="4804" spans="1:11" x14ac:dyDescent="0.35">
      <c r="A4804">
        <v>4803</v>
      </c>
      <c r="B4804">
        <v>44</v>
      </c>
      <c r="C4804" t="s">
        <v>11</v>
      </c>
      <c r="D4804" t="s">
        <v>20</v>
      </c>
      <c r="E4804" t="s">
        <v>36</v>
      </c>
      <c r="F4804">
        <v>49.34</v>
      </c>
      <c r="G4804" t="s">
        <v>31</v>
      </c>
      <c r="H4804" t="s">
        <v>37</v>
      </c>
      <c r="I4804">
        <v>3.3</v>
      </c>
      <c r="J4804">
        <v>7</v>
      </c>
      <c r="K4804">
        <v>1</v>
      </c>
    </row>
    <row r="4805" spans="1:11" x14ac:dyDescent="0.35">
      <c r="A4805">
        <v>4804</v>
      </c>
      <c r="B4805">
        <v>31</v>
      </c>
      <c r="C4805" t="s">
        <v>16</v>
      </c>
      <c r="D4805" t="s">
        <v>20</v>
      </c>
      <c r="E4805" t="s">
        <v>36</v>
      </c>
      <c r="F4805">
        <v>83.98</v>
      </c>
      <c r="G4805" t="s">
        <v>24</v>
      </c>
      <c r="H4805" t="s">
        <v>37</v>
      </c>
      <c r="I4805">
        <v>4.0999999999999996</v>
      </c>
      <c r="J4805">
        <v>26</v>
      </c>
      <c r="K4805">
        <v>8</v>
      </c>
    </row>
    <row r="4806" spans="1:11" x14ac:dyDescent="0.35">
      <c r="A4806">
        <v>4805</v>
      </c>
      <c r="B4806">
        <v>46</v>
      </c>
      <c r="C4806" t="s">
        <v>11</v>
      </c>
      <c r="D4806" t="s">
        <v>41</v>
      </c>
      <c r="E4806" t="s">
        <v>42</v>
      </c>
      <c r="F4806">
        <v>48.2</v>
      </c>
      <c r="G4806" t="s">
        <v>19</v>
      </c>
      <c r="H4806" t="s">
        <v>37</v>
      </c>
      <c r="I4806">
        <v>4.0999999999999996</v>
      </c>
      <c r="J4806">
        <v>12</v>
      </c>
      <c r="K4806">
        <v>6</v>
      </c>
    </row>
    <row r="4807" spans="1:11" x14ac:dyDescent="0.35">
      <c r="A4807">
        <v>4806</v>
      </c>
      <c r="B4807">
        <v>57</v>
      </c>
      <c r="C4807" t="s">
        <v>11</v>
      </c>
      <c r="D4807" t="s">
        <v>25</v>
      </c>
      <c r="E4807" t="s">
        <v>47</v>
      </c>
      <c r="F4807">
        <v>44.59</v>
      </c>
      <c r="G4807" t="s">
        <v>19</v>
      </c>
      <c r="H4807" t="s">
        <v>37</v>
      </c>
      <c r="I4807">
        <v>4.5</v>
      </c>
      <c r="J4807">
        <v>12</v>
      </c>
      <c r="K4807">
        <v>6</v>
      </c>
    </row>
    <row r="4808" spans="1:11" x14ac:dyDescent="0.35">
      <c r="A4808">
        <v>4807</v>
      </c>
      <c r="B4808">
        <v>35</v>
      </c>
      <c r="C4808" t="s">
        <v>11</v>
      </c>
      <c r="D4808" t="s">
        <v>12</v>
      </c>
      <c r="E4808" t="s">
        <v>50</v>
      </c>
      <c r="F4808">
        <v>99.42</v>
      </c>
      <c r="G4808" t="s">
        <v>19</v>
      </c>
      <c r="H4808" t="s">
        <v>15</v>
      </c>
      <c r="I4808">
        <v>4.3</v>
      </c>
      <c r="J4808">
        <v>8</v>
      </c>
      <c r="K4808">
        <v>4</v>
      </c>
    </row>
    <row r="4809" spans="1:11" x14ac:dyDescent="0.35">
      <c r="A4809">
        <v>4808</v>
      </c>
      <c r="B4809">
        <v>47</v>
      </c>
      <c r="C4809" t="s">
        <v>16</v>
      </c>
      <c r="D4809" t="s">
        <v>17</v>
      </c>
      <c r="E4809" t="s">
        <v>35</v>
      </c>
      <c r="F4809">
        <v>149.88999999999999</v>
      </c>
      <c r="G4809" t="s">
        <v>19</v>
      </c>
      <c r="H4809" t="s">
        <v>15</v>
      </c>
      <c r="I4809">
        <v>3.7</v>
      </c>
      <c r="J4809">
        <v>8</v>
      </c>
      <c r="K4809">
        <v>4</v>
      </c>
    </row>
    <row r="4810" spans="1:11" x14ac:dyDescent="0.35">
      <c r="A4810">
        <v>4809</v>
      </c>
      <c r="B4810">
        <v>51</v>
      </c>
      <c r="C4810" t="s">
        <v>16</v>
      </c>
      <c r="D4810" t="s">
        <v>20</v>
      </c>
      <c r="E4810" t="s">
        <v>21</v>
      </c>
      <c r="F4810">
        <v>223.89</v>
      </c>
      <c r="G4810" t="s">
        <v>24</v>
      </c>
      <c r="H4810" t="s">
        <v>15</v>
      </c>
      <c r="I4810">
        <v>3.3</v>
      </c>
      <c r="J4810">
        <v>15</v>
      </c>
      <c r="K4810">
        <v>5</v>
      </c>
    </row>
    <row r="4811" spans="1:11" x14ac:dyDescent="0.35">
      <c r="A4811">
        <v>4810</v>
      </c>
      <c r="B4811">
        <v>43</v>
      </c>
      <c r="C4811" t="s">
        <v>11</v>
      </c>
      <c r="D4811" t="s">
        <v>41</v>
      </c>
      <c r="E4811" t="s">
        <v>44</v>
      </c>
      <c r="F4811">
        <v>163.6</v>
      </c>
      <c r="G4811" t="s">
        <v>31</v>
      </c>
      <c r="H4811" t="s">
        <v>15</v>
      </c>
      <c r="I4811">
        <v>2.6</v>
      </c>
      <c r="J4811">
        <v>15</v>
      </c>
      <c r="K4811">
        <v>5</v>
      </c>
    </row>
    <row r="4812" spans="1:11" x14ac:dyDescent="0.35">
      <c r="A4812">
        <v>4811</v>
      </c>
      <c r="B4812">
        <v>27</v>
      </c>
      <c r="C4812" t="s">
        <v>16</v>
      </c>
      <c r="D4812" t="s">
        <v>25</v>
      </c>
      <c r="E4812" t="s">
        <v>57</v>
      </c>
      <c r="F4812">
        <v>54.58</v>
      </c>
      <c r="G4812" t="s">
        <v>14</v>
      </c>
      <c r="H4812" t="s">
        <v>15</v>
      </c>
      <c r="I4812">
        <v>3.1</v>
      </c>
      <c r="J4812">
        <v>10</v>
      </c>
      <c r="K4812">
        <v>5</v>
      </c>
    </row>
    <row r="4813" spans="1:11" x14ac:dyDescent="0.35">
      <c r="A4813">
        <v>4812</v>
      </c>
      <c r="B4813">
        <v>34</v>
      </c>
      <c r="C4813" t="s">
        <v>16</v>
      </c>
      <c r="D4813" t="s">
        <v>33</v>
      </c>
      <c r="E4813" t="s">
        <v>40</v>
      </c>
      <c r="F4813">
        <v>107.13</v>
      </c>
      <c r="G4813" t="s">
        <v>24</v>
      </c>
      <c r="H4813" t="s">
        <v>15</v>
      </c>
      <c r="I4813">
        <v>3.4</v>
      </c>
      <c r="J4813">
        <v>26</v>
      </c>
      <c r="K4813">
        <v>8</v>
      </c>
    </row>
    <row r="4814" spans="1:11" x14ac:dyDescent="0.35">
      <c r="A4814">
        <v>4813</v>
      </c>
      <c r="B4814">
        <v>55</v>
      </c>
      <c r="C4814" t="s">
        <v>11</v>
      </c>
      <c r="D4814" t="s">
        <v>33</v>
      </c>
      <c r="E4814" t="s">
        <v>38</v>
      </c>
      <c r="F4814">
        <v>105.16</v>
      </c>
      <c r="G4814" t="s">
        <v>31</v>
      </c>
      <c r="H4814" t="s">
        <v>15</v>
      </c>
      <c r="I4814">
        <v>3.9</v>
      </c>
      <c r="J4814">
        <v>20</v>
      </c>
      <c r="K4814">
        <v>5</v>
      </c>
    </row>
    <row r="4815" spans="1:11" x14ac:dyDescent="0.35">
      <c r="A4815">
        <v>4814</v>
      </c>
      <c r="B4815">
        <v>30</v>
      </c>
      <c r="C4815" t="s">
        <v>16</v>
      </c>
      <c r="D4815" t="s">
        <v>27</v>
      </c>
      <c r="E4815" t="s">
        <v>32</v>
      </c>
      <c r="F4815">
        <v>1843.94</v>
      </c>
      <c r="G4815" t="s">
        <v>14</v>
      </c>
      <c r="H4815" t="s">
        <v>15</v>
      </c>
      <c r="I4815">
        <v>3.5</v>
      </c>
      <c r="J4815">
        <v>9</v>
      </c>
      <c r="K4815">
        <v>2</v>
      </c>
    </row>
    <row r="4816" spans="1:11" x14ac:dyDescent="0.35">
      <c r="A4816">
        <v>4815</v>
      </c>
      <c r="B4816">
        <v>58</v>
      </c>
      <c r="C4816" t="s">
        <v>16</v>
      </c>
      <c r="D4816" t="s">
        <v>33</v>
      </c>
      <c r="E4816" t="s">
        <v>38</v>
      </c>
      <c r="F4816">
        <v>64.59</v>
      </c>
      <c r="G4816" t="s">
        <v>24</v>
      </c>
      <c r="H4816" t="s">
        <v>15</v>
      </c>
      <c r="I4816">
        <v>4.0999999999999996</v>
      </c>
      <c r="J4816">
        <v>19</v>
      </c>
      <c r="K4816">
        <v>7</v>
      </c>
    </row>
    <row r="4817" spans="1:11" x14ac:dyDescent="0.35">
      <c r="A4817">
        <v>4816</v>
      </c>
      <c r="B4817">
        <v>67</v>
      </c>
      <c r="C4817" t="s">
        <v>16</v>
      </c>
      <c r="D4817" t="s">
        <v>27</v>
      </c>
      <c r="E4817" t="s">
        <v>28</v>
      </c>
      <c r="F4817">
        <v>2035.13</v>
      </c>
      <c r="G4817" t="s">
        <v>19</v>
      </c>
      <c r="H4817" t="s">
        <v>15</v>
      </c>
      <c r="I4817">
        <v>3.7</v>
      </c>
      <c r="J4817">
        <v>13</v>
      </c>
      <c r="K4817">
        <v>4</v>
      </c>
    </row>
    <row r="4818" spans="1:11" x14ac:dyDescent="0.35">
      <c r="A4818">
        <v>4817</v>
      </c>
      <c r="B4818">
        <v>26</v>
      </c>
      <c r="C4818" t="s">
        <v>16</v>
      </c>
      <c r="D4818" t="s">
        <v>25</v>
      </c>
      <c r="E4818" t="s">
        <v>47</v>
      </c>
      <c r="F4818">
        <v>42.57</v>
      </c>
      <c r="G4818" t="s">
        <v>14</v>
      </c>
      <c r="H4818" t="s">
        <v>15</v>
      </c>
      <c r="I4818">
        <v>4.0999999999999996</v>
      </c>
      <c r="J4818">
        <v>9</v>
      </c>
      <c r="K4818">
        <v>2</v>
      </c>
    </row>
    <row r="4819" spans="1:11" x14ac:dyDescent="0.35">
      <c r="A4819">
        <v>4818</v>
      </c>
      <c r="B4819">
        <v>31</v>
      </c>
      <c r="C4819" t="s">
        <v>16</v>
      </c>
      <c r="D4819" t="s">
        <v>27</v>
      </c>
      <c r="E4819" t="s">
        <v>28</v>
      </c>
      <c r="F4819">
        <v>2124.87</v>
      </c>
      <c r="G4819" t="s">
        <v>24</v>
      </c>
      <c r="H4819" t="s">
        <v>15</v>
      </c>
      <c r="I4819">
        <v>3.4</v>
      </c>
      <c r="J4819">
        <v>13</v>
      </c>
      <c r="K4819">
        <v>4</v>
      </c>
    </row>
    <row r="4820" spans="1:11" x14ac:dyDescent="0.35">
      <c r="A4820">
        <v>4819</v>
      </c>
      <c r="B4820">
        <v>58</v>
      </c>
      <c r="C4820" t="s">
        <v>16</v>
      </c>
      <c r="D4820" t="s">
        <v>27</v>
      </c>
      <c r="E4820" t="s">
        <v>32</v>
      </c>
      <c r="F4820">
        <v>1687.48</v>
      </c>
      <c r="G4820" t="s">
        <v>31</v>
      </c>
      <c r="H4820" t="s">
        <v>15</v>
      </c>
      <c r="I4820">
        <v>3.8</v>
      </c>
      <c r="J4820">
        <v>13</v>
      </c>
      <c r="K4820">
        <v>4</v>
      </c>
    </row>
    <row r="4821" spans="1:11" x14ac:dyDescent="0.35">
      <c r="A4821">
        <v>4820</v>
      </c>
      <c r="B4821">
        <v>38</v>
      </c>
      <c r="C4821" t="s">
        <v>16</v>
      </c>
      <c r="D4821" t="s">
        <v>27</v>
      </c>
      <c r="E4821" t="s">
        <v>28</v>
      </c>
      <c r="F4821">
        <v>1951.27</v>
      </c>
      <c r="G4821" t="s">
        <v>14</v>
      </c>
      <c r="H4821" t="s">
        <v>15</v>
      </c>
      <c r="I4821">
        <v>4.5999999999999996</v>
      </c>
      <c r="J4821">
        <v>6</v>
      </c>
      <c r="K4821">
        <v>3</v>
      </c>
    </row>
    <row r="4822" spans="1:11" x14ac:dyDescent="0.35">
      <c r="A4822">
        <v>4821</v>
      </c>
      <c r="B4822">
        <v>37</v>
      </c>
      <c r="C4822" t="s">
        <v>16</v>
      </c>
      <c r="D4822" t="s">
        <v>17</v>
      </c>
      <c r="E4822" t="s">
        <v>42</v>
      </c>
      <c r="F4822">
        <v>159.61000000000001</v>
      </c>
      <c r="G4822" t="s">
        <v>19</v>
      </c>
      <c r="H4822" t="s">
        <v>15</v>
      </c>
      <c r="I4822">
        <v>3.7</v>
      </c>
      <c r="J4822">
        <v>20</v>
      </c>
      <c r="K4822">
        <v>5</v>
      </c>
    </row>
    <row r="4823" spans="1:11" x14ac:dyDescent="0.35">
      <c r="A4823">
        <v>4822</v>
      </c>
      <c r="B4823">
        <v>28</v>
      </c>
      <c r="C4823" t="s">
        <v>16</v>
      </c>
      <c r="D4823" t="s">
        <v>20</v>
      </c>
      <c r="E4823" t="s">
        <v>21</v>
      </c>
      <c r="F4823">
        <v>178.42</v>
      </c>
      <c r="G4823" t="s">
        <v>19</v>
      </c>
      <c r="H4823" t="s">
        <v>15</v>
      </c>
      <c r="I4823">
        <v>4.0999999999999996</v>
      </c>
      <c r="J4823">
        <v>22</v>
      </c>
      <c r="K4823">
        <v>6</v>
      </c>
    </row>
    <row r="4824" spans="1:11" x14ac:dyDescent="0.35">
      <c r="A4824">
        <v>4823</v>
      </c>
      <c r="B4824">
        <v>48</v>
      </c>
      <c r="C4824" t="s">
        <v>16</v>
      </c>
      <c r="D4824" t="s">
        <v>33</v>
      </c>
      <c r="E4824" t="s">
        <v>38</v>
      </c>
      <c r="F4824">
        <v>92.46</v>
      </c>
      <c r="G4824" t="s">
        <v>19</v>
      </c>
      <c r="H4824" t="s">
        <v>15</v>
      </c>
      <c r="I4824">
        <v>3.3</v>
      </c>
      <c r="J4824">
        <v>14</v>
      </c>
      <c r="K4824">
        <v>7</v>
      </c>
    </row>
    <row r="4825" spans="1:11" x14ac:dyDescent="0.35">
      <c r="A4825">
        <v>4824</v>
      </c>
      <c r="B4825">
        <v>36</v>
      </c>
      <c r="C4825" t="s">
        <v>11</v>
      </c>
      <c r="D4825" t="s">
        <v>12</v>
      </c>
      <c r="E4825" t="s">
        <v>56</v>
      </c>
      <c r="F4825">
        <v>35.9</v>
      </c>
      <c r="G4825" t="s">
        <v>19</v>
      </c>
      <c r="H4825" t="s">
        <v>37</v>
      </c>
      <c r="I4825">
        <v>4.2</v>
      </c>
      <c r="J4825">
        <v>11</v>
      </c>
      <c r="K4825">
        <v>3</v>
      </c>
    </row>
    <row r="4826" spans="1:11" x14ac:dyDescent="0.35">
      <c r="A4826">
        <v>4825</v>
      </c>
      <c r="B4826">
        <v>57</v>
      </c>
      <c r="C4826" t="s">
        <v>16</v>
      </c>
      <c r="D4826" t="s">
        <v>20</v>
      </c>
      <c r="E4826" t="s">
        <v>39</v>
      </c>
      <c r="F4826">
        <v>235.27</v>
      </c>
      <c r="G4826" t="s">
        <v>24</v>
      </c>
      <c r="H4826" t="s">
        <v>15</v>
      </c>
      <c r="I4826">
        <v>3.9</v>
      </c>
      <c r="J4826">
        <v>18</v>
      </c>
      <c r="K4826">
        <v>4</v>
      </c>
    </row>
    <row r="4827" spans="1:11" x14ac:dyDescent="0.35">
      <c r="A4827">
        <v>4826</v>
      </c>
      <c r="B4827">
        <v>42</v>
      </c>
      <c r="C4827" t="s">
        <v>16</v>
      </c>
      <c r="D4827" t="s">
        <v>25</v>
      </c>
      <c r="E4827" t="s">
        <v>54</v>
      </c>
      <c r="F4827">
        <v>76.87</v>
      </c>
      <c r="G4827" t="s">
        <v>14</v>
      </c>
      <c r="H4827" t="s">
        <v>37</v>
      </c>
      <c r="I4827">
        <v>4.5</v>
      </c>
      <c r="J4827">
        <v>9</v>
      </c>
      <c r="K4827">
        <v>2</v>
      </c>
    </row>
    <row r="4828" spans="1:11" x14ac:dyDescent="0.35">
      <c r="A4828">
        <v>4827</v>
      </c>
      <c r="B4828">
        <v>47</v>
      </c>
      <c r="C4828" t="s">
        <v>16</v>
      </c>
      <c r="D4828" t="s">
        <v>27</v>
      </c>
      <c r="E4828" t="s">
        <v>32</v>
      </c>
      <c r="F4828">
        <v>692.45</v>
      </c>
      <c r="G4828" t="s">
        <v>31</v>
      </c>
      <c r="H4828" t="s">
        <v>15</v>
      </c>
      <c r="I4828">
        <v>4.3</v>
      </c>
      <c r="J4828">
        <v>9</v>
      </c>
      <c r="K4828">
        <v>2</v>
      </c>
    </row>
    <row r="4829" spans="1:11" x14ac:dyDescent="0.35">
      <c r="A4829">
        <v>4828</v>
      </c>
      <c r="B4829">
        <v>56</v>
      </c>
      <c r="C4829" t="s">
        <v>11</v>
      </c>
      <c r="D4829" t="s">
        <v>41</v>
      </c>
      <c r="E4829" t="s">
        <v>42</v>
      </c>
      <c r="F4829">
        <v>128.72999999999999</v>
      </c>
      <c r="G4829" t="s">
        <v>31</v>
      </c>
      <c r="H4829" t="s">
        <v>15</v>
      </c>
      <c r="I4829">
        <v>4.9000000000000004</v>
      </c>
      <c r="J4829">
        <v>12</v>
      </c>
      <c r="K4829">
        <v>6</v>
      </c>
    </row>
    <row r="4830" spans="1:11" x14ac:dyDescent="0.35">
      <c r="A4830">
        <v>4829</v>
      </c>
      <c r="B4830">
        <v>30</v>
      </c>
      <c r="C4830" t="s">
        <v>11</v>
      </c>
      <c r="D4830" t="s">
        <v>29</v>
      </c>
      <c r="E4830" t="s">
        <v>55</v>
      </c>
      <c r="F4830">
        <v>97.03</v>
      </c>
      <c r="G4830" t="s">
        <v>24</v>
      </c>
      <c r="H4830" t="s">
        <v>37</v>
      </c>
      <c r="I4830">
        <v>4.0999999999999996</v>
      </c>
      <c r="J4830">
        <v>19</v>
      </c>
      <c r="K4830">
        <v>7</v>
      </c>
    </row>
    <row r="4831" spans="1:11" x14ac:dyDescent="0.35">
      <c r="A4831">
        <v>4830</v>
      </c>
      <c r="B4831">
        <v>24</v>
      </c>
      <c r="C4831" t="s">
        <v>11</v>
      </c>
      <c r="D4831" t="s">
        <v>12</v>
      </c>
      <c r="E4831" t="s">
        <v>56</v>
      </c>
      <c r="F4831">
        <v>156.83000000000001</v>
      </c>
      <c r="G4831" t="s">
        <v>31</v>
      </c>
      <c r="H4831" t="s">
        <v>15</v>
      </c>
      <c r="I4831">
        <v>2.8</v>
      </c>
      <c r="J4831">
        <v>8</v>
      </c>
      <c r="K4831">
        <v>4</v>
      </c>
    </row>
    <row r="4832" spans="1:11" x14ac:dyDescent="0.35">
      <c r="A4832">
        <v>4831</v>
      </c>
      <c r="B4832">
        <v>35</v>
      </c>
      <c r="C4832" t="s">
        <v>11</v>
      </c>
      <c r="D4832" t="s">
        <v>33</v>
      </c>
      <c r="E4832" t="s">
        <v>34</v>
      </c>
      <c r="F4832">
        <v>233.18</v>
      </c>
      <c r="G4832" t="s">
        <v>19</v>
      </c>
      <c r="H4832" t="s">
        <v>15</v>
      </c>
      <c r="I4832">
        <v>3.1</v>
      </c>
      <c r="J4832">
        <v>11</v>
      </c>
      <c r="K4832">
        <v>3</v>
      </c>
    </row>
    <row r="4833" spans="1:11" x14ac:dyDescent="0.35">
      <c r="A4833">
        <v>4832</v>
      </c>
      <c r="B4833">
        <v>52</v>
      </c>
      <c r="C4833" t="s">
        <v>11</v>
      </c>
      <c r="D4833" t="s">
        <v>20</v>
      </c>
      <c r="E4833" t="s">
        <v>36</v>
      </c>
      <c r="F4833">
        <v>65.760000000000005</v>
      </c>
      <c r="G4833" t="s">
        <v>24</v>
      </c>
      <c r="H4833" t="s">
        <v>37</v>
      </c>
      <c r="I4833">
        <v>3.5</v>
      </c>
      <c r="J4833">
        <v>32</v>
      </c>
      <c r="K4833">
        <v>11</v>
      </c>
    </row>
    <row r="4834" spans="1:11" x14ac:dyDescent="0.35">
      <c r="A4834">
        <v>4833</v>
      </c>
      <c r="B4834">
        <v>55</v>
      </c>
      <c r="C4834" t="s">
        <v>16</v>
      </c>
      <c r="D4834" t="s">
        <v>20</v>
      </c>
      <c r="E4834" t="s">
        <v>21</v>
      </c>
      <c r="F4834">
        <v>245.22</v>
      </c>
      <c r="G4834" t="s">
        <v>31</v>
      </c>
      <c r="H4834" t="s">
        <v>15</v>
      </c>
      <c r="I4834">
        <v>5</v>
      </c>
      <c r="J4834">
        <v>22</v>
      </c>
      <c r="K4834">
        <v>11</v>
      </c>
    </row>
    <row r="4835" spans="1:11" x14ac:dyDescent="0.35">
      <c r="A4835">
        <v>4834</v>
      </c>
      <c r="B4835">
        <v>27</v>
      </c>
      <c r="C4835" t="s">
        <v>16</v>
      </c>
      <c r="D4835" t="s">
        <v>27</v>
      </c>
      <c r="E4835" t="s">
        <v>28</v>
      </c>
      <c r="F4835">
        <v>540.45000000000005</v>
      </c>
      <c r="G4835" t="s">
        <v>19</v>
      </c>
      <c r="H4835" t="s">
        <v>15</v>
      </c>
      <c r="I4835">
        <v>3.5</v>
      </c>
      <c r="J4835">
        <v>20</v>
      </c>
      <c r="K4835">
        <v>5</v>
      </c>
    </row>
    <row r="4836" spans="1:11" x14ac:dyDescent="0.35">
      <c r="A4836">
        <v>4835</v>
      </c>
      <c r="B4836">
        <v>50</v>
      </c>
      <c r="C4836" t="s">
        <v>11</v>
      </c>
      <c r="D4836" t="s">
        <v>29</v>
      </c>
      <c r="E4836" t="s">
        <v>55</v>
      </c>
      <c r="F4836">
        <v>55.69</v>
      </c>
      <c r="G4836" t="s">
        <v>14</v>
      </c>
      <c r="H4836" t="s">
        <v>15</v>
      </c>
      <c r="I4836">
        <v>3.7</v>
      </c>
      <c r="J4836">
        <v>11</v>
      </c>
      <c r="K4836">
        <v>3</v>
      </c>
    </row>
    <row r="4837" spans="1:11" x14ac:dyDescent="0.35">
      <c r="A4837">
        <v>4836</v>
      </c>
      <c r="B4837">
        <v>62</v>
      </c>
      <c r="C4837" t="s">
        <v>11</v>
      </c>
      <c r="D4837" t="s">
        <v>33</v>
      </c>
      <c r="E4837" t="s">
        <v>40</v>
      </c>
      <c r="F4837">
        <v>204.43</v>
      </c>
      <c r="G4837" t="s">
        <v>14</v>
      </c>
      <c r="H4837" t="s">
        <v>15</v>
      </c>
      <c r="I4837">
        <v>4.5</v>
      </c>
      <c r="J4837">
        <v>14</v>
      </c>
      <c r="K4837">
        <v>7</v>
      </c>
    </row>
    <row r="4838" spans="1:11" x14ac:dyDescent="0.35">
      <c r="A4838">
        <v>4837</v>
      </c>
      <c r="B4838">
        <v>64</v>
      </c>
      <c r="C4838" t="s">
        <v>16</v>
      </c>
      <c r="D4838" t="s">
        <v>17</v>
      </c>
      <c r="E4838" t="s">
        <v>48</v>
      </c>
      <c r="F4838">
        <v>187.34</v>
      </c>
      <c r="G4838" t="s">
        <v>19</v>
      </c>
      <c r="H4838" t="s">
        <v>15</v>
      </c>
      <c r="I4838">
        <v>3.8</v>
      </c>
      <c r="J4838">
        <v>16</v>
      </c>
      <c r="K4838">
        <v>3</v>
      </c>
    </row>
    <row r="4839" spans="1:11" x14ac:dyDescent="0.35">
      <c r="A4839">
        <v>4838</v>
      </c>
      <c r="B4839">
        <v>70</v>
      </c>
      <c r="C4839" t="s">
        <v>11</v>
      </c>
      <c r="D4839" t="s">
        <v>29</v>
      </c>
      <c r="E4839" t="s">
        <v>30</v>
      </c>
      <c r="F4839">
        <v>119.95</v>
      </c>
      <c r="G4839" t="s">
        <v>31</v>
      </c>
      <c r="H4839" t="s">
        <v>15</v>
      </c>
      <c r="I4839">
        <v>4.2</v>
      </c>
      <c r="J4839">
        <v>22</v>
      </c>
      <c r="K4839">
        <v>6</v>
      </c>
    </row>
    <row r="4840" spans="1:11" x14ac:dyDescent="0.35">
      <c r="A4840">
        <v>4839</v>
      </c>
      <c r="B4840">
        <v>38</v>
      </c>
      <c r="C4840" t="s">
        <v>16</v>
      </c>
      <c r="D4840" t="s">
        <v>17</v>
      </c>
      <c r="E4840" t="s">
        <v>35</v>
      </c>
      <c r="F4840">
        <v>90.72</v>
      </c>
      <c r="G4840" t="s">
        <v>14</v>
      </c>
      <c r="H4840" t="s">
        <v>37</v>
      </c>
      <c r="I4840">
        <v>4.4000000000000004</v>
      </c>
      <c r="J4840">
        <v>22</v>
      </c>
      <c r="K4840">
        <v>6</v>
      </c>
    </row>
    <row r="4841" spans="1:11" x14ac:dyDescent="0.35">
      <c r="A4841">
        <v>4840</v>
      </c>
      <c r="B4841">
        <v>24</v>
      </c>
      <c r="C4841" t="s">
        <v>11</v>
      </c>
      <c r="D4841" t="s">
        <v>25</v>
      </c>
      <c r="E4841" t="s">
        <v>54</v>
      </c>
      <c r="F4841">
        <v>42.23</v>
      </c>
      <c r="G4841" t="s">
        <v>19</v>
      </c>
      <c r="H4841" t="s">
        <v>37</v>
      </c>
      <c r="I4841">
        <v>3.8</v>
      </c>
      <c r="J4841">
        <v>20</v>
      </c>
      <c r="K4841">
        <v>5</v>
      </c>
    </row>
    <row r="4842" spans="1:11" x14ac:dyDescent="0.35">
      <c r="A4842">
        <v>4841</v>
      </c>
      <c r="B4842">
        <v>26</v>
      </c>
      <c r="C4842" t="s">
        <v>16</v>
      </c>
      <c r="D4842" t="s">
        <v>27</v>
      </c>
      <c r="E4842" t="s">
        <v>32</v>
      </c>
      <c r="F4842">
        <v>1499.25</v>
      </c>
      <c r="G4842" t="s">
        <v>19</v>
      </c>
      <c r="H4842" t="s">
        <v>15</v>
      </c>
      <c r="I4842">
        <v>3.3</v>
      </c>
      <c r="J4842">
        <v>15</v>
      </c>
      <c r="K4842">
        <v>5</v>
      </c>
    </row>
    <row r="4843" spans="1:11" x14ac:dyDescent="0.35">
      <c r="A4843">
        <v>4842</v>
      </c>
      <c r="B4843">
        <v>46</v>
      </c>
      <c r="C4843" t="s">
        <v>16</v>
      </c>
      <c r="D4843" t="s">
        <v>17</v>
      </c>
      <c r="E4843" t="s">
        <v>48</v>
      </c>
      <c r="F4843">
        <v>166.99</v>
      </c>
      <c r="G4843" t="s">
        <v>14</v>
      </c>
      <c r="H4843" t="s">
        <v>15</v>
      </c>
      <c r="I4843">
        <v>3.3</v>
      </c>
      <c r="J4843">
        <v>26</v>
      </c>
      <c r="K4843">
        <v>8</v>
      </c>
    </row>
    <row r="4844" spans="1:11" x14ac:dyDescent="0.35">
      <c r="A4844">
        <v>4843</v>
      </c>
      <c r="B4844">
        <v>36</v>
      </c>
      <c r="C4844" t="s">
        <v>16</v>
      </c>
      <c r="D4844" t="s">
        <v>33</v>
      </c>
      <c r="E4844" t="s">
        <v>34</v>
      </c>
      <c r="F4844">
        <v>205.73</v>
      </c>
      <c r="G4844" t="s">
        <v>31</v>
      </c>
      <c r="H4844" t="s">
        <v>15</v>
      </c>
      <c r="I4844">
        <v>4.5999999999999996</v>
      </c>
      <c r="J4844">
        <v>11</v>
      </c>
      <c r="K4844">
        <v>3</v>
      </c>
    </row>
    <row r="4845" spans="1:11" x14ac:dyDescent="0.35">
      <c r="A4845">
        <v>4844</v>
      </c>
      <c r="B4845">
        <v>36</v>
      </c>
      <c r="C4845" t="s">
        <v>11</v>
      </c>
      <c r="D4845" t="s">
        <v>22</v>
      </c>
      <c r="E4845" t="s">
        <v>43</v>
      </c>
      <c r="F4845">
        <v>279.89999999999998</v>
      </c>
      <c r="G4845" t="s">
        <v>14</v>
      </c>
      <c r="H4845" t="s">
        <v>15</v>
      </c>
      <c r="I4845">
        <v>4.4000000000000004</v>
      </c>
      <c r="J4845">
        <v>24</v>
      </c>
      <c r="K4845">
        <v>7</v>
      </c>
    </row>
    <row r="4846" spans="1:11" x14ac:dyDescent="0.35">
      <c r="A4846">
        <v>4845</v>
      </c>
      <c r="B4846">
        <v>65</v>
      </c>
      <c r="C4846" t="s">
        <v>16</v>
      </c>
      <c r="D4846" t="s">
        <v>27</v>
      </c>
      <c r="E4846" t="s">
        <v>32</v>
      </c>
      <c r="F4846">
        <v>1117.23</v>
      </c>
      <c r="G4846" t="s">
        <v>19</v>
      </c>
      <c r="H4846" t="s">
        <v>15</v>
      </c>
      <c r="I4846">
        <v>3.8</v>
      </c>
      <c r="J4846">
        <v>22</v>
      </c>
      <c r="K4846">
        <v>6</v>
      </c>
    </row>
    <row r="4847" spans="1:11" x14ac:dyDescent="0.35">
      <c r="A4847">
        <v>4846</v>
      </c>
      <c r="B4847">
        <v>51</v>
      </c>
      <c r="C4847" t="s">
        <v>11</v>
      </c>
      <c r="D4847" t="s">
        <v>41</v>
      </c>
      <c r="E4847" t="s">
        <v>46</v>
      </c>
      <c r="F4847">
        <v>75.540000000000006</v>
      </c>
      <c r="G4847" t="s">
        <v>31</v>
      </c>
      <c r="H4847" t="s">
        <v>15</v>
      </c>
      <c r="I4847">
        <v>4.2</v>
      </c>
      <c r="J4847">
        <v>11</v>
      </c>
      <c r="K4847">
        <v>3</v>
      </c>
    </row>
    <row r="4848" spans="1:11" x14ac:dyDescent="0.35">
      <c r="A4848">
        <v>4847</v>
      </c>
      <c r="B4848">
        <v>21</v>
      </c>
      <c r="C4848" t="s">
        <v>11</v>
      </c>
      <c r="D4848" t="s">
        <v>12</v>
      </c>
      <c r="E4848" t="s">
        <v>50</v>
      </c>
      <c r="F4848">
        <v>31.69</v>
      </c>
      <c r="G4848" t="s">
        <v>24</v>
      </c>
      <c r="H4848" t="s">
        <v>37</v>
      </c>
      <c r="I4848">
        <v>2.6</v>
      </c>
      <c r="J4848">
        <v>20</v>
      </c>
      <c r="K4848">
        <v>5</v>
      </c>
    </row>
    <row r="4849" spans="1:11" x14ac:dyDescent="0.35">
      <c r="A4849">
        <v>4848</v>
      </c>
      <c r="B4849">
        <v>48</v>
      </c>
      <c r="C4849" t="s">
        <v>11</v>
      </c>
      <c r="D4849" t="s">
        <v>29</v>
      </c>
      <c r="E4849" t="s">
        <v>55</v>
      </c>
      <c r="F4849">
        <v>125.13</v>
      </c>
      <c r="G4849" t="s">
        <v>31</v>
      </c>
      <c r="H4849" t="s">
        <v>15</v>
      </c>
      <c r="I4849">
        <v>3.6</v>
      </c>
      <c r="J4849">
        <v>18</v>
      </c>
      <c r="K4849">
        <v>4</v>
      </c>
    </row>
    <row r="4850" spans="1:11" x14ac:dyDescent="0.35">
      <c r="A4850">
        <v>4849</v>
      </c>
      <c r="B4850">
        <v>51</v>
      </c>
      <c r="C4850" t="s">
        <v>16</v>
      </c>
      <c r="D4850" t="s">
        <v>33</v>
      </c>
      <c r="E4850" t="s">
        <v>34</v>
      </c>
      <c r="F4850">
        <v>188.35</v>
      </c>
      <c r="G4850" t="s">
        <v>14</v>
      </c>
      <c r="H4850" t="s">
        <v>15</v>
      </c>
      <c r="I4850">
        <v>4.5999999999999996</v>
      </c>
      <c r="J4850">
        <v>16</v>
      </c>
      <c r="K4850">
        <v>8</v>
      </c>
    </row>
    <row r="4851" spans="1:11" x14ac:dyDescent="0.35">
      <c r="A4851">
        <v>4850</v>
      </c>
      <c r="B4851">
        <v>46</v>
      </c>
      <c r="C4851" t="s">
        <v>11</v>
      </c>
      <c r="D4851" t="s">
        <v>12</v>
      </c>
      <c r="E4851" t="s">
        <v>56</v>
      </c>
      <c r="F4851">
        <v>72.39</v>
      </c>
      <c r="G4851" t="s">
        <v>14</v>
      </c>
      <c r="H4851" t="s">
        <v>37</v>
      </c>
      <c r="I4851">
        <v>4.5999999999999996</v>
      </c>
      <c r="J4851">
        <v>16</v>
      </c>
      <c r="K4851">
        <v>3</v>
      </c>
    </row>
    <row r="4852" spans="1:11" x14ac:dyDescent="0.35">
      <c r="A4852">
        <v>4851</v>
      </c>
      <c r="B4852">
        <v>46</v>
      </c>
      <c r="C4852" t="s">
        <v>16</v>
      </c>
      <c r="D4852" t="s">
        <v>22</v>
      </c>
      <c r="E4852" t="s">
        <v>52</v>
      </c>
      <c r="F4852">
        <v>237.02</v>
      </c>
      <c r="G4852" t="s">
        <v>14</v>
      </c>
      <c r="H4852" t="s">
        <v>15</v>
      </c>
      <c r="I4852">
        <v>4.0999999999999996</v>
      </c>
      <c r="J4852">
        <v>12</v>
      </c>
      <c r="K4852">
        <v>6</v>
      </c>
    </row>
    <row r="4853" spans="1:11" x14ac:dyDescent="0.35">
      <c r="A4853">
        <v>4852</v>
      </c>
      <c r="B4853">
        <v>52</v>
      </c>
      <c r="C4853" t="s">
        <v>11</v>
      </c>
      <c r="D4853" t="s">
        <v>41</v>
      </c>
      <c r="E4853" t="s">
        <v>42</v>
      </c>
      <c r="F4853">
        <v>177.68</v>
      </c>
      <c r="G4853" t="s">
        <v>19</v>
      </c>
      <c r="H4853" t="s">
        <v>15</v>
      </c>
      <c r="I4853">
        <v>3.8</v>
      </c>
      <c r="J4853">
        <v>6</v>
      </c>
      <c r="K4853">
        <v>3</v>
      </c>
    </row>
    <row r="4854" spans="1:11" x14ac:dyDescent="0.35">
      <c r="A4854">
        <v>4853</v>
      </c>
      <c r="B4854">
        <v>67</v>
      </c>
      <c r="C4854" t="s">
        <v>16</v>
      </c>
      <c r="D4854" t="s">
        <v>27</v>
      </c>
      <c r="E4854" t="s">
        <v>49</v>
      </c>
      <c r="F4854">
        <v>1464.98</v>
      </c>
      <c r="G4854" t="s">
        <v>24</v>
      </c>
      <c r="H4854" t="s">
        <v>15</v>
      </c>
      <c r="I4854">
        <v>3.8</v>
      </c>
      <c r="J4854">
        <v>22</v>
      </c>
      <c r="K4854">
        <v>11</v>
      </c>
    </row>
    <row r="4855" spans="1:11" x14ac:dyDescent="0.35">
      <c r="A4855">
        <v>4854</v>
      </c>
      <c r="B4855">
        <v>36</v>
      </c>
      <c r="C4855" t="s">
        <v>16</v>
      </c>
      <c r="D4855" t="s">
        <v>33</v>
      </c>
      <c r="E4855" t="s">
        <v>34</v>
      </c>
      <c r="F4855">
        <v>236.57</v>
      </c>
      <c r="G4855" t="s">
        <v>14</v>
      </c>
      <c r="H4855" t="s">
        <v>15</v>
      </c>
      <c r="I4855">
        <v>3.2</v>
      </c>
      <c r="J4855">
        <v>22</v>
      </c>
      <c r="K4855">
        <v>6</v>
      </c>
    </row>
    <row r="4856" spans="1:11" x14ac:dyDescent="0.35">
      <c r="A4856">
        <v>4855</v>
      </c>
      <c r="B4856">
        <v>38</v>
      </c>
      <c r="C4856" t="s">
        <v>16</v>
      </c>
      <c r="D4856" t="s">
        <v>22</v>
      </c>
      <c r="E4856" t="s">
        <v>43</v>
      </c>
      <c r="F4856">
        <v>109.44</v>
      </c>
      <c r="G4856" t="s">
        <v>14</v>
      </c>
      <c r="H4856" t="s">
        <v>15</v>
      </c>
      <c r="I4856">
        <v>2.7</v>
      </c>
      <c r="J4856">
        <v>10</v>
      </c>
      <c r="K4856">
        <v>0</v>
      </c>
    </row>
    <row r="4857" spans="1:11" x14ac:dyDescent="0.35">
      <c r="A4857">
        <v>4856</v>
      </c>
      <c r="B4857">
        <v>45</v>
      </c>
      <c r="C4857" t="s">
        <v>16</v>
      </c>
      <c r="D4857" t="s">
        <v>22</v>
      </c>
      <c r="E4857" t="s">
        <v>43</v>
      </c>
      <c r="F4857">
        <v>220.75</v>
      </c>
      <c r="G4857" t="s">
        <v>31</v>
      </c>
      <c r="H4857" t="s">
        <v>15</v>
      </c>
      <c r="I4857">
        <v>4</v>
      </c>
      <c r="J4857">
        <v>8</v>
      </c>
      <c r="K4857">
        <v>4</v>
      </c>
    </row>
    <row r="4858" spans="1:11" x14ac:dyDescent="0.35">
      <c r="A4858">
        <v>4857</v>
      </c>
      <c r="B4858">
        <v>22</v>
      </c>
      <c r="C4858" t="s">
        <v>11</v>
      </c>
      <c r="D4858" t="s">
        <v>41</v>
      </c>
      <c r="E4858" t="s">
        <v>44</v>
      </c>
      <c r="F4858">
        <v>171.72</v>
      </c>
      <c r="G4858" t="s">
        <v>24</v>
      </c>
      <c r="H4858" t="s">
        <v>15</v>
      </c>
      <c r="I4858">
        <v>3.9</v>
      </c>
      <c r="J4858">
        <v>12</v>
      </c>
      <c r="K4858">
        <v>6</v>
      </c>
    </row>
    <row r="4859" spans="1:11" x14ac:dyDescent="0.35">
      <c r="A4859">
        <v>4858</v>
      </c>
      <c r="B4859">
        <v>33</v>
      </c>
      <c r="C4859" t="s">
        <v>11</v>
      </c>
      <c r="D4859" t="s">
        <v>12</v>
      </c>
      <c r="E4859" t="s">
        <v>13</v>
      </c>
      <c r="F4859">
        <v>83.46</v>
      </c>
      <c r="G4859" t="s">
        <v>31</v>
      </c>
      <c r="H4859" t="s">
        <v>37</v>
      </c>
      <c r="I4859">
        <v>3.7</v>
      </c>
      <c r="J4859">
        <v>25</v>
      </c>
      <c r="K4859">
        <v>10</v>
      </c>
    </row>
    <row r="4860" spans="1:11" x14ac:dyDescent="0.35">
      <c r="A4860">
        <v>4859</v>
      </c>
      <c r="B4860">
        <v>60</v>
      </c>
      <c r="C4860" t="s">
        <v>16</v>
      </c>
      <c r="D4860" t="s">
        <v>20</v>
      </c>
      <c r="E4860" t="s">
        <v>21</v>
      </c>
      <c r="F4860">
        <v>224.01</v>
      </c>
      <c r="G4860" t="s">
        <v>19</v>
      </c>
      <c r="H4860" t="s">
        <v>15</v>
      </c>
      <c r="I4860">
        <v>3.2</v>
      </c>
      <c r="J4860">
        <v>23</v>
      </c>
      <c r="K4860">
        <v>9</v>
      </c>
    </row>
    <row r="4861" spans="1:11" x14ac:dyDescent="0.35">
      <c r="A4861">
        <v>4860</v>
      </c>
      <c r="B4861">
        <v>38</v>
      </c>
      <c r="C4861" t="s">
        <v>11</v>
      </c>
      <c r="D4861" t="s">
        <v>33</v>
      </c>
      <c r="E4861" t="s">
        <v>40</v>
      </c>
      <c r="F4861">
        <v>211.8</v>
      </c>
      <c r="G4861" t="s">
        <v>24</v>
      </c>
      <c r="H4861" t="s">
        <v>15</v>
      </c>
      <c r="I4861">
        <v>3.6</v>
      </c>
      <c r="J4861">
        <v>15</v>
      </c>
      <c r="K4861">
        <v>5</v>
      </c>
    </row>
    <row r="4862" spans="1:11" x14ac:dyDescent="0.35">
      <c r="A4862">
        <v>4861</v>
      </c>
      <c r="B4862">
        <v>57</v>
      </c>
      <c r="C4862" t="s">
        <v>11</v>
      </c>
      <c r="D4862" t="s">
        <v>12</v>
      </c>
      <c r="E4862" t="s">
        <v>50</v>
      </c>
      <c r="F4862">
        <v>97.86</v>
      </c>
      <c r="G4862" t="s">
        <v>31</v>
      </c>
      <c r="H4862" t="s">
        <v>15</v>
      </c>
      <c r="I4862">
        <v>4.2</v>
      </c>
      <c r="J4862">
        <v>16</v>
      </c>
      <c r="K4862">
        <v>8</v>
      </c>
    </row>
    <row r="4863" spans="1:11" x14ac:dyDescent="0.35">
      <c r="A4863">
        <v>4862</v>
      </c>
      <c r="B4863">
        <v>61</v>
      </c>
      <c r="C4863" t="s">
        <v>16</v>
      </c>
      <c r="D4863" t="s">
        <v>20</v>
      </c>
      <c r="E4863" t="s">
        <v>39</v>
      </c>
      <c r="F4863">
        <v>166.73</v>
      </c>
      <c r="G4863" t="s">
        <v>19</v>
      </c>
      <c r="H4863" t="s">
        <v>15</v>
      </c>
      <c r="I4863">
        <v>3.5</v>
      </c>
      <c r="J4863">
        <v>12</v>
      </c>
      <c r="K4863">
        <v>1</v>
      </c>
    </row>
    <row r="4864" spans="1:11" x14ac:dyDescent="0.35">
      <c r="A4864">
        <v>4863</v>
      </c>
      <c r="B4864">
        <v>45</v>
      </c>
      <c r="C4864" t="s">
        <v>16</v>
      </c>
      <c r="D4864" t="s">
        <v>27</v>
      </c>
      <c r="E4864" t="s">
        <v>28</v>
      </c>
      <c r="F4864">
        <v>2482.54</v>
      </c>
      <c r="G4864" t="s">
        <v>31</v>
      </c>
      <c r="H4864" t="s">
        <v>15</v>
      </c>
      <c r="I4864">
        <v>4.0999999999999996</v>
      </c>
      <c r="J4864">
        <v>4</v>
      </c>
      <c r="K4864">
        <v>2</v>
      </c>
    </row>
    <row r="4865" spans="1:11" x14ac:dyDescent="0.35">
      <c r="A4865">
        <v>4864</v>
      </c>
      <c r="B4865">
        <v>26</v>
      </c>
      <c r="C4865" t="s">
        <v>16</v>
      </c>
      <c r="D4865" t="s">
        <v>20</v>
      </c>
      <c r="E4865" t="s">
        <v>36</v>
      </c>
      <c r="F4865">
        <v>125.43</v>
      </c>
      <c r="G4865" t="s">
        <v>19</v>
      </c>
      <c r="H4865" t="s">
        <v>15</v>
      </c>
      <c r="I4865">
        <v>2.5</v>
      </c>
      <c r="J4865">
        <v>18</v>
      </c>
      <c r="K4865">
        <v>4</v>
      </c>
    </row>
    <row r="4866" spans="1:11" x14ac:dyDescent="0.35">
      <c r="A4866">
        <v>4865</v>
      </c>
      <c r="B4866">
        <v>25</v>
      </c>
      <c r="C4866" t="s">
        <v>11</v>
      </c>
      <c r="D4866" t="s">
        <v>29</v>
      </c>
      <c r="E4866" t="s">
        <v>55</v>
      </c>
      <c r="F4866">
        <v>62.35</v>
      </c>
      <c r="G4866" t="s">
        <v>19</v>
      </c>
      <c r="H4866" t="s">
        <v>37</v>
      </c>
      <c r="I4866">
        <v>4</v>
      </c>
      <c r="J4866">
        <v>18</v>
      </c>
      <c r="K4866">
        <v>9</v>
      </c>
    </row>
    <row r="4867" spans="1:11" x14ac:dyDescent="0.35">
      <c r="A4867">
        <v>4866</v>
      </c>
      <c r="B4867">
        <v>22</v>
      </c>
      <c r="C4867" t="s">
        <v>11</v>
      </c>
      <c r="D4867" t="s">
        <v>29</v>
      </c>
      <c r="E4867" t="s">
        <v>51</v>
      </c>
      <c r="F4867">
        <v>93.53</v>
      </c>
      <c r="G4867" t="s">
        <v>14</v>
      </c>
      <c r="H4867" t="s">
        <v>15</v>
      </c>
      <c r="I4867">
        <v>3.3</v>
      </c>
      <c r="J4867">
        <v>10</v>
      </c>
      <c r="K4867">
        <v>5</v>
      </c>
    </row>
    <row r="4868" spans="1:11" x14ac:dyDescent="0.35">
      <c r="A4868">
        <v>4867</v>
      </c>
      <c r="B4868">
        <v>61</v>
      </c>
      <c r="C4868" t="s">
        <v>16</v>
      </c>
      <c r="D4868" t="s">
        <v>20</v>
      </c>
      <c r="E4868" t="s">
        <v>21</v>
      </c>
      <c r="F4868">
        <v>193.47</v>
      </c>
      <c r="G4868" t="s">
        <v>31</v>
      </c>
      <c r="H4868" t="s">
        <v>15</v>
      </c>
      <c r="I4868">
        <v>4.0999999999999996</v>
      </c>
      <c r="J4868">
        <v>15</v>
      </c>
      <c r="K4868">
        <v>5</v>
      </c>
    </row>
    <row r="4869" spans="1:11" x14ac:dyDescent="0.35">
      <c r="A4869">
        <v>4868</v>
      </c>
      <c r="B4869">
        <v>34</v>
      </c>
      <c r="C4869" t="s">
        <v>11</v>
      </c>
      <c r="D4869" t="s">
        <v>41</v>
      </c>
      <c r="E4869" t="s">
        <v>42</v>
      </c>
      <c r="F4869">
        <v>86.21</v>
      </c>
      <c r="G4869" t="s">
        <v>24</v>
      </c>
      <c r="H4869" t="s">
        <v>37</v>
      </c>
      <c r="I4869">
        <v>3.5</v>
      </c>
      <c r="J4869">
        <v>24</v>
      </c>
      <c r="K4869">
        <v>7</v>
      </c>
    </row>
    <row r="4870" spans="1:11" x14ac:dyDescent="0.35">
      <c r="A4870">
        <v>4869</v>
      </c>
      <c r="B4870">
        <v>56</v>
      </c>
      <c r="C4870" t="s">
        <v>16</v>
      </c>
      <c r="D4870" t="s">
        <v>20</v>
      </c>
      <c r="E4870" t="s">
        <v>39</v>
      </c>
      <c r="F4870">
        <v>184.93</v>
      </c>
      <c r="G4870" t="s">
        <v>31</v>
      </c>
      <c r="H4870" t="s">
        <v>15</v>
      </c>
      <c r="I4870">
        <v>4.0999999999999996</v>
      </c>
      <c r="J4870">
        <v>12</v>
      </c>
      <c r="K4870">
        <v>6</v>
      </c>
    </row>
    <row r="4871" spans="1:11" x14ac:dyDescent="0.35">
      <c r="A4871">
        <v>4870</v>
      </c>
      <c r="B4871">
        <v>53</v>
      </c>
      <c r="C4871" t="s">
        <v>16</v>
      </c>
      <c r="D4871" t="s">
        <v>17</v>
      </c>
      <c r="E4871" t="s">
        <v>35</v>
      </c>
      <c r="F4871">
        <v>162.06</v>
      </c>
      <c r="G4871" t="s">
        <v>31</v>
      </c>
      <c r="H4871" t="s">
        <v>15</v>
      </c>
      <c r="I4871">
        <v>5</v>
      </c>
      <c r="J4871">
        <v>20</v>
      </c>
      <c r="K4871">
        <v>5</v>
      </c>
    </row>
    <row r="4872" spans="1:11" x14ac:dyDescent="0.35">
      <c r="A4872">
        <v>4871</v>
      </c>
      <c r="B4872">
        <v>34</v>
      </c>
      <c r="C4872" t="s">
        <v>16</v>
      </c>
      <c r="D4872" t="s">
        <v>20</v>
      </c>
      <c r="E4872" t="s">
        <v>36</v>
      </c>
      <c r="F4872">
        <v>75.709999999999994</v>
      </c>
      <c r="G4872" t="s">
        <v>19</v>
      </c>
      <c r="H4872" t="s">
        <v>37</v>
      </c>
      <c r="I4872">
        <v>4.3</v>
      </c>
      <c r="J4872">
        <v>26</v>
      </c>
      <c r="K4872">
        <v>8</v>
      </c>
    </row>
    <row r="4873" spans="1:11" x14ac:dyDescent="0.35">
      <c r="A4873">
        <v>4872</v>
      </c>
      <c r="B4873">
        <v>20</v>
      </c>
      <c r="C4873" t="s">
        <v>16</v>
      </c>
      <c r="D4873" t="s">
        <v>25</v>
      </c>
      <c r="E4873" t="s">
        <v>26</v>
      </c>
      <c r="F4873">
        <v>59.59</v>
      </c>
      <c r="G4873" t="s">
        <v>31</v>
      </c>
      <c r="H4873" t="s">
        <v>15</v>
      </c>
      <c r="I4873">
        <v>4.8</v>
      </c>
      <c r="J4873">
        <v>14</v>
      </c>
      <c r="K4873">
        <v>2</v>
      </c>
    </row>
    <row r="4874" spans="1:11" x14ac:dyDescent="0.35">
      <c r="A4874">
        <v>4873</v>
      </c>
      <c r="B4874">
        <v>30</v>
      </c>
      <c r="C4874" t="s">
        <v>16</v>
      </c>
      <c r="D4874" t="s">
        <v>33</v>
      </c>
      <c r="E4874" t="s">
        <v>38</v>
      </c>
      <c r="F4874">
        <v>113.81</v>
      </c>
      <c r="G4874" t="s">
        <v>19</v>
      </c>
      <c r="H4874" t="s">
        <v>15</v>
      </c>
      <c r="I4874">
        <v>3.6</v>
      </c>
      <c r="J4874">
        <v>13</v>
      </c>
      <c r="K4874">
        <v>4</v>
      </c>
    </row>
    <row r="4875" spans="1:11" x14ac:dyDescent="0.35">
      <c r="A4875">
        <v>4874</v>
      </c>
      <c r="B4875">
        <v>28</v>
      </c>
      <c r="C4875" t="s">
        <v>16</v>
      </c>
      <c r="D4875" t="s">
        <v>17</v>
      </c>
      <c r="E4875" t="s">
        <v>35</v>
      </c>
      <c r="F4875">
        <v>109.99</v>
      </c>
      <c r="G4875" t="s">
        <v>19</v>
      </c>
      <c r="H4875" t="s">
        <v>15</v>
      </c>
      <c r="I4875">
        <v>4.5999999999999996</v>
      </c>
      <c r="J4875">
        <v>19</v>
      </c>
      <c r="K4875">
        <v>7</v>
      </c>
    </row>
    <row r="4876" spans="1:11" x14ac:dyDescent="0.35">
      <c r="A4876">
        <v>4875</v>
      </c>
      <c r="B4876">
        <v>27</v>
      </c>
      <c r="C4876" t="s">
        <v>11</v>
      </c>
      <c r="D4876" t="s">
        <v>12</v>
      </c>
      <c r="E4876" t="s">
        <v>50</v>
      </c>
      <c r="F4876">
        <v>161.53</v>
      </c>
      <c r="G4876" t="s">
        <v>31</v>
      </c>
      <c r="H4876" t="s">
        <v>15</v>
      </c>
      <c r="I4876">
        <v>3.8</v>
      </c>
      <c r="J4876">
        <v>12</v>
      </c>
      <c r="K4876">
        <v>1</v>
      </c>
    </row>
    <row r="4877" spans="1:11" x14ac:dyDescent="0.35">
      <c r="A4877">
        <v>4876</v>
      </c>
      <c r="B4877">
        <v>38</v>
      </c>
      <c r="C4877" t="s">
        <v>11</v>
      </c>
      <c r="D4877" t="s">
        <v>33</v>
      </c>
      <c r="E4877" t="s">
        <v>38</v>
      </c>
      <c r="F4877">
        <v>78.34</v>
      </c>
      <c r="G4877" t="s">
        <v>24</v>
      </c>
      <c r="H4877" t="s">
        <v>15</v>
      </c>
      <c r="I4877">
        <v>3.7</v>
      </c>
      <c r="J4877">
        <v>15</v>
      </c>
      <c r="K4877">
        <v>5</v>
      </c>
    </row>
    <row r="4878" spans="1:11" x14ac:dyDescent="0.35">
      <c r="A4878">
        <v>4877</v>
      </c>
      <c r="B4878">
        <v>48</v>
      </c>
      <c r="C4878" t="s">
        <v>16</v>
      </c>
      <c r="D4878" t="s">
        <v>33</v>
      </c>
      <c r="E4878" t="s">
        <v>38</v>
      </c>
      <c r="F4878">
        <v>228.07</v>
      </c>
      <c r="G4878" t="s">
        <v>14</v>
      </c>
      <c r="H4878" t="s">
        <v>15</v>
      </c>
      <c r="I4878">
        <v>3.4</v>
      </c>
      <c r="J4878">
        <v>21</v>
      </c>
      <c r="K4878">
        <v>8</v>
      </c>
    </row>
    <row r="4879" spans="1:11" x14ac:dyDescent="0.35">
      <c r="A4879">
        <v>4878</v>
      </c>
      <c r="B4879">
        <v>30</v>
      </c>
      <c r="C4879" t="s">
        <v>11</v>
      </c>
      <c r="D4879" t="s">
        <v>29</v>
      </c>
      <c r="E4879" t="s">
        <v>30</v>
      </c>
      <c r="F4879">
        <v>45.1</v>
      </c>
      <c r="G4879" t="s">
        <v>19</v>
      </c>
      <c r="H4879" t="s">
        <v>15</v>
      </c>
      <c r="I4879">
        <v>3.1</v>
      </c>
      <c r="J4879">
        <v>26</v>
      </c>
      <c r="K4879">
        <v>8</v>
      </c>
    </row>
    <row r="4880" spans="1:11" x14ac:dyDescent="0.35">
      <c r="A4880">
        <v>4879</v>
      </c>
      <c r="B4880">
        <v>50</v>
      </c>
      <c r="C4880" t="s">
        <v>11</v>
      </c>
      <c r="D4880" t="s">
        <v>41</v>
      </c>
      <c r="E4880" t="s">
        <v>46</v>
      </c>
      <c r="F4880">
        <v>177.6</v>
      </c>
      <c r="G4880" t="s">
        <v>31</v>
      </c>
      <c r="H4880" t="s">
        <v>15</v>
      </c>
      <c r="I4880">
        <v>3.1</v>
      </c>
      <c r="J4880">
        <v>8</v>
      </c>
      <c r="K4880">
        <v>4</v>
      </c>
    </row>
    <row r="4881" spans="1:11" x14ac:dyDescent="0.35">
      <c r="A4881">
        <v>4880</v>
      </c>
      <c r="B4881">
        <v>45</v>
      </c>
      <c r="C4881" t="s">
        <v>16</v>
      </c>
      <c r="D4881" t="s">
        <v>27</v>
      </c>
      <c r="E4881" t="s">
        <v>28</v>
      </c>
      <c r="F4881">
        <v>1054.2</v>
      </c>
      <c r="G4881" t="s">
        <v>14</v>
      </c>
      <c r="H4881" t="s">
        <v>15</v>
      </c>
      <c r="I4881">
        <v>4.5999999999999996</v>
      </c>
      <c r="J4881">
        <v>10</v>
      </c>
      <c r="K4881">
        <v>5</v>
      </c>
    </row>
    <row r="4882" spans="1:11" x14ac:dyDescent="0.35">
      <c r="A4882">
        <v>4881</v>
      </c>
      <c r="B4882">
        <v>67</v>
      </c>
      <c r="C4882" t="s">
        <v>16</v>
      </c>
      <c r="D4882" t="s">
        <v>33</v>
      </c>
      <c r="E4882" t="s">
        <v>38</v>
      </c>
      <c r="F4882">
        <v>86.51</v>
      </c>
      <c r="G4882" t="s">
        <v>31</v>
      </c>
      <c r="H4882" t="s">
        <v>37</v>
      </c>
      <c r="I4882">
        <v>4</v>
      </c>
      <c r="J4882">
        <v>10</v>
      </c>
      <c r="K4882">
        <v>5</v>
      </c>
    </row>
    <row r="4883" spans="1:11" x14ac:dyDescent="0.35">
      <c r="A4883">
        <v>4882</v>
      </c>
      <c r="B4883">
        <v>48</v>
      </c>
      <c r="C4883" t="s">
        <v>16</v>
      </c>
      <c r="D4883" t="s">
        <v>27</v>
      </c>
      <c r="E4883" t="s">
        <v>28</v>
      </c>
      <c r="F4883">
        <v>2184.4</v>
      </c>
      <c r="G4883" t="s">
        <v>14</v>
      </c>
      <c r="H4883" t="s">
        <v>15</v>
      </c>
      <c r="I4883">
        <v>4</v>
      </c>
      <c r="J4883">
        <v>8</v>
      </c>
      <c r="K4883">
        <v>4</v>
      </c>
    </row>
    <row r="4884" spans="1:11" x14ac:dyDescent="0.35">
      <c r="A4884">
        <v>4883</v>
      </c>
      <c r="B4884">
        <v>42</v>
      </c>
      <c r="C4884" t="s">
        <v>11</v>
      </c>
      <c r="D4884" t="s">
        <v>12</v>
      </c>
      <c r="E4884" t="s">
        <v>13</v>
      </c>
      <c r="F4884">
        <v>128.68</v>
      </c>
      <c r="G4884" t="s">
        <v>19</v>
      </c>
      <c r="H4884" t="s">
        <v>15</v>
      </c>
      <c r="I4884">
        <v>5</v>
      </c>
      <c r="J4884">
        <v>19</v>
      </c>
      <c r="K4884">
        <v>7</v>
      </c>
    </row>
    <row r="4885" spans="1:11" x14ac:dyDescent="0.35">
      <c r="A4885">
        <v>4884</v>
      </c>
      <c r="B4885">
        <v>26</v>
      </c>
      <c r="C4885" t="s">
        <v>11</v>
      </c>
      <c r="D4885" t="s">
        <v>29</v>
      </c>
      <c r="E4885" t="s">
        <v>55</v>
      </c>
      <c r="F4885">
        <v>104.48</v>
      </c>
      <c r="G4885" t="s">
        <v>14</v>
      </c>
      <c r="H4885" t="s">
        <v>15</v>
      </c>
      <c r="I4885">
        <v>4.2</v>
      </c>
      <c r="J4885">
        <v>20</v>
      </c>
      <c r="K4885">
        <v>5</v>
      </c>
    </row>
    <row r="4886" spans="1:11" x14ac:dyDescent="0.35">
      <c r="A4886">
        <v>4885</v>
      </c>
      <c r="B4886">
        <v>47</v>
      </c>
      <c r="C4886" t="s">
        <v>16</v>
      </c>
      <c r="D4886" t="s">
        <v>17</v>
      </c>
      <c r="E4886" t="s">
        <v>35</v>
      </c>
      <c r="F4886">
        <v>77.72</v>
      </c>
      <c r="G4886" t="s">
        <v>14</v>
      </c>
      <c r="H4886" t="s">
        <v>15</v>
      </c>
      <c r="I4886">
        <v>4.4000000000000004</v>
      </c>
      <c r="J4886">
        <v>20</v>
      </c>
      <c r="K4886">
        <v>5</v>
      </c>
    </row>
    <row r="4887" spans="1:11" x14ac:dyDescent="0.35">
      <c r="A4887">
        <v>4886</v>
      </c>
      <c r="B4887">
        <v>65</v>
      </c>
      <c r="C4887" t="s">
        <v>11</v>
      </c>
      <c r="D4887" t="s">
        <v>12</v>
      </c>
      <c r="E4887" t="s">
        <v>56</v>
      </c>
      <c r="F4887">
        <v>44.5</v>
      </c>
      <c r="G4887" t="s">
        <v>19</v>
      </c>
      <c r="H4887" t="s">
        <v>37</v>
      </c>
      <c r="I4887">
        <v>3.9</v>
      </c>
      <c r="J4887">
        <v>14</v>
      </c>
      <c r="K4887">
        <v>2</v>
      </c>
    </row>
    <row r="4888" spans="1:11" x14ac:dyDescent="0.35">
      <c r="A4888">
        <v>4887</v>
      </c>
      <c r="B4888">
        <v>67</v>
      </c>
      <c r="C4888" t="s">
        <v>16</v>
      </c>
      <c r="D4888" t="s">
        <v>17</v>
      </c>
      <c r="E4888" t="s">
        <v>48</v>
      </c>
      <c r="F4888">
        <v>194.11</v>
      </c>
      <c r="G4888" t="s">
        <v>19</v>
      </c>
      <c r="H4888" t="s">
        <v>15</v>
      </c>
      <c r="I4888">
        <v>3.6</v>
      </c>
      <c r="J4888">
        <v>16</v>
      </c>
      <c r="K4888">
        <v>3</v>
      </c>
    </row>
    <row r="4889" spans="1:11" x14ac:dyDescent="0.35">
      <c r="A4889">
        <v>4888</v>
      </c>
      <c r="B4889">
        <v>42</v>
      </c>
      <c r="C4889" t="s">
        <v>11</v>
      </c>
      <c r="D4889" t="s">
        <v>29</v>
      </c>
      <c r="E4889" t="s">
        <v>55</v>
      </c>
      <c r="F4889">
        <v>125.66</v>
      </c>
      <c r="G4889" t="s">
        <v>31</v>
      </c>
      <c r="H4889" t="s">
        <v>15</v>
      </c>
      <c r="I4889">
        <v>3.6</v>
      </c>
      <c r="J4889">
        <v>12</v>
      </c>
      <c r="K4889">
        <v>6</v>
      </c>
    </row>
    <row r="4890" spans="1:11" x14ac:dyDescent="0.35">
      <c r="A4890">
        <v>4889</v>
      </c>
      <c r="B4890">
        <v>57</v>
      </c>
      <c r="C4890" t="s">
        <v>11</v>
      </c>
      <c r="D4890" t="s">
        <v>29</v>
      </c>
      <c r="E4890" t="s">
        <v>30</v>
      </c>
      <c r="F4890">
        <v>35.130000000000003</v>
      </c>
      <c r="G4890" t="s">
        <v>19</v>
      </c>
      <c r="H4890" t="s">
        <v>15</v>
      </c>
      <c r="I4890">
        <v>3.8</v>
      </c>
      <c r="J4890">
        <v>11</v>
      </c>
      <c r="K4890">
        <v>3</v>
      </c>
    </row>
    <row r="4891" spans="1:11" x14ac:dyDescent="0.35">
      <c r="A4891">
        <v>4890</v>
      </c>
      <c r="B4891">
        <v>37</v>
      </c>
      <c r="C4891" t="s">
        <v>16</v>
      </c>
      <c r="D4891" t="s">
        <v>33</v>
      </c>
      <c r="E4891" t="s">
        <v>38</v>
      </c>
      <c r="F4891">
        <v>62.42</v>
      </c>
      <c r="G4891" t="s">
        <v>14</v>
      </c>
      <c r="H4891" t="s">
        <v>37</v>
      </c>
      <c r="I4891">
        <v>3.7</v>
      </c>
      <c r="J4891">
        <v>12</v>
      </c>
      <c r="K4891">
        <v>6</v>
      </c>
    </row>
    <row r="4892" spans="1:11" x14ac:dyDescent="0.35">
      <c r="A4892">
        <v>4891</v>
      </c>
      <c r="B4892">
        <v>61</v>
      </c>
      <c r="C4892" t="s">
        <v>11</v>
      </c>
      <c r="D4892" t="s">
        <v>12</v>
      </c>
      <c r="E4892" t="s">
        <v>13</v>
      </c>
      <c r="F4892">
        <v>148.01</v>
      </c>
      <c r="G4892" t="s">
        <v>14</v>
      </c>
      <c r="H4892" t="s">
        <v>15</v>
      </c>
      <c r="I4892">
        <v>3.5</v>
      </c>
      <c r="J4892">
        <v>10</v>
      </c>
      <c r="K4892">
        <v>5</v>
      </c>
    </row>
    <row r="4893" spans="1:11" x14ac:dyDescent="0.35">
      <c r="A4893">
        <v>4892</v>
      </c>
      <c r="B4893">
        <v>55</v>
      </c>
      <c r="C4893" t="s">
        <v>11</v>
      </c>
      <c r="D4893" t="s">
        <v>20</v>
      </c>
      <c r="E4893" t="s">
        <v>21</v>
      </c>
      <c r="F4893">
        <v>121.55</v>
      </c>
      <c r="G4893" t="s">
        <v>14</v>
      </c>
      <c r="H4893" t="s">
        <v>15</v>
      </c>
      <c r="I4893">
        <v>3.5</v>
      </c>
      <c r="J4893">
        <v>22</v>
      </c>
      <c r="K4893">
        <v>6</v>
      </c>
    </row>
    <row r="4894" spans="1:11" x14ac:dyDescent="0.35">
      <c r="A4894">
        <v>4893</v>
      </c>
      <c r="B4894">
        <v>70</v>
      </c>
      <c r="C4894" t="s">
        <v>11</v>
      </c>
      <c r="D4894" t="s">
        <v>20</v>
      </c>
      <c r="E4894" t="s">
        <v>21</v>
      </c>
      <c r="F4894">
        <v>126.71</v>
      </c>
      <c r="G4894" t="s">
        <v>24</v>
      </c>
      <c r="H4894" t="s">
        <v>15</v>
      </c>
      <c r="I4894">
        <v>4.2</v>
      </c>
      <c r="J4894">
        <v>14</v>
      </c>
      <c r="K4894">
        <v>7</v>
      </c>
    </row>
    <row r="4895" spans="1:11" x14ac:dyDescent="0.35">
      <c r="A4895">
        <v>4894</v>
      </c>
      <c r="B4895">
        <v>47</v>
      </c>
      <c r="C4895" t="s">
        <v>16</v>
      </c>
      <c r="D4895" t="s">
        <v>20</v>
      </c>
      <c r="E4895" t="s">
        <v>21</v>
      </c>
      <c r="F4895">
        <v>187.3</v>
      </c>
      <c r="G4895" t="s">
        <v>19</v>
      </c>
      <c r="H4895" t="s">
        <v>15</v>
      </c>
      <c r="I4895">
        <v>5</v>
      </c>
      <c r="J4895">
        <v>24</v>
      </c>
      <c r="K4895">
        <v>7</v>
      </c>
    </row>
    <row r="4896" spans="1:11" x14ac:dyDescent="0.35">
      <c r="A4896">
        <v>4895</v>
      </c>
      <c r="B4896">
        <v>31</v>
      </c>
      <c r="C4896" t="s">
        <v>11</v>
      </c>
      <c r="D4896" t="s">
        <v>41</v>
      </c>
      <c r="E4896" t="s">
        <v>44</v>
      </c>
      <c r="F4896">
        <v>128.52000000000001</v>
      </c>
      <c r="G4896" t="s">
        <v>24</v>
      </c>
      <c r="H4896" t="s">
        <v>15</v>
      </c>
      <c r="I4896">
        <v>3.2</v>
      </c>
      <c r="J4896">
        <v>10</v>
      </c>
      <c r="K4896">
        <v>5</v>
      </c>
    </row>
    <row r="4897" spans="1:11" x14ac:dyDescent="0.35">
      <c r="A4897">
        <v>4896</v>
      </c>
      <c r="B4897">
        <v>40</v>
      </c>
      <c r="C4897" t="s">
        <v>11</v>
      </c>
      <c r="D4897" t="s">
        <v>29</v>
      </c>
      <c r="E4897" t="s">
        <v>55</v>
      </c>
      <c r="F4897">
        <v>125.95</v>
      </c>
      <c r="G4897" t="s">
        <v>14</v>
      </c>
      <c r="H4897" t="s">
        <v>15</v>
      </c>
      <c r="I4897">
        <v>4.0999999999999996</v>
      </c>
      <c r="J4897">
        <v>15</v>
      </c>
      <c r="K4897">
        <v>5</v>
      </c>
    </row>
    <row r="4898" spans="1:11" x14ac:dyDescent="0.35">
      <c r="A4898">
        <v>4897</v>
      </c>
      <c r="B4898">
        <v>64</v>
      </c>
      <c r="C4898" t="s">
        <v>16</v>
      </c>
      <c r="D4898" t="s">
        <v>20</v>
      </c>
      <c r="E4898" t="s">
        <v>21</v>
      </c>
      <c r="F4898">
        <v>131.15</v>
      </c>
      <c r="G4898" t="s">
        <v>24</v>
      </c>
      <c r="H4898" t="s">
        <v>15</v>
      </c>
      <c r="I4898">
        <v>3.8</v>
      </c>
      <c r="J4898">
        <v>18</v>
      </c>
      <c r="K4898">
        <v>4</v>
      </c>
    </row>
    <row r="4899" spans="1:11" x14ac:dyDescent="0.35">
      <c r="A4899">
        <v>4898</v>
      </c>
      <c r="B4899">
        <v>57</v>
      </c>
      <c r="C4899" t="s">
        <v>11</v>
      </c>
      <c r="D4899" t="s">
        <v>41</v>
      </c>
      <c r="E4899" t="s">
        <v>44</v>
      </c>
      <c r="F4899">
        <v>128.19999999999999</v>
      </c>
      <c r="G4899" t="s">
        <v>14</v>
      </c>
      <c r="H4899" t="s">
        <v>15</v>
      </c>
      <c r="I4899">
        <v>4.2</v>
      </c>
      <c r="J4899">
        <v>30</v>
      </c>
      <c r="K4899">
        <v>10</v>
      </c>
    </row>
    <row r="4900" spans="1:11" x14ac:dyDescent="0.35">
      <c r="A4900">
        <v>4899</v>
      </c>
      <c r="B4900">
        <v>55</v>
      </c>
      <c r="C4900" t="s">
        <v>16</v>
      </c>
      <c r="D4900" t="s">
        <v>27</v>
      </c>
      <c r="E4900" t="s">
        <v>28</v>
      </c>
      <c r="F4900">
        <v>1091.19</v>
      </c>
      <c r="G4900" t="s">
        <v>31</v>
      </c>
      <c r="H4900" t="s">
        <v>15</v>
      </c>
      <c r="I4900">
        <v>4.7</v>
      </c>
      <c r="J4900">
        <v>16</v>
      </c>
      <c r="K4900">
        <v>3</v>
      </c>
    </row>
    <row r="4901" spans="1:11" x14ac:dyDescent="0.35">
      <c r="A4901">
        <v>4900</v>
      </c>
      <c r="B4901">
        <v>48</v>
      </c>
      <c r="C4901" t="s">
        <v>16</v>
      </c>
      <c r="D4901" t="s">
        <v>22</v>
      </c>
      <c r="E4901" t="s">
        <v>23</v>
      </c>
      <c r="F4901">
        <v>212.33</v>
      </c>
      <c r="G4901" t="s">
        <v>14</v>
      </c>
      <c r="H4901" t="s">
        <v>15</v>
      </c>
      <c r="I4901">
        <v>3.7</v>
      </c>
      <c r="J4901">
        <v>12</v>
      </c>
      <c r="K4901">
        <v>6</v>
      </c>
    </row>
    <row r="4902" spans="1:11" x14ac:dyDescent="0.35">
      <c r="A4902">
        <v>4901</v>
      </c>
      <c r="B4902">
        <v>29</v>
      </c>
      <c r="C4902" t="s">
        <v>16</v>
      </c>
      <c r="D4902" t="s">
        <v>27</v>
      </c>
      <c r="E4902" t="s">
        <v>32</v>
      </c>
      <c r="F4902">
        <v>2200.34</v>
      </c>
      <c r="G4902" t="s">
        <v>14</v>
      </c>
      <c r="H4902" t="s">
        <v>15</v>
      </c>
      <c r="I4902">
        <v>4.8</v>
      </c>
      <c r="J4902">
        <v>19</v>
      </c>
      <c r="K4902">
        <v>7</v>
      </c>
    </row>
    <row r="4903" spans="1:11" x14ac:dyDescent="0.35">
      <c r="A4903">
        <v>4902</v>
      </c>
      <c r="B4903">
        <v>69</v>
      </c>
      <c r="C4903" t="s">
        <v>16</v>
      </c>
      <c r="D4903" t="s">
        <v>27</v>
      </c>
      <c r="E4903" t="s">
        <v>28</v>
      </c>
      <c r="F4903">
        <v>2612.62</v>
      </c>
      <c r="G4903" t="s">
        <v>31</v>
      </c>
      <c r="H4903" t="s">
        <v>15</v>
      </c>
      <c r="I4903">
        <v>4.4000000000000004</v>
      </c>
      <c r="J4903">
        <v>26</v>
      </c>
      <c r="K4903">
        <v>8</v>
      </c>
    </row>
    <row r="4904" spans="1:11" x14ac:dyDescent="0.35">
      <c r="A4904">
        <v>4903</v>
      </c>
      <c r="B4904">
        <v>23</v>
      </c>
      <c r="C4904" t="s">
        <v>11</v>
      </c>
      <c r="D4904" t="s">
        <v>33</v>
      </c>
      <c r="E4904" t="s">
        <v>38</v>
      </c>
      <c r="F4904">
        <v>115.83</v>
      </c>
      <c r="G4904" t="s">
        <v>19</v>
      </c>
      <c r="H4904" t="s">
        <v>15</v>
      </c>
      <c r="I4904">
        <v>5</v>
      </c>
      <c r="J4904">
        <v>14</v>
      </c>
      <c r="K4904">
        <v>2</v>
      </c>
    </row>
    <row r="4905" spans="1:11" x14ac:dyDescent="0.35">
      <c r="A4905">
        <v>4904</v>
      </c>
      <c r="B4905">
        <v>23</v>
      </c>
      <c r="C4905" t="s">
        <v>16</v>
      </c>
      <c r="D4905" t="s">
        <v>17</v>
      </c>
      <c r="E4905" t="s">
        <v>18</v>
      </c>
      <c r="F4905">
        <v>75.36</v>
      </c>
      <c r="G4905" t="s">
        <v>31</v>
      </c>
      <c r="H4905" t="s">
        <v>15</v>
      </c>
      <c r="I4905">
        <v>4.2</v>
      </c>
      <c r="J4905">
        <v>17</v>
      </c>
      <c r="K4905">
        <v>6</v>
      </c>
    </row>
    <row r="4906" spans="1:11" x14ac:dyDescent="0.35">
      <c r="A4906">
        <v>4905</v>
      </c>
      <c r="B4906">
        <v>30</v>
      </c>
      <c r="C4906" t="s">
        <v>11</v>
      </c>
      <c r="D4906" t="s">
        <v>29</v>
      </c>
      <c r="E4906" t="s">
        <v>51</v>
      </c>
      <c r="F4906">
        <v>54.87</v>
      </c>
      <c r="G4906" t="s">
        <v>31</v>
      </c>
      <c r="H4906" t="s">
        <v>37</v>
      </c>
      <c r="I4906">
        <v>4.0999999999999996</v>
      </c>
      <c r="J4906">
        <v>6</v>
      </c>
      <c r="K4906">
        <v>3</v>
      </c>
    </row>
    <row r="4907" spans="1:11" x14ac:dyDescent="0.35">
      <c r="A4907">
        <v>4906</v>
      </c>
      <c r="B4907">
        <v>41</v>
      </c>
      <c r="C4907" t="s">
        <v>11</v>
      </c>
      <c r="D4907" t="s">
        <v>22</v>
      </c>
      <c r="E4907" t="s">
        <v>43</v>
      </c>
      <c r="F4907">
        <v>151.15</v>
      </c>
      <c r="G4907" t="s">
        <v>24</v>
      </c>
      <c r="H4907" t="s">
        <v>15</v>
      </c>
      <c r="I4907">
        <v>3.2</v>
      </c>
      <c r="J4907">
        <v>8</v>
      </c>
      <c r="K4907">
        <v>4</v>
      </c>
    </row>
    <row r="4908" spans="1:11" x14ac:dyDescent="0.35">
      <c r="A4908">
        <v>4907</v>
      </c>
      <c r="B4908">
        <v>69</v>
      </c>
      <c r="C4908" t="s">
        <v>11</v>
      </c>
      <c r="D4908" t="s">
        <v>25</v>
      </c>
      <c r="E4908" t="s">
        <v>57</v>
      </c>
      <c r="F4908">
        <v>13.72</v>
      </c>
      <c r="G4908" t="s">
        <v>24</v>
      </c>
      <c r="H4908" t="s">
        <v>37</v>
      </c>
      <c r="I4908">
        <v>3.5</v>
      </c>
      <c r="J4908">
        <v>17</v>
      </c>
      <c r="K4908">
        <v>6</v>
      </c>
    </row>
    <row r="4909" spans="1:11" x14ac:dyDescent="0.35">
      <c r="A4909">
        <v>4908</v>
      </c>
      <c r="B4909">
        <v>36</v>
      </c>
      <c r="C4909" t="s">
        <v>11</v>
      </c>
      <c r="D4909" t="s">
        <v>33</v>
      </c>
      <c r="E4909" t="s">
        <v>38</v>
      </c>
      <c r="F4909">
        <v>46.3</v>
      </c>
      <c r="G4909" t="s">
        <v>19</v>
      </c>
      <c r="H4909" t="s">
        <v>15</v>
      </c>
      <c r="I4909">
        <v>4.0999999999999996</v>
      </c>
      <c r="J4909">
        <v>32</v>
      </c>
      <c r="K4909">
        <v>11</v>
      </c>
    </row>
    <row r="4910" spans="1:11" x14ac:dyDescent="0.35">
      <c r="A4910">
        <v>4909</v>
      </c>
      <c r="B4910">
        <v>68</v>
      </c>
      <c r="C4910" t="s">
        <v>11</v>
      </c>
      <c r="D4910" t="s">
        <v>12</v>
      </c>
      <c r="E4910" t="s">
        <v>13</v>
      </c>
      <c r="F4910">
        <v>133.47</v>
      </c>
      <c r="G4910" t="s">
        <v>31</v>
      </c>
      <c r="H4910" t="s">
        <v>15</v>
      </c>
      <c r="I4910">
        <v>4</v>
      </c>
      <c r="J4910">
        <v>26</v>
      </c>
      <c r="K4910">
        <v>8</v>
      </c>
    </row>
    <row r="4911" spans="1:11" x14ac:dyDescent="0.35">
      <c r="A4911">
        <v>4910</v>
      </c>
      <c r="B4911">
        <v>47</v>
      </c>
      <c r="C4911" t="s">
        <v>11</v>
      </c>
      <c r="D4911" t="s">
        <v>20</v>
      </c>
      <c r="E4911" t="s">
        <v>36</v>
      </c>
      <c r="F4911">
        <v>61.86</v>
      </c>
      <c r="G4911" t="s">
        <v>24</v>
      </c>
      <c r="H4911" t="s">
        <v>15</v>
      </c>
      <c r="I4911">
        <v>4.2</v>
      </c>
      <c r="J4911">
        <v>8</v>
      </c>
      <c r="K4911">
        <v>4</v>
      </c>
    </row>
    <row r="4912" spans="1:11" x14ac:dyDescent="0.35">
      <c r="A4912">
        <v>4911</v>
      </c>
      <c r="B4912">
        <v>26</v>
      </c>
      <c r="C4912" t="s">
        <v>11</v>
      </c>
      <c r="D4912" t="s">
        <v>20</v>
      </c>
      <c r="E4912" t="s">
        <v>36</v>
      </c>
      <c r="F4912">
        <v>72.040000000000006</v>
      </c>
      <c r="G4912" t="s">
        <v>19</v>
      </c>
      <c r="H4912" t="s">
        <v>15</v>
      </c>
      <c r="I4912">
        <v>3.7</v>
      </c>
      <c r="J4912">
        <v>18</v>
      </c>
      <c r="K4912">
        <v>4</v>
      </c>
    </row>
    <row r="4913" spans="1:11" x14ac:dyDescent="0.35">
      <c r="A4913">
        <v>4912</v>
      </c>
      <c r="B4913">
        <v>62</v>
      </c>
      <c r="C4913" t="s">
        <v>16</v>
      </c>
      <c r="D4913" t="s">
        <v>17</v>
      </c>
      <c r="E4913" t="s">
        <v>18</v>
      </c>
      <c r="F4913">
        <v>84.61</v>
      </c>
      <c r="G4913" t="s">
        <v>14</v>
      </c>
      <c r="H4913" t="s">
        <v>15</v>
      </c>
      <c r="I4913">
        <v>3.9</v>
      </c>
      <c r="J4913">
        <v>19</v>
      </c>
      <c r="K4913">
        <v>7</v>
      </c>
    </row>
    <row r="4914" spans="1:11" x14ac:dyDescent="0.35">
      <c r="A4914">
        <v>4913</v>
      </c>
      <c r="B4914">
        <v>30</v>
      </c>
      <c r="C4914" t="s">
        <v>16</v>
      </c>
      <c r="D4914" t="s">
        <v>17</v>
      </c>
      <c r="E4914" t="s">
        <v>42</v>
      </c>
      <c r="F4914">
        <v>123.73</v>
      </c>
      <c r="G4914" t="s">
        <v>14</v>
      </c>
      <c r="H4914" t="s">
        <v>15</v>
      </c>
      <c r="I4914">
        <v>2.1</v>
      </c>
      <c r="J4914">
        <v>11</v>
      </c>
      <c r="K4914">
        <v>3</v>
      </c>
    </row>
    <row r="4915" spans="1:11" x14ac:dyDescent="0.35">
      <c r="A4915">
        <v>4914</v>
      </c>
      <c r="B4915">
        <v>44</v>
      </c>
      <c r="C4915" t="s">
        <v>16</v>
      </c>
      <c r="D4915" t="s">
        <v>33</v>
      </c>
      <c r="E4915" t="s">
        <v>34</v>
      </c>
      <c r="F4915">
        <v>114.66</v>
      </c>
      <c r="G4915" t="s">
        <v>31</v>
      </c>
      <c r="H4915" t="s">
        <v>15</v>
      </c>
      <c r="I4915">
        <v>4</v>
      </c>
      <c r="J4915">
        <v>22</v>
      </c>
      <c r="K4915">
        <v>6</v>
      </c>
    </row>
    <row r="4916" spans="1:11" x14ac:dyDescent="0.35">
      <c r="A4916">
        <v>4915</v>
      </c>
      <c r="B4916">
        <v>44</v>
      </c>
      <c r="C4916" t="s">
        <v>11</v>
      </c>
      <c r="D4916" t="s">
        <v>33</v>
      </c>
      <c r="E4916" t="s">
        <v>38</v>
      </c>
      <c r="F4916">
        <v>235.77</v>
      </c>
      <c r="G4916" t="s">
        <v>14</v>
      </c>
      <c r="H4916" t="s">
        <v>15</v>
      </c>
      <c r="I4916">
        <v>2</v>
      </c>
      <c r="J4916">
        <v>12</v>
      </c>
      <c r="K4916">
        <v>6</v>
      </c>
    </row>
    <row r="4917" spans="1:11" x14ac:dyDescent="0.35">
      <c r="A4917">
        <v>4916</v>
      </c>
      <c r="B4917">
        <v>44</v>
      </c>
      <c r="C4917" t="s">
        <v>11</v>
      </c>
      <c r="D4917" t="s">
        <v>25</v>
      </c>
      <c r="E4917" t="s">
        <v>54</v>
      </c>
      <c r="F4917">
        <v>62.94</v>
      </c>
      <c r="G4917" t="s">
        <v>31</v>
      </c>
      <c r="H4917" t="s">
        <v>37</v>
      </c>
      <c r="I4917">
        <v>3.6</v>
      </c>
      <c r="J4917">
        <v>2</v>
      </c>
      <c r="K4917">
        <v>1</v>
      </c>
    </row>
    <row r="4918" spans="1:11" x14ac:dyDescent="0.35">
      <c r="A4918">
        <v>4917</v>
      </c>
      <c r="B4918">
        <v>39</v>
      </c>
      <c r="C4918" t="s">
        <v>11</v>
      </c>
      <c r="D4918" t="s">
        <v>25</v>
      </c>
      <c r="E4918" t="s">
        <v>54</v>
      </c>
      <c r="F4918">
        <v>70.150000000000006</v>
      </c>
      <c r="G4918" t="s">
        <v>14</v>
      </c>
      <c r="H4918" t="s">
        <v>37</v>
      </c>
      <c r="I4918">
        <v>4.0999999999999996</v>
      </c>
      <c r="J4918">
        <v>14</v>
      </c>
      <c r="K4918">
        <v>2</v>
      </c>
    </row>
    <row r="4919" spans="1:11" x14ac:dyDescent="0.35">
      <c r="A4919">
        <v>4918</v>
      </c>
      <c r="B4919">
        <v>35</v>
      </c>
      <c r="C4919" t="s">
        <v>11</v>
      </c>
      <c r="D4919" t="s">
        <v>25</v>
      </c>
      <c r="E4919" t="s">
        <v>26</v>
      </c>
      <c r="F4919">
        <v>69.099999999999994</v>
      </c>
      <c r="G4919" t="s">
        <v>14</v>
      </c>
      <c r="H4919" t="s">
        <v>15</v>
      </c>
      <c r="I4919">
        <v>4.3</v>
      </c>
      <c r="J4919">
        <v>22</v>
      </c>
      <c r="K4919">
        <v>6</v>
      </c>
    </row>
    <row r="4920" spans="1:11" x14ac:dyDescent="0.35">
      <c r="A4920">
        <v>4919</v>
      </c>
      <c r="B4920">
        <v>43</v>
      </c>
      <c r="C4920" t="s">
        <v>11</v>
      </c>
      <c r="D4920" t="s">
        <v>33</v>
      </c>
      <c r="E4920" t="s">
        <v>40</v>
      </c>
      <c r="F4920">
        <v>63.79</v>
      </c>
      <c r="G4920" t="s">
        <v>19</v>
      </c>
      <c r="H4920" t="s">
        <v>37</v>
      </c>
      <c r="I4920">
        <v>4.0999999999999996</v>
      </c>
      <c r="J4920">
        <v>14</v>
      </c>
      <c r="K4920">
        <v>7</v>
      </c>
    </row>
    <row r="4921" spans="1:11" x14ac:dyDescent="0.35">
      <c r="A4921">
        <v>4920</v>
      </c>
      <c r="B4921">
        <v>44</v>
      </c>
      <c r="C4921" t="s">
        <v>11</v>
      </c>
      <c r="D4921" t="s">
        <v>41</v>
      </c>
      <c r="E4921" t="s">
        <v>42</v>
      </c>
      <c r="F4921">
        <v>47.12</v>
      </c>
      <c r="G4921" t="s">
        <v>14</v>
      </c>
      <c r="H4921" t="s">
        <v>37</v>
      </c>
      <c r="I4921">
        <v>2.2999999999999998</v>
      </c>
      <c r="J4921">
        <v>9</v>
      </c>
      <c r="K4921">
        <v>2</v>
      </c>
    </row>
    <row r="4922" spans="1:11" x14ac:dyDescent="0.35">
      <c r="A4922">
        <v>4921</v>
      </c>
      <c r="B4922">
        <v>69</v>
      </c>
      <c r="C4922" t="s">
        <v>16</v>
      </c>
      <c r="D4922" t="s">
        <v>20</v>
      </c>
      <c r="E4922" t="s">
        <v>21</v>
      </c>
      <c r="F4922">
        <v>205.85</v>
      </c>
      <c r="G4922" t="s">
        <v>24</v>
      </c>
      <c r="H4922" t="s">
        <v>15</v>
      </c>
      <c r="I4922">
        <v>3.3</v>
      </c>
      <c r="J4922">
        <v>16</v>
      </c>
      <c r="K4922">
        <v>3</v>
      </c>
    </row>
    <row r="4923" spans="1:11" x14ac:dyDescent="0.35">
      <c r="A4923">
        <v>4922</v>
      </c>
      <c r="B4923">
        <v>25</v>
      </c>
      <c r="C4923" t="s">
        <v>11</v>
      </c>
      <c r="D4923" t="s">
        <v>12</v>
      </c>
      <c r="E4923" t="s">
        <v>50</v>
      </c>
      <c r="F4923">
        <v>33.380000000000003</v>
      </c>
      <c r="G4923" t="s">
        <v>14</v>
      </c>
      <c r="H4923" t="s">
        <v>15</v>
      </c>
      <c r="I4923">
        <v>3.5</v>
      </c>
      <c r="J4923">
        <v>8</v>
      </c>
      <c r="K4923">
        <v>4</v>
      </c>
    </row>
    <row r="4924" spans="1:11" x14ac:dyDescent="0.35">
      <c r="A4924">
        <v>4923</v>
      </c>
      <c r="B4924">
        <v>24</v>
      </c>
      <c r="C4924" t="s">
        <v>16</v>
      </c>
      <c r="D4924" t="s">
        <v>25</v>
      </c>
      <c r="E4924" t="s">
        <v>54</v>
      </c>
      <c r="F4924">
        <v>60.32</v>
      </c>
      <c r="G4924" t="s">
        <v>24</v>
      </c>
      <c r="H4924" t="s">
        <v>37</v>
      </c>
      <c r="I4924">
        <v>2.7</v>
      </c>
      <c r="J4924">
        <v>12</v>
      </c>
      <c r="K4924">
        <v>6</v>
      </c>
    </row>
    <row r="4925" spans="1:11" x14ac:dyDescent="0.35">
      <c r="A4925">
        <v>4924</v>
      </c>
      <c r="B4925">
        <v>45</v>
      </c>
      <c r="C4925" t="s">
        <v>16</v>
      </c>
      <c r="D4925" t="s">
        <v>20</v>
      </c>
      <c r="E4925" t="s">
        <v>39</v>
      </c>
      <c r="F4925">
        <v>82.4</v>
      </c>
      <c r="G4925" t="s">
        <v>19</v>
      </c>
      <c r="H4925" t="s">
        <v>15</v>
      </c>
      <c r="I4925">
        <v>3.4</v>
      </c>
      <c r="J4925">
        <v>10</v>
      </c>
      <c r="K4925">
        <v>5</v>
      </c>
    </row>
    <row r="4926" spans="1:11" x14ac:dyDescent="0.35">
      <c r="A4926">
        <v>4925</v>
      </c>
      <c r="B4926">
        <v>55</v>
      </c>
      <c r="C4926" t="s">
        <v>16</v>
      </c>
      <c r="D4926" t="s">
        <v>25</v>
      </c>
      <c r="E4926" t="s">
        <v>26</v>
      </c>
      <c r="F4926">
        <v>32.01</v>
      </c>
      <c r="G4926" t="s">
        <v>24</v>
      </c>
      <c r="H4926" t="s">
        <v>15</v>
      </c>
      <c r="I4926">
        <v>3.7</v>
      </c>
      <c r="J4926">
        <v>15</v>
      </c>
      <c r="K4926">
        <v>5</v>
      </c>
    </row>
    <row r="4927" spans="1:11" x14ac:dyDescent="0.35">
      <c r="A4927">
        <v>4926</v>
      </c>
      <c r="B4927">
        <v>33</v>
      </c>
      <c r="C4927" t="s">
        <v>16</v>
      </c>
      <c r="D4927" t="s">
        <v>20</v>
      </c>
      <c r="E4927" t="s">
        <v>39</v>
      </c>
      <c r="F4927">
        <v>40.549999999999997</v>
      </c>
      <c r="G4927" t="s">
        <v>24</v>
      </c>
      <c r="H4927" t="s">
        <v>37</v>
      </c>
      <c r="I4927">
        <v>4.5999999999999996</v>
      </c>
      <c r="J4927">
        <v>4</v>
      </c>
      <c r="K4927">
        <v>2</v>
      </c>
    </row>
    <row r="4928" spans="1:11" x14ac:dyDescent="0.35">
      <c r="A4928">
        <v>4927</v>
      </c>
      <c r="B4928">
        <v>47</v>
      </c>
      <c r="C4928" t="s">
        <v>11</v>
      </c>
      <c r="D4928" t="s">
        <v>29</v>
      </c>
      <c r="E4928" t="s">
        <v>51</v>
      </c>
      <c r="F4928">
        <v>100.37</v>
      </c>
      <c r="G4928" t="s">
        <v>19</v>
      </c>
      <c r="H4928" t="s">
        <v>15</v>
      </c>
      <c r="I4928">
        <v>3</v>
      </c>
      <c r="J4928">
        <v>4</v>
      </c>
      <c r="K4928">
        <v>2</v>
      </c>
    </row>
    <row r="4929" spans="1:11" x14ac:dyDescent="0.35">
      <c r="A4929">
        <v>4928</v>
      </c>
      <c r="B4929">
        <v>67</v>
      </c>
      <c r="C4929" t="s">
        <v>16</v>
      </c>
      <c r="D4929" t="s">
        <v>27</v>
      </c>
      <c r="E4929" t="s">
        <v>28</v>
      </c>
      <c r="F4929">
        <v>1360.46</v>
      </c>
      <c r="G4929" t="s">
        <v>31</v>
      </c>
      <c r="H4929" t="s">
        <v>15</v>
      </c>
      <c r="I4929">
        <v>5</v>
      </c>
      <c r="J4929">
        <v>24</v>
      </c>
      <c r="K4929">
        <v>7</v>
      </c>
    </row>
    <row r="4930" spans="1:11" x14ac:dyDescent="0.35">
      <c r="A4930">
        <v>4929</v>
      </c>
      <c r="B4930">
        <v>36</v>
      </c>
      <c r="C4930" t="s">
        <v>11</v>
      </c>
      <c r="D4930" t="s">
        <v>12</v>
      </c>
      <c r="E4930" t="s">
        <v>50</v>
      </c>
      <c r="F4930">
        <v>141.63</v>
      </c>
      <c r="G4930" t="s">
        <v>14</v>
      </c>
      <c r="H4930" t="s">
        <v>15</v>
      </c>
      <c r="I4930">
        <v>4.4000000000000004</v>
      </c>
      <c r="J4930">
        <v>17</v>
      </c>
      <c r="K4930">
        <v>6</v>
      </c>
    </row>
    <row r="4931" spans="1:11" x14ac:dyDescent="0.35">
      <c r="A4931">
        <v>4930</v>
      </c>
      <c r="B4931">
        <v>30</v>
      </c>
      <c r="C4931" t="s">
        <v>16</v>
      </c>
      <c r="D4931" t="s">
        <v>33</v>
      </c>
      <c r="E4931" t="s">
        <v>34</v>
      </c>
      <c r="F4931">
        <v>131.47</v>
      </c>
      <c r="G4931" t="s">
        <v>31</v>
      </c>
      <c r="H4931" t="s">
        <v>15</v>
      </c>
      <c r="I4931">
        <v>3.9</v>
      </c>
      <c r="J4931">
        <v>18</v>
      </c>
      <c r="K4931">
        <v>4</v>
      </c>
    </row>
    <row r="4932" spans="1:11" x14ac:dyDescent="0.35">
      <c r="A4932">
        <v>4931</v>
      </c>
      <c r="B4932">
        <v>36</v>
      </c>
      <c r="C4932" t="s">
        <v>16</v>
      </c>
      <c r="D4932" t="s">
        <v>17</v>
      </c>
      <c r="E4932" t="s">
        <v>42</v>
      </c>
      <c r="F4932">
        <v>106.54</v>
      </c>
      <c r="G4932" t="s">
        <v>24</v>
      </c>
      <c r="H4932" t="s">
        <v>15</v>
      </c>
      <c r="I4932">
        <v>5</v>
      </c>
      <c r="J4932">
        <v>22</v>
      </c>
      <c r="K4932">
        <v>6</v>
      </c>
    </row>
    <row r="4933" spans="1:11" x14ac:dyDescent="0.35">
      <c r="A4933">
        <v>4932</v>
      </c>
      <c r="B4933">
        <v>21</v>
      </c>
      <c r="C4933" t="s">
        <v>16</v>
      </c>
      <c r="D4933" t="s">
        <v>27</v>
      </c>
      <c r="E4933" t="s">
        <v>28</v>
      </c>
      <c r="F4933">
        <v>845.23</v>
      </c>
      <c r="G4933" t="s">
        <v>24</v>
      </c>
      <c r="H4933" t="s">
        <v>15</v>
      </c>
      <c r="I4933">
        <v>3.7</v>
      </c>
      <c r="J4933">
        <v>16</v>
      </c>
      <c r="K4933">
        <v>8</v>
      </c>
    </row>
    <row r="4934" spans="1:11" x14ac:dyDescent="0.35">
      <c r="A4934">
        <v>4933</v>
      </c>
      <c r="B4934">
        <v>49</v>
      </c>
      <c r="C4934" t="s">
        <v>16</v>
      </c>
      <c r="D4934" t="s">
        <v>27</v>
      </c>
      <c r="E4934" t="s">
        <v>28</v>
      </c>
      <c r="F4934">
        <v>2662.07</v>
      </c>
      <c r="G4934" t="s">
        <v>24</v>
      </c>
      <c r="H4934" t="s">
        <v>15</v>
      </c>
      <c r="I4934">
        <v>4.7</v>
      </c>
      <c r="J4934">
        <v>20</v>
      </c>
      <c r="K4934">
        <v>5</v>
      </c>
    </row>
    <row r="4935" spans="1:11" x14ac:dyDescent="0.35">
      <c r="A4935">
        <v>4934</v>
      </c>
      <c r="B4935">
        <v>50</v>
      </c>
      <c r="C4935" t="s">
        <v>16</v>
      </c>
      <c r="D4935" t="s">
        <v>20</v>
      </c>
      <c r="E4935" t="s">
        <v>39</v>
      </c>
      <c r="F4935">
        <v>186.83</v>
      </c>
      <c r="G4935" t="s">
        <v>19</v>
      </c>
      <c r="H4935" t="s">
        <v>15</v>
      </c>
      <c r="I4935">
        <v>3</v>
      </c>
      <c r="J4935">
        <v>11</v>
      </c>
      <c r="K4935">
        <v>3</v>
      </c>
    </row>
    <row r="4936" spans="1:11" x14ac:dyDescent="0.35">
      <c r="A4936">
        <v>4935</v>
      </c>
      <c r="B4936">
        <v>66</v>
      </c>
      <c r="C4936" t="s">
        <v>11</v>
      </c>
      <c r="D4936" t="s">
        <v>12</v>
      </c>
      <c r="E4936" t="s">
        <v>13</v>
      </c>
      <c r="F4936">
        <v>143.75</v>
      </c>
      <c r="G4936" t="s">
        <v>14</v>
      </c>
      <c r="H4936" t="s">
        <v>15</v>
      </c>
      <c r="I4936">
        <v>3.7</v>
      </c>
      <c r="J4936">
        <v>20</v>
      </c>
      <c r="K4936">
        <v>5</v>
      </c>
    </row>
    <row r="4937" spans="1:11" x14ac:dyDescent="0.35">
      <c r="A4937">
        <v>4936</v>
      </c>
      <c r="B4937">
        <v>23</v>
      </c>
      <c r="C4937" t="s">
        <v>16</v>
      </c>
      <c r="D4937" t="s">
        <v>27</v>
      </c>
      <c r="E4937" t="s">
        <v>28</v>
      </c>
      <c r="F4937">
        <v>2876.27</v>
      </c>
      <c r="G4937" t="s">
        <v>19</v>
      </c>
      <c r="H4937" t="s">
        <v>15</v>
      </c>
      <c r="I4937">
        <v>3</v>
      </c>
      <c r="J4937">
        <v>16</v>
      </c>
      <c r="K4937">
        <v>3</v>
      </c>
    </row>
    <row r="4938" spans="1:11" x14ac:dyDescent="0.35">
      <c r="A4938">
        <v>4937</v>
      </c>
      <c r="B4938">
        <v>31</v>
      </c>
      <c r="C4938" t="s">
        <v>16</v>
      </c>
      <c r="D4938" t="s">
        <v>27</v>
      </c>
      <c r="E4938" t="s">
        <v>49</v>
      </c>
      <c r="F4938">
        <v>2686.88</v>
      </c>
      <c r="G4938" t="s">
        <v>24</v>
      </c>
      <c r="H4938" t="s">
        <v>15</v>
      </c>
      <c r="I4938">
        <v>3.3</v>
      </c>
      <c r="J4938">
        <v>9</v>
      </c>
      <c r="K4938">
        <v>2</v>
      </c>
    </row>
    <row r="4939" spans="1:11" x14ac:dyDescent="0.35">
      <c r="A4939">
        <v>4938</v>
      </c>
      <c r="B4939">
        <v>54</v>
      </c>
      <c r="C4939" t="s">
        <v>11</v>
      </c>
      <c r="D4939" t="s">
        <v>41</v>
      </c>
      <c r="E4939" t="s">
        <v>42</v>
      </c>
      <c r="F4939">
        <v>35.299999999999997</v>
      </c>
      <c r="G4939" t="s">
        <v>14</v>
      </c>
      <c r="H4939" t="s">
        <v>15</v>
      </c>
      <c r="I4939">
        <v>3.6</v>
      </c>
      <c r="J4939">
        <v>26</v>
      </c>
      <c r="K4939">
        <v>8</v>
      </c>
    </row>
    <row r="4940" spans="1:11" x14ac:dyDescent="0.35">
      <c r="A4940">
        <v>4939</v>
      </c>
      <c r="B4940">
        <v>64</v>
      </c>
      <c r="C4940" t="s">
        <v>16</v>
      </c>
      <c r="D4940" t="s">
        <v>27</v>
      </c>
      <c r="E4940" t="s">
        <v>53</v>
      </c>
      <c r="F4940">
        <v>2546.2600000000002</v>
      </c>
      <c r="G4940" t="s">
        <v>14</v>
      </c>
      <c r="H4940" t="s">
        <v>15</v>
      </c>
      <c r="I4940">
        <v>4.9000000000000004</v>
      </c>
      <c r="J4940">
        <v>15</v>
      </c>
      <c r="K4940">
        <v>5</v>
      </c>
    </row>
    <row r="4941" spans="1:11" x14ac:dyDescent="0.35">
      <c r="A4941">
        <v>4940</v>
      </c>
      <c r="B4941">
        <v>31</v>
      </c>
      <c r="C4941" t="s">
        <v>16</v>
      </c>
      <c r="D4941" t="s">
        <v>33</v>
      </c>
      <c r="E4941" t="s">
        <v>38</v>
      </c>
      <c r="F4941">
        <v>248.37</v>
      </c>
      <c r="G4941" t="s">
        <v>31</v>
      </c>
      <c r="H4941" t="s">
        <v>15</v>
      </c>
      <c r="I4941">
        <v>4.4000000000000004</v>
      </c>
      <c r="J4941">
        <v>20</v>
      </c>
      <c r="K4941">
        <v>5</v>
      </c>
    </row>
    <row r="4942" spans="1:11" x14ac:dyDescent="0.35">
      <c r="A4942">
        <v>4941</v>
      </c>
      <c r="B4942">
        <v>31</v>
      </c>
      <c r="C4942" t="s">
        <v>11</v>
      </c>
      <c r="D4942" t="s">
        <v>29</v>
      </c>
      <c r="E4942" t="s">
        <v>30</v>
      </c>
      <c r="F4942">
        <v>45.08</v>
      </c>
      <c r="G4942" t="s">
        <v>24</v>
      </c>
      <c r="H4942" t="s">
        <v>37</v>
      </c>
      <c r="I4942">
        <v>4.0999999999999996</v>
      </c>
      <c r="J4942">
        <v>22</v>
      </c>
      <c r="K4942">
        <v>6</v>
      </c>
    </row>
    <row r="4943" spans="1:11" x14ac:dyDescent="0.35">
      <c r="A4943">
        <v>4942</v>
      </c>
      <c r="B4943">
        <v>22</v>
      </c>
      <c r="C4943" t="s">
        <v>16</v>
      </c>
      <c r="D4943" t="s">
        <v>20</v>
      </c>
      <c r="E4943" t="s">
        <v>36</v>
      </c>
      <c r="F4943">
        <v>193.77</v>
      </c>
      <c r="G4943" t="s">
        <v>14</v>
      </c>
      <c r="H4943" t="s">
        <v>15</v>
      </c>
      <c r="I4943">
        <v>4.9000000000000004</v>
      </c>
      <c r="J4943">
        <v>14</v>
      </c>
      <c r="K4943">
        <v>7</v>
      </c>
    </row>
    <row r="4944" spans="1:11" x14ac:dyDescent="0.35">
      <c r="A4944">
        <v>4943</v>
      </c>
      <c r="B4944">
        <v>40</v>
      </c>
      <c r="C4944" t="s">
        <v>11</v>
      </c>
      <c r="D4944" t="s">
        <v>29</v>
      </c>
      <c r="E4944" t="s">
        <v>30</v>
      </c>
      <c r="F4944">
        <v>98.85</v>
      </c>
      <c r="G4944" t="s">
        <v>14</v>
      </c>
      <c r="H4944" t="s">
        <v>15</v>
      </c>
      <c r="I4944">
        <v>4.7</v>
      </c>
      <c r="J4944">
        <v>16</v>
      </c>
      <c r="K4944">
        <v>3</v>
      </c>
    </row>
    <row r="4945" spans="1:11" x14ac:dyDescent="0.35">
      <c r="A4945">
        <v>4944</v>
      </c>
      <c r="B4945">
        <v>28</v>
      </c>
      <c r="C4945" t="s">
        <v>16</v>
      </c>
      <c r="D4945" t="s">
        <v>33</v>
      </c>
      <c r="E4945" t="s">
        <v>40</v>
      </c>
      <c r="F4945">
        <v>216.39</v>
      </c>
      <c r="G4945" t="s">
        <v>14</v>
      </c>
      <c r="H4945" t="s">
        <v>15</v>
      </c>
      <c r="I4945">
        <v>1.5</v>
      </c>
      <c r="J4945">
        <v>7</v>
      </c>
      <c r="K4945">
        <v>1</v>
      </c>
    </row>
    <row r="4946" spans="1:11" x14ac:dyDescent="0.35">
      <c r="A4946">
        <v>4945</v>
      </c>
      <c r="B4946">
        <v>64</v>
      </c>
      <c r="C4946" t="s">
        <v>11</v>
      </c>
      <c r="D4946" t="s">
        <v>33</v>
      </c>
      <c r="E4946" t="s">
        <v>38</v>
      </c>
      <c r="F4946">
        <v>197.46</v>
      </c>
      <c r="G4946" t="s">
        <v>14</v>
      </c>
      <c r="H4946" t="s">
        <v>15</v>
      </c>
      <c r="I4946">
        <v>4.4000000000000004</v>
      </c>
      <c r="J4946">
        <v>10</v>
      </c>
      <c r="K4946">
        <v>5</v>
      </c>
    </row>
    <row r="4947" spans="1:11" x14ac:dyDescent="0.35">
      <c r="A4947">
        <v>4946</v>
      </c>
      <c r="B4947">
        <v>48</v>
      </c>
      <c r="C4947" t="s">
        <v>11</v>
      </c>
      <c r="D4947" t="s">
        <v>25</v>
      </c>
      <c r="E4947" t="s">
        <v>47</v>
      </c>
      <c r="F4947">
        <v>75.400000000000006</v>
      </c>
      <c r="G4947" t="s">
        <v>19</v>
      </c>
      <c r="H4947" t="s">
        <v>15</v>
      </c>
      <c r="I4947">
        <v>3.7</v>
      </c>
      <c r="J4947">
        <v>8</v>
      </c>
      <c r="K4947">
        <v>4</v>
      </c>
    </row>
    <row r="4948" spans="1:11" x14ac:dyDescent="0.35">
      <c r="A4948">
        <v>4947</v>
      </c>
      <c r="B4948">
        <v>24</v>
      </c>
      <c r="C4948" t="s">
        <v>11</v>
      </c>
      <c r="D4948" t="s">
        <v>29</v>
      </c>
      <c r="E4948" t="s">
        <v>55</v>
      </c>
      <c r="F4948">
        <v>78.11</v>
      </c>
      <c r="G4948" t="s">
        <v>31</v>
      </c>
      <c r="H4948" t="s">
        <v>37</v>
      </c>
      <c r="I4948">
        <v>3.6</v>
      </c>
      <c r="J4948">
        <v>12</v>
      </c>
      <c r="K4948">
        <v>6</v>
      </c>
    </row>
    <row r="4949" spans="1:11" x14ac:dyDescent="0.35">
      <c r="A4949">
        <v>4948</v>
      </c>
      <c r="B4949">
        <v>20</v>
      </c>
      <c r="C4949" t="s">
        <v>11</v>
      </c>
      <c r="D4949" t="s">
        <v>29</v>
      </c>
      <c r="E4949" t="s">
        <v>55</v>
      </c>
      <c r="F4949">
        <v>32.659999999999997</v>
      </c>
      <c r="G4949" t="s">
        <v>19</v>
      </c>
      <c r="H4949" t="s">
        <v>37</v>
      </c>
      <c r="I4949">
        <v>2.9</v>
      </c>
      <c r="J4949">
        <v>8</v>
      </c>
      <c r="K4949">
        <v>4</v>
      </c>
    </row>
    <row r="4950" spans="1:11" x14ac:dyDescent="0.35">
      <c r="A4950">
        <v>4949</v>
      </c>
      <c r="B4950">
        <v>21</v>
      </c>
      <c r="C4950" t="s">
        <v>11</v>
      </c>
      <c r="D4950" t="s">
        <v>33</v>
      </c>
      <c r="E4950" t="s">
        <v>34</v>
      </c>
      <c r="F4950">
        <v>91.71</v>
      </c>
      <c r="G4950" t="s">
        <v>14</v>
      </c>
      <c r="H4950" t="s">
        <v>37</v>
      </c>
      <c r="I4950">
        <v>3</v>
      </c>
      <c r="J4950">
        <v>8</v>
      </c>
      <c r="K4950">
        <v>4</v>
      </c>
    </row>
    <row r="4951" spans="1:11" x14ac:dyDescent="0.35">
      <c r="A4951">
        <v>4950</v>
      </c>
      <c r="B4951">
        <v>70</v>
      </c>
      <c r="C4951" t="s">
        <v>11</v>
      </c>
      <c r="D4951" t="s">
        <v>29</v>
      </c>
      <c r="E4951" t="s">
        <v>55</v>
      </c>
      <c r="F4951">
        <v>70.739999999999995</v>
      </c>
      <c r="G4951" t="s">
        <v>14</v>
      </c>
      <c r="H4951" t="s">
        <v>37</v>
      </c>
      <c r="I4951">
        <v>4.7</v>
      </c>
      <c r="J4951">
        <v>28</v>
      </c>
      <c r="K4951">
        <v>9</v>
      </c>
    </row>
    <row r="4952" spans="1:11" x14ac:dyDescent="0.35">
      <c r="A4952">
        <v>4951</v>
      </c>
      <c r="B4952">
        <v>39</v>
      </c>
      <c r="C4952" t="s">
        <v>11</v>
      </c>
      <c r="D4952" t="s">
        <v>33</v>
      </c>
      <c r="E4952" t="s">
        <v>38</v>
      </c>
      <c r="F4952">
        <v>92.58</v>
      </c>
      <c r="G4952" t="s">
        <v>31</v>
      </c>
      <c r="H4952" t="s">
        <v>15</v>
      </c>
      <c r="I4952">
        <v>3.6</v>
      </c>
      <c r="J4952">
        <v>11</v>
      </c>
      <c r="K4952">
        <v>3</v>
      </c>
    </row>
    <row r="4953" spans="1:11" x14ac:dyDescent="0.35">
      <c r="A4953">
        <v>4952</v>
      </c>
      <c r="B4953">
        <v>53</v>
      </c>
      <c r="C4953" t="s">
        <v>11</v>
      </c>
      <c r="D4953" t="s">
        <v>29</v>
      </c>
      <c r="E4953" t="s">
        <v>51</v>
      </c>
      <c r="F4953">
        <v>92.62</v>
      </c>
      <c r="G4953" t="s">
        <v>31</v>
      </c>
      <c r="H4953" t="s">
        <v>15</v>
      </c>
      <c r="I4953">
        <v>4.9000000000000004</v>
      </c>
      <c r="J4953">
        <v>11</v>
      </c>
      <c r="K4953">
        <v>3</v>
      </c>
    </row>
    <row r="4954" spans="1:11" x14ac:dyDescent="0.35">
      <c r="A4954">
        <v>4953</v>
      </c>
      <c r="B4954">
        <v>24</v>
      </c>
      <c r="C4954" t="s">
        <v>16</v>
      </c>
      <c r="D4954" t="s">
        <v>33</v>
      </c>
      <c r="E4954" t="s">
        <v>40</v>
      </c>
      <c r="F4954">
        <v>201.33</v>
      </c>
      <c r="G4954" t="s">
        <v>24</v>
      </c>
      <c r="H4954" t="s">
        <v>15</v>
      </c>
      <c r="I4954">
        <v>3.4</v>
      </c>
      <c r="J4954">
        <v>0</v>
      </c>
      <c r="K4954">
        <v>0</v>
      </c>
    </row>
    <row r="4955" spans="1:11" x14ac:dyDescent="0.35">
      <c r="A4955">
        <v>4954</v>
      </c>
      <c r="B4955">
        <v>22</v>
      </c>
      <c r="C4955" t="s">
        <v>11</v>
      </c>
      <c r="D4955" t="s">
        <v>41</v>
      </c>
      <c r="E4955" t="s">
        <v>44</v>
      </c>
      <c r="F4955">
        <v>107.7</v>
      </c>
      <c r="G4955" t="s">
        <v>14</v>
      </c>
      <c r="H4955" t="s">
        <v>15</v>
      </c>
      <c r="I4955">
        <v>3.2</v>
      </c>
      <c r="J4955">
        <v>28</v>
      </c>
      <c r="K4955">
        <v>9</v>
      </c>
    </row>
    <row r="4956" spans="1:11" x14ac:dyDescent="0.35">
      <c r="A4956">
        <v>4955</v>
      </c>
      <c r="B4956">
        <v>29</v>
      </c>
      <c r="C4956" t="s">
        <v>16</v>
      </c>
      <c r="D4956" t="s">
        <v>20</v>
      </c>
      <c r="E4956" t="s">
        <v>21</v>
      </c>
      <c r="F4956">
        <v>48.66</v>
      </c>
      <c r="G4956" t="s">
        <v>19</v>
      </c>
      <c r="H4956" t="s">
        <v>15</v>
      </c>
      <c r="I4956">
        <v>3.5</v>
      </c>
      <c r="J4956">
        <v>4</v>
      </c>
      <c r="K4956">
        <v>2</v>
      </c>
    </row>
    <row r="4957" spans="1:11" x14ac:dyDescent="0.35">
      <c r="A4957">
        <v>4956</v>
      </c>
      <c r="B4957">
        <v>37</v>
      </c>
      <c r="C4957" t="s">
        <v>16</v>
      </c>
      <c r="D4957" t="s">
        <v>25</v>
      </c>
      <c r="E4957" t="s">
        <v>47</v>
      </c>
      <c r="F4957">
        <v>43.47</v>
      </c>
      <c r="G4957" t="s">
        <v>14</v>
      </c>
      <c r="H4957" t="s">
        <v>37</v>
      </c>
      <c r="I4957">
        <v>4.0999999999999996</v>
      </c>
      <c r="J4957">
        <v>16</v>
      </c>
      <c r="K4957">
        <v>3</v>
      </c>
    </row>
    <row r="4958" spans="1:11" x14ac:dyDescent="0.35">
      <c r="A4958">
        <v>4957</v>
      </c>
      <c r="B4958">
        <v>47</v>
      </c>
      <c r="C4958" t="s">
        <v>16</v>
      </c>
      <c r="D4958" t="s">
        <v>17</v>
      </c>
      <c r="E4958" t="s">
        <v>42</v>
      </c>
      <c r="F4958">
        <v>179.91</v>
      </c>
      <c r="G4958" t="s">
        <v>31</v>
      </c>
      <c r="H4958" t="s">
        <v>15</v>
      </c>
      <c r="I4958">
        <v>4.4000000000000004</v>
      </c>
      <c r="J4958">
        <v>12</v>
      </c>
      <c r="K4958">
        <v>6</v>
      </c>
    </row>
    <row r="4959" spans="1:11" x14ac:dyDescent="0.35">
      <c r="A4959">
        <v>4958</v>
      </c>
      <c r="B4959">
        <v>69</v>
      </c>
      <c r="C4959" t="s">
        <v>16</v>
      </c>
      <c r="D4959" t="s">
        <v>25</v>
      </c>
      <c r="E4959" t="s">
        <v>57</v>
      </c>
      <c r="F4959">
        <v>60.23</v>
      </c>
      <c r="G4959" t="s">
        <v>14</v>
      </c>
      <c r="H4959" t="s">
        <v>37</v>
      </c>
      <c r="I4959">
        <v>3.3</v>
      </c>
      <c r="J4959">
        <v>14</v>
      </c>
      <c r="K4959">
        <v>7</v>
      </c>
    </row>
    <row r="4960" spans="1:11" x14ac:dyDescent="0.35">
      <c r="A4960">
        <v>4959</v>
      </c>
      <c r="B4960">
        <v>36</v>
      </c>
      <c r="C4960" t="s">
        <v>11</v>
      </c>
      <c r="D4960" t="s">
        <v>25</v>
      </c>
      <c r="E4960" t="s">
        <v>57</v>
      </c>
      <c r="F4960">
        <v>33.119999999999997</v>
      </c>
      <c r="G4960" t="s">
        <v>19</v>
      </c>
      <c r="H4960" t="s">
        <v>15</v>
      </c>
      <c r="I4960">
        <v>4.3</v>
      </c>
      <c r="J4960">
        <v>15</v>
      </c>
      <c r="K4960">
        <v>5</v>
      </c>
    </row>
    <row r="4961" spans="1:11" x14ac:dyDescent="0.35">
      <c r="A4961">
        <v>4960</v>
      </c>
      <c r="B4961">
        <v>42</v>
      </c>
      <c r="C4961" t="s">
        <v>16</v>
      </c>
      <c r="D4961" t="s">
        <v>27</v>
      </c>
      <c r="E4961" t="s">
        <v>28</v>
      </c>
      <c r="F4961">
        <v>2340.63</v>
      </c>
      <c r="G4961" t="s">
        <v>14</v>
      </c>
      <c r="H4961" t="s">
        <v>15</v>
      </c>
      <c r="I4961">
        <v>3.1</v>
      </c>
      <c r="J4961">
        <v>9</v>
      </c>
      <c r="K4961">
        <v>2</v>
      </c>
    </row>
    <row r="4962" spans="1:11" x14ac:dyDescent="0.35">
      <c r="A4962">
        <v>4961</v>
      </c>
      <c r="B4962">
        <v>23</v>
      </c>
      <c r="C4962" t="s">
        <v>11</v>
      </c>
      <c r="D4962" t="s">
        <v>20</v>
      </c>
      <c r="E4962" t="s">
        <v>39</v>
      </c>
      <c r="F4962">
        <v>124.64</v>
      </c>
      <c r="G4962" t="s">
        <v>19</v>
      </c>
      <c r="H4962" t="s">
        <v>15</v>
      </c>
      <c r="I4962">
        <v>4.9000000000000004</v>
      </c>
      <c r="J4962">
        <v>20</v>
      </c>
      <c r="K4962">
        <v>5</v>
      </c>
    </row>
    <row r="4963" spans="1:11" x14ac:dyDescent="0.35">
      <c r="A4963">
        <v>4962</v>
      </c>
      <c r="B4963">
        <v>52</v>
      </c>
      <c r="C4963" t="s">
        <v>16</v>
      </c>
      <c r="D4963" t="s">
        <v>25</v>
      </c>
      <c r="E4963" t="s">
        <v>26</v>
      </c>
      <c r="F4963">
        <v>69.010000000000005</v>
      </c>
      <c r="G4963" t="s">
        <v>31</v>
      </c>
      <c r="H4963" t="s">
        <v>37</v>
      </c>
      <c r="I4963">
        <v>3.6</v>
      </c>
      <c r="J4963">
        <v>8</v>
      </c>
      <c r="K4963">
        <v>4</v>
      </c>
    </row>
    <row r="4964" spans="1:11" x14ac:dyDescent="0.35">
      <c r="A4964">
        <v>4963</v>
      </c>
      <c r="B4964">
        <v>59</v>
      </c>
      <c r="C4964" t="s">
        <v>11</v>
      </c>
      <c r="D4964" t="s">
        <v>12</v>
      </c>
      <c r="E4964" t="s">
        <v>50</v>
      </c>
      <c r="F4964">
        <v>67.83</v>
      </c>
      <c r="G4964" t="s">
        <v>24</v>
      </c>
      <c r="H4964" t="s">
        <v>37</v>
      </c>
      <c r="I4964">
        <v>2.7</v>
      </c>
      <c r="J4964">
        <v>13</v>
      </c>
      <c r="K4964">
        <v>4</v>
      </c>
    </row>
    <row r="4965" spans="1:11" x14ac:dyDescent="0.35">
      <c r="A4965">
        <v>4964</v>
      </c>
      <c r="B4965">
        <v>21</v>
      </c>
      <c r="C4965" t="s">
        <v>16</v>
      </c>
      <c r="D4965" t="s">
        <v>17</v>
      </c>
      <c r="E4965" t="s">
        <v>35</v>
      </c>
      <c r="F4965">
        <v>80.010000000000005</v>
      </c>
      <c r="G4965" t="s">
        <v>19</v>
      </c>
      <c r="H4965" t="s">
        <v>15</v>
      </c>
      <c r="I4965">
        <v>4.5</v>
      </c>
      <c r="J4965">
        <v>19</v>
      </c>
      <c r="K4965">
        <v>7</v>
      </c>
    </row>
    <row r="4966" spans="1:11" x14ac:dyDescent="0.35">
      <c r="A4966">
        <v>4965</v>
      </c>
      <c r="B4966">
        <v>50</v>
      </c>
      <c r="C4966" t="s">
        <v>16</v>
      </c>
      <c r="D4966" t="s">
        <v>20</v>
      </c>
      <c r="E4966" t="s">
        <v>36</v>
      </c>
      <c r="F4966">
        <v>65.650000000000006</v>
      </c>
      <c r="G4966" t="s">
        <v>14</v>
      </c>
      <c r="H4966" t="s">
        <v>37</v>
      </c>
      <c r="I4966">
        <v>4</v>
      </c>
      <c r="J4966">
        <v>16</v>
      </c>
      <c r="K4966">
        <v>8</v>
      </c>
    </row>
    <row r="4967" spans="1:11" x14ac:dyDescent="0.35">
      <c r="A4967">
        <v>4966</v>
      </c>
      <c r="B4967">
        <v>50</v>
      </c>
      <c r="C4967" t="s">
        <v>16</v>
      </c>
      <c r="D4967" t="s">
        <v>33</v>
      </c>
      <c r="E4967" t="s">
        <v>34</v>
      </c>
      <c r="F4967">
        <v>64.930000000000007</v>
      </c>
      <c r="G4967" t="s">
        <v>19</v>
      </c>
      <c r="H4967" t="s">
        <v>15</v>
      </c>
      <c r="I4967">
        <v>4.4000000000000004</v>
      </c>
      <c r="J4967">
        <v>9</v>
      </c>
      <c r="K4967">
        <v>2</v>
      </c>
    </row>
    <row r="4968" spans="1:11" x14ac:dyDescent="0.35">
      <c r="A4968">
        <v>4967</v>
      </c>
      <c r="B4968">
        <v>57</v>
      </c>
      <c r="C4968" t="s">
        <v>16</v>
      </c>
      <c r="D4968" t="s">
        <v>17</v>
      </c>
      <c r="E4968" t="s">
        <v>42</v>
      </c>
      <c r="F4968">
        <v>185.82</v>
      </c>
      <c r="G4968" t="s">
        <v>19</v>
      </c>
      <c r="H4968" t="s">
        <v>15</v>
      </c>
      <c r="I4968">
        <v>3.6</v>
      </c>
      <c r="J4968">
        <v>17</v>
      </c>
      <c r="K4968">
        <v>6</v>
      </c>
    </row>
    <row r="4969" spans="1:11" x14ac:dyDescent="0.35">
      <c r="A4969">
        <v>4968</v>
      </c>
      <c r="B4969">
        <v>58</v>
      </c>
      <c r="C4969" t="s">
        <v>11</v>
      </c>
      <c r="D4969" t="s">
        <v>12</v>
      </c>
      <c r="E4969" t="s">
        <v>13</v>
      </c>
      <c r="F4969">
        <v>60.51</v>
      </c>
      <c r="G4969" t="s">
        <v>31</v>
      </c>
      <c r="H4969" t="s">
        <v>15</v>
      </c>
      <c r="I4969">
        <v>3.9</v>
      </c>
      <c r="J4969">
        <v>8</v>
      </c>
      <c r="K4969">
        <v>4</v>
      </c>
    </row>
    <row r="4970" spans="1:11" x14ac:dyDescent="0.35">
      <c r="A4970">
        <v>4969</v>
      </c>
      <c r="B4970">
        <v>34</v>
      </c>
      <c r="C4970" t="s">
        <v>16</v>
      </c>
      <c r="D4970" t="s">
        <v>22</v>
      </c>
      <c r="E4970" t="s">
        <v>43</v>
      </c>
      <c r="F4970">
        <v>34.950000000000003</v>
      </c>
      <c r="G4970" t="s">
        <v>24</v>
      </c>
      <c r="H4970" t="s">
        <v>37</v>
      </c>
      <c r="I4970">
        <v>3.6</v>
      </c>
      <c r="J4970">
        <v>8</v>
      </c>
      <c r="K4970">
        <v>4</v>
      </c>
    </row>
    <row r="4971" spans="1:11" x14ac:dyDescent="0.35">
      <c r="A4971">
        <v>4970</v>
      </c>
      <c r="B4971">
        <v>41</v>
      </c>
      <c r="C4971" t="s">
        <v>16</v>
      </c>
      <c r="D4971" t="s">
        <v>27</v>
      </c>
      <c r="E4971" t="s">
        <v>49</v>
      </c>
      <c r="F4971">
        <v>2442.98</v>
      </c>
      <c r="G4971" t="s">
        <v>19</v>
      </c>
      <c r="H4971" t="s">
        <v>15</v>
      </c>
      <c r="I4971">
        <v>4.8</v>
      </c>
      <c r="J4971">
        <v>10</v>
      </c>
      <c r="K4971">
        <v>5</v>
      </c>
    </row>
    <row r="4972" spans="1:11" x14ac:dyDescent="0.35">
      <c r="A4972">
        <v>4971</v>
      </c>
      <c r="B4972">
        <v>52</v>
      </c>
      <c r="C4972" t="s">
        <v>11</v>
      </c>
      <c r="D4972" t="s">
        <v>12</v>
      </c>
      <c r="E4972" t="s">
        <v>56</v>
      </c>
      <c r="F4972">
        <v>177.26</v>
      </c>
      <c r="G4972" t="s">
        <v>31</v>
      </c>
      <c r="H4972" t="s">
        <v>15</v>
      </c>
      <c r="I4972">
        <v>3.3</v>
      </c>
      <c r="J4972">
        <v>16</v>
      </c>
      <c r="K4972">
        <v>3</v>
      </c>
    </row>
    <row r="4973" spans="1:11" x14ac:dyDescent="0.35">
      <c r="A4973">
        <v>4972</v>
      </c>
      <c r="B4973">
        <v>24</v>
      </c>
      <c r="C4973" t="s">
        <v>16</v>
      </c>
      <c r="D4973" t="s">
        <v>17</v>
      </c>
      <c r="E4973" t="s">
        <v>48</v>
      </c>
      <c r="F4973">
        <v>161.44</v>
      </c>
      <c r="G4973" t="s">
        <v>24</v>
      </c>
      <c r="H4973" t="s">
        <v>15</v>
      </c>
      <c r="I4973">
        <v>3.7</v>
      </c>
      <c r="J4973">
        <v>16</v>
      </c>
      <c r="K4973">
        <v>3</v>
      </c>
    </row>
    <row r="4974" spans="1:11" x14ac:dyDescent="0.35">
      <c r="A4974">
        <v>4973</v>
      </c>
      <c r="B4974">
        <v>42</v>
      </c>
      <c r="C4974" t="s">
        <v>11</v>
      </c>
      <c r="D4974" t="s">
        <v>29</v>
      </c>
      <c r="E4974" t="s">
        <v>30</v>
      </c>
      <c r="F4974">
        <v>106.4</v>
      </c>
      <c r="G4974" t="s">
        <v>14</v>
      </c>
      <c r="H4974" t="s">
        <v>15</v>
      </c>
      <c r="I4974">
        <v>3.4</v>
      </c>
      <c r="J4974">
        <v>6</v>
      </c>
      <c r="K4974">
        <v>3</v>
      </c>
    </row>
    <row r="4975" spans="1:11" x14ac:dyDescent="0.35">
      <c r="A4975">
        <v>4974</v>
      </c>
      <c r="B4975">
        <v>53</v>
      </c>
      <c r="C4975" t="s">
        <v>16</v>
      </c>
      <c r="D4975" t="s">
        <v>20</v>
      </c>
      <c r="E4975" t="s">
        <v>21</v>
      </c>
      <c r="F4975">
        <v>130.37</v>
      </c>
      <c r="G4975" t="s">
        <v>19</v>
      </c>
      <c r="H4975" t="s">
        <v>15</v>
      </c>
      <c r="I4975">
        <v>4.5</v>
      </c>
      <c r="J4975">
        <v>6</v>
      </c>
      <c r="K4975">
        <v>3</v>
      </c>
    </row>
    <row r="4976" spans="1:11" x14ac:dyDescent="0.35">
      <c r="A4976">
        <v>4975</v>
      </c>
      <c r="B4976">
        <v>50</v>
      </c>
      <c r="C4976" t="s">
        <v>11</v>
      </c>
      <c r="D4976" t="s">
        <v>33</v>
      </c>
      <c r="E4976" t="s">
        <v>40</v>
      </c>
      <c r="F4976">
        <v>243.99</v>
      </c>
      <c r="G4976" t="s">
        <v>19</v>
      </c>
      <c r="H4976" t="s">
        <v>15</v>
      </c>
      <c r="I4976">
        <v>3.7</v>
      </c>
      <c r="J4976">
        <v>18</v>
      </c>
      <c r="K4976">
        <v>4</v>
      </c>
    </row>
    <row r="4977" spans="1:11" x14ac:dyDescent="0.35">
      <c r="A4977">
        <v>4976</v>
      </c>
      <c r="B4977">
        <v>47</v>
      </c>
      <c r="C4977" t="s">
        <v>11</v>
      </c>
      <c r="D4977" t="s">
        <v>12</v>
      </c>
      <c r="E4977" t="s">
        <v>13</v>
      </c>
      <c r="F4977">
        <v>162.51</v>
      </c>
      <c r="G4977" t="s">
        <v>31</v>
      </c>
      <c r="H4977" t="s">
        <v>15</v>
      </c>
      <c r="I4977">
        <v>5</v>
      </c>
      <c r="J4977">
        <v>22</v>
      </c>
      <c r="K4977">
        <v>6</v>
      </c>
    </row>
    <row r="4978" spans="1:11" x14ac:dyDescent="0.35">
      <c r="A4978">
        <v>4977</v>
      </c>
      <c r="B4978">
        <v>32</v>
      </c>
      <c r="C4978" t="s">
        <v>16</v>
      </c>
      <c r="D4978" t="s">
        <v>20</v>
      </c>
      <c r="E4978" t="s">
        <v>36</v>
      </c>
      <c r="F4978">
        <v>49.17</v>
      </c>
      <c r="G4978" t="s">
        <v>14</v>
      </c>
      <c r="H4978" t="s">
        <v>15</v>
      </c>
      <c r="I4978">
        <v>4.0999999999999996</v>
      </c>
      <c r="J4978">
        <v>10</v>
      </c>
      <c r="K4978">
        <v>5</v>
      </c>
    </row>
    <row r="4979" spans="1:11" x14ac:dyDescent="0.35">
      <c r="A4979">
        <v>4978</v>
      </c>
      <c r="B4979">
        <v>28</v>
      </c>
      <c r="C4979" t="s">
        <v>11</v>
      </c>
      <c r="D4979" t="s">
        <v>33</v>
      </c>
      <c r="E4979" t="s">
        <v>40</v>
      </c>
      <c r="F4979">
        <v>46.58</v>
      </c>
      <c r="G4979" t="s">
        <v>31</v>
      </c>
      <c r="H4979" t="s">
        <v>37</v>
      </c>
      <c r="I4979">
        <v>4.3</v>
      </c>
      <c r="J4979">
        <v>15</v>
      </c>
      <c r="K4979">
        <v>5</v>
      </c>
    </row>
    <row r="4980" spans="1:11" x14ac:dyDescent="0.35">
      <c r="A4980">
        <v>4979</v>
      </c>
      <c r="B4980">
        <v>48</v>
      </c>
      <c r="C4980" t="s">
        <v>16</v>
      </c>
      <c r="D4980" t="s">
        <v>27</v>
      </c>
      <c r="E4980" t="s">
        <v>28</v>
      </c>
      <c r="F4980">
        <v>1886.39</v>
      </c>
      <c r="G4980" t="s">
        <v>19</v>
      </c>
      <c r="H4980" t="s">
        <v>15</v>
      </c>
      <c r="I4980">
        <v>4.2</v>
      </c>
      <c r="J4980">
        <v>22</v>
      </c>
      <c r="K4980">
        <v>6</v>
      </c>
    </row>
    <row r="4981" spans="1:11" x14ac:dyDescent="0.35">
      <c r="A4981">
        <v>4980</v>
      </c>
      <c r="B4981">
        <v>65</v>
      </c>
      <c r="C4981" t="s">
        <v>11</v>
      </c>
      <c r="D4981" t="s">
        <v>41</v>
      </c>
      <c r="E4981" t="s">
        <v>42</v>
      </c>
      <c r="F4981">
        <v>150.06</v>
      </c>
      <c r="G4981" t="s">
        <v>24</v>
      </c>
      <c r="H4981" t="s">
        <v>15</v>
      </c>
      <c r="I4981">
        <v>3.4</v>
      </c>
      <c r="J4981">
        <v>12</v>
      </c>
      <c r="K4981">
        <v>6</v>
      </c>
    </row>
    <row r="4982" spans="1:11" x14ac:dyDescent="0.35">
      <c r="A4982">
        <v>4981</v>
      </c>
      <c r="B4982">
        <v>58</v>
      </c>
      <c r="C4982" t="s">
        <v>11</v>
      </c>
      <c r="D4982" t="s">
        <v>29</v>
      </c>
      <c r="E4982" t="s">
        <v>51</v>
      </c>
      <c r="F4982">
        <v>21.63</v>
      </c>
      <c r="G4982" t="s">
        <v>14</v>
      </c>
      <c r="H4982" t="s">
        <v>15</v>
      </c>
      <c r="I4982">
        <v>3.8</v>
      </c>
      <c r="J4982">
        <v>18</v>
      </c>
      <c r="K4982">
        <v>4</v>
      </c>
    </row>
    <row r="4983" spans="1:11" x14ac:dyDescent="0.35">
      <c r="A4983">
        <v>4982</v>
      </c>
      <c r="B4983">
        <v>31</v>
      </c>
      <c r="C4983" t="s">
        <v>11</v>
      </c>
      <c r="D4983" t="s">
        <v>33</v>
      </c>
      <c r="E4983" t="s">
        <v>40</v>
      </c>
      <c r="F4983">
        <v>180.25</v>
      </c>
      <c r="G4983" t="s">
        <v>31</v>
      </c>
      <c r="H4983" t="s">
        <v>15</v>
      </c>
      <c r="I4983">
        <v>5</v>
      </c>
      <c r="J4983">
        <v>29</v>
      </c>
      <c r="K4983">
        <v>12</v>
      </c>
    </row>
    <row r="4984" spans="1:11" x14ac:dyDescent="0.35">
      <c r="A4984">
        <v>4983</v>
      </c>
      <c r="B4984">
        <v>31</v>
      </c>
      <c r="C4984" t="s">
        <v>16</v>
      </c>
      <c r="D4984" t="s">
        <v>27</v>
      </c>
      <c r="E4984" t="s">
        <v>32</v>
      </c>
      <c r="F4984">
        <v>2163.69</v>
      </c>
      <c r="G4984" t="s">
        <v>31</v>
      </c>
      <c r="H4984" t="s">
        <v>15</v>
      </c>
      <c r="I4984">
        <v>4.0999999999999996</v>
      </c>
      <c r="J4984">
        <v>10</v>
      </c>
      <c r="K4984">
        <v>5</v>
      </c>
    </row>
    <row r="4985" spans="1:11" x14ac:dyDescent="0.35">
      <c r="A4985">
        <v>4984</v>
      </c>
      <c r="B4985">
        <v>47</v>
      </c>
      <c r="C4985" t="s">
        <v>11</v>
      </c>
      <c r="D4985" t="s">
        <v>33</v>
      </c>
      <c r="E4985" t="s">
        <v>34</v>
      </c>
      <c r="F4985">
        <v>231.35</v>
      </c>
      <c r="G4985" t="s">
        <v>19</v>
      </c>
      <c r="H4985" t="s">
        <v>15</v>
      </c>
      <c r="I4985">
        <v>2.7</v>
      </c>
      <c r="J4985">
        <v>16</v>
      </c>
      <c r="K4985">
        <v>3</v>
      </c>
    </row>
    <row r="4986" spans="1:11" x14ac:dyDescent="0.35">
      <c r="A4986">
        <v>4985</v>
      </c>
      <c r="B4986">
        <v>50</v>
      </c>
      <c r="C4986" t="s">
        <v>16</v>
      </c>
      <c r="D4986" t="s">
        <v>20</v>
      </c>
      <c r="E4986" t="s">
        <v>36</v>
      </c>
      <c r="F4986">
        <v>133.91</v>
      </c>
      <c r="G4986" t="s">
        <v>14</v>
      </c>
      <c r="H4986" t="s">
        <v>15</v>
      </c>
      <c r="I4986">
        <v>5</v>
      </c>
      <c r="J4986">
        <v>12</v>
      </c>
      <c r="K4986">
        <v>6</v>
      </c>
    </row>
    <row r="4987" spans="1:11" x14ac:dyDescent="0.35">
      <c r="A4987">
        <v>4986</v>
      </c>
      <c r="B4987">
        <v>22</v>
      </c>
      <c r="C4987" t="s">
        <v>11</v>
      </c>
      <c r="D4987" t="s">
        <v>33</v>
      </c>
      <c r="E4987" t="s">
        <v>40</v>
      </c>
      <c r="F4987">
        <v>158.22999999999999</v>
      </c>
      <c r="G4987" t="s">
        <v>31</v>
      </c>
      <c r="H4987" t="s">
        <v>15</v>
      </c>
      <c r="I4987">
        <v>3.7</v>
      </c>
      <c r="J4987">
        <v>9</v>
      </c>
      <c r="K4987">
        <v>2</v>
      </c>
    </row>
    <row r="4988" spans="1:11" x14ac:dyDescent="0.35">
      <c r="A4988">
        <v>4987</v>
      </c>
      <c r="B4988">
        <v>29</v>
      </c>
      <c r="C4988" t="s">
        <v>16</v>
      </c>
      <c r="D4988" t="s">
        <v>17</v>
      </c>
      <c r="E4988" t="s">
        <v>48</v>
      </c>
      <c r="F4988">
        <v>62.95</v>
      </c>
      <c r="G4988" t="s">
        <v>24</v>
      </c>
      <c r="H4988" t="s">
        <v>37</v>
      </c>
      <c r="I4988">
        <v>5</v>
      </c>
      <c r="J4988">
        <v>22</v>
      </c>
      <c r="K4988">
        <v>6</v>
      </c>
    </row>
    <row r="4989" spans="1:11" x14ac:dyDescent="0.35">
      <c r="A4989">
        <v>4988</v>
      </c>
      <c r="B4989">
        <v>45</v>
      </c>
      <c r="C4989" t="s">
        <v>16</v>
      </c>
      <c r="D4989" t="s">
        <v>33</v>
      </c>
      <c r="E4989" t="s">
        <v>34</v>
      </c>
      <c r="F4989">
        <v>214.69</v>
      </c>
      <c r="G4989" t="s">
        <v>31</v>
      </c>
      <c r="H4989" t="s">
        <v>15</v>
      </c>
      <c r="I4989">
        <v>4.5</v>
      </c>
      <c r="J4989">
        <v>20</v>
      </c>
      <c r="K4989">
        <v>5</v>
      </c>
    </row>
    <row r="4990" spans="1:11" x14ac:dyDescent="0.35">
      <c r="A4990">
        <v>4989</v>
      </c>
      <c r="B4990">
        <v>69</v>
      </c>
      <c r="C4990" t="s">
        <v>16</v>
      </c>
      <c r="D4990" t="s">
        <v>33</v>
      </c>
      <c r="E4990" t="s">
        <v>34</v>
      </c>
      <c r="F4990">
        <v>172.99</v>
      </c>
      <c r="G4990" t="s">
        <v>19</v>
      </c>
      <c r="H4990" t="s">
        <v>15</v>
      </c>
      <c r="I4990">
        <v>3.9</v>
      </c>
      <c r="J4990">
        <v>2</v>
      </c>
      <c r="K4990">
        <v>1</v>
      </c>
    </row>
    <row r="4991" spans="1:11" x14ac:dyDescent="0.35">
      <c r="A4991">
        <v>4990</v>
      </c>
      <c r="B4991">
        <v>39</v>
      </c>
      <c r="C4991" t="s">
        <v>11</v>
      </c>
      <c r="D4991" t="s">
        <v>12</v>
      </c>
      <c r="E4991" t="s">
        <v>50</v>
      </c>
      <c r="F4991">
        <v>147.24</v>
      </c>
      <c r="G4991" t="s">
        <v>24</v>
      </c>
      <c r="H4991" t="s">
        <v>15</v>
      </c>
      <c r="I4991">
        <v>3.7</v>
      </c>
      <c r="J4991">
        <v>4</v>
      </c>
      <c r="K4991">
        <v>2</v>
      </c>
    </row>
    <row r="4992" spans="1:11" x14ac:dyDescent="0.35">
      <c r="A4992">
        <v>4991</v>
      </c>
      <c r="B4992">
        <v>28</v>
      </c>
      <c r="C4992" t="s">
        <v>11</v>
      </c>
      <c r="D4992" t="s">
        <v>25</v>
      </c>
      <c r="E4992" t="s">
        <v>26</v>
      </c>
      <c r="F4992">
        <v>55.74</v>
      </c>
      <c r="G4992" t="s">
        <v>24</v>
      </c>
      <c r="H4992" t="s">
        <v>15</v>
      </c>
      <c r="I4992">
        <v>2.6</v>
      </c>
      <c r="J4992">
        <v>24</v>
      </c>
      <c r="K4992">
        <v>7</v>
      </c>
    </row>
    <row r="4993" spans="1:11" x14ac:dyDescent="0.35">
      <c r="A4993">
        <v>4992</v>
      </c>
      <c r="B4993">
        <v>41</v>
      </c>
      <c r="C4993" t="s">
        <v>16</v>
      </c>
      <c r="D4993" t="s">
        <v>20</v>
      </c>
      <c r="E4993" t="s">
        <v>21</v>
      </c>
      <c r="F4993">
        <v>167.22</v>
      </c>
      <c r="G4993" t="s">
        <v>31</v>
      </c>
      <c r="H4993" t="s">
        <v>15</v>
      </c>
      <c r="I4993">
        <v>3</v>
      </c>
      <c r="J4993">
        <v>11</v>
      </c>
      <c r="K4993">
        <v>3</v>
      </c>
    </row>
    <row r="4994" spans="1:11" x14ac:dyDescent="0.35">
      <c r="A4994">
        <v>4993</v>
      </c>
      <c r="B4994">
        <v>48</v>
      </c>
      <c r="C4994" t="s">
        <v>16</v>
      </c>
      <c r="D4994" t="s">
        <v>20</v>
      </c>
      <c r="E4994" t="s">
        <v>21</v>
      </c>
      <c r="F4994">
        <v>152.94</v>
      </c>
      <c r="G4994" t="s">
        <v>24</v>
      </c>
      <c r="H4994" t="s">
        <v>15</v>
      </c>
      <c r="I4994">
        <v>4.7</v>
      </c>
      <c r="J4994">
        <v>12</v>
      </c>
      <c r="K4994">
        <v>6</v>
      </c>
    </row>
    <row r="4995" spans="1:11" x14ac:dyDescent="0.35">
      <c r="A4995">
        <v>4994</v>
      </c>
      <c r="B4995">
        <v>69</v>
      </c>
      <c r="C4995" t="s">
        <v>11</v>
      </c>
      <c r="D4995" t="s">
        <v>41</v>
      </c>
      <c r="E4995" t="s">
        <v>42</v>
      </c>
      <c r="F4995">
        <v>63.26</v>
      </c>
      <c r="G4995" t="s">
        <v>14</v>
      </c>
      <c r="H4995" t="s">
        <v>37</v>
      </c>
      <c r="I4995">
        <v>3.2</v>
      </c>
      <c r="J4995">
        <v>28</v>
      </c>
      <c r="K4995">
        <v>9</v>
      </c>
    </row>
    <row r="4996" spans="1:11" x14ac:dyDescent="0.35">
      <c r="A4996">
        <v>4995</v>
      </c>
      <c r="B4996">
        <v>20</v>
      </c>
      <c r="C4996" t="s">
        <v>16</v>
      </c>
      <c r="D4996" t="s">
        <v>20</v>
      </c>
      <c r="E4996" t="s">
        <v>39</v>
      </c>
      <c r="F4996">
        <v>124.24</v>
      </c>
      <c r="G4996" t="s">
        <v>19</v>
      </c>
      <c r="H4996" t="s">
        <v>15</v>
      </c>
      <c r="I4996">
        <v>4.4000000000000004</v>
      </c>
      <c r="J4996">
        <v>14</v>
      </c>
      <c r="K4996">
        <v>2</v>
      </c>
    </row>
    <row r="4997" spans="1:11" x14ac:dyDescent="0.35">
      <c r="A4997">
        <v>4996</v>
      </c>
      <c r="B4997">
        <v>44</v>
      </c>
      <c r="C4997" t="s">
        <v>11</v>
      </c>
      <c r="D4997" t="s">
        <v>12</v>
      </c>
      <c r="E4997" t="s">
        <v>50</v>
      </c>
      <c r="F4997">
        <v>172.64</v>
      </c>
      <c r="G4997" t="s">
        <v>24</v>
      </c>
      <c r="H4997" t="s">
        <v>15</v>
      </c>
      <c r="I4997">
        <v>3.6</v>
      </c>
      <c r="J4997">
        <v>20</v>
      </c>
      <c r="K4997">
        <v>5</v>
      </c>
    </row>
    <row r="4998" spans="1:11" x14ac:dyDescent="0.35">
      <c r="A4998">
        <v>4997</v>
      </c>
      <c r="B4998">
        <v>59</v>
      </c>
      <c r="C4998" t="s">
        <v>16</v>
      </c>
      <c r="D4998" t="s">
        <v>25</v>
      </c>
      <c r="E4998" t="s">
        <v>57</v>
      </c>
      <c r="F4998">
        <v>54</v>
      </c>
      <c r="G4998" t="s">
        <v>19</v>
      </c>
      <c r="H4998" t="s">
        <v>37</v>
      </c>
      <c r="I4998">
        <v>3.8</v>
      </c>
      <c r="J4998">
        <v>14</v>
      </c>
      <c r="K4998">
        <v>2</v>
      </c>
    </row>
    <row r="4999" spans="1:11" x14ac:dyDescent="0.35">
      <c r="A4999">
        <v>4998</v>
      </c>
      <c r="B4999">
        <v>41</v>
      </c>
      <c r="C4999" t="s">
        <v>11</v>
      </c>
      <c r="D4999" t="s">
        <v>12</v>
      </c>
      <c r="E4999" t="s">
        <v>13</v>
      </c>
      <c r="F4999">
        <v>159.33000000000001</v>
      </c>
      <c r="G4999" t="s">
        <v>14</v>
      </c>
      <c r="H4999" t="s">
        <v>15</v>
      </c>
      <c r="I4999">
        <v>4.3</v>
      </c>
      <c r="J4999">
        <v>26</v>
      </c>
      <c r="K4999">
        <v>8</v>
      </c>
    </row>
    <row r="5000" spans="1:11" x14ac:dyDescent="0.35">
      <c r="A5000">
        <v>4999</v>
      </c>
      <c r="B5000">
        <v>63</v>
      </c>
      <c r="C5000" t="s">
        <v>11</v>
      </c>
      <c r="D5000" t="s">
        <v>41</v>
      </c>
      <c r="E5000" t="s">
        <v>44</v>
      </c>
      <c r="F5000">
        <v>173.82</v>
      </c>
      <c r="G5000" t="s">
        <v>14</v>
      </c>
      <c r="H5000" t="s">
        <v>15</v>
      </c>
      <c r="I5000">
        <v>4.8</v>
      </c>
      <c r="J5000">
        <v>26</v>
      </c>
      <c r="K5000">
        <v>8</v>
      </c>
    </row>
    <row r="5001" spans="1:11" x14ac:dyDescent="0.35">
      <c r="A5001">
        <v>5000</v>
      </c>
      <c r="B5001">
        <v>41</v>
      </c>
      <c r="C5001" t="s">
        <v>11</v>
      </c>
      <c r="D5001" t="s">
        <v>33</v>
      </c>
      <c r="E5001" t="s">
        <v>38</v>
      </c>
      <c r="F5001">
        <v>55.39</v>
      </c>
      <c r="G5001" t="s">
        <v>14</v>
      </c>
      <c r="H5001" t="s">
        <v>37</v>
      </c>
      <c r="I5001">
        <v>4.0999999999999996</v>
      </c>
      <c r="J5001">
        <v>19</v>
      </c>
      <c r="K5001">
        <v>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001"/>
  <sheetViews>
    <sheetView workbookViewId="0">
      <selection activeCell="I13" sqref="I13"/>
    </sheetView>
  </sheetViews>
  <sheetFormatPr defaultRowHeight="14.5" x14ac:dyDescent="0.35"/>
  <cols>
    <col min="1" max="1" width="10.81640625" bestFit="1" customWidth="1"/>
    <col min="3" max="3" width="11.81640625" bestFit="1" customWidth="1"/>
    <col min="9" max="9" width="15.08984375" bestFit="1" customWidth="1"/>
    <col min="10" max="10" width="10" bestFit="1" customWidth="1"/>
    <col min="11" max="11" width="17.453125" bestFit="1" customWidth="1"/>
    <col min="12" max="12" width="17.453125" customWidth="1"/>
    <col min="13" max="13" width="16.54296875" bestFit="1" customWidth="1"/>
  </cols>
  <sheetData>
    <row r="1" spans="1:14" x14ac:dyDescent="0.35">
      <c r="A1" s="1" t="s">
        <v>0</v>
      </c>
      <c r="B1" s="1" t="s">
        <v>1</v>
      </c>
      <c r="C1" s="1" t="s">
        <v>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59</v>
      </c>
      <c r="M1" s="1" t="s">
        <v>10</v>
      </c>
      <c r="N1" s="1" t="s">
        <v>58</v>
      </c>
    </row>
    <row r="2" spans="1:14" x14ac:dyDescent="0.35">
      <c r="A2">
        <v>1</v>
      </c>
      <c r="B2">
        <v>58</v>
      </c>
      <c r="C2" t="str">
        <f>IF(B2&lt;=30,"Youth",IF(B2&lt;=45,"Adult",IF(B2&lt;=60,"Adult","Senior")))</f>
        <v>Adult</v>
      </c>
      <c r="D2" t="s">
        <v>11</v>
      </c>
      <c r="E2" t="s">
        <v>12</v>
      </c>
      <c r="F2" t="s">
        <v>13</v>
      </c>
      <c r="G2">
        <v>115.5</v>
      </c>
      <c r="H2" t="s">
        <v>14</v>
      </c>
      <c r="I2" t="s">
        <v>15</v>
      </c>
      <c r="J2">
        <v>3.5</v>
      </c>
      <c r="K2">
        <v>18</v>
      </c>
      <c r="L2">
        <f>G2*(1-K2/100)</f>
        <v>94.710000000000008</v>
      </c>
      <c r="M2">
        <v>4</v>
      </c>
      <c r="N2" t="str">
        <f>IF(M2&lt;=3,"New",IF(M2&lt;=7,"Regular","Loyal"))</f>
        <v>Regular</v>
      </c>
    </row>
    <row r="3" spans="1:14" x14ac:dyDescent="0.35">
      <c r="A3">
        <v>2</v>
      </c>
      <c r="B3">
        <v>40</v>
      </c>
      <c r="C3" t="str">
        <f t="shared" ref="C3:C66" si="0">IF(B3&lt;=30,"Youth",IF(B3&lt;=45,"Adult",IF(B3&lt;=60,"Adult","Senior")))</f>
        <v>Adult</v>
      </c>
      <c r="D3" t="s">
        <v>16</v>
      </c>
      <c r="E3" t="s">
        <v>17</v>
      </c>
      <c r="F3" t="s">
        <v>18</v>
      </c>
      <c r="G3">
        <v>103.43</v>
      </c>
      <c r="H3" t="s">
        <v>19</v>
      </c>
      <c r="I3" t="s">
        <v>15</v>
      </c>
      <c r="J3">
        <v>4.0999999999999996</v>
      </c>
      <c r="K3">
        <v>13</v>
      </c>
      <c r="L3">
        <f t="shared" ref="L3:L66" si="1">G3*(1-K3/100)</f>
        <v>89.984100000000012</v>
      </c>
      <c r="M3">
        <v>4</v>
      </c>
      <c r="N3" t="str">
        <f t="shared" ref="N3:N66" si="2">IF(M3&lt;=3,"New",IF(M3&lt;=7,"Regular","Loyal"))</f>
        <v>Regular</v>
      </c>
    </row>
    <row r="4" spans="1:14" x14ac:dyDescent="0.35">
      <c r="A4">
        <v>3</v>
      </c>
      <c r="B4">
        <v>66</v>
      </c>
      <c r="C4" t="str">
        <f t="shared" si="0"/>
        <v>Senior</v>
      </c>
      <c r="D4" t="s">
        <v>11</v>
      </c>
      <c r="E4" t="s">
        <v>20</v>
      </c>
      <c r="F4" t="s">
        <v>21</v>
      </c>
      <c r="G4">
        <v>35.450000000000003</v>
      </c>
      <c r="H4" t="s">
        <v>19</v>
      </c>
      <c r="I4" t="s">
        <v>15</v>
      </c>
      <c r="J4">
        <v>3.3</v>
      </c>
      <c r="K4">
        <v>11</v>
      </c>
      <c r="L4">
        <f t="shared" si="1"/>
        <v>31.550500000000003</v>
      </c>
      <c r="M4">
        <v>3</v>
      </c>
      <c r="N4" t="str">
        <f t="shared" si="2"/>
        <v>New</v>
      </c>
    </row>
    <row r="5" spans="1:14" x14ac:dyDescent="0.35">
      <c r="A5">
        <v>4</v>
      </c>
      <c r="B5">
        <v>39</v>
      </c>
      <c r="C5" t="str">
        <f t="shared" si="0"/>
        <v>Adult</v>
      </c>
      <c r="D5" t="s">
        <v>11</v>
      </c>
      <c r="E5" t="s">
        <v>12</v>
      </c>
      <c r="F5" t="s">
        <v>13</v>
      </c>
      <c r="G5">
        <v>153.31</v>
      </c>
      <c r="H5" t="s">
        <v>19</v>
      </c>
      <c r="I5" t="s">
        <v>15</v>
      </c>
      <c r="J5">
        <v>4.4000000000000004</v>
      </c>
      <c r="K5">
        <v>13</v>
      </c>
      <c r="L5">
        <f t="shared" si="1"/>
        <v>133.37970000000001</v>
      </c>
      <c r="M5">
        <v>4</v>
      </c>
      <c r="N5" t="str">
        <f t="shared" si="2"/>
        <v>Regular</v>
      </c>
    </row>
    <row r="6" spans="1:14" x14ac:dyDescent="0.35">
      <c r="A6">
        <v>5</v>
      </c>
      <c r="B6">
        <v>23</v>
      </c>
      <c r="C6" t="str">
        <f t="shared" si="0"/>
        <v>Youth</v>
      </c>
      <c r="D6" t="s">
        <v>11</v>
      </c>
      <c r="E6" t="s">
        <v>22</v>
      </c>
      <c r="F6" t="s">
        <v>23</v>
      </c>
      <c r="G6">
        <v>151.43</v>
      </c>
      <c r="H6" t="s">
        <v>24</v>
      </c>
      <c r="I6" t="s">
        <v>15</v>
      </c>
      <c r="J6">
        <v>4.0999999999999996</v>
      </c>
      <c r="K6">
        <v>20</v>
      </c>
      <c r="L6">
        <f t="shared" si="1"/>
        <v>121.14400000000001</v>
      </c>
      <c r="M6">
        <v>10</v>
      </c>
      <c r="N6" t="str">
        <f t="shared" si="2"/>
        <v>Loyal</v>
      </c>
    </row>
    <row r="7" spans="1:14" x14ac:dyDescent="0.35">
      <c r="A7">
        <v>6</v>
      </c>
      <c r="B7">
        <v>48</v>
      </c>
      <c r="C7" t="str">
        <f t="shared" si="0"/>
        <v>Adult</v>
      </c>
      <c r="D7" t="s">
        <v>16</v>
      </c>
      <c r="E7" t="s">
        <v>25</v>
      </c>
      <c r="F7" t="s">
        <v>26</v>
      </c>
      <c r="G7">
        <v>36.76</v>
      </c>
      <c r="H7" t="s">
        <v>14</v>
      </c>
      <c r="I7" t="s">
        <v>15</v>
      </c>
      <c r="J7">
        <v>2.5</v>
      </c>
      <c r="K7">
        <v>14</v>
      </c>
      <c r="L7">
        <f t="shared" si="1"/>
        <v>31.613599999999998</v>
      </c>
      <c r="M7">
        <v>2</v>
      </c>
      <c r="N7" t="str">
        <f t="shared" si="2"/>
        <v>New</v>
      </c>
    </row>
    <row r="8" spans="1:14" x14ac:dyDescent="0.35">
      <c r="A8">
        <v>7</v>
      </c>
      <c r="B8">
        <v>54</v>
      </c>
      <c r="C8" t="str">
        <f t="shared" si="0"/>
        <v>Adult</v>
      </c>
      <c r="D8" t="s">
        <v>16</v>
      </c>
      <c r="E8" t="s">
        <v>27</v>
      </c>
      <c r="F8" t="s">
        <v>28</v>
      </c>
      <c r="G8">
        <v>1396.16</v>
      </c>
      <c r="H8" t="s">
        <v>14</v>
      </c>
      <c r="I8" t="s">
        <v>15</v>
      </c>
      <c r="J8">
        <v>4.7</v>
      </c>
      <c r="K8">
        <v>18</v>
      </c>
      <c r="L8">
        <f t="shared" si="1"/>
        <v>1144.8512000000001</v>
      </c>
      <c r="M8">
        <v>4</v>
      </c>
      <c r="N8" t="str">
        <f t="shared" si="2"/>
        <v>Regular</v>
      </c>
    </row>
    <row r="9" spans="1:14" x14ac:dyDescent="0.35">
      <c r="A9">
        <v>8</v>
      </c>
      <c r="B9">
        <v>59</v>
      </c>
      <c r="C9" t="str">
        <f t="shared" si="0"/>
        <v>Adult</v>
      </c>
      <c r="D9" t="s">
        <v>11</v>
      </c>
      <c r="E9" t="s">
        <v>29</v>
      </c>
      <c r="F9" t="s">
        <v>30</v>
      </c>
      <c r="G9">
        <v>35.549999999999997</v>
      </c>
      <c r="H9" t="s">
        <v>31</v>
      </c>
      <c r="I9" t="s">
        <v>15</v>
      </c>
      <c r="J9">
        <v>4.5999999999999996</v>
      </c>
      <c r="K9">
        <v>14</v>
      </c>
      <c r="L9">
        <f t="shared" si="1"/>
        <v>30.572999999999997</v>
      </c>
      <c r="M9">
        <v>7</v>
      </c>
      <c r="N9" t="str">
        <f t="shared" si="2"/>
        <v>Regular</v>
      </c>
    </row>
    <row r="10" spans="1:14" x14ac:dyDescent="0.35">
      <c r="A10">
        <v>9</v>
      </c>
      <c r="B10">
        <v>51</v>
      </c>
      <c r="C10" t="str">
        <f t="shared" si="0"/>
        <v>Adult</v>
      </c>
      <c r="D10" t="s">
        <v>16</v>
      </c>
      <c r="E10" t="s">
        <v>27</v>
      </c>
      <c r="F10" t="s">
        <v>32</v>
      </c>
      <c r="G10">
        <v>2238.79</v>
      </c>
      <c r="H10" t="s">
        <v>19</v>
      </c>
      <c r="I10" t="s">
        <v>15</v>
      </c>
      <c r="J10">
        <v>4.3</v>
      </c>
      <c r="K10">
        <v>20</v>
      </c>
      <c r="L10">
        <f t="shared" si="1"/>
        <v>1791.0320000000002</v>
      </c>
      <c r="M10">
        <v>5</v>
      </c>
      <c r="N10" t="str">
        <f t="shared" si="2"/>
        <v>Regular</v>
      </c>
    </row>
    <row r="11" spans="1:14" x14ac:dyDescent="0.35">
      <c r="A11">
        <v>10</v>
      </c>
      <c r="B11">
        <v>47</v>
      </c>
      <c r="C11" t="str">
        <f t="shared" si="0"/>
        <v>Adult</v>
      </c>
      <c r="D11" t="s">
        <v>11</v>
      </c>
      <c r="E11" t="s">
        <v>33</v>
      </c>
      <c r="F11" t="s">
        <v>34</v>
      </c>
      <c r="G11">
        <v>225.49</v>
      </c>
      <c r="H11" t="s">
        <v>19</v>
      </c>
      <c r="I11" t="s">
        <v>15</v>
      </c>
      <c r="J11">
        <v>4.7</v>
      </c>
      <c r="K11">
        <v>18</v>
      </c>
      <c r="L11">
        <f t="shared" si="1"/>
        <v>184.90180000000001</v>
      </c>
      <c r="M11">
        <v>4</v>
      </c>
      <c r="N11" t="str">
        <f t="shared" si="2"/>
        <v>Regular</v>
      </c>
    </row>
    <row r="12" spans="1:14" x14ac:dyDescent="0.35">
      <c r="A12">
        <v>11</v>
      </c>
      <c r="B12">
        <v>32</v>
      </c>
      <c r="C12" t="str">
        <f t="shared" si="0"/>
        <v>Adult</v>
      </c>
      <c r="D12" t="s">
        <v>16</v>
      </c>
      <c r="E12" t="s">
        <v>17</v>
      </c>
      <c r="F12" t="s">
        <v>35</v>
      </c>
      <c r="G12">
        <v>120.8</v>
      </c>
      <c r="H12" t="s">
        <v>19</v>
      </c>
      <c r="I12" t="s">
        <v>15</v>
      </c>
      <c r="J12">
        <v>3.2</v>
      </c>
      <c r="K12">
        <v>8</v>
      </c>
      <c r="L12">
        <f t="shared" si="1"/>
        <v>111.136</v>
      </c>
      <c r="M12">
        <v>4</v>
      </c>
      <c r="N12" t="str">
        <f t="shared" si="2"/>
        <v>Regular</v>
      </c>
    </row>
    <row r="13" spans="1:14" x14ac:dyDescent="0.35">
      <c r="A13">
        <v>12</v>
      </c>
      <c r="B13">
        <v>31</v>
      </c>
      <c r="C13" t="str">
        <f t="shared" si="0"/>
        <v>Adult</v>
      </c>
      <c r="D13" t="s">
        <v>11</v>
      </c>
      <c r="E13" t="s">
        <v>12</v>
      </c>
      <c r="F13" t="s">
        <v>13</v>
      </c>
      <c r="G13">
        <v>43.69</v>
      </c>
      <c r="H13" t="s">
        <v>31</v>
      </c>
      <c r="I13" t="s">
        <v>15</v>
      </c>
      <c r="J13">
        <v>3.6</v>
      </c>
      <c r="K13">
        <v>8</v>
      </c>
      <c r="L13">
        <f t="shared" si="1"/>
        <v>40.194800000000001</v>
      </c>
      <c r="M13">
        <v>4</v>
      </c>
      <c r="N13" t="str">
        <f t="shared" si="2"/>
        <v>Regular</v>
      </c>
    </row>
    <row r="14" spans="1:14" x14ac:dyDescent="0.35">
      <c r="A14">
        <v>13</v>
      </c>
      <c r="B14">
        <v>21</v>
      </c>
      <c r="C14" t="str">
        <f t="shared" si="0"/>
        <v>Youth</v>
      </c>
      <c r="D14" t="s">
        <v>16</v>
      </c>
      <c r="E14" t="s">
        <v>20</v>
      </c>
      <c r="F14" t="s">
        <v>36</v>
      </c>
      <c r="G14">
        <v>79.459999999999994</v>
      </c>
      <c r="H14" t="s">
        <v>24</v>
      </c>
      <c r="I14" t="s">
        <v>37</v>
      </c>
      <c r="J14">
        <v>3.8</v>
      </c>
      <c r="K14">
        <v>16</v>
      </c>
      <c r="L14">
        <f t="shared" si="1"/>
        <v>66.746399999999994</v>
      </c>
      <c r="M14">
        <v>8</v>
      </c>
      <c r="N14" t="str">
        <f t="shared" si="2"/>
        <v>Loyal</v>
      </c>
    </row>
    <row r="15" spans="1:14" x14ac:dyDescent="0.35">
      <c r="A15">
        <v>14</v>
      </c>
      <c r="B15">
        <v>22</v>
      </c>
      <c r="C15" t="str">
        <f t="shared" si="0"/>
        <v>Youth</v>
      </c>
      <c r="D15" t="s">
        <v>11</v>
      </c>
      <c r="E15" t="s">
        <v>33</v>
      </c>
      <c r="F15" t="s">
        <v>38</v>
      </c>
      <c r="G15">
        <v>189.34</v>
      </c>
      <c r="H15" t="s">
        <v>31</v>
      </c>
      <c r="I15" t="s">
        <v>15</v>
      </c>
      <c r="J15">
        <v>2.9</v>
      </c>
      <c r="K15">
        <v>10</v>
      </c>
      <c r="L15">
        <f t="shared" si="1"/>
        <v>170.40600000000001</v>
      </c>
      <c r="M15">
        <v>5</v>
      </c>
      <c r="N15" t="str">
        <f t="shared" si="2"/>
        <v>Regular</v>
      </c>
    </row>
    <row r="16" spans="1:14" x14ac:dyDescent="0.35">
      <c r="A16">
        <v>15</v>
      </c>
      <c r="B16">
        <v>47</v>
      </c>
      <c r="C16" t="str">
        <f t="shared" si="0"/>
        <v>Adult</v>
      </c>
      <c r="D16" t="s">
        <v>16</v>
      </c>
      <c r="E16" t="s">
        <v>20</v>
      </c>
      <c r="F16" t="s">
        <v>39</v>
      </c>
      <c r="G16">
        <v>222.4</v>
      </c>
      <c r="H16" t="s">
        <v>24</v>
      </c>
      <c r="I16" t="s">
        <v>15</v>
      </c>
      <c r="J16">
        <v>3.9</v>
      </c>
      <c r="K16">
        <v>12</v>
      </c>
      <c r="L16">
        <f t="shared" si="1"/>
        <v>195.71200000000002</v>
      </c>
      <c r="M16">
        <v>6</v>
      </c>
      <c r="N16" t="str">
        <f t="shared" si="2"/>
        <v>Regular</v>
      </c>
    </row>
    <row r="17" spans="1:14" x14ac:dyDescent="0.35">
      <c r="A17">
        <v>16</v>
      </c>
      <c r="B17">
        <v>60</v>
      </c>
      <c r="C17" t="str">
        <f t="shared" si="0"/>
        <v>Adult</v>
      </c>
      <c r="D17" t="s">
        <v>16</v>
      </c>
      <c r="E17" t="s">
        <v>20</v>
      </c>
      <c r="F17" t="s">
        <v>39</v>
      </c>
      <c r="G17">
        <v>217.67</v>
      </c>
      <c r="H17" t="s">
        <v>19</v>
      </c>
      <c r="I17" t="s">
        <v>15</v>
      </c>
      <c r="J17">
        <v>4.5999999999999996</v>
      </c>
      <c r="K17">
        <v>27</v>
      </c>
      <c r="L17">
        <f t="shared" si="1"/>
        <v>158.89909999999998</v>
      </c>
      <c r="M17">
        <v>11</v>
      </c>
      <c r="N17" t="str">
        <f t="shared" si="2"/>
        <v>Loyal</v>
      </c>
    </row>
    <row r="18" spans="1:14" x14ac:dyDescent="0.35">
      <c r="A18">
        <v>17</v>
      </c>
      <c r="B18">
        <v>54</v>
      </c>
      <c r="C18" t="str">
        <f t="shared" si="0"/>
        <v>Adult</v>
      </c>
      <c r="D18" t="s">
        <v>11</v>
      </c>
      <c r="E18" t="s">
        <v>33</v>
      </c>
      <c r="F18" t="s">
        <v>40</v>
      </c>
      <c r="G18">
        <v>43.8</v>
      </c>
      <c r="H18" t="s">
        <v>19</v>
      </c>
      <c r="I18" t="s">
        <v>37</v>
      </c>
      <c r="J18">
        <v>2.9</v>
      </c>
      <c r="K18">
        <v>20</v>
      </c>
      <c r="L18">
        <f t="shared" si="1"/>
        <v>35.04</v>
      </c>
      <c r="M18">
        <v>5</v>
      </c>
      <c r="N18" t="str">
        <f t="shared" si="2"/>
        <v>Regular</v>
      </c>
    </row>
    <row r="19" spans="1:14" x14ac:dyDescent="0.35">
      <c r="A19">
        <v>18</v>
      </c>
      <c r="B19">
        <v>57</v>
      </c>
      <c r="C19" t="str">
        <f t="shared" si="0"/>
        <v>Adult</v>
      </c>
      <c r="D19" t="s">
        <v>11</v>
      </c>
      <c r="E19" t="s">
        <v>41</v>
      </c>
      <c r="F19" t="s">
        <v>42</v>
      </c>
      <c r="G19">
        <v>137.29</v>
      </c>
      <c r="H19" t="s">
        <v>14</v>
      </c>
      <c r="I19" t="s">
        <v>15</v>
      </c>
      <c r="J19">
        <v>3.4</v>
      </c>
      <c r="K19">
        <v>22</v>
      </c>
      <c r="L19">
        <f t="shared" si="1"/>
        <v>107.08619999999999</v>
      </c>
      <c r="M19">
        <v>6</v>
      </c>
      <c r="N19" t="str">
        <f t="shared" si="2"/>
        <v>Regular</v>
      </c>
    </row>
    <row r="20" spans="1:14" x14ac:dyDescent="0.35">
      <c r="A20">
        <v>19</v>
      </c>
      <c r="B20">
        <v>68</v>
      </c>
      <c r="C20" t="str">
        <f t="shared" si="0"/>
        <v>Senior</v>
      </c>
      <c r="D20" t="s">
        <v>11</v>
      </c>
      <c r="E20" t="s">
        <v>22</v>
      </c>
      <c r="F20" t="s">
        <v>43</v>
      </c>
      <c r="G20">
        <v>105.48</v>
      </c>
      <c r="H20" t="s">
        <v>14</v>
      </c>
      <c r="I20" t="s">
        <v>15</v>
      </c>
      <c r="J20">
        <v>4.5</v>
      </c>
      <c r="K20">
        <v>14</v>
      </c>
      <c r="L20">
        <f t="shared" si="1"/>
        <v>90.712800000000001</v>
      </c>
      <c r="M20">
        <v>7</v>
      </c>
      <c r="N20" t="str">
        <f t="shared" si="2"/>
        <v>Regular</v>
      </c>
    </row>
    <row r="21" spans="1:14" x14ac:dyDescent="0.35">
      <c r="A21">
        <v>20</v>
      </c>
      <c r="B21">
        <v>22</v>
      </c>
      <c r="C21" t="str">
        <f t="shared" si="0"/>
        <v>Youth</v>
      </c>
      <c r="D21" t="s">
        <v>11</v>
      </c>
      <c r="E21" t="s">
        <v>41</v>
      </c>
      <c r="F21" t="s">
        <v>44</v>
      </c>
      <c r="G21">
        <v>173.52</v>
      </c>
      <c r="H21" t="s">
        <v>31</v>
      </c>
      <c r="I21" t="s">
        <v>15</v>
      </c>
      <c r="J21">
        <v>3.6</v>
      </c>
      <c r="K21">
        <v>18</v>
      </c>
      <c r="L21">
        <f t="shared" si="1"/>
        <v>142.28640000000001</v>
      </c>
      <c r="M21">
        <v>4</v>
      </c>
      <c r="N21" t="str">
        <f t="shared" si="2"/>
        <v>Regular</v>
      </c>
    </row>
    <row r="22" spans="1:14" x14ac:dyDescent="0.35">
      <c r="A22">
        <v>21</v>
      </c>
      <c r="B22">
        <v>61</v>
      </c>
      <c r="C22" t="str">
        <f t="shared" si="0"/>
        <v>Senior</v>
      </c>
      <c r="D22" t="s">
        <v>11</v>
      </c>
      <c r="E22" t="s">
        <v>33</v>
      </c>
      <c r="F22" t="s">
        <v>40</v>
      </c>
      <c r="G22">
        <v>68.69</v>
      </c>
      <c r="H22" t="s">
        <v>14</v>
      </c>
      <c r="I22" t="s">
        <v>15</v>
      </c>
      <c r="J22">
        <v>4.9000000000000004</v>
      </c>
      <c r="K22">
        <v>22</v>
      </c>
      <c r="L22">
        <f t="shared" si="1"/>
        <v>53.578200000000002</v>
      </c>
      <c r="M22">
        <v>6</v>
      </c>
      <c r="N22" t="str">
        <f t="shared" si="2"/>
        <v>Regular</v>
      </c>
    </row>
    <row r="23" spans="1:14" x14ac:dyDescent="0.35">
      <c r="A23">
        <v>22</v>
      </c>
      <c r="B23">
        <v>65</v>
      </c>
      <c r="C23" t="str">
        <f t="shared" si="0"/>
        <v>Senior</v>
      </c>
      <c r="D23" t="s">
        <v>11</v>
      </c>
      <c r="E23" t="s">
        <v>20</v>
      </c>
      <c r="F23" t="s">
        <v>39</v>
      </c>
      <c r="G23">
        <v>31.21</v>
      </c>
      <c r="H23" t="s">
        <v>19</v>
      </c>
      <c r="I23" t="s">
        <v>37</v>
      </c>
      <c r="J23">
        <v>3.8</v>
      </c>
      <c r="K23">
        <v>14</v>
      </c>
      <c r="L23">
        <f t="shared" si="1"/>
        <v>26.840600000000002</v>
      </c>
      <c r="M23">
        <v>7</v>
      </c>
      <c r="N23" t="str">
        <f t="shared" si="2"/>
        <v>Regular</v>
      </c>
    </row>
    <row r="24" spans="1:14" x14ac:dyDescent="0.35">
      <c r="A24">
        <v>23</v>
      </c>
      <c r="B24">
        <v>25</v>
      </c>
      <c r="C24" t="str">
        <f t="shared" si="0"/>
        <v>Youth</v>
      </c>
      <c r="D24" t="s">
        <v>16</v>
      </c>
      <c r="E24" t="s">
        <v>20</v>
      </c>
      <c r="F24" t="s">
        <v>21</v>
      </c>
      <c r="G24">
        <v>142.5</v>
      </c>
      <c r="H24" t="s">
        <v>14</v>
      </c>
      <c r="I24" t="s">
        <v>15</v>
      </c>
      <c r="J24">
        <v>5</v>
      </c>
      <c r="K24">
        <v>13</v>
      </c>
      <c r="L24">
        <f t="shared" si="1"/>
        <v>123.97499999999999</v>
      </c>
      <c r="M24">
        <v>4</v>
      </c>
      <c r="N24" t="str">
        <f t="shared" si="2"/>
        <v>Regular</v>
      </c>
    </row>
    <row r="25" spans="1:14" x14ac:dyDescent="0.35">
      <c r="A25">
        <v>24</v>
      </c>
      <c r="B25">
        <v>35</v>
      </c>
      <c r="C25" t="str">
        <f t="shared" si="0"/>
        <v>Adult</v>
      </c>
      <c r="D25" t="s">
        <v>16</v>
      </c>
      <c r="E25" t="s">
        <v>17</v>
      </c>
      <c r="F25" t="s">
        <v>42</v>
      </c>
      <c r="G25">
        <v>36.979999999999997</v>
      </c>
      <c r="H25" t="s">
        <v>31</v>
      </c>
      <c r="I25" t="s">
        <v>15</v>
      </c>
      <c r="J25">
        <v>4.2</v>
      </c>
      <c r="K25">
        <v>13</v>
      </c>
      <c r="L25">
        <f t="shared" si="1"/>
        <v>32.172599999999996</v>
      </c>
      <c r="M25">
        <v>4</v>
      </c>
      <c r="N25" t="str">
        <f t="shared" si="2"/>
        <v>Regular</v>
      </c>
    </row>
    <row r="26" spans="1:14" x14ac:dyDescent="0.35">
      <c r="A26">
        <v>25</v>
      </c>
      <c r="B26">
        <v>28</v>
      </c>
      <c r="C26" t="str">
        <f t="shared" si="0"/>
        <v>Youth</v>
      </c>
      <c r="D26" t="s">
        <v>11</v>
      </c>
      <c r="E26" t="s">
        <v>41</v>
      </c>
      <c r="F26" t="s">
        <v>45</v>
      </c>
      <c r="G26">
        <v>56.59</v>
      </c>
      <c r="H26" t="s">
        <v>24</v>
      </c>
      <c r="I26" t="s">
        <v>15</v>
      </c>
      <c r="J26">
        <v>4.0999999999999996</v>
      </c>
      <c r="K26">
        <v>26</v>
      </c>
      <c r="L26">
        <f t="shared" si="1"/>
        <v>41.876600000000003</v>
      </c>
      <c r="M26">
        <v>8</v>
      </c>
      <c r="N26" t="str">
        <f t="shared" si="2"/>
        <v>Loyal</v>
      </c>
    </row>
    <row r="27" spans="1:14" x14ac:dyDescent="0.35">
      <c r="A27">
        <v>26</v>
      </c>
      <c r="B27">
        <v>41</v>
      </c>
      <c r="C27" t="str">
        <f t="shared" si="0"/>
        <v>Adult</v>
      </c>
      <c r="D27" t="s">
        <v>16</v>
      </c>
      <c r="E27" t="s">
        <v>20</v>
      </c>
      <c r="F27" t="s">
        <v>21</v>
      </c>
      <c r="G27">
        <v>46.19</v>
      </c>
      <c r="H27" t="s">
        <v>24</v>
      </c>
      <c r="I27" t="s">
        <v>37</v>
      </c>
      <c r="J27">
        <v>3.3</v>
      </c>
      <c r="K27">
        <v>11</v>
      </c>
      <c r="L27">
        <f t="shared" si="1"/>
        <v>41.109099999999998</v>
      </c>
      <c r="M27">
        <v>3</v>
      </c>
      <c r="N27" t="str">
        <f t="shared" si="2"/>
        <v>New</v>
      </c>
    </row>
    <row r="28" spans="1:14" x14ac:dyDescent="0.35">
      <c r="A28">
        <v>27</v>
      </c>
      <c r="B28">
        <v>58</v>
      </c>
      <c r="C28" t="str">
        <f t="shared" si="0"/>
        <v>Adult</v>
      </c>
      <c r="D28" t="s">
        <v>11</v>
      </c>
      <c r="E28" t="s">
        <v>22</v>
      </c>
      <c r="F28" t="s">
        <v>43</v>
      </c>
      <c r="G28">
        <v>137.6</v>
      </c>
      <c r="H28" t="s">
        <v>14</v>
      </c>
      <c r="I28" t="s">
        <v>15</v>
      </c>
      <c r="J28">
        <v>3.7</v>
      </c>
      <c r="K28">
        <v>11</v>
      </c>
      <c r="L28">
        <f t="shared" si="1"/>
        <v>122.464</v>
      </c>
      <c r="M28">
        <v>3</v>
      </c>
      <c r="N28" t="str">
        <f t="shared" si="2"/>
        <v>New</v>
      </c>
    </row>
    <row r="29" spans="1:14" x14ac:dyDescent="0.35">
      <c r="A29">
        <v>28</v>
      </c>
      <c r="B29">
        <v>24</v>
      </c>
      <c r="C29" t="str">
        <f t="shared" si="0"/>
        <v>Youth</v>
      </c>
      <c r="D29" t="s">
        <v>16</v>
      </c>
      <c r="E29" t="s">
        <v>20</v>
      </c>
      <c r="F29" t="s">
        <v>36</v>
      </c>
      <c r="G29">
        <v>30.97</v>
      </c>
      <c r="H29" t="s">
        <v>14</v>
      </c>
      <c r="I29" t="s">
        <v>15</v>
      </c>
      <c r="J29">
        <v>4.4000000000000004</v>
      </c>
      <c r="K29">
        <v>20</v>
      </c>
      <c r="L29">
        <f t="shared" si="1"/>
        <v>24.776</v>
      </c>
      <c r="M29">
        <v>10</v>
      </c>
      <c r="N29" t="str">
        <f t="shared" si="2"/>
        <v>Loyal</v>
      </c>
    </row>
    <row r="30" spans="1:14" x14ac:dyDescent="0.35">
      <c r="A30">
        <v>29</v>
      </c>
      <c r="B30">
        <v>50</v>
      </c>
      <c r="C30" t="str">
        <f t="shared" si="0"/>
        <v>Adult</v>
      </c>
      <c r="D30" t="s">
        <v>11</v>
      </c>
      <c r="E30" t="s">
        <v>20</v>
      </c>
      <c r="F30" t="s">
        <v>36</v>
      </c>
      <c r="G30">
        <v>178.68</v>
      </c>
      <c r="H30" t="s">
        <v>19</v>
      </c>
      <c r="I30" t="s">
        <v>15</v>
      </c>
      <c r="J30">
        <v>3.7</v>
      </c>
      <c r="K30">
        <v>11</v>
      </c>
      <c r="L30">
        <f t="shared" si="1"/>
        <v>159.02520000000001</v>
      </c>
      <c r="M30">
        <v>3</v>
      </c>
      <c r="N30" t="str">
        <f t="shared" si="2"/>
        <v>New</v>
      </c>
    </row>
    <row r="31" spans="1:14" x14ac:dyDescent="0.35">
      <c r="A31">
        <v>30</v>
      </c>
      <c r="B31">
        <v>69</v>
      </c>
      <c r="C31" t="str">
        <f t="shared" si="0"/>
        <v>Senior</v>
      </c>
      <c r="D31" t="s">
        <v>16</v>
      </c>
      <c r="E31" t="s">
        <v>20</v>
      </c>
      <c r="F31" t="s">
        <v>21</v>
      </c>
      <c r="G31">
        <v>205.78</v>
      </c>
      <c r="H31" t="s">
        <v>14</v>
      </c>
      <c r="I31" t="s">
        <v>15</v>
      </c>
      <c r="J31">
        <v>2.7</v>
      </c>
      <c r="K31">
        <v>22</v>
      </c>
      <c r="L31">
        <f t="shared" si="1"/>
        <v>160.50839999999999</v>
      </c>
      <c r="M31">
        <v>6</v>
      </c>
      <c r="N31" t="str">
        <f t="shared" si="2"/>
        <v>Regular</v>
      </c>
    </row>
    <row r="32" spans="1:14" x14ac:dyDescent="0.35">
      <c r="A32">
        <v>31</v>
      </c>
      <c r="B32">
        <v>43</v>
      </c>
      <c r="C32" t="str">
        <f t="shared" si="0"/>
        <v>Adult</v>
      </c>
      <c r="D32" t="s">
        <v>16</v>
      </c>
      <c r="E32" t="s">
        <v>27</v>
      </c>
      <c r="F32" t="s">
        <v>32</v>
      </c>
      <c r="G32">
        <v>1572.49</v>
      </c>
      <c r="H32" t="s">
        <v>14</v>
      </c>
      <c r="I32" t="s">
        <v>15</v>
      </c>
      <c r="J32">
        <v>3.5</v>
      </c>
      <c r="K32">
        <v>14</v>
      </c>
      <c r="L32">
        <f t="shared" si="1"/>
        <v>1352.3414</v>
      </c>
      <c r="M32">
        <v>7</v>
      </c>
      <c r="N32" t="str">
        <f t="shared" si="2"/>
        <v>Regular</v>
      </c>
    </row>
    <row r="33" spans="1:14" x14ac:dyDescent="0.35">
      <c r="A33">
        <v>32</v>
      </c>
      <c r="B33">
        <v>33</v>
      </c>
      <c r="C33" t="str">
        <f t="shared" si="0"/>
        <v>Adult</v>
      </c>
      <c r="D33" t="s">
        <v>16</v>
      </c>
      <c r="E33" t="s">
        <v>33</v>
      </c>
      <c r="F33" t="s">
        <v>34</v>
      </c>
      <c r="G33">
        <v>172.69</v>
      </c>
      <c r="H33" t="s">
        <v>19</v>
      </c>
      <c r="I33" t="s">
        <v>15</v>
      </c>
      <c r="J33">
        <v>4.5999999999999996</v>
      </c>
      <c r="K33">
        <v>19</v>
      </c>
      <c r="L33">
        <f t="shared" si="1"/>
        <v>139.87890000000002</v>
      </c>
      <c r="M33">
        <v>7</v>
      </c>
      <c r="N33" t="str">
        <f t="shared" si="2"/>
        <v>Regular</v>
      </c>
    </row>
    <row r="34" spans="1:14" x14ac:dyDescent="0.35">
      <c r="A34">
        <v>33</v>
      </c>
      <c r="B34">
        <v>58</v>
      </c>
      <c r="C34" t="str">
        <f t="shared" si="0"/>
        <v>Adult</v>
      </c>
      <c r="D34" t="s">
        <v>11</v>
      </c>
      <c r="E34" t="s">
        <v>29</v>
      </c>
      <c r="F34" t="s">
        <v>30</v>
      </c>
      <c r="G34">
        <v>135.4</v>
      </c>
      <c r="H34" t="s">
        <v>19</v>
      </c>
      <c r="I34" t="s">
        <v>15</v>
      </c>
      <c r="J34">
        <v>3.7</v>
      </c>
      <c r="K34">
        <v>9</v>
      </c>
      <c r="L34">
        <f t="shared" si="1"/>
        <v>123.21400000000001</v>
      </c>
      <c r="M34">
        <v>2</v>
      </c>
      <c r="N34" t="str">
        <f t="shared" si="2"/>
        <v>New</v>
      </c>
    </row>
    <row r="35" spans="1:14" x14ac:dyDescent="0.35">
      <c r="A35">
        <v>34</v>
      </c>
      <c r="B35">
        <v>26</v>
      </c>
      <c r="C35" t="str">
        <f t="shared" si="0"/>
        <v>Youth</v>
      </c>
      <c r="D35" t="s">
        <v>11</v>
      </c>
      <c r="E35" t="s">
        <v>41</v>
      </c>
      <c r="F35" t="s">
        <v>46</v>
      </c>
      <c r="G35">
        <v>169.72</v>
      </c>
      <c r="H35" t="s">
        <v>14</v>
      </c>
      <c r="I35" t="s">
        <v>15</v>
      </c>
      <c r="J35">
        <v>3.8</v>
      </c>
      <c r="K35">
        <v>14</v>
      </c>
      <c r="L35">
        <f t="shared" si="1"/>
        <v>145.95920000000001</v>
      </c>
      <c r="M35">
        <v>2</v>
      </c>
      <c r="N35" t="str">
        <f t="shared" si="2"/>
        <v>New</v>
      </c>
    </row>
    <row r="36" spans="1:14" x14ac:dyDescent="0.35">
      <c r="A36">
        <v>35</v>
      </c>
      <c r="B36">
        <v>67</v>
      </c>
      <c r="C36" t="str">
        <f t="shared" si="0"/>
        <v>Senior</v>
      </c>
      <c r="D36" t="s">
        <v>16</v>
      </c>
      <c r="E36" t="s">
        <v>20</v>
      </c>
      <c r="F36" t="s">
        <v>21</v>
      </c>
      <c r="G36">
        <v>238.13</v>
      </c>
      <c r="H36" t="s">
        <v>24</v>
      </c>
      <c r="I36" t="s">
        <v>15</v>
      </c>
      <c r="J36">
        <v>3.3</v>
      </c>
      <c r="K36">
        <v>17</v>
      </c>
      <c r="L36">
        <f t="shared" si="1"/>
        <v>197.64789999999999</v>
      </c>
      <c r="M36">
        <v>6</v>
      </c>
      <c r="N36" t="str">
        <f t="shared" si="2"/>
        <v>Regular</v>
      </c>
    </row>
    <row r="37" spans="1:14" x14ac:dyDescent="0.35">
      <c r="A37">
        <v>36</v>
      </c>
      <c r="B37">
        <v>32</v>
      </c>
      <c r="C37" t="str">
        <f t="shared" si="0"/>
        <v>Adult</v>
      </c>
      <c r="D37" t="s">
        <v>11</v>
      </c>
      <c r="E37" t="s">
        <v>41</v>
      </c>
      <c r="F37" t="s">
        <v>42</v>
      </c>
      <c r="G37">
        <v>50.2</v>
      </c>
      <c r="H37" t="s">
        <v>24</v>
      </c>
      <c r="I37" t="s">
        <v>37</v>
      </c>
      <c r="J37">
        <v>2.4</v>
      </c>
      <c r="K37">
        <v>12</v>
      </c>
      <c r="L37">
        <f t="shared" si="1"/>
        <v>44.176000000000002</v>
      </c>
      <c r="M37">
        <v>6</v>
      </c>
      <c r="N37" t="str">
        <f t="shared" si="2"/>
        <v>Regular</v>
      </c>
    </row>
    <row r="38" spans="1:14" x14ac:dyDescent="0.35">
      <c r="A38">
        <v>37</v>
      </c>
      <c r="B38">
        <v>25</v>
      </c>
      <c r="C38" t="str">
        <f t="shared" si="0"/>
        <v>Youth</v>
      </c>
      <c r="D38" t="s">
        <v>11</v>
      </c>
      <c r="E38" t="s">
        <v>25</v>
      </c>
      <c r="F38" t="s">
        <v>47</v>
      </c>
      <c r="G38">
        <v>29.2</v>
      </c>
      <c r="H38" t="s">
        <v>31</v>
      </c>
      <c r="I38" t="s">
        <v>37</v>
      </c>
      <c r="J38">
        <v>5</v>
      </c>
      <c r="K38">
        <v>8</v>
      </c>
      <c r="L38">
        <f t="shared" si="1"/>
        <v>26.864000000000001</v>
      </c>
      <c r="M38">
        <v>4</v>
      </c>
      <c r="N38" t="str">
        <f t="shared" si="2"/>
        <v>Regular</v>
      </c>
    </row>
    <row r="39" spans="1:14" x14ac:dyDescent="0.35">
      <c r="A39">
        <v>38</v>
      </c>
      <c r="B39">
        <v>50</v>
      </c>
      <c r="C39" t="str">
        <f t="shared" si="0"/>
        <v>Adult</v>
      </c>
      <c r="D39" t="s">
        <v>16</v>
      </c>
      <c r="E39" t="s">
        <v>17</v>
      </c>
      <c r="F39" t="s">
        <v>48</v>
      </c>
      <c r="G39">
        <v>183.2</v>
      </c>
      <c r="H39" t="s">
        <v>14</v>
      </c>
      <c r="I39" t="s">
        <v>15</v>
      </c>
      <c r="J39">
        <v>3.9</v>
      </c>
      <c r="K39">
        <v>8</v>
      </c>
      <c r="L39">
        <f t="shared" si="1"/>
        <v>168.54399999999998</v>
      </c>
      <c r="M39">
        <v>4</v>
      </c>
      <c r="N39" t="str">
        <f t="shared" si="2"/>
        <v>Regular</v>
      </c>
    </row>
    <row r="40" spans="1:14" x14ac:dyDescent="0.35">
      <c r="A40">
        <v>39</v>
      </c>
      <c r="B40">
        <v>47</v>
      </c>
      <c r="C40" t="str">
        <f t="shared" si="0"/>
        <v>Adult</v>
      </c>
      <c r="D40" t="s">
        <v>11</v>
      </c>
      <c r="E40" t="s">
        <v>41</v>
      </c>
      <c r="F40" t="s">
        <v>42</v>
      </c>
      <c r="G40">
        <v>129.22</v>
      </c>
      <c r="H40" t="s">
        <v>24</v>
      </c>
      <c r="I40" t="s">
        <v>15</v>
      </c>
      <c r="J40">
        <v>3.7</v>
      </c>
      <c r="K40">
        <v>14</v>
      </c>
      <c r="L40">
        <f t="shared" si="1"/>
        <v>111.1292</v>
      </c>
      <c r="M40">
        <v>7</v>
      </c>
      <c r="N40" t="str">
        <f t="shared" si="2"/>
        <v>Regular</v>
      </c>
    </row>
    <row r="41" spans="1:14" x14ac:dyDescent="0.35">
      <c r="A41">
        <v>40</v>
      </c>
      <c r="B41">
        <v>66</v>
      </c>
      <c r="C41" t="str">
        <f t="shared" si="0"/>
        <v>Senior</v>
      </c>
      <c r="D41" t="s">
        <v>16</v>
      </c>
      <c r="E41" t="s">
        <v>20</v>
      </c>
      <c r="F41" t="s">
        <v>36</v>
      </c>
      <c r="G41">
        <v>219.86</v>
      </c>
      <c r="H41" t="s">
        <v>19</v>
      </c>
      <c r="I41" t="s">
        <v>15</v>
      </c>
      <c r="J41">
        <v>4</v>
      </c>
      <c r="K41">
        <v>2</v>
      </c>
      <c r="L41">
        <f t="shared" si="1"/>
        <v>215.46280000000002</v>
      </c>
      <c r="M41">
        <v>1</v>
      </c>
      <c r="N41" t="str">
        <f t="shared" si="2"/>
        <v>New</v>
      </c>
    </row>
    <row r="42" spans="1:14" x14ac:dyDescent="0.35">
      <c r="A42">
        <v>41</v>
      </c>
      <c r="B42">
        <v>20</v>
      </c>
      <c r="C42" t="str">
        <f t="shared" si="0"/>
        <v>Youth</v>
      </c>
      <c r="D42" t="s">
        <v>11</v>
      </c>
      <c r="E42" t="s">
        <v>29</v>
      </c>
      <c r="F42" t="s">
        <v>30</v>
      </c>
      <c r="G42">
        <v>97.24</v>
      </c>
      <c r="H42" t="s">
        <v>19</v>
      </c>
      <c r="I42" t="s">
        <v>15</v>
      </c>
      <c r="J42">
        <v>4.0999999999999996</v>
      </c>
      <c r="K42">
        <v>19</v>
      </c>
      <c r="L42">
        <f t="shared" si="1"/>
        <v>78.764399999999995</v>
      </c>
      <c r="M42">
        <v>7</v>
      </c>
      <c r="N42" t="str">
        <f t="shared" si="2"/>
        <v>Regular</v>
      </c>
    </row>
    <row r="43" spans="1:14" x14ac:dyDescent="0.35">
      <c r="A43">
        <v>42</v>
      </c>
      <c r="B43">
        <v>22</v>
      </c>
      <c r="C43" t="str">
        <f t="shared" si="0"/>
        <v>Youth</v>
      </c>
      <c r="D43" t="s">
        <v>16</v>
      </c>
      <c r="E43" t="s">
        <v>27</v>
      </c>
      <c r="F43" t="s">
        <v>49</v>
      </c>
      <c r="G43">
        <v>2392.6999999999998</v>
      </c>
      <c r="H43" t="s">
        <v>24</v>
      </c>
      <c r="I43" t="s">
        <v>15</v>
      </c>
      <c r="J43">
        <v>5</v>
      </c>
      <c r="K43">
        <v>6</v>
      </c>
      <c r="L43">
        <f t="shared" si="1"/>
        <v>2249.1379999999999</v>
      </c>
      <c r="M43">
        <v>3</v>
      </c>
      <c r="N43" t="str">
        <f t="shared" si="2"/>
        <v>New</v>
      </c>
    </row>
    <row r="44" spans="1:14" x14ac:dyDescent="0.35">
      <c r="A44">
        <v>43</v>
      </c>
      <c r="B44">
        <v>23</v>
      </c>
      <c r="C44" t="str">
        <f t="shared" si="0"/>
        <v>Youth</v>
      </c>
      <c r="D44" t="s">
        <v>11</v>
      </c>
      <c r="E44" t="s">
        <v>33</v>
      </c>
      <c r="F44" t="s">
        <v>34</v>
      </c>
      <c r="G44">
        <v>115.21</v>
      </c>
      <c r="H44" t="s">
        <v>31</v>
      </c>
      <c r="I44" t="s">
        <v>15</v>
      </c>
      <c r="J44">
        <v>4.2</v>
      </c>
      <c r="K44">
        <v>19</v>
      </c>
      <c r="L44">
        <f t="shared" si="1"/>
        <v>93.320099999999996</v>
      </c>
      <c r="M44">
        <v>7</v>
      </c>
      <c r="N44" t="str">
        <f t="shared" si="2"/>
        <v>Regular</v>
      </c>
    </row>
    <row r="45" spans="1:14" x14ac:dyDescent="0.35">
      <c r="A45">
        <v>44</v>
      </c>
      <c r="B45">
        <v>66</v>
      </c>
      <c r="C45" t="str">
        <f t="shared" si="0"/>
        <v>Senior</v>
      </c>
      <c r="D45" t="s">
        <v>16</v>
      </c>
      <c r="E45" t="s">
        <v>27</v>
      </c>
      <c r="F45" t="s">
        <v>28</v>
      </c>
      <c r="G45">
        <v>2260.1999999999998</v>
      </c>
      <c r="H45" t="s">
        <v>19</v>
      </c>
      <c r="I45" t="s">
        <v>15</v>
      </c>
      <c r="J45">
        <v>4.5999999999999996</v>
      </c>
      <c r="K45">
        <v>9</v>
      </c>
      <c r="L45">
        <f t="shared" si="1"/>
        <v>2056.7819999999997</v>
      </c>
      <c r="M45">
        <v>2</v>
      </c>
      <c r="N45" t="str">
        <f t="shared" si="2"/>
        <v>New</v>
      </c>
    </row>
    <row r="46" spans="1:14" x14ac:dyDescent="0.35">
      <c r="A46">
        <v>45</v>
      </c>
      <c r="B46">
        <v>53</v>
      </c>
      <c r="C46" t="str">
        <f t="shared" si="0"/>
        <v>Adult</v>
      </c>
      <c r="D46" t="s">
        <v>11</v>
      </c>
      <c r="E46" t="s">
        <v>12</v>
      </c>
      <c r="F46" t="s">
        <v>50</v>
      </c>
      <c r="G46">
        <v>164.67</v>
      </c>
      <c r="H46" t="s">
        <v>14</v>
      </c>
      <c r="I46" t="s">
        <v>15</v>
      </c>
      <c r="J46">
        <v>2.6</v>
      </c>
      <c r="K46">
        <v>14</v>
      </c>
      <c r="L46">
        <f t="shared" si="1"/>
        <v>141.61619999999999</v>
      </c>
      <c r="M46">
        <v>7</v>
      </c>
      <c r="N46" t="str">
        <f t="shared" si="2"/>
        <v>Regular</v>
      </c>
    </row>
    <row r="47" spans="1:14" x14ac:dyDescent="0.35">
      <c r="A47">
        <v>46</v>
      </c>
      <c r="B47">
        <v>24</v>
      </c>
      <c r="C47" t="str">
        <f t="shared" si="0"/>
        <v>Youth</v>
      </c>
      <c r="D47" t="s">
        <v>11</v>
      </c>
      <c r="E47" t="s">
        <v>41</v>
      </c>
      <c r="F47" t="s">
        <v>46</v>
      </c>
      <c r="G47">
        <v>65.55</v>
      </c>
      <c r="H47" t="s">
        <v>14</v>
      </c>
      <c r="I47" t="s">
        <v>15</v>
      </c>
      <c r="J47">
        <v>3.7</v>
      </c>
      <c r="K47">
        <v>14</v>
      </c>
      <c r="L47">
        <f t="shared" si="1"/>
        <v>56.372999999999998</v>
      </c>
      <c r="M47">
        <v>7</v>
      </c>
      <c r="N47" t="str">
        <f t="shared" si="2"/>
        <v>Regular</v>
      </c>
    </row>
    <row r="48" spans="1:14" x14ac:dyDescent="0.35">
      <c r="A48">
        <v>47</v>
      </c>
      <c r="B48">
        <v>22</v>
      </c>
      <c r="C48" t="str">
        <f t="shared" si="0"/>
        <v>Youth</v>
      </c>
      <c r="D48" t="s">
        <v>16</v>
      </c>
      <c r="E48" t="s">
        <v>17</v>
      </c>
      <c r="F48" t="s">
        <v>18</v>
      </c>
      <c r="G48">
        <v>62.69</v>
      </c>
      <c r="H48" t="s">
        <v>24</v>
      </c>
      <c r="I48" t="s">
        <v>15</v>
      </c>
      <c r="J48">
        <v>3.6</v>
      </c>
      <c r="K48">
        <v>4</v>
      </c>
      <c r="L48">
        <f t="shared" si="1"/>
        <v>60.182399999999994</v>
      </c>
      <c r="M48">
        <v>2</v>
      </c>
      <c r="N48" t="str">
        <f t="shared" si="2"/>
        <v>New</v>
      </c>
    </row>
    <row r="49" spans="1:14" x14ac:dyDescent="0.35">
      <c r="A49">
        <v>48</v>
      </c>
      <c r="B49">
        <v>31</v>
      </c>
      <c r="C49" t="str">
        <f t="shared" si="0"/>
        <v>Adult</v>
      </c>
      <c r="D49" t="s">
        <v>11</v>
      </c>
      <c r="E49" t="s">
        <v>29</v>
      </c>
      <c r="F49" t="s">
        <v>51</v>
      </c>
      <c r="G49">
        <v>62.91</v>
      </c>
      <c r="H49" t="s">
        <v>14</v>
      </c>
      <c r="I49" t="s">
        <v>15</v>
      </c>
      <c r="J49">
        <v>3.5</v>
      </c>
      <c r="K49">
        <v>18</v>
      </c>
      <c r="L49">
        <f t="shared" si="1"/>
        <v>51.586199999999998</v>
      </c>
      <c r="M49">
        <v>4</v>
      </c>
      <c r="N49" t="str">
        <f t="shared" si="2"/>
        <v>Regular</v>
      </c>
    </row>
    <row r="50" spans="1:14" x14ac:dyDescent="0.35">
      <c r="A50">
        <v>49</v>
      </c>
      <c r="B50">
        <v>36</v>
      </c>
      <c r="C50" t="str">
        <f t="shared" si="0"/>
        <v>Adult</v>
      </c>
      <c r="D50" t="s">
        <v>11</v>
      </c>
      <c r="E50" t="s">
        <v>33</v>
      </c>
      <c r="F50" t="s">
        <v>40</v>
      </c>
      <c r="G50">
        <v>165.43</v>
      </c>
      <c r="H50" t="s">
        <v>31</v>
      </c>
      <c r="I50" t="s">
        <v>15</v>
      </c>
      <c r="J50">
        <v>4.5999999999999996</v>
      </c>
      <c r="K50">
        <v>24</v>
      </c>
      <c r="L50">
        <f t="shared" si="1"/>
        <v>125.72680000000001</v>
      </c>
      <c r="M50">
        <v>7</v>
      </c>
      <c r="N50" t="str">
        <f t="shared" si="2"/>
        <v>Regular</v>
      </c>
    </row>
    <row r="51" spans="1:14" x14ac:dyDescent="0.35">
      <c r="A51">
        <v>50</v>
      </c>
      <c r="B51">
        <v>42</v>
      </c>
      <c r="C51" t="str">
        <f t="shared" si="0"/>
        <v>Adult</v>
      </c>
      <c r="D51" t="s">
        <v>11</v>
      </c>
      <c r="E51" t="s">
        <v>33</v>
      </c>
      <c r="F51" t="s">
        <v>40</v>
      </c>
      <c r="G51">
        <v>222.12</v>
      </c>
      <c r="H51" t="s">
        <v>24</v>
      </c>
      <c r="I51" t="s">
        <v>15</v>
      </c>
      <c r="J51">
        <v>3.2</v>
      </c>
      <c r="K51">
        <v>18</v>
      </c>
      <c r="L51">
        <f t="shared" si="1"/>
        <v>182.13840000000002</v>
      </c>
      <c r="M51">
        <v>4</v>
      </c>
      <c r="N51" t="str">
        <f t="shared" si="2"/>
        <v>Regular</v>
      </c>
    </row>
    <row r="52" spans="1:14" x14ac:dyDescent="0.35">
      <c r="A52">
        <v>51</v>
      </c>
      <c r="B52">
        <v>36</v>
      </c>
      <c r="C52" t="str">
        <f t="shared" si="0"/>
        <v>Adult</v>
      </c>
      <c r="D52" t="s">
        <v>16</v>
      </c>
      <c r="E52" t="s">
        <v>22</v>
      </c>
      <c r="F52" t="s">
        <v>43</v>
      </c>
      <c r="G52">
        <v>270.44</v>
      </c>
      <c r="H52" t="s">
        <v>24</v>
      </c>
      <c r="I52" t="s">
        <v>15</v>
      </c>
      <c r="J52">
        <v>2.2999999999999998</v>
      </c>
      <c r="K52">
        <v>12</v>
      </c>
      <c r="L52">
        <f t="shared" si="1"/>
        <v>237.9872</v>
      </c>
      <c r="M52">
        <v>6</v>
      </c>
      <c r="N52" t="str">
        <f t="shared" si="2"/>
        <v>Regular</v>
      </c>
    </row>
    <row r="53" spans="1:14" x14ac:dyDescent="0.35">
      <c r="A53">
        <v>52</v>
      </c>
      <c r="B53">
        <v>25</v>
      </c>
      <c r="C53" t="str">
        <f t="shared" si="0"/>
        <v>Youth</v>
      </c>
      <c r="D53" t="s">
        <v>11</v>
      </c>
      <c r="E53" t="s">
        <v>41</v>
      </c>
      <c r="F53" t="s">
        <v>44</v>
      </c>
      <c r="G53">
        <v>90.54</v>
      </c>
      <c r="H53" t="s">
        <v>14</v>
      </c>
      <c r="I53" t="s">
        <v>37</v>
      </c>
      <c r="J53">
        <v>4.5999999999999996</v>
      </c>
      <c r="K53">
        <v>18</v>
      </c>
      <c r="L53">
        <f t="shared" si="1"/>
        <v>74.242800000000017</v>
      </c>
      <c r="M53">
        <v>4</v>
      </c>
      <c r="N53" t="str">
        <f t="shared" si="2"/>
        <v>Regular</v>
      </c>
    </row>
    <row r="54" spans="1:14" x14ac:dyDescent="0.35">
      <c r="A54">
        <v>53</v>
      </c>
      <c r="B54">
        <v>49</v>
      </c>
      <c r="C54" t="str">
        <f t="shared" si="0"/>
        <v>Adult</v>
      </c>
      <c r="D54" t="s">
        <v>16</v>
      </c>
      <c r="E54" t="s">
        <v>22</v>
      </c>
      <c r="F54" t="s">
        <v>52</v>
      </c>
      <c r="G54">
        <v>45.03</v>
      </c>
      <c r="H54" t="s">
        <v>31</v>
      </c>
      <c r="I54" t="s">
        <v>37</v>
      </c>
      <c r="J54">
        <v>3.9</v>
      </c>
      <c r="K54">
        <v>4</v>
      </c>
      <c r="L54">
        <f t="shared" si="1"/>
        <v>43.2288</v>
      </c>
      <c r="M54">
        <v>2</v>
      </c>
      <c r="N54" t="str">
        <f t="shared" si="2"/>
        <v>New</v>
      </c>
    </row>
    <row r="55" spans="1:14" x14ac:dyDescent="0.35">
      <c r="A55">
        <v>54</v>
      </c>
      <c r="B55">
        <v>25</v>
      </c>
      <c r="C55" t="str">
        <f t="shared" si="0"/>
        <v>Youth</v>
      </c>
      <c r="D55" t="s">
        <v>11</v>
      </c>
      <c r="E55" t="s">
        <v>33</v>
      </c>
      <c r="F55" t="s">
        <v>34</v>
      </c>
      <c r="G55">
        <v>180.42</v>
      </c>
      <c r="H55" t="s">
        <v>14</v>
      </c>
      <c r="I55" t="s">
        <v>15</v>
      </c>
      <c r="J55">
        <v>3.9</v>
      </c>
      <c r="K55">
        <v>22</v>
      </c>
      <c r="L55">
        <f t="shared" si="1"/>
        <v>140.7276</v>
      </c>
      <c r="M55">
        <v>6</v>
      </c>
      <c r="N55" t="str">
        <f t="shared" si="2"/>
        <v>Regular</v>
      </c>
    </row>
    <row r="56" spans="1:14" x14ac:dyDescent="0.35">
      <c r="A56">
        <v>55</v>
      </c>
      <c r="B56">
        <v>52</v>
      </c>
      <c r="C56" t="str">
        <f t="shared" si="0"/>
        <v>Adult</v>
      </c>
      <c r="D56" t="s">
        <v>11</v>
      </c>
      <c r="E56" t="s">
        <v>12</v>
      </c>
      <c r="F56" t="s">
        <v>13</v>
      </c>
      <c r="G56">
        <v>117.7</v>
      </c>
      <c r="H56" t="s">
        <v>24</v>
      </c>
      <c r="I56" t="s">
        <v>15</v>
      </c>
      <c r="J56">
        <v>3.1</v>
      </c>
      <c r="K56">
        <v>8</v>
      </c>
      <c r="L56">
        <f t="shared" si="1"/>
        <v>108.28400000000001</v>
      </c>
      <c r="M56">
        <v>4</v>
      </c>
      <c r="N56" t="str">
        <f t="shared" si="2"/>
        <v>Regular</v>
      </c>
    </row>
    <row r="57" spans="1:14" x14ac:dyDescent="0.35">
      <c r="A57">
        <v>56</v>
      </c>
      <c r="B57">
        <v>42</v>
      </c>
      <c r="C57" t="str">
        <f t="shared" si="0"/>
        <v>Adult</v>
      </c>
      <c r="D57" t="s">
        <v>11</v>
      </c>
      <c r="E57" t="s">
        <v>29</v>
      </c>
      <c r="F57" t="s">
        <v>51</v>
      </c>
      <c r="G57">
        <v>31.42</v>
      </c>
      <c r="H57" t="s">
        <v>31</v>
      </c>
      <c r="I57" t="s">
        <v>15</v>
      </c>
      <c r="J57">
        <v>2</v>
      </c>
      <c r="K57">
        <v>2</v>
      </c>
      <c r="L57">
        <f t="shared" si="1"/>
        <v>30.791600000000003</v>
      </c>
      <c r="M57">
        <v>1</v>
      </c>
      <c r="N57" t="str">
        <f t="shared" si="2"/>
        <v>New</v>
      </c>
    </row>
    <row r="58" spans="1:14" x14ac:dyDescent="0.35">
      <c r="A58">
        <v>57</v>
      </c>
      <c r="B58">
        <v>43</v>
      </c>
      <c r="C58" t="str">
        <f t="shared" si="0"/>
        <v>Adult</v>
      </c>
      <c r="D58" t="s">
        <v>11</v>
      </c>
      <c r="E58" t="s">
        <v>41</v>
      </c>
      <c r="F58" t="s">
        <v>44</v>
      </c>
      <c r="G58">
        <v>188.02</v>
      </c>
      <c r="H58" t="s">
        <v>14</v>
      </c>
      <c r="I58" t="s">
        <v>15</v>
      </c>
      <c r="J58">
        <v>4.2</v>
      </c>
      <c r="K58">
        <v>17</v>
      </c>
      <c r="L58">
        <f t="shared" si="1"/>
        <v>156.0566</v>
      </c>
      <c r="M58">
        <v>6</v>
      </c>
      <c r="N58" t="str">
        <f t="shared" si="2"/>
        <v>Regular</v>
      </c>
    </row>
    <row r="59" spans="1:14" x14ac:dyDescent="0.35">
      <c r="A59">
        <v>58</v>
      </c>
      <c r="B59">
        <v>49</v>
      </c>
      <c r="C59" t="str">
        <f t="shared" si="0"/>
        <v>Adult</v>
      </c>
      <c r="D59" t="s">
        <v>16</v>
      </c>
      <c r="E59" t="s">
        <v>25</v>
      </c>
      <c r="F59" t="s">
        <v>26</v>
      </c>
      <c r="G59">
        <v>54.89</v>
      </c>
      <c r="H59" t="s">
        <v>31</v>
      </c>
      <c r="I59" t="s">
        <v>15</v>
      </c>
      <c r="J59">
        <v>4.4000000000000004</v>
      </c>
      <c r="K59">
        <v>19</v>
      </c>
      <c r="L59">
        <f t="shared" si="1"/>
        <v>44.460900000000002</v>
      </c>
      <c r="M59">
        <v>7</v>
      </c>
      <c r="N59" t="str">
        <f t="shared" si="2"/>
        <v>Regular</v>
      </c>
    </row>
    <row r="60" spans="1:14" x14ac:dyDescent="0.35">
      <c r="A60">
        <v>59</v>
      </c>
      <c r="B60">
        <v>34</v>
      </c>
      <c r="C60" t="str">
        <f t="shared" si="0"/>
        <v>Adult</v>
      </c>
      <c r="D60" t="s">
        <v>16</v>
      </c>
      <c r="E60" t="s">
        <v>27</v>
      </c>
      <c r="F60" t="s">
        <v>53</v>
      </c>
      <c r="G60">
        <v>1459.73</v>
      </c>
      <c r="H60" t="s">
        <v>19</v>
      </c>
      <c r="I60" t="s">
        <v>15</v>
      </c>
      <c r="J60">
        <v>4</v>
      </c>
      <c r="K60">
        <v>24</v>
      </c>
      <c r="L60">
        <f t="shared" si="1"/>
        <v>1109.3948</v>
      </c>
      <c r="M60">
        <v>7</v>
      </c>
      <c r="N60" t="str">
        <f t="shared" si="2"/>
        <v>Regular</v>
      </c>
    </row>
    <row r="61" spans="1:14" x14ac:dyDescent="0.35">
      <c r="A61">
        <v>60</v>
      </c>
      <c r="B61">
        <v>58</v>
      </c>
      <c r="C61" t="str">
        <f t="shared" si="0"/>
        <v>Adult</v>
      </c>
      <c r="D61" t="s">
        <v>16</v>
      </c>
      <c r="E61" t="s">
        <v>17</v>
      </c>
      <c r="F61" t="s">
        <v>18</v>
      </c>
      <c r="G61">
        <v>82.99</v>
      </c>
      <c r="H61" t="s">
        <v>19</v>
      </c>
      <c r="I61" t="s">
        <v>37</v>
      </c>
      <c r="J61">
        <v>4.4000000000000004</v>
      </c>
      <c r="K61">
        <v>9</v>
      </c>
      <c r="L61">
        <f t="shared" si="1"/>
        <v>75.520899999999997</v>
      </c>
      <c r="M61">
        <v>2</v>
      </c>
      <c r="N61" t="str">
        <f t="shared" si="2"/>
        <v>New</v>
      </c>
    </row>
    <row r="62" spans="1:14" x14ac:dyDescent="0.35">
      <c r="A62">
        <v>61</v>
      </c>
      <c r="B62">
        <v>24</v>
      </c>
      <c r="C62" t="str">
        <f t="shared" si="0"/>
        <v>Youth</v>
      </c>
      <c r="D62" t="s">
        <v>16</v>
      </c>
      <c r="E62" t="s">
        <v>17</v>
      </c>
      <c r="F62" t="s">
        <v>42</v>
      </c>
      <c r="G62">
        <v>121.2</v>
      </c>
      <c r="H62" t="s">
        <v>31</v>
      </c>
      <c r="I62" t="s">
        <v>15</v>
      </c>
      <c r="J62">
        <v>4.3</v>
      </c>
      <c r="K62">
        <v>12</v>
      </c>
      <c r="L62">
        <f t="shared" si="1"/>
        <v>106.65600000000001</v>
      </c>
      <c r="M62">
        <v>6</v>
      </c>
      <c r="N62" t="str">
        <f t="shared" si="2"/>
        <v>Regular</v>
      </c>
    </row>
    <row r="63" spans="1:14" x14ac:dyDescent="0.35">
      <c r="A63">
        <v>62</v>
      </c>
      <c r="B63">
        <v>55</v>
      </c>
      <c r="C63" t="str">
        <f t="shared" si="0"/>
        <v>Adult</v>
      </c>
      <c r="D63" t="s">
        <v>11</v>
      </c>
      <c r="E63" t="s">
        <v>12</v>
      </c>
      <c r="F63" t="s">
        <v>13</v>
      </c>
      <c r="G63">
        <v>152.29</v>
      </c>
      <c r="H63" t="s">
        <v>24</v>
      </c>
      <c r="I63" t="s">
        <v>15</v>
      </c>
      <c r="J63">
        <v>4.7</v>
      </c>
      <c r="K63">
        <v>15</v>
      </c>
      <c r="L63">
        <f t="shared" si="1"/>
        <v>129.44649999999999</v>
      </c>
      <c r="M63">
        <v>5</v>
      </c>
      <c r="N63" t="str">
        <f t="shared" si="2"/>
        <v>Regular</v>
      </c>
    </row>
    <row r="64" spans="1:14" x14ac:dyDescent="0.35">
      <c r="A64">
        <v>63</v>
      </c>
      <c r="B64">
        <v>59</v>
      </c>
      <c r="C64" t="str">
        <f t="shared" si="0"/>
        <v>Adult</v>
      </c>
      <c r="D64" t="s">
        <v>11</v>
      </c>
      <c r="E64" t="s">
        <v>25</v>
      </c>
      <c r="F64" t="s">
        <v>26</v>
      </c>
      <c r="G64">
        <v>59.46</v>
      </c>
      <c r="H64" t="s">
        <v>24</v>
      </c>
      <c r="I64" t="s">
        <v>37</v>
      </c>
      <c r="J64">
        <v>4</v>
      </c>
      <c r="K64">
        <v>18</v>
      </c>
      <c r="L64">
        <f t="shared" si="1"/>
        <v>48.757200000000005</v>
      </c>
      <c r="M64">
        <v>4</v>
      </c>
      <c r="N64" t="str">
        <f t="shared" si="2"/>
        <v>Regular</v>
      </c>
    </row>
    <row r="65" spans="1:14" x14ac:dyDescent="0.35">
      <c r="A65">
        <v>64</v>
      </c>
      <c r="B65">
        <v>70</v>
      </c>
      <c r="C65" t="str">
        <f t="shared" si="0"/>
        <v>Senior</v>
      </c>
      <c r="D65" t="s">
        <v>16</v>
      </c>
      <c r="E65" t="s">
        <v>25</v>
      </c>
      <c r="F65" t="s">
        <v>54</v>
      </c>
      <c r="G65">
        <v>73.3</v>
      </c>
      <c r="H65" t="s">
        <v>24</v>
      </c>
      <c r="I65" t="s">
        <v>15</v>
      </c>
      <c r="J65">
        <v>2.9</v>
      </c>
      <c r="K65">
        <v>9</v>
      </c>
      <c r="L65">
        <f t="shared" si="1"/>
        <v>66.703000000000003</v>
      </c>
      <c r="M65">
        <v>2</v>
      </c>
      <c r="N65" t="str">
        <f t="shared" si="2"/>
        <v>New</v>
      </c>
    </row>
    <row r="66" spans="1:14" x14ac:dyDescent="0.35">
      <c r="A66">
        <v>65</v>
      </c>
      <c r="B66">
        <v>20</v>
      </c>
      <c r="C66" t="str">
        <f t="shared" si="0"/>
        <v>Youth</v>
      </c>
      <c r="D66" t="s">
        <v>16</v>
      </c>
      <c r="E66" t="s">
        <v>33</v>
      </c>
      <c r="F66" t="s">
        <v>38</v>
      </c>
      <c r="G66">
        <v>123.79</v>
      </c>
      <c r="H66" t="s">
        <v>19</v>
      </c>
      <c r="I66" t="s">
        <v>15</v>
      </c>
      <c r="J66">
        <v>3.5</v>
      </c>
      <c r="K66">
        <v>6</v>
      </c>
      <c r="L66">
        <f t="shared" si="1"/>
        <v>116.3626</v>
      </c>
      <c r="M66">
        <v>3</v>
      </c>
      <c r="N66" t="str">
        <f t="shared" si="2"/>
        <v>New</v>
      </c>
    </row>
    <row r="67" spans="1:14" x14ac:dyDescent="0.35">
      <c r="A67">
        <v>66</v>
      </c>
      <c r="B67">
        <v>30</v>
      </c>
      <c r="C67" t="str">
        <f t="shared" ref="C67:C130" si="3">IF(B67&lt;=30,"Youth",IF(B67&lt;=45,"Adult",IF(B67&lt;=60,"Adult","Senior")))</f>
        <v>Youth</v>
      </c>
      <c r="D67" t="s">
        <v>11</v>
      </c>
      <c r="E67" t="s">
        <v>41</v>
      </c>
      <c r="F67" t="s">
        <v>44</v>
      </c>
      <c r="G67">
        <v>155.38</v>
      </c>
      <c r="H67" t="s">
        <v>31</v>
      </c>
      <c r="I67" t="s">
        <v>15</v>
      </c>
      <c r="J67">
        <v>3</v>
      </c>
      <c r="K67">
        <v>6</v>
      </c>
      <c r="L67">
        <f t="shared" ref="L67:L130" si="4">G67*(1-K67/100)</f>
        <v>146.05719999999999</v>
      </c>
      <c r="M67">
        <v>3</v>
      </c>
      <c r="N67" t="str">
        <f t="shared" ref="N67:N130" si="5">IF(M67&lt;=3,"New",IF(M67&lt;=7,"Regular","Loyal"))</f>
        <v>New</v>
      </c>
    </row>
    <row r="68" spans="1:14" x14ac:dyDescent="0.35">
      <c r="A68">
        <v>67</v>
      </c>
      <c r="B68">
        <v>25</v>
      </c>
      <c r="C68" t="str">
        <f t="shared" si="3"/>
        <v>Youth</v>
      </c>
      <c r="D68" t="s">
        <v>16</v>
      </c>
      <c r="E68" t="s">
        <v>27</v>
      </c>
      <c r="F68" t="s">
        <v>49</v>
      </c>
      <c r="G68">
        <v>1951.47</v>
      </c>
      <c r="H68" t="s">
        <v>14</v>
      </c>
      <c r="I68" t="s">
        <v>15</v>
      </c>
      <c r="J68">
        <v>3.8</v>
      </c>
      <c r="K68">
        <v>14</v>
      </c>
      <c r="L68">
        <f t="shared" si="4"/>
        <v>1678.2642000000001</v>
      </c>
      <c r="M68">
        <v>2</v>
      </c>
      <c r="N68" t="str">
        <f t="shared" si="5"/>
        <v>New</v>
      </c>
    </row>
    <row r="69" spans="1:14" x14ac:dyDescent="0.35">
      <c r="A69">
        <v>68</v>
      </c>
      <c r="B69">
        <v>41</v>
      </c>
      <c r="C69" t="str">
        <f t="shared" si="3"/>
        <v>Adult</v>
      </c>
      <c r="D69" t="s">
        <v>11</v>
      </c>
      <c r="E69" t="s">
        <v>33</v>
      </c>
      <c r="F69" t="s">
        <v>40</v>
      </c>
      <c r="G69">
        <v>102.92</v>
      </c>
      <c r="H69" t="s">
        <v>19</v>
      </c>
      <c r="I69" t="s">
        <v>15</v>
      </c>
      <c r="J69">
        <v>4</v>
      </c>
      <c r="K69">
        <v>12</v>
      </c>
      <c r="L69">
        <f t="shared" si="4"/>
        <v>90.569600000000008</v>
      </c>
      <c r="M69">
        <v>6</v>
      </c>
      <c r="N69" t="str">
        <f t="shared" si="5"/>
        <v>Regular</v>
      </c>
    </row>
    <row r="70" spans="1:14" x14ac:dyDescent="0.35">
      <c r="A70">
        <v>69</v>
      </c>
      <c r="B70">
        <v>35</v>
      </c>
      <c r="C70" t="str">
        <f t="shared" si="3"/>
        <v>Adult</v>
      </c>
      <c r="D70" t="s">
        <v>11</v>
      </c>
      <c r="E70" t="s">
        <v>29</v>
      </c>
      <c r="F70" t="s">
        <v>51</v>
      </c>
      <c r="G70">
        <v>112.83</v>
      </c>
      <c r="H70" t="s">
        <v>19</v>
      </c>
      <c r="I70" t="s">
        <v>15</v>
      </c>
      <c r="J70">
        <v>3.8</v>
      </c>
      <c r="K70">
        <v>10</v>
      </c>
      <c r="L70">
        <f t="shared" si="4"/>
        <v>101.547</v>
      </c>
      <c r="M70">
        <v>5</v>
      </c>
      <c r="N70" t="str">
        <f t="shared" si="5"/>
        <v>Regular</v>
      </c>
    </row>
    <row r="71" spans="1:14" x14ac:dyDescent="0.35">
      <c r="A71">
        <v>70</v>
      </c>
      <c r="B71">
        <v>29</v>
      </c>
      <c r="C71" t="str">
        <f t="shared" si="3"/>
        <v>Youth</v>
      </c>
      <c r="D71" t="s">
        <v>16</v>
      </c>
      <c r="E71" t="s">
        <v>20</v>
      </c>
      <c r="F71" t="s">
        <v>21</v>
      </c>
      <c r="G71">
        <v>30.71</v>
      </c>
      <c r="H71" t="s">
        <v>14</v>
      </c>
      <c r="I71" t="s">
        <v>15</v>
      </c>
      <c r="J71">
        <v>3.7</v>
      </c>
      <c r="K71">
        <v>16</v>
      </c>
      <c r="L71">
        <f t="shared" si="4"/>
        <v>25.796399999999998</v>
      </c>
      <c r="M71">
        <v>3</v>
      </c>
      <c r="N71" t="str">
        <f t="shared" si="5"/>
        <v>New</v>
      </c>
    </row>
    <row r="72" spans="1:14" x14ac:dyDescent="0.35">
      <c r="A72">
        <v>71</v>
      </c>
      <c r="B72">
        <v>42</v>
      </c>
      <c r="C72" t="str">
        <f t="shared" si="3"/>
        <v>Adult</v>
      </c>
      <c r="D72" t="s">
        <v>16</v>
      </c>
      <c r="E72" t="s">
        <v>20</v>
      </c>
      <c r="F72" t="s">
        <v>36</v>
      </c>
      <c r="G72">
        <v>101.34</v>
      </c>
      <c r="H72" t="s">
        <v>19</v>
      </c>
      <c r="I72" t="s">
        <v>15</v>
      </c>
      <c r="J72">
        <v>3</v>
      </c>
      <c r="K72">
        <v>32</v>
      </c>
      <c r="L72">
        <f t="shared" si="4"/>
        <v>68.911199999999994</v>
      </c>
      <c r="M72">
        <v>11</v>
      </c>
      <c r="N72" t="str">
        <f t="shared" si="5"/>
        <v>Loyal</v>
      </c>
    </row>
    <row r="73" spans="1:14" x14ac:dyDescent="0.35">
      <c r="A73">
        <v>72</v>
      </c>
      <c r="B73">
        <v>20</v>
      </c>
      <c r="C73" t="str">
        <f t="shared" si="3"/>
        <v>Youth</v>
      </c>
      <c r="D73" t="s">
        <v>16</v>
      </c>
      <c r="E73" t="s">
        <v>33</v>
      </c>
      <c r="F73" t="s">
        <v>34</v>
      </c>
      <c r="G73">
        <v>213.27</v>
      </c>
      <c r="H73" t="s">
        <v>24</v>
      </c>
      <c r="I73" t="s">
        <v>15</v>
      </c>
      <c r="J73">
        <v>5</v>
      </c>
      <c r="K73">
        <v>11</v>
      </c>
      <c r="L73">
        <f t="shared" si="4"/>
        <v>189.81030000000001</v>
      </c>
      <c r="M73">
        <v>3</v>
      </c>
      <c r="N73" t="str">
        <f t="shared" si="5"/>
        <v>New</v>
      </c>
    </row>
    <row r="74" spans="1:14" x14ac:dyDescent="0.35">
      <c r="A74">
        <v>73</v>
      </c>
      <c r="B74">
        <v>53</v>
      </c>
      <c r="C74" t="str">
        <f t="shared" si="3"/>
        <v>Adult</v>
      </c>
      <c r="D74" t="s">
        <v>16</v>
      </c>
      <c r="E74" t="s">
        <v>20</v>
      </c>
      <c r="F74" t="s">
        <v>36</v>
      </c>
      <c r="G74">
        <v>196.81</v>
      </c>
      <c r="H74" t="s">
        <v>24</v>
      </c>
      <c r="I74" t="s">
        <v>15</v>
      </c>
      <c r="J74">
        <v>4.4000000000000004</v>
      </c>
      <c r="K74">
        <v>17</v>
      </c>
      <c r="L74">
        <f t="shared" si="4"/>
        <v>163.35229999999999</v>
      </c>
      <c r="M74">
        <v>6</v>
      </c>
      <c r="N74" t="str">
        <f t="shared" si="5"/>
        <v>Regular</v>
      </c>
    </row>
    <row r="75" spans="1:14" x14ac:dyDescent="0.35">
      <c r="A75">
        <v>74</v>
      </c>
      <c r="B75">
        <v>58</v>
      </c>
      <c r="C75" t="str">
        <f t="shared" si="3"/>
        <v>Adult</v>
      </c>
      <c r="D75" t="s">
        <v>16</v>
      </c>
      <c r="E75" t="s">
        <v>20</v>
      </c>
      <c r="F75" t="s">
        <v>36</v>
      </c>
      <c r="G75">
        <v>246.49</v>
      </c>
      <c r="H75" t="s">
        <v>14</v>
      </c>
      <c r="I75" t="s">
        <v>15</v>
      </c>
      <c r="J75">
        <v>4.5</v>
      </c>
      <c r="K75">
        <v>11</v>
      </c>
      <c r="L75">
        <f t="shared" si="4"/>
        <v>219.37610000000001</v>
      </c>
      <c r="M75">
        <v>3</v>
      </c>
      <c r="N75" t="str">
        <f t="shared" si="5"/>
        <v>New</v>
      </c>
    </row>
    <row r="76" spans="1:14" x14ac:dyDescent="0.35">
      <c r="A76">
        <v>75</v>
      </c>
      <c r="B76">
        <v>40</v>
      </c>
      <c r="C76" t="str">
        <f t="shared" si="3"/>
        <v>Adult</v>
      </c>
      <c r="D76" t="s">
        <v>11</v>
      </c>
      <c r="E76" t="s">
        <v>41</v>
      </c>
      <c r="F76" t="s">
        <v>45</v>
      </c>
      <c r="G76">
        <v>124.21</v>
      </c>
      <c r="H76" t="s">
        <v>31</v>
      </c>
      <c r="I76" t="s">
        <v>15</v>
      </c>
      <c r="J76">
        <v>3</v>
      </c>
      <c r="K76">
        <v>6</v>
      </c>
      <c r="L76">
        <f t="shared" si="4"/>
        <v>116.75739999999999</v>
      </c>
      <c r="M76">
        <v>3</v>
      </c>
      <c r="N76" t="str">
        <f t="shared" si="5"/>
        <v>New</v>
      </c>
    </row>
    <row r="77" spans="1:14" x14ac:dyDescent="0.35">
      <c r="A77">
        <v>76</v>
      </c>
      <c r="B77">
        <v>59</v>
      </c>
      <c r="C77" t="str">
        <f t="shared" si="3"/>
        <v>Adult</v>
      </c>
      <c r="D77" t="s">
        <v>11</v>
      </c>
      <c r="E77" t="s">
        <v>29</v>
      </c>
      <c r="F77" t="s">
        <v>55</v>
      </c>
      <c r="G77">
        <v>42.8</v>
      </c>
      <c r="H77" t="s">
        <v>24</v>
      </c>
      <c r="I77" t="s">
        <v>15</v>
      </c>
      <c r="J77">
        <v>3.1</v>
      </c>
      <c r="K77">
        <v>13</v>
      </c>
      <c r="L77">
        <f t="shared" si="4"/>
        <v>37.235999999999997</v>
      </c>
      <c r="M77">
        <v>4</v>
      </c>
      <c r="N77" t="str">
        <f t="shared" si="5"/>
        <v>Regular</v>
      </c>
    </row>
    <row r="78" spans="1:14" x14ac:dyDescent="0.35">
      <c r="A78">
        <v>77</v>
      </c>
      <c r="B78">
        <v>70</v>
      </c>
      <c r="C78" t="str">
        <f t="shared" si="3"/>
        <v>Senior</v>
      </c>
      <c r="D78" t="s">
        <v>16</v>
      </c>
      <c r="E78" t="s">
        <v>17</v>
      </c>
      <c r="F78" t="s">
        <v>18</v>
      </c>
      <c r="G78">
        <v>96.18</v>
      </c>
      <c r="H78" t="s">
        <v>14</v>
      </c>
      <c r="I78" t="s">
        <v>15</v>
      </c>
      <c r="J78">
        <v>2.7</v>
      </c>
      <c r="K78">
        <v>20</v>
      </c>
      <c r="L78">
        <f t="shared" si="4"/>
        <v>76.944000000000017</v>
      </c>
      <c r="M78">
        <v>5</v>
      </c>
      <c r="N78" t="str">
        <f t="shared" si="5"/>
        <v>Regular</v>
      </c>
    </row>
    <row r="79" spans="1:14" x14ac:dyDescent="0.35">
      <c r="A79">
        <v>78</v>
      </c>
      <c r="B79">
        <v>38</v>
      </c>
      <c r="C79" t="str">
        <f t="shared" si="3"/>
        <v>Adult</v>
      </c>
      <c r="D79" t="s">
        <v>16</v>
      </c>
      <c r="E79" t="s">
        <v>27</v>
      </c>
      <c r="F79" t="s">
        <v>28</v>
      </c>
      <c r="G79">
        <v>2888.09</v>
      </c>
      <c r="H79" t="s">
        <v>24</v>
      </c>
      <c r="I79" t="s">
        <v>15</v>
      </c>
      <c r="J79">
        <v>3.6</v>
      </c>
      <c r="K79">
        <v>8</v>
      </c>
      <c r="L79">
        <f t="shared" si="4"/>
        <v>2657.0428000000002</v>
      </c>
      <c r="M79">
        <v>4</v>
      </c>
      <c r="N79" t="str">
        <f t="shared" si="5"/>
        <v>Regular</v>
      </c>
    </row>
    <row r="80" spans="1:14" x14ac:dyDescent="0.35">
      <c r="A80">
        <v>79</v>
      </c>
      <c r="B80">
        <v>62</v>
      </c>
      <c r="C80" t="str">
        <f t="shared" si="3"/>
        <v>Senior</v>
      </c>
      <c r="D80" t="s">
        <v>11</v>
      </c>
      <c r="E80" t="s">
        <v>12</v>
      </c>
      <c r="F80" t="s">
        <v>50</v>
      </c>
      <c r="G80">
        <v>151.06</v>
      </c>
      <c r="H80" t="s">
        <v>14</v>
      </c>
      <c r="I80" t="s">
        <v>15</v>
      </c>
      <c r="J80">
        <v>4.0999999999999996</v>
      </c>
      <c r="K80">
        <v>20</v>
      </c>
      <c r="L80">
        <f t="shared" si="4"/>
        <v>120.84800000000001</v>
      </c>
      <c r="M80">
        <v>5</v>
      </c>
      <c r="N80" t="str">
        <f t="shared" si="5"/>
        <v>Regular</v>
      </c>
    </row>
    <row r="81" spans="1:14" x14ac:dyDescent="0.35">
      <c r="A81">
        <v>80</v>
      </c>
      <c r="B81">
        <v>35</v>
      </c>
      <c r="C81" t="str">
        <f t="shared" si="3"/>
        <v>Adult</v>
      </c>
      <c r="D81" t="s">
        <v>11</v>
      </c>
      <c r="E81" t="s">
        <v>12</v>
      </c>
      <c r="F81" t="s">
        <v>13</v>
      </c>
      <c r="G81">
        <v>141.44999999999999</v>
      </c>
      <c r="H81" t="s">
        <v>14</v>
      </c>
      <c r="I81" t="s">
        <v>15</v>
      </c>
      <c r="J81">
        <v>5</v>
      </c>
      <c r="K81">
        <v>19</v>
      </c>
      <c r="L81">
        <f t="shared" si="4"/>
        <v>114.5745</v>
      </c>
      <c r="M81">
        <v>7</v>
      </c>
      <c r="N81" t="str">
        <f t="shared" si="5"/>
        <v>Regular</v>
      </c>
    </row>
    <row r="82" spans="1:14" x14ac:dyDescent="0.35">
      <c r="A82">
        <v>81</v>
      </c>
      <c r="B82">
        <v>26</v>
      </c>
      <c r="C82" t="str">
        <f t="shared" si="3"/>
        <v>Youth</v>
      </c>
      <c r="D82" t="s">
        <v>16</v>
      </c>
      <c r="E82" t="s">
        <v>25</v>
      </c>
      <c r="F82" t="s">
        <v>54</v>
      </c>
      <c r="G82">
        <v>73.66</v>
      </c>
      <c r="H82" t="s">
        <v>19</v>
      </c>
      <c r="I82" t="s">
        <v>15</v>
      </c>
      <c r="J82">
        <v>4.7</v>
      </c>
      <c r="K82">
        <v>11</v>
      </c>
      <c r="L82">
        <f t="shared" si="4"/>
        <v>65.557400000000001</v>
      </c>
      <c r="M82">
        <v>3</v>
      </c>
      <c r="N82" t="str">
        <f t="shared" si="5"/>
        <v>New</v>
      </c>
    </row>
    <row r="83" spans="1:14" x14ac:dyDescent="0.35">
      <c r="A83">
        <v>82</v>
      </c>
      <c r="B83">
        <v>58</v>
      </c>
      <c r="C83" t="str">
        <f t="shared" si="3"/>
        <v>Adult</v>
      </c>
      <c r="D83" t="s">
        <v>16</v>
      </c>
      <c r="E83" t="s">
        <v>17</v>
      </c>
      <c r="F83" t="s">
        <v>48</v>
      </c>
      <c r="G83">
        <v>36.29</v>
      </c>
      <c r="H83" t="s">
        <v>14</v>
      </c>
      <c r="I83" t="s">
        <v>15</v>
      </c>
      <c r="J83">
        <v>3.4</v>
      </c>
      <c r="K83">
        <v>6</v>
      </c>
      <c r="L83">
        <f t="shared" si="4"/>
        <v>34.1126</v>
      </c>
      <c r="M83">
        <v>3</v>
      </c>
      <c r="N83" t="str">
        <f t="shared" si="5"/>
        <v>New</v>
      </c>
    </row>
    <row r="84" spans="1:14" x14ac:dyDescent="0.35">
      <c r="A84">
        <v>83</v>
      </c>
      <c r="B84">
        <v>45</v>
      </c>
      <c r="C84" t="str">
        <f t="shared" si="3"/>
        <v>Adult</v>
      </c>
      <c r="D84" t="s">
        <v>16</v>
      </c>
      <c r="E84" t="s">
        <v>33</v>
      </c>
      <c r="F84" t="s">
        <v>38</v>
      </c>
      <c r="G84">
        <v>208.84</v>
      </c>
      <c r="H84" t="s">
        <v>31</v>
      </c>
      <c r="I84" t="s">
        <v>15</v>
      </c>
      <c r="J84">
        <v>4.4000000000000004</v>
      </c>
      <c r="K84">
        <v>18</v>
      </c>
      <c r="L84">
        <f t="shared" si="4"/>
        <v>171.24880000000002</v>
      </c>
      <c r="M84">
        <v>9</v>
      </c>
      <c r="N84" t="str">
        <f t="shared" si="5"/>
        <v>Loyal</v>
      </c>
    </row>
    <row r="85" spans="1:14" x14ac:dyDescent="0.35">
      <c r="A85">
        <v>84</v>
      </c>
      <c r="B85">
        <v>58</v>
      </c>
      <c r="C85" t="str">
        <f t="shared" si="3"/>
        <v>Adult</v>
      </c>
      <c r="D85" t="s">
        <v>11</v>
      </c>
      <c r="E85" t="s">
        <v>41</v>
      </c>
      <c r="F85" t="s">
        <v>46</v>
      </c>
      <c r="G85">
        <v>98.33</v>
      </c>
      <c r="H85" t="s">
        <v>19</v>
      </c>
      <c r="I85" t="s">
        <v>15</v>
      </c>
      <c r="J85">
        <v>4.0999999999999996</v>
      </c>
      <c r="K85">
        <v>26</v>
      </c>
      <c r="L85">
        <f t="shared" si="4"/>
        <v>72.764200000000002</v>
      </c>
      <c r="M85">
        <v>8</v>
      </c>
      <c r="N85" t="str">
        <f t="shared" si="5"/>
        <v>Loyal</v>
      </c>
    </row>
    <row r="86" spans="1:14" x14ac:dyDescent="0.35">
      <c r="A86">
        <v>85</v>
      </c>
      <c r="B86">
        <v>49</v>
      </c>
      <c r="C86" t="str">
        <f t="shared" si="3"/>
        <v>Adult</v>
      </c>
      <c r="D86" t="s">
        <v>11</v>
      </c>
      <c r="E86" t="s">
        <v>41</v>
      </c>
      <c r="F86" t="s">
        <v>46</v>
      </c>
      <c r="G86">
        <v>37.159999999999997</v>
      </c>
      <c r="H86" t="s">
        <v>31</v>
      </c>
      <c r="I86" t="s">
        <v>37</v>
      </c>
      <c r="J86">
        <v>3.7</v>
      </c>
      <c r="K86">
        <v>16</v>
      </c>
      <c r="L86">
        <f t="shared" si="4"/>
        <v>31.214399999999998</v>
      </c>
      <c r="M86">
        <v>3</v>
      </c>
      <c r="N86" t="str">
        <f t="shared" si="5"/>
        <v>New</v>
      </c>
    </row>
    <row r="87" spans="1:14" x14ac:dyDescent="0.35">
      <c r="A87">
        <v>86</v>
      </c>
      <c r="B87">
        <v>65</v>
      </c>
      <c r="C87" t="str">
        <f t="shared" si="3"/>
        <v>Senior</v>
      </c>
      <c r="D87" t="s">
        <v>11</v>
      </c>
      <c r="E87" t="s">
        <v>29</v>
      </c>
      <c r="F87" t="s">
        <v>51</v>
      </c>
      <c r="G87">
        <v>41.71</v>
      </c>
      <c r="H87" t="s">
        <v>24</v>
      </c>
      <c r="I87" t="s">
        <v>15</v>
      </c>
      <c r="J87">
        <v>3.3</v>
      </c>
      <c r="K87">
        <v>19</v>
      </c>
      <c r="L87">
        <f t="shared" si="4"/>
        <v>33.7851</v>
      </c>
      <c r="M87">
        <v>7</v>
      </c>
      <c r="N87" t="str">
        <f t="shared" si="5"/>
        <v>Regular</v>
      </c>
    </row>
    <row r="88" spans="1:14" x14ac:dyDescent="0.35">
      <c r="A88">
        <v>87</v>
      </c>
      <c r="B88">
        <v>22</v>
      </c>
      <c r="C88" t="str">
        <f t="shared" si="3"/>
        <v>Youth</v>
      </c>
      <c r="D88" t="s">
        <v>11</v>
      </c>
      <c r="E88" t="s">
        <v>29</v>
      </c>
      <c r="F88" t="s">
        <v>51</v>
      </c>
      <c r="G88">
        <v>145.97999999999999</v>
      </c>
      <c r="H88" t="s">
        <v>31</v>
      </c>
      <c r="I88" t="s">
        <v>15</v>
      </c>
      <c r="J88">
        <v>3.5</v>
      </c>
      <c r="K88">
        <v>24</v>
      </c>
      <c r="L88">
        <f t="shared" si="4"/>
        <v>110.94479999999999</v>
      </c>
      <c r="M88">
        <v>7</v>
      </c>
      <c r="N88" t="str">
        <f t="shared" si="5"/>
        <v>Regular</v>
      </c>
    </row>
    <row r="89" spans="1:14" x14ac:dyDescent="0.35">
      <c r="A89">
        <v>88</v>
      </c>
      <c r="B89">
        <v>44</v>
      </c>
      <c r="C89" t="str">
        <f t="shared" si="3"/>
        <v>Adult</v>
      </c>
      <c r="D89" t="s">
        <v>16</v>
      </c>
      <c r="E89" t="s">
        <v>27</v>
      </c>
      <c r="F89" t="s">
        <v>28</v>
      </c>
      <c r="G89">
        <v>1643.58</v>
      </c>
      <c r="H89" t="s">
        <v>14</v>
      </c>
      <c r="I89" t="s">
        <v>15</v>
      </c>
      <c r="J89">
        <v>3.2</v>
      </c>
      <c r="K89">
        <v>11</v>
      </c>
      <c r="L89">
        <f t="shared" si="4"/>
        <v>1462.7862</v>
      </c>
      <c r="M89">
        <v>3</v>
      </c>
      <c r="N89" t="str">
        <f t="shared" si="5"/>
        <v>New</v>
      </c>
    </row>
    <row r="90" spans="1:14" x14ac:dyDescent="0.35">
      <c r="A90">
        <v>89</v>
      </c>
      <c r="B90">
        <v>61</v>
      </c>
      <c r="C90" t="str">
        <f t="shared" si="3"/>
        <v>Senior</v>
      </c>
      <c r="D90" t="s">
        <v>16</v>
      </c>
      <c r="E90" t="s">
        <v>27</v>
      </c>
      <c r="F90" t="s">
        <v>49</v>
      </c>
      <c r="G90">
        <v>2338.0300000000002</v>
      </c>
      <c r="H90" t="s">
        <v>19</v>
      </c>
      <c r="I90" t="s">
        <v>15</v>
      </c>
      <c r="J90">
        <v>3.8</v>
      </c>
      <c r="K90">
        <v>14</v>
      </c>
      <c r="L90">
        <f t="shared" si="4"/>
        <v>2010.7058000000002</v>
      </c>
      <c r="M90">
        <v>2</v>
      </c>
      <c r="N90" t="str">
        <f t="shared" si="5"/>
        <v>New</v>
      </c>
    </row>
    <row r="91" spans="1:14" x14ac:dyDescent="0.35">
      <c r="A91">
        <v>90</v>
      </c>
      <c r="B91">
        <v>56</v>
      </c>
      <c r="C91" t="str">
        <f t="shared" si="3"/>
        <v>Adult</v>
      </c>
      <c r="D91" t="s">
        <v>11</v>
      </c>
      <c r="E91" t="s">
        <v>25</v>
      </c>
      <c r="F91" t="s">
        <v>47</v>
      </c>
      <c r="G91">
        <v>68.84</v>
      </c>
      <c r="H91" t="s">
        <v>31</v>
      </c>
      <c r="I91" t="s">
        <v>37</v>
      </c>
      <c r="J91">
        <v>5</v>
      </c>
      <c r="K91">
        <v>19</v>
      </c>
      <c r="L91">
        <f t="shared" si="4"/>
        <v>55.760400000000004</v>
      </c>
      <c r="M91">
        <v>7</v>
      </c>
      <c r="N91" t="str">
        <f t="shared" si="5"/>
        <v>Regular</v>
      </c>
    </row>
    <row r="92" spans="1:14" x14ac:dyDescent="0.35">
      <c r="A92">
        <v>91</v>
      </c>
      <c r="B92">
        <v>35</v>
      </c>
      <c r="C92" t="str">
        <f t="shared" si="3"/>
        <v>Adult</v>
      </c>
      <c r="D92" t="s">
        <v>11</v>
      </c>
      <c r="E92" t="s">
        <v>12</v>
      </c>
      <c r="F92" t="s">
        <v>50</v>
      </c>
      <c r="G92">
        <v>45.66</v>
      </c>
      <c r="H92" t="s">
        <v>19</v>
      </c>
      <c r="I92" t="s">
        <v>37</v>
      </c>
      <c r="J92">
        <v>4.5999999999999996</v>
      </c>
      <c r="K92">
        <v>18</v>
      </c>
      <c r="L92">
        <f t="shared" si="4"/>
        <v>37.441200000000002</v>
      </c>
      <c r="M92">
        <v>4</v>
      </c>
      <c r="N92" t="str">
        <f t="shared" si="5"/>
        <v>Regular</v>
      </c>
    </row>
    <row r="93" spans="1:14" x14ac:dyDescent="0.35">
      <c r="A93">
        <v>92</v>
      </c>
      <c r="B93">
        <v>51</v>
      </c>
      <c r="C93" t="str">
        <f t="shared" si="3"/>
        <v>Adult</v>
      </c>
      <c r="D93" t="s">
        <v>16</v>
      </c>
      <c r="E93" t="s">
        <v>33</v>
      </c>
      <c r="F93" t="s">
        <v>38</v>
      </c>
      <c r="G93">
        <v>40.24</v>
      </c>
      <c r="H93" t="s">
        <v>24</v>
      </c>
      <c r="I93" t="s">
        <v>15</v>
      </c>
      <c r="J93">
        <v>3.8</v>
      </c>
      <c r="K93">
        <v>18</v>
      </c>
      <c r="L93">
        <f t="shared" si="4"/>
        <v>32.996800000000007</v>
      </c>
      <c r="M93">
        <v>4</v>
      </c>
      <c r="N93" t="str">
        <f t="shared" si="5"/>
        <v>Regular</v>
      </c>
    </row>
    <row r="94" spans="1:14" x14ac:dyDescent="0.35">
      <c r="A94">
        <v>93</v>
      </c>
      <c r="B94">
        <v>36</v>
      </c>
      <c r="C94" t="str">
        <f t="shared" si="3"/>
        <v>Adult</v>
      </c>
      <c r="D94" t="s">
        <v>11</v>
      </c>
      <c r="E94" t="s">
        <v>33</v>
      </c>
      <c r="F94" t="s">
        <v>40</v>
      </c>
      <c r="G94">
        <v>203.77</v>
      </c>
      <c r="H94" t="s">
        <v>19</v>
      </c>
      <c r="I94" t="s">
        <v>15</v>
      </c>
      <c r="J94">
        <v>4.4000000000000004</v>
      </c>
      <c r="K94">
        <v>19</v>
      </c>
      <c r="L94">
        <f t="shared" si="4"/>
        <v>165.05370000000002</v>
      </c>
      <c r="M94">
        <v>7</v>
      </c>
      <c r="N94" t="str">
        <f t="shared" si="5"/>
        <v>Regular</v>
      </c>
    </row>
    <row r="95" spans="1:14" x14ac:dyDescent="0.35">
      <c r="A95">
        <v>94</v>
      </c>
      <c r="B95">
        <v>20</v>
      </c>
      <c r="C95" t="str">
        <f t="shared" si="3"/>
        <v>Youth</v>
      </c>
      <c r="D95" t="s">
        <v>11</v>
      </c>
      <c r="E95" t="s">
        <v>12</v>
      </c>
      <c r="F95" t="s">
        <v>56</v>
      </c>
      <c r="G95">
        <v>159.44999999999999</v>
      </c>
      <c r="H95" t="s">
        <v>24</v>
      </c>
      <c r="I95" t="s">
        <v>15</v>
      </c>
      <c r="J95">
        <v>4.5999999999999996</v>
      </c>
      <c r="K95">
        <v>20</v>
      </c>
      <c r="L95">
        <f t="shared" si="4"/>
        <v>127.56</v>
      </c>
      <c r="M95">
        <v>5</v>
      </c>
      <c r="N95" t="str">
        <f t="shared" si="5"/>
        <v>Regular</v>
      </c>
    </row>
    <row r="96" spans="1:14" x14ac:dyDescent="0.35">
      <c r="A96">
        <v>95</v>
      </c>
      <c r="B96">
        <v>25</v>
      </c>
      <c r="C96" t="str">
        <f t="shared" si="3"/>
        <v>Youth</v>
      </c>
      <c r="D96" t="s">
        <v>16</v>
      </c>
      <c r="E96" t="s">
        <v>33</v>
      </c>
      <c r="F96" t="s">
        <v>38</v>
      </c>
      <c r="G96">
        <v>183.49</v>
      </c>
      <c r="H96" t="s">
        <v>14</v>
      </c>
      <c r="I96" t="s">
        <v>15</v>
      </c>
      <c r="J96">
        <v>3.5</v>
      </c>
      <c r="K96">
        <v>20</v>
      </c>
      <c r="L96">
        <f t="shared" si="4"/>
        <v>146.792</v>
      </c>
      <c r="M96">
        <v>5</v>
      </c>
      <c r="N96" t="str">
        <f t="shared" si="5"/>
        <v>Regular</v>
      </c>
    </row>
    <row r="97" spans="1:14" x14ac:dyDescent="0.35">
      <c r="A97">
        <v>96</v>
      </c>
      <c r="B97">
        <v>21</v>
      </c>
      <c r="C97" t="str">
        <f t="shared" si="3"/>
        <v>Youth</v>
      </c>
      <c r="D97" t="s">
        <v>16</v>
      </c>
      <c r="E97" t="s">
        <v>17</v>
      </c>
      <c r="F97" t="s">
        <v>48</v>
      </c>
      <c r="G97">
        <v>76.45</v>
      </c>
      <c r="H97" t="s">
        <v>31</v>
      </c>
      <c r="I97" t="s">
        <v>15</v>
      </c>
      <c r="J97">
        <v>4.4000000000000004</v>
      </c>
      <c r="K97">
        <v>12</v>
      </c>
      <c r="L97">
        <f t="shared" si="4"/>
        <v>67.275999999999996</v>
      </c>
      <c r="M97">
        <v>6</v>
      </c>
      <c r="N97" t="str">
        <f t="shared" si="5"/>
        <v>Regular</v>
      </c>
    </row>
    <row r="98" spans="1:14" x14ac:dyDescent="0.35">
      <c r="A98">
        <v>97</v>
      </c>
      <c r="B98">
        <v>20</v>
      </c>
      <c r="C98" t="str">
        <f t="shared" si="3"/>
        <v>Youth</v>
      </c>
      <c r="D98" t="s">
        <v>11</v>
      </c>
      <c r="E98" t="s">
        <v>12</v>
      </c>
      <c r="F98" t="s">
        <v>56</v>
      </c>
      <c r="G98">
        <v>54.1</v>
      </c>
      <c r="H98" t="s">
        <v>31</v>
      </c>
      <c r="I98" t="s">
        <v>15</v>
      </c>
      <c r="J98">
        <v>4.0999999999999996</v>
      </c>
      <c r="K98">
        <v>16</v>
      </c>
      <c r="L98">
        <f t="shared" si="4"/>
        <v>45.444000000000003</v>
      </c>
      <c r="M98">
        <v>3</v>
      </c>
      <c r="N98" t="str">
        <f t="shared" si="5"/>
        <v>New</v>
      </c>
    </row>
    <row r="99" spans="1:14" x14ac:dyDescent="0.35">
      <c r="A99">
        <v>98</v>
      </c>
      <c r="B99">
        <v>65</v>
      </c>
      <c r="C99" t="str">
        <f t="shared" si="3"/>
        <v>Senior</v>
      </c>
      <c r="D99" t="s">
        <v>11</v>
      </c>
      <c r="E99" t="s">
        <v>12</v>
      </c>
      <c r="F99" t="s">
        <v>13</v>
      </c>
      <c r="G99">
        <v>41</v>
      </c>
      <c r="H99" t="s">
        <v>14</v>
      </c>
      <c r="I99" t="s">
        <v>37</v>
      </c>
      <c r="J99">
        <v>4</v>
      </c>
      <c r="K99">
        <v>10</v>
      </c>
      <c r="L99">
        <f t="shared" si="4"/>
        <v>36.9</v>
      </c>
      <c r="M99">
        <v>5</v>
      </c>
      <c r="N99" t="str">
        <f t="shared" si="5"/>
        <v>Regular</v>
      </c>
    </row>
    <row r="100" spans="1:14" x14ac:dyDescent="0.35">
      <c r="A100">
        <v>99</v>
      </c>
      <c r="B100">
        <v>39</v>
      </c>
      <c r="C100" t="str">
        <f t="shared" si="3"/>
        <v>Adult</v>
      </c>
      <c r="D100" t="s">
        <v>11</v>
      </c>
      <c r="E100" t="s">
        <v>33</v>
      </c>
      <c r="F100" t="s">
        <v>40</v>
      </c>
      <c r="G100">
        <v>73.77</v>
      </c>
      <c r="H100" t="s">
        <v>19</v>
      </c>
      <c r="I100" t="s">
        <v>15</v>
      </c>
      <c r="J100">
        <v>3.5</v>
      </c>
      <c r="K100">
        <v>17</v>
      </c>
      <c r="L100">
        <f t="shared" si="4"/>
        <v>61.229099999999995</v>
      </c>
      <c r="M100">
        <v>6</v>
      </c>
      <c r="N100" t="str">
        <f t="shared" si="5"/>
        <v>Regular</v>
      </c>
    </row>
    <row r="101" spans="1:14" x14ac:dyDescent="0.35">
      <c r="A101">
        <v>100</v>
      </c>
      <c r="B101">
        <v>51</v>
      </c>
      <c r="C101" t="str">
        <f t="shared" si="3"/>
        <v>Adult</v>
      </c>
      <c r="D101" t="s">
        <v>16</v>
      </c>
      <c r="E101" t="s">
        <v>27</v>
      </c>
      <c r="F101" t="s">
        <v>32</v>
      </c>
      <c r="G101">
        <v>2449.63</v>
      </c>
      <c r="H101" t="s">
        <v>14</v>
      </c>
      <c r="I101" t="s">
        <v>15</v>
      </c>
      <c r="J101">
        <v>1.9</v>
      </c>
      <c r="K101">
        <v>4</v>
      </c>
      <c r="L101">
        <f t="shared" si="4"/>
        <v>2351.6448</v>
      </c>
      <c r="M101">
        <v>2</v>
      </c>
      <c r="N101" t="str">
        <f t="shared" si="5"/>
        <v>New</v>
      </c>
    </row>
    <row r="102" spans="1:14" x14ac:dyDescent="0.35">
      <c r="A102">
        <v>101</v>
      </c>
      <c r="B102">
        <v>65</v>
      </c>
      <c r="C102" t="str">
        <f t="shared" si="3"/>
        <v>Senior</v>
      </c>
      <c r="D102" t="s">
        <v>11</v>
      </c>
      <c r="E102" t="s">
        <v>22</v>
      </c>
      <c r="F102" t="s">
        <v>23</v>
      </c>
      <c r="G102">
        <v>86.79</v>
      </c>
      <c r="H102" t="s">
        <v>19</v>
      </c>
      <c r="I102" t="s">
        <v>37</v>
      </c>
      <c r="J102">
        <v>3.6</v>
      </c>
      <c r="K102">
        <v>12</v>
      </c>
      <c r="L102">
        <f t="shared" si="4"/>
        <v>76.375200000000007</v>
      </c>
      <c r="M102">
        <v>6</v>
      </c>
      <c r="N102" t="str">
        <f t="shared" si="5"/>
        <v>Regular</v>
      </c>
    </row>
    <row r="103" spans="1:14" x14ac:dyDescent="0.35">
      <c r="A103">
        <v>102</v>
      </c>
      <c r="B103">
        <v>58</v>
      </c>
      <c r="C103" t="str">
        <f t="shared" si="3"/>
        <v>Adult</v>
      </c>
      <c r="D103" t="s">
        <v>11</v>
      </c>
      <c r="E103" t="s">
        <v>41</v>
      </c>
      <c r="F103" t="s">
        <v>44</v>
      </c>
      <c r="G103">
        <v>64.03</v>
      </c>
      <c r="H103" t="s">
        <v>31</v>
      </c>
      <c r="I103" t="s">
        <v>15</v>
      </c>
      <c r="J103">
        <v>3.2</v>
      </c>
      <c r="K103">
        <v>13</v>
      </c>
      <c r="L103">
        <f t="shared" si="4"/>
        <v>55.706099999999999</v>
      </c>
      <c r="M103">
        <v>4</v>
      </c>
      <c r="N103" t="str">
        <f t="shared" si="5"/>
        <v>Regular</v>
      </c>
    </row>
    <row r="104" spans="1:14" x14ac:dyDescent="0.35">
      <c r="A104">
        <v>103</v>
      </c>
      <c r="B104">
        <v>50</v>
      </c>
      <c r="C104" t="str">
        <f t="shared" si="3"/>
        <v>Adult</v>
      </c>
      <c r="D104" t="s">
        <v>11</v>
      </c>
      <c r="E104" t="s">
        <v>33</v>
      </c>
      <c r="F104" t="s">
        <v>34</v>
      </c>
      <c r="G104">
        <v>171.31</v>
      </c>
      <c r="H104" t="s">
        <v>14</v>
      </c>
      <c r="I104" t="s">
        <v>15</v>
      </c>
      <c r="J104">
        <v>5</v>
      </c>
      <c r="K104">
        <v>21</v>
      </c>
      <c r="L104">
        <f t="shared" si="4"/>
        <v>135.3349</v>
      </c>
      <c r="M104">
        <v>8</v>
      </c>
      <c r="N104" t="str">
        <f t="shared" si="5"/>
        <v>Loyal</v>
      </c>
    </row>
    <row r="105" spans="1:14" x14ac:dyDescent="0.35">
      <c r="A105">
        <v>104</v>
      </c>
      <c r="B105">
        <v>42</v>
      </c>
      <c r="C105" t="str">
        <f t="shared" si="3"/>
        <v>Adult</v>
      </c>
      <c r="D105" t="s">
        <v>11</v>
      </c>
      <c r="E105" t="s">
        <v>25</v>
      </c>
      <c r="F105" t="s">
        <v>26</v>
      </c>
      <c r="G105">
        <v>21.44</v>
      </c>
      <c r="H105" t="s">
        <v>14</v>
      </c>
      <c r="I105" t="s">
        <v>15</v>
      </c>
      <c r="J105">
        <v>3.6</v>
      </c>
      <c r="K105">
        <v>19</v>
      </c>
      <c r="L105">
        <f t="shared" si="4"/>
        <v>17.366400000000002</v>
      </c>
      <c r="M105">
        <v>7</v>
      </c>
      <c r="N105" t="str">
        <f t="shared" si="5"/>
        <v>Regular</v>
      </c>
    </row>
    <row r="106" spans="1:14" x14ac:dyDescent="0.35">
      <c r="A106">
        <v>105</v>
      </c>
      <c r="B106">
        <v>60</v>
      </c>
      <c r="C106" t="str">
        <f t="shared" si="3"/>
        <v>Adult</v>
      </c>
      <c r="D106" t="s">
        <v>16</v>
      </c>
      <c r="E106" t="s">
        <v>17</v>
      </c>
      <c r="F106" t="s">
        <v>48</v>
      </c>
      <c r="G106">
        <v>145.63999999999999</v>
      </c>
      <c r="H106" t="s">
        <v>24</v>
      </c>
      <c r="I106" t="s">
        <v>15</v>
      </c>
      <c r="J106">
        <v>3.3</v>
      </c>
      <c r="K106">
        <v>2</v>
      </c>
      <c r="L106">
        <f t="shared" si="4"/>
        <v>142.72719999999998</v>
      </c>
      <c r="M106">
        <v>1</v>
      </c>
      <c r="N106" t="str">
        <f t="shared" si="5"/>
        <v>New</v>
      </c>
    </row>
    <row r="107" spans="1:14" x14ac:dyDescent="0.35">
      <c r="A107">
        <v>106</v>
      </c>
      <c r="B107">
        <v>50</v>
      </c>
      <c r="C107" t="str">
        <f t="shared" si="3"/>
        <v>Adult</v>
      </c>
      <c r="D107" t="s">
        <v>11</v>
      </c>
      <c r="E107" t="s">
        <v>33</v>
      </c>
      <c r="F107" t="s">
        <v>40</v>
      </c>
      <c r="G107">
        <v>112.65</v>
      </c>
      <c r="H107" t="s">
        <v>19</v>
      </c>
      <c r="I107" t="s">
        <v>15</v>
      </c>
      <c r="J107">
        <v>3.9</v>
      </c>
      <c r="K107">
        <v>10</v>
      </c>
      <c r="L107">
        <f t="shared" si="4"/>
        <v>101.38500000000001</v>
      </c>
      <c r="M107">
        <v>5</v>
      </c>
      <c r="N107" t="str">
        <f t="shared" si="5"/>
        <v>Regular</v>
      </c>
    </row>
    <row r="108" spans="1:14" x14ac:dyDescent="0.35">
      <c r="A108">
        <v>107</v>
      </c>
      <c r="B108">
        <v>55</v>
      </c>
      <c r="C108" t="str">
        <f t="shared" si="3"/>
        <v>Adult</v>
      </c>
      <c r="D108" t="s">
        <v>11</v>
      </c>
      <c r="E108" t="s">
        <v>33</v>
      </c>
      <c r="F108" t="s">
        <v>34</v>
      </c>
      <c r="G108">
        <v>177.55</v>
      </c>
      <c r="H108" t="s">
        <v>31</v>
      </c>
      <c r="I108" t="s">
        <v>15</v>
      </c>
      <c r="J108">
        <v>4.2</v>
      </c>
      <c r="K108">
        <v>17</v>
      </c>
      <c r="L108">
        <f t="shared" si="4"/>
        <v>147.3665</v>
      </c>
      <c r="M108">
        <v>6</v>
      </c>
      <c r="N108" t="str">
        <f t="shared" si="5"/>
        <v>Regular</v>
      </c>
    </row>
    <row r="109" spans="1:14" x14ac:dyDescent="0.35">
      <c r="A109">
        <v>108</v>
      </c>
      <c r="B109">
        <v>61</v>
      </c>
      <c r="C109" t="str">
        <f t="shared" si="3"/>
        <v>Senior</v>
      </c>
      <c r="D109" t="s">
        <v>11</v>
      </c>
      <c r="E109" t="s">
        <v>41</v>
      </c>
      <c r="F109" t="s">
        <v>44</v>
      </c>
      <c r="G109">
        <v>100.22</v>
      </c>
      <c r="H109" t="s">
        <v>31</v>
      </c>
      <c r="I109" t="s">
        <v>15</v>
      </c>
      <c r="J109">
        <v>3.8</v>
      </c>
      <c r="K109">
        <v>4</v>
      </c>
      <c r="L109">
        <f t="shared" si="4"/>
        <v>96.211199999999991</v>
      </c>
      <c r="M109">
        <v>2</v>
      </c>
      <c r="N109" t="str">
        <f t="shared" si="5"/>
        <v>New</v>
      </c>
    </row>
    <row r="110" spans="1:14" x14ac:dyDescent="0.35">
      <c r="A110">
        <v>109</v>
      </c>
      <c r="B110">
        <v>33</v>
      </c>
      <c r="C110" t="str">
        <f t="shared" si="3"/>
        <v>Adult</v>
      </c>
      <c r="D110" t="s">
        <v>11</v>
      </c>
      <c r="E110" t="s">
        <v>33</v>
      </c>
      <c r="F110" t="s">
        <v>34</v>
      </c>
      <c r="G110">
        <v>60</v>
      </c>
      <c r="H110" t="s">
        <v>31</v>
      </c>
      <c r="I110" t="s">
        <v>15</v>
      </c>
      <c r="J110">
        <v>3.3</v>
      </c>
      <c r="K110">
        <v>8</v>
      </c>
      <c r="L110">
        <f t="shared" si="4"/>
        <v>55.2</v>
      </c>
      <c r="M110">
        <v>4</v>
      </c>
      <c r="N110" t="str">
        <f t="shared" si="5"/>
        <v>Regular</v>
      </c>
    </row>
    <row r="111" spans="1:14" x14ac:dyDescent="0.35">
      <c r="A111">
        <v>110</v>
      </c>
      <c r="B111">
        <v>66</v>
      </c>
      <c r="C111" t="str">
        <f t="shared" si="3"/>
        <v>Senior</v>
      </c>
      <c r="D111" t="s">
        <v>16</v>
      </c>
      <c r="E111" t="s">
        <v>33</v>
      </c>
      <c r="F111" t="s">
        <v>34</v>
      </c>
      <c r="G111">
        <v>75.650000000000006</v>
      </c>
      <c r="H111" t="s">
        <v>24</v>
      </c>
      <c r="I111" t="s">
        <v>15</v>
      </c>
      <c r="J111">
        <v>4</v>
      </c>
      <c r="K111">
        <v>14</v>
      </c>
      <c r="L111">
        <f t="shared" si="4"/>
        <v>65.058999999999997</v>
      </c>
      <c r="M111">
        <v>7</v>
      </c>
      <c r="N111" t="str">
        <f t="shared" si="5"/>
        <v>Regular</v>
      </c>
    </row>
    <row r="112" spans="1:14" x14ac:dyDescent="0.35">
      <c r="A112">
        <v>111</v>
      </c>
      <c r="B112">
        <v>66</v>
      </c>
      <c r="C112" t="str">
        <f t="shared" si="3"/>
        <v>Senior</v>
      </c>
      <c r="D112" t="s">
        <v>16</v>
      </c>
      <c r="E112" t="s">
        <v>27</v>
      </c>
      <c r="F112" t="s">
        <v>49</v>
      </c>
      <c r="G112">
        <v>2263.46</v>
      </c>
      <c r="H112" t="s">
        <v>14</v>
      </c>
      <c r="I112" t="s">
        <v>15</v>
      </c>
      <c r="J112">
        <v>3.8</v>
      </c>
      <c r="K112">
        <v>13</v>
      </c>
      <c r="L112">
        <f t="shared" si="4"/>
        <v>1969.2102</v>
      </c>
      <c r="M112">
        <v>4</v>
      </c>
      <c r="N112" t="str">
        <f t="shared" si="5"/>
        <v>Regular</v>
      </c>
    </row>
    <row r="113" spans="1:14" x14ac:dyDescent="0.35">
      <c r="A113">
        <v>112</v>
      </c>
      <c r="B113">
        <v>45</v>
      </c>
      <c r="C113" t="str">
        <f t="shared" si="3"/>
        <v>Adult</v>
      </c>
      <c r="D113" t="s">
        <v>16</v>
      </c>
      <c r="E113" t="s">
        <v>33</v>
      </c>
      <c r="F113" t="s">
        <v>34</v>
      </c>
      <c r="G113">
        <v>77.8</v>
      </c>
      <c r="H113" t="s">
        <v>24</v>
      </c>
      <c r="I113" t="s">
        <v>37</v>
      </c>
      <c r="J113">
        <v>3.2</v>
      </c>
      <c r="K113">
        <v>9</v>
      </c>
      <c r="L113">
        <f t="shared" si="4"/>
        <v>70.798000000000002</v>
      </c>
      <c r="M113">
        <v>2</v>
      </c>
      <c r="N113" t="str">
        <f t="shared" si="5"/>
        <v>New</v>
      </c>
    </row>
    <row r="114" spans="1:14" x14ac:dyDescent="0.35">
      <c r="A114">
        <v>113</v>
      </c>
      <c r="B114">
        <v>69</v>
      </c>
      <c r="C114" t="str">
        <f t="shared" si="3"/>
        <v>Senior</v>
      </c>
      <c r="D114" t="s">
        <v>11</v>
      </c>
      <c r="E114" t="s">
        <v>41</v>
      </c>
      <c r="F114" t="s">
        <v>45</v>
      </c>
      <c r="G114">
        <v>84.93</v>
      </c>
      <c r="H114" t="s">
        <v>14</v>
      </c>
      <c r="I114" t="s">
        <v>37</v>
      </c>
      <c r="J114">
        <v>4.5999999999999996</v>
      </c>
      <c r="K114">
        <v>17</v>
      </c>
      <c r="L114">
        <f t="shared" si="4"/>
        <v>70.491900000000001</v>
      </c>
      <c r="M114">
        <v>6</v>
      </c>
      <c r="N114" t="str">
        <f t="shared" si="5"/>
        <v>Regular</v>
      </c>
    </row>
    <row r="115" spans="1:14" x14ac:dyDescent="0.35">
      <c r="A115">
        <v>114</v>
      </c>
      <c r="B115">
        <v>27</v>
      </c>
      <c r="C115" t="str">
        <f t="shared" si="3"/>
        <v>Youth</v>
      </c>
      <c r="D115" t="s">
        <v>11</v>
      </c>
      <c r="E115" t="s">
        <v>20</v>
      </c>
      <c r="F115" t="s">
        <v>21</v>
      </c>
      <c r="G115">
        <v>124.84</v>
      </c>
      <c r="H115" t="s">
        <v>19</v>
      </c>
      <c r="I115" t="s">
        <v>15</v>
      </c>
      <c r="J115">
        <v>3.2</v>
      </c>
      <c r="K115">
        <v>20</v>
      </c>
      <c r="L115">
        <f t="shared" si="4"/>
        <v>99.872000000000014</v>
      </c>
      <c r="M115">
        <v>10</v>
      </c>
      <c r="N115" t="str">
        <f t="shared" si="5"/>
        <v>Loyal</v>
      </c>
    </row>
    <row r="116" spans="1:14" x14ac:dyDescent="0.35">
      <c r="A116">
        <v>115</v>
      </c>
      <c r="B116">
        <v>23</v>
      </c>
      <c r="C116" t="str">
        <f t="shared" si="3"/>
        <v>Youth</v>
      </c>
      <c r="D116" t="s">
        <v>16</v>
      </c>
      <c r="E116" t="s">
        <v>33</v>
      </c>
      <c r="F116" t="s">
        <v>34</v>
      </c>
      <c r="G116">
        <v>122.71</v>
      </c>
      <c r="H116" t="s">
        <v>31</v>
      </c>
      <c r="I116" t="s">
        <v>15</v>
      </c>
      <c r="J116">
        <v>3.4</v>
      </c>
      <c r="K116">
        <v>8</v>
      </c>
      <c r="L116">
        <f t="shared" si="4"/>
        <v>112.89319999999999</v>
      </c>
      <c r="M116">
        <v>4</v>
      </c>
      <c r="N116" t="str">
        <f t="shared" si="5"/>
        <v>Regular</v>
      </c>
    </row>
    <row r="117" spans="1:14" x14ac:dyDescent="0.35">
      <c r="A117">
        <v>116</v>
      </c>
      <c r="B117">
        <v>60</v>
      </c>
      <c r="C117" t="str">
        <f t="shared" si="3"/>
        <v>Adult</v>
      </c>
      <c r="D117" t="s">
        <v>16</v>
      </c>
      <c r="E117" t="s">
        <v>27</v>
      </c>
      <c r="F117" t="s">
        <v>28</v>
      </c>
      <c r="G117">
        <v>1317.58</v>
      </c>
      <c r="H117" t="s">
        <v>24</v>
      </c>
      <c r="I117" t="s">
        <v>15</v>
      </c>
      <c r="J117">
        <v>4.2</v>
      </c>
      <c r="K117">
        <v>26</v>
      </c>
      <c r="L117">
        <f t="shared" si="4"/>
        <v>975.00919999999996</v>
      </c>
      <c r="M117">
        <v>8</v>
      </c>
      <c r="N117" t="str">
        <f t="shared" si="5"/>
        <v>Loyal</v>
      </c>
    </row>
    <row r="118" spans="1:14" x14ac:dyDescent="0.35">
      <c r="A118">
        <v>117</v>
      </c>
      <c r="B118">
        <v>31</v>
      </c>
      <c r="C118" t="str">
        <f t="shared" si="3"/>
        <v>Adult</v>
      </c>
      <c r="D118" t="s">
        <v>11</v>
      </c>
      <c r="E118" t="s">
        <v>29</v>
      </c>
      <c r="F118" t="s">
        <v>30</v>
      </c>
      <c r="G118">
        <v>70.510000000000005</v>
      </c>
      <c r="H118" t="s">
        <v>19</v>
      </c>
      <c r="I118" t="s">
        <v>37</v>
      </c>
      <c r="J118">
        <v>4.2</v>
      </c>
      <c r="K118">
        <v>18</v>
      </c>
      <c r="L118">
        <f t="shared" si="4"/>
        <v>57.818200000000012</v>
      </c>
      <c r="M118">
        <v>4</v>
      </c>
      <c r="N118" t="str">
        <f t="shared" si="5"/>
        <v>Regular</v>
      </c>
    </row>
    <row r="119" spans="1:14" x14ac:dyDescent="0.35">
      <c r="A119">
        <v>118</v>
      </c>
      <c r="B119">
        <v>28</v>
      </c>
      <c r="C119" t="str">
        <f t="shared" si="3"/>
        <v>Youth</v>
      </c>
      <c r="D119" t="s">
        <v>16</v>
      </c>
      <c r="E119" t="s">
        <v>20</v>
      </c>
      <c r="F119" t="s">
        <v>36</v>
      </c>
      <c r="G119">
        <v>132.82</v>
      </c>
      <c r="H119" t="s">
        <v>14</v>
      </c>
      <c r="I119" t="s">
        <v>15</v>
      </c>
      <c r="J119">
        <v>2.9</v>
      </c>
      <c r="K119">
        <v>9</v>
      </c>
      <c r="L119">
        <f t="shared" si="4"/>
        <v>120.86619999999999</v>
      </c>
      <c r="M119">
        <v>2</v>
      </c>
      <c r="N119" t="str">
        <f t="shared" si="5"/>
        <v>New</v>
      </c>
    </row>
    <row r="120" spans="1:14" x14ac:dyDescent="0.35">
      <c r="A120">
        <v>119</v>
      </c>
      <c r="B120">
        <v>56</v>
      </c>
      <c r="C120" t="str">
        <f t="shared" si="3"/>
        <v>Adult</v>
      </c>
      <c r="D120" t="s">
        <v>16</v>
      </c>
      <c r="E120" t="s">
        <v>33</v>
      </c>
      <c r="F120" t="s">
        <v>38</v>
      </c>
      <c r="G120">
        <v>200.63</v>
      </c>
      <c r="H120" t="s">
        <v>31</v>
      </c>
      <c r="I120" t="s">
        <v>15</v>
      </c>
      <c r="J120">
        <v>4</v>
      </c>
      <c r="K120">
        <v>18</v>
      </c>
      <c r="L120">
        <f t="shared" si="4"/>
        <v>164.51660000000001</v>
      </c>
      <c r="M120">
        <v>4</v>
      </c>
      <c r="N120" t="str">
        <f t="shared" si="5"/>
        <v>Regular</v>
      </c>
    </row>
    <row r="121" spans="1:14" x14ac:dyDescent="0.35">
      <c r="A121">
        <v>120</v>
      </c>
      <c r="B121">
        <v>34</v>
      </c>
      <c r="C121" t="str">
        <f t="shared" si="3"/>
        <v>Adult</v>
      </c>
      <c r="D121" t="s">
        <v>11</v>
      </c>
      <c r="E121" t="s">
        <v>41</v>
      </c>
      <c r="F121" t="s">
        <v>44</v>
      </c>
      <c r="G121">
        <v>47.24</v>
      </c>
      <c r="H121" t="s">
        <v>19</v>
      </c>
      <c r="I121" t="s">
        <v>37</v>
      </c>
      <c r="J121">
        <v>4.0999999999999996</v>
      </c>
      <c r="K121">
        <v>15</v>
      </c>
      <c r="L121">
        <f t="shared" si="4"/>
        <v>40.154000000000003</v>
      </c>
      <c r="M121">
        <v>5</v>
      </c>
      <c r="N121" t="str">
        <f t="shared" si="5"/>
        <v>Regular</v>
      </c>
    </row>
    <row r="122" spans="1:14" x14ac:dyDescent="0.35">
      <c r="A122">
        <v>121</v>
      </c>
      <c r="B122">
        <v>37</v>
      </c>
      <c r="C122" t="str">
        <f t="shared" si="3"/>
        <v>Adult</v>
      </c>
      <c r="D122" t="s">
        <v>11</v>
      </c>
      <c r="E122" t="s">
        <v>33</v>
      </c>
      <c r="F122" t="s">
        <v>34</v>
      </c>
      <c r="G122">
        <v>65.599999999999994</v>
      </c>
      <c r="H122" t="s">
        <v>24</v>
      </c>
      <c r="I122" t="s">
        <v>37</v>
      </c>
      <c r="J122">
        <v>3.2</v>
      </c>
      <c r="K122">
        <v>15</v>
      </c>
      <c r="L122">
        <f t="shared" si="4"/>
        <v>55.759999999999991</v>
      </c>
      <c r="M122">
        <v>5</v>
      </c>
      <c r="N122" t="str">
        <f t="shared" si="5"/>
        <v>Regular</v>
      </c>
    </row>
    <row r="123" spans="1:14" x14ac:dyDescent="0.35">
      <c r="A123">
        <v>122</v>
      </c>
      <c r="B123">
        <v>63</v>
      </c>
      <c r="C123" t="str">
        <f t="shared" si="3"/>
        <v>Senior</v>
      </c>
      <c r="D123" t="s">
        <v>11</v>
      </c>
      <c r="E123" t="s">
        <v>12</v>
      </c>
      <c r="F123" t="s">
        <v>50</v>
      </c>
      <c r="G123">
        <v>20.41</v>
      </c>
      <c r="H123" t="s">
        <v>14</v>
      </c>
      <c r="I123" t="s">
        <v>37</v>
      </c>
      <c r="J123">
        <v>3.7</v>
      </c>
      <c r="K123">
        <v>17</v>
      </c>
      <c r="L123">
        <f t="shared" si="4"/>
        <v>16.940300000000001</v>
      </c>
      <c r="M123">
        <v>6</v>
      </c>
      <c r="N123" t="str">
        <f t="shared" si="5"/>
        <v>Regular</v>
      </c>
    </row>
    <row r="124" spans="1:14" x14ac:dyDescent="0.35">
      <c r="A124">
        <v>123</v>
      </c>
      <c r="B124">
        <v>35</v>
      </c>
      <c r="C124" t="str">
        <f t="shared" si="3"/>
        <v>Adult</v>
      </c>
      <c r="D124" t="s">
        <v>16</v>
      </c>
      <c r="E124" t="s">
        <v>27</v>
      </c>
      <c r="F124" t="s">
        <v>32</v>
      </c>
      <c r="G124">
        <v>1187.02</v>
      </c>
      <c r="H124" t="s">
        <v>14</v>
      </c>
      <c r="I124" t="s">
        <v>15</v>
      </c>
      <c r="J124">
        <v>3.5</v>
      </c>
      <c r="K124">
        <v>15</v>
      </c>
      <c r="L124">
        <f t="shared" si="4"/>
        <v>1008.967</v>
      </c>
      <c r="M124">
        <v>5</v>
      </c>
      <c r="N124" t="str">
        <f t="shared" si="5"/>
        <v>Regular</v>
      </c>
    </row>
    <row r="125" spans="1:14" x14ac:dyDescent="0.35">
      <c r="A125">
        <v>124</v>
      </c>
      <c r="B125">
        <v>53</v>
      </c>
      <c r="C125" t="str">
        <f t="shared" si="3"/>
        <v>Adult</v>
      </c>
      <c r="D125" t="s">
        <v>16</v>
      </c>
      <c r="E125" t="s">
        <v>27</v>
      </c>
      <c r="F125" t="s">
        <v>28</v>
      </c>
      <c r="G125">
        <v>559.1</v>
      </c>
      <c r="H125" t="s">
        <v>14</v>
      </c>
      <c r="I125" t="s">
        <v>15</v>
      </c>
      <c r="J125">
        <v>3.4</v>
      </c>
      <c r="K125">
        <v>17</v>
      </c>
      <c r="L125">
        <f t="shared" si="4"/>
        <v>464.053</v>
      </c>
      <c r="M125">
        <v>6</v>
      </c>
      <c r="N125" t="str">
        <f t="shared" si="5"/>
        <v>Regular</v>
      </c>
    </row>
    <row r="126" spans="1:14" x14ac:dyDescent="0.35">
      <c r="A126">
        <v>125</v>
      </c>
      <c r="B126">
        <v>54</v>
      </c>
      <c r="C126" t="str">
        <f t="shared" si="3"/>
        <v>Adult</v>
      </c>
      <c r="D126" t="s">
        <v>16</v>
      </c>
      <c r="E126" t="s">
        <v>33</v>
      </c>
      <c r="F126" t="s">
        <v>34</v>
      </c>
      <c r="G126">
        <v>129.91999999999999</v>
      </c>
      <c r="H126" t="s">
        <v>24</v>
      </c>
      <c r="I126" t="s">
        <v>15</v>
      </c>
      <c r="J126">
        <v>4.2</v>
      </c>
      <c r="K126">
        <v>13</v>
      </c>
      <c r="L126">
        <f t="shared" si="4"/>
        <v>113.03039999999999</v>
      </c>
      <c r="M126">
        <v>4</v>
      </c>
      <c r="N126" t="str">
        <f t="shared" si="5"/>
        <v>Regular</v>
      </c>
    </row>
    <row r="127" spans="1:14" x14ac:dyDescent="0.35">
      <c r="A127">
        <v>126</v>
      </c>
      <c r="B127">
        <v>65</v>
      </c>
      <c r="C127" t="str">
        <f t="shared" si="3"/>
        <v>Senior</v>
      </c>
      <c r="D127" t="s">
        <v>11</v>
      </c>
      <c r="E127" t="s">
        <v>25</v>
      </c>
      <c r="F127" t="s">
        <v>57</v>
      </c>
      <c r="G127">
        <v>19.39</v>
      </c>
      <c r="H127" t="s">
        <v>19</v>
      </c>
      <c r="I127" t="s">
        <v>37</v>
      </c>
      <c r="J127">
        <v>3.4</v>
      </c>
      <c r="K127">
        <v>6</v>
      </c>
      <c r="L127">
        <f t="shared" si="4"/>
        <v>18.226600000000001</v>
      </c>
      <c r="M127">
        <v>3</v>
      </c>
      <c r="N127" t="str">
        <f t="shared" si="5"/>
        <v>New</v>
      </c>
    </row>
    <row r="128" spans="1:14" x14ac:dyDescent="0.35">
      <c r="A128">
        <v>127</v>
      </c>
      <c r="B128">
        <v>24</v>
      </c>
      <c r="C128" t="str">
        <f t="shared" si="3"/>
        <v>Youth</v>
      </c>
      <c r="D128" t="s">
        <v>11</v>
      </c>
      <c r="E128" t="s">
        <v>29</v>
      </c>
      <c r="F128" t="s">
        <v>51</v>
      </c>
      <c r="G128">
        <v>97.07</v>
      </c>
      <c r="H128" t="s">
        <v>14</v>
      </c>
      <c r="I128" t="s">
        <v>37</v>
      </c>
      <c r="J128">
        <v>2.4</v>
      </c>
      <c r="K128">
        <v>13</v>
      </c>
      <c r="L128">
        <f t="shared" si="4"/>
        <v>84.45089999999999</v>
      </c>
      <c r="M128">
        <v>4</v>
      </c>
      <c r="N128" t="str">
        <f t="shared" si="5"/>
        <v>Regular</v>
      </c>
    </row>
    <row r="129" spans="1:14" x14ac:dyDescent="0.35">
      <c r="A129">
        <v>128</v>
      </c>
      <c r="B129">
        <v>55</v>
      </c>
      <c r="C129" t="str">
        <f t="shared" si="3"/>
        <v>Adult</v>
      </c>
      <c r="D129" t="s">
        <v>16</v>
      </c>
      <c r="E129" t="s">
        <v>20</v>
      </c>
      <c r="F129" t="s">
        <v>39</v>
      </c>
      <c r="G129">
        <v>70.209999999999994</v>
      </c>
      <c r="H129" t="s">
        <v>19</v>
      </c>
      <c r="I129" t="s">
        <v>37</v>
      </c>
      <c r="J129">
        <v>3.4</v>
      </c>
      <c r="K129">
        <v>18</v>
      </c>
      <c r="L129">
        <f t="shared" si="4"/>
        <v>57.572200000000002</v>
      </c>
      <c r="M129">
        <v>4</v>
      </c>
      <c r="N129" t="str">
        <f t="shared" si="5"/>
        <v>Regular</v>
      </c>
    </row>
    <row r="130" spans="1:14" x14ac:dyDescent="0.35">
      <c r="A130">
        <v>129</v>
      </c>
      <c r="B130">
        <v>64</v>
      </c>
      <c r="C130" t="str">
        <f t="shared" si="3"/>
        <v>Senior</v>
      </c>
      <c r="D130" t="s">
        <v>16</v>
      </c>
      <c r="E130" t="s">
        <v>20</v>
      </c>
      <c r="F130" t="s">
        <v>36</v>
      </c>
      <c r="G130">
        <v>248.31</v>
      </c>
      <c r="H130" t="s">
        <v>24</v>
      </c>
      <c r="I130" t="s">
        <v>15</v>
      </c>
      <c r="J130">
        <v>3.7</v>
      </c>
      <c r="K130">
        <v>19</v>
      </c>
      <c r="L130">
        <f t="shared" si="4"/>
        <v>201.1311</v>
      </c>
      <c r="M130">
        <v>7</v>
      </c>
      <c r="N130" t="str">
        <f t="shared" si="5"/>
        <v>Regular</v>
      </c>
    </row>
    <row r="131" spans="1:14" x14ac:dyDescent="0.35">
      <c r="A131">
        <v>130</v>
      </c>
      <c r="B131">
        <v>21</v>
      </c>
      <c r="C131" t="str">
        <f t="shared" ref="C131:C194" si="6">IF(B131&lt;=30,"Youth",IF(B131&lt;=45,"Adult",IF(B131&lt;=60,"Adult","Senior")))</f>
        <v>Youth</v>
      </c>
      <c r="D131" t="s">
        <v>16</v>
      </c>
      <c r="E131" t="s">
        <v>20</v>
      </c>
      <c r="F131" t="s">
        <v>21</v>
      </c>
      <c r="G131">
        <v>149.61000000000001</v>
      </c>
      <c r="H131" t="s">
        <v>14</v>
      </c>
      <c r="I131" t="s">
        <v>15</v>
      </c>
      <c r="J131">
        <v>3.6</v>
      </c>
      <c r="K131">
        <v>21</v>
      </c>
      <c r="L131">
        <f t="shared" ref="L131:L194" si="7">G131*(1-K131/100)</f>
        <v>118.19190000000002</v>
      </c>
      <c r="M131">
        <v>8</v>
      </c>
      <c r="N131" t="str">
        <f t="shared" ref="N131:N194" si="8">IF(M131&lt;=3,"New",IF(M131&lt;=7,"Regular","Loyal"))</f>
        <v>Loyal</v>
      </c>
    </row>
    <row r="132" spans="1:14" x14ac:dyDescent="0.35">
      <c r="A132">
        <v>131</v>
      </c>
      <c r="B132">
        <v>66</v>
      </c>
      <c r="C132" t="str">
        <f t="shared" si="6"/>
        <v>Senior</v>
      </c>
      <c r="D132" t="s">
        <v>16</v>
      </c>
      <c r="E132" t="s">
        <v>22</v>
      </c>
      <c r="F132" t="s">
        <v>43</v>
      </c>
      <c r="G132">
        <v>132.77000000000001</v>
      </c>
      <c r="H132" t="s">
        <v>19</v>
      </c>
      <c r="I132" t="s">
        <v>15</v>
      </c>
      <c r="J132">
        <v>3.5</v>
      </c>
      <c r="K132">
        <v>17</v>
      </c>
      <c r="L132">
        <f t="shared" si="7"/>
        <v>110.1991</v>
      </c>
      <c r="M132">
        <v>6</v>
      </c>
      <c r="N132" t="str">
        <f t="shared" si="8"/>
        <v>Regular</v>
      </c>
    </row>
    <row r="133" spans="1:14" x14ac:dyDescent="0.35">
      <c r="A133">
        <v>132</v>
      </c>
      <c r="B133">
        <v>39</v>
      </c>
      <c r="C133" t="str">
        <f t="shared" si="6"/>
        <v>Adult</v>
      </c>
      <c r="D133" t="s">
        <v>11</v>
      </c>
      <c r="E133" t="s">
        <v>29</v>
      </c>
      <c r="F133" t="s">
        <v>51</v>
      </c>
      <c r="G133">
        <v>37.229999999999997</v>
      </c>
      <c r="H133" t="s">
        <v>24</v>
      </c>
      <c r="I133" t="s">
        <v>15</v>
      </c>
      <c r="J133">
        <v>3.4</v>
      </c>
      <c r="K133">
        <v>14</v>
      </c>
      <c r="L133">
        <f t="shared" si="7"/>
        <v>32.017799999999994</v>
      </c>
      <c r="M133">
        <v>7</v>
      </c>
      <c r="N133" t="str">
        <f t="shared" si="8"/>
        <v>Regular</v>
      </c>
    </row>
    <row r="134" spans="1:14" x14ac:dyDescent="0.35">
      <c r="A134">
        <v>133</v>
      </c>
      <c r="B134">
        <v>53</v>
      </c>
      <c r="C134" t="str">
        <f t="shared" si="6"/>
        <v>Adult</v>
      </c>
      <c r="D134" t="s">
        <v>11</v>
      </c>
      <c r="E134" t="s">
        <v>33</v>
      </c>
      <c r="F134" t="s">
        <v>40</v>
      </c>
      <c r="G134">
        <v>88.84</v>
      </c>
      <c r="H134" t="s">
        <v>31</v>
      </c>
      <c r="I134" t="s">
        <v>37</v>
      </c>
      <c r="J134">
        <v>1.8</v>
      </c>
      <c r="K134">
        <v>16</v>
      </c>
      <c r="L134">
        <f t="shared" si="7"/>
        <v>74.625600000000006</v>
      </c>
      <c r="M134">
        <v>3</v>
      </c>
      <c r="N134" t="str">
        <f t="shared" si="8"/>
        <v>New</v>
      </c>
    </row>
    <row r="135" spans="1:14" x14ac:dyDescent="0.35">
      <c r="A135">
        <v>134</v>
      </c>
      <c r="B135">
        <v>25</v>
      </c>
      <c r="C135" t="str">
        <f t="shared" si="6"/>
        <v>Youth</v>
      </c>
      <c r="D135" t="s">
        <v>11</v>
      </c>
      <c r="E135" t="s">
        <v>41</v>
      </c>
      <c r="F135" t="s">
        <v>45</v>
      </c>
      <c r="G135">
        <v>140.53</v>
      </c>
      <c r="H135" t="s">
        <v>19</v>
      </c>
      <c r="I135" t="s">
        <v>15</v>
      </c>
      <c r="J135">
        <v>3.9</v>
      </c>
      <c r="K135">
        <v>11</v>
      </c>
      <c r="L135">
        <f t="shared" si="7"/>
        <v>125.07170000000001</v>
      </c>
      <c r="M135">
        <v>3</v>
      </c>
      <c r="N135" t="str">
        <f t="shared" si="8"/>
        <v>New</v>
      </c>
    </row>
    <row r="136" spans="1:14" x14ac:dyDescent="0.35">
      <c r="A136">
        <v>135</v>
      </c>
      <c r="B136">
        <v>30</v>
      </c>
      <c r="C136" t="str">
        <f t="shared" si="6"/>
        <v>Youth</v>
      </c>
      <c r="D136" t="s">
        <v>11</v>
      </c>
      <c r="E136" t="s">
        <v>20</v>
      </c>
      <c r="F136" t="s">
        <v>21</v>
      </c>
      <c r="G136">
        <v>121.83</v>
      </c>
      <c r="H136" t="s">
        <v>14</v>
      </c>
      <c r="I136" t="s">
        <v>15</v>
      </c>
      <c r="J136">
        <v>3.5</v>
      </c>
      <c r="K136">
        <v>16</v>
      </c>
      <c r="L136">
        <f t="shared" si="7"/>
        <v>102.3372</v>
      </c>
      <c r="M136">
        <v>3</v>
      </c>
      <c r="N136" t="str">
        <f t="shared" si="8"/>
        <v>New</v>
      </c>
    </row>
    <row r="137" spans="1:14" x14ac:dyDescent="0.35">
      <c r="A137">
        <v>136</v>
      </c>
      <c r="B137">
        <v>23</v>
      </c>
      <c r="C137" t="str">
        <f t="shared" si="6"/>
        <v>Youth</v>
      </c>
      <c r="D137" t="s">
        <v>16</v>
      </c>
      <c r="E137" t="s">
        <v>27</v>
      </c>
      <c r="F137" t="s">
        <v>53</v>
      </c>
      <c r="G137">
        <v>1052.01</v>
      </c>
      <c r="H137" t="s">
        <v>14</v>
      </c>
      <c r="I137" t="s">
        <v>15</v>
      </c>
      <c r="J137">
        <v>4.0999999999999996</v>
      </c>
      <c r="K137">
        <v>24</v>
      </c>
      <c r="L137">
        <f t="shared" si="7"/>
        <v>799.52760000000001</v>
      </c>
      <c r="M137">
        <v>7</v>
      </c>
      <c r="N137" t="str">
        <f t="shared" si="8"/>
        <v>Regular</v>
      </c>
    </row>
    <row r="138" spans="1:14" x14ac:dyDescent="0.35">
      <c r="A138">
        <v>137</v>
      </c>
      <c r="B138">
        <v>41</v>
      </c>
      <c r="C138" t="str">
        <f t="shared" si="6"/>
        <v>Adult</v>
      </c>
      <c r="D138" t="s">
        <v>11</v>
      </c>
      <c r="E138" t="s">
        <v>25</v>
      </c>
      <c r="F138" t="s">
        <v>54</v>
      </c>
      <c r="G138">
        <v>77.290000000000006</v>
      </c>
      <c r="H138" t="s">
        <v>24</v>
      </c>
      <c r="I138" t="s">
        <v>15</v>
      </c>
      <c r="J138">
        <v>3.9</v>
      </c>
      <c r="K138">
        <v>18</v>
      </c>
      <c r="L138">
        <f t="shared" si="7"/>
        <v>63.377800000000008</v>
      </c>
      <c r="M138">
        <v>4</v>
      </c>
      <c r="N138" t="str">
        <f t="shared" si="8"/>
        <v>Regular</v>
      </c>
    </row>
    <row r="139" spans="1:14" x14ac:dyDescent="0.35">
      <c r="A139">
        <v>138</v>
      </c>
      <c r="B139">
        <v>40</v>
      </c>
      <c r="C139" t="str">
        <f t="shared" si="6"/>
        <v>Adult</v>
      </c>
      <c r="D139" t="s">
        <v>11</v>
      </c>
      <c r="E139" t="s">
        <v>29</v>
      </c>
      <c r="F139" t="s">
        <v>55</v>
      </c>
      <c r="G139">
        <v>124.2</v>
      </c>
      <c r="H139" t="s">
        <v>19</v>
      </c>
      <c r="I139" t="s">
        <v>15</v>
      </c>
      <c r="J139">
        <v>3.1</v>
      </c>
      <c r="K139">
        <v>17</v>
      </c>
      <c r="L139">
        <f t="shared" si="7"/>
        <v>103.086</v>
      </c>
      <c r="M139">
        <v>6</v>
      </c>
      <c r="N139" t="str">
        <f t="shared" si="8"/>
        <v>Regular</v>
      </c>
    </row>
    <row r="140" spans="1:14" x14ac:dyDescent="0.35">
      <c r="A140">
        <v>139</v>
      </c>
      <c r="B140">
        <v>23</v>
      </c>
      <c r="C140" t="str">
        <f t="shared" si="6"/>
        <v>Youth</v>
      </c>
      <c r="D140" t="s">
        <v>11</v>
      </c>
      <c r="E140" t="s">
        <v>33</v>
      </c>
      <c r="F140" t="s">
        <v>34</v>
      </c>
      <c r="G140">
        <v>139.96</v>
      </c>
      <c r="H140" t="s">
        <v>14</v>
      </c>
      <c r="I140" t="s">
        <v>15</v>
      </c>
      <c r="J140">
        <v>4.0999999999999996</v>
      </c>
      <c r="K140">
        <v>18</v>
      </c>
      <c r="L140">
        <f t="shared" si="7"/>
        <v>114.76720000000002</v>
      </c>
      <c r="M140">
        <v>9</v>
      </c>
      <c r="N140" t="str">
        <f t="shared" si="8"/>
        <v>Loyal</v>
      </c>
    </row>
    <row r="141" spans="1:14" x14ac:dyDescent="0.35">
      <c r="A141">
        <v>140</v>
      </c>
      <c r="B141">
        <v>59</v>
      </c>
      <c r="C141" t="str">
        <f t="shared" si="6"/>
        <v>Adult</v>
      </c>
      <c r="D141" t="s">
        <v>16</v>
      </c>
      <c r="E141" t="s">
        <v>33</v>
      </c>
      <c r="F141" t="s">
        <v>34</v>
      </c>
      <c r="G141">
        <v>121.13</v>
      </c>
      <c r="H141" t="s">
        <v>31</v>
      </c>
      <c r="I141" t="s">
        <v>15</v>
      </c>
      <c r="J141">
        <v>3.6</v>
      </c>
      <c r="K141">
        <v>10</v>
      </c>
      <c r="L141">
        <f t="shared" si="7"/>
        <v>109.017</v>
      </c>
      <c r="M141">
        <v>5</v>
      </c>
      <c r="N141" t="str">
        <f t="shared" si="8"/>
        <v>Regular</v>
      </c>
    </row>
    <row r="142" spans="1:14" x14ac:dyDescent="0.35">
      <c r="A142">
        <v>141</v>
      </c>
      <c r="B142">
        <v>56</v>
      </c>
      <c r="C142" t="str">
        <f t="shared" si="6"/>
        <v>Adult</v>
      </c>
      <c r="D142" t="s">
        <v>11</v>
      </c>
      <c r="E142" t="s">
        <v>25</v>
      </c>
      <c r="F142" t="s">
        <v>26</v>
      </c>
      <c r="G142">
        <v>58.72</v>
      </c>
      <c r="H142" t="s">
        <v>14</v>
      </c>
      <c r="I142" t="s">
        <v>15</v>
      </c>
      <c r="J142">
        <v>2.6</v>
      </c>
      <c r="K142">
        <v>2</v>
      </c>
      <c r="L142">
        <f t="shared" si="7"/>
        <v>57.5456</v>
      </c>
      <c r="M142">
        <v>1</v>
      </c>
      <c r="N142" t="str">
        <f t="shared" si="8"/>
        <v>New</v>
      </c>
    </row>
    <row r="143" spans="1:14" x14ac:dyDescent="0.35">
      <c r="A143">
        <v>142</v>
      </c>
      <c r="B143">
        <v>34</v>
      </c>
      <c r="C143" t="str">
        <f t="shared" si="6"/>
        <v>Adult</v>
      </c>
      <c r="D143" t="s">
        <v>16</v>
      </c>
      <c r="E143" t="s">
        <v>20</v>
      </c>
      <c r="F143" t="s">
        <v>39</v>
      </c>
      <c r="G143">
        <v>64.17</v>
      </c>
      <c r="H143" t="s">
        <v>14</v>
      </c>
      <c r="I143" t="s">
        <v>15</v>
      </c>
      <c r="J143">
        <v>3</v>
      </c>
      <c r="K143">
        <v>8</v>
      </c>
      <c r="L143">
        <f t="shared" si="7"/>
        <v>59.036400000000008</v>
      </c>
      <c r="M143">
        <v>4</v>
      </c>
      <c r="N143" t="str">
        <f t="shared" si="8"/>
        <v>Regular</v>
      </c>
    </row>
    <row r="144" spans="1:14" x14ac:dyDescent="0.35">
      <c r="A144">
        <v>143</v>
      </c>
      <c r="B144">
        <v>59</v>
      </c>
      <c r="C144" t="str">
        <f t="shared" si="6"/>
        <v>Adult</v>
      </c>
      <c r="D144" t="s">
        <v>16</v>
      </c>
      <c r="E144" t="s">
        <v>33</v>
      </c>
      <c r="F144" t="s">
        <v>34</v>
      </c>
      <c r="G144">
        <v>42.19</v>
      </c>
      <c r="H144" t="s">
        <v>19</v>
      </c>
      <c r="I144" t="s">
        <v>37</v>
      </c>
      <c r="J144">
        <v>3.2</v>
      </c>
      <c r="K144">
        <v>4</v>
      </c>
      <c r="L144">
        <f t="shared" si="7"/>
        <v>40.502399999999994</v>
      </c>
      <c r="M144">
        <v>2</v>
      </c>
      <c r="N144" t="str">
        <f t="shared" si="8"/>
        <v>New</v>
      </c>
    </row>
    <row r="145" spans="1:14" x14ac:dyDescent="0.35">
      <c r="A145">
        <v>144</v>
      </c>
      <c r="B145">
        <v>40</v>
      </c>
      <c r="C145" t="str">
        <f t="shared" si="6"/>
        <v>Adult</v>
      </c>
      <c r="D145" t="s">
        <v>11</v>
      </c>
      <c r="E145" t="s">
        <v>33</v>
      </c>
      <c r="F145" t="s">
        <v>34</v>
      </c>
      <c r="G145">
        <v>166.4</v>
      </c>
      <c r="H145" t="s">
        <v>14</v>
      </c>
      <c r="I145" t="s">
        <v>15</v>
      </c>
      <c r="J145">
        <v>3.8</v>
      </c>
      <c r="K145">
        <v>14</v>
      </c>
      <c r="L145">
        <f t="shared" si="7"/>
        <v>143.10400000000001</v>
      </c>
      <c r="M145">
        <v>7</v>
      </c>
      <c r="N145" t="str">
        <f t="shared" si="8"/>
        <v>Regular</v>
      </c>
    </row>
    <row r="146" spans="1:14" x14ac:dyDescent="0.35">
      <c r="A146">
        <v>145</v>
      </c>
      <c r="B146">
        <v>33</v>
      </c>
      <c r="C146" t="str">
        <f t="shared" si="6"/>
        <v>Adult</v>
      </c>
      <c r="D146" t="s">
        <v>11</v>
      </c>
      <c r="E146" t="s">
        <v>41</v>
      </c>
      <c r="F146" t="s">
        <v>45</v>
      </c>
      <c r="G146">
        <v>76.540000000000006</v>
      </c>
      <c r="H146" t="s">
        <v>31</v>
      </c>
      <c r="I146" t="s">
        <v>15</v>
      </c>
      <c r="J146">
        <v>4.2</v>
      </c>
      <c r="K146">
        <v>6</v>
      </c>
      <c r="L146">
        <f t="shared" si="7"/>
        <v>71.947600000000008</v>
      </c>
      <c r="M146">
        <v>3</v>
      </c>
      <c r="N146" t="str">
        <f t="shared" si="8"/>
        <v>New</v>
      </c>
    </row>
    <row r="147" spans="1:14" x14ac:dyDescent="0.35">
      <c r="A147">
        <v>146</v>
      </c>
      <c r="B147">
        <v>68</v>
      </c>
      <c r="C147" t="str">
        <f t="shared" si="6"/>
        <v>Senior</v>
      </c>
      <c r="D147" t="s">
        <v>11</v>
      </c>
      <c r="E147" t="s">
        <v>41</v>
      </c>
      <c r="F147" t="s">
        <v>46</v>
      </c>
      <c r="G147">
        <v>158.36000000000001</v>
      </c>
      <c r="H147" t="s">
        <v>19</v>
      </c>
      <c r="I147" t="s">
        <v>15</v>
      </c>
      <c r="J147">
        <v>3.6</v>
      </c>
      <c r="K147">
        <v>23</v>
      </c>
      <c r="L147">
        <f t="shared" si="7"/>
        <v>121.93720000000002</v>
      </c>
      <c r="M147">
        <v>9</v>
      </c>
      <c r="N147" t="str">
        <f t="shared" si="8"/>
        <v>Loyal</v>
      </c>
    </row>
    <row r="148" spans="1:14" x14ac:dyDescent="0.35">
      <c r="A148">
        <v>147</v>
      </c>
      <c r="B148">
        <v>48</v>
      </c>
      <c r="C148" t="str">
        <f t="shared" si="6"/>
        <v>Adult</v>
      </c>
      <c r="D148" t="s">
        <v>16</v>
      </c>
      <c r="E148" t="s">
        <v>33</v>
      </c>
      <c r="F148" t="s">
        <v>34</v>
      </c>
      <c r="G148">
        <v>84.84</v>
      </c>
      <c r="H148" t="s">
        <v>31</v>
      </c>
      <c r="I148" t="s">
        <v>15</v>
      </c>
      <c r="J148">
        <v>4.7</v>
      </c>
      <c r="K148">
        <v>26</v>
      </c>
      <c r="L148">
        <f t="shared" si="7"/>
        <v>62.781600000000005</v>
      </c>
      <c r="M148">
        <v>8</v>
      </c>
      <c r="N148" t="str">
        <f t="shared" si="8"/>
        <v>Loyal</v>
      </c>
    </row>
    <row r="149" spans="1:14" x14ac:dyDescent="0.35">
      <c r="A149">
        <v>148</v>
      </c>
      <c r="B149">
        <v>27</v>
      </c>
      <c r="C149" t="str">
        <f t="shared" si="6"/>
        <v>Youth</v>
      </c>
      <c r="D149" t="s">
        <v>11</v>
      </c>
      <c r="E149" t="s">
        <v>33</v>
      </c>
      <c r="F149" t="s">
        <v>40</v>
      </c>
      <c r="G149">
        <v>195.76</v>
      </c>
      <c r="H149" t="s">
        <v>31</v>
      </c>
      <c r="I149" t="s">
        <v>15</v>
      </c>
      <c r="J149">
        <v>4</v>
      </c>
      <c r="K149">
        <v>17</v>
      </c>
      <c r="L149">
        <f t="shared" si="7"/>
        <v>162.48079999999999</v>
      </c>
      <c r="M149">
        <v>6</v>
      </c>
      <c r="N149" t="str">
        <f t="shared" si="8"/>
        <v>Regular</v>
      </c>
    </row>
    <row r="150" spans="1:14" x14ac:dyDescent="0.35">
      <c r="A150">
        <v>149</v>
      </c>
      <c r="B150">
        <v>46</v>
      </c>
      <c r="C150" t="str">
        <f t="shared" si="6"/>
        <v>Adult</v>
      </c>
      <c r="D150" t="s">
        <v>16</v>
      </c>
      <c r="E150" t="s">
        <v>20</v>
      </c>
      <c r="F150" t="s">
        <v>21</v>
      </c>
      <c r="G150">
        <v>146.21</v>
      </c>
      <c r="H150" t="s">
        <v>31</v>
      </c>
      <c r="I150" t="s">
        <v>15</v>
      </c>
      <c r="J150">
        <v>3.6</v>
      </c>
      <c r="K150">
        <v>8</v>
      </c>
      <c r="L150">
        <f t="shared" si="7"/>
        <v>134.51320000000001</v>
      </c>
      <c r="M150">
        <v>4</v>
      </c>
      <c r="N150" t="str">
        <f t="shared" si="8"/>
        <v>Regular</v>
      </c>
    </row>
    <row r="151" spans="1:14" x14ac:dyDescent="0.35">
      <c r="A151">
        <v>150</v>
      </c>
      <c r="B151">
        <v>35</v>
      </c>
      <c r="C151" t="str">
        <f t="shared" si="6"/>
        <v>Adult</v>
      </c>
      <c r="D151" t="s">
        <v>16</v>
      </c>
      <c r="E151" t="s">
        <v>17</v>
      </c>
      <c r="F151" t="s">
        <v>35</v>
      </c>
      <c r="G151">
        <v>115.35</v>
      </c>
      <c r="H151" t="s">
        <v>24</v>
      </c>
      <c r="I151" t="s">
        <v>15</v>
      </c>
      <c r="J151">
        <v>4.0999999999999996</v>
      </c>
      <c r="K151">
        <v>13</v>
      </c>
      <c r="L151">
        <f t="shared" si="7"/>
        <v>100.3545</v>
      </c>
      <c r="M151">
        <v>4</v>
      </c>
      <c r="N151" t="str">
        <f t="shared" si="8"/>
        <v>Regular</v>
      </c>
    </row>
    <row r="152" spans="1:14" x14ac:dyDescent="0.35">
      <c r="A152">
        <v>151</v>
      </c>
      <c r="B152">
        <v>57</v>
      </c>
      <c r="C152" t="str">
        <f t="shared" si="6"/>
        <v>Adult</v>
      </c>
      <c r="D152" t="s">
        <v>16</v>
      </c>
      <c r="E152" t="s">
        <v>20</v>
      </c>
      <c r="F152" t="s">
        <v>21</v>
      </c>
      <c r="G152">
        <v>31.54</v>
      </c>
      <c r="H152" t="s">
        <v>24</v>
      </c>
      <c r="I152" t="s">
        <v>37</v>
      </c>
      <c r="J152">
        <v>5</v>
      </c>
      <c r="K152">
        <v>16</v>
      </c>
      <c r="L152">
        <f t="shared" si="7"/>
        <v>26.493599999999997</v>
      </c>
      <c r="M152">
        <v>3</v>
      </c>
      <c r="N152" t="str">
        <f t="shared" si="8"/>
        <v>New</v>
      </c>
    </row>
    <row r="153" spans="1:14" x14ac:dyDescent="0.35">
      <c r="A153">
        <v>152</v>
      </c>
      <c r="B153">
        <v>35</v>
      </c>
      <c r="C153" t="str">
        <f t="shared" si="6"/>
        <v>Adult</v>
      </c>
      <c r="D153" t="s">
        <v>11</v>
      </c>
      <c r="E153" t="s">
        <v>33</v>
      </c>
      <c r="F153" t="s">
        <v>34</v>
      </c>
      <c r="G153">
        <v>142.19</v>
      </c>
      <c r="H153" t="s">
        <v>19</v>
      </c>
      <c r="I153" t="s">
        <v>15</v>
      </c>
      <c r="J153">
        <v>3.6</v>
      </c>
      <c r="K153">
        <v>16</v>
      </c>
      <c r="L153">
        <f t="shared" si="7"/>
        <v>119.4396</v>
      </c>
      <c r="M153">
        <v>3</v>
      </c>
      <c r="N153" t="str">
        <f t="shared" si="8"/>
        <v>New</v>
      </c>
    </row>
    <row r="154" spans="1:14" x14ac:dyDescent="0.35">
      <c r="A154">
        <v>153</v>
      </c>
      <c r="B154">
        <v>38</v>
      </c>
      <c r="C154" t="str">
        <f t="shared" si="6"/>
        <v>Adult</v>
      </c>
      <c r="D154" t="s">
        <v>11</v>
      </c>
      <c r="E154" t="s">
        <v>33</v>
      </c>
      <c r="F154" t="s">
        <v>34</v>
      </c>
      <c r="G154">
        <v>246.21</v>
      </c>
      <c r="H154" t="s">
        <v>14</v>
      </c>
      <c r="I154" t="s">
        <v>15</v>
      </c>
      <c r="J154">
        <v>3.1</v>
      </c>
      <c r="K154">
        <v>8</v>
      </c>
      <c r="L154">
        <f t="shared" si="7"/>
        <v>226.51320000000001</v>
      </c>
      <c r="M154">
        <v>4</v>
      </c>
      <c r="N154" t="str">
        <f t="shared" si="8"/>
        <v>Regular</v>
      </c>
    </row>
    <row r="155" spans="1:14" x14ac:dyDescent="0.35">
      <c r="A155">
        <v>154</v>
      </c>
      <c r="B155">
        <v>68</v>
      </c>
      <c r="C155" t="str">
        <f t="shared" si="6"/>
        <v>Senior</v>
      </c>
      <c r="D155" t="s">
        <v>16</v>
      </c>
      <c r="E155" t="s">
        <v>33</v>
      </c>
      <c r="F155" t="s">
        <v>38</v>
      </c>
      <c r="G155">
        <v>194.06</v>
      </c>
      <c r="H155" t="s">
        <v>19</v>
      </c>
      <c r="I155" t="s">
        <v>15</v>
      </c>
      <c r="J155">
        <v>3.8</v>
      </c>
      <c r="K155">
        <v>18</v>
      </c>
      <c r="L155">
        <f t="shared" si="7"/>
        <v>159.12920000000003</v>
      </c>
      <c r="M155">
        <v>4</v>
      </c>
      <c r="N155" t="str">
        <f t="shared" si="8"/>
        <v>Regular</v>
      </c>
    </row>
    <row r="156" spans="1:14" x14ac:dyDescent="0.35">
      <c r="A156">
        <v>155</v>
      </c>
      <c r="B156">
        <v>66</v>
      </c>
      <c r="C156" t="str">
        <f t="shared" si="6"/>
        <v>Senior</v>
      </c>
      <c r="D156" t="s">
        <v>11</v>
      </c>
      <c r="E156" t="s">
        <v>12</v>
      </c>
      <c r="F156" t="s">
        <v>13</v>
      </c>
      <c r="G156">
        <v>172.05</v>
      </c>
      <c r="H156" t="s">
        <v>24</v>
      </c>
      <c r="I156" t="s">
        <v>15</v>
      </c>
      <c r="J156">
        <v>2.5</v>
      </c>
      <c r="K156">
        <v>17</v>
      </c>
      <c r="L156">
        <f t="shared" si="7"/>
        <v>142.8015</v>
      </c>
      <c r="M156">
        <v>6</v>
      </c>
      <c r="N156" t="str">
        <f t="shared" si="8"/>
        <v>Regular</v>
      </c>
    </row>
    <row r="157" spans="1:14" x14ac:dyDescent="0.35">
      <c r="A157">
        <v>156</v>
      </c>
      <c r="B157">
        <v>38</v>
      </c>
      <c r="C157" t="str">
        <f t="shared" si="6"/>
        <v>Adult</v>
      </c>
      <c r="D157" t="s">
        <v>11</v>
      </c>
      <c r="E157" t="s">
        <v>41</v>
      </c>
      <c r="F157" t="s">
        <v>44</v>
      </c>
      <c r="G157">
        <v>94.08</v>
      </c>
      <c r="H157" t="s">
        <v>31</v>
      </c>
      <c r="I157" t="s">
        <v>37</v>
      </c>
      <c r="J157">
        <v>4.0999999999999996</v>
      </c>
      <c r="K157">
        <v>22</v>
      </c>
      <c r="L157">
        <f t="shared" si="7"/>
        <v>73.382400000000004</v>
      </c>
      <c r="M157">
        <v>6</v>
      </c>
      <c r="N157" t="str">
        <f t="shared" si="8"/>
        <v>Regular</v>
      </c>
    </row>
    <row r="158" spans="1:14" x14ac:dyDescent="0.35">
      <c r="A158">
        <v>157</v>
      </c>
      <c r="B158">
        <v>20</v>
      </c>
      <c r="C158" t="str">
        <f t="shared" si="6"/>
        <v>Youth</v>
      </c>
      <c r="D158" t="s">
        <v>11</v>
      </c>
      <c r="E158" t="s">
        <v>41</v>
      </c>
      <c r="F158" t="s">
        <v>46</v>
      </c>
      <c r="G158">
        <v>57.01</v>
      </c>
      <c r="H158" t="s">
        <v>31</v>
      </c>
      <c r="I158" t="s">
        <v>15</v>
      </c>
      <c r="J158">
        <v>3.1</v>
      </c>
      <c r="K158">
        <v>15</v>
      </c>
      <c r="L158">
        <f t="shared" si="7"/>
        <v>48.458499999999994</v>
      </c>
      <c r="M158">
        <v>5</v>
      </c>
      <c r="N158" t="str">
        <f t="shared" si="8"/>
        <v>Regular</v>
      </c>
    </row>
    <row r="159" spans="1:14" x14ac:dyDescent="0.35">
      <c r="A159">
        <v>158</v>
      </c>
      <c r="B159">
        <v>47</v>
      </c>
      <c r="C159" t="str">
        <f t="shared" si="6"/>
        <v>Adult</v>
      </c>
      <c r="D159" t="s">
        <v>11</v>
      </c>
      <c r="E159" t="s">
        <v>33</v>
      </c>
      <c r="F159" t="s">
        <v>34</v>
      </c>
      <c r="G159">
        <v>130.07</v>
      </c>
      <c r="H159" t="s">
        <v>19</v>
      </c>
      <c r="I159" t="s">
        <v>15</v>
      </c>
      <c r="J159">
        <v>3.1</v>
      </c>
      <c r="K159">
        <v>13</v>
      </c>
      <c r="L159">
        <f t="shared" si="7"/>
        <v>113.1609</v>
      </c>
      <c r="M159">
        <v>4</v>
      </c>
      <c r="N159" t="str">
        <f t="shared" si="8"/>
        <v>Regular</v>
      </c>
    </row>
    <row r="160" spans="1:14" x14ac:dyDescent="0.35">
      <c r="A160">
        <v>159</v>
      </c>
      <c r="B160">
        <v>62</v>
      </c>
      <c r="C160" t="str">
        <f t="shared" si="6"/>
        <v>Senior</v>
      </c>
      <c r="D160" t="s">
        <v>16</v>
      </c>
      <c r="E160" t="s">
        <v>17</v>
      </c>
      <c r="F160" t="s">
        <v>18</v>
      </c>
      <c r="G160">
        <v>161.22</v>
      </c>
      <c r="H160" t="s">
        <v>14</v>
      </c>
      <c r="I160" t="s">
        <v>15</v>
      </c>
      <c r="J160">
        <v>4.7</v>
      </c>
      <c r="K160">
        <v>18</v>
      </c>
      <c r="L160">
        <f t="shared" si="7"/>
        <v>132.2004</v>
      </c>
      <c r="M160">
        <v>4</v>
      </c>
      <c r="N160" t="str">
        <f t="shared" si="8"/>
        <v>Regular</v>
      </c>
    </row>
    <row r="161" spans="1:14" x14ac:dyDescent="0.35">
      <c r="A161">
        <v>160</v>
      </c>
      <c r="B161">
        <v>33</v>
      </c>
      <c r="C161" t="str">
        <f t="shared" si="6"/>
        <v>Adult</v>
      </c>
      <c r="D161" t="s">
        <v>16</v>
      </c>
      <c r="E161" t="s">
        <v>27</v>
      </c>
      <c r="F161" t="s">
        <v>28</v>
      </c>
      <c r="G161">
        <v>862.41</v>
      </c>
      <c r="H161" t="s">
        <v>19</v>
      </c>
      <c r="I161" t="s">
        <v>15</v>
      </c>
      <c r="J161">
        <v>3.5</v>
      </c>
      <c r="K161">
        <v>12</v>
      </c>
      <c r="L161">
        <f t="shared" si="7"/>
        <v>758.92079999999999</v>
      </c>
      <c r="M161">
        <v>6</v>
      </c>
      <c r="N161" t="str">
        <f t="shared" si="8"/>
        <v>Regular</v>
      </c>
    </row>
    <row r="162" spans="1:14" x14ac:dyDescent="0.35">
      <c r="A162">
        <v>161</v>
      </c>
      <c r="B162">
        <v>23</v>
      </c>
      <c r="C162" t="str">
        <f t="shared" si="6"/>
        <v>Youth</v>
      </c>
      <c r="D162" t="s">
        <v>16</v>
      </c>
      <c r="E162" t="s">
        <v>33</v>
      </c>
      <c r="F162" t="s">
        <v>34</v>
      </c>
      <c r="G162">
        <v>157.86000000000001</v>
      </c>
      <c r="H162" t="s">
        <v>19</v>
      </c>
      <c r="I162" t="s">
        <v>15</v>
      </c>
      <c r="J162">
        <v>5</v>
      </c>
      <c r="K162">
        <v>13</v>
      </c>
      <c r="L162">
        <f t="shared" si="7"/>
        <v>137.3382</v>
      </c>
      <c r="M162">
        <v>4</v>
      </c>
      <c r="N162" t="str">
        <f t="shared" si="8"/>
        <v>Regular</v>
      </c>
    </row>
    <row r="163" spans="1:14" x14ac:dyDescent="0.35">
      <c r="A163">
        <v>162</v>
      </c>
      <c r="B163">
        <v>25</v>
      </c>
      <c r="C163" t="str">
        <f t="shared" si="6"/>
        <v>Youth</v>
      </c>
      <c r="D163" t="s">
        <v>11</v>
      </c>
      <c r="E163" t="s">
        <v>29</v>
      </c>
      <c r="F163" t="s">
        <v>55</v>
      </c>
      <c r="G163">
        <v>142.94</v>
      </c>
      <c r="H163" t="s">
        <v>14</v>
      </c>
      <c r="I163" t="s">
        <v>15</v>
      </c>
      <c r="J163">
        <v>4.5</v>
      </c>
      <c r="K163">
        <v>17</v>
      </c>
      <c r="L163">
        <f t="shared" si="7"/>
        <v>118.64019999999999</v>
      </c>
      <c r="M163">
        <v>6</v>
      </c>
      <c r="N163" t="str">
        <f t="shared" si="8"/>
        <v>Regular</v>
      </c>
    </row>
    <row r="164" spans="1:14" x14ac:dyDescent="0.35">
      <c r="A164">
        <v>163</v>
      </c>
      <c r="B164">
        <v>29</v>
      </c>
      <c r="C164" t="str">
        <f t="shared" si="6"/>
        <v>Youth</v>
      </c>
      <c r="D164" t="s">
        <v>16</v>
      </c>
      <c r="E164" t="s">
        <v>20</v>
      </c>
      <c r="F164" t="s">
        <v>21</v>
      </c>
      <c r="G164">
        <v>70.31</v>
      </c>
      <c r="H164" t="s">
        <v>31</v>
      </c>
      <c r="I164" t="s">
        <v>37</v>
      </c>
      <c r="J164">
        <v>3</v>
      </c>
      <c r="K164">
        <v>8</v>
      </c>
      <c r="L164">
        <f t="shared" si="7"/>
        <v>64.685200000000009</v>
      </c>
      <c r="M164">
        <v>4</v>
      </c>
      <c r="N164" t="str">
        <f t="shared" si="8"/>
        <v>Regular</v>
      </c>
    </row>
    <row r="165" spans="1:14" x14ac:dyDescent="0.35">
      <c r="A165">
        <v>164</v>
      </c>
      <c r="B165">
        <v>60</v>
      </c>
      <c r="C165" t="str">
        <f t="shared" si="6"/>
        <v>Adult</v>
      </c>
      <c r="D165" t="s">
        <v>11</v>
      </c>
      <c r="E165" t="s">
        <v>41</v>
      </c>
      <c r="F165" t="s">
        <v>46</v>
      </c>
      <c r="G165">
        <v>34.619999999999997</v>
      </c>
      <c r="H165" t="s">
        <v>31</v>
      </c>
      <c r="I165" t="s">
        <v>15</v>
      </c>
      <c r="J165">
        <v>4.2</v>
      </c>
      <c r="K165">
        <v>20</v>
      </c>
      <c r="L165">
        <f t="shared" si="7"/>
        <v>27.695999999999998</v>
      </c>
      <c r="M165">
        <v>5</v>
      </c>
      <c r="N165" t="str">
        <f t="shared" si="8"/>
        <v>Regular</v>
      </c>
    </row>
    <row r="166" spans="1:14" x14ac:dyDescent="0.35">
      <c r="A166">
        <v>165</v>
      </c>
      <c r="B166">
        <v>69</v>
      </c>
      <c r="C166" t="str">
        <f t="shared" si="6"/>
        <v>Senior</v>
      </c>
      <c r="D166" t="s">
        <v>16</v>
      </c>
      <c r="E166" t="s">
        <v>33</v>
      </c>
      <c r="F166" t="s">
        <v>38</v>
      </c>
      <c r="G166">
        <v>82.79</v>
      </c>
      <c r="H166" t="s">
        <v>31</v>
      </c>
      <c r="I166" t="s">
        <v>37</v>
      </c>
      <c r="J166">
        <v>5</v>
      </c>
      <c r="K166">
        <v>21</v>
      </c>
      <c r="L166">
        <f t="shared" si="7"/>
        <v>65.404100000000014</v>
      </c>
      <c r="M166">
        <v>8</v>
      </c>
      <c r="N166" t="str">
        <f t="shared" si="8"/>
        <v>Loyal</v>
      </c>
    </row>
    <row r="167" spans="1:14" x14ac:dyDescent="0.35">
      <c r="A167">
        <v>166</v>
      </c>
      <c r="B167">
        <v>35</v>
      </c>
      <c r="C167" t="str">
        <f t="shared" si="6"/>
        <v>Adult</v>
      </c>
      <c r="D167" t="s">
        <v>16</v>
      </c>
      <c r="E167" t="s">
        <v>33</v>
      </c>
      <c r="F167" t="s">
        <v>34</v>
      </c>
      <c r="G167">
        <v>75.459999999999994</v>
      </c>
      <c r="H167" t="s">
        <v>14</v>
      </c>
      <c r="I167" t="s">
        <v>15</v>
      </c>
      <c r="J167">
        <v>2.5</v>
      </c>
      <c r="K167">
        <v>16</v>
      </c>
      <c r="L167">
        <f t="shared" si="7"/>
        <v>63.386399999999995</v>
      </c>
      <c r="M167">
        <v>3</v>
      </c>
      <c r="N167" t="str">
        <f t="shared" si="8"/>
        <v>New</v>
      </c>
    </row>
    <row r="168" spans="1:14" x14ac:dyDescent="0.35">
      <c r="A168">
        <v>167</v>
      </c>
      <c r="B168">
        <v>49</v>
      </c>
      <c r="C168" t="str">
        <f t="shared" si="6"/>
        <v>Adult</v>
      </c>
      <c r="D168" t="s">
        <v>11</v>
      </c>
      <c r="E168" t="s">
        <v>12</v>
      </c>
      <c r="F168" t="s">
        <v>13</v>
      </c>
      <c r="G168">
        <v>148.58000000000001</v>
      </c>
      <c r="H168" t="s">
        <v>31</v>
      </c>
      <c r="I168" t="s">
        <v>15</v>
      </c>
      <c r="J168">
        <v>4.3</v>
      </c>
      <c r="K168">
        <v>26</v>
      </c>
      <c r="L168">
        <f t="shared" si="7"/>
        <v>109.9492</v>
      </c>
      <c r="M168">
        <v>8</v>
      </c>
      <c r="N168" t="str">
        <f t="shared" si="8"/>
        <v>Loyal</v>
      </c>
    </row>
    <row r="169" spans="1:14" x14ac:dyDescent="0.35">
      <c r="A169">
        <v>168</v>
      </c>
      <c r="B169">
        <v>52</v>
      </c>
      <c r="C169" t="str">
        <f t="shared" si="6"/>
        <v>Adult</v>
      </c>
      <c r="D169" t="s">
        <v>11</v>
      </c>
      <c r="E169" t="s">
        <v>41</v>
      </c>
      <c r="F169" t="s">
        <v>45</v>
      </c>
      <c r="G169">
        <v>43.5</v>
      </c>
      <c r="H169" t="s">
        <v>14</v>
      </c>
      <c r="I169" t="s">
        <v>37</v>
      </c>
      <c r="J169">
        <v>3.4</v>
      </c>
      <c r="K169">
        <v>24</v>
      </c>
      <c r="L169">
        <f t="shared" si="7"/>
        <v>33.06</v>
      </c>
      <c r="M169">
        <v>7</v>
      </c>
      <c r="N169" t="str">
        <f t="shared" si="8"/>
        <v>Regular</v>
      </c>
    </row>
    <row r="170" spans="1:14" x14ac:dyDescent="0.35">
      <c r="A170">
        <v>169</v>
      </c>
      <c r="B170">
        <v>28</v>
      </c>
      <c r="C170" t="str">
        <f t="shared" si="6"/>
        <v>Youth</v>
      </c>
      <c r="D170" t="s">
        <v>16</v>
      </c>
      <c r="E170" t="s">
        <v>17</v>
      </c>
      <c r="F170" t="s">
        <v>48</v>
      </c>
      <c r="G170">
        <v>179.57</v>
      </c>
      <c r="H170" t="s">
        <v>24</v>
      </c>
      <c r="I170" t="s">
        <v>15</v>
      </c>
      <c r="J170">
        <v>3.2</v>
      </c>
      <c r="K170">
        <v>6</v>
      </c>
      <c r="L170">
        <f t="shared" si="7"/>
        <v>168.79579999999999</v>
      </c>
      <c r="M170">
        <v>3</v>
      </c>
      <c r="N170" t="str">
        <f t="shared" si="8"/>
        <v>New</v>
      </c>
    </row>
    <row r="171" spans="1:14" x14ac:dyDescent="0.35">
      <c r="A171">
        <v>170</v>
      </c>
      <c r="B171">
        <v>70</v>
      </c>
      <c r="C171" t="str">
        <f t="shared" si="6"/>
        <v>Senior</v>
      </c>
      <c r="D171" t="s">
        <v>16</v>
      </c>
      <c r="E171" t="s">
        <v>20</v>
      </c>
      <c r="F171" t="s">
        <v>21</v>
      </c>
      <c r="G171">
        <v>122.99</v>
      </c>
      <c r="H171" t="s">
        <v>14</v>
      </c>
      <c r="I171" t="s">
        <v>15</v>
      </c>
      <c r="J171">
        <v>3.4</v>
      </c>
      <c r="K171">
        <v>10</v>
      </c>
      <c r="L171">
        <f t="shared" si="7"/>
        <v>110.691</v>
      </c>
      <c r="M171">
        <v>5</v>
      </c>
      <c r="N171" t="str">
        <f t="shared" si="8"/>
        <v>Regular</v>
      </c>
    </row>
    <row r="172" spans="1:14" x14ac:dyDescent="0.35">
      <c r="A172">
        <v>171</v>
      </c>
      <c r="B172">
        <v>53</v>
      </c>
      <c r="C172" t="str">
        <f t="shared" si="6"/>
        <v>Adult</v>
      </c>
      <c r="D172" t="s">
        <v>11</v>
      </c>
      <c r="E172" t="s">
        <v>33</v>
      </c>
      <c r="F172" t="s">
        <v>38</v>
      </c>
      <c r="G172">
        <v>76.73</v>
      </c>
      <c r="H172" t="s">
        <v>14</v>
      </c>
      <c r="I172" t="s">
        <v>37</v>
      </c>
      <c r="J172">
        <v>5</v>
      </c>
      <c r="K172">
        <v>24</v>
      </c>
      <c r="L172">
        <f t="shared" si="7"/>
        <v>58.314800000000005</v>
      </c>
      <c r="M172">
        <v>7</v>
      </c>
      <c r="N172" t="str">
        <f t="shared" si="8"/>
        <v>Regular</v>
      </c>
    </row>
    <row r="173" spans="1:14" x14ac:dyDescent="0.35">
      <c r="A173">
        <v>172</v>
      </c>
      <c r="B173">
        <v>36</v>
      </c>
      <c r="C173" t="str">
        <f t="shared" si="6"/>
        <v>Adult</v>
      </c>
      <c r="D173" t="s">
        <v>16</v>
      </c>
      <c r="E173" t="s">
        <v>20</v>
      </c>
      <c r="F173" t="s">
        <v>21</v>
      </c>
      <c r="G173">
        <v>227.24</v>
      </c>
      <c r="H173" t="s">
        <v>31</v>
      </c>
      <c r="I173" t="s">
        <v>15</v>
      </c>
      <c r="J173">
        <v>3.4</v>
      </c>
      <c r="K173">
        <v>14</v>
      </c>
      <c r="L173">
        <f t="shared" si="7"/>
        <v>195.4264</v>
      </c>
      <c r="M173">
        <v>2</v>
      </c>
      <c r="N173" t="str">
        <f t="shared" si="8"/>
        <v>New</v>
      </c>
    </row>
    <row r="174" spans="1:14" x14ac:dyDescent="0.35">
      <c r="A174">
        <v>173</v>
      </c>
      <c r="B174">
        <v>53</v>
      </c>
      <c r="C174" t="str">
        <f t="shared" si="6"/>
        <v>Adult</v>
      </c>
      <c r="D174" t="s">
        <v>11</v>
      </c>
      <c r="E174" t="s">
        <v>41</v>
      </c>
      <c r="F174" t="s">
        <v>42</v>
      </c>
      <c r="G174">
        <v>94.87</v>
      </c>
      <c r="H174" t="s">
        <v>24</v>
      </c>
      <c r="I174" t="s">
        <v>37</v>
      </c>
      <c r="J174">
        <v>3.6</v>
      </c>
      <c r="K174">
        <v>13</v>
      </c>
      <c r="L174">
        <f t="shared" si="7"/>
        <v>82.536900000000003</v>
      </c>
      <c r="M174">
        <v>4</v>
      </c>
      <c r="N174" t="str">
        <f t="shared" si="8"/>
        <v>Regular</v>
      </c>
    </row>
    <row r="175" spans="1:14" x14ac:dyDescent="0.35">
      <c r="A175">
        <v>174</v>
      </c>
      <c r="B175">
        <v>38</v>
      </c>
      <c r="C175" t="str">
        <f t="shared" si="6"/>
        <v>Adult</v>
      </c>
      <c r="D175" t="s">
        <v>11</v>
      </c>
      <c r="E175" t="s">
        <v>41</v>
      </c>
      <c r="F175" t="s">
        <v>44</v>
      </c>
      <c r="G175">
        <v>166.83</v>
      </c>
      <c r="H175" t="s">
        <v>24</v>
      </c>
      <c r="I175" t="s">
        <v>15</v>
      </c>
      <c r="J175">
        <v>4.0999999999999996</v>
      </c>
      <c r="K175">
        <v>16</v>
      </c>
      <c r="L175">
        <f t="shared" si="7"/>
        <v>140.13720000000001</v>
      </c>
      <c r="M175">
        <v>3</v>
      </c>
      <c r="N175" t="str">
        <f t="shared" si="8"/>
        <v>New</v>
      </c>
    </row>
    <row r="176" spans="1:14" x14ac:dyDescent="0.35">
      <c r="A176">
        <v>175</v>
      </c>
      <c r="B176">
        <v>38</v>
      </c>
      <c r="C176" t="str">
        <f t="shared" si="6"/>
        <v>Adult</v>
      </c>
      <c r="D176" t="s">
        <v>16</v>
      </c>
      <c r="E176" t="s">
        <v>20</v>
      </c>
      <c r="F176" t="s">
        <v>36</v>
      </c>
      <c r="G176">
        <v>52.06</v>
      </c>
      <c r="H176" t="s">
        <v>24</v>
      </c>
      <c r="I176" t="s">
        <v>15</v>
      </c>
      <c r="J176">
        <v>2.2999999999999998</v>
      </c>
      <c r="K176">
        <v>4</v>
      </c>
      <c r="L176">
        <f t="shared" si="7"/>
        <v>49.977600000000002</v>
      </c>
      <c r="M176">
        <v>2</v>
      </c>
      <c r="N176" t="str">
        <f t="shared" si="8"/>
        <v>New</v>
      </c>
    </row>
    <row r="177" spans="1:14" x14ac:dyDescent="0.35">
      <c r="A177">
        <v>176</v>
      </c>
      <c r="B177">
        <v>54</v>
      </c>
      <c r="C177" t="str">
        <f t="shared" si="6"/>
        <v>Adult</v>
      </c>
      <c r="D177" t="s">
        <v>16</v>
      </c>
      <c r="E177" t="s">
        <v>17</v>
      </c>
      <c r="F177" t="s">
        <v>18</v>
      </c>
      <c r="G177">
        <v>38.18</v>
      </c>
      <c r="H177" t="s">
        <v>24</v>
      </c>
      <c r="I177" t="s">
        <v>37</v>
      </c>
      <c r="J177">
        <v>3.5</v>
      </c>
      <c r="K177">
        <v>12</v>
      </c>
      <c r="L177">
        <f t="shared" si="7"/>
        <v>33.598399999999998</v>
      </c>
      <c r="M177">
        <v>6</v>
      </c>
      <c r="N177" t="str">
        <f t="shared" si="8"/>
        <v>Regular</v>
      </c>
    </row>
    <row r="178" spans="1:14" x14ac:dyDescent="0.35">
      <c r="A178">
        <v>177</v>
      </c>
      <c r="B178">
        <v>67</v>
      </c>
      <c r="C178" t="str">
        <f t="shared" si="6"/>
        <v>Senior</v>
      </c>
      <c r="D178" t="s">
        <v>11</v>
      </c>
      <c r="E178" t="s">
        <v>12</v>
      </c>
      <c r="F178" t="s">
        <v>56</v>
      </c>
      <c r="G178">
        <v>156.91</v>
      </c>
      <c r="H178" t="s">
        <v>31</v>
      </c>
      <c r="I178" t="s">
        <v>15</v>
      </c>
      <c r="J178">
        <v>3.3</v>
      </c>
      <c r="K178">
        <v>8</v>
      </c>
      <c r="L178">
        <f t="shared" si="7"/>
        <v>144.35720000000001</v>
      </c>
      <c r="M178">
        <v>4</v>
      </c>
      <c r="N178" t="str">
        <f t="shared" si="8"/>
        <v>Regular</v>
      </c>
    </row>
    <row r="179" spans="1:14" x14ac:dyDescent="0.35">
      <c r="A179">
        <v>178</v>
      </c>
      <c r="B179">
        <v>36</v>
      </c>
      <c r="C179" t="str">
        <f t="shared" si="6"/>
        <v>Adult</v>
      </c>
      <c r="D179" t="s">
        <v>11</v>
      </c>
      <c r="E179" t="s">
        <v>29</v>
      </c>
      <c r="F179" t="s">
        <v>55</v>
      </c>
      <c r="G179">
        <v>110.28</v>
      </c>
      <c r="H179" t="s">
        <v>19</v>
      </c>
      <c r="I179" t="s">
        <v>15</v>
      </c>
      <c r="J179">
        <v>3.8</v>
      </c>
      <c r="K179">
        <v>16</v>
      </c>
      <c r="L179">
        <f t="shared" si="7"/>
        <v>92.635199999999998</v>
      </c>
      <c r="M179">
        <v>3</v>
      </c>
      <c r="N179" t="str">
        <f t="shared" si="8"/>
        <v>New</v>
      </c>
    </row>
    <row r="180" spans="1:14" x14ac:dyDescent="0.35">
      <c r="A180">
        <v>179</v>
      </c>
      <c r="B180">
        <v>48</v>
      </c>
      <c r="C180" t="str">
        <f t="shared" si="6"/>
        <v>Adult</v>
      </c>
      <c r="D180" t="s">
        <v>11</v>
      </c>
      <c r="E180" t="s">
        <v>12</v>
      </c>
      <c r="F180" t="s">
        <v>56</v>
      </c>
      <c r="G180">
        <v>114.67</v>
      </c>
      <c r="H180" t="s">
        <v>24</v>
      </c>
      <c r="I180" t="s">
        <v>15</v>
      </c>
      <c r="J180">
        <v>3.5</v>
      </c>
      <c r="K180">
        <v>8</v>
      </c>
      <c r="L180">
        <f t="shared" si="7"/>
        <v>105.49640000000001</v>
      </c>
      <c r="M180">
        <v>4</v>
      </c>
      <c r="N180" t="str">
        <f t="shared" si="8"/>
        <v>Regular</v>
      </c>
    </row>
    <row r="181" spans="1:14" x14ac:dyDescent="0.35">
      <c r="A181">
        <v>180</v>
      </c>
      <c r="B181">
        <v>20</v>
      </c>
      <c r="C181" t="str">
        <f t="shared" si="6"/>
        <v>Youth</v>
      </c>
      <c r="D181" t="s">
        <v>11</v>
      </c>
      <c r="E181" t="s">
        <v>41</v>
      </c>
      <c r="F181" t="s">
        <v>45</v>
      </c>
      <c r="G181">
        <v>73.25</v>
      </c>
      <c r="H181" t="s">
        <v>24</v>
      </c>
      <c r="I181" t="s">
        <v>15</v>
      </c>
      <c r="J181">
        <v>2.5</v>
      </c>
      <c r="K181">
        <v>11</v>
      </c>
      <c r="L181">
        <f t="shared" si="7"/>
        <v>65.192499999999995</v>
      </c>
      <c r="M181">
        <v>3</v>
      </c>
      <c r="N181" t="str">
        <f t="shared" si="8"/>
        <v>New</v>
      </c>
    </row>
    <row r="182" spans="1:14" x14ac:dyDescent="0.35">
      <c r="A182">
        <v>181</v>
      </c>
      <c r="B182">
        <v>48</v>
      </c>
      <c r="C182" t="str">
        <f t="shared" si="6"/>
        <v>Adult</v>
      </c>
      <c r="D182" t="s">
        <v>16</v>
      </c>
      <c r="E182" t="s">
        <v>20</v>
      </c>
      <c r="F182" t="s">
        <v>36</v>
      </c>
      <c r="G182">
        <v>162.43</v>
      </c>
      <c r="H182" t="s">
        <v>31</v>
      </c>
      <c r="I182" t="s">
        <v>15</v>
      </c>
      <c r="J182">
        <v>3.4</v>
      </c>
      <c r="K182">
        <v>11</v>
      </c>
      <c r="L182">
        <f t="shared" si="7"/>
        <v>144.56270000000001</v>
      </c>
      <c r="M182">
        <v>3</v>
      </c>
      <c r="N182" t="str">
        <f t="shared" si="8"/>
        <v>New</v>
      </c>
    </row>
    <row r="183" spans="1:14" x14ac:dyDescent="0.35">
      <c r="A183">
        <v>182</v>
      </c>
      <c r="B183">
        <v>40</v>
      </c>
      <c r="C183" t="str">
        <f t="shared" si="6"/>
        <v>Adult</v>
      </c>
      <c r="D183" t="s">
        <v>16</v>
      </c>
      <c r="E183" t="s">
        <v>17</v>
      </c>
      <c r="F183" t="s">
        <v>42</v>
      </c>
      <c r="G183">
        <v>79.89</v>
      </c>
      <c r="H183" t="s">
        <v>31</v>
      </c>
      <c r="I183" t="s">
        <v>15</v>
      </c>
      <c r="J183">
        <v>4.4000000000000004</v>
      </c>
      <c r="K183">
        <v>18</v>
      </c>
      <c r="L183">
        <f t="shared" si="7"/>
        <v>65.509799999999998</v>
      </c>
      <c r="M183">
        <v>4</v>
      </c>
      <c r="N183" t="str">
        <f t="shared" si="8"/>
        <v>Regular</v>
      </c>
    </row>
    <row r="184" spans="1:14" x14ac:dyDescent="0.35">
      <c r="A184">
        <v>183</v>
      </c>
      <c r="B184">
        <v>60</v>
      </c>
      <c r="C184" t="str">
        <f t="shared" si="6"/>
        <v>Adult</v>
      </c>
      <c r="D184" t="s">
        <v>16</v>
      </c>
      <c r="E184" t="s">
        <v>33</v>
      </c>
      <c r="F184" t="s">
        <v>34</v>
      </c>
      <c r="G184">
        <v>248.49</v>
      </c>
      <c r="H184" t="s">
        <v>14</v>
      </c>
      <c r="I184" t="s">
        <v>15</v>
      </c>
      <c r="J184">
        <v>4.2</v>
      </c>
      <c r="K184">
        <v>6</v>
      </c>
      <c r="L184">
        <f t="shared" si="7"/>
        <v>233.5806</v>
      </c>
      <c r="M184">
        <v>3</v>
      </c>
      <c r="N184" t="str">
        <f t="shared" si="8"/>
        <v>New</v>
      </c>
    </row>
    <row r="185" spans="1:14" x14ac:dyDescent="0.35">
      <c r="A185">
        <v>184</v>
      </c>
      <c r="B185">
        <v>52</v>
      </c>
      <c r="C185" t="str">
        <f t="shared" si="6"/>
        <v>Adult</v>
      </c>
      <c r="D185" t="s">
        <v>16</v>
      </c>
      <c r="E185" t="s">
        <v>20</v>
      </c>
      <c r="F185" t="s">
        <v>36</v>
      </c>
      <c r="G185">
        <v>187.31</v>
      </c>
      <c r="H185" t="s">
        <v>24</v>
      </c>
      <c r="I185" t="s">
        <v>15</v>
      </c>
      <c r="J185">
        <v>4.7</v>
      </c>
      <c r="K185">
        <v>7</v>
      </c>
      <c r="L185">
        <f t="shared" si="7"/>
        <v>174.19829999999999</v>
      </c>
      <c r="M185">
        <v>1</v>
      </c>
      <c r="N185" t="str">
        <f t="shared" si="8"/>
        <v>New</v>
      </c>
    </row>
    <row r="186" spans="1:14" x14ac:dyDescent="0.35">
      <c r="A186">
        <v>185</v>
      </c>
      <c r="B186">
        <v>66</v>
      </c>
      <c r="C186" t="str">
        <f t="shared" si="6"/>
        <v>Senior</v>
      </c>
      <c r="D186" t="s">
        <v>16</v>
      </c>
      <c r="E186" t="s">
        <v>22</v>
      </c>
      <c r="F186" t="s">
        <v>23</v>
      </c>
      <c r="G186">
        <v>60.91</v>
      </c>
      <c r="H186" t="s">
        <v>24</v>
      </c>
      <c r="I186" t="s">
        <v>15</v>
      </c>
      <c r="J186">
        <v>4</v>
      </c>
      <c r="K186">
        <v>8</v>
      </c>
      <c r="L186">
        <f t="shared" si="7"/>
        <v>56.037199999999999</v>
      </c>
      <c r="M186">
        <v>4</v>
      </c>
      <c r="N186" t="str">
        <f t="shared" si="8"/>
        <v>Regular</v>
      </c>
    </row>
    <row r="187" spans="1:14" x14ac:dyDescent="0.35">
      <c r="A187">
        <v>186</v>
      </c>
      <c r="B187">
        <v>60</v>
      </c>
      <c r="C187" t="str">
        <f t="shared" si="6"/>
        <v>Adult</v>
      </c>
      <c r="D187" t="s">
        <v>11</v>
      </c>
      <c r="E187" t="s">
        <v>12</v>
      </c>
      <c r="F187" t="s">
        <v>13</v>
      </c>
      <c r="G187">
        <v>21.62</v>
      </c>
      <c r="H187" t="s">
        <v>19</v>
      </c>
      <c r="I187" t="s">
        <v>37</v>
      </c>
      <c r="J187">
        <v>3.8</v>
      </c>
      <c r="K187">
        <v>19</v>
      </c>
      <c r="L187">
        <f t="shared" si="7"/>
        <v>17.512200000000004</v>
      </c>
      <c r="M187">
        <v>7</v>
      </c>
      <c r="N187" t="str">
        <f t="shared" si="8"/>
        <v>Regular</v>
      </c>
    </row>
    <row r="188" spans="1:14" x14ac:dyDescent="0.35">
      <c r="A188">
        <v>187</v>
      </c>
      <c r="B188">
        <v>36</v>
      </c>
      <c r="C188" t="str">
        <f t="shared" si="6"/>
        <v>Adult</v>
      </c>
      <c r="D188" t="s">
        <v>16</v>
      </c>
      <c r="E188" t="s">
        <v>33</v>
      </c>
      <c r="F188" t="s">
        <v>38</v>
      </c>
      <c r="G188">
        <v>142.06</v>
      </c>
      <c r="H188" t="s">
        <v>14</v>
      </c>
      <c r="I188" t="s">
        <v>15</v>
      </c>
      <c r="J188">
        <v>3.5</v>
      </c>
      <c r="K188">
        <v>4</v>
      </c>
      <c r="L188">
        <f t="shared" si="7"/>
        <v>136.3776</v>
      </c>
      <c r="M188">
        <v>2</v>
      </c>
      <c r="N188" t="str">
        <f t="shared" si="8"/>
        <v>New</v>
      </c>
    </row>
    <row r="189" spans="1:14" x14ac:dyDescent="0.35">
      <c r="A189">
        <v>188</v>
      </c>
      <c r="B189">
        <v>57</v>
      </c>
      <c r="C189" t="str">
        <f t="shared" si="6"/>
        <v>Adult</v>
      </c>
      <c r="D189" t="s">
        <v>11</v>
      </c>
      <c r="E189" t="s">
        <v>12</v>
      </c>
      <c r="F189" t="s">
        <v>56</v>
      </c>
      <c r="G189">
        <v>84.62</v>
      </c>
      <c r="H189" t="s">
        <v>14</v>
      </c>
      <c r="I189" t="s">
        <v>15</v>
      </c>
      <c r="J189">
        <v>2.8</v>
      </c>
      <c r="K189">
        <v>18</v>
      </c>
      <c r="L189">
        <f t="shared" si="7"/>
        <v>69.388400000000004</v>
      </c>
      <c r="M189">
        <v>4</v>
      </c>
      <c r="N189" t="str">
        <f t="shared" si="8"/>
        <v>Regular</v>
      </c>
    </row>
    <row r="190" spans="1:14" x14ac:dyDescent="0.35">
      <c r="A190">
        <v>189</v>
      </c>
      <c r="B190">
        <v>63</v>
      </c>
      <c r="C190" t="str">
        <f t="shared" si="6"/>
        <v>Senior</v>
      </c>
      <c r="D190" t="s">
        <v>16</v>
      </c>
      <c r="E190" t="s">
        <v>33</v>
      </c>
      <c r="F190" t="s">
        <v>38</v>
      </c>
      <c r="G190">
        <v>162.26</v>
      </c>
      <c r="H190" t="s">
        <v>14</v>
      </c>
      <c r="I190" t="s">
        <v>15</v>
      </c>
      <c r="J190">
        <v>3.5</v>
      </c>
      <c r="K190">
        <v>12</v>
      </c>
      <c r="L190">
        <f t="shared" si="7"/>
        <v>142.78879999999998</v>
      </c>
      <c r="M190">
        <v>6</v>
      </c>
      <c r="N190" t="str">
        <f t="shared" si="8"/>
        <v>Regular</v>
      </c>
    </row>
    <row r="191" spans="1:14" x14ac:dyDescent="0.35">
      <c r="A191">
        <v>190</v>
      </c>
      <c r="B191">
        <v>38</v>
      </c>
      <c r="C191" t="str">
        <f t="shared" si="6"/>
        <v>Adult</v>
      </c>
      <c r="D191" t="s">
        <v>16</v>
      </c>
      <c r="E191" t="s">
        <v>17</v>
      </c>
      <c r="F191" t="s">
        <v>35</v>
      </c>
      <c r="G191">
        <v>31.14</v>
      </c>
      <c r="H191" t="s">
        <v>31</v>
      </c>
      <c r="I191" t="s">
        <v>15</v>
      </c>
      <c r="J191">
        <v>4.4000000000000004</v>
      </c>
      <c r="K191">
        <v>19</v>
      </c>
      <c r="L191">
        <f t="shared" si="7"/>
        <v>25.223400000000002</v>
      </c>
      <c r="M191">
        <v>7</v>
      </c>
      <c r="N191" t="str">
        <f t="shared" si="8"/>
        <v>Regular</v>
      </c>
    </row>
    <row r="192" spans="1:14" x14ac:dyDescent="0.35">
      <c r="A192">
        <v>191</v>
      </c>
      <c r="B192">
        <v>23</v>
      </c>
      <c r="C192" t="str">
        <f t="shared" si="6"/>
        <v>Youth</v>
      </c>
      <c r="D192" t="s">
        <v>16</v>
      </c>
      <c r="E192" t="s">
        <v>25</v>
      </c>
      <c r="F192" t="s">
        <v>54</v>
      </c>
      <c r="G192">
        <v>7.07</v>
      </c>
      <c r="H192" t="s">
        <v>19</v>
      </c>
      <c r="I192" t="s">
        <v>37</v>
      </c>
      <c r="J192">
        <v>3.7</v>
      </c>
      <c r="K192">
        <v>18</v>
      </c>
      <c r="L192">
        <f t="shared" si="7"/>
        <v>5.7974000000000006</v>
      </c>
      <c r="M192">
        <v>4</v>
      </c>
      <c r="N192" t="str">
        <f t="shared" si="8"/>
        <v>Regular</v>
      </c>
    </row>
    <row r="193" spans="1:14" x14ac:dyDescent="0.35">
      <c r="A193">
        <v>192</v>
      </c>
      <c r="B193">
        <v>56</v>
      </c>
      <c r="C193" t="str">
        <f t="shared" si="6"/>
        <v>Adult</v>
      </c>
      <c r="D193" t="s">
        <v>11</v>
      </c>
      <c r="E193" t="s">
        <v>22</v>
      </c>
      <c r="F193" t="s">
        <v>43</v>
      </c>
      <c r="G193">
        <v>157.97999999999999</v>
      </c>
      <c r="H193" t="s">
        <v>24</v>
      </c>
      <c r="I193" t="s">
        <v>15</v>
      </c>
      <c r="J193">
        <v>4.8</v>
      </c>
      <c r="K193">
        <v>10</v>
      </c>
      <c r="L193">
        <f t="shared" si="7"/>
        <v>142.18199999999999</v>
      </c>
      <c r="M193">
        <v>5</v>
      </c>
      <c r="N193" t="str">
        <f t="shared" si="8"/>
        <v>Regular</v>
      </c>
    </row>
    <row r="194" spans="1:14" x14ac:dyDescent="0.35">
      <c r="A194">
        <v>193</v>
      </c>
      <c r="B194">
        <v>51</v>
      </c>
      <c r="C194" t="str">
        <f t="shared" si="6"/>
        <v>Adult</v>
      </c>
      <c r="D194" t="s">
        <v>11</v>
      </c>
      <c r="E194" t="s">
        <v>29</v>
      </c>
      <c r="F194" t="s">
        <v>55</v>
      </c>
      <c r="G194">
        <v>82.12</v>
      </c>
      <c r="H194" t="s">
        <v>24</v>
      </c>
      <c r="I194" t="s">
        <v>15</v>
      </c>
      <c r="J194">
        <v>3.2</v>
      </c>
      <c r="K194">
        <v>13</v>
      </c>
      <c r="L194">
        <f t="shared" si="7"/>
        <v>71.444400000000002</v>
      </c>
      <c r="M194">
        <v>4</v>
      </c>
      <c r="N194" t="str">
        <f t="shared" si="8"/>
        <v>Regular</v>
      </c>
    </row>
    <row r="195" spans="1:14" x14ac:dyDescent="0.35">
      <c r="A195">
        <v>194</v>
      </c>
      <c r="B195">
        <v>65</v>
      </c>
      <c r="C195" t="str">
        <f t="shared" ref="C195:C258" si="9">IF(B195&lt;=30,"Youth",IF(B195&lt;=45,"Adult",IF(B195&lt;=60,"Adult","Senior")))</f>
        <v>Senior</v>
      </c>
      <c r="D195" t="s">
        <v>16</v>
      </c>
      <c r="E195" t="s">
        <v>20</v>
      </c>
      <c r="F195" t="s">
        <v>39</v>
      </c>
      <c r="G195">
        <v>150.47999999999999</v>
      </c>
      <c r="H195" t="s">
        <v>24</v>
      </c>
      <c r="I195" t="s">
        <v>15</v>
      </c>
      <c r="J195">
        <v>3.5</v>
      </c>
      <c r="K195">
        <v>20</v>
      </c>
      <c r="L195">
        <f t="shared" ref="L195:L258" si="10">G195*(1-K195/100)</f>
        <v>120.384</v>
      </c>
      <c r="M195">
        <v>5</v>
      </c>
      <c r="N195" t="str">
        <f t="shared" ref="N195:N258" si="11">IF(M195&lt;=3,"New",IF(M195&lt;=7,"Regular","Loyal"))</f>
        <v>Regular</v>
      </c>
    </row>
    <row r="196" spans="1:14" x14ac:dyDescent="0.35">
      <c r="A196">
        <v>195</v>
      </c>
      <c r="B196">
        <v>36</v>
      </c>
      <c r="C196" t="str">
        <f t="shared" si="9"/>
        <v>Adult</v>
      </c>
      <c r="D196" t="s">
        <v>16</v>
      </c>
      <c r="E196" t="s">
        <v>20</v>
      </c>
      <c r="F196" t="s">
        <v>36</v>
      </c>
      <c r="G196">
        <v>153.11000000000001</v>
      </c>
      <c r="H196" t="s">
        <v>31</v>
      </c>
      <c r="I196" t="s">
        <v>15</v>
      </c>
      <c r="J196">
        <v>4</v>
      </c>
      <c r="K196">
        <v>6</v>
      </c>
      <c r="L196">
        <f t="shared" si="10"/>
        <v>143.92340000000002</v>
      </c>
      <c r="M196">
        <v>3</v>
      </c>
      <c r="N196" t="str">
        <f t="shared" si="11"/>
        <v>New</v>
      </c>
    </row>
    <row r="197" spans="1:14" x14ac:dyDescent="0.35">
      <c r="A197">
        <v>196</v>
      </c>
      <c r="B197">
        <v>46</v>
      </c>
      <c r="C197" t="str">
        <f t="shared" si="9"/>
        <v>Adult</v>
      </c>
      <c r="D197" t="s">
        <v>16</v>
      </c>
      <c r="E197" t="s">
        <v>17</v>
      </c>
      <c r="F197" t="s">
        <v>18</v>
      </c>
      <c r="G197">
        <v>107.94</v>
      </c>
      <c r="H197" t="s">
        <v>19</v>
      </c>
      <c r="I197" t="s">
        <v>15</v>
      </c>
      <c r="J197">
        <v>3.8</v>
      </c>
      <c r="K197">
        <v>6</v>
      </c>
      <c r="L197">
        <f t="shared" si="10"/>
        <v>101.46359999999999</v>
      </c>
      <c r="M197">
        <v>3</v>
      </c>
      <c r="N197" t="str">
        <f t="shared" si="11"/>
        <v>New</v>
      </c>
    </row>
    <row r="198" spans="1:14" x14ac:dyDescent="0.35">
      <c r="A198">
        <v>197</v>
      </c>
      <c r="B198">
        <v>31</v>
      </c>
      <c r="C198" t="str">
        <f t="shared" si="9"/>
        <v>Adult</v>
      </c>
      <c r="D198" t="s">
        <v>11</v>
      </c>
      <c r="E198" t="s">
        <v>20</v>
      </c>
      <c r="F198" t="s">
        <v>36</v>
      </c>
      <c r="G198">
        <v>245.72</v>
      </c>
      <c r="H198" t="s">
        <v>24</v>
      </c>
      <c r="I198" t="s">
        <v>15</v>
      </c>
      <c r="J198">
        <v>4.0999999999999996</v>
      </c>
      <c r="K198">
        <v>20</v>
      </c>
      <c r="L198">
        <f t="shared" si="10"/>
        <v>196.57600000000002</v>
      </c>
      <c r="M198">
        <v>5</v>
      </c>
      <c r="N198" t="str">
        <f t="shared" si="11"/>
        <v>Regular</v>
      </c>
    </row>
    <row r="199" spans="1:14" x14ac:dyDescent="0.35">
      <c r="A199">
        <v>198</v>
      </c>
      <c r="B199">
        <v>70</v>
      </c>
      <c r="C199" t="str">
        <f t="shared" si="9"/>
        <v>Senior</v>
      </c>
      <c r="D199" t="s">
        <v>11</v>
      </c>
      <c r="E199" t="s">
        <v>29</v>
      </c>
      <c r="F199" t="s">
        <v>51</v>
      </c>
      <c r="G199">
        <v>79.28</v>
      </c>
      <c r="H199" t="s">
        <v>24</v>
      </c>
      <c r="I199" t="s">
        <v>15</v>
      </c>
      <c r="J199">
        <v>2</v>
      </c>
      <c r="K199">
        <v>12</v>
      </c>
      <c r="L199">
        <f t="shared" si="10"/>
        <v>69.766400000000004</v>
      </c>
      <c r="M199">
        <v>6</v>
      </c>
      <c r="N199" t="str">
        <f t="shared" si="11"/>
        <v>Regular</v>
      </c>
    </row>
    <row r="200" spans="1:14" x14ac:dyDescent="0.35">
      <c r="A200">
        <v>199</v>
      </c>
      <c r="B200">
        <v>68</v>
      </c>
      <c r="C200" t="str">
        <f t="shared" si="9"/>
        <v>Senior</v>
      </c>
      <c r="D200" t="s">
        <v>16</v>
      </c>
      <c r="E200" t="s">
        <v>33</v>
      </c>
      <c r="F200" t="s">
        <v>38</v>
      </c>
      <c r="G200">
        <v>225.53</v>
      </c>
      <c r="H200" t="s">
        <v>19</v>
      </c>
      <c r="I200" t="s">
        <v>15</v>
      </c>
      <c r="J200">
        <v>4.5</v>
      </c>
      <c r="K200">
        <v>13</v>
      </c>
      <c r="L200">
        <f t="shared" si="10"/>
        <v>196.21109999999999</v>
      </c>
      <c r="M200">
        <v>4</v>
      </c>
      <c r="N200" t="str">
        <f t="shared" si="11"/>
        <v>Regular</v>
      </c>
    </row>
    <row r="201" spans="1:14" x14ac:dyDescent="0.35">
      <c r="A201">
        <v>200</v>
      </c>
      <c r="B201">
        <v>29</v>
      </c>
      <c r="C201" t="str">
        <f t="shared" si="9"/>
        <v>Youth</v>
      </c>
      <c r="D201" t="s">
        <v>11</v>
      </c>
      <c r="E201" t="s">
        <v>29</v>
      </c>
      <c r="F201" t="s">
        <v>51</v>
      </c>
      <c r="G201">
        <v>63.34</v>
      </c>
      <c r="H201" t="s">
        <v>31</v>
      </c>
      <c r="I201" t="s">
        <v>15</v>
      </c>
      <c r="J201">
        <v>4.5</v>
      </c>
      <c r="K201">
        <v>17</v>
      </c>
      <c r="L201">
        <f t="shared" si="10"/>
        <v>52.572200000000002</v>
      </c>
      <c r="M201">
        <v>6</v>
      </c>
      <c r="N201" t="str">
        <f t="shared" si="11"/>
        <v>Regular</v>
      </c>
    </row>
    <row r="202" spans="1:14" x14ac:dyDescent="0.35">
      <c r="A202">
        <v>201</v>
      </c>
      <c r="B202">
        <v>20</v>
      </c>
      <c r="C202" t="str">
        <f t="shared" si="9"/>
        <v>Youth</v>
      </c>
      <c r="D202" t="s">
        <v>11</v>
      </c>
      <c r="E202" t="s">
        <v>29</v>
      </c>
      <c r="F202" t="s">
        <v>30</v>
      </c>
      <c r="G202">
        <v>38.57</v>
      </c>
      <c r="H202" t="s">
        <v>19</v>
      </c>
      <c r="I202" t="s">
        <v>15</v>
      </c>
      <c r="J202">
        <v>4.5999999999999996</v>
      </c>
      <c r="K202">
        <v>19</v>
      </c>
      <c r="L202">
        <f t="shared" si="10"/>
        <v>31.241700000000002</v>
      </c>
      <c r="M202">
        <v>7</v>
      </c>
      <c r="N202" t="str">
        <f t="shared" si="11"/>
        <v>Regular</v>
      </c>
    </row>
    <row r="203" spans="1:14" x14ac:dyDescent="0.35">
      <c r="A203">
        <v>202</v>
      </c>
      <c r="B203">
        <v>30</v>
      </c>
      <c r="C203" t="str">
        <f t="shared" si="9"/>
        <v>Youth</v>
      </c>
      <c r="D203" t="s">
        <v>16</v>
      </c>
      <c r="E203" t="s">
        <v>17</v>
      </c>
      <c r="F203" t="s">
        <v>35</v>
      </c>
      <c r="G203">
        <v>128.1</v>
      </c>
      <c r="H203" t="s">
        <v>31</v>
      </c>
      <c r="I203" t="s">
        <v>15</v>
      </c>
      <c r="J203">
        <v>3</v>
      </c>
      <c r="K203">
        <v>12</v>
      </c>
      <c r="L203">
        <f t="shared" si="10"/>
        <v>112.72799999999999</v>
      </c>
      <c r="M203">
        <v>1</v>
      </c>
      <c r="N203" t="str">
        <f t="shared" si="11"/>
        <v>New</v>
      </c>
    </row>
    <row r="204" spans="1:14" x14ac:dyDescent="0.35">
      <c r="A204">
        <v>203</v>
      </c>
      <c r="B204">
        <v>57</v>
      </c>
      <c r="C204" t="str">
        <f t="shared" si="9"/>
        <v>Adult</v>
      </c>
      <c r="D204" t="s">
        <v>11</v>
      </c>
      <c r="E204" t="s">
        <v>29</v>
      </c>
      <c r="F204" t="s">
        <v>30</v>
      </c>
      <c r="G204">
        <v>129.47</v>
      </c>
      <c r="H204" t="s">
        <v>19</v>
      </c>
      <c r="I204" t="s">
        <v>15</v>
      </c>
      <c r="J204">
        <v>4.4000000000000004</v>
      </c>
      <c r="K204">
        <v>15</v>
      </c>
      <c r="L204">
        <f t="shared" si="10"/>
        <v>110.04949999999999</v>
      </c>
      <c r="M204">
        <v>5</v>
      </c>
      <c r="N204" t="str">
        <f t="shared" si="11"/>
        <v>Regular</v>
      </c>
    </row>
    <row r="205" spans="1:14" x14ac:dyDescent="0.35">
      <c r="A205">
        <v>204</v>
      </c>
      <c r="B205">
        <v>46</v>
      </c>
      <c r="C205" t="str">
        <f t="shared" si="9"/>
        <v>Adult</v>
      </c>
      <c r="D205" t="s">
        <v>11</v>
      </c>
      <c r="E205" t="s">
        <v>29</v>
      </c>
      <c r="F205" t="s">
        <v>30</v>
      </c>
      <c r="G205">
        <v>49.38</v>
      </c>
      <c r="H205" t="s">
        <v>19</v>
      </c>
      <c r="I205" t="s">
        <v>37</v>
      </c>
      <c r="J205">
        <v>3.4</v>
      </c>
      <c r="K205">
        <v>19</v>
      </c>
      <c r="L205">
        <f t="shared" si="10"/>
        <v>39.997800000000005</v>
      </c>
      <c r="M205">
        <v>7</v>
      </c>
      <c r="N205" t="str">
        <f t="shared" si="11"/>
        <v>Regular</v>
      </c>
    </row>
    <row r="206" spans="1:14" x14ac:dyDescent="0.35">
      <c r="A206">
        <v>205</v>
      </c>
      <c r="B206">
        <v>55</v>
      </c>
      <c r="C206" t="str">
        <f t="shared" si="9"/>
        <v>Adult</v>
      </c>
      <c r="D206" t="s">
        <v>11</v>
      </c>
      <c r="E206" t="s">
        <v>33</v>
      </c>
      <c r="F206" t="s">
        <v>34</v>
      </c>
      <c r="G206">
        <v>90.81</v>
      </c>
      <c r="H206" t="s">
        <v>14</v>
      </c>
      <c r="I206" t="s">
        <v>15</v>
      </c>
      <c r="J206">
        <v>4.4000000000000004</v>
      </c>
      <c r="K206">
        <v>24</v>
      </c>
      <c r="L206">
        <f t="shared" si="10"/>
        <v>69.015600000000006</v>
      </c>
      <c r="M206">
        <v>7</v>
      </c>
      <c r="N206" t="str">
        <f t="shared" si="11"/>
        <v>Regular</v>
      </c>
    </row>
    <row r="207" spans="1:14" x14ac:dyDescent="0.35">
      <c r="A207">
        <v>206</v>
      </c>
      <c r="B207">
        <v>68</v>
      </c>
      <c r="C207" t="str">
        <f t="shared" si="9"/>
        <v>Senior</v>
      </c>
      <c r="D207" t="s">
        <v>16</v>
      </c>
      <c r="E207" t="s">
        <v>25</v>
      </c>
      <c r="F207" t="s">
        <v>54</v>
      </c>
      <c r="G207">
        <v>63.73</v>
      </c>
      <c r="H207" t="s">
        <v>24</v>
      </c>
      <c r="I207" t="s">
        <v>15</v>
      </c>
      <c r="J207">
        <v>4.5</v>
      </c>
      <c r="K207">
        <v>24</v>
      </c>
      <c r="L207">
        <f t="shared" si="10"/>
        <v>48.434799999999996</v>
      </c>
      <c r="M207">
        <v>7</v>
      </c>
      <c r="N207" t="str">
        <f t="shared" si="11"/>
        <v>Regular</v>
      </c>
    </row>
    <row r="208" spans="1:14" x14ac:dyDescent="0.35">
      <c r="A208">
        <v>207</v>
      </c>
      <c r="B208">
        <v>62</v>
      </c>
      <c r="C208" t="str">
        <f t="shared" si="9"/>
        <v>Senior</v>
      </c>
      <c r="D208" t="s">
        <v>16</v>
      </c>
      <c r="E208" t="s">
        <v>17</v>
      </c>
      <c r="F208" t="s">
        <v>35</v>
      </c>
      <c r="G208">
        <v>127.21</v>
      </c>
      <c r="H208" t="s">
        <v>14</v>
      </c>
      <c r="I208" t="s">
        <v>15</v>
      </c>
      <c r="J208">
        <v>4.9000000000000004</v>
      </c>
      <c r="K208">
        <v>14</v>
      </c>
      <c r="L208">
        <f t="shared" si="10"/>
        <v>109.4006</v>
      </c>
      <c r="M208">
        <v>7</v>
      </c>
      <c r="N208" t="str">
        <f t="shared" si="11"/>
        <v>Regular</v>
      </c>
    </row>
    <row r="209" spans="1:14" x14ac:dyDescent="0.35">
      <c r="A209">
        <v>208</v>
      </c>
      <c r="B209">
        <v>29</v>
      </c>
      <c r="C209" t="str">
        <f t="shared" si="9"/>
        <v>Youth</v>
      </c>
      <c r="D209" t="s">
        <v>16</v>
      </c>
      <c r="E209" t="s">
        <v>25</v>
      </c>
      <c r="F209" t="s">
        <v>26</v>
      </c>
      <c r="G209">
        <v>54.98</v>
      </c>
      <c r="H209" t="s">
        <v>14</v>
      </c>
      <c r="I209" t="s">
        <v>37</v>
      </c>
      <c r="J209">
        <v>2.9</v>
      </c>
      <c r="K209">
        <v>16</v>
      </c>
      <c r="L209">
        <f t="shared" si="10"/>
        <v>46.183199999999992</v>
      </c>
      <c r="M209">
        <v>8</v>
      </c>
      <c r="N209" t="str">
        <f t="shared" si="11"/>
        <v>Loyal</v>
      </c>
    </row>
    <row r="210" spans="1:14" x14ac:dyDescent="0.35">
      <c r="A210">
        <v>209</v>
      </c>
      <c r="B210">
        <v>58</v>
      </c>
      <c r="C210" t="str">
        <f t="shared" si="9"/>
        <v>Adult</v>
      </c>
      <c r="D210" t="s">
        <v>11</v>
      </c>
      <c r="E210" t="s">
        <v>12</v>
      </c>
      <c r="F210" t="s">
        <v>50</v>
      </c>
      <c r="G210">
        <v>37.76</v>
      </c>
      <c r="H210" t="s">
        <v>14</v>
      </c>
      <c r="I210" t="s">
        <v>15</v>
      </c>
      <c r="J210">
        <v>3.5</v>
      </c>
      <c r="K210">
        <v>14</v>
      </c>
      <c r="L210">
        <f t="shared" si="10"/>
        <v>32.473599999999998</v>
      </c>
      <c r="M210">
        <v>2</v>
      </c>
      <c r="N210" t="str">
        <f t="shared" si="11"/>
        <v>New</v>
      </c>
    </row>
    <row r="211" spans="1:14" x14ac:dyDescent="0.35">
      <c r="A211">
        <v>210</v>
      </c>
      <c r="B211">
        <v>50</v>
      </c>
      <c r="C211" t="str">
        <f t="shared" si="9"/>
        <v>Adult</v>
      </c>
      <c r="D211" t="s">
        <v>11</v>
      </c>
      <c r="E211" t="s">
        <v>29</v>
      </c>
      <c r="F211" t="s">
        <v>51</v>
      </c>
      <c r="G211">
        <v>81.400000000000006</v>
      </c>
      <c r="H211" t="s">
        <v>19</v>
      </c>
      <c r="I211" t="s">
        <v>37</v>
      </c>
      <c r="J211">
        <v>4.9000000000000004</v>
      </c>
      <c r="K211">
        <v>20</v>
      </c>
      <c r="L211">
        <f t="shared" si="10"/>
        <v>65.12</v>
      </c>
      <c r="M211">
        <v>5</v>
      </c>
      <c r="N211" t="str">
        <f t="shared" si="11"/>
        <v>Regular</v>
      </c>
    </row>
    <row r="212" spans="1:14" x14ac:dyDescent="0.35">
      <c r="A212">
        <v>211</v>
      </c>
      <c r="B212">
        <v>22</v>
      </c>
      <c r="C212" t="str">
        <f t="shared" si="9"/>
        <v>Youth</v>
      </c>
      <c r="D212" t="s">
        <v>11</v>
      </c>
      <c r="E212" t="s">
        <v>33</v>
      </c>
      <c r="F212" t="s">
        <v>40</v>
      </c>
      <c r="G212">
        <v>183.26</v>
      </c>
      <c r="H212" t="s">
        <v>24</v>
      </c>
      <c r="I212" t="s">
        <v>15</v>
      </c>
      <c r="J212">
        <v>2.4</v>
      </c>
      <c r="K212">
        <v>6</v>
      </c>
      <c r="L212">
        <f t="shared" si="10"/>
        <v>172.26439999999999</v>
      </c>
      <c r="M212">
        <v>3</v>
      </c>
      <c r="N212" t="str">
        <f t="shared" si="11"/>
        <v>New</v>
      </c>
    </row>
    <row r="213" spans="1:14" x14ac:dyDescent="0.35">
      <c r="A213">
        <v>212</v>
      </c>
      <c r="B213">
        <v>29</v>
      </c>
      <c r="C213" t="str">
        <f t="shared" si="9"/>
        <v>Youth</v>
      </c>
      <c r="D213" t="s">
        <v>11</v>
      </c>
      <c r="E213" t="s">
        <v>41</v>
      </c>
      <c r="F213" t="s">
        <v>42</v>
      </c>
      <c r="G213">
        <v>172.51</v>
      </c>
      <c r="H213" t="s">
        <v>14</v>
      </c>
      <c r="I213" t="s">
        <v>15</v>
      </c>
      <c r="J213">
        <v>3.8</v>
      </c>
      <c r="K213">
        <v>13</v>
      </c>
      <c r="L213">
        <f t="shared" si="10"/>
        <v>150.08369999999999</v>
      </c>
      <c r="M213">
        <v>4</v>
      </c>
      <c r="N213" t="str">
        <f t="shared" si="11"/>
        <v>Regular</v>
      </c>
    </row>
    <row r="214" spans="1:14" x14ac:dyDescent="0.35">
      <c r="A214">
        <v>213</v>
      </c>
      <c r="B214">
        <v>43</v>
      </c>
      <c r="C214" t="str">
        <f t="shared" si="9"/>
        <v>Adult</v>
      </c>
      <c r="D214" t="s">
        <v>16</v>
      </c>
      <c r="E214" t="s">
        <v>20</v>
      </c>
      <c r="F214" t="s">
        <v>36</v>
      </c>
      <c r="G214">
        <v>141.78</v>
      </c>
      <c r="H214" t="s">
        <v>24</v>
      </c>
      <c r="I214" t="s">
        <v>15</v>
      </c>
      <c r="J214">
        <v>2.9</v>
      </c>
      <c r="K214">
        <v>24</v>
      </c>
      <c r="L214">
        <f t="shared" si="10"/>
        <v>107.75280000000001</v>
      </c>
      <c r="M214">
        <v>7</v>
      </c>
      <c r="N214" t="str">
        <f t="shared" si="11"/>
        <v>Regular</v>
      </c>
    </row>
    <row r="215" spans="1:14" x14ac:dyDescent="0.35">
      <c r="A215">
        <v>214</v>
      </c>
      <c r="B215">
        <v>25</v>
      </c>
      <c r="C215" t="str">
        <f t="shared" si="9"/>
        <v>Youth</v>
      </c>
      <c r="D215" t="s">
        <v>16</v>
      </c>
      <c r="E215" t="s">
        <v>25</v>
      </c>
      <c r="F215" t="s">
        <v>47</v>
      </c>
      <c r="G215">
        <v>62.99</v>
      </c>
      <c r="H215" t="s">
        <v>14</v>
      </c>
      <c r="I215" t="s">
        <v>15</v>
      </c>
      <c r="J215">
        <v>2.9</v>
      </c>
      <c r="K215">
        <v>16</v>
      </c>
      <c r="L215">
        <f t="shared" si="10"/>
        <v>52.9116</v>
      </c>
      <c r="M215">
        <v>3</v>
      </c>
      <c r="N215" t="str">
        <f t="shared" si="11"/>
        <v>New</v>
      </c>
    </row>
    <row r="216" spans="1:14" x14ac:dyDescent="0.35">
      <c r="A216">
        <v>215</v>
      </c>
      <c r="B216">
        <v>32</v>
      </c>
      <c r="C216" t="str">
        <f t="shared" si="9"/>
        <v>Adult</v>
      </c>
      <c r="D216" t="s">
        <v>16</v>
      </c>
      <c r="E216" t="s">
        <v>33</v>
      </c>
      <c r="F216" t="s">
        <v>40</v>
      </c>
      <c r="G216">
        <v>154.86000000000001</v>
      </c>
      <c r="H216" t="s">
        <v>19</v>
      </c>
      <c r="I216" t="s">
        <v>15</v>
      </c>
      <c r="J216">
        <v>4.0999999999999996</v>
      </c>
      <c r="K216">
        <v>18</v>
      </c>
      <c r="L216">
        <f t="shared" si="10"/>
        <v>126.98520000000002</v>
      </c>
      <c r="M216">
        <v>4</v>
      </c>
      <c r="N216" t="str">
        <f t="shared" si="11"/>
        <v>Regular</v>
      </c>
    </row>
    <row r="217" spans="1:14" x14ac:dyDescent="0.35">
      <c r="A217">
        <v>216</v>
      </c>
      <c r="B217">
        <v>47</v>
      </c>
      <c r="C217" t="str">
        <f t="shared" si="9"/>
        <v>Adult</v>
      </c>
      <c r="D217" t="s">
        <v>16</v>
      </c>
      <c r="E217" t="s">
        <v>33</v>
      </c>
      <c r="F217" t="s">
        <v>34</v>
      </c>
      <c r="G217">
        <v>162.26</v>
      </c>
      <c r="H217" t="s">
        <v>14</v>
      </c>
      <c r="I217" t="s">
        <v>15</v>
      </c>
      <c r="J217">
        <v>4</v>
      </c>
      <c r="K217">
        <v>19</v>
      </c>
      <c r="L217">
        <f t="shared" si="10"/>
        <v>131.4306</v>
      </c>
      <c r="M217">
        <v>7</v>
      </c>
      <c r="N217" t="str">
        <f t="shared" si="11"/>
        <v>Regular</v>
      </c>
    </row>
    <row r="218" spans="1:14" x14ac:dyDescent="0.35">
      <c r="A218">
        <v>217</v>
      </c>
      <c r="B218">
        <v>26</v>
      </c>
      <c r="C218" t="str">
        <f t="shared" si="9"/>
        <v>Youth</v>
      </c>
      <c r="D218" t="s">
        <v>11</v>
      </c>
      <c r="E218" t="s">
        <v>29</v>
      </c>
      <c r="F218" t="s">
        <v>51</v>
      </c>
      <c r="G218">
        <v>60.97</v>
      </c>
      <c r="H218" t="s">
        <v>19</v>
      </c>
      <c r="I218" t="s">
        <v>15</v>
      </c>
      <c r="J218">
        <v>4.5999999999999996</v>
      </c>
      <c r="K218">
        <v>21</v>
      </c>
      <c r="L218">
        <f t="shared" si="10"/>
        <v>48.1663</v>
      </c>
      <c r="M218">
        <v>8</v>
      </c>
      <c r="N218" t="str">
        <f t="shared" si="11"/>
        <v>Loyal</v>
      </c>
    </row>
    <row r="219" spans="1:14" x14ac:dyDescent="0.35">
      <c r="A219">
        <v>218</v>
      </c>
      <c r="B219">
        <v>69</v>
      </c>
      <c r="C219" t="str">
        <f t="shared" si="9"/>
        <v>Senior</v>
      </c>
      <c r="D219" t="s">
        <v>11</v>
      </c>
      <c r="E219" t="s">
        <v>25</v>
      </c>
      <c r="F219" t="s">
        <v>57</v>
      </c>
      <c r="G219">
        <v>52.32</v>
      </c>
      <c r="H219" t="s">
        <v>24</v>
      </c>
      <c r="I219" t="s">
        <v>37</v>
      </c>
      <c r="J219">
        <v>3.6</v>
      </c>
      <c r="K219">
        <v>10</v>
      </c>
      <c r="L219">
        <f t="shared" si="10"/>
        <v>47.088000000000001</v>
      </c>
      <c r="M219">
        <v>5</v>
      </c>
      <c r="N219" t="str">
        <f t="shared" si="11"/>
        <v>Regular</v>
      </c>
    </row>
    <row r="220" spans="1:14" x14ac:dyDescent="0.35">
      <c r="A220">
        <v>219</v>
      </c>
      <c r="B220">
        <v>25</v>
      </c>
      <c r="C220" t="str">
        <f t="shared" si="9"/>
        <v>Youth</v>
      </c>
      <c r="D220" t="s">
        <v>11</v>
      </c>
      <c r="E220" t="s">
        <v>41</v>
      </c>
      <c r="F220" t="s">
        <v>45</v>
      </c>
      <c r="G220">
        <v>122.97</v>
      </c>
      <c r="H220" t="s">
        <v>14</v>
      </c>
      <c r="I220" t="s">
        <v>15</v>
      </c>
      <c r="J220">
        <v>4.3</v>
      </c>
      <c r="K220">
        <v>24</v>
      </c>
      <c r="L220">
        <f t="shared" si="10"/>
        <v>93.4572</v>
      </c>
      <c r="M220">
        <v>7</v>
      </c>
      <c r="N220" t="str">
        <f t="shared" si="11"/>
        <v>Regular</v>
      </c>
    </row>
    <row r="221" spans="1:14" x14ac:dyDescent="0.35">
      <c r="A221">
        <v>220</v>
      </c>
      <c r="B221">
        <v>63</v>
      </c>
      <c r="C221" t="str">
        <f t="shared" si="9"/>
        <v>Senior</v>
      </c>
      <c r="D221" t="s">
        <v>11</v>
      </c>
      <c r="E221" t="s">
        <v>20</v>
      </c>
      <c r="F221" t="s">
        <v>39</v>
      </c>
      <c r="G221">
        <v>245.76</v>
      </c>
      <c r="H221" t="s">
        <v>19</v>
      </c>
      <c r="I221" t="s">
        <v>15</v>
      </c>
      <c r="J221">
        <v>4</v>
      </c>
      <c r="K221">
        <v>13</v>
      </c>
      <c r="L221">
        <f t="shared" si="10"/>
        <v>213.81119999999999</v>
      </c>
      <c r="M221">
        <v>4</v>
      </c>
      <c r="N221" t="str">
        <f t="shared" si="11"/>
        <v>Regular</v>
      </c>
    </row>
    <row r="222" spans="1:14" x14ac:dyDescent="0.35">
      <c r="A222">
        <v>221</v>
      </c>
      <c r="B222">
        <v>45</v>
      </c>
      <c r="C222" t="str">
        <f t="shared" si="9"/>
        <v>Adult</v>
      </c>
      <c r="D222" t="s">
        <v>11</v>
      </c>
      <c r="E222" t="s">
        <v>20</v>
      </c>
      <c r="F222" t="s">
        <v>21</v>
      </c>
      <c r="G222">
        <v>229.28</v>
      </c>
      <c r="H222" t="s">
        <v>14</v>
      </c>
      <c r="I222" t="s">
        <v>15</v>
      </c>
      <c r="J222">
        <v>4.9000000000000004</v>
      </c>
      <c r="K222">
        <v>16</v>
      </c>
      <c r="L222">
        <f t="shared" si="10"/>
        <v>192.59520000000001</v>
      </c>
      <c r="M222">
        <v>8</v>
      </c>
      <c r="N222" t="str">
        <f t="shared" si="11"/>
        <v>Loyal</v>
      </c>
    </row>
    <row r="223" spans="1:14" x14ac:dyDescent="0.35">
      <c r="A223">
        <v>222</v>
      </c>
      <c r="B223">
        <v>43</v>
      </c>
      <c r="C223" t="str">
        <f t="shared" si="9"/>
        <v>Adult</v>
      </c>
      <c r="D223" t="s">
        <v>11</v>
      </c>
      <c r="E223" t="s">
        <v>41</v>
      </c>
      <c r="F223" t="s">
        <v>42</v>
      </c>
      <c r="G223">
        <v>32.06</v>
      </c>
      <c r="H223" t="s">
        <v>31</v>
      </c>
      <c r="I223" t="s">
        <v>15</v>
      </c>
      <c r="J223">
        <v>3.5</v>
      </c>
      <c r="K223">
        <v>7</v>
      </c>
      <c r="L223">
        <f t="shared" si="10"/>
        <v>29.815799999999999</v>
      </c>
      <c r="M223">
        <v>1</v>
      </c>
      <c r="N223" t="str">
        <f t="shared" si="11"/>
        <v>New</v>
      </c>
    </row>
    <row r="224" spans="1:14" x14ac:dyDescent="0.35">
      <c r="A224">
        <v>223</v>
      </c>
      <c r="B224">
        <v>40</v>
      </c>
      <c r="C224" t="str">
        <f t="shared" si="9"/>
        <v>Adult</v>
      </c>
      <c r="D224" t="s">
        <v>11</v>
      </c>
      <c r="E224" t="s">
        <v>33</v>
      </c>
      <c r="F224" t="s">
        <v>34</v>
      </c>
      <c r="G224">
        <v>148.08000000000001</v>
      </c>
      <c r="H224" t="s">
        <v>24</v>
      </c>
      <c r="I224" t="s">
        <v>15</v>
      </c>
      <c r="J224">
        <v>3.7</v>
      </c>
      <c r="K224">
        <v>10</v>
      </c>
      <c r="L224">
        <f t="shared" si="10"/>
        <v>133.27200000000002</v>
      </c>
      <c r="M224">
        <v>5</v>
      </c>
      <c r="N224" t="str">
        <f t="shared" si="11"/>
        <v>Regular</v>
      </c>
    </row>
    <row r="225" spans="1:14" x14ac:dyDescent="0.35">
      <c r="A225">
        <v>224</v>
      </c>
      <c r="B225">
        <v>48</v>
      </c>
      <c r="C225" t="str">
        <f t="shared" si="9"/>
        <v>Adult</v>
      </c>
      <c r="D225" t="s">
        <v>16</v>
      </c>
      <c r="E225" t="s">
        <v>20</v>
      </c>
      <c r="F225" t="s">
        <v>21</v>
      </c>
      <c r="G225">
        <v>32.340000000000003</v>
      </c>
      <c r="H225" t="s">
        <v>24</v>
      </c>
      <c r="I225" t="s">
        <v>37</v>
      </c>
      <c r="J225">
        <v>4.0999999999999996</v>
      </c>
      <c r="K225">
        <v>6</v>
      </c>
      <c r="L225">
        <f t="shared" si="10"/>
        <v>30.399600000000003</v>
      </c>
      <c r="M225">
        <v>3</v>
      </c>
      <c r="N225" t="str">
        <f t="shared" si="11"/>
        <v>New</v>
      </c>
    </row>
    <row r="226" spans="1:14" x14ac:dyDescent="0.35">
      <c r="A226">
        <v>225</v>
      </c>
      <c r="B226">
        <v>39</v>
      </c>
      <c r="C226" t="str">
        <f t="shared" si="9"/>
        <v>Adult</v>
      </c>
      <c r="D226" t="s">
        <v>16</v>
      </c>
      <c r="E226" t="s">
        <v>20</v>
      </c>
      <c r="F226" t="s">
        <v>21</v>
      </c>
      <c r="G226">
        <v>79.09</v>
      </c>
      <c r="H226" t="s">
        <v>24</v>
      </c>
      <c r="I226" t="s">
        <v>15</v>
      </c>
      <c r="J226">
        <v>4</v>
      </c>
      <c r="K226">
        <v>8</v>
      </c>
      <c r="L226">
        <f t="shared" si="10"/>
        <v>72.762800000000013</v>
      </c>
      <c r="M226">
        <v>4</v>
      </c>
      <c r="N226" t="str">
        <f t="shared" si="11"/>
        <v>Regular</v>
      </c>
    </row>
    <row r="227" spans="1:14" x14ac:dyDescent="0.35">
      <c r="A227">
        <v>226</v>
      </c>
      <c r="B227">
        <v>23</v>
      </c>
      <c r="C227" t="str">
        <f t="shared" si="9"/>
        <v>Youth</v>
      </c>
      <c r="D227" t="s">
        <v>16</v>
      </c>
      <c r="E227" t="s">
        <v>20</v>
      </c>
      <c r="F227" t="s">
        <v>39</v>
      </c>
      <c r="G227">
        <v>121.19</v>
      </c>
      <c r="H227" t="s">
        <v>14</v>
      </c>
      <c r="I227" t="s">
        <v>15</v>
      </c>
      <c r="J227">
        <v>3.2</v>
      </c>
      <c r="K227">
        <v>17</v>
      </c>
      <c r="L227">
        <f t="shared" si="10"/>
        <v>100.5877</v>
      </c>
      <c r="M227">
        <v>6</v>
      </c>
      <c r="N227" t="str">
        <f t="shared" si="11"/>
        <v>Regular</v>
      </c>
    </row>
    <row r="228" spans="1:14" x14ac:dyDescent="0.35">
      <c r="A228">
        <v>227</v>
      </c>
      <c r="B228">
        <v>42</v>
      </c>
      <c r="C228" t="str">
        <f t="shared" si="9"/>
        <v>Adult</v>
      </c>
      <c r="D228" t="s">
        <v>11</v>
      </c>
      <c r="E228" t="s">
        <v>41</v>
      </c>
      <c r="F228" t="s">
        <v>42</v>
      </c>
      <c r="G228">
        <v>64.760000000000005</v>
      </c>
      <c r="H228" t="s">
        <v>31</v>
      </c>
      <c r="I228" t="s">
        <v>15</v>
      </c>
      <c r="J228">
        <v>3.7</v>
      </c>
      <c r="K228">
        <v>11</v>
      </c>
      <c r="L228">
        <f t="shared" si="10"/>
        <v>57.636400000000009</v>
      </c>
      <c r="M228">
        <v>3</v>
      </c>
      <c r="N228" t="str">
        <f t="shared" si="11"/>
        <v>New</v>
      </c>
    </row>
    <row r="229" spans="1:14" x14ac:dyDescent="0.35">
      <c r="A229">
        <v>228</v>
      </c>
      <c r="B229">
        <v>43</v>
      </c>
      <c r="C229" t="str">
        <f t="shared" si="9"/>
        <v>Adult</v>
      </c>
      <c r="D229" t="s">
        <v>16</v>
      </c>
      <c r="E229" t="s">
        <v>27</v>
      </c>
      <c r="F229" t="s">
        <v>32</v>
      </c>
      <c r="G229">
        <v>2234.0500000000002</v>
      </c>
      <c r="H229" t="s">
        <v>31</v>
      </c>
      <c r="I229" t="s">
        <v>15</v>
      </c>
      <c r="J229">
        <v>4.2</v>
      </c>
      <c r="K229">
        <v>12</v>
      </c>
      <c r="L229">
        <f t="shared" si="10"/>
        <v>1965.9640000000002</v>
      </c>
      <c r="M229">
        <v>6</v>
      </c>
      <c r="N229" t="str">
        <f t="shared" si="11"/>
        <v>Regular</v>
      </c>
    </row>
    <row r="230" spans="1:14" x14ac:dyDescent="0.35">
      <c r="A230">
        <v>229</v>
      </c>
      <c r="B230">
        <v>60</v>
      </c>
      <c r="C230" t="str">
        <f t="shared" si="9"/>
        <v>Adult</v>
      </c>
      <c r="D230" t="s">
        <v>16</v>
      </c>
      <c r="E230" t="s">
        <v>20</v>
      </c>
      <c r="F230" t="s">
        <v>36</v>
      </c>
      <c r="G230">
        <v>106.49</v>
      </c>
      <c r="H230" t="s">
        <v>31</v>
      </c>
      <c r="I230" t="s">
        <v>15</v>
      </c>
      <c r="J230">
        <v>3.4</v>
      </c>
      <c r="K230">
        <v>16</v>
      </c>
      <c r="L230">
        <f t="shared" si="10"/>
        <v>89.451599999999999</v>
      </c>
      <c r="M230">
        <v>3</v>
      </c>
      <c r="N230" t="str">
        <f t="shared" si="11"/>
        <v>New</v>
      </c>
    </row>
    <row r="231" spans="1:14" x14ac:dyDescent="0.35">
      <c r="A231">
        <v>230</v>
      </c>
      <c r="B231">
        <v>55</v>
      </c>
      <c r="C231" t="str">
        <f t="shared" si="9"/>
        <v>Adult</v>
      </c>
      <c r="D231" t="s">
        <v>16</v>
      </c>
      <c r="E231" t="s">
        <v>27</v>
      </c>
      <c r="F231" t="s">
        <v>53</v>
      </c>
      <c r="G231">
        <v>2024.08</v>
      </c>
      <c r="H231" t="s">
        <v>31</v>
      </c>
      <c r="I231" t="s">
        <v>15</v>
      </c>
      <c r="J231">
        <v>3.2</v>
      </c>
      <c r="K231">
        <v>18</v>
      </c>
      <c r="L231">
        <f t="shared" si="10"/>
        <v>1659.7456</v>
      </c>
      <c r="M231">
        <v>4</v>
      </c>
      <c r="N231" t="str">
        <f t="shared" si="11"/>
        <v>Regular</v>
      </c>
    </row>
    <row r="232" spans="1:14" x14ac:dyDescent="0.35">
      <c r="A232">
        <v>231</v>
      </c>
      <c r="B232">
        <v>55</v>
      </c>
      <c r="C232" t="str">
        <f t="shared" si="9"/>
        <v>Adult</v>
      </c>
      <c r="D232" t="s">
        <v>16</v>
      </c>
      <c r="E232" t="s">
        <v>17</v>
      </c>
      <c r="F232" t="s">
        <v>18</v>
      </c>
      <c r="G232">
        <v>122.22</v>
      </c>
      <c r="H232" t="s">
        <v>31</v>
      </c>
      <c r="I232" t="s">
        <v>15</v>
      </c>
      <c r="J232">
        <v>4.0999999999999996</v>
      </c>
      <c r="K232">
        <v>13</v>
      </c>
      <c r="L232">
        <f t="shared" si="10"/>
        <v>106.3314</v>
      </c>
      <c r="M232">
        <v>4</v>
      </c>
      <c r="N232" t="str">
        <f t="shared" si="11"/>
        <v>Regular</v>
      </c>
    </row>
    <row r="233" spans="1:14" x14ac:dyDescent="0.35">
      <c r="A233">
        <v>232</v>
      </c>
      <c r="B233">
        <v>51</v>
      </c>
      <c r="C233" t="str">
        <f t="shared" si="9"/>
        <v>Adult</v>
      </c>
      <c r="D233" t="s">
        <v>11</v>
      </c>
      <c r="E233" t="s">
        <v>29</v>
      </c>
      <c r="F233" t="s">
        <v>30</v>
      </c>
      <c r="G233">
        <v>112.88</v>
      </c>
      <c r="H233" t="s">
        <v>14</v>
      </c>
      <c r="I233" t="s">
        <v>15</v>
      </c>
      <c r="J233">
        <v>4.9000000000000004</v>
      </c>
      <c r="K233">
        <v>22</v>
      </c>
      <c r="L233">
        <f t="shared" si="10"/>
        <v>88.046400000000006</v>
      </c>
      <c r="M233">
        <v>6</v>
      </c>
      <c r="N233" t="str">
        <f t="shared" si="11"/>
        <v>Regular</v>
      </c>
    </row>
    <row r="234" spans="1:14" x14ac:dyDescent="0.35">
      <c r="A234">
        <v>233</v>
      </c>
      <c r="B234">
        <v>58</v>
      </c>
      <c r="C234" t="str">
        <f t="shared" si="9"/>
        <v>Adult</v>
      </c>
      <c r="D234" t="s">
        <v>16</v>
      </c>
      <c r="E234" t="s">
        <v>33</v>
      </c>
      <c r="F234" t="s">
        <v>38</v>
      </c>
      <c r="G234">
        <v>66.28</v>
      </c>
      <c r="H234" t="s">
        <v>24</v>
      </c>
      <c r="I234" t="s">
        <v>37</v>
      </c>
      <c r="J234">
        <v>2.7</v>
      </c>
      <c r="K234">
        <v>6</v>
      </c>
      <c r="L234">
        <f t="shared" si="10"/>
        <v>62.303199999999997</v>
      </c>
      <c r="M234">
        <v>3</v>
      </c>
      <c r="N234" t="str">
        <f t="shared" si="11"/>
        <v>New</v>
      </c>
    </row>
    <row r="235" spans="1:14" x14ac:dyDescent="0.35">
      <c r="A235">
        <v>234</v>
      </c>
      <c r="B235">
        <v>22</v>
      </c>
      <c r="C235" t="str">
        <f t="shared" si="9"/>
        <v>Youth</v>
      </c>
      <c r="D235" t="s">
        <v>16</v>
      </c>
      <c r="E235" t="s">
        <v>20</v>
      </c>
      <c r="F235" t="s">
        <v>39</v>
      </c>
      <c r="G235">
        <v>122.95</v>
      </c>
      <c r="H235" t="s">
        <v>14</v>
      </c>
      <c r="I235" t="s">
        <v>15</v>
      </c>
      <c r="J235">
        <v>3.1</v>
      </c>
      <c r="K235">
        <v>22</v>
      </c>
      <c r="L235">
        <f t="shared" si="10"/>
        <v>95.90100000000001</v>
      </c>
      <c r="M235">
        <v>6</v>
      </c>
      <c r="N235" t="str">
        <f t="shared" si="11"/>
        <v>Regular</v>
      </c>
    </row>
    <row r="236" spans="1:14" x14ac:dyDescent="0.35">
      <c r="A236">
        <v>235</v>
      </c>
      <c r="B236">
        <v>54</v>
      </c>
      <c r="C236" t="str">
        <f t="shared" si="9"/>
        <v>Adult</v>
      </c>
      <c r="D236" t="s">
        <v>11</v>
      </c>
      <c r="E236" t="s">
        <v>29</v>
      </c>
      <c r="F236" t="s">
        <v>51</v>
      </c>
      <c r="G236">
        <v>129.63</v>
      </c>
      <c r="H236" t="s">
        <v>19</v>
      </c>
      <c r="I236" t="s">
        <v>15</v>
      </c>
      <c r="J236">
        <v>5</v>
      </c>
      <c r="K236">
        <v>10</v>
      </c>
      <c r="L236">
        <f t="shared" si="10"/>
        <v>116.667</v>
      </c>
      <c r="M236">
        <v>5</v>
      </c>
      <c r="N236" t="str">
        <f t="shared" si="11"/>
        <v>Regular</v>
      </c>
    </row>
    <row r="237" spans="1:14" x14ac:dyDescent="0.35">
      <c r="A237">
        <v>236</v>
      </c>
      <c r="B237">
        <v>59</v>
      </c>
      <c r="C237" t="str">
        <f t="shared" si="9"/>
        <v>Adult</v>
      </c>
      <c r="D237" t="s">
        <v>16</v>
      </c>
      <c r="E237" t="s">
        <v>17</v>
      </c>
      <c r="F237" t="s">
        <v>48</v>
      </c>
      <c r="G237">
        <v>191.92</v>
      </c>
      <c r="H237" t="s">
        <v>14</v>
      </c>
      <c r="I237" t="s">
        <v>15</v>
      </c>
      <c r="J237">
        <v>3.9</v>
      </c>
      <c r="K237">
        <v>21</v>
      </c>
      <c r="L237">
        <f t="shared" si="10"/>
        <v>151.61679999999998</v>
      </c>
      <c r="M237">
        <v>8</v>
      </c>
      <c r="N237" t="str">
        <f t="shared" si="11"/>
        <v>Loyal</v>
      </c>
    </row>
    <row r="238" spans="1:14" x14ac:dyDescent="0.35">
      <c r="A238">
        <v>237</v>
      </c>
      <c r="B238">
        <v>22</v>
      </c>
      <c r="C238" t="str">
        <f t="shared" si="9"/>
        <v>Youth</v>
      </c>
      <c r="D238" t="s">
        <v>11</v>
      </c>
      <c r="E238" t="s">
        <v>12</v>
      </c>
      <c r="F238" t="s">
        <v>50</v>
      </c>
      <c r="G238">
        <v>21.95</v>
      </c>
      <c r="H238" t="s">
        <v>24</v>
      </c>
      <c r="I238" t="s">
        <v>37</v>
      </c>
      <c r="J238">
        <v>3.6</v>
      </c>
      <c r="K238">
        <v>16</v>
      </c>
      <c r="L238">
        <f t="shared" si="10"/>
        <v>18.437999999999999</v>
      </c>
      <c r="M238">
        <v>3</v>
      </c>
      <c r="N238" t="str">
        <f t="shared" si="11"/>
        <v>New</v>
      </c>
    </row>
    <row r="239" spans="1:14" x14ac:dyDescent="0.35">
      <c r="A239">
        <v>238</v>
      </c>
      <c r="B239">
        <v>24</v>
      </c>
      <c r="C239" t="str">
        <f t="shared" si="9"/>
        <v>Youth</v>
      </c>
      <c r="D239" t="s">
        <v>16</v>
      </c>
      <c r="E239" t="s">
        <v>27</v>
      </c>
      <c r="F239" t="s">
        <v>28</v>
      </c>
      <c r="G239">
        <v>1117.83</v>
      </c>
      <c r="H239" t="s">
        <v>31</v>
      </c>
      <c r="I239" t="s">
        <v>15</v>
      </c>
      <c r="J239">
        <v>2.9</v>
      </c>
      <c r="K239">
        <v>13</v>
      </c>
      <c r="L239">
        <f t="shared" si="10"/>
        <v>972.51209999999992</v>
      </c>
      <c r="M239">
        <v>4</v>
      </c>
      <c r="N239" t="str">
        <f t="shared" si="11"/>
        <v>Regular</v>
      </c>
    </row>
    <row r="240" spans="1:14" x14ac:dyDescent="0.35">
      <c r="A240">
        <v>239</v>
      </c>
      <c r="B240">
        <v>58</v>
      </c>
      <c r="C240" t="str">
        <f t="shared" si="9"/>
        <v>Adult</v>
      </c>
      <c r="D240" t="s">
        <v>11</v>
      </c>
      <c r="E240" t="s">
        <v>33</v>
      </c>
      <c r="F240" t="s">
        <v>34</v>
      </c>
      <c r="G240">
        <v>194.03</v>
      </c>
      <c r="H240" t="s">
        <v>19</v>
      </c>
      <c r="I240" t="s">
        <v>15</v>
      </c>
      <c r="J240">
        <v>3</v>
      </c>
      <c r="K240">
        <v>21</v>
      </c>
      <c r="L240">
        <f t="shared" si="10"/>
        <v>153.28370000000001</v>
      </c>
      <c r="M240">
        <v>8</v>
      </c>
      <c r="N240" t="str">
        <f t="shared" si="11"/>
        <v>Loyal</v>
      </c>
    </row>
    <row r="241" spans="1:14" x14ac:dyDescent="0.35">
      <c r="A241">
        <v>240</v>
      </c>
      <c r="B241">
        <v>24</v>
      </c>
      <c r="C241" t="str">
        <f t="shared" si="9"/>
        <v>Youth</v>
      </c>
      <c r="D241" t="s">
        <v>11</v>
      </c>
      <c r="E241" t="s">
        <v>29</v>
      </c>
      <c r="F241" t="s">
        <v>51</v>
      </c>
      <c r="G241">
        <v>111.59</v>
      </c>
      <c r="H241" t="s">
        <v>31</v>
      </c>
      <c r="I241" t="s">
        <v>15</v>
      </c>
      <c r="J241">
        <v>3.7</v>
      </c>
      <c r="K241">
        <v>8</v>
      </c>
      <c r="L241">
        <f t="shared" si="10"/>
        <v>102.6628</v>
      </c>
      <c r="M241">
        <v>4</v>
      </c>
      <c r="N241" t="str">
        <f t="shared" si="11"/>
        <v>Regular</v>
      </c>
    </row>
    <row r="242" spans="1:14" x14ac:dyDescent="0.35">
      <c r="A242">
        <v>241</v>
      </c>
      <c r="B242">
        <v>35</v>
      </c>
      <c r="C242" t="str">
        <f t="shared" si="9"/>
        <v>Adult</v>
      </c>
      <c r="D242" t="s">
        <v>11</v>
      </c>
      <c r="E242" t="s">
        <v>41</v>
      </c>
      <c r="F242" t="s">
        <v>45</v>
      </c>
      <c r="G242">
        <v>194.65</v>
      </c>
      <c r="H242" t="s">
        <v>14</v>
      </c>
      <c r="I242" t="s">
        <v>15</v>
      </c>
      <c r="J242">
        <v>3.6</v>
      </c>
      <c r="K242">
        <v>9</v>
      </c>
      <c r="L242">
        <f t="shared" si="10"/>
        <v>177.13150000000002</v>
      </c>
      <c r="M242">
        <v>2</v>
      </c>
      <c r="N242" t="str">
        <f t="shared" si="11"/>
        <v>New</v>
      </c>
    </row>
    <row r="243" spans="1:14" x14ac:dyDescent="0.35">
      <c r="A243">
        <v>242</v>
      </c>
      <c r="B243">
        <v>63</v>
      </c>
      <c r="C243" t="str">
        <f t="shared" si="9"/>
        <v>Senior</v>
      </c>
      <c r="D243" t="s">
        <v>16</v>
      </c>
      <c r="E243" t="s">
        <v>33</v>
      </c>
      <c r="F243" t="s">
        <v>34</v>
      </c>
      <c r="G243">
        <v>96.15</v>
      </c>
      <c r="H243" t="s">
        <v>24</v>
      </c>
      <c r="I243" t="s">
        <v>15</v>
      </c>
      <c r="J243">
        <v>3.2</v>
      </c>
      <c r="K243">
        <v>9</v>
      </c>
      <c r="L243">
        <f t="shared" si="10"/>
        <v>87.496500000000012</v>
      </c>
      <c r="M243">
        <v>2</v>
      </c>
      <c r="N243" t="str">
        <f t="shared" si="11"/>
        <v>New</v>
      </c>
    </row>
    <row r="244" spans="1:14" x14ac:dyDescent="0.35">
      <c r="A244">
        <v>243</v>
      </c>
      <c r="B244">
        <v>51</v>
      </c>
      <c r="C244" t="str">
        <f t="shared" si="9"/>
        <v>Adult</v>
      </c>
      <c r="D244" t="s">
        <v>11</v>
      </c>
      <c r="E244" t="s">
        <v>12</v>
      </c>
      <c r="F244" t="s">
        <v>50</v>
      </c>
      <c r="G244">
        <v>115.63</v>
      </c>
      <c r="H244" t="s">
        <v>24</v>
      </c>
      <c r="I244" t="s">
        <v>15</v>
      </c>
      <c r="J244">
        <v>2.9</v>
      </c>
      <c r="K244">
        <v>19</v>
      </c>
      <c r="L244">
        <f t="shared" si="10"/>
        <v>93.660300000000007</v>
      </c>
      <c r="M244">
        <v>7</v>
      </c>
      <c r="N244" t="str">
        <f t="shared" si="11"/>
        <v>Regular</v>
      </c>
    </row>
    <row r="245" spans="1:14" x14ac:dyDescent="0.35">
      <c r="A245">
        <v>244</v>
      </c>
      <c r="B245">
        <v>47</v>
      </c>
      <c r="C245" t="str">
        <f t="shared" si="9"/>
        <v>Adult</v>
      </c>
      <c r="D245" t="s">
        <v>16</v>
      </c>
      <c r="E245" t="s">
        <v>20</v>
      </c>
      <c r="F245" t="s">
        <v>21</v>
      </c>
      <c r="G245">
        <v>146.94999999999999</v>
      </c>
      <c r="H245" t="s">
        <v>19</v>
      </c>
      <c r="I245" t="s">
        <v>15</v>
      </c>
      <c r="J245">
        <v>5</v>
      </c>
      <c r="K245">
        <v>24</v>
      </c>
      <c r="L245">
        <f t="shared" si="10"/>
        <v>111.68199999999999</v>
      </c>
      <c r="M245">
        <v>7</v>
      </c>
      <c r="N245" t="str">
        <f t="shared" si="11"/>
        <v>Regular</v>
      </c>
    </row>
    <row r="246" spans="1:14" x14ac:dyDescent="0.35">
      <c r="A246">
        <v>245</v>
      </c>
      <c r="B246">
        <v>69</v>
      </c>
      <c r="C246" t="str">
        <f t="shared" si="9"/>
        <v>Senior</v>
      </c>
      <c r="D246" t="s">
        <v>16</v>
      </c>
      <c r="E246" t="s">
        <v>27</v>
      </c>
      <c r="F246" t="s">
        <v>53</v>
      </c>
      <c r="G246">
        <v>2517.9699999999998</v>
      </c>
      <c r="H246" t="s">
        <v>14</v>
      </c>
      <c r="I246" t="s">
        <v>15</v>
      </c>
      <c r="J246">
        <v>4.3</v>
      </c>
      <c r="K246">
        <v>28</v>
      </c>
      <c r="L246">
        <f t="shared" si="10"/>
        <v>1812.9383999999998</v>
      </c>
      <c r="M246">
        <v>9</v>
      </c>
      <c r="N246" t="str">
        <f t="shared" si="11"/>
        <v>Loyal</v>
      </c>
    </row>
    <row r="247" spans="1:14" x14ac:dyDescent="0.35">
      <c r="A247">
        <v>246</v>
      </c>
      <c r="B247">
        <v>66</v>
      </c>
      <c r="C247" t="str">
        <f t="shared" si="9"/>
        <v>Senior</v>
      </c>
      <c r="D247" t="s">
        <v>11</v>
      </c>
      <c r="E247" t="s">
        <v>29</v>
      </c>
      <c r="F247" t="s">
        <v>51</v>
      </c>
      <c r="G247">
        <v>55.2</v>
      </c>
      <c r="H247" t="s">
        <v>31</v>
      </c>
      <c r="I247" t="s">
        <v>15</v>
      </c>
      <c r="J247">
        <v>3.6</v>
      </c>
      <c r="K247">
        <v>11</v>
      </c>
      <c r="L247">
        <f t="shared" si="10"/>
        <v>49.128</v>
      </c>
      <c r="M247">
        <v>3</v>
      </c>
      <c r="N247" t="str">
        <f t="shared" si="11"/>
        <v>New</v>
      </c>
    </row>
    <row r="248" spans="1:14" x14ac:dyDescent="0.35">
      <c r="A248">
        <v>247</v>
      </c>
      <c r="B248">
        <v>35</v>
      </c>
      <c r="C248" t="str">
        <f t="shared" si="9"/>
        <v>Adult</v>
      </c>
      <c r="D248" t="s">
        <v>11</v>
      </c>
      <c r="E248" t="s">
        <v>12</v>
      </c>
      <c r="F248" t="s">
        <v>56</v>
      </c>
      <c r="G248">
        <v>161.59</v>
      </c>
      <c r="H248" t="s">
        <v>19</v>
      </c>
      <c r="I248" t="s">
        <v>15</v>
      </c>
      <c r="J248">
        <v>3.4</v>
      </c>
      <c r="K248">
        <v>22</v>
      </c>
      <c r="L248">
        <f t="shared" si="10"/>
        <v>126.04020000000001</v>
      </c>
      <c r="M248">
        <v>6</v>
      </c>
      <c r="N248" t="str">
        <f t="shared" si="11"/>
        <v>Regular</v>
      </c>
    </row>
    <row r="249" spans="1:14" x14ac:dyDescent="0.35">
      <c r="A249">
        <v>248</v>
      </c>
      <c r="B249">
        <v>36</v>
      </c>
      <c r="C249" t="str">
        <f t="shared" si="9"/>
        <v>Adult</v>
      </c>
      <c r="D249" t="s">
        <v>16</v>
      </c>
      <c r="E249" t="s">
        <v>33</v>
      </c>
      <c r="F249" t="s">
        <v>40</v>
      </c>
      <c r="G249">
        <v>110.06</v>
      </c>
      <c r="H249" t="s">
        <v>19</v>
      </c>
      <c r="I249" t="s">
        <v>15</v>
      </c>
      <c r="J249">
        <v>3.9</v>
      </c>
      <c r="K249">
        <v>19</v>
      </c>
      <c r="L249">
        <f t="shared" si="10"/>
        <v>89.148600000000002</v>
      </c>
      <c r="M249">
        <v>7</v>
      </c>
      <c r="N249" t="str">
        <f t="shared" si="11"/>
        <v>Regular</v>
      </c>
    </row>
    <row r="250" spans="1:14" x14ac:dyDescent="0.35">
      <c r="A250">
        <v>249</v>
      </c>
      <c r="B250">
        <v>59</v>
      </c>
      <c r="C250" t="str">
        <f t="shared" si="9"/>
        <v>Adult</v>
      </c>
      <c r="D250" t="s">
        <v>11</v>
      </c>
      <c r="E250" t="s">
        <v>12</v>
      </c>
      <c r="F250" t="s">
        <v>13</v>
      </c>
      <c r="G250">
        <v>145.44</v>
      </c>
      <c r="H250" t="s">
        <v>31</v>
      </c>
      <c r="I250" t="s">
        <v>15</v>
      </c>
      <c r="J250">
        <v>4.5</v>
      </c>
      <c r="K250">
        <v>22</v>
      </c>
      <c r="L250">
        <f t="shared" si="10"/>
        <v>113.4432</v>
      </c>
      <c r="M250">
        <v>6</v>
      </c>
      <c r="N250" t="str">
        <f t="shared" si="11"/>
        <v>Regular</v>
      </c>
    </row>
    <row r="251" spans="1:14" x14ac:dyDescent="0.35">
      <c r="A251">
        <v>250</v>
      </c>
      <c r="B251">
        <v>20</v>
      </c>
      <c r="C251" t="str">
        <f t="shared" si="9"/>
        <v>Youth</v>
      </c>
      <c r="D251" t="s">
        <v>16</v>
      </c>
      <c r="E251" t="s">
        <v>17</v>
      </c>
      <c r="F251" t="s">
        <v>42</v>
      </c>
      <c r="G251">
        <v>99.49</v>
      </c>
      <c r="H251" t="s">
        <v>14</v>
      </c>
      <c r="I251" t="s">
        <v>37</v>
      </c>
      <c r="J251">
        <v>3.8</v>
      </c>
      <c r="K251">
        <v>18</v>
      </c>
      <c r="L251">
        <f t="shared" si="10"/>
        <v>81.581800000000001</v>
      </c>
      <c r="M251">
        <v>9</v>
      </c>
      <c r="N251" t="str">
        <f t="shared" si="11"/>
        <v>Loyal</v>
      </c>
    </row>
    <row r="252" spans="1:14" x14ac:dyDescent="0.35">
      <c r="A252">
        <v>251</v>
      </c>
      <c r="B252">
        <v>46</v>
      </c>
      <c r="C252" t="str">
        <f t="shared" si="9"/>
        <v>Adult</v>
      </c>
      <c r="D252" t="s">
        <v>11</v>
      </c>
      <c r="E252" t="s">
        <v>29</v>
      </c>
      <c r="F252" t="s">
        <v>55</v>
      </c>
      <c r="G252">
        <v>116.53</v>
      </c>
      <c r="H252" t="s">
        <v>24</v>
      </c>
      <c r="I252" t="s">
        <v>15</v>
      </c>
      <c r="J252">
        <v>4.2</v>
      </c>
      <c r="K252">
        <v>12</v>
      </c>
      <c r="L252">
        <f t="shared" si="10"/>
        <v>102.54640000000001</v>
      </c>
      <c r="M252">
        <v>6</v>
      </c>
      <c r="N252" t="str">
        <f t="shared" si="11"/>
        <v>Regular</v>
      </c>
    </row>
    <row r="253" spans="1:14" x14ac:dyDescent="0.35">
      <c r="A253">
        <v>252</v>
      </c>
      <c r="B253">
        <v>68</v>
      </c>
      <c r="C253" t="str">
        <f t="shared" si="9"/>
        <v>Senior</v>
      </c>
      <c r="D253" t="s">
        <v>16</v>
      </c>
      <c r="E253" t="s">
        <v>17</v>
      </c>
      <c r="F253" t="s">
        <v>48</v>
      </c>
      <c r="G253">
        <v>170.91</v>
      </c>
      <c r="H253" t="s">
        <v>24</v>
      </c>
      <c r="I253" t="s">
        <v>15</v>
      </c>
      <c r="J253">
        <v>3.8</v>
      </c>
      <c r="K253">
        <v>14</v>
      </c>
      <c r="L253">
        <f t="shared" si="10"/>
        <v>146.98259999999999</v>
      </c>
      <c r="M253">
        <v>7</v>
      </c>
      <c r="N253" t="str">
        <f t="shared" si="11"/>
        <v>Regular</v>
      </c>
    </row>
    <row r="254" spans="1:14" x14ac:dyDescent="0.35">
      <c r="A254">
        <v>253</v>
      </c>
      <c r="B254">
        <v>66</v>
      </c>
      <c r="C254" t="str">
        <f t="shared" si="9"/>
        <v>Senior</v>
      </c>
      <c r="D254" t="s">
        <v>16</v>
      </c>
      <c r="E254" t="s">
        <v>20</v>
      </c>
      <c r="F254" t="s">
        <v>36</v>
      </c>
      <c r="G254">
        <v>111.58</v>
      </c>
      <c r="H254" t="s">
        <v>14</v>
      </c>
      <c r="I254" t="s">
        <v>15</v>
      </c>
      <c r="J254">
        <v>3.4</v>
      </c>
      <c r="K254">
        <v>21</v>
      </c>
      <c r="L254">
        <f t="shared" si="10"/>
        <v>88.148200000000003</v>
      </c>
      <c r="M254">
        <v>8</v>
      </c>
      <c r="N254" t="str">
        <f t="shared" si="11"/>
        <v>Loyal</v>
      </c>
    </row>
    <row r="255" spans="1:14" x14ac:dyDescent="0.35">
      <c r="A255">
        <v>254</v>
      </c>
      <c r="B255">
        <v>70</v>
      </c>
      <c r="C255" t="str">
        <f t="shared" si="9"/>
        <v>Senior</v>
      </c>
      <c r="D255" t="s">
        <v>11</v>
      </c>
      <c r="E255" t="s">
        <v>22</v>
      </c>
      <c r="F255" t="s">
        <v>52</v>
      </c>
      <c r="G255">
        <v>96.25</v>
      </c>
      <c r="H255" t="s">
        <v>14</v>
      </c>
      <c r="I255" t="s">
        <v>37</v>
      </c>
      <c r="J255">
        <v>2.9</v>
      </c>
      <c r="K255">
        <v>14</v>
      </c>
      <c r="L255">
        <f t="shared" si="10"/>
        <v>82.775000000000006</v>
      </c>
      <c r="M255">
        <v>2</v>
      </c>
      <c r="N255" t="str">
        <f t="shared" si="11"/>
        <v>New</v>
      </c>
    </row>
    <row r="256" spans="1:14" x14ac:dyDescent="0.35">
      <c r="A256">
        <v>255</v>
      </c>
      <c r="B256">
        <v>43</v>
      </c>
      <c r="C256" t="str">
        <f t="shared" si="9"/>
        <v>Adult</v>
      </c>
      <c r="D256" t="s">
        <v>11</v>
      </c>
      <c r="E256" t="s">
        <v>29</v>
      </c>
      <c r="F256" t="s">
        <v>30</v>
      </c>
      <c r="G256">
        <v>118</v>
      </c>
      <c r="H256" t="s">
        <v>24</v>
      </c>
      <c r="I256" t="s">
        <v>15</v>
      </c>
      <c r="J256">
        <v>4.0999999999999996</v>
      </c>
      <c r="K256">
        <v>12</v>
      </c>
      <c r="L256">
        <f t="shared" si="10"/>
        <v>103.84</v>
      </c>
      <c r="M256">
        <v>6</v>
      </c>
      <c r="N256" t="str">
        <f t="shared" si="11"/>
        <v>Regular</v>
      </c>
    </row>
    <row r="257" spans="1:14" x14ac:dyDescent="0.35">
      <c r="A257">
        <v>256</v>
      </c>
      <c r="B257">
        <v>67</v>
      </c>
      <c r="C257" t="str">
        <f t="shared" si="9"/>
        <v>Senior</v>
      </c>
      <c r="D257" t="s">
        <v>16</v>
      </c>
      <c r="E257" t="s">
        <v>27</v>
      </c>
      <c r="F257" t="s">
        <v>49</v>
      </c>
      <c r="G257">
        <v>1597.74</v>
      </c>
      <c r="H257" t="s">
        <v>31</v>
      </c>
      <c r="I257" t="s">
        <v>15</v>
      </c>
      <c r="J257">
        <v>5</v>
      </c>
      <c r="K257">
        <v>30</v>
      </c>
      <c r="L257">
        <f t="shared" si="10"/>
        <v>1118.4179999999999</v>
      </c>
      <c r="M257">
        <v>10</v>
      </c>
      <c r="N257" t="str">
        <f t="shared" si="11"/>
        <v>Loyal</v>
      </c>
    </row>
    <row r="258" spans="1:14" x14ac:dyDescent="0.35">
      <c r="A258">
        <v>257</v>
      </c>
      <c r="B258">
        <v>48</v>
      </c>
      <c r="C258" t="str">
        <f t="shared" si="9"/>
        <v>Adult</v>
      </c>
      <c r="D258" t="s">
        <v>16</v>
      </c>
      <c r="E258" t="s">
        <v>17</v>
      </c>
      <c r="F258" t="s">
        <v>35</v>
      </c>
      <c r="G258">
        <v>179.87</v>
      </c>
      <c r="H258" t="s">
        <v>31</v>
      </c>
      <c r="I258" t="s">
        <v>15</v>
      </c>
      <c r="J258">
        <v>3.7</v>
      </c>
      <c r="K258">
        <v>17</v>
      </c>
      <c r="L258">
        <f t="shared" si="10"/>
        <v>149.2921</v>
      </c>
      <c r="M258">
        <v>6</v>
      </c>
      <c r="N258" t="str">
        <f t="shared" si="11"/>
        <v>Regular</v>
      </c>
    </row>
    <row r="259" spans="1:14" x14ac:dyDescent="0.35">
      <c r="A259">
        <v>258</v>
      </c>
      <c r="B259">
        <v>38</v>
      </c>
      <c r="C259" t="str">
        <f t="shared" ref="C259:C322" si="12">IF(B259&lt;=30,"Youth",IF(B259&lt;=45,"Adult",IF(B259&lt;=60,"Adult","Senior")))</f>
        <v>Adult</v>
      </c>
      <c r="D259" t="s">
        <v>11</v>
      </c>
      <c r="E259" t="s">
        <v>12</v>
      </c>
      <c r="F259" t="s">
        <v>50</v>
      </c>
      <c r="G259">
        <v>22.14</v>
      </c>
      <c r="H259" t="s">
        <v>14</v>
      </c>
      <c r="I259" t="s">
        <v>37</v>
      </c>
      <c r="J259">
        <v>4.7</v>
      </c>
      <c r="K259">
        <v>9</v>
      </c>
      <c r="L259">
        <f t="shared" ref="L259:L322" si="13">G259*(1-K259/100)</f>
        <v>20.147400000000001</v>
      </c>
      <c r="M259">
        <v>2</v>
      </c>
      <c r="N259" t="str">
        <f t="shared" ref="N259:N322" si="14">IF(M259&lt;=3,"New",IF(M259&lt;=7,"Regular","Loyal"))</f>
        <v>New</v>
      </c>
    </row>
    <row r="260" spans="1:14" x14ac:dyDescent="0.35">
      <c r="A260">
        <v>259</v>
      </c>
      <c r="B260">
        <v>41</v>
      </c>
      <c r="C260" t="str">
        <f t="shared" si="12"/>
        <v>Adult</v>
      </c>
      <c r="D260" t="s">
        <v>11</v>
      </c>
      <c r="E260" t="s">
        <v>29</v>
      </c>
      <c r="F260" t="s">
        <v>30</v>
      </c>
      <c r="G260">
        <v>28.65</v>
      </c>
      <c r="H260" t="s">
        <v>31</v>
      </c>
      <c r="I260" t="s">
        <v>15</v>
      </c>
      <c r="J260">
        <v>2.2999999999999998</v>
      </c>
      <c r="K260">
        <v>8</v>
      </c>
      <c r="L260">
        <f t="shared" si="13"/>
        <v>26.358000000000001</v>
      </c>
      <c r="M260">
        <v>4</v>
      </c>
      <c r="N260" t="str">
        <f t="shared" si="14"/>
        <v>Regular</v>
      </c>
    </row>
    <row r="261" spans="1:14" x14ac:dyDescent="0.35">
      <c r="A261">
        <v>260</v>
      </c>
      <c r="B261">
        <v>33</v>
      </c>
      <c r="C261" t="str">
        <f t="shared" si="12"/>
        <v>Adult</v>
      </c>
      <c r="D261" t="s">
        <v>11</v>
      </c>
      <c r="E261" t="s">
        <v>12</v>
      </c>
      <c r="F261" t="s">
        <v>56</v>
      </c>
      <c r="G261">
        <v>79.92</v>
      </c>
      <c r="H261" t="s">
        <v>31</v>
      </c>
      <c r="I261" t="s">
        <v>37</v>
      </c>
      <c r="J261">
        <v>4.2</v>
      </c>
      <c r="K261">
        <v>14</v>
      </c>
      <c r="L261">
        <f t="shared" si="13"/>
        <v>68.731200000000001</v>
      </c>
      <c r="M261">
        <v>2</v>
      </c>
      <c r="N261" t="str">
        <f t="shared" si="14"/>
        <v>New</v>
      </c>
    </row>
    <row r="262" spans="1:14" x14ac:dyDescent="0.35">
      <c r="A262">
        <v>261</v>
      </c>
      <c r="B262">
        <v>21</v>
      </c>
      <c r="C262" t="str">
        <f t="shared" si="12"/>
        <v>Youth</v>
      </c>
      <c r="D262" t="s">
        <v>11</v>
      </c>
      <c r="E262" t="s">
        <v>29</v>
      </c>
      <c r="F262" t="s">
        <v>30</v>
      </c>
      <c r="G262">
        <v>124.58</v>
      </c>
      <c r="H262" t="s">
        <v>31</v>
      </c>
      <c r="I262" t="s">
        <v>15</v>
      </c>
      <c r="J262">
        <v>4.3</v>
      </c>
      <c r="K262">
        <v>19</v>
      </c>
      <c r="L262">
        <f t="shared" si="13"/>
        <v>100.9098</v>
      </c>
      <c r="M262">
        <v>7</v>
      </c>
      <c r="N262" t="str">
        <f t="shared" si="14"/>
        <v>Regular</v>
      </c>
    </row>
    <row r="263" spans="1:14" x14ac:dyDescent="0.35">
      <c r="A263">
        <v>262</v>
      </c>
      <c r="B263">
        <v>26</v>
      </c>
      <c r="C263" t="str">
        <f t="shared" si="12"/>
        <v>Youth</v>
      </c>
      <c r="D263" t="s">
        <v>11</v>
      </c>
      <c r="E263" t="s">
        <v>22</v>
      </c>
      <c r="F263" t="s">
        <v>43</v>
      </c>
      <c r="G263">
        <v>72.84</v>
      </c>
      <c r="H263" t="s">
        <v>31</v>
      </c>
      <c r="I263" t="s">
        <v>15</v>
      </c>
      <c r="J263">
        <v>3.1</v>
      </c>
      <c r="K263">
        <v>14</v>
      </c>
      <c r="L263">
        <f t="shared" si="13"/>
        <v>62.642400000000002</v>
      </c>
      <c r="M263">
        <v>7</v>
      </c>
      <c r="N263" t="str">
        <f t="shared" si="14"/>
        <v>Regular</v>
      </c>
    </row>
    <row r="264" spans="1:14" x14ac:dyDescent="0.35">
      <c r="A264">
        <v>263</v>
      </c>
      <c r="B264">
        <v>35</v>
      </c>
      <c r="C264" t="str">
        <f t="shared" si="12"/>
        <v>Adult</v>
      </c>
      <c r="D264" t="s">
        <v>11</v>
      </c>
      <c r="E264" t="s">
        <v>29</v>
      </c>
      <c r="F264" t="s">
        <v>55</v>
      </c>
      <c r="G264">
        <v>47.94</v>
      </c>
      <c r="H264" t="s">
        <v>19</v>
      </c>
      <c r="I264" t="s">
        <v>15</v>
      </c>
      <c r="J264">
        <v>3.6</v>
      </c>
      <c r="K264">
        <v>13</v>
      </c>
      <c r="L264">
        <f t="shared" si="13"/>
        <v>41.707799999999999</v>
      </c>
      <c r="M264">
        <v>4</v>
      </c>
      <c r="N264" t="str">
        <f t="shared" si="14"/>
        <v>Regular</v>
      </c>
    </row>
    <row r="265" spans="1:14" x14ac:dyDescent="0.35">
      <c r="A265">
        <v>264</v>
      </c>
      <c r="B265">
        <v>51</v>
      </c>
      <c r="C265" t="str">
        <f t="shared" si="12"/>
        <v>Adult</v>
      </c>
      <c r="D265" t="s">
        <v>16</v>
      </c>
      <c r="E265" t="s">
        <v>17</v>
      </c>
      <c r="F265" t="s">
        <v>18</v>
      </c>
      <c r="G265">
        <v>74.89</v>
      </c>
      <c r="H265" t="s">
        <v>19</v>
      </c>
      <c r="I265" t="s">
        <v>37</v>
      </c>
      <c r="J265">
        <v>3.2</v>
      </c>
      <c r="K265">
        <v>22</v>
      </c>
      <c r="L265">
        <f t="shared" si="13"/>
        <v>58.414200000000001</v>
      </c>
      <c r="M265">
        <v>6</v>
      </c>
      <c r="N265" t="str">
        <f t="shared" si="14"/>
        <v>Regular</v>
      </c>
    </row>
    <row r="266" spans="1:14" x14ac:dyDescent="0.35">
      <c r="A266">
        <v>265</v>
      </c>
      <c r="B266">
        <v>58</v>
      </c>
      <c r="C266" t="str">
        <f t="shared" si="12"/>
        <v>Adult</v>
      </c>
      <c r="D266" t="s">
        <v>16</v>
      </c>
      <c r="E266" t="s">
        <v>20</v>
      </c>
      <c r="F266" t="s">
        <v>39</v>
      </c>
      <c r="G266">
        <v>246.24</v>
      </c>
      <c r="H266" t="s">
        <v>24</v>
      </c>
      <c r="I266" t="s">
        <v>15</v>
      </c>
      <c r="J266">
        <v>3.5</v>
      </c>
      <c r="K266">
        <v>12</v>
      </c>
      <c r="L266">
        <f t="shared" si="13"/>
        <v>216.69120000000001</v>
      </c>
      <c r="M266">
        <v>6</v>
      </c>
      <c r="N266" t="str">
        <f t="shared" si="14"/>
        <v>Regular</v>
      </c>
    </row>
    <row r="267" spans="1:14" x14ac:dyDescent="0.35">
      <c r="A267">
        <v>266</v>
      </c>
      <c r="B267">
        <v>65</v>
      </c>
      <c r="C267" t="str">
        <f t="shared" si="12"/>
        <v>Senior</v>
      </c>
      <c r="D267" t="s">
        <v>11</v>
      </c>
      <c r="E267" t="s">
        <v>29</v>
      </c>
      <c r="F267" t="s">
        <v>51</v>
      </c>
      <c r="G267">
        <v>135.46</v>
      </c>
      <c r="H267" t="s">
        <v>14</v>
      </c>
      <c r="I267" t="s">
        <v>15</v>
      </c>
      <c r="J267">
        <v>4.3</v>
      </c>
      <c r="K267">
        <v>24</v>
      </c>
      <c r="L267">
        <f t="shared" si="13"/>
        <v>102.9496</v>
      </c>
      <c r="M267">
        <v>7</v>
      </c>
      <c r="N267" t="str">
        <f t="shared" si="14"/>
        <v>Regular</v>
      </c>
    </row>
    <row r="268" spans="1:14" x14ac:dyDescent="0.35">
      <c r="A268">
        <v>267</v>
      </c>
      <c r="B268">
        <v>31</v>
      </c>
      <c r="C268" t="str">
        <f t="shared" si="12"/>
        <v>Adult</v>
      </c>
      <c r="D268" t="s">
        <v>16</v>
      </c>
      <c r="E268" t="s">
        <v>33</v>
      </c>
      <c r="F268" t="s">
        <v>40</v>
      </c>
      <c r="G268">
        <v>220.18</v>
      </c>
      <c r="H268" t="s">
        <v>19</v>
      </c>
      <c r="I268" t="s">
        <v>15</v>
      </c>
      <c r="J268">
        <v>3.4</v>
      </c>
      <c r="K268">
        <v>6</v>
      </c>
      <c r="L268">
        <f t="shared" si="13"/>
        <v>206.9692</v>
      </c>
      <c r="M268">
        <v>3</v>
      </c>
      <c r="N268" t="str">
        <f t="shared" si="14"/>
        <v>New</v>
      </c>
    </row>
    <row r="269" spans="1:14" x14ac:dyDescent="0.35">
      <c r="A269">
        <v>268</v>
      </c>
      <c r="B269">
        <v>67</v>
      </c>
      <c r="C269" t="str">
        <f t="shared" si="12"/>
        <v>Senior</v>
      </c>
      <c r="D269" t="s">
        <v>16</v>
      </c>
      <c r="E269" t="s">
        <v>17</v>
      </c>
      <c r="F269" t="s">
        <v>48</v>
      </c>
      <c r="G269">
        <v>159.94</v>
      </c>
      <c r="H269" t="s">
        <v>24</v>
      </c>
      <c r="I269" t="s">
        <v>15</v>
      </c>
      <c r="J269">
        <v>4.5</v>
      </c>
      <c r="K269">
        <v>10</v>
      </c>
      <c r="L269">
        <f t="shared" si="13"/>
        <v>143.946</v>
      </c>
      <c r="M269">
        <v>5</v>
      </c>
      <c r="N269" t="str">
        <f t="shared" si="14"/>
        <v>Regular</v>
      </c>
    </row>
    <row r="270" spans="1:14" x14ac:dyDescent="0.35">
      <c r="A270">
        <v>269</v>
      </c>
      <c r="B270">
        <v>29</v>
      </c>
      <c r="C270" t="str">
        <f t="shared" si="12"/>
        <v>Youth</v>
      </c>
      <c r="D270" t="s">
        <v>16</v>
      </c>
      <c r="E270" t="s">
        <v>27</v>
      </c>
      <c r="F270" t="s">
        <v>49</v>
      </c>
      <c r="G270">
        <v>2391.83</v>
      </c>
      <c r="H270" t="s">
        <v>24</v>
      </c>
      <c r="I270" t="s">
        <v>15</v>
      </c>
      <c r="J270">
        <v>3.4</v>
      </c>
      <c r="K270">
        <v>14</v>
      </c>
      <c r="L270">
        <f t="shared" si="13"/>
        <v>2056.9737999999998</v>
      </c>
      <c r="M270">
        <v>7</v>
      </c>
      <c r="N270" t="str">
        <f t="shared" si="14"/>
        <v>Regular</v>
      </c>
    </row>
    <row r="271" spans="1:14" x14ac:dyDescent="0.35">
      <c r="A271">
        <v>270</v>
      </c>
      <c r="B271">
        <v>31</v>
      </c>
      <c r="C271" t="str">
        <f t="shared" si="12"/>
        <v>Adult</v>
      </c>
      <c r="D271" t="s">
        <v>11</v>
      </c>
      <c r="E271" t="s">
        <v>29</v>
      </c>
      <c r="F271" t="s">
        <v>51</v>
      </c>
      <c r="G271">
        <v>112.96</v>
      </c>
      <c r="H271" t="s">
        <v>14</v>
      </c>
      <c r="I271" t="s">
        <v>15</v>
      </c>
      <c r="J271">
        <v>5</v>
      </c>
      <c r="K271">
        <v>13</v>
      </c>
      <c r="L271">
        <f t="shared" si="13"/>
        <v>98.275199999999998</v>
      </c>
      <c r="M271">
        <v>4</v>
      </c>
      <c r="N271" t="str">
        <f t="shared" si="14"/>
        <v>Regular</v>
      </c>
    </row>
    <row r="272" spans="1:14" x14ac:dyDescent="0.35">
      <c r="A272">
        <v>271</v>
      </c>
      <c r="B272">
        <v>42</v>
      </c>
      <c r="C272" t="str">
        <f t="shared" si="12"/>
        <v>Adult</v>
      </c>
      <c r="D272" t="s">
        <v>16</v>
      </c>
      <c r="E272" t="s">
        <v>25</v>
      </c>
      <c r="F272" t="s">
        <v>26</v>
      </c>
      <c r="G272">
        <v>56.82</v>
      </c>
      <c r="H272" t="s">
        <v>19</v>
      </c>
      <c r="I272" t="s">
        <v>15</v>
      </c>
      <c r="J272">
        <v>5</v>
      </c>
      <c r="K272">
        <v>17</v>
      </c>
      <c r="L272">
        <f t="shared" si="13"/>
        <v>47.160599999999995</v>
      </c>
      <c r="M272">
        <v>6</v>
      </c>
      <c r="N272" t="str">
        <f t="shared" si="14"/>
        <v>Regular</v>
      </c>
    </row>
    <row r="273" spans="1:14" x14ac:dyDescent="0.35">
      <c r="A273">
        <v>272</v>
      </c>
      <c r="B273">
        <v>33</v>
      </c>
      <c r="C273" t="str">
        <f t="shared" si="12"/>
        <v>Adult</v>
      </c>
      <c r="D273" t="s">
        <v>11</v>
      </c>
      <c r="E273" t="s">
        <v>25</v>
      </c>
      <c r="F273" t="s">
        <v>26</v>
      </c>
      <c r="G273">
        <v>17.86</v>
      </c>
      <c r="H273" t="s">
        <v>14</v>
      </c>
      <c r="I273" t="s">
        <v>37</v>
      </c>
      <c r="J273">
        <v>3.7</v>
      </c>
      <c r="K273">
        <v>30</v>
      </c>
      <c r="L273">
        <f t="shared" si="13"/>
        <v>12.501999999999999</v>
      </c>
      <c r="M273">
        <v>10</v>
      </c>
      <c r="N273" t="str">
        <f t="shared" si="14"/>
        <v>Loyal</v>
      </c>
    </row>
    <row r="274" spans="1:14" x14ac:dyDescent="0.35">
      <c r="A274">
        <v>273</v>
      </c>
      <c r="B274">
        <v>59</v>
      </c>
      <c r="C274" t="str">
        <f t="shared" si="12"/>
        <v>Adult</v>
      </c>
      <c r="D274" t="s">
        <v>16</v>
      </c>
      <c r="E274" t="s">
        <v>25</v>
      </c>
      <c r="F274" t="s">
        <v>57</v>
      </c>
      <c r="G274">
        <v>22.31</v>
      </c>
      <c r="H274" t="s">
        <v>19</v>
      </c>
      <c r="I274" t="s">
        <v>15</v>
      </c>
      <c r="J274">
        <v>3.9</v>
      </c>
      <c r="K274">
        <v>28</v>
      </c>
      <c r="L274">
        <f t="shared" si="13"/>
        <v>16.063199999999998</v>
      </c>
      <c r="M274">
        <v>9</v>
      </c>
      <c r="N274" t="str">
        <f t="shared" si="14"/>
        <v>Loyal</v>
      </c>
    </row>
    <row r="275" spans="1:14" x14ac:dyDescent="0.35">
      <c r="A275">
        <v>274</v>
      </c>
      <c r="B275">
        <v>36</v>
      </c>
      <c r="C275" t="str">
        <f t="shared" si="12"/>
        <v>Adult</v>
      </c>
      <c r="D275" t="s">
        <v>16</v>
      </c>
      <c r="E275" t="s">
        <v>27</v>
      </c>
      <c r="F275" t="s">
        <v>32</v>
      </c>
      <c r="G275">
        <v>2851.93</v>
      </c>
      <c r="H275" t="s">
        <v>14</v>
      </c>
      <c r="I275" t="s">
        <v>15</v>
      </c>
      <c r="J275">
        <v>3.4</v>
      </c>
      <c r="K275">
        <v>8</v>
      </c>
      <c r="L275">
        <f t="shared" si="13"/>
        <v>2623.7755999999999</v>
      </c>
      <c r="M275">
        <v>4</v>
      </c>
      <c r="N275" t="str">
        <f t="shared" si="14"/>
        <v>Regular</v>
      </c>
    </row>
    <row r="276" spans="1:14" x14ac:dyDescent="0.35">
      <c r="A276">
        <v>275</v>
      </c>
      <c r="B276">
        <v>61</v>
      </c>
      <c r="C276" t="str">
        <f t="shared" si="12"/>
        <v>Senior</v>
      </c>
      <c r="D276" t="s">
        <v>11</v>
      </c>
      <c r="E276" t="s">
        <v>41</v>
      </c>
      <c r="F276" t="s">
        <v>44</v>
      </c>
      <c r="G276">
        <v>164.2</v>
      </c>
      <c r="H276" t="s">
        <v>14</v>
      </c>
      <c r="I276" t="s">
        <v>15</v>
      </c>
      <c r="J276">
        <v>3.6</v>
      </c>
      <c r="K276">
        <v>11</v>
      </c>
      <c r="L276">
        <f t="shared" si="13"/>
        <v>146.13800000000001</v>
      </c>
      <c r="M276">
        <v>3</v>
      </c>
      <c r="N276" t="str">
        <f t="shared" si="14"/>
        <v>New</v>
      </c>
    </row>
    <row r="277" spans="1:14" x14ac:dyDescent="0.35">
      <c r="A277">
        <v>276</v>
      </c>
      <c r="B277">
        <v>22</v>
      </c>
      <c r="C277" t="str">
        <f t="shared" si="12"/>
        <v>Youth</v>
      </c>
      <c r="D277" t="s">
        <v>16</v>
      </c>
      <c r="E277" t="s">
        <v>20</v>
      </c>
      <c r="F277" t="s">
        <v>39</v>
      </c>
      <c r="G277">
        <v>204.62</v>
      </c>
      <c r="H277" t="s">
        <v>14</v>
      </c>
      <c r="I277" t="s">
        <v>15</v>
      </c>
      <c r="J277">
        <v>3.3</v>
      </c>
      <c r="K277">
        <v>16</v>
      </c>
      <c r="L277">
        <f t="shared" si="13"/>
        <v>171.88079999999999</v>
      </c>
      <c r="M277">
        <v>3</v>
      </c>
      <c r="N277" t="str">
        <f t="shared" si="14"/>
        <v>New</v>
      </c>
    </row>
    <row r="278" spans="1:14" x14ac:dyDescent="0.35">
      <c r="A278">
        <v>277</v>
      </c>
      <c r="B278">
        <v>68</v>
      </c>
      <c r="C278" t="str">
        <f t="shared" si="12"/>
        <v>Senior</v>
      </c>
      <c r="D278" t="s">
        <v>11</v>
      </c>
      <c r="E278" t="s">
        <v>33</v>
      </c>
      <c r="F278" t="s">
        <v>40</v>
      </c>
      <c r="G278">
        <v>75.72</v>
      </c>
      <c r="H278" t="s">
        <v>19</v>
      </c>
      <c r="I278" t="s">
        <v>37</v>
      </c>
      <c r="J278">
        <v>4.3</v>
      </c>
      <c r="K278">
        <v>20</v>
      </c>
      <c r="L278">
        <f t="shared" si="13"/>
        <v>60.576000000000001</v>
      </c>
      <c r="M278">
        <v>5</v>
      </c>
      <c r="N278" t="str">
        <f t="shared" si="14"/>
        <v>Regular</v>
      </c>
    </row>
    <row r="279" spans="1:14" x14ac:dyDescent="0.35">
      <c r="A279">
        <v>278</v>
      </c>
      <c r="B279">
        <v>24</v>
      </c>
      <c r="C279" t="str">
        <f t="shared" si="12"/>
        <v>Youth</v>
      </c>
      <c r="D279" t="s">
        <v>11</v>
      </c>
      <c r="E279" t="s">
        <v>33</v>
      </c>
      <c r="F279" t="s">
        <v>34</v>
      </c>
      <c r="G279">
        <v>105.45</v>
      </c>
      <c r="H279" t="s">
        <v>31</v>
      </c>
      <c r="I279" t="s">
        <v>15</v>
      </c>
      <c r="J279">
        <v>2.2999999999999998</v>
      </c>
      <c r="K279">
        <v>5</v>
      </c>
      <c r="L279">
        <f t="shared" si="13"/>
        <v>100.17749999999999</v>
      </c>
      <c r="M279">
        <v>0</v>
      </c>
      <c r="N279" t="str">
        <f t="shared" si="14"/>
        <v>New</v>
      </c>
    </row>
    <row r="280" spans="1:14" x14ac:dyDescent="0.35">
      <c r="A280">
        <v>279</v>
      </c>
      <c r="B280">
        <v>36</v>
      </c>
      <c r="C280" t="str">
        <f t="shared" si="12"/>
        <v>Adult</v>
      </c>
      <c r="D280" t="s">
        <v>16</v>
      </c>
      <c r="E280" t="s">
        <v>33</v>
      </c>
      <c r="F280" t="s">
        <v>34</v>
      </c>
      <c r="G280">
        <v>212.7</v>
      </c>
      <c r="H280" t="s">
        <v>14</v>
      </c>
      <c r="I280" t="s">
        <v>15</v>
      </c>
      <c r="J280">
        <v>4</v>
      </c>
      <c r="K280">
        <v>18</v>
      </c>
      <c r="L280">
        <f t="shared" si="13"/>
        <v>174.41400000000002</v>
      </c>
      <c r="M280">
        <v>4</v>
      </c>
      <c r="N280" t="str">
        <f t="shared" si="14"/>
        <v>Regular</v>
      </c>
    </row>
    <row r="281" spans="1:14" x14ac:dyDescent="0.35">
      <c r="A281">
        <v>280</v>
      </c>
      <c r="B281">
        <v>28</v>
      </c>
      <c r="C281" t="str">
        <f t="shared" si="12"/>
        <v>Youth</v>
      </c>
      <c r="D281" t="s">
        <v>11</v>
      </c>
      <c r="E281" t="s">
        <v>12</v>
      </c>
      <c r="F281" t="s">
        <v>13</v>
      </c>
      <c r="G281">
        <v>98.3</v>
      </c>
      <c r="H281" t="s">
        <v>14</v>
      </c>
      <c r="I281" t="s">
        <v>15</v>
      </c>
      <c r="J281">
        <v>3.3</v>
      </c>
      <c r="K281">
        <v>24</v>
      </c>
      <c r="L281">
        <f t="shared" si="13"/>
        <v>74.707999999999998</v>
      </c>
      <c r="M281">
        <v>7</v>
      </c>
      <c r="N281" t="str">
        <f t="shared" si="14"/>
        <v>Regular</v>
      </c>
    </row>
    <row r="282" spans="1:14" x14ac:dyDescent="0.35">
      <c r="A282">
        <v>281</v>
      </c>
      <c r="B282">
        <v>59</v>
      </c>
      <c r="C282" t="str">
        <f t="shared" si="12"/>
        <v>Adult</v>
      </c>
      <c r="D282" t="s">
        <v>16</v>
      </c>
      <c r="E282" t="s">
        <v>27</v>
      </c>
      <c r="F282" t="s">
        <v>49</v>
      </c>
      <c r="G282">
        <v>1775.37</v>
      </c>
      <c r="H282" t="s">
        <v>24</v>
      </c>
      <c r="I282" t="s">
        <v>15</v>
      </c>
      <c r="J282">
        <v>3.2</v>
      </c>
      <c r="K282">
        <v>16</v>
      </c>
      <c r="L282">
        <f t="shared" si="13"/>
        <v>1491.3107999999997</v>
      </c>
      <c r="M282">
        <v>8</v>
      </c>
      <c r="N282" t="str">
        <f t="shared" si="14"/>
        <v>Loyal</v>
      </c>
    </row>
    <row r="283" spans="1:14" x14ac:dyDescent="0.35">
      <c r="A283">
        <v>282</v>
      </c>
      <c r="B283">
        <v>53</v>
      </c>
      <c r="C283" t="str">
        <f t="shared" si="12"/>
        <v>Adult</v>
      </c>
      <c r="D283" t="s">
        <v>11</v>
      </c>
      <c r="E283" t="s">
        <v>29</v>
      </c>
      <c r="F283" t="s">
        <v>51</v>
      </c>
      <c r="G283">
        <v>146.09</v>
      </c>
      <c r="H283" t="s">
        <v>31</v>
      </c>
      <c r="I283" t="s">
        <v>15</v>
      </c>
      <c r="J283">
        <v>3.2</v>
      </c>
      <c r="K283">
        <v>10</v>
      </c>
      <c r="L283">
        <f t="shared" si="13"/>
        <v>131.48099999999999</v>
      </c>
      <c r="M283">
        <v>5</v>
      </c>
      <c r="N283" t="str">
        <f t="shared" si="14"/>
        <v>Regular</v>
      </c>
    </row>
    <row r="284" spans="1:14" x14ac:dyDescent="0.35">
      <c r="A284">
        <v>283</v>
      </c>
      <c r="B284">
        <v>50</v>
      </c>
      <c r="C284" t="str">
        <f t="shared" si="12"/>
        <v>Adult</v>
      </c>
      <c r="D284" t="s">
        <v>16</v>
      </c>
      <c r="E284" t="s">
        <v>17</v>
      </c>
      <c r="F284" t="s">
        <v>35</v>
      </c>
      <c r="G284">
        <v>144.37</v>
      </c>
      <c r="H284" t="s">
        <v>24</v>
      </c>
      <c r="I284" t="s">
        <v>15</v>
      </c>
      <c r="J284">
        <v>4.5999999999999996</v>
      </c>
      <c r="K284">
        <v>8</v>
      </c>
      <c r="L284">
        <f t="shared" si="13"/>
        <v>132.82040000000001</v>
      </c>
      <c r="M284">
        <v>4</v>
      </c>
      <c r="N284" t="str">
        <f t="shared" si="14"/>
        <v>Regular</v>
      </c>
    </row>
    <row r="285" spans="1:14" x14ac:dyDescent="0.35">
      <c r="A285">
        <v>284</v>
      </c>
      <c r="B285">
        <v>39</v>
      </c>
      <c r="C285" t="str">
        <f t="shared" si="12"/>
        <v>Adult</v>
      </c>
      <c r="D285" t="s">
        <v>11</v>
      </c>
      <c r="E285" t="s">
        <v>41</v>
      </c>
      <c r="F285" t="s">
        <v>42</v>
      </c>
      <c r="G285">
        <v>107.92</v>
      </c>
      <c r="H285" t="s">
        <v>14</v>
      </c>
      <c r="I285" t="s">
        <v>15</v>
      </c>
      <c r="J285">
        <v>4.9000000000000004</v>
      </c>
      <c r="K285">
        <v>13</v>
      </c>
      <c r="L285">
        <f t="shared" si="13"/>
        <v>93.8904</v>
      </c>
      <c r="M285">
        <v>4</v>
      </c>
      <c r="N285" t="str">
        <f t="shared" si="14"/>
        <v>Regular</v>
      </c>
    </row>
    <row r="286" spans="1:14" x14ac:dyDescent="0.35">
      <c r="A286">
        <v>285</v>
      </c>
      <c r="B286">
        <v>27</v>
      </c>
      <c r="C286" t="str">
        <f t="shared" si="12"/>
        <v>Youth</v>
      </c>
      <c r="D286" t="s">
        <v>16</v>
      </c>
      <c r="E286" t="s">
        <v>33</v>
      </c>
      <c r="F286" t="s">
        <v>40</v>
      </c>
      <c r="G286">
        <v>138.29</v>
      </c>
      <c r="H286" t="s">
        <v>31</v>
      </c>
      <c r="I286" t="s">
        <v>15</v>
      </c>
      <c r="J286">
        <v>3.6</v>
      </c>
      <c r="K286">
        <v>14</v>
      </c>
      <c r="L286">
        <f t="shared" si="13"/>
        <v>118.92939999999999</v>
      </c>
      <c r="M286">
        <v>7</v>
      </c>
      <c r="N286" t="str">
        <f t="shared" si="14"/>
        <v>Regular</v>
      </c>
    </row>
    <row r="287" spans="1:14" x14ac:dyDescent="0.35">
      <c r="A287">
        <v>286</v>
      </c>
      <c r="B287">
        <v>40</v>
      </c>
      <c r="C287" t="str">
        <f t="shared" si="12"/>
        <v>Adult</v>
      </c>
      <c r="D287" t="s">
        <v>11</v>
      </c>
      <c r="E287" t="s">
        <v>12</v>
      </c>
      <c r="F287" t="s">
        <v>13</v>
      </c>
      <c r="G287">
        <v>101.69</v>
      </c>
      <c r="H287" t="s">
        <v>24</v>
      </c>
      <c r="I287" t="s">
        <v>15</v>
      </c>
      <c r="J287">
        <v>5</v>
      </c>
      <c r="K287">
        <v>10</v>
      </c>
      <c r="L287">
        <f t="shared" si="13"/>
        <v>91.521000000000001</v>
      </c>
      <c r="M287">
        <v>5</v>
      </c>
      <c r="N287" t="str">
        <f t="shared" si="14"/>
        <v>Regular</v>
      </c>
    </row>
    <row r="288" spans="1:14" x14ac:dyDescent="0.35">
      <c r="A288">
        <v>287</v>
      </c>
      <c r="B288">
        <v>28</v>
      </c>
      <c r="C288" t="str">
        <f t="shared" si="12"/>
        <v>Youth</v>
      </c>
      <c r="D288" t="s">
        <v>11</v>
      </c>
      <c r="E288" t="s">
        <v>33</v>
      </c>
      <c r="F288" t="s">
        <v>38</v>
      </c>
      <c r="G288">
        <v>198.28</v>
      </c>
      <c r="H288" t="s">
        <v>14</v>
      </c>
      <c r="I288" t="s">
        <v>15</v>
      </c>
      <c r="J288">
        <v>3.6</v>
      </c>
      <c r="K288">
        <v>20</v>
      </c>
      <c r="L288">
        <f t="shared" si="13"/>
        <v>158.62400000000002</v>
      </c>
      <c r="M288">
        <v>5</v>
      </c>
      <c r="N288" t="str">
        <f t="shared" si="14"/>
        <v>Regular</v>
      </c>
    </row>
    <row r="289" spans="1:14" x14ac:dyDescent="0.35">
      <c r="A289">
        <v>288</v>
      </c>
      <c r="B289">
        <v>61</v>
      </c>
      <c r="C289" t="str">
        <f t="shared" si="12"/>
        <v>Senior</v>
      </c>
      <c r="D289" t="s">
        <v>11</v>
      </c>
      <c r="E289" t="s">
        <v>20</v>
      </c>
      <c r="F289" t="s">
        <v>39</v>
      </c>
      <c r="G289">
        <v>171.59</v>
      </c>
      <c r="H289" t="s">
        <v>24</v>
      </c>
      <c r="I289" t="s">
        <v>15</v>
      </c>
      <c r="J289">
        <v>3</v>
      </c>
      <c r="K289">
        <v>16</v>
      </c>
      <c r="L289">
        <f t="shared" si="13"/>
        <v>144.13560000000001</v>
      </c>
      <c r="M289">
        <v>8</v>
      </c>
      <c r="N289" t="str">
        <f t="shared" si="14"/>
        <v>Loyal</v>
      </c>
    </row>
    <row r="290" spans="1:14" x14ac:dyDescent="0.35">
      <c r="A290">
        <v>289</v>
      </c>
      <c r="B290">
        <v>54</v>
      </c>
      <c r="C290" t="str">
        <f t="shared" si="12"/>
        <v>Adult</v>
      </c>
      <c r="D290" t="s">
        <v>16</v>
      </c>
      <c r="E290" t="s">
        <v>27</v>
      </c>
      <c r="F290" t="s">
        <v>49</v>
      </c>
      <c r="G290">
        <v>2903.73</v>
      </c>
      <c r="H290" t="s">
        <v>19</v>
      </c>
      <c r="I290" t="s">
        <v>15</v>
      </c>
      <c r="J290">
        <v>3.7</v>
      </c>
      <c r="K290">
        <v>30</v>
      </c>
      <c r="L290">
        <f t="shared" si="13"/>
        <v>2032.6109999999999</v>
      </c>
      <c r="M290">
        <v>10</v>
      </c>
      <c r="N290" t="str">
        <f t="shared" si="14"/>
        <v>Loyal</v>
      </c>
    </row>
    <row r="291" spans="1:14" x14ac:dyDescent="0.35">
      <c r="A291">
        <v>290</v>
      </c>
      <c r="B291">
        <v>51</v>
      </c>
      <c r="C291" t="str">
        <f t="shared" si="12"/>
        <v>Adult</v>
      </c>
      <c r="D291" t="s">
        <v>16</v>
      </c>
      <c r="E291" t="s">
        <v>33</v>
      </c>
      <c r="F291" t="s">
        <v>34</v>
      </c>
      <c r="G291">
        <v>206.84</v>
      </c>
      <c r="H291" t="s">
        <v>31</v>
      </c>
      <c r="I291" t="s">
        <v>15</v>
      </c>
      <c r="J291">
        <v>2.2000000000000002</v>
      </c>
      <c r="K291">
        <v>8</v>
      </c>
      <c r="L291">
        <f t="shared" si="13"/>
        <v>190.2928</v>
      </c>
      <c r="M291">
        <v>4</v>
      </c>
      <c r="N291" t="str">
        <f t="shared" si="14"/>
        <v>Regular</v>
      </c>
    </row>
    <row r="292" spans="1:14" x14ac:dyDescent="0.35">
      <c r="A292">
        <v>291</v>
      </c>
      <c r="B292">
        <v>31</v>
      </c>
      <c r="C292" t="str">
        <f t="shared" si="12"/>
        <v>Adult</v>
      </c>
      <c r="D292" t="s">
        <v>11</v>
      </c>
      <c r="E292" t="s">
        <v>41</v>
      </c>
      <c r="F292" t="s">
        <v>42</v>
      </c>
      <c r="G292">
        <v>63.74</v>
      </c>
      <c r="H292" t="s">
        <v>14</v>
      </c>
      <c r="I292" t="s">
        <v>37</v>
      </c>
      <c r="J292">
        <v>3.7</v>
      </c>
      <c r="K292">
        <v>8</v>
      </c>
      <c r="L292">
        <f t="shared" si="13"/>
        <v>58.640800000000006</v>
      </c>
      <c r="M292">
        <v>4</v>
      </c>
      <c r="N292" t="str">
        <f t="shared" si="14"/>
        <v>Regular</v>
      </c>
    </row>
    <row r="293" spans="1:14" x14ac:dyDescent="0.35">
      <c r="A293">
        <v>292</v>
      </c>
      <c r="B293">
        <v>61</v>
      </c>
      <c r="C293" t="str">
        <f t="shared" si="12"/>
        <v>Senior</v>
      </c>
      <c r="D293" t="s">
        <v>16</v>
      </c>
      <c r="E293" t="s">
        <v>20</v>
      </c>
      <c r="F293" t="s">
        <v>36</v>
      </c>
      <c r="G293">
        <v>64.87</v>
      </c>
      <c r="H293" t="s">
        <v>31</v>
      </c>
      <c r="I293" t="s">
        <v>37</v>
      </c>
      <c r="J293">
        <v>1.8</v>
      </c>
      <c r="K293">
        <v>22</v>
      </c>
      <c r="L293">
        <f t="shared" si="13"/>
        <v>50.598600000000005</v>
      </c>
      <c r="M293">
        <v>6</v>
      </c>
      <c r="N293" t="str">
        <f t="shared" si="14"/>
        <v>Regular</v>
      </c>
    </row>
    <row r="294" spans="1:14" x14ac:dyDescent="0.35">
      <c r="A294">
        <v>293</v>
      </c>
      <c r="B294">
        <v>50</v>
      </c>
      <c r="C294" t="str">
        <f t="shared" si="12"/>
        <v>Adult</v>
      </c>
      <c r="D294" t="s">
        <v>11</v>
      </c>
      <c r="E294" t="s">
        <v>12</v>
      </c>
      <c r="F294" t="s">
        <v>50</v>
      </c>
      <c r="G294">
        <v>67.819999999999993</v>
      </c>
      <c r="H294" t="s">
        <v>19</v>
      </c>
      <c r="I294" t="s">
        <v>15</v>
      </c>
      <c r="J294">
        <v>2.5</v>
      </c>
      <c r="K294">
        <v>14</v>
      </c>
      <c r="L294">
        <f t="shared" si="13"/>
        <v>58.325199999999995</v>
      </c>
      <c r="M294">
        <v>7</v>
      </c>
      <c r="N294" t="str">
        <f t="shared" si="14"/>
        <v>Regular</v>
      </c>
    </row>
    <row r="295" spans="1:14" x14ac:dyDescent="0.35">
      <c r="A295">
        <v>294</v>
      </c>
      <c r="B295">
        <v>65</v>
      </c>
      <c r="C295" t="str">
        <f t="shared" si="12"/>
        <v>Senior</v>
      </c>
      <c r="D295" t="s">
        <v>11</v>
      </c>
      <c r="E295" t="s">
        <v>29</v>
      </c>
      <c r="F295" t="s">
        <v>55</v>
      </c>
      <c r="G295">
        <v>95.87</v>
      </c>
      <c r="H295" t="s">
        <v>14</v>
      </c>
      <c r="I295" t="s">
        <v>15</v>
      </c>
      <c r="J295">
        <v>4</v>
      </c>
      <c r="K295">
        <v>14</v>
      </c>
      <c r="L295">
        <f t="shared" si="13"/>
        <v>82.4482</v>
      </c>
      <c r="M295">
        <v>2</v>
      </c>
      <c r="N295" t="str">
        <f t="shared" si="14"/>
        <v>New</v>
      </c>
    </row>
    <row r="296" spans="1:14" x14ac:dyDescent="0.35">
      <c r="A296">
        <v>295</v>
      </c>
      <c r="B296">
        <v>46</v>
      </c>
      <c r="C296" t="str">
        <f t="shared" si="12"/>
        <v>Adult</v>
      </c>
      <c r="D296" t="s">
        <v>11</v>
      </c>
      <c r="E296" t="s">
        <v>20</v>
      </c>
      <c r="F296" t="s">
        <v>36</v>
      </c>
      <c r="G296">
        <v>142.71</v>
      </c>
      <c r="H296" t="s">
        <v>19</v>
      </c>
      <c r="I296" t="s">
        <v>15</v>
      </c>
      <c r="J296">
        <v>3.2</v>
      </c>
      <c r="K296">
        <v>10</v>
      </c>
      <c r="L296">
        <f t="shared" si="13"/>
        <v>128.43900000000002</v>
      </c>
      <c r="M296">
        <v>5</v>
      </c>
      <c r="N296" t="str">
        <f t="shared" si="14"/>
        <v>Regular</v>
      </c>
    </row>
    <row r="297" spans="1:14" x14ac:dyDescent="0.35">
      <c r="A297">
        <v>296</v>
      </c>
      <c r="B297">
        <v>48</v>
      </c>
      <c r="C297" t="str">
        <f t="shared" si="12"/>
        <v>Adult</v>
      </c>
      <c r="D297" t="s">
        <v>16</v>
      </c>
      <c r="E297" t="s">
        <v>22</v>
      </c>
      <c r="F297" t="s">
        <v>43</v>
      </c>
      <c r="G297">
        <v>218.92</v>
      </c>
      <c r="H297" t="s">
        <v>24</v>
      </c>
      <c r="I297" t="s">
        <v>15</v>
      </c>
      <c r="J297">
        <v>3.7</v>
      </c>
      <c r="K297">
        <v>21</v>
      </c>
      <c r="L297">
        <f t="shared" si="13"/>
        <v>172.9468</v>
      </c>
      <c r="M297">
        <v>8</v>
      </c>
      <c r="N297" t="str">
        <f t="shared" si="14"/>
        <v>Loyal</v>
      </c>
    </row>
    <row r="298" spans="1:14" x14ac:dyDescent="0.35">
      <c r="A298">
        <v>297</v>
      </c>
      <c r="B298">
        <v>58</v>
      </c>
      <c r="C298" t="str">
        <f t="shared" si="12"/>
        <v>Adult</v>
      </c>
      <c r="D298" t="s">
        <v>16</v>
      </c>
      <c r="E298" t="s">
        <v>20</v>
      </c>
      <c r="F298" t="s">
        <v>39</v>
      </c>
      <c r="G298">
        <v>57.47</v>
      </c>
      <c r="H298" t="s">
        <v>24</v>
      </c>
      <c r="I298" t="s">
        <v>15</v>
      </c>
      <c r="J298">
        <v>2.5</v>
      </c>
      <c r="K298">
        <v>2</v>
      </c>
      <c r="L298">
        <f t="shared" si="13"/>
        <v>56.320599999999999</v>
      </c>
      <c r="M298">
        <v>1</v>
      </c>
      <c r="N298" t="str">
        <f t="shared" si="14"/>
        <v>New</v>
      </c>
    </row>
    <row r="299" spans="1:14" x14ac:dyDescent="0.35">
      <c r="A299">
        <v>298</v>
      </c>
      <c r="B299">
        <v>20</v>
      </c>
      <c r="C299" t="str">
        <f t="shared" si="12"/>
        <v>Youth</v>
      </c>
      <c r="D299" t="s">
        <v>16</v>
      </c>
      <c r="E299" t="s">
        <v>17</v>
      </c>
      <c r="F299" t="s">
        <v>42</v>
      </c>
      <c r="G299">
        <v>170</v>
      </c>
      <c r="H299" t="s">
        <v>19</v>
      </c>
      <c r="I299" t="s">
        <v>15</v>
      </c>
      <c r="J299">
        <v>3.6</v>
      </c>
      <c r="K299">
        <v>12</v>
      </c>
      <c r="L299">
        <f t="shared" si="13"/>
        <v>149.6</v>
      </c>
      <c r="M299">
        <v>6</v>
      </c>
      <c r="N299" t="str">
        <f t="shared" si="14"/>
        <v>Regular</v>
      </c>
    </row>
    <row r="300" spans="1:14" x14ac:dyDescent="0.35">
      <c r="A300">
        <v>299</v>
      </c>
      <c r="B300">
        <v>36</v>
      </c>
      <c r="C300" t="str">
        <f t="shared" si="12"/>
        <v>Adult</v>
      </c>
      <c r="D300" t="s">
        <v>11</v>
      </c>
      <c r="E300" t="s">
        <v>41</v>
      </c>
      <c r="F300" t="s">
        <v>44</v>
      </c>
      <c r="G300">
        <v>67.61</v>
      </c>
      <c r="H300" t="s">
        <v>19</v>
      </c>
      <c r="I300" t="s">
        <v>37</v>
      </c>
      <c r="J300">
        <v>3.8</v>
      </c>
      <c r="K300">
        <v>19</v>
      </c>
      <c r="L300">
        <f t="shared" si="13"/>
        <v>54.764100000000006</v>
      </c>
      <c r="M300">
        <v>7</v>
      </c>
      <c r="N300" t="str">
        <f t="shared" si="14"/>
        <v>Regular</v>
      </c>
    </row>
    <row r="301" spans="1:14" x14ac:dyDescent="0.35">
      <c r="A301">
        <v>300</v>
      </c>
      <c r="B301">
        <v>66</v>
      </c>
      <c r="C301" t="str">
        <f t="shared" si="12"/>
        <v>Senior</v>
      </c>
      <c r="D301" t="s">
        <v>16</v>
      </c>
      <c r="E301" t="s">
        <v>17</v>
      </c>
      <c r="F301" t="s">
        <v>42</v>
      </c>
      <c r="G301">
        <v>141.21</v>
      </c>
      <c r="H301" t="s">
        <v>31</v>
      </c>
      <c r="I301" t="s">
        <v>15</v>
      </c>
      <c r="J301">
        <v>3.4</v>
      </c>
      <c r="K301">
        <v>22</v>
      </c>
      <c r="L301">
        <f t="shared" si="13"/>
        <v>110.14380000000001</v>
      </c>
      <c r="M301">
        <v>6</v>
      </c>
      <c r="N301" t="str">
        <f t="shared" si="14"/>
        <v>Regular</v>
      </c>
    </row>
    <row r="302" spans="1:14" x14ac:dyDescent="0.35">
      <c r="A302">
        <v>301</v>
      </c>
      <c r="B302">
        <v>66</v>
      </c>
      <c r="C302" t="str">
        <f t="shared" si="12"/>
        <v>Senior</v>
      </c>
      <c r="D302" t="s">
        <v>11</v>
      </c>
      <c r="E302" t="s">
        <v>12</v>
      </c>
      <c r="F302" t="s">
        <v>50</v>
      </c>
      <c r="G302">
        <v>57.04</v>
      </c>
      <c r="H302" t="s">
        <v>14</v>
      </c>
      <c r="I302" t="s">
        <v>37</v>
      </c>
      <c r="J302">
        <v>3.5</v>
      </c>
      <c r="K302">
        <v>18</v>
      </c>
      <c r="L302">
        <f t="shared" si="13"/>
        <v>46.772800000000004</v>
      </c>
      <c r="M302">
        <v>4</v>
      </c>
      <c r="N302" t="str">
        <f t="shared" si="14"/>
        <v>Regular</v>
      </c>
    </row>
    <row r="303" spans="1:14" x14ac:dyDescent="0.35">
      <c r="A303">
        <v>302</v>
      </c>
      <c r="B303">
        <v>32</v>
      </c>
      <c r="C303" t="str">
        <f t="shared" si="12"/>
        <v>Adult</v>
      </c>
      <c r="D303" t="s">
        <v>11</v>
      </c>
      <c r="E303" t="s">
        <v>41</v>
      </c>
      <c r="F303" t="s">
        <v>46</v>
      </c>
      <c r="G303">
        <v>41.92</v>
      </c>
      <c r="H303" t="s">
        <v>14</v>
      </c>
      <c r="I303" t="s">
        <v>37</v>
      </c>
      <c r="J303">
        <v>3.5</v>
      </c>
      <c r="K303">
        <v>8</v>
      </c>
      <c r="L303">
        <f t="shared" si="13"/>
        <v>38.566400000000002</v>
      </c>
      <c r="M303">
        <v>4</v>
      </c>
      <c r="N303" t="str">
        <f t="shared" si="14"/>
        <v>Regular</v>
      </c>
    </row>
    <row r="304" spans="1:14" x14ac:dyDescent="0.35">
      <c r="A304">
        <v>303</v>
      </c>
      <c r="B304">
        <v>51</v>
      </c>
      <c r="C304" t="str">
        <f t="shared" si="12"/>
        <v>Adult</v>
      </c>
      <c r="D304" t="s">
        <v>16</v>
      </c>
      <c r="E304" t="s">
        <v>33</v>
      </c>
      <c r="F304" t="s">
        <v>34</v>
      </c>
      <c r="G304">
        <v>106.72</v>
      </c>
      <c r="H304" t="s">
        <v>14</v>
      </c>
      <c r="I304" t="s">
        <v>15</v>
      </c>
      <c r="J304">
        <v>2.8</v>
      </c>
      <c r="K304">
        <v>18</v>
      </c>
      <c r="L304">
        <f t="shared" si="13"/>
        <v>87.510400000000004</v>
      </c>
      <c r="M304">
        <v>4</v>
      </c>
      <c r="N304" t="str">
        <f t="shared" si="14"/>
        <v>Regular</v>
      </c>
    </row>
    <row r="305" spans="1:14" x14ac:dyDescent="0.35">
      <c r="A305">
        <v>304</v>
      </c>
      <c r="B305">
        <v>54</v>
      </c>
      <c r="C305" t="str">
        <f t="shared" si="12"/>
        <v>Adult</v>
      </c>
      <c r="D305" t="s">
        <v>11</v>
      </c>
      <c r="E305" t="s">
        <v>41</v>
      </c>
      <c r="F305" t="s">
        <v>45</v>
      </c>
      <c r="G305">
        <v>145.16</v>
      </c>
      <c r="H305" t="s">
        <v>31</v>
      </c>
      <c r="I305" t="s">
        <v>15</v>
      </c>
      <c r="J305">
        <v>3.1</v>
      </c>
      <c r="K305">
        <v>14</v>
      </c>
      <c r="L305">
        <f t="shared" si="13"/>
        <v>124.83759999999999</v>
      </c>
      <c r="M305">
        <v>7</v>
      </c>
      <c r="N305" t="str">
        <f t="shared" si="14"/>
        <v>Regular</v>
      </c>
    </row>
    <row r="306" spans="1:14" x14ac:dyDescent="0.35">
      <c r="A306">
        <v>305</v>
      </c>
      <c r="B306">
        <v>25</v>
      </c>
      <c r="C306" t="str">
        <f t="shared" si="12"/>
        <v>Youth</v>
      </c>
      <c r="D306" t="s">
        <v>11</v>
      </c>
      <c r="E306" t="s">
        <v>12</v>
      </c>
      <c r="F306" t="s">
        <v>56</v>
      </c>
      <c r="G306">
        <v>102.26</v>
      </c>
      <c r="H306" t="s">
        <v>14</v>
      </c>
      <c r="I306" t="s">
        <v>15</v>
      </c>
      <c r="J306">
        <v>4.2</v>
      </c>
      <c r="K306">
        <v>16</v>
      </c>
      <c r="L306">
        <f t="shared" si="13"/>
        <v>85.898399999999995</v>
      </c>
      <c r="M306">
        <v>3</v>
      </c>
      <c r="N306" t="str">
        <f t="shared" si="14"/>
        <v>New</v>
      </c>
    </row>
    <row r="307" spans="1:14" x14ac:dyDescent="0.35">
      <c r="A307">
        <v>306</v>
      </c>
      <c r="B307">
        <v>23</v>
      </c>
      <c r="C307" t="str">
        <f t="shared" si="12"/>
        <v>Youth</v>
      </c>
      <c r="D307" t="s">
        <v>16</v>
      </c>
      <c r="E307" t="s">
        <v>27</v>
      </c>
      <c r="F307" t="s">
        <v>53</v>
      </c>
      <c r="G307">
        <v>1364.52</v>
      </c>
      <c r="H307" t="s">
        <v>19</v>
      </c>
      <c r="I307" t="s">
        <v>15</v>
      </c>
      <c r="J307">
        <v>4.5999999999999996</v>
      </c>
      <c r="K307">
        <v>24</v>
      </c>
      <c r="L307">
        <f t="shared" si="13"/>
        <v>1037.0352</v>
      </c>
      <c r="M307">
        <v>7</v>
      </c>
      <c r="N307" t="str">
        <f t="shared" si="14"/>
        <v>Regular</v>
      </c>
    </row>
    <row r="308" spans="1:14" x14ac:dyDescent="0.35">
      <c r="A308">
        <v>307</v>
      </c>
      <c r="B308">
        <v>52</v>
      </c>
      <c r="C308" t="str">
        <f t="shared" si="12"/>
        <v>Adult</v>
      </c>
      <c r="D308" t="s">
        <v>11</v>
      </c>
      <c r="E308" t="s">
        <v>25</v>
      </c>
      <c r="F308" t="s">
        <v>47</v>
      </c>
      <c r="G308">
        <v>18.59</v>
      </c>
      <c r="H308" t="s">
        <v>19</v>
      </c>
      <c r="I308" t="s">
        <v>37</v>
      </c>
      <c r="J308">
        <v>2.5</v>
      </c>
      <c r="K308">
        <v>10</v>
      </c>
      <c r="L308">
        <f t="shared" si="13"/>
        <v>16.731000000000002</v>
      </c>
      <c r="M308">
        <v>5</v>
      </c>
      <c r="N308" t="str">
        <f t="shared" si="14"/>
        <v>Regular</v>
      </c>
    </row>
    <row r="309" spans="1:14" x14ac:dyDescent="0.35">
      <c r="A309">
        <v>308</v>
      </c>
      <c r="B309">
        <v>61</v>
      </c>
      <c r="C309" t="str">
        <f t="shared" si="12"/>
        <v>Senior</v>
      </c>
      <c r="D309" t="s">
        <v>16</v>
      </c>
      <c r="E309" t="s">
        <v>17</v>
      </c>
      <c r="F309" t="s">
        <v>48</v>
      </c>
      <c r="G309">
        <v>166.84</v>
      </c>
      <c r="H309" t="s">
        <v>31</v>
      </c>
      <c r="I309" t="s">
        <v>15</v>
      </c>
      <c r="J309">
        <v>5</v>
      </c>
      <c r="K309">
        <v>9</v>
      </c>
      <c r="L309">
        <f t="shared" si="13"/>
        <v>151.8244</v>
      </c>
      <c r="M309">
        <v>2</v>
      </c>
      <c r="N309" t="str">
        <f t="shared" si="14"/>
        <v>New</v>
      </c>
    </row>
    <row r="310" spans="1:14" x14ac:dyDescent="0.35">
      <c r="A310">
        <v>309</v>
      </c>
      <c r="B310">
        <v>30</v>
      </c>
      <c r="C310" t="str">
        <f t="shared" si="12"/>
        <v>Youth</v>
      </c>
      <c r="D310" t="s">
        <v>16</v>
      </c>
      <c r="E310" t="s">
        <v>17</v>
      </c>
      <c r="F310" t="s">
        <v>18</v>
      </c>
      <c r="G310">
        <v>81.78</v>
      </c>
      <c r="H310" t="s">
        <v>31</v>
      </c>
      <c r="I310" t="s">
        <v>15</v>
      </c>
      <c r="J310">
        <v>2.4</v>
      </c>
      <c r="K310">
        <v>11</v>
      </c>
      <c r="L310">
        <f t="shared" si="13"/>
        <v>72.784199999999998</v>
      </c>
      <c r="M310">
        <v>3</v>
      </c>
      <c r="N310" t="str">
        <f t="shared" si="14"/>
        <v>New</v>
      </c>
    </row>
    <row r="311" spans="1:14" x14ac:dyDescent="0.35">
      <c r="A311">
        <v>310</v>
      </c>
      <c r="B311">
        <v>45</v>
      </c>
      <c r="C311" t="str">
        <f t="shared" si="12"/>
        <v>Adult</v>
      </c>
      <c r="D311" t="s">
        <v>11</v>
      </c>
      <c r="E311" t="s">
        <v>20</v>
      </c>
      <c r="F311" t="s">
        <v>39</v>
      </c>
      <c r="G311">
        <v>80.77</v>
      </c>
      <c r="H311" t="s">
        <v>31</v>
      </c>
      <c r="I311" t="s">
        <v>15</v>
      </c>
      <c r="J311">
        <v>4.5999999999999996</v>
      </c>
      <c r="K311">
        <v>11</v>
      </c>
      <c r="L311">
        <f t="shared" si="13"/>
        <v>71.885300000000001</v>
      </c>
      <c r="M311">
        <v>3</v>
      </c>
      <c r="N311" t="str">
        <f t="shared" si="14"/>
        <v>New</v>
      </c>
    </row>
    <row r="312" spans="1:14" x14ac:dyDescent="0.35">
      <c r="A312">
        <v>311</v>
      </c>
      <c r="B312">
        <v>46</v>
      </c>
      <c r="C312" t="str">
        <f t="shared" si="12"/>
        <v>Adult</v>
      </c>
      <c r="D312" t="s">
        <v>16</v>
      </c>
      <c r="E312" t="s">
        <v>33</v>
      </c>
      <c r="F312" t="s">
        <v>38</v>
      </c>
      <c r="G312">
        <v>118.69</v>
      </c>
      <c r="H312" t="s">
        <v>31</v>
      </c>
      <c r="I312" t="s">
        <v>15</v>
      </c>
      <c r="J312">
        <v>2.7</v>
      </c>
      <c r="K312">
        <v>10</v>
      </c>
      <c r="L312">
        <f t="shared" si="13"/>
        <v>106.821</v>
      </c>
      <c r="M312">
        <v>5</v>
      </c>
      <c r="N312" t="str">
        <f t="shared" si="14"/>
        <v>Regular</v>
      </c>
    </row>
    <row r="313" spans="1:14" x14ac:dyDescent="0.35">
      <c r="A313">
        <v>312</v>
      </c>
      <c r="B313">
        <v>35</v>
      </c>
      <c r="C313" t="str">
        <f t="shared" si="12"/>
        <v>Adult</v>
      </c>
      <c r="D313" t="s">
        <v>11</v>
      </c>
      <c r="E313" t="s">
        <v>29</v>
      </c>
      <c r="F313" t="s">
        <v>55</v>
      </c>
      <c r="G313">
        <v>77.47</v>
      </c>
      <c r="H313" t="s">
        <v>31</v>
      </c>
      <c r="I313" t="s">
        <v>15</v>
      </c>
      <c r="J313">
        <v>4.3</v>
      </c>
      <c r="K313">
        <v>8</v>
      </c>
      <c r="L313">
        <f t="shared" si="13"/>
        <v>71.272400000000005</v>
      </c>
      <c r="M313">
        <v>4</v>
      </c>
      <c r="N313" t="str">
        <f t="shared" si="14"/>
        <v>Regular</v>
      </c>
    </row>
    <row r="314" spans="1:14" x14ac:dyDescent="0.35">
      <c r="A314">
        <v>313</v>
      </c>
      <c r="B314">
        <v>48</v>
      </c>
      <c r="C314" t="str">
        <f t="shared" si="12"/>
        <v>Adult</v>
      </c>
      <c r="D314" t="s">
        <v>11</v>
      </c>
      <c r="E314" t="s">
        <v>12</v>
      </c>
      <c r="F314" t="s">
        <v>56</v>
      </c>
      <c r="G314">
        <v>85.35</v>
      </c>
      <c r="H314" t="s">
        <v>19</v>
      </c>
      <c r="I314" t="s">
        <v>15</v>
      </c>
      <c r="J314">
        <v>4.3</v>
      </c>
      <c r="K314">
        <v>4</v>
      </c>
      <c r="L314">
        <f t="shared" si="13"/>
        <v>81.935999999999993</v>
      </c>
      <c r="M314">
        <v>2</v>
      </c>
      <c r="N314" t="str">
        <f t="shared" si="14"/>
        <v>New</v>
      </c>
    </row>
    <row r="315" spans="1:14" x14ac:dyDescent="0.35">
      <c r="A315">
        <v>314</v>
      </c>
      <c r="B315">
        <v>48</v>
      </c>
      <c r="C315" t="str">
        <f t="shared" si="12"/>
        <v>Adult</v>
      </c>
      <c r="D315" t="s">
        <v>11</v>
      </c>
      <c r="E315" t="s">
        <v>33</v>
      </c>
      <c r="F315" t="s">
        <v>38</v>
      </c>
      <c r="G315">
        <v>102.43</v>
      </c>
      <c r="H315" t="s">
        <v>19</v>
      </c>
      <c r="I315" t="s">
        <v>15</v>
      </c>
      <c r="J315">
        <v>3.6</v>
      </c>
      <c r="K315">
        <v>24</v>
      </c>
      <c r="L315">
        <f t="shared" si="13"/>
        <v>77.846800000000002</v>
      </c>
      <c r="M315">
        <v>7</v>
      </c>
      <c r="N315" t="str">
        <f t="shared" si="14"/>
        <v>Regular</v>
      </c>
    </row>
    <row r="316" spans="1:14" x14ac:dyDescent="0.35">
      <c r="A316">
        <v>315</v>
      </c>
      <c r="B316">
        <v>30</v>
      </c>
      <c r="C316" t="str">
        <f t="shared" si="12"/>
        <v>Youth</v>
      </c>
      <c r="D316" t="s">
        <v>16</v>
      </c>
      <c r="E316" t="s">
        <v>25</v>
      </c>
      <c r="F316" t="s">
        <v>57</v>
      </c>
      <c r="G316">
        <v>11.09</v>
      </c>
      <c r="H316" t="s">
        <v>14</v>
      </c>
      <c r="I316" t="s">
        <v>37</v>
      </c>
      <c r="J316">
        <v>2.8</v>
      </c>
      <c r="K316">
        <v>23</v>
      </c>
      <c r="L316">
        <f t="shared" si="13"/>
        <v>8.5393000000000008</v>
      </c>
      <c r="M316">
        <v>9</v>
      </c>
      <c r="N316" t="str">
        <f t="shared" si="14"/>
        <v>Loyal</v>
      </c>
    </row>
    <row r="317" spans="1:14" x14ac:dyDescent="0.35">
      <c r="A317">
        <v>316</v>
      </c>
      <c r="B317">
        <v>43</v>
      </c>
      <c r="C317" t="str">
        <f t="shared" si="12"/>
        <v>Adult</v>
      </c>
      <c r="D317" t="s">
        <v>16</v>
      </c>
      <c r="E317" t="s">
        <v>20</v>
      </c>
      <c r="F317" t="s">
        <v>36</v>
      </c>
      <c r="G317">
        <v>30.29</v>
      </c>
      <c r="H317" t="s">
        <v>31</v>
      </c>
      <c r="I317" t="s">
        <v>37</v>
      </c>
      <c r="J317">
        <v>2.4</v>
      </c>
      <c r="K317">
        <v>16</v>
      </c>
      <c r="L317">
        <f t="shared" si="13"/>
        <v>25.4436</v>
      </c>
      <c r="M317">
        <v>3</v>
      </c>
      <c r="N317" t="str">
        <f t="shared" si="14"/>
        <v>New</v>
      </c>
    </row>
    <row r="318" spans="1:14" x14ac:dyDescent="0.35">
      <c r="A318">
        <v>317</v>
      </c>
      <c r="B318">
        <v>69</v>
      </c>
      <c r="C318" t="str">
        <f t="shared" si="12"/>
        <v>Senior</v>
      </c>
      <c r="D318" t="s">
        <v>11</v>
      </c>
      <c r="E318" t="s">
        <v>25</v>
      </c>
      <c r="F318" t="s">
        <v>26</v>
      </c>
      <c r="G318">
        <v>79.400000000000006</v>
      </c>
      <c r="H318" t="s">
        <v>24</v>
      </c>
      <c r="I318" t="s">
        <v>15</v>
      </c>
      <c r="J318">
        <v>3.4</v>
      </c>
      <c r="K318">
        <v>15</v>
      </c>
      <c r="L318">
        <f t="shared" si="13"/>
        <v>67.490000000000009</v>
      </c>
      <c r="M318">
        <v>5</v>
      </c>
      <c r="N318" t="str">
        <f t="shared" si="14"/>
        <v>Regular</v>
      </c>
    </row>
    <row r="319" spans="1:14" x14ac:dyDescent="0.35">
      <c r="A319">
        <v>318</v>
      </c>
      <c r="B319">
        <v>22</v>
      </c>
      <c r="C319" t="str">
        <f t="shared" si="12"/>
        <v>Youth</v>
      </c>
      <c r="D319" t="s">
        <v>11</v>
      </c>
      <c r="E319" t="s">
        <v>20</v>
      </c>
      <c r="F319" t="s">
        <v>21</v>
      </c>
      <c r="G319">
        <v>237.38</v>
      </c>
      <c r="H319" t="s">
        <v>19</v>
      </c>
      <c r="I319" t="s">
        <v>15</v>
      </c>
      <c r="J319">
        <v>3.4</v>
      </c>
      <c r="K319">
        <v>7</v>
      </c>
      <c r="L319">
        <f t="shared" si="13"/>
        <v>220.76339999999999</v>
      </c>
      <c r="M319">
        <v>1</v>
      </c>
      <c r="N319" t="str">
        <f t="shared" si="14"/>
        <v>New</v>
      </c>
    </row>
    <row r="320" spans="1:14" x14ac:dyDescent="0.35">
      <c r="A320">
        <v>319</v>
      </c>
      <c r="B320">
        <v>39</v>
      </c>
      <c r="C320" t="str">
        <f t="shared" si="12"/>
        <v>Adult</v>
      </c>
      <c r="D320" t="s">
        <v>11</v>
      </c>
      <c r="E320" t="s">
        <v>25</v>
      </c>
      <c r="F320" t="s">
        <v>54</v>
      </c>
      <c r="G320">
        <v>56.93</v>
      </c>
      <c r="H320" t="s">
        <v>31</v>
      </c>
      <c r="I320" t="s">
        <v>15</v>
      </c>
      <c r="J320">
        <v>4.4000000000000004</v>
      </c>
      <c r="K320">
        <v>8</v>
      </c>
      <c r="L320">
        <f t="shared" si="13"/>
        <v>52.375599999999999</v>
      </c>
      <c r="M320">
        <v>4</v>
      </c>
      <c r="N320" t="str">
        <f t="shared" si="14"/>
        <v>Regular</v>
      </c>
    </row>
    <row r="321" spans="1:14" x14ac:dyDescent="0.35">
      <c r="A321">
        <v>320</v>
      </c>
      <c r="B321">
        <v>60</v>
      </c>
      <c r="C321" t="str">
        <f t="shared" si="12"/>
        <v>Adult</v>
      </c>
      <c r="D321" t="s">
        <v>11</v>
      </c>
      <c r="E321" t="s">
        <v>41</v>
      </c>
      <c r="F321" t="s">
        <v>46</v>
      </c>
      <c r="G321">
        <v>187.91</v>
      </c>
      <c r="H321" t="s">
        <v>19</v>
      </c>
      <c r="I321" t="s">
        <v>15</v>
      </c>
      <c r="J321">
        <v>3.8</v>
      </c>
      <c r="K321">
        <v>4</v>
      </c>
      <c r="L321">
        <f t="shared" si="13"/>
        <v>180.39359999999999</v>
      </c>
      <c r="M321">
        <v>2</v>
      </c>
      <c r="N321" t="str">
        <f t="shared" si="14"/>
        <v>New</v>
      </c>
    </row>
    <row r="322" spans="1:14" x14ac:dyDescent="0.35">
      <c r="A322">
        <v>321</v>
      </c>
      <c r="B322">
        <v>67</v>
      </c>
      <c r="C322" t="str">
        <f t="shared" si="12"/>
        <v>Senior</v>
      </c>
      <c r="D322" t="s">
        <v>11</v>
      </c>
      <c r="E322" t="s">
        <v>41</v>
      </c>
      <c r="F322" t="s">
        <v>46</v>
      </c>
      <c r="G322">
        <v>144.38</v>
      </c>
      <c r="H322" t="s">
        <v>19</v>
      </c>
      <c r="I322" t="s">
        <v>15</v>
      </c>
      <c r="J322">
        <v>3.4</v>
      </c>
      <c r="K322">
        <v>24</v>
      </c>
      <c r="L322">
        <f t="shared" si="13"/>
        <v>109.72879999999999</v>
      </c>
      <c r="M322">
        <v>7</v>
      </c>
      <c r="N322" t="str">
        <f t="shared" si="14"/>
        <v>Regular</v>
      </c>
    </row>
    <row r="323" spans="1:14" x14ac:dyDescent="0.35">
      <c r="A323">
        <v>322</v>
      </c>
      <c r="B323">
        <v>56</v>
      </c>
      <c r="C323" t="str">
        <f t="shared" ref="C323:C386" si="15">IF(B323&lt;=30,"Youth",IF(B323&lt;=45,"Adult",IF(B323&lt;=60,"Adult","Senior")))</f>
        <v>Adult</v>
      </c>
      <c r="D323" t="s">
        <v>11</v>
      </c>
      <c r="E323" t="s">
        <v>22</v>
      </c>
      <c r="F323" t="s">
        <v>23</v>
      </c>
      <c r="G323">
        <v>139.78</v>
      </c>
      <c r="H323" t="s">
        <v>19</v>
      </c>
      <c r="I323" t="s">
        <v>15</v>
      </c>
      <c r="J323">
        <v>3.9</v>
      </c>
      <c r="K323">
        <v>19</v>
      </c>
      <c r="L323">
        <f t="shared" ref="L323:L386" si="16">G323*(1-K323/100)</f>
        <v>113.2218</v>
      </c>
      <c r="M323">
        <v>7</v>
      </c>
      <c r="N323" t="str">
        <f t="shared" ref="N323:N386" si="17">IF(M323&lt;=3,"New",IF(M323&lt;=7,"Regular","Loyal"))</f>
        <v>Regular</v>
      </c>
    </row>
    <row r="324" spans="1:14" x14ac:dyDescent="0.35">
      <c r="A324">
        <v>323</v>
      </c>
      <c r="B324">
        <v>22</v>
      </c>
      <c r="C324" t="str">
        <f t="shared" si="15"/>
        <v>Youth</v>
      </c>
      <c r="D324" t="s">
        <v>16</v>
      </c>
      <c r="E324" t="s">
        <v>20</v>
      </c>
      <c r="F324" t="s">
        <v>39</v>
      </c>
      <c r="G324">
        <v>232.96</v>
      </c>
      <c r="H324" t="s">
        <v>31</v>
      </c>
      <c r="I324" t="s">
        <v>15</v>
      </c>
      <c r="J324">
        <v>4.0999999999999996</v>
      </c>
      <c r="K324">
        <v>6</v>
      </c>
      <c r="L324">
        <f t="shared" si="16"/>
        <v>218.98239999999998</v>
      </c>
      <c r="M324">
        <v>3</v>
      </c>
      <c r="N324" t="str">
        <f t="shared" si="17"/>
        <v>New</v>
      </c>
    </row>
    <row r="325" spans="1:14" x14ac:dyDescent="0.35">
      <c r="A325">
        <v>324</v>
      </c>
      <c r="B325">
        <v>65</v>
      </c>
      <c r="C325" t="str">
        <f t="shared" si="15"/>
        <v>Senior</v>
      </c>
      <c r="D325" t="s">
        <v>11</v>
      </c>
      <c r="E325" t="s">
        <v>29</v>
      </c>
      <c r="F325" t="s">
        <v>55</v>
      </c>
      <c r="G325">
        <v>79.89</v>
      </c>
      <c r="H325" t="s">
        <v>14</v>
      </c>
      <c r="I325" t="s">
        <v>15</v>
      </c>
      <c r="J325">
        <v>5</v>
      </c>
      <c r="K325">
        <v>24</v>
      </c>
      <c r="L325">
        <f t="shared" si="16"/>
        <v>60.7164</v>
      </c>
      <c r="M325">
        <v>7</v>
      </c>
      <c r="N325" t="str">
        <f t="shared" si="17"/>
        <v>Regular</v>
      </c>
    </row>
    <row r="326" spans="1:14" x14ac:dyDescent="0.35">
      <c r="A326">
        <v>325</v>
      </c>
      <c r="B326">
        <v>38</v>
      </c>
      <c r="C326" t="str">
        <f t="shared" si="15"/>
        <v>Adult</v>
      </c>
      <c r="D326" t="s">
        <v>11</v>
      </c>
      <c r="E326" t="s">
        <v>20</v>
      </c>
      <c r="F326" t="s">
        <v>21</v>
      </c>
      <c r="G326">
        <v>240.47</v>
      </c>
      <c r="H326" t="s">
        <v>14</v>
      </c>
      <c r="I326" t="s">
        <v>15</v>
      </c>
      <c r="J326">
        <v>3.4</v>
      </c>
      <c r="K326">
        <v>8</v>
      </c>
      <c r="L326">
        <f t="shared" si="16"/>
        <v>221.23240000000001</v>
      </c>
      <c r="M326">
        <v>4</v>
      </c>
      <c r="N326" t="str">
        <f t="shared" si="17"/>
        <v>Regular</v>
      </c>
    </row>
    <row r="327" spans="1:14" x14ac:dyDescent="0.35">
      <c r="A327">
        <v>326</v>
      </c>
      <c r="B327">
        <v>42</v>
      </c>
      <c r="C327" t="str">
        <f t="shared" si="15"/>
        <v>Adult</v>
      </c>
      <c r="D327" t="s">
        <v>11</v>
      </c>
      <c r="E327" t="s">
        <v>20</v>
      </c>
      <c r="F327" t="s">
        <v>36</v>
      </c>
      <c r="G327">
        <v>124.92</v>
      </c>
      <c r="H327" t="s">
        <v>14</v>
      </c>
      <c r="I327" t="s">
        <v>15</v>
      </c>
      <c r="J327">
        <v>2.2000000000000002</v>
      </c>
      <c r="K327">
        <v>21</v>
      </c>
      <c r="L327">
        <f t="shared" si="16"/>
        <v>98.686800000000005</v>
      </c>
      <c r="M327">
        <v>8</v>
      </c>
      <c r="N327" t="str">
        <f t="shared" si="17"/>
        <v>Loyal</v>
      </c>
    </row>
    <row r="328" spans="1:14" x14ac:dyDescent="0.35">
      <c r="A328">
        <v>327</v>
      </c>
      <c r="B328">
        <v>48</v>
      </c>
      <c r="C328" t="str">
        <f t="shared" si="15"/>
        <v>Adult</v>
      </c>
      <c r="D328" t="s">
        <v>11</v>
      </c>
      <c r="E328" t="s">
        <v>20</v>
      </c>
      <c r="F328" t="s">
        <v>39</v>
      </c>
      <c r="G328">
        <v>174.99</v>
      </c>
      <c r="H328" t="s">
        <v>24</v>
      </c>
      <c r="I328" t="s">
        <v>15</v>
      </c>
      <c r="J328">
        <v>4.4000000000000004</v>
      </c>
      <c r="K328">
        <v>18</v>
      </c>
      <c r="L328">
        <f t="shared" si="16"/>
        <v>143.49180000000001</v>
      </c>
      <c r="M328">
        <v>4</v>
      </c>
      <c r="N328" t="str">
        <f t="shared" si="17"/>
        <v>Regular</v>
      </c>
    </row>
    <row r="329" spans="1:14" x14ac:dyDescent="0.35">
      <c r="A329">
        <v>328</v>
      </c>
      <c r="B329">
        <v>32</v>
      </c>
      <c r="C329" t="str">
        <f t="shared" si="15"/>
        <v>Adult</v>
      </c>
      <c r="D329" t="s">
        <v>11</v>
      </c>
      <c r="E329" t="s">
        <v>33</v>
      </c>
      <c r="F329" t="s">
        <v>38</v>
      </c>
      <c r="G329">
        <v>169.59</v>
      </c>
      <c r="H329" t="s">
        <v>31</v>
      </c>
      <c r="I329" t="s">
        <v>15</v>
      </c>
      <c r="J329">
        <v>4.8</v>
      </c>
      <c r="K329">
        <v>13</v>
      </c>
      <c r="L329">
        <f t="shared" si="16"/>
        <v>147.54330000000002</v>
      </c>
      <c r="M329">
        <v>4</v>
      </c>
      <c r="N329" t="str">
        <f t="shared" si="17"/>
        <v>Regular</v>
      </c>
    </row>
    <row r="330" spans="1:14" x14ac:dyDescent="0.35">
      <c r="A330">
        <v>329</v>
      </c>
      <c r="B330">
        <v>62</v>
      </c>
      <c r="C330" t="str">
        <f t="shared" si="15"/>
        <v>Senior</v>
      </c>
      <c r="D330" t="s">
        <v>16</v>
      </c>
      <c r="E330" t="s">
        <v>20</v>
      </c>
      <c r="F330" t="s">
        <v>39</v>
      </c>
      <c r="G330">
        <v>212.29</v>
      </c>
      <c r="H330" t="s">
        <v>19</v>
      </c>
      <c r="I330" t="s">
        <v>15</v>
      </c>
      <c r="J330">
        <v>5</v>
      </c>
      <c r="K330">
        <v>11</v>
      </c>
      <c r="L330">
        <f t="shared" si="16"/>
        <v>188.93809999999999</v>
      </c>
      <c r="M330">
        <v>3</v>
      </c>
      <c r="N330" t="str">
        <f t="shared" si="17"/>
        <v>New</v>
      </c>
    </row>
    <row r="331" spans="1:14" x14ac:dyDescent="0.35">
      <c r="A331">
        <v>330</v>
      </c>
      <c r="B331">
        <v>57</v>
      </c>
      <c r="C331" t="str">
        <f t="shared" si="15"/>
        <v>Adult</v>
      </c>
      <c r="D331" t="s">
        <v>16</v>
      </c>
      <c r="E331" t="s">
        <v>27</v>
      </c>
      <c r="F331" t="s">
        <v>53</v>
      </c>
      <c r="G331">
        <v>2524.81</v>
      </c>
      <c r="H331" t="s">
        <v>14</v>
      </c>
      <c r="I331" t="s">
        <v>15</v>
      </c>
      <c r="J331">
        <v>3.8</v>
      </c>
      <c r="K331">
        <v>17</v>
      </c>
      <c r="L331">
        <f t="shared" si="16"/>
        <v>2095.5922999999998</v>
      </c>
      <c r="M331">
        <v>6</v>
      </c>
      <c r="N331" t="str">
        <f t="shared" si="17"/>
        <v>Regular</v>
      </c>
    </row>
    <row r="332" spans="1:14" x14ac:dyDescent="0.35">
      <c r="A332">
        <v>331</v>
      </c>
      <c r="B332">
        <v>62</v>
      </c>
      <c r="C332" t="str">
        <f t="shared" si="15"/>
        <v>Senior</v>
      </c>
      <c r="D332" t="s">
        <v>16</v>
      </c>
      <c r="E332" t="s">
        <v>17</v>
      </c>
      <c r="F332" t="s">
        <v>18</v>
      </c>
      <c r="G332">
        <v>83.68</v>
      </c>
      <c r="H332" t="s">
        <v>19</v>
      </c>
      <c r="I332" t="s">
        <v>37</v>
      </c>
      <c r="J332">
        <v>2.9</v>
      </c>
      <c r="K332">
        <v>10</v>
      </c>
      <c r="L332">
        <f t="shared" si="16"/>
        <v>75.312000000000012</v>
      </c>
      <c r="M332">
        <v>5</v>
      </c>
      <c r="N332" t="str">
        <f t="shared" si="17"/>
        <v>Regular</v>
      </c>
    </row>
    <row r="333" spans="1:14" x14ac:dyDescent="0.35">
      <c r="A333">
        <v>332</v>
      </c>
      <c r="B333">
        <v>60</v>
      </c>
      <c r="C333" t="str">
        <f t="shared" si="15"/>
        <v>Adult</v>
      </c>
      <c r="D333" t="s">
        <v>16</v>
      </c>
      <c r="E333" t="s">
        <v>17</v>
      </c>
      <c r="F333" t="s">
        <v>35</v>
      </c>
      <c r="G333">
        <v>128.55000000000001</v>
      </c>
      <c r="H333" t="s">
        <v>19</v>
      </c>
      <c r="I333" t="s">
        <v>15</v>
      </c>
      <c r="J333">
        <v>4.5999999999999996</v>
      </c>
      <c r="K333">
        <v>18</v>
      </c>
      <c r="L333">
        <f t="shared" si="16"/>
        <v>105.41100000000002</v>
      </c>
      <c r="M333">
        <v>4</v>
      </c>
      <c r="N333" t="str">
        <f t="shared" si="17"/>
        <v>Regular</v>
      </c>
    </row>
    <row r="334" spans="1:14" x14ac:dyDescent="0.35">
      <c r="A334">
        <v>333</v>
      </c>
      <c r="B334">
        <v>47</v>
      </c>
      <c r="C334" t="str">
        <f t="shared" si="15"/>
        <v>Adult</v>
      </c>
      <c r="D334" t="s">
        <v>16</v>
      </c>
      <c r="E334" t="s">
        <v>22</v>
      </c>
      <c r="F334" t="s">
        <v>23</v>
      </c>
      <c r="G334">
        <v>284.08</v>
      </c>
      <c r="H334" t="s">
        <v>14</v>
      </c>
      <c r="I334" t="s">
        <v>15</v>
      </c>
      <c r="J334">
        <v>3.3</v>
      </c>
      <c r="K334">
        <v>16</v>
      </c>
      <c r="L334">
        <f t="shared" si="16"/>
        <v>238.62719999999999</v>
      </c>
      <c r="M334">
        <v>3</v>
      </c>
      <c r="N334" t="str">
        <f t="shared" si="17"/>
        <v>New</v>
      </c>
    </row>
    <row r="335" spans="1:14" x14ac:dyDescent="0.35">
      <c r="A335">
        <v>334</v>
      </c>
      <c r="B335">
        <v>57</v>
      </c>
      <c r="C335" t="str">
        <f t="shared" si="15"/>
        <v>Adult</v>
      </c>
      <c r="D335" t="s">
        <v>11</v>
      </c>
      <c r="E335" t="s">
        <v>41</v>
      </c>
      <c r="F335" t="s">
        <v>44</v>
      </c>
      <c r="G335">
        <v>140.29</v>
      </c>
      <c r="H335" t="s">
        <v>14</v>
      </c>
      <c r="I335" t="s">
        <v>15</v>
      </c>
      <c r="J335">
        <v>5</v>
      </c>
      <c r="K335">
        <v>12</v>
      </c>
      <c r="L335">
        <f t="shared" si="16"/>
        <v>123.45519999999999</v>
      </c>
      <c r="M335">
        <v>6</v>
      </c>
      <c r="N335" t="str">
        <f t="shared" si="17"/>
        <v>Regular</v>
      </c>
    </row>
    <row r="336" spans="1:14" x14ac:dyDescent="0.35">
      <c r="A336">
        <v>335</v>
      </c>
      <c r="B336">
        <v>53</v>
      </c>
      <c r="C336" t="str">
        <f t="shared" si="15"/>
        <v>Adult</v>
      </c>
      <c r="D336" t="s">
        <v>11</v>
      </c>
      <c r="E336" t="s">
        <v>12</v>
      </c>
      <c r="F336" t="s">
        <v>56</v>
      </c>
      <c r="G336">
        <v>29.37</v>
      </c>
      <c r="H336" t="s">
        <v>14</v>
      </c>
      <c r="I336" t="s">
        <v>37</v>
      </c>
      <c r="J336">
        <v>3.2</v>
      </c>
      <c r="K336">
        <v>24</v>
      </c>
      <c r="L336">
        <f t="shared" si="16"/>
        <v>22.321200000000001</v>
      </c>
      <c r="M336">
        <v>7</v>
      </c>
      <c r="N336" t="str">
        <f t="shared" si="17"/>
        <v>Regular</v>
      </c>
    </row>
    <row r="337" spans="1:14" x14ac:dyDescent="0.35">
      <c r="A337">
        <v>336</v>
      </c>
      <c r="B337">
        <v>48</v>
      </c>
      <c r="C337" t="str">
        <f t="shared" si="15"/>
        <v>Adult</v>
      </c>
      <c r="D337" t="s">
        <v>11</v>
      </c>
      <c r="E337" t="s">
        <v>12</v>
      </c>
      <c r="F337" t="s">
        <v>50</v>
      </c>
      <c r="G337">
        <v>79.45</v>
      </c>
      <c r="H337" t="s">
        <v>19</v>
      </c>
      <c r="I337" t="s">
        <v>15</v>
      </c>
      <c r="J337">
        <v>4</v>
      </c>
      <c r="K337">
        <v>15</v>
      </c>
      <c r="L337">
        <f t="shared" si="16"/>
        <v>67.532499999999999</v>
      </c>
      <c r="M337">
        <v>5</v>
      </c>
      <c r="N337" t="str">
        <f t="shared" si="17"/>
        <v>Regular</v>
      </c>
    </row>
    <row r="338" spans="1:14" x14ac:dyDescent="0.35">
      <c r="A338">
        <v>337</v>
      </c>
      <c r="B338">
        <v>63</v>
      </c>
      <c r="C338" t="str">
        <f t="shared" si="15"/>
        <v>Senior</v>
      </c>
      <c r="D338" t="s">
        <v>11</v>
      </c>
      <c r="E338" t="s">
        <v>41</v>
      </c>
      <c r="F338" t="s">
        <v>45</v>
      </c>
      <c r="G338">
        <v>77.099999999999994</v>
      </c>
      <c r="H338" t="s">
        <v>24</v>
      </c>
      <c r="I338" t="s">
        <v>37</v>
      </c>
      <c r="J338">
        <v>2.1</v>
      </c>
      <c r="K338">
        <v>17</v>
      </c>
      <c r="L338">
        <f t="shared" si="16"/>
        <v>63.992999999999995</v>
      </c>
      <c r="M338">
        <v>6</v>
      </c>
      <c r="N338" t="str">
        <f t="shared" si="17"/>
        <v>Regular</v>
      </c>
    </row>
    <row r="339" spans="1:14" x14ac:dyDescent="0.35">
      <c r="A339">
        <v>338</v>
      </c>
      <c r="B339">
        <v>49</v>
      </c>
      <c r="C339" t="str">
        <f t="shared" si="15"/>
        <v>Adult</v>
      </c>
      <c r="D339" t="s">
        <v>16</v>
      </c>
      <c r="E339" t="s">
        <v>17</v>
      </c>
      <c r="F339" t="s">
        <v>18</v>
      </c>
      <c r="G339">
        <v>163.61000000000001</v>
      </c>
      <c r="H339" t="s">
        <v>24</v>
      </c>
      <c r="I339" t="s">
        <v>15</v>
      </c>
      <c r="J339">
        <v>2.9</v>
      </c>
      <c r="K339">
        <v>6</v>
      </c>
      <c r="L339">
        <f t="shared" si="16"/>
        <v>153.79339999999999</v>
      </c>
      <c r="M339">
        <v>3</v>
      </c>
      <c r="N339" t="str">
        <f t="shared" si="17"/>
        <v>New</v>
      </c>
    </row>
    <row r="340" spans="1:14" x14ac:dyDescent="0.35">
      <c r="A340">
        <v>339</v>
      </c>
      <c r="B340">
        <v>62</v>
      </c>
      <c r="C340" t="str">
        <f t="shared" si="15"/>
        <v>Senior</v>
      </c>
      <c r="D340" t="s">
        <v>11</v>
      </c>
      <c r="E340" t="s">
        <v>41</v>
      </c>
      <c r="F340" t="s">
        <v>42</v>
      </c>
      <c r="G340">
        <v>34.1</v>
      </c>
      <c r="H340" t="s">
        <v>14</v>
      </c>
      <c r="I340" t="s">
        <v>15</v>
      </c>
      <c r="J340">
        <v>2.8</v>
      </c>
      <c r="K340">
        <v>9</v>
      </c>
      <c r="L340">
        <f t="shared" si="16"/>
        <v>31.031000000000002</v>
      </c>
      <c r="M340">
        <v>2</v>
      </c>
      <c r="N340" t="str">
        <f t="shared" si="17"/>
        <v>New</v>
      </c>
    </row>
    <row r="341" spans="1:14" x14ac:dyDescent="0.35">
      <c r="A341">
        <v>340</v>
      </c>
      <c r="B341">
        <v>50</v>
      </c>
      <c r="C341" t="str">
        <f t="shared" si="15"/>
        <v>Adult</v>
      </c>
      <c r="D341" t="s">
        <v>11</v>
      </c>
      <c r="E341" t="s">
        <v>12</v>
      </c>
      <c r="F341" t="s">
        <v>56</v>
      </c>
      <c r="G341">
        <v>62.32</v>
      </c>
      <c r="H341" t="s">
        <v>24</v>
      </c>
      <c r="I341" t="s">
        <v>15</v>
      </c>
      <c r="J341">
        <v>3.5</v>
      </c>
      <c r="K341">
        <v>18</v>
      </c>
      <c r="L341">
        <f t="shared" si="16"/>
        <v>51.102400000000003</v>
      </c>
      <c r="M341">
        <v>4</v>
      </c>
      <c r="N341" t="str">
        <f t="shared" si="17"/>
        <v>Regular</v>
      </c>
    </row>
    <row r="342" spans="1:14" x14ac:dyDescent="0.35">
      <c r="A342">
        <v>341</v>
      </c>
      <c r="B342">
        <v>35</v>
      </c>
      <c r="C342" t="str">
        <f t="shared" si="15"/>
        <v>Adult</v>
      </c>
      <c r="D342" t="s">
        <v>16</v>
      </c>
      <c r="E342" t="s">
        <v>20</v>
      </c>
      <c r="F342" t="s">
        <v>39</v>
      </c>
      <c r="G342">
        <v>165.77</v>
      </c>
      <c r="H342" t="s">
        <v>31</v>
      </c>
      <c r="I342" t="s">
        <v>15</v>
      </c>
      <c r="J342">
        <v>3.3</v>
      </c>
      <c r="K342">
        <v>14</v>
      </c>
      <c r="L342">
        <f t="shared" si="16"/>
        <v>142.56220000000002</v>
      </c>
      <c r="M342">
        <v>2</v>
      </c>
      <c r="N342" t="str">
        <f t="shared" si="17"/>
        <v>New</v>
      </c>
    </row>
    <row r="343" spans="1:14" x14ac:dyDescent="0.35">
      <c r="A343">
        <v>342</v>
      </c>
      <c r="B343">
        <v>29</v>
      </c>
      <c r="C343" t="str">
        <f t="shared" si="15"/>
        <v>Youth</v>
      </c>
      <c r="D343" t="s">
        <v>16</v>
      </c>
      <c r="E343" t="s">
        <v>33</v>
      </c>
      <c r="F343" t="s">
        <v>38</v>
      </c>
      <c r="G343">
        <v>132.79</v>
      </c>
      <c r="H343" t="s">
        <v>31</v>
      </c>
      <c r="I343" t="s">
        <v>15</v>
      </c>
      <c r="J343">
        <v>4.4000000000000004</v>
      </c>
      <c r="K343">
        <v>14</v>
      </c>
      <c r="L343">
        <f t="shared" si="16"/>
        <v>114.1994</v>
      </c>
      <c r="M343">
        <v>2</v>
      </c>
      <c r="N343" t="str">
        <f t="shared" si="17"/>
        <v>New</v>
      </c>
    </row>
    <row r="344" spans="1:14" x14ac:dyDescent="0.35">
      <c r="A344">
        <v>343</v>
      </c>
      <c r="B344">
        <v>25</v>
      </c>
      <c r="C344" t="str">
        <f t="shared" si="15"/>
        <v>Youth</v>
      </c>
      <c r="D344" t="s">
        <v>11</v>
      </c>
      <c r="E344" t="s">
        <v>29</v>
      </c>
      <c r="F344" t="s">
        <v>55</v>
      </c>
      <c r="G344">
        <v>82.83</v>
      </c>
      <c r="H344" t="s">
        <v>14</v>
      </c>
      <c r="I344" t="s">
        <v>15</v>
      </c>
      <c r="J344">
        <v>4.4000000000000004</v>
      </c>
      <c r="K344">
        <v>8</v>
      </c>
      <c r="L344">
        <f t="shared" si="16"/>
        <v>76.203600000000009</v>
      </c>
      <c r="M344">
        <v>4</v>
      </c>
      <c r="N344" t="str">
        <f t="shared" si="17"/>
        <v>Regular</v>
      </c>
    </row>
    <row r="345" spans="1:14" x14ac:dyDescent="0.35">
      <c r="A345">
        <v>344</v>
      </c>
      <c r="B345">
        <v>28</v>
      </c>
      <c r="C345" t="str">
        <f t="shared" si="15"/>
        <v>Youth</v>
      </c>
      <c r="D345" t="s">
        <v>11</v>
      </c>
      <c r="E345" t="s">
        <v>29</v>
      </c>
      <c r="F345" t="s">
        <v>55</v>
      </c>
      <c r="G345">
        <v>139.28</v>
      </c>
      <c r="H345" t="s">
        <v>14</v>
      </c>
      <c r="I345" t="s">
        <v>15</v>
      </c>
      <c r="J345">
        <v>5</v>
      </c>
      <c r="K345">
        <v>21</v>
      </c>
      <c r="L345">
        <f t="shared" si="16"/>
        <v>110.03120000000001</v>
      </c>
      <c r="M345">
        <v>8</v>
      </c>
      <c r="N345" t="str">
        <f t="shared" si="17"/>
        <v>Loyal</v>
      </c>
    </row>
    <row r="346" spans="1:14" x14ac:dyDescent="0.35">
      <c r="A346">
        <v>345</v>
      </c>
      <c r="B346">
        <v>44</v>
      </c>
      <c r="C346" t="str">
        <f t="shared" si="15"/>
        <v>Adult</v>
      </c>
      <c r="D346" t="s">
        <v>16</v>
      </c>
      <c r="E346" t="s">
        <v>17</v>
      </c>
      <c r="F346" t="s">
        <v>35</v>
      </c>
      <c r="G346">
        <v>145.69</v>
      </c>
      <c r="H346" t="s">
        <v>19</v>
      </c>
      <c r="I346" t="s">
        <v>15</v>
      </c>
      <c r="J346">
        <v>3.4</v>
      </c>
      <c r="K346">
        <v>6</v>
      </c>
      <c r="L346">
        <f t="shared" si="16"/>
        <v>136.9486</v>
      </c>
      <c r="M346">
        <v>3</v>
      </c>
      <c r="N346" t="str">
        <f t="shared" si="17"/>
        <v>New</v>
      </c>
    </row>
    <row r="347" spans="1:14" x14ac:dyDescent="0.35">
      <c r="A347">
        <v>346</v>
      </c>
      <c r="B347">
        <v>47</v>
      </c>
      <c r="C347" t="str">
        <f t="shared" si="15"/>
        <v>Adult</v>
      </c>
      <c r="D347" t="s">
        <v>11</v>
      </c>
      <c r="E347" t="s">
        <v>12</v>
      </c>
      <c r="F347" t="s">
        <v>13</v>
      </c>
      <c r="G347">
        <v>28.87</v>
      </c>
      <c r="H347" t="s">
        <v>14</v>
      </c>
      <c r="I347" t="s">
        <v>37</v>
      </c>
      <c r="J347">
        <v>3</v>
      </c>
      <c r="K347">
        <v>10</v>
      </c>
      <c r="L347">
        <f t="shared" si="16"/>
        <v>25.983000000000001</v>
      </c>
      <c r="M347">
        <v>5</v>
      </c>
      <c r="N347" t="str">
        <f t="shared" si="17"/>
        <v>Regular</v>
      </c>
    </row>
    <row r="348" spans="1:14" x14ac:dyDescent="0.35">
      <c r="A348">
        <v>347</v>
      </c>
      <c r="B348">
        <v>22</v>
      </c>
      <c r="C348" t="str">
        <f t="shared" si="15"/>
        <v>Youth</v>
      </c>
      <c r="D348" t="s">
        <v>11</v>
      </c>
      <c r="E348" t="s">
        <v>33</v>
      </c>
      <c r="F348" t="s">
        <v>38</v>
      </c>
      <c r="G348">
        <v>122.56</v>
      </c>
      <c r="H348" t="s">
        <v>24</v>
      </c>
      <c r="I348" t="s">
        <v>15</v>
      </c>
      <c r="J348">
        <v>4.0999999999999996</v>
      </c>
      <c r="K348">
        <v>14</v>
      </c>
      <c r="L348">
        <f t="shared" si="16"/>
        <v>105.4016</v>
      </c>
      <c r="M348">
        <v>2</v>
      </c>
      <c r="N348" t="str">
        <f t="shared" si="17"/>
        <v>New</v>
      </c>
    </row>
    <row r="349" spans="1:14" x14ac:dyDescent="0.35">
      <c r="A349">
        <v>348</v>
      </c>
      <c r="B349">
        <v>69</v>
      </c>
      <c r="C349" t="str">
        <f t="shared" si="15"/>
        <v>Senior</v>
      </c>
      <c r="D349" t="s">
        <v>16</v>
      </c>
      <c r="E349" t="s">
        <v>33</v>
      </c>
      <c r="F349" t="s">
        <v>40</v>
      </c>
      <c r="G349">
        <v>98.93</v>
      </c>
      <c r="H349" t="s">
        <v>31</v>
      </c>
      <c r="I349" t="s">
        <v>15</v>
      </c>
      <c r="J349">
        <v>3</v>
      </c>
      <c r="K349">
        <v>24</v>
      </c>
      <c r="L349">
        <f t="shared" si="16"/>
        <v>75.186800000000005</v>
      </c>
      <c r="M349">
        <v>7</v>
      </c>
      <c r="N349" t="str">
        <f t="shared" si="17"/>
        <v>Regular</v>
      </c>
    </row>
    <row r="350" spans="1:14" x14ac:dyDescent="0.35">
      <c r="A350">
        <v>349</v>
      </c>
      <c r="B350">
        <v>41</v>
      </c>
      <c r="C350" t="str">
        <f t="shared" si="15"/>
        <v>Adult</v>
      </c>
      <c r="D350" t="s">
        <v>16</v>
      </c>
      <c r="E350" t="s">
        <v>20</v>
      </c>
      <c r="F350" t="s">
        <v>36</v>
      </c>
      <c r="G350">
        <v>207.36</v>
      </c>
      <c r="H350" t="s">
        <v>19</v>
      </c>
      <c r="I350" t="s">
        <v>15</v>
      </c>
      <c r="J350">
        <v>3.9</v>
      </c>
      <c r="K350">
        <v>13</v>
      </c>
      <c r="L350">
        <f t="shared" si="16"/>
        <v>180.4032</v>
      </c>
      <c r="M350">
        <v>4</v>
      </c>
      <c r="N350" t="str">
        <f t="shared" si="17"/>
        <v>Regular</v>
      </c>
    </row>
    <row r="351" spans="1:14" x14ac:dyDescent="0.35">
      <c r="A351">
        <v>350</v>
      </c>
      <c r="B351">
        <v>54</v>
      </c>
      <c r="C351" t="str">
        <f t="shared" si="15"/>
        <v>Adult</v>
      </c>
      <c r="D351" t="s">
        <v>11</v>
      </c>
      <c r="E351" t="s">
        <v>29</v>
      </c>
      <c r="F351" t="s">
        <v>51</v>
      </c>
      <c r="G351">
        <v>87.55</v>
      </c>
      <c r="H351" t="s">
        <v>19</v>
      </c>
      <c r="I351" t="s">
        <v>15</v>
      </c>
      <c r="J351">
        <v>3.6</v>
      </c>
      <c r="K351">
        <v>18</v>
      </c>
      <c r="L351">
        <f t="shared" si="16"/>
        <v>71.790999999999997</v>
      </c>
      <c r="M351">
        <v>4</v>
      </c>
      <c r="N351" t="str">
        <f t="shared" si="17"/>
        <v>Regular</v>
      </c>
    </row>
    <row r="352" spans="1:14" x14ac:dyDescent="0.35">
      <c r="A352">
        <v>351</v>
      </c>
      <c r="B352">
        <v>40</v>
      </c>
      <c r="C352" t="str">
        <f t="shared" si="15"/>
        <v>Adult</v>
      </c>
      <c r="D352" t="s">
        <v>11</v>
      </c>
      <c r="E352" t="s">
        <v>29</v>
      </c>
      <c r="F352" t="s">
        <v>55</v>
      </c>
      <c r="G352">
        <v>47.08</v>
      </c>
      <c r="H352" t="s">
        <v>24</v>
      </c>
      <c r="I352" t="s">
        <v>15</v>
      </c>
      <c r="J352">
        <v>3</v>
      </c>
      <c r="K352">
        <v>12</v>
      </c>
      <c r="L352">
        <f t="shared" si="16"/>
        <v>41.430399999999999</v>
      </c>
      <c r="M352">
        <v>6</v>
      </c>
      <c r="N352" t="str">
        <f t="shared" si="17"/>
        <v>Regular</v>
      </c>
    </row>
    <row r="353" spans="1:14" x14ac:dyDescent="0.35">
      <c r="A353">
        <v>352</v>
      </c>
      <c r="B353">
        <v>63</v>
      </c>
      <c r="C353" t="str">
        <f t="shared" si="15"/>
        <v>Senior</v>
      </c>
      <c r="D353" t="s">
        <v>11</v>
      </c>
      <c r="E353" t="s">
        <v>20</v>
      </c>
      <c r="F353" t="s">
        <v>39</v>
      </c>
      <c r="G353">
        <v>104.84</v>
      </c>
      <c r="H353" t="s">
        <v>19</v>
      </c>
      <c r="I353" t="s">
        <v>15</v>
      </c>
      <c r="J353">
        <v>4.3</v>
      </c>
      <c r="K353">
        <v>18</v>
      </c>
      <c r="L353">
        <f t="shared" si="16"/>
        <v>85.968800000000016</v>
      </c>
      <c r="M353">
        <v>9</v>
      </c>
      <c r="N353" t="str">
        <f t="shared" si="17"/>
        <v>Loyal</v>
      </c>
    </row>
    <row r="354" spans="1:14" x14ac:dyDescent="0.35">
      <c r="A354">
        <v>353</v>
      </c>
      <c r="B354">
        <v>47</v>
      </c>
      <c r="C354" t="str">
        <f t="shared" si="15"/>
        <v>Adult</v>
      </c>
      <c r="D354" t="s">
        <v>16</v>
      </c>
      <c r="E354" t="s">
        <v>17</v>
      </c>
      <c r="F354" t="s">
        <v>18</v>
      </c>
      <c r="G354">
        <v>84.24</v>
      </c>
      <c r="H354" t="s">
        <v>14</v>
      </c>
      <c r="I354" t="s">
        <v>37</v>
      </c>
      <c r="J354">
        <v>3.1</v>
      </c>
      <c r="K354">
        <v>13</v>
      </c>
      <c r="L354">
        <f t="shared" si="16"/>
        <v>73.288799999999995</v>
      </c>
      <c r="M354">
        <v>4</v>
      </c>
      <c r="N354" t="str">
        <f t="shared" si="17"/>
        <v>Regular</v>
      </c>
    </row>
    <row r="355" spans="1:14" x14ac:dyDescent="0.35">
      <c r="A355">
        <v>354</v>
      </c>
      <c r="B355">
        <v>68</v>
      </c>
      <c r="C355" t="str">
        <f t="shared" si="15"/>
        <v>Senior</v>
      </c>
      <c r="D355" t="s">
        <v>11</v>
      </c>
      <c r="E355" t="s">
        <v>29</v>
      </c>
      <c r="F355" t="s">
        <v>30</v>
      </c>
      <c r="G355">
        <v>136.55000000000001</v>
      </c>
      <c r="H355" t="s">
        <v>31</v>
      </c>
      <c r="I355" t="s">
        <v>15</v>
      </c>
      <c r="J355">
        <v>3.6</v>
      </c>
      <c r="K355">
        <v>7</v>
      </c>
      <c r="L355">
        <f t="shared" si="16"/>
        <v>126.9915</v>
      </c>
      <c r="M355">
        <v>1</v>
      </c>
      <c r="N355" t="str">
        <f t="shared" si="17"/>
        <v>New</v>
      </c>
    </row>
    <row r="356" spans="1:14" x14ac:dyDescent="0.35">
      <c r="A356">
        <v>355</v>
      </c>
      <c r="B356">
        <v>53</v>
      </c>
      <c r="C356" t="str">
        <f t="shared" si="15"/>
        <v>Adult</v>
      </c>
      <c r="D356" t="s">
        <v>16</v>
      </c>
      <c r="E356" t="s">
        <v>27</v>
      </c>
      <c r="F356" t="s">
        <v>53</v>
      </c>
      <c r="G356">
        <v>2520.9899999999998</v>
      </c>
      <c r="H356" t="s">
        <v>24</v>
      </c>
      <c r="I356" t="s">
        <v>15</v>
      </c>
      <c r="J356">
        <v>3.1</v>
      </c>
      <c r="K356">
        <v>18</v>
      </c>
      <c r="L356">
        <f t="shared" si="16"/>
        <v>2067.2118</v>
      </c>
      <c r="M356">
        <v>4</v>
      </c>
      <c r="N356" t="str">
        <f t="shared" si="17"/>
        <v>Regular</v>
      </c>
    </row>
    <row r="357" spans="1:14" x14ac:dyDescent="0.35">
      <c r="A357">
        <v>356</v>
      </c>
      <c r="B357">
        <v>25</v>
      </c>
      <c r="C357" t="str">
        <f t="shared" si="15"/>
        <v>Youth</v>
      </c>
      <c r="D357" t="s">
        <v>16</v>
      </c>
      <c r="E357" t="s">
        <v>20</v>
      </c>
      <c r="F357" t="s">
        <v>21</v>
      </c>
      <c r="G357">
        <v>43.35</v>
      </c>
      <c r="H357" t="s">
        <v>31</v>
      </c>
      <c r="I357" t="s">
        <v>15</v>
      </c>
      <c r="J357">
        <v>2.2000000000000002</v>
      </c>
      <c r="K357">
        <v>6</v>
      </c>
      <c r="L357">
        <f t="shared" si="16"/>
        <v>40.749000000000002</v>
      </c>
      <c r="M357">
        <v>3</v>
      </c>
      <c r="N357" t="str">
        <f t="shared" si="17"/>
        <v>New</v>
      </c>
    </row>
    <row r="358" spans="1:14" x14ac:dyDescent="0.35">
      <c r="A358">
        <v>357</v>
      </c>
      <c r="B358">
        <v>34</v>
      </c>
      <c r="C358" t="str">
        <f t="shared" si="15"/>
        <v>Adult</v>
      </c>
      <c r="D358" t="s">
        <v>11</v>
      </c>
      <c r="E358" t="s">
        <v>29</v>
      </c>
      <c r="F358" t="s">
        <v>55</v>
      </c>
      <c r="G358">
        <v>123.83</v>
      </c>
      <c r="H358" t="s">
        <v>19</v>
      </c>
      <c r="I358" t="s">
        <v>15</v>
      </c>
      <c r="J358">
        <v>5</v>
      </c>
      <c r="K358">
        <v>4</v>
      </c>
      <c r="L358">
        <f t="shared" si="16"/>
        <v>118.87679999999999</v>
      </c>
      <c r="M358">
        <v>2</v>
      </c>
      <c r="N358" t="str">
        <f t="shared" si="17"/>
        <v>New</v>
      </c>
    </row>
    <row r="359" spans="1:14" x14ac:dyDescent="0.35">
      <c r="A359">
        <v>358</v>
      </c>
      <c r="B359">
        <v>66</v>
      </c>
      <c r="C359" t="str">
        <f t="shared" si="15"/>
        <v>Senior</v>
      </c>
      <c r="D359" t="s">
        <v>11</v>
      </c>
      <c r="E359" t="s">
        <v>33</v>
      </c>
      <c r="F359" t="s">
        <v>34</v>
      </c>
      <c r="G359">
        <v>194.54</v>
      </c>
      <c r="H359" t="s">
        <v>19</v>
      </c>
      <c r="I359" t="s">
        <v>15</v>
      </c>
      <c r="J359">
        <v>2.6</v>
      </c>
      <c r="K359">
        <v>6</v>
      </c>
      <c r="L359">
        <f t="shared" si="16"/>
        <v>182.86759999999998</v>
      </c>
      <c r="M359">
        <v>3</v>
      </c>
      <c r="N359" t="str">
        <f t="shared" si="17"/>
        <v>New</v>
      </c>
    </row>
    <row r="360" spans="1:14" x14ac:dyDescent="0.35">
      <c r="A360">
        <v>359</v>
      </c>
      <c r="B360">
        <v>30</v>
      </c>
      <c r="C360" t="str">
        <f t="shared" si="15"/>
        <v>Youth</v>
      </c>
      <c r="D360" t="s">
        <v>16</v>
      </c>
      <c r="E360" t="s">
        <v>17</v>
      </c>
      <c r="F360" t="s">
        <v>18</v>
      </c>
      <c r="G360">
        <v>65.61</v>
      </c>
      <c r="H360" t="s">
        <v>31</v>
      </c>
      <c r="I360" t="s">
        <v>15</v>
      </c>
      <c r="J360">
        <v>3.3</v>
      </c>
      <c r="K360">
        <v>16</v>
      </c>
      <c r="L360">
        <f t="shared" si="16"/>
        <v>55.112400000000001</v>
      </c>
      <c r="M360">
        <v>3</v>
      </c>
      <c r="N360" t="str">
        <f t="shared" si="17"/>
        <v>New</v>
      </c>
    </row>
    <row r="361" spans="1:14" x14ac:dyDescent="0.35">
      <c r="A361">
        <v>360</v>
      </c>
      <c r="B361">
        <v>59</v>
      </c>
      <c r="C361" t="str">
        <f t="shared" si="15"/>
        <v>Adult</v>
      </c>
      <c r="D361" t="s">
        <v>11</v>
      </c>
      <c r="E361" t="s">
        <v>12</v>
      </c>
      <c r="F361" t="s">
        <v>13</v>
      </c>
      <c r="G361">
        <v>68.540000000000006</v>
      </c>
      <c r="H361" t="s">
        <v>19</v>
      </c>
      <c r="I361" t="s">
        <v>15</v>
      </c>
      <c r="J361">
        <v>2.7</v>
      </c>
      <c r="K361">
        <v>21</v>
      </c>
      <c r="L361">
        <f t="shared" si="16"/>
        <v>54.146600000000007</v>
      </c>
      <c r="M361">
        <v>8</v>
      </c>
      <c r="N361" t="str">
        <f t="shared" si="17"/>
        <v>Loyal</v>
      </c>
    </row>
    <row r="362" spans="1:14" x14ac:dyDescent="0.35">
      <c r="A362">
        <v>361</v>
      </c>
      <c r="B362">
        <v>22</v>
      </c>
      <c r="C362" t="str">
        <f t="shared" si="15"/>
        <v>Youth</v>
      </c>
      <c r="D362" t="s">
        <v>11</v>
      </c>
      <c r="E362" t="s">
        <v>20</v>
      </c>
      <c r="F362" t="s">
        <v>36</v>
      </c>
      <c r="G362">
        <v>95.48</v>
      </c>
      <c r="H362" t="s">
        <v>24</v>
      </c>
      <c r="I362" t="s">
        <v>37</v>
      </c>
      <c r="J362">
        <v>4.0999999999999996</v>
      </c>
      <c r="K362">
        <v>9</v>
      </c>
      <c r="L362">
        <f t="shared" si="16"/>
        <v>86.886800000000008</v>
      </c>
      <c r="M362">
        <v>2</v>
      </c>
      <c r="N362" t="str">
        <f t="shared" si="17"/>
        <v>New</v>
      </c>
    </row>
    <row r="363" spans="1:14" x14ac:dyDescent="0.35">
      <c r="A363">
        <v>362</v>
      </c>
      <c r="B363">
        <v>23</v>
      </c>
      <c r="C363" t="str">
        <f t="shared" si="15"/>
        <v>Youth</v>
      </c>
      <c r="D363" t="s">
        <v>16</v>
      </c>
      <c r="E363" t="s">
        <v>33</v>
      </c>
      <c r="F363" t="s">
        <v>38</v>
      </c>
      <c r="G363">
        <v>217.69</v>
      </c>
      <c r="H363" t="s">
        <v>19</v>
      </c>
      <c r="I363" t="s">
        <v>15</v>
      </c>
      <c r="J363">
        <v>3.4</v>
      </c>
      <c r="K363">
        <v>18</v>
      </c>
      <c r="L363">
        <f t="shared" si="16"/>
        <v>178.50580000000002</v>
      </c>
      <c r="M363">
        <v>4</v>
      </c>
      <c r="N363" t="str">
        <f t="shared" si="17"/>
        <v>Regular</v>
      </c>
    </row>
    <row r="364" spans="1:14" x14ac:dyDescent="0.35">
      <c r="A364">
        <v>363</v>
      </c>
      <c r="B364">
        <v>59</v>
      </c>
      <c r="C364" t="str">
        <f t="shared" si="15"/>
        <v>Adult</v>
      </c>
      <c r="D364" t="s">
        <v>16</v>
      </c>
      <c r="E364" t="s">
        <v>20</v>
      </c>
      <c r="F364" t="s">
        <v>39</v>
      </c>
      <c r="G364">
        <v>221.98</v>
      </c>
      <c r="H364" t="s">
        <v>31</v>
      </c>
      <c r="I364" t="s">
        <v>15</v>
      </c>
      <c r="J364">
        <v>3</v>
      </c>
      <c r="K364">
        <v>16</v>
      </c>
      <c r="L364">
        <f t="shared" si="16"/>
        <v>186.46319999999997</v>
      </c>
      <c r="M364">
        <v>8</v>
      </c>
      <c r="N364" t="str">
        <f t="shared" si="17"/>
        <v>Loyal</v>
      </c>
    </row>
    <row r="365" spans="1:14" x14ac:dyDescent="0.35">
      <c r="A365">
        <v>364</v>
      </c>
      <c r="B365">
        <v>70</v>
      </c>
      <c r="C365" t="str">
        <f t="shared" si="15"/>
        <v>Senior</v>
      </c>
      <c r="D365" t="s">
        <v>11</v>
      </c>
      <c r="E365" t="s">
        <v>12</v>
      </c>
      <c r="F365" t="s">
        <v>50</v>
      </c>
      <c r="G365">
        <v>157.83000000000001</v>
      </c>
      <c r="H365" t="s">
        <v>31</v>
      </c>
      <c r="I365" t="s">
        <v>15</v>
      </c>
      <c r="J365">
        <v>4.5</v>
      </c>
      <c r="K365">
        <v>24</v>
      </c>
      <c r="L365">
        <f t="shared" si="16"/>
        <v>119.95080000000002</v>
      </c>
      <c r="M365">
        <v>7</v>
      </c>
      <c r="N365" t="str">
        <f t="shared" si="17"/>
        <v>Regular</v>
      </c>
    </row>
    <row r="366" spans="1:14" x14ac:dyDescent="0.35">
      <c r="A366">
        <v>365</v>
      </c>
      <c r="B366">
        <v>28</v>
      </c>
      <c r="C366" t="str">
        <f t="shared" si="15"/>
        <v>Youth</v>
      </c>
      <c r="D366" t="s">
        <v>16</v>
      </c>
      <c r="E366" t="s">
        <v>33</v>
      </c>
      <c r="F366" t="s">
        <v>34</v>
      </c>
      <c r="G366">
        <v>92.99</v>
      </c>
      <c r="H366" t="s">
        <v>24</v>
      </c>
      <c r="I366" t="s">
        <v>15</v>
      </c>
      <c r="J366">
        <v>3.8</v>
      </c>
      <c r="K366">
        <v>16</v>
      </c>
      <c r="L366">
        <f t="shared" si="16"/>
        <v>78.111599999999996</v>
      </c>
      <c r="M366">
        <v>3</v>
      </c>
      <c r="N366" t="str">
        <f t="shared" si="17"/>
        <v>New</v>
      </c>
    </row>
    <row r="367" spans="1:14" x14ac:dyDescent="0.35">
      <c r="A367">
        <v>366</v>
      </c>
      <c r="B367">
        <v>30</v>
      </c>
      <c r="C367" t="str">
        <f t="shared" si="15"/>
        <v>Youth</v>
      </c>
      <c r="D367" t="s">
        <v>11</v>
      </c>
      <c r="E367" t="s">
        <v>41</v>
      </c>
      <c r="F367" t="s">
        <v>44</v>
      </c>
      <c r="G367">
        <v>152.47</v>
      </c>
      <c r="H367" t="s">
        <v>14</v>
      </c>
      <c r="I367" t="s">
        <v>15</v>
      </c>
      <c r="J367">
        <v>4</v>
      </c>
      <c r="K367">
        <v>24</v>
      </c>
      <c r="L367">
        <f t="shared" si="16"/>
        <v>115.8772</v>
      </c>
      <c r="M367">
        <v>7</v>
      </c>
      <c r="N367" t="str">
        <f t="shared" si="17"/>
        <v>Regular</v>
      </c>
    </row>
    <row r="368" spans="1:14" x14ac:dyDescent="0.35">
      <c r="A368">
        <v>367</v>
      </c>
      <c r="B368">
        <v>50</v>
      </c>
      <c r="C368" t="str">
        <f t="shared" si="15"/>
        <v>Adult</v>
      </c>
      <c r="D368" t="s">
        <v>16</v>
      </c>
      <c r="E368" t="s">
        <v>20</v>
      </c>
      <c r="F368" t="s">
        <v>39</v>
      </c>
      <c r="G368">
        <v>162.69999999999999</v>
      </c>
      <c r="H368" t="s">
        <v>31</v>
      </c>
      <c r="I368" t="s">
        <v>15</v>
      </c>
      <c r="J368">
        <v>2.8</v>
      </c>
      <c r="K368">
        <v>11</v>
      </c>
      <c r="L368">
        <f t="shared" si="16"/>
        <v>144.803</v>
      </c>
      <c r="M368">
        <v>3</v>
      </c>
      <c r="N368" t="str">
        <f t="shared" si="17"/>
        <v>New</v>
      </c>
    </row>
    <row r="369" spans="1:14" x14ac:dyDescent="0.35">
      <c r="A369">
        <v>368</v>
      </c>
      <c r="B369">
        <v>66</v>
      </c>
      <c r="C369" t="str">
        <f t="shared" si="15"/>
        <v>Senior</v>
      </c>
      <c r="D369" t="s">
        <v>16</v>
      </c>
      <c r="E369" t="s">
        <v>20</v>
      </c>
      <c r="F369" t="s">
        <v>21</v>
      </c>
      <c r="G369">
        <v>56.33</v>
      </c>
      <c r="H369" t="s">
        <v>19</v>
      </c>
      <c r="I369" t="s">
        <v>37</v>
      </c>
      <c r="J369">
        <v>4.0999999999999996</v>
      </c>
      <c r="K369">
        <v>2</v>
      </c>
      <c r="L369">
        <f t="shared" si="16"/>
        <v>55.203399999999995</v>
      </c>
      <c r="M369">
        <v>1</v>
      </c>
      <c r="N369" t="str">
        <f t="shared" si="17"/>
        <v>New</v>
      </c>
    </row>
    <row r="370" spans="1:14" x14ac:dyDescent="0.35">
      <c r="A370">
        <v>369</v>
      </c>
      <c r="B370">
        <v>34</v>
      </c>
      <c r="C370" t="str">
        <f t="shared" si="15"/>
        <v>Adult</v>
      </c>
      <c r="D370" t="s">
        <v>11</v>
      </c>
      <c r="E370" t="s">
        <v>29</v>
      </c>
      <c r="F370" t="s">
        <v>51</v>
      </c>
      <c r="G370">
        <v>41.77</v>
      </c>
      <c r="H370" t="s">
        <v>24</v>
      </c>
      <c r="I370" t="s">
        <v>37</v>
      </c>
      <c r="J370">
        <v>3.5</v>
      </c>
      <c r="K370">
        <v>4</v>
      </c>
      <c r="L370">
        <f t="shared" si="16"/>
        <v>40.099200000000003</v>
      </c>
      <c r="M370">
        <v>2</v>
      </c>
      <c r="N370" t="str">
        <f t="shared" si="17"/>
        <v>New</v>
      </c>
    </row>
    <row r="371" spans="1:14" x14ac:dyDescent="0.35">
      <c r="A371">
        <v>370</v>
      </c>
      <c r="B371">
        <v>49</v>
      </c>
      <c r="C371" t="str">
        <f t="shared" si="15"/>
        <v>Adult</v>
      </c>
      <c r="D371" t="s">
        <v>16</v>
      </c>
      <c r="E371" t="s">
        <v>27</v>
      </c>
      <c r="F371" t="s">
        <v>49</v>
      </c>
      <c r="G371">
        <v>2544.06</v>
      </c>
      <c r="H371" t="s">
        <v>31</v>
      </c>
      <c r="I371" t="s">
        <v>15</v>
      </c>
      <c r="J371">
        <v>3.6</v>
      </c>
      <c r="K371">
        <v>10</v>
      </c>
      <c r="L371">
        <f t="shared" si="16"/>
        <v>2289.654</v>
      </c>
      <c r="M371">
        <v>5</v>
      </c>
      <c r="N371" t="str">
        <f t="shared" si="17"/>
        <v>Regular</v>
      </c>
    </row>
    <row r="372" spans="1:14" x14ac:dyDescent="0.35">
      <c r="A372">
        <v>371</v>
      </c>
      <c r="B372">
        <v>53</v>
      </c>
      <c r="C372" t="str">
        <f t="shared" si="15"/>
        <v>Adult</v>
      </c>
      <c r="D372" t="s">
        <v>11</v>
      </c>
      <c r="E372" t="s">
        <v>12</v>
      </c>
      <c r="F372" t="s">
        <v>13</v>
      </c>
      <c r="G372">
        <v>89.64</v>
      </c>
      <c r="H372" t="s">
        <v>19</v>
      </c>
      <c r="I372" t="s">
        <v>37</v>
      </c>
      <c r="J372">
        <v>4.0999999999999996</v>
      </c>
      <c r="K372">
        <v>6</v>
      </c>
      <c r="L372">
        <f t="shared" si="16"/>
        <v>84.261600000000001</v>
      </c>
      <c r="M372">
        <v>3</v>
      </c>
      <c r="N372" t="str">
        <f t="shared" si="17"/>
        <v>New</v>
      </c>
    </row>
    <row r="373" spans="1:14" x14ac:dyDescent="0.35">
      <c r="A373">
        <v>372</v>
      </c>
      <c r="B373">
        <v>53</v>
      </c>
      <c r="C373" t="str">
        <f t="shared" si="15"/>
        <v>Adult</v>
      </c>
      <c r="D373" t="s">
        <v>16</v>
      </c>
      <c r="E373" t="s">
        <v>33</v>
      </c>
      <c r="F373" t="s">
        <v>34</v>
      </c>
      <c r="G373">
        <v>224</v>
      </c>
      <c r="H373" t="s">
        <v>14</v>
      </c>
      <c r="I373" t="s">
        <v>15</v>
      </c>
      <c r="J373">
        <v>5</v>
      </c>
      <c r="K373">
        <v>20</v>
      </c>
      <c r="L373">
        <f t="shared" si="16"/>
        <v>179.20000000000002</v>
      </c>
      <c r="M373">
        <v>5</v>
      </c>
      <c r="N373" t="str">
        <f t="shared" si="17"/>
        <v>Regular</v>
      </c>
    </row>
    <row r="374" spans="1:14" x14ac:dyDescent="0.35">
      <c r="A374">
        <v>373</v>
      </c>
      <c r="B374">
        <v>52</v>
      </c>
      <c r="C374" t="str">
        <f t="shared" si="15"/>
        <v>Adult</v>
      </c>
      <c r="D374" t="s">
        <v>11</v>
      </c>
      <c r="E374" t="s">
        <v>12</v>
      </c>
      <c r="F374" t="s">
        <v>56</v>
      </c>
      <c r="G374">
        <v>37.28</v>
      </c>
      <c r="H374" t="s">
        <v>24</v>
      </c>
      <c r="I374" t="s">
        <v>15</v>
      </c>
      <c r="J374">
        <v>3.3</v>
      </c>
      <c r="K374">
        <v>13</v>
      </c>
      <c r="L374">
        <f t="shared" si="16"/>
        <v>32.433599999999998</v>
      </c>
      <c r="M374">
        <v>4</v>
      </c>
      <c r="N374" t="str">
        <f t="shared" si="17"/>
        <v>Regular</v>
      </c>
    </row>
    <row r="375" spans="1:14" x14ac:dyDescent="0.35">
      <c r="A375">
        <v>374</v>
      </c>
      <c r="B375">
        <v>61</v>
      </c>
      <c r="C375" t="str">
        <f t="shared" si="15"/>
        <v>Senior</v>
      </c>
      <c r="D375" t="s">
        <v>16</v>
      </c>
      <c r="E375" t="s">
        <v>33</v>
      </c>
      <c r="F375" t="s">
        <v>34</v>
      </c>
      <c r="G375">
        <v>42.08</v>
      </c>
      <c r="H375" t="s">
        <v>19</v>
      </c>
      <c r="I375" t="s">
        <v>37</v>
      </c>
      <c r="J375">
        <v>2.5</v>
      </c>
      <c r="K375">
        <v>20</v>
      </c>
      <c r="L375">
        <f t="shared" si="16"/>
        <v>33.664000000000001</v>
      </c>
      <c r="M375">
        <v>10</v>
      </c>
      <c r="N375" t="str">
        <f t="shared" si="17"/>
        <v>Loyal</v>
      </c>
    </row>
    <row r="376" spans="1:14" x14ac:dyDescent="0.35">
      <c r="A376">
        <v>375</v>
      </c>
      <c r="B376">
        <v>28</v>
      </c>
      <c r="C376" t="str">
        <f t="shared" si="15"/>
        <v>Youth</v>
      </c>
      <c r="D376" t="s">
        <v>16</v>
      </c>
      <c r="E376" t="s">
        <v>17</v>
      </c>
      <c r="F376" t="s">
        <v>48</v>
      </c>
      <c r="G376">
        <v>50.72</v>
      </c>
      <c r="H376" t="s">
        <v>31</v>
      </c>
      <c r="I376" t="s">
        <v>37</v>
      </c>
      <c r="J376">
        <v>2.6</v>
      </c>
      <c r="K376">
        <v>4</v>
      </c>
      <c r="L376">
        <f t="shared" si="16"/>
        <v>48.691199999999995</v>
      </c>
      <c r="M376">
        <v>2</v>
      </c>
      <c r="N376" t="str">
        <f t="shared" si="17"/>
        <v>New</v>
      </c>
    </row>
    <row r="377" spans="1:14" x14ac:dyDescent="0.35">
      <c r="A377">
        <v>376</v>
      </c>
      <c r="B377">
        <v>54</v>
      </c>
      <c r="C377" t="str">
        <f t="shared" si="15"/>
        <v>Adult</v>
      </c>
      <c r="D377" t="s">
        <v>11</v>
      </c>
      <c r="E377" t="s">
        <v>41</v>
      </c>
      <c r="F377" t="s">
        <v>44</v>
      </c>
      <c r="G377">
        <v>183.9</v>
      </c>
      <c r="H377" t="s">
        <v>19</v>
      </c>
      <c r="I377" t="s">
        <v>15</v>
      </c>
      <c r="J377">
        <v>4</v>
      </c>
      <c r="K377">
        <v>18</v>
      </c>
      <c r="L377">
        <f t="shared" si="16"/>
        <v>150.79800000000003</v>
      </c>
      <c r="M377">
        <v>4</v>
      </c>
      <c r="N377" t="str">
        <f t="shared" si="17"/>
        <v>Regular</v>
      </c>
    </row>
    <row r="378" spans="1:14" x14ac:dyDescent="0.35">
      <c r="A378">
        <v>377</v>
      </c>
      <c r="B378">
        <v>36</v>
      </c>
      <c r="C378" t="str">
        <f t="shared" si="15"/>
        <v>Adult</v>
      </c>
      <c r="D378" t="s">
        <v>11</v>
      </c>
      <c r="E378" t="s">
        <v>29</v>
      </c>
      <c r="F378" t="s">
        <v>30</v>
      </c>
      <c r="G378">
        <v>121.81</v>
      </c>
      <c r="H378" t="s">
        <v>24</v>
      </c>
      <c r="I378" t="s">
        <v>15</v>
      </c>
      <c r="J378">
        <v>3.8</v>
      </c>
      <c r="K378">
        <v>16</v>
      </c>
      <c r="L378">
        <f t="shared" si="16"/>
        <v>102.32039999999999</v>
      </c>
      <c r="M378">
        <v>3</v>
      </c>
      <c r="N378" t="str">
        <f t="shared" si="17"/>
        <v>New</v>
      </c>
    </row>
    <row r="379" spans="1:14" x14ac:dyDescent="0.35">
      <c r="A379">
        <v>378</v>
      </c>
      <c r="B379">
        <v>35</v>
      </c>
      <c r="C379" t="str">
        <f t="shared" si="15"/>
        <v>Adult</v>
      </c>
      <c r="D379" t="s">
        <v>11</v>
      </c>
      <c r="E379" t="s">
        <v>41</v>
      </c>
      <c r="F379" t="s">
        <v>42</v>
      </c>
      <c r="G379">
        <v>66.09</v>
      </c>
      <c r="H379" t="s">
        <v>31</v>
      </c>
      <c r="I379" t="s">
        <v>15</v>
      </c>
      <c r="J379">
        <v>2.9</v>
      </c>
      <c r="K379">
        <v>16</v>
      </c>
      <c r="L379">
        <f t="shared" si="16"/>
        <v>55.515599999999999</v>
      </c>
      <c r="M379">
        <v>3</v>
      </c>
      <c r="N379" t="str">
        <f t="shared" si="17"/>
        <v>New</v>
      </c>
    </row>
    <row r="380" spans="1:14" x14ac:dyDescent="0.35">
      <c r="A380">
        <v>379</v>
      </c>
      <c r="B380">
        <v>63</v>
      </c>
      <c r="C380" t="str">
        <f t="shared" si="15"/>
        <v>Senior</v>
      </c>
      <c r="D380" t="s">
        <v>16</v>
      </c>
      <c r="E380" t="s">
        <v>33</v>
      </c>
      <c r="F380" t="s">
        <v>34</v>
      </c>
      <c r="G380">
        <v>119.18</v>
      </c>
      <c r="H380" t="s">
        <v>19</v>
      </c>
      <c r="I380" t="s">
        <v>15</v>
      </c>
      <c r="J380">
        <v>4.5</v>
      </c>
      <c r="K380">
        <v>8</v>
      </c>
      <c r="L380">
        <f t="shared" si="16"/>
        <v>109.64560000000002</v>
      </c>
      <c r="M380">
        <v>4</v>
      </c>
      <c r="N380" t="str">
        <f t="shared" si="17"/>
        <v>Regular</v>
      </c>
    </row>
    <row r="381" spans="1:14" x14ac:dyDescent="0.35">
      <c r="A381">
        <v>380</v>
      </c>
      <c r="B381">
        <v>51</v>
      </c>
      <c r="C381" t="str">
        <f t="shared" si="15"/>
        <v>Adult</v>
      </c>
      <c r="D381" t="s">
        <v>16</v>
      </c>
      <c r="E381" t="s">
        <v>17</v>
      </c>
      <c r="F381" t="s">
        <v>48</v>
      </c>
      <c r="G381">
        <v>123</v>
      </c>
      <c r="H381" t="s">
        <v>24</v>
      </c>
      <c r="I381" t="s">
        <v>15</v>
      </c>
      <c r="J381">
        <v>3.6</v>
      </c>
      <c r="K381">
        <v>11</v>
      </c>
      <c r="L381">
        <f t="shared" si="16"/>
        <v>109.47</v>
      </c>
      <c r="M381">
        <v>3</v>
      </c>
      <c r="N381" t="str">
        <f t="shared" si="17"/>
        <v>New</v>
      </c>
    </row>
    <row r="382" spans="1:14" x14ac:dyDescent="0.35">
      <c r="A382">
        <v>381</v>
      </c>
      <c r="B382">
        <v>26</v>
      </c>
      <c r="C382" t="str">
        <f t="shared" si="15"/>
        <v>Youth</v>
      </c>
      <c r="D382" t="s">
        <v>16</v>
      </c>
      <c r="E382" t="s">
        <v>17</v>
      </c>
      <c r="F382" t="s">
        <v>18</v>
      </c>
      <c r="G382">
        <v>37.33</v>
      </c>
      <c r="H382" t="s">
        <v>19</v>
      </c>
      <c r="I382" t="s">
        <v>15</v>
      </c>
      <c r="J382">
        <v>3.6</v>
      </c>
      <c r="K382">
        <v>20</v>
      </c>
      <c r="L382">
        <f t="shared" si="16"/>
        <v>29.864000000000001</v>
      </c>
      <c r="M382">
        <v>5</v>
      </c>
      <c r="N382" t="str">
        <f t="shared" si="17"/>
        <v>Regular</v>
      </c>
    </row>
    <row r="383" spans="1:14" x14ac:dyDescent="0.35">
      <c r="A383">
        <v>382</v>
      </c>
      <c r="B383">
        <v>54</v>
      </c>
      <c r="C383" t="str">
        <f t="shared" si="15"/>
        <v>Adult</v>
      </c>
      <c r="D383" t="s">
        <v>16</v>
      </c>
      <c r="E383" t="s">
        <v>27</v>
      </c>
      <c r="F383" t="s">
        <v>28</v>
      </c>
      <c r="G383">
        <v>1625.71</v>
      </c>
      <c r="H383" t="s">
        <v>19</v>
      </c>
      <c r="I383" t="s">
        <v>15</v>
      </c>
      <c r="J383">
        <v>5</v>
      </c>
      <c r="K383">
        <v>26</v>
      </c>
      <c r="L383">
        <f t="shared" si="16"/>
        <v>1203.0254</v>
      </c>
      <c r="M383">
        <v>13</v>
      </c>
      <c r="N383" t="str">
        <f t="shared" si="17"/>
        <v>Loyal</v>
      </c>
    </row>
    <row r="384" spans="1:14" x14ac:dyDescent="0.35">
      <c r="A384">
        <v>383</v>
      </c>
      <c r="B384">
        <v>70</v>
      </c>
      <c r="C384" t="str">
        <f t="shared" si="15"/>
        <v>Senior</v>
      </c>
      <c r="D384" t="s">
        <v>16</v>
      </c>
      <c r="E384" t="s">
        <v>33</v>
      </c>
      <c r="F384" t="s">
        <v>40</v>
      </c>
      <c r="G384">
        <v>150.47999999999999</v>
      </c>
      <c r="H384" t="s">
        <v>19</v>
      </c>
      <c r="I384" t="s">
        <v>15</v>
      </c>
      <c r="J384">
        <v>4.5999999999999996</v>
      </c>
      <c r="K384">
        <v>12</v>
      </c>
      <c r="L384">
        <f t="shared" si="16"/>
        <v>132.42239999999998</v>
      </c>
      <c r="M384">
        <v>6</v>
      </c>
      <c r="N384" t="str">
        <f t="shared" si="17"/>
        <v>Regular</v>
      </c>
    </row>
    <row r="385" spans="1:14" x14ac:dyDescent="0.35">
      <c r="A385">
        <v>384</v>
      </c>
      <c r="B385">
        <v>45</v>
      </c>
      <c r="C385" t="str">
        <f t="shared" si="15"/>
        <v>Adult</v>
      </c>
      <c r="D385" t="s">
        <v>16</v>
      </c>
      <c r="E385" t="s">
        <v>27</v>
      </c>
      <c r="F385" t="s">
        <v>49</v>
      </c>
      <c r="G385">
        <v>1400.99</v>
      </c>
      <c r="H385" t="s">
        <v>24</v>
      </c>
      <c r="I385" t="s">
        <v>15</v>
      </c>
      <c r="J385">
        <v>2.8</v>
      </c>
      <c r="K385">
        <v>6</v>
      </c>
      <c r="L385">
        <f t="shared" si="16"/>
        <v>1316.9305999999999</v>
      </c>
      <c r="M385">
        <v>3</v>
      </c>
      <c r="N385" t="str">
        <f t="shared" si="17"/>
        <v>New</v>
      </c>
    </row>
    <row r="386" spans="1:14" x14ac:dyDescent="0.35">
      <c r="A386">
        <v>385</v>
      </c>
      <c r="B386">
        <v>43</v>
      </c>
      <c r="C386" t="str">
        <f t="shared" si="15"/>
        <v>Adult</v>
      </c>
      <c r="D386" t="s">
        <v>16</v>
      </c>
      <c r="E386" t="s">
        <v>20</v>
      </c>
      <c r="F386" t="s">
        <v>21</v>
      </c>
      <c r="G386">
        <v>80.25</v>
      </c>
      <c r="H386" t="s">
        <v>24</v>
      </c>
      <c r="I386" t="s">
        <v>15</v>
      </c>
      <c r="J386">
        <v>3.9</v>
      </c>
      <c r="K386">
        <v>17</v>
      </c>
      <c r="L386">
        <f t="shared" si="16"/>
        <v>66.607500000000002</v>
      </c>
      <c r="M386">
        <v>6</v>
      </c>
      <c r="N386" t="str">
        <f t="shared" si="17"/>
        <v>Regular</v>
      </c>
    </row>
    <row r="387" spans="1:14" x14ac:dyDescent="0.35">
      <c r="A387">
        <v>386</v>
      </c>
      <c r="B387">
        <v>37</v>
      </c>
      <c r="C387" t="str">
        <f t="shared" ref="C387:C450" si="18">IF(B387&lt;=30,"Youth",IF(B387&lt;=45,"Adult",IF(B387&lt;=60,"Adult","Senior")))</f>
        <v>Adult</v>
      </c>
      <c r="D387" t="s">
        <v>11</v>
      </c>
      <c r="E387" t="s">
        <v>25</v>
      </c>
      <c r="F387" t="s">
        <v>47</v>
      </c>
      <c r="G387">
        <v>29.59</v>
      </c>
      <c r="H387" t="s">
        <v>31</v>
      </c>
      <c r="I387" t="s">
        <v>15</v>
      </c>
      <c r="J387">
        <v>4.7</v>
      </c>
      <c r="K387">
        <v>24</v>
      </c>
      <c r="L387">
        <f t="shared" ref="L387:L450" si="19">G387*(1-K387/100)</f>
        <v>22.488399999999999</v>
      </c>
      <c r="M387">
        <v>7</v>
      </c>
      <c r="N387" t="str">
        <f t="shared" ref="N387:N450" si="20">IF(M387&lt;=3,"New",IF(M387&lt;=7,"Regular","Loyal"))</f>
        <v>Regular</v>
      </c>
    </row>
    <row r="388" spans="1:14" x14ac:dyDescent="0.35">
      <c r="A388">
        <v>387</v>
      </c>
      <c r="B388">
        <v>47</v>
      </c>
      <c r="C388" t="str">
        <f t="shared" si="18"/>
        <v>Adult</v>
      </c>
      <c r="D388" t="s">
        <v>16</v>
      </c>
      <c r="E388" t="s">
        <v>17</v>
      </c>
      <c r="F388" t="s">
        <v>35</v>
      </c>
      <c r="G388">
        <v>112.86</v>
      </c>
      <c r="H388" t="s">
        <v>24</v>
      </c>
      <c r="I388" t="s">
        <v>15</v>
      </c>
      <c r="J388">
        <v>4.5999999999999996</v>
      </c>
      <c r="K388">
        <v>14</v>
      </c>
      <c r="L388">
        <f t="shared" si="19"/>
        <v>97.059600000000003</v>
      </c>
      <c r="M388">
        <v>7</v>
      </c>
      <c r="N388" t="str">
        <f t="shared" si="20"/>
        <v>Regular</v>
      </c>
    </row>
    <row r="389" spans="1:14" x14ac:dyDescent="0.35">
      <c r="A389">
        <v>388</v>
      </c>
      <c r="B389">
        <v>45</v>
      </c>
      <c r="C389" t="str">
        <f t="shared" si="18"/>
        <v>Adult</v>
      </c>
      <c r="D389" t="s">
        <v>16</v>
      </c>
      <c r="E389" t="s">
        <v>20</v>
      </c>
      <c r="F389" t="s">
        <v>21</v>
      </c>
      <c r="G389">
        <v>160.31</v>
      </c>
      <c r="H389" t="s">
        <v>24</v>
      </c>
      <c r="I389" t="s">
        <v>15</v>
      </c>
      <c r="J389">
        <v>3</v>
      </c>
      <c r="K389">
        <v>6</v>
      </c>
      <c r="L389">
        <f t="shared" si="19"/>
        <v>150.69139999999999</v>
      </c>
      <c r="M389">
        <v>3</v>
      </c>
      <c r="N389" t="str">
        <f t="shared" si="20"/>
        <v>New</v>
      </c>
    </row>
    <row r="390" spans="1:14" x14ac:dyDescent="0.35">
      <c r="A390">
        <v>389</v>
      </c>
      <c r="B390">
        <v>44</v>
      </c>
      <c r="C390" t="str">
        <f t="shared" si="18"/>
        <v>Adult</v>
      </c>
      <c r="D390" t="s">
        <v>11</v>
      </c>
      <c r="E390" t="s">
        <v>22</v>
      </c>
      <c r="F390" t="s">
        <v>43</v>
      </c>
      <c r="G390">
        <v>155.34</v>
      </c>
      <c r="H390" t="s">
        <v>24</v>
      </c>
      <c r="I390" t="s">
        <v>15</v>
      </c>
      <c r="J390">
        <v>4.5</v>
      </c>
      <c r="K390">
        <v>13</v>
      </c>
      <c r="L390">
        <f t="shared" si="19"/>
        <v>135.14580000000001</v>
      </c>
      <c r="M390">
        <v>4</v>
      </c>
      <c r="N390" t="str">
        <f t="shared" si="20"/>
        <v>Regular</v>
      </c>
    </row>
    <row r="391" spans="1:14" x14ac:dyDescent="0.35">
      <c r="A391">
        <v>390</v>
      </c>
      <c r="B391">
        <v>39</v>
      </c>
      <c r="C391" t="str">
        <f t="shared" si="18"/>
        <v>Adult</v>
      </c>
      <c r="D391" t="s">
        <v>16</v>
      </c>
      <c r="E391" t="s">
        <v>25</v>
      </c>
      <c r="F391" t="s">
        <v>54</v>
      </c>
      <c r="G391">
        <v>76.790000000000006</v>
      </c>
      <c r="H391" t="s">
        <v>24</v>
      </c>
      <c r="I391" t="s">
        <v>37</v>
      </c>
      <c r="J391">
        <v>3.3</v>
      </c>
      <c r="K391">
        <v>19</v>
      </c>
      <c r="L391">
        <f t="shared" si="19"/>
        <v>62.199900000000007</v>
      </c>
      <c r="M391">
        <v>7</v>
      </c>
      <c r="N391" t="str">
        <f t="shared" si="20"/>
        <v>Regular</v>
      </c>
    </row>
    <row r="392" spans="1:14" x14ac:dyDescent="0.35">
      <c r="A392">
        <v>391</v>
      </c>
      <c r="B392">
        <v>42</v>
      </c>
      <c r="C392" t="str">
        <f t="shared" si="18"/>
        <v>Adult</v>
      </c>
      <c r="D392" t="s">
        <v>16</v>
      </c>
      <c r="E392" t="s">
        <v>27</v>
      </c>
      <c r="F392" t="s">
        <v>28</v>
      </c>
      <c r="G392">
        <v>845.92</v>
      </c>
      <c r="H392" t="s">
        <v>14</v>
      </c>
      <c r="I392" t="s">
        <v>15</v>
      </c>
      <c r="J392">
        <v>2.9</v>
      </c>
      <c r="K392">
        <v>25</v>
      </c>
      <c r="L392">
        <f t="shared" si="19"/>
        <v>634.43999999999994</v>
      </c>
      <c r="M392">
        <v>10</v>
      </c>
      <c r="N392" t="str">
        <f t="shared" si="20"/>
        <v>Loyal</v>
      </c>
    </row>
    <row r="393" spans="1:14" x14ac:dyDescent="0.35">
      <c r="A393">
        <v>392</v>
      </c>
      <c r="B393">
        <v>26</v>
      </c>
      <c r="C393" t="str">
        <f t="shared" si="18"/>
        <v>Youth</v>
      </c>
      <c r="D393" t="s">
        <v>11</v>
      </c>
      <c r="E393" t="s">
        <v>41</v>
      </c>
      <c r="F393" t="s">
        <v>42</v>
      </c>
      <c r="G393">
        <v>177.84</v>
      </c>
      <c r="H393" t="s">
        <v>24</v>
      </c>
      <c r="I393" t="s">
        <v>15</v>
      </c>
      <c r="J393">
        <v>4.5</v>
      </c>
      <c r="K393">
        <v>13</v>
      </c>
      <c r="L393">
        <f t="shared" si="19"/>
        <v>154.7208</v>
      </c>
      <c r="M393">
        <v>4</v>
      </c>
      <c r="N393" t="str">
        <f t="shared" si="20"/>
        <v>Regular</v>
      </c>
    </row>
    <row r="394" spans="1:14" x14ac:dyDescent="0.35">
      <c r="A394">
        <v>393</v>
      </c>
      <c r="B394">
        <v>42</v>
      </c>
      <c r="C394" t="str">
        <f t="shared" si="18"/>
        <v>Adult</v>
      </c>
      <c r="D394" t="s">
        <v>16</v>
      </c>
      <c r="E394" t="s">
        <v>33</v>
      </c>
      <c r="F394" t="s">
        <v>38</v>
      </c>
      <c r="G394">
        <v>81.260000000000005</v>
      </c>
      <c r="H394" t="s">
        <v>31</v>
      </c>
      <c r="I394" t="s">
        <v>15</v>
      </c>
      <c r="J394">
        <v>4.0999999999999996</v>
      </c>
      <c r="K394">
        <v>14</v>
      </c>
      <c r="L394">
        <f t="shared" si="19"/>
        <v>69.883600000000001</v>
      </c>
      <c r="M394">
        <v>2</v>
      </c>
      <c r="N394" t="str">
        <f t="shared" si="20"/>
        <v>New</v>
      </c>
    </row>
    <row r="395" spans="1:14" x14ac:dyDescent="0.35">
      <c r="A395">
        <v>394</v>
      </c>
      <c r="B395">
        <v>33</v>
      </c>
      <c r="C395" t="str">
        <f t="shared" si="18"/>
        <v>Adult</v>
      </c>
      <c r="D395" t="s">
        <v>16</v>
      </c>
      <c r="E395" t="s">
        <v>20</v>
      </c>
      <c r="F395" t="s">
        <v>36</v>
      </c>
      <c r="G395">
        <v>143.71</v>
      </c>
      <c r="H395" t="s">
        <v>31</v>
      </c>
      <c r="I395" t="s">
        <v>15</v>
      </c>
      <c r="J395">
        <v>3.9</v>
      </c>
      <c r="K395">
        <v>11</v>
      </c>
      <c r="L395">
        <f t="shared" si="19"/>
        <v>127.90190000000001</v>
      </c>
      <c r="M395">
        <v>3</v>
      </c>
      <c r="N395" t="str">
        <f t="shared" si="20"/>
        <v>New</v>
      </c>
    </row>
    <row r="396" spans="1:14" x14ac:dyDescent="0.35">
      <c r="A396">
        <v>395</v>
      </c>
      <c r="B396">
        <v>70</v>
      </c>
      <c r="C396" t="str">
        <f t="shared" si="18"/>
        <v>Senior</v>
      </c>
      <c r="D396" t="s">
        <v>16</v>
      </c>
      <c r="E396" t="s">
        <v>20</v>
      </c>
      <c r="F396" t="s">
        <v>36</v>
      </c>
      <c r="G396">
        <v>62.41</v>
      </c>
      <c r="H396" t="s">
        <v>31</v>
      </c>
      <c r="I396" t="s">
        <v>37</v>
      </c>
      <c r="J396">
        <v>3.7</v>
      </c>
      <c r="K396">
        <v>28</v>
      </c>
      <c r="L396">
        <f t="shared" si="19"/>
        <v>44.935199999999995</v>
      </c>
      <c r="M396">
        <v>9</v>
      </c>
      <c r="N396" t="str">
        <f t="shared" si="20"/>
        <v>Loyal</v>
      </c>
    </row>
    <row r="397" spans="1:14" x14ac:dyDescent="0.35">
      <c r="A397">
        <v>396</v>
      </c>
      <c r="B397">
        <v>55</v>
      </c>
      <c r="C397" t="str">
        <f t="shared" si="18"/>
        <v>Adult</v>
      </c>
      <c r="D397" t="s">
        <v>11</v>
      </c>
      <c r="E397" t="s">
        <v>33</v>
      </c>
      <c r="F397" t="s">
        <v>40</v>
      </c>
      <c r="G397">
        <v>120.97</v>
      </c>
      <c r="H397" t="s">
        <v>31</v>
      </c>
      <c r="I397" t="s">
        <v>15</v>
      </c>
      <c r="J397">
        <v>2.9</v>
      </c>
      <c r="K397">
        <v>20</v>
      </c>
      <c r="L397">
        <f t="shared" si="19"/>
        <v>96.77600000000001</v>
      </c>
      <c r="M397">
        <v>5</v>
      </c>
      <c r="N397" t="str">
        <f t="shared" si="20"/>
        <v>Regular</v>
      </c>
    </row>
    <row r="398" spans="1:14" x14ac:dyDescent="0.35">
      <c r="A398">
        <v>397</v>
      </c>
      <c r="B398">
        <v>28</v>
      </c>
      <c r="C398" t="str">
        <f t="shared" si="18"/>
        <v>Youth</v>
      </c>
      <c r="D398" t="s">
        <v>16</v>
      </c>
      <c r="E398" t="s">
        <v>17</v>
      </c>
      <c r="F398" t="s">
        <v>42</v>
      </c>
      <c r="G398">
        <v>176.62</v>
      </c>
      <c r="H398" t="s">
        <v>19</v>
      </c>
      <c r="I398" t="s">
        <v>15</v>
      </c>
      <c r="J398">
        <v>3.7</v>
      </c>
      <c r="K398">
        <v>16</v>
      </c>
      <c r="L398">
        <f t="shared" si="19"/>
        <v>148.36080000000001</v>
      </c>
      <c r="M398">
        <v>3</v>
      </c>
      <c r="N398" t="str">
        <f t="shared" si="20"/>
        <v>New</v>
      </c>
    </row>
    <row r="399" spans="1:14" x14ac:dyDescent="0.35">
      <c r="A399">
        <v>398</v>
      </c>
      <c r="B399">
        <v>27</v>
      </c>
      <c r="C399" t="str">
        <f t="shared" si="18"/>
        <v>Youth</v>
      </c>
      <c r="D399" t="s">
        <v>16</v>
      </c>
      <c r="E399" t="s">
        <v>27</v>
      </c>
      <c r="F399" t="s">
        <v>49</v>
      </c>
      <c r="G399">
        <v>1091.52</v>
      </c>
      <c r="H399" t="s">
        <v>31</v>
      </c>
      <c r="I399" t="s">
        <v>15</v>
      </c>
      <c r="J399">
        <v>4.9000000000000004</v>
      </c>
      <c r="K399">
        <v>11</v>
      </c>
      <c r="L399">
        <f t="shared" si="19"/>
        <v>971.45280000000002</v>
      </c>
      <c r="M399">
        <v>3</v>
      </c>
      <c r="N399" t="str">
        <f t="shared" si="20"/>
        <v>New</v>
      </c>
    </row>
    <row r="400" spans="1:14" x14ac:dyDescent="0.35">
      <c r="A400">
        <v>399</v>
      </c>
      <c r="B400">
        <v>29</v>
      </c>
      <c r="C400" t="str">
        <f t="shared" si="18"/>
        <v>Youth</v>
      </c>
      <c r="D400" t="s">
        <v>11</v>
      </c>
      <c r="E400" t="s">
        <v>41</v>
      </c>
      <c r="F400" t="s">
        <v>42</v>
      </c>
      <c r="G400">
        <v>196.8</v>
      </c>
      <c r="H400" t="s">
        <v>31</v>
      </c>
      <c r="I400" t="s">
        <v>15</v>
      </c>
      <c r="J400">
        <v>3.7</v>
      </c>
      <c r="K400">
        <v>26</v>
      </c>
      <c r="L400">
        <f t="shared" si="19"/>
        <v>145.63200000000001</v>
      </c>
      <c r="M400">
        <v>8</v>
      </c>
      <c r="N400" t="str">
        <f t="shared" si="20"/>
        <v>Loyal</v>
      </c>
    </row>
    <row r="401" spans="1:14" x14ac:dyDescent="0.35">
      <c r="A401">
        <v>400</v>
      </c>
      <c r="B401">
        <v>70</v>
      </c>
      <c r="C401" t="str">
        <f t="shared" si="18"/>
        <v>Senior</v>
      </c>
      <c r="D401" t="s">
        <v>11</v>
      </c>
      <c r="E401" t="s">
        <v>41</v>
      </c>
      <c r="F401" t="s">
        <v>45</v>
      </c>
      <c r="G401">
        <v>89.53</v>
      </c>
      <c r="H401" t="s">
        <v>19</v>
      </c>
      <c r="I401" t="s">
        <v>37</v>
      </c>
      <c r="J401">
        <v>3.8</v>
      </c>
      <c r="K401">
        <v>16</v>
      </c>
      <c r="L401">
        <f t="shared" si="19"/>
        <v>75.205200000000005</v>
      </c>
      <c r="M401">
        <v>8</v>
      </c>
      <c r="N401" t="str">
        <f t="shared" si="20"/>
        <v>Loyal</v>
      </c>
    </row>
    <row r="402" spans="1:14" x14ac:dyDescent="0.35">
      <c r="A402">
        <v>401</v>
      </c>
      <c r="B402">
        <v>38</v>
      </c>
      <c r="C402" t="str">
        <f t="shared" si="18"/>
        <v>Adult</v>
      </c>
      <c r="D402" t="s">
        <v>11</v>
      </c>
      <c r="E402" t="s">
        <v>12</v>
      </c>
      <c r="F402" t="s">
        <v>56</v>
      </c>
      <c r="G402">
        <v>141.24</v>
      </c>
      <c r="H402" t="s">
        <v>19</v>
      </c>
      <c r="I402" t="s">
        <v>15</v>
      </c>
      <c r="J402">
        <v>3.9</v>
      </c>
      <c r="K402">
        <v>11</v>
      </c>
      <c r="L402">
        <f t="shared" si="19"/>
        <v>125.70360000000001</v>
      </c>
      <c r="M402">
        <v>3</v>
      </c>
      <c r="N402" t="str">
        <f t="shared" si="20"/>
        <v>New</v>
      </c>
    </row>
    <row r="403" spans="1:14" x14ac:dyDescent="0.35">
      <c r="A403">
        <v>402</v>
      </c>
      <c r="B403">
        <v>32</v>
      </c>
      <c r="C403" t="str">
        <f t="shared" si="18"/>
        <v>Adult</v>
      </c>
      <c r="D403" t="s">
        <v>16</v>
      </c>
      <c r="E403" t="s">
        <v>17</v>
      </c>
      <c r="F403" t="s">
        <v>35</v>
      </c>
      <c r="G403">
        <v>125.07</v>
      </c>
      <c r="H403" t="s">
        <v>24</v>
      </c>
      <c r="I403" t="s">
        <v>15</v>
      </c>
      <c r="J403">
        <v>4.2</v>
      </c>
      <c r="K403">
        <v>9</v>
      </c>
      <c r="L403">
        <f t="shared" si="19"/>
        <v>113.8137</v>
      </c>
      <c r="M403">
        <v>2</v>
      </c>
      <c r="N403" t="str">
        <f t="shared" si="20"/>
        <v>New</v>
      </c>
    </row>
    <row r="404" spans="1:14" x14ac:dyDescent="0.35">
      <c r="A404">
        <v>403</v>
      </c>
      <c r="B404">
        <v>56</v>
      </c>
      <c r="C404" t="str">
        <f t="shared" si="18"/>
        <v>Adult</v>
      </c>
      <c r="D404" t="s">
        <v>11</v>
      </c>
      <c r="E404" t="s">
        <v>12</v>
      </c>
      <c r="F404" t="s">
        <v>13</v>
      </c>
      <c r="G404">
        <v>83.05</v>
      </c>
      <c r="H404" t="s">
        <v>14</v>
      </c>
      <c r="I404" t="s">
        <v>37</v>
      </c>
      <c r="J404">
        <v>4.0999999999999996</v>
      </c>
      <c r="K404">
        <v>18</v>
      </c>
      <c r="L404">
        <f t="shared" si="19"/>
        <v>68.100999999999999</v>
      </c>
      <c r="M404">
        <v>4</v>
      </c>
      <c r="N404" t="str">
        <f t="shared" si="20"/>
        <v>Regular</v>
      </c>
    </row>
    <row r="405" spans="1:14" x14ac:dyDescent="0.35">
      <c r="A405">
        <v>404</v>
      </c>
      <c r="B405">
        <v>32</v>
      </c>
      <c r="C405" t="str">
        <f t="shared" si="18"/>
        <v>Adult</v>
      </c>
      <c r="D405" t="s">
        <v>16</v>
      </c>
      <c r="E405" t="s">
        <v>22</v>
      </c>
      <c r="F405" t="s">
        <v>52</v>
      </c>
      <c r="G405">
        <v>84.48</v>
      </c>
      <c r="H405" t="s">
        <v>24</v>
      </c>
      <c r="I405" t="s">
        <v>15</v>
      </c>
      <c r="J405">
        <v>4.5</v>
      </c>
      <c r="K405">
        <v>19</v>
      </c>
      <c r="L405">
        <f t="shared" si="19"/>
        <v>68.42880000000001</v>
      </c>
      <c r="M405">
        <v>7</v>
      </c>
      <c r="N405" t="str">
        <f t="shared" si="20"/>
        <v>Regular</v>
      </c>
    </row>
    <row r="406" spans="1:14" x14ac:dyDescent="0.35">
      <c r="A406">
        <v>405</v>
      </c>
      <c r="B406">
        <v>42</v>
      </c>
      <c r="C406" t="str">
        <f t="shared" si="18"/>
        <v>Adult</v>
      </c>
      <c r="D406" t="s">
        <v>16</v>
      </c>
      <c r="E406" t="s">
        <v>27</v>
      </c>
      <c r="F406" t="s">
        <v>49</v>
      </c>
      <c r="G406">
        <v>1607.07</v>
      </c>
      <c r="H406" t="s">
        <v>14</v>
      </c>
      <c r="I406" t="s">
        <v>15</v>
      </c>
      <c r="J406">
        <v>4</v>
      </c>
      <c r="K406">
        <v>21</v>
      </c>
      <c r="L406">
        <f t="shared" si="19"/>
        <v>1269.5853</v>
      </c>
      <c r="M406">
        <v>8</v>
      </c>
      <c r="N406" t="str">
        <f t="shared" si="20"/>
        <v>Loyal</v>
      </c>
    </row>
    <row r="407" spans="1:14" x14ac:dyDescent="0.35">
      <c r="A407">
        <v>406</v>
      </c>
      <c r="B407">
        <v>28</v>
      </c>
      <c r="C407" t="str">
        <f t="shared" si="18"/>
        <v>Youth</v>
      </c>
      <c r="D407" t="s">
        <v>11</v>
      </c>
      <c r="E407" t="s">
        <v>33</v>
      </c>
      <c r="F407" t="s">
        <v>34</v>
      </c>
      <c r="G407">
        <v>170.45</v>
      </c>
      <c r="H407" t="s">
        <v>19</v>
      </c>
      <c r="I407" t="s">
        <v>15</v>
      </c>
      <c r="J407">
        <v>3.8</v>
      </c>
      <c r="K407">
        <v>13</v>
      </c>
      <c r="L407">
        <f t="shared" si="19"/>
        <v>148.29149999999998</v>
      </c>
      <c r="M407">
        <v>4</v>
      </c>
      <c r="N407" t="str">
        <f t="shared" si="20"/>
        <v>Regular</v>
      </c>
    </row>
    <row r="408" spans="1:14" x14ac:dyDescent="0.35">
      <c r="A408">
        <v>407</v>
      </c>
      <c r="B408">
        <v>30</v>
      </c>
      <c r="C408" t="str">
        <f t="shared" si="18"/>
        <v>Youth</v>
      </c>
      <c r="D408" t="s">
        <v>11</v>
      </c>
      <c r="E408" t="s">
        <v>29</v>
      </c>
      <c r="F408" t="s">
        <v>55</v>
      </c>
      <c r="G408">
        <v>47.97</v>
      </c>
      <c r="H408" t="s">
        <v>19</v>
      </c>
      <c r="I408" t="s">
        <v>15</v>
      </c>
      <c r="J408">
        <v>3.7</v>
      </c>
      <c r="K408">
        <v>18</v>
      </c>
      <c r="L408">
        <f t="shared" si="19"/>
        <v>39.3354</v>
      </c>
      <c r="M408">
        <v>4</v>
      </c>
      <c r="N408" t="str">
        <f t="shared" si="20"/>
        <v>Regular</v>
      </c>
    </row>
    <row r="409" spans="1:14" x14ac:dyDescent="0.35">
      <c r="A409">
        <v>408</v>
      </c>
      <c r="B409">
        <v>31</v>
      </c>
      <c r="C409" t="str">
        <f t="shared" si="18"/>
        <v>Adult</v>
      </c>
      <c r="D409" t="s">
        <v>11</v>
      </c>
      <c r="E409" t="s">
        <v>41</v>
      </c>
      <c r="F409" t="s">
        <v>42</v>
      </c>
      <c r="G409">
        <v>152</v>
      </c>
      <c r="H409" t="s">
        <v>19</v>
      </c>
      <c r="I409" t="s">
        <v>15</v>
      </c>
      <c r="J409">
        <v>3.5</v>
      </c>
      <c r="K409">
        <v>24</v>
      </c>
      <c r="L409">
        <f t="shared" si="19"/>
        <v>115.52</v>
      </c>
      <c r="M409">
        <v>7</v>
      </c>
      <c r="N409" t="str">
        <f t="shared" si="20"/>
        <v>Regular</v>
      </c>
    </row>
    <row r="410" spans="1:14" x14ac:dyDescent="0.35">
      <c r="A410">
        <v>409</v>
      </c>
      <c r="B410">
        <v>60</v>
      </c>
      <c r="C410" t="str">
        <f t="shared" si="18"/>
        <v>Adult</v>
      </c>
      <c r="D410" t="s">
        <v>11</v>
      </c>
      <c r="E410" t="s">
        <v>29</v>
      </c>
      <c r="F410" t="s">
        <v>30</v>
      </c>
      <c r="G410">
        <v>77.790000000000006</v>
      </c>
      <c r="H410" t="s">
        <v>14</v>
      </c>
      <c r="I410" t="s">
        <v>15</v>
      </c>
      <c r="J410">
        <v>4.7</v>
      </c>
      <c r="K410">
        <v>11</v>
      </c>
      <c r="L410">
        <f t="shared" si="19"/>
        <v>69.233100000000007</v>
      </c>
      <c r="M410">
        <v>3</v>
      </c>
      <c r="N410" t="str">
        <f t="shared" si="20"/>
        <v>New</v>
      </c>
    </row>
    <row r="411" spans="1:14" x14ac:dyDescent="0.35">
      <c r="A411">
        <v>410</v>
      </c>
      <c r="B411">
        <v>46</v>
      </c>
      <c r="C411" t="str">
        <f t="shared" si="18"/>
        <v>Adult</v>
      </c>
      <c r="D411" t="s">
        <v>11</v>
      </c>
      <c r="E411" t="s">
        <v>41</v>
      </c>
      <c r="F411" t="s">
        <v>45</v>
      </c>
      <c r="G411">
        <v>55.8</v>
      </c>
      <c r="H411" t="s">
        <v>31</v>
      </c>
      <c r="I411" t="s">
        <v>37</v>
      </c>
      <c r="J411">
        <v>3.1</v>
      </c>
      <c r="K411">
        <v>22</v>
      </c>
      <c r="L411">
        <f t="shared" si="19"/>
        <v>43.524000000000001</v>
      </c>
      <c r="M411">
        <v>6</v>
      </c>
      <c r="N411" t="str">
        <f t="shared" si="20"/>
        <v>Regular</v>
      </c>
    </row>
    <row r="412" spans="1:14" x14ac:dyDescent="0.35">
      <c r="A412">
        <v>411</v>
      </c>
      <c r="B412">
        <v>66</v>
      </c>
      <c r="C412" t="str">
        <f t="shared" si="18"/>
        <v>Senior</v>
      </c>
      <c r="D412" t="s">
        <v>16</v>
      </c>
      <c r="E412" t="s">
        <v>20</v>
      </c>
      <c r="F412" t="s">
        <v>39</v>
      </c>
      <c r="G412">
        <v>140.76</v>
      </c>
      <c r="H412" t="s">
        <v>24</v>
      </c>
      <c r="I412" t="s">
        <v>15</v>
      </c>
      <c r="J412">
        <v>3.7</v>
      </c>
      <c r="K412">
        <v>26</v>
      </c>
      <c r="L412">
        <f t="shared" si="19"/>
        <v>104.16239999999999</v>
      </c>
      <c r="M412">
        <v>8</v>
      </c>
      <c r="N412" t="str">
        <f t="shared" si="20"/>
        <v>Loyal</v>
      </c>
    </row>
    <row r="413" spans="1:14" x14ac:dyDescent="0.35">
      <c r="A413">
        <v>412</v>
      </c>
      <c r="B413">
        <v>69</v>
      </c>
      <c r="C413" t="str">
        <f t="shared" si="18"/>
        <v>Senior</v>
      </c>
      <c r="D413" t="s">
        <v>16</v>
      </c>
      <c r="E413" t="s">
        <v>20</v>
      </c>
      <c r="F413" t="s">
        <v>39</v>
      </c>
      <c r="G413">
        <v>31.84</v>
      </c>
      <c r="H413" t="s">
        <v>14</v>
      </c>
      <c r="I413" t="s">
        <v>37</v>
      </c>
      <c r="J413">
        <v>4</v>
      </c>
      <c r="K413">
        <v>18</v>
      </c>
      <c r="L413">
        <f t="shared" si="19"/>
        <v>26.108800000000002</v>
      </c>
      <c r="M413">
        <v>4</v>
      </c>
      <c r="N413" t="str">
        <f t="shared" si="20"/>
        <v>Regular</v>
      </c>
    </row>
    <row r="414" spans="1:14" x14ac:dyDescent="0.35">
      <c r="A414">
        <v>413</v>
      </c>
      <c r="B414">
        <v>56</v>
      </c>
      <c r="C414" t="str">
        <f t="shared" si="18"/>
        <v>Adult</v>
      </c>
      <c r="D414" t="s">
        <v>16</v>
      </c>
      <c r="E414" t="s">
        <v>17</v>
      </c>
      <c r="F414" t="s">
        <v>18</v>
      </c>
      <c r="G414">
        <v>175.84</v>
      </c>
      <c r="H414" t="s">
        <v>14</v>
      </c>
      <c r="I414" t="s">
        <v>15</v>
      </c>
      <c r="J414">
        <v>2.7</v>
      </c>
      <c r="K414">
        <v>16</v>
      </c>
      <c r="L414">
        <f t="shared" si="19"/>
        <v>147.7056</v>
      </c>
      <c r="M414">
        <v>3</v>
      </c>
      <c r="N414" t="str">
        <f t="shared" si="20"/>
        <v>New</v>
      </c>
    </row>
    <row r="415" spans="1:14" x14ac:dyDescent="0.35">
      <c r="A415">
        <v>414</v>
      </c>
      <c r="B415">
        <v>23</v>
      </c>
      <c r="C415" t="str">
        <f t="shared" si="18"/>
        <v>Youth</v>
      </c>
      <c r="D415" t="s">
        <v>16</v>
      </c>
      <c r="E415" t="s">
        <v>27</v>
      </c>
      <c r="F415" t="s">
        <v>53</v>
      </c>
      <c r="G415">
        <v>2970.31</v>
      </c>
      <c r="H415" t="s">
        <v>14</v>
      </c>
      <c r="I415" t="s">
        <v>15</v>
      </c>
      <c r="J415">
        <v>3.6</v>
      </c>
      <c r="K415">
        <v>12</v>
      </c>
      <c r="L415">
        <f t="shared" si="19"/>
        <v>2613.8728000000001</v>
      </c>
      <c r="M415">
        <v>6</v>
      </c>
      <c r="N415" t="str">
        <f t="shared" si="20"/>
        <v>Regular</v>
      </c>
    </row>
    <row r="416" spans="1:14" x14ac:dyDescent="0.35">
      <c r="A416">
        <v>415</v>
      </c>
      <c r="B416">
        <v>68</v>
      </c>
      <c r="C416" t="str">
        <f t="shared" si="18"/>
        <v>Senior</v>
      </c>
      <c r="D416" t="s">
        <v>16</v>
      </c>
      <c r="E416" t="s">
        <v>17</v>
      </c>
      <c r="F416" t="s">
        <v>18</v>
      </c>
      <c r="G416">
        <v>43.47</v>
      </c>
      <c r="H416" t="s">
        <v>31</v>
      </c>
      <c r="I416" t="s">
        <v>37</v>
      </c>
      <c r="J416">
        <v>5</v>
      </c>
      <c r="K416">
        <v>7</v>
      </c>
      <c r="L416">
        <f t="shared" si="19"/>
        <v>40.427099999999996</v>
      </c>
      <c r="M416">
        <v>1</v>
      </c>
      <c r="N416" t="str">
        <f t="shared" si="20"/>
        <v>New</v>
      </c>
    </row>
    <row r="417" spans="1:14" x14ac:dyDescent="0.35">
      <c r="A417">
        <v>416</v>
      </c>
      <c r="B417">
        <v>38</v>
      </c>
      <c r="C417" t="str">
        <f t="shared" si="18"/>
        <v>Adult</v>
      </c>
      <c r="D417" t="s">
        <v>11</v>
      </c>
      <c r="E417" t="s">
        <v>29</v>
      </c>
      <c r="F417" t="s">
        <v>51</v>
      </c>
      <c r="G417">
        <v>99.24</v>
      </c>
      <c r="H417" t="s">
        <v>14</v>
      </c>
      <c r="I417" t="s">
        <v>15</v>
      </c>
      <c r="J417">
        <v>3.5</v>
      </c>
      <c r="K417">
        <v>23</v>
      </c>
      <c r="L417">
        <f t="shared" si="19"/>
        <v>76.4148</v>
      </c>
      <c r="M417">
        <v>9</v>
      </c>
      <c r="N417" t="str">
        <f t="shared" si="20"/>
        <v>Loyal</v>
      </c>
    </row>
    <row r="418" spans="1:14" x14ac:dyDescent="0.35">
      <c r="A418">
        <v>417</v>
      </c>
      <c r="B418">
        <v>39</v>
      </c>
      <c r="C418" t="str">
        <f t="shared" si="18"/>
        <v>Adult</v>
      </c>
      <c r="D418" t="s">
        <v>11</v>
      </c>
      <c r="E418" t="s">
        <v>33</v>
      </c>
      <c r="F418" t="s">
        <v>40</v>
      </c>
      <c r="G418">
        <v>69.989999999999995</v>
      </c>
      <c r="H418" t="s">
        <v>31</v>
      </c>
      <c r="I418" t="s">
        <v>15</v>
      </c>
      <c r="J418">
        <v>3</v>
      </c>
      <c r="K418">
        <v>10</v>
      </c>
      <c r="L418">
        <f t="shared" si="19"/>
        <v>62.991</v>
      </c>
      <c r="M418">
        <v>5</v>
      </c>
      <c r="N418" t="str">
        <f t="shared" si="20"/>
        <v>Regular</v>
      </c>
    </row>
    <row r="419" spans="1:14" x14ac:dyDescent="0.35">
      <c r="A419">
        <v>418</v>
      </c>
      <c r="B419">
        <v>64</v>
      </c>
      <c r="C419" t="str">
        <f t="shared" si="18"/>
        <v>Senior</v>
      </c>
      <c r="D419" t="s">
        <v>11</v>
      </c>
      <c r="E419" t="s">
        <v>25</v>
      </c>
      <c r="F419" t="s">
        <v>54</v>
      </c>
      <c r="G419">
        <v>27.74</v>
      </c>
      <c r="H419" t="s">
        <v>31</v>
      </c>
      <c r="I419" t="s">
        <v>15</v>
      </c>
      <c r="J419">
        <v>2.2999999999999998</v>
      </c>
      <c r="K419">
        <v>15</v>
      </c>
      <c r="L419">
        <f t="shared" si="19"/>
        <v>23.578999999999997</v>
      </c>
      <c r="M419">
        <v>5</v>
      </c>
      <c r="N419" t="str">
        <f t="shared" si="20"/>
        <v>Regular</v>
      </c>
    </row>
    <row r="420" spans="1:14" x14ac:dyDescent="0.35">
      <c r="A420">
        <v>419</v>
      </c>
      <c r="B420">
        <v>26</v>
      </c>
      <c r="C420" t="str">
        <f t="shared" si="18"/>
        <v>Youth</v>
      </c>
      <c r="D420" t="s">
        <v>11</v>
      </c>
      <c r="E420" t="s">
        <v>22</v>
      </c>
      <c r="F420" t="s">
        <v>52</v>
      </c>
      <c r="G420">
        <v>175.14</v>
      </c>
      <c r="H420" t="s">
        <v>24</v>
      </c>
      <c r="I420" t="s">
        <v>15</v>
      </c>
      <c r="J420">
        <v>4.5</v>
      </c>
      <c r="K420">
        <v>12</v>
      </c>
      <c r="L420">
        <f t="shared" si="19"/>
        <v>154.1232</v>
      </c>
      <c r="M420">
        <v>1</v>
      </c>
      <c r="N420" t="str">
        <f t="shared" si="20"/>
        <v>New</v>
      </c>
    </row>
    <row r="421" spans="1:14" x14ac:dyDescent="0.35">
      <c r="A421">
        <v>420</v>
      </c>
      <c r="B421">
        <v>58</v>
      </c>
      <c r="C421" t="str">
        <f t="shared" si="18"/>
        <v>Adult</v>
      </c>
      <c r="D421" t="s">
        <v>11</v>
      </c>
      <c r="E421" t="s">
        <v>12</v>
      </c>
      <c r="F421" t="s">
        <v>50</v>
      </c>
      <c r="G421">
        <v>105.33</v>
      </c>
      <c r="H421" t="s">
        <v>14</v>
      </c>
      <c r="I421" t="s">
        <v>15</v>
      </c>
      <c r="J421">
        <v>4.5</v>
      </c>
      <c r="K421">
        <v>22</v>
      </c>
      <c r="L421">
        <f t="shared" si="19"/>
        <v>82.157399999999996</v>
      </c>
      <c r="M421">
        <v>6</v>
      </c>
      <c r="N421" t="str">
        <f t="shared" si="20"/>
        <v>Regular</v>
      </c>
    </row>
    <row r="422" spans="1:14" x14ac:dyDescent="0.35">
      <c r="A422">
        <v>421</v>
      </c>
      <c r="B422">
        <v>33</v>
      </c>
      <c r="C422" t="str">
        <f t="shared" si="18"/>
        <v>Adult</v>
      </c>
      <c r="D422" t="s">
        <v>16</v>
      </c>
      <c r="E422" t="s">
        <v>27</v>
      </c>
      <c r="F422" t="s">
        <v>53</v>
      </c>
      <c r="G422">
        <v>2028.35</v>
      </c>
      <c r="H422" t="s">
        <v>24</v>
      </c>
      <c r="I422" t="s">
        <v>15</v>
      </c>
      <c r="J422">
        <v>3.6</v>
      </c>
      <c r="K422">
        <v>8</v>
      </c>
      <c r="L422">
        <f t="shared" si="19"/>
        <v>1866.0820000000001</v>
      </c>
      <c r="M422">
        <v>4</v>
      </c>
      <c r="N422" t="str">
        <f t="shared" si="20"/>
        <v>Regular</v>
      </c>
    </row>
    <row r="423" spans="1:14" x14ac:dyDescent="0.35">
      <c r="A423">
        <v>422</v>
      </c>
      <c r="B423">
        <v>54</v>
      </c>
      <c r="C423" t="str">
        <f t="shared" si="18"/>
        <v>Adult</v>
      </c>
      <c r="D423" t="s">
        <v>11</v>
      </c>
      <c r="E423" t="s">
        <v>29</v>
      </c>
      <c r="F423" t="s">
        <v>55</v>
      </c>
      <c r="G423">
        <v>44.38</v>
      </c>
      <c r="H423" t="s">
        <v>19</v>
      </c>
      <c r="I423" t="s">
        <v>37</v>
      </c>
      <c r="J423">
        <v>4.9000000000000004</v>
      </c>
      <c r="K423">
        <v>16</v>
      </c>
      <c r="L423">
        <f t="shared" si="19"/>
        <v>37.279200000000003</v>
      </c>
      <c r="M423">
        <v>3</v>
      </c>
      <c r="N423" t="str">
        <f t="shared" si="20"/>
        <v>New</v>
      </c>
    </row>
    <row r="424" spans="1:14" x14ac:dyDescent="0.35">
      <c r="A424">
        <v>423</v>
      </c>
      <c r="B424">
        <v>37</v>
      </c>
      <c r="C424" t="str">
        <f t="shared" si="18"/>
        <v>Adult</v>
      </c>
      <c r="D424" t="s">
        <v>11</v>
      </c>
      <c r="E424" t="s">
        <v>12</v>
      </c>
      <c r="F424" t="s">
        <v>56</v>
      </c>
      <c r="G424">
        <v>124.7</v>
      </c>
      <c r="H424" t="s">
        <v>19</v>
      </c>
      <c r="I424" t="s">
        <v>15</v>
      </c>
      <c r="J424">
        <v>4.5999999999999996</v>
      </c>
      <c r="K424">
        <v>22</v>
      </c>
      <c r="L424">
        <f t="shared" si="19"/>
        <v>97.266000000000005</v>
      </c>
      <c r="M424">
        <v>6</v>
      </c>
      <c r="N424" t="str">
        <f t="shared" si="20"/>
        <v>Regular</v>
      </c>
    </row>
    <row r="425" spans="1:14" x14ac:dyDescent="0.35">
      <c r="A425">
        <v>424</v>
      </c>
      <c r="B425">
        <v>27</v>
      </c>
      <c r="C425" t="str">
        <f t="shared" si="18"/>
        <v>Youth</v>
      </c>
      <c r="D425" t="s">
        <v>16</v>
      </c>
      <c r="E425" t="s">
        <v>17</v>
      </c>
      <c r="F425" t="s">
        <v>18</v>
      </c>
      <c r="G425">
        <v>117.37</v>
      </c>
      <c r="H425" t="s">
        <v>31</v>
      </c>
      <c r="I425" t="s">
        <v>15</v>
      </c>
      <c r="J425">
        <v>3.7</v>
      </c>
      <c r="K425">
        <v>20</v>
      </c>
      <c r="L425">
        <f t="shared" si="19"/>
        <v>93.896000000000015</v>
      </c>
      <c r="M425">
        <v>5</v>
      </c>
      <c r="N425" t="str">
        <f t="shared" si="20"/>
        <v>Regular</v>
      </c>
    </row>
    <row r="426" spans="1:14" x14ac:dyDescent="0.35">
      <c r="A426">
        <v>425</v>
      </c>
      <c r="B426">
        <v>67</v>
      </c>
      <c r="C426" t="str">
        <f t="shared" si="18"/>
        <v>Senior</v>
      </c>
      <c r="D426" t="s">
        <v>11</v>
      </c>
      <c r="E426" t="s">
        <v>12</v>
      </c>
      <c r="F426" t="s">
        <v>50</v>
      </c>
      <c r="G426">
        <v>81.81</v>
      </c>
      <c r="H426" t="s">
        <v>19</v>
      </c>
      <c r="I426" t="s">
        <v>37</v>
      </c>
      <c r="J426">
        <v>3.8</v>
      </c>
      <c r="K426">
        <v>13</v>
      </c>
      <c r="L426">
        <f t="shared" si="19"/>
        <v>71.174700000000001</v>
      </c>
      <c r="M426">
        <v>4</v>
      </c>
      <c r="N426" t="str">
        <f t="shared" si="20"/>
        <v>Regular</v>
      </c>
    </row>
    <row r="427" spans="1:14" x14ac:dyDescent="0.35">
      <c r="A427">
        <v>426</v>
      </c>
      <c r="B427">
        <v>34</v>
      </c>
      <c r="C427" t="str">
        <f t="shared" si="18"/>
        <v>Adult</v>
      </c>
      <c r="D427" t="s">
        <v>11</v>
      </c>
      <c r="E427" t="s">
        <v>29</v>
      </c>
      <c r="F427" t="s">
        <v>30</v>
      </c>
      <c r="G427">
        <v>108.57</v>
      </c>
      <c r="H427" t="s">
        <v>24</v>
      </c>
      <c r="I427" t="s">
        <v>15</v>
      </c>
      <c r="J427">
        <v>4.9000000000000004</v>
      </c>
      <c r="K427">
        <v>13</v>
      </c>
      <c r="L427">
        <f t="shared" si="19"/>
        <v>94.4559</v>
      </c>
      <c r="M427">
        <v>4</v>
      </c>
      <c r="N427" t="str">
        <f t="shared" si="20"/>
        <v>Regular</v>
      </c>
    </row>
    <row r="428" spans="1:14" x14ac:dyDescent="0.35">
      <c r="A428">
        <v>427</v>
      </c>
      <c r="B428">
        <v>70</v>
      </c>
      <c r="C428" t="str">
        <f t="shared" si="18"/>
        <v>Senior</v>
      </c>
      <c r="D428" t="s">
        <v>11</v>
      </c>
      <c r="E428" t="s">
        <v>12</v>
      </c>
      <c r="F428" t="s">
        <v>56</v>
      </c>
      <c r="G428">
        <v>150.37</v>
      </c>
      <c r="H428" t="s">
        <v>14</v>
      </c>
      <c r="I428" t="s">
        <v>15</v>
      </c>
      <c r="J428">
        <v>4.5</v>
      </c>
      <c r="K428">
        <v>10</v>
      </c>
      <c r="L428">
        <f t="shared" si="19"/>
        <v>135.333</v>
      </c>
      <c r="M428">
        <v>5</v>
      </c>
      <c r="N428" t="str">
        <f t="shared" si="20"/>
        <v>Regular</v>
      </c>
    </row>
    <row r="429" spans="1:14" x14ac:dyDescent="0.35">
      <c r="A429">
        <v>428</v>
      </c>
      <c r="B429">
        <v>21</v>
      </c>
      <c r="C429" t="str">
        <f t="shared" si="18"/>
        <v>Youth</v>
      </c>
      <c r="D429" t="s">
        <v>11</v>
      </c>
      <c r="E429" t="s">
        <v>25</v>
      </c>
      <c r="F429" t="s">
        <v>57</v>
      </c>
      <c r="G429">
        <v>21.02</v>
      </c>
      <c r="H429" t="s">
        <v>14</v>
      </c>
      <c r="I429" t="s">
        <v>15</v>
      </c>
      <c r="J429">
        <v>2.7</v>
      </c>
      <c r="K429">
        <v>14</v>
      </c>
      <c r="L429">
        <f t="shared" si="19"/>
        <v>18.077199999999998</v>
      </c>
      <c r="M429">
        <v>7</v>
      </c>
      <c r="N429" t="str">
        <f t="shared" si="20"/>
        <v>Regular</v>
      </c>
    </row>
    <row r="430" spans="1:14" x14ac:dyDescent="0.35">
      <c r="A430">
        <v>429</v>
      </c>
      <c r="B430">
        <v>67</v>
      </c>
      <c r="C430" t="str">
        <f t="shared" si="18"/>
        <v>Senior</v>
      </c>
      <c r="D430" t="s">
        <v>11</v>
      </c>
      <c r="E430" t="s">
        <v>33</v>
      </c>
      <c r="F430" t="s">
        <v>40</v>
      </c>
      <c r="G430">
        <v>203.32</v>
      </c>
      <c r="H430" t="s">
        <v>31</v>
      </c>
      <c r="I430" t="s">
        <v>15</v>
      </c>
      <c r="J430">
        <v>3.3</v>
      </c>
      <c r="K430">
        <v>10</v>
      </c>
      <c r="L430">
        <f t="shared" si="19"/>
        <v>182.988</v>
      </c>
      <c r="M430">
        <v>5</v>
      </c>
      <c r="N430" t="str">
        <f t="shared" si="20"/>
        <v>Regular</v>
      </c>
    </row>
    <row r="431" spans="1:14" x14ac:dyDescent="0.35">
      <c r="A431">
        <v>430</v>
      </c>
      <c r="B431">
        <v>45</v>
      </c>
      <c r="C431" t="str">
        <f t="shared" si="18"/>
        <v>Adult</v>
      </c>
      <c r="D431" t="s">
        <v>11</v>
      </c>
      <c r="E431" t="s">
        <v>12</v>
      </c>
      <c r="F431" t="s">
        <v>50</v>
      </c>
      <c r="G431">
        <v>67.03</v>
      </c>
      <c r="H431" t="s">
        <v>14</v>
      </c>
      <c r="I431" t="s">
        <v>37</v>
      </c>
      <c r="J431">
        <v>3.6</v>
      </c>
      <c r="K431">
        <v>21</v>
      </c>
      <c r="L431">
        <f t="shared" si="19"/>
        <v>52.953700000000005</v>
      </c>
      <c r="M431">
        <v>8</v>
      </c>
      <c r="N431" t="str">
        <f t="shared" si="20"/>
        <v>Loyal</v>
      </c>
    </row>
    <row r="432" spans="1:14" x14ac:dyDescent="0.35">
      <c r="A432">
        <v>431</v>
      </c>
      <c r="B432">
        <v>64</v>
      </c>
      <c r="C432" t="str">
        <f t="shared" si="18"/>
        <v>Senior</v>
      </c>
      <c r="D432" t="s">
        <v>16</v>
      </c>
      <c r="E432" t="s">
        <v>27</v>
      </c>
      <c r="F432" t="s">
        <v>28</v>
      </c>
      <c r="G432">
        <v>1948.28</v>
      </c>
      <c r="H432" t="s">
        <v>31</v>
      </c>
      <c r="I432" t="s">
        <v>15</v>
      </c>
      <c r="J432">
        <v>4.2</v>
      </c>
      <c r="K432">
        <v>20</v>
      </c>
      <c r="L432">
        <f t="shared" si="19"/>
        <v>1558.624</v>
      </c>
      <c r="M432">
        <v>5</v>
      </c>
      <c r="N432" t="str">
        <f t="shared" si="20"/>
        <v>Regular</v>
      </c>
    </row>
    <row r="433" spans="1:14" x14ac:dyDescent="0.35">
      <c r="A433">
        <v>432</v>
      </c>
      <c r="B433">
        <v>51</v>
      </c>
      <c r="C433" t="str">
        <f t="shared" si="18"/>
        <v>Adult</v>
      </c>
      <c r="D433" t="s">
        <v>11</v>
      </c>
      <c r="E433" t="s">
        <v>41</v>
      </c>
      <c r="F433" t="s">
        <v>42</v>
      </c>
      <c r="G433">
        <v>108.88</v>
      </c>
      <c r="H433" t="s">
        <v>14</v>
      </c>
      <c r="I433" t="s">
        <v>15</v>
      </c>
      <c r="J433">
        <v>3.7</v>
      </c>
      <c r="K433">
        <v>15</v>
      </c>
      <c r="L433">
        <f t="shared" si="19"/>
        <v>92.547999999999988</v>
      </c>
      <c r="M433">
        <v>5</v>
      </c>
      <c r="N433" t="str">
        <f t="shared" si="20"/>
        <v>Regular</v>
      </c>
    </row>
    <row r="434" spans="1:14" x14ac:dyDescent="0.35">
      <c r="A434">
        <v>433</v>
      </c>
      <c r="B434">
        <v>41</v>
      </c>
      <c r="C434" t="str">
        <f t="shared" si="18"/>
        <v>Adult</v>
      </c>
      <c r="D434" t="s">
        <v>11</v>
      </c>
      <c r="E434" t="s">
        <v>25</v>
      </c>
      <c r="F434" t="s">
        <v>47</v>
      </c>
      <c r="G434">
        <v>42.47</v>
      </c>
      <c r="H434" t="s">
        <v>31</v>
      </c>
      <c r="I434" t="s">
        <v>37</v>
      </c>
      <c r="J434">
        <v>2.5</v>
      </c>
      <c r="K434">
        <v>10</v>
      </c>
      <c r="L434">
        <f t="shared" si="19"/>
        <v>38.222999999999999</v>
      </c>
      <c r="M434">
        <v>5</v>
      </c>
      <c r="N434" t="str">
        <f t="shared" si="20"/>
        <v>Regular</v>
      </c>
    </row>
    <row r="435" spans="1:14" x14ac:dyDescent="0.35">
      <c r="A435">
        <v>434</v>
      </c>
      <c r="B435">
        <v>61</v>
      </c>
      <c r="C435" t="str">
        <f t="shared" si="18"/>
        <v>Senior</v>
      </c>
      <c r="D435" t="s">
        <v>16</v>
      </c>
      <c r="E435" t="s">
        <v>17</v>
      </c>
      <c r="F435" t="s">
        <v>48</v>
      </c>
      <c r="G435">
        <v>57.77</v>
      </c>
      <c r="H435" t="s">
        <v>31</v>
      </c>
      <c r="I435" t="s">
        <v>15</v>
      </c>
      <c r="J435">
        <v>3.5</v>
      </c>
      <c r="K435">
        <v>18</v>
      </c>
      <c r="L435">
        <f t="shared" si="19"/>
        <v>47.371400000000008</v>
      </c>
      <c r="M435">
        <v>4</v>
      </c>
      <c r="N435" t="str">
        <f t="shared" si="20"/>
        <v>Regular</v>
      </c>
    </row>
    <row r="436" spans="1:14" x14ac:dyDescent="0.35">
      <c r="A436">
        <v>435</v>
      </c>
      <c r="B436">
        <v>47</v>
      </c>
      <c r="C436" t="str">
        <f t="shared" si="18"/>
        <v>Adult</v>
      </c>
      <c r="D436" t="s">
        <v>16</v>
      </c>
      <c r="E436" t="s">
        <v>25</v>
      </c>
      <c r="F436" t="s">
        <v>26</v>
      </c>
      <c r="G436">
        <v>28.68</v>
      </c>
      <c r="H436" t="s">
        <v>31</v>
      </c>
      <c r="I436" t="s">
        <v>37</v>
      </c>
      <c r="J436">
        <v>3.8</v>
      </c>
      <c r="K436">
        <v>15</v>
      </c>
      <c r="L436">
        <f t="shared" si="19"/>
        <v>24.378</v>
      </c>
      <c r="M436">
        <v>5</v>
      </c>
      <c r="N436" t="str">
        <f t="shared" si="20"/>
        <v>Regular</v>
      </c>
    </row>
    <row r="437" spans="1:14" x14ac:dyDescent="0.35">
      <c r="A437">
        <v>436</v>
      </c>
      <c r="B437">
        <v>38</v>
      </c>
      <c r="C437" t="str">
        <f t="shared" si="18"/>
        <v>Adult</v>
      </c>
      <c r="D437" t="s">
        <v>16</v>
      </c>
      <c r="E437" t="s">
        <v>17</v>
      </c>
      <c r="F437" t="s">
        <v>18</v>
      </c>
      <c r="G437">
        <v>59</v>
      </c>
      <c r="H437" t="s">
        <v>31</v>
      </c>
      <c r="I437" t="s">
        <v>15</v>
      </c>
      <c r="J437">
        <v>4.0999999999999996</v>
      </c>
      <c r="K437">
        <v>12</v>
      </c>
      <c r="L437">
        <f t="shared" si="19"/>
        <v>51.92</v>
      </c>
      <c r="M437">
        <v>6</v>
      </c>
      <c r="N437" t="str">
        <f t="shared" si="20"/>
        <v>Regular</v>
      </c>
    </row>
    <row r="438" spans="1:14" x14ac:dyDescent="0.35">
      <c r="A438">
        <v>437</v>
      </c>
      <c r="B438">
        <v>50</v>
      </c>
      <c r="C438" t="str">
        <f t="shared" si="18"/>
        <v>Adult</v>
      </c>
      <c r="D438" t="s">
        <v>11</v>
      </c>
      <c r="E438" t="s">
        <v>12</v>
      </c>
      <c r="F438" t="s">
        <v>50</v>
      </c>
      <c r="G438">
        <v>128.94999999999999</v>
      </c>
      <c r="H438" t="s">
        <v>14</v>
      </c>
      <c r="I438" t="s">
        <v>15</v>
      </c>
      <c r="J438">
        <v>4.3</v>
      </c>
      <c r="K438">
        <v>19</v>
      </c>
      <c r="L438">
        <f t="shared" si="19"/>
        <v>104.4495</v>
      </c>
      <c r="M438">
        <v>7</v>
      </c>
      <c r="N438" t="str">
        <f t="shared" si="20"/>
        <v>Regular</v>
      </c>
    </row>
    <row r="439" spans="1:14" x14ac:dyDescent="0.35">
      <c r="A439">
        <v>438</v>
      </c>
      <c r="B439">
        <v>29</v>
      </c>
      <c r="C439" t="str">
        <f t="shared" si="18"/>
        <v>Youth</v>
      </c>
      <c r="D439" t="s">
        <v>16</v>
      </c>
      <c r="E439" t="s">
        <v>17</v>
      </c>
      <c r="F439" t="s">
        <v>35</v>
      </c>
      <c r="G439">
        <v>163.33000000000001</v>
      </c>
      <c r="H439" t="s">
        <v>14</v>
      </c>
      <c r="I439" t="s">
        <v>15</v>
      </c>
      <c r="J439">
        <v>4.7</v>
      </c>
      <c r="K439">
        <v>27</v>
      </c>
      <c r="L439">
        <f t="shared" si="19"/>
        <v>119.23090000000001</v>
      </c>
      <c r="M439">
        <v>11</v>
      </c>
      <c r="N439" t="str">
        <f t="shared" si="20"/>
        <v>Loyal</v>
      </c>
    </row>
    <row r="440" spans="1:14" x14ac:dyDescent="0.35">
      <c r="A440">
        <v>439</v>
      </c>
      <c r="B440">
        <v>24</v>
      </c>
      <c r="C440" t="str">
        <f t="shared" si="18"/>
        <v>Youth</v>
      </c>
      <c r="D440" t="s">
        <v>11</v>
      </c>
      <c r="E440" t="s">
        <v>33</v>
      </c>
      <c r="F440" t="s">
        <v>40</v>
      </c>
      <c r="G440">
        <v>42.5</v>
      </c>
      <c r="H440" t="s">
        <v>31</v>
      </c>
      <c r="I440" t="s">
        <v>15</v>
      </c>
      <c r="J440">
        <v>3.6</v>
      </c>
      <c r="K440">
        <v>18</v>
      </c>
      <c r="L440">
        <f t="shared" si="19"/>
        <v>34.85</v>
      </c>
      <c r="M440">
        <v>9</v>
      </c>
      <c r="N440" t="str">
        <f t="shared" si="20"/>
        <v>Loyal</v>
      </c>
    </row>
    <row r="441" spans="1:14" x14ac:dyDescent="0.35">
      <c r="A441">
        <v>440</v>
      </c>
      <c r="B441">
        <v>57</v>
      </c>
      <c r="C441" t="str">
        <f t="shared" si="18"/>
        <v>Adult</v>
      </c>
      <c r="D441" t="s">
        <v>16</v>
      </c>
      <c r="E441" t="s">
        <v>17</v>
      </c>
      <c r="F441" t="s">
        <v>48</v>
      </c>
      <c r="G441">
        <v>34.25</v>
      </c>
      <c r="H441" t="s">
        <v>31</v>
      </c>
      <c r="I441" t="s">
        <v>37</v>
      </c>
      <c r="J441">
        <v>4.3</v>
      </c>
      <c r="K441">
        <v>20</v>
      </c>
      <c r="L441">
        <f t="shared" si="19"/>
        <v>27.400000000000002</v>
      </c>
      <c r="M441">
        <v>10</v>
      </c>
      <c r="N441" t="str">
        <f t="shared" si="20"/>
        <v>Loyal</v>
      </c>
    </row>
    <row r="442" spans="1:14" x14ac:dyDescent="0.35">
      <c r="A442">
        <v>441</v>
      </c>
      <c r="B442">
        <v>42</v>
      </c>
      <c r="C442" t="str">
        <f t="shared" si="18"/>
        <v>Adult</v>
      </c>
      <c r="D442" t="s">
        <v>16</v>
      </c>
      <c r="E442" t="s">
        <v>20</v>
      </c>
      <c r="F442" t="s">
        <v>36</v>
      </c>
      <c r="G442">
        <v>36.03</v>
      </c>
      <c r="H442" t="s">
        <v>31</v>
      </c>
      <c r="I442" t="s">
        <v>37</v>
      </c>
      <c r="J442">
        <v>4.4000000000000004</v>
      </c>
      <c r="K442">
        <v>22</v>
      </c>
      <c r="L442">
        <f t="shared" si="19"/>
        <v>28.103400000000001</v>
      </c>
      <c r="M442">
        <v>6</v>
      </c>
      <c r="N442" t="str">
        <f t="shared" si="20"/>
        <v>Regular</v>
      </c>
    </row>
    <row r="443" spans="1:14" x14ac:dyDescent="0.35">
      <c r="A443">
        <v>442</v>
      </c>
      <c r="B443">
        <v>48</v>
      </c>
      <c r="C443" t="str">
        <f t="shared" si="18"/>
        <v>Adult</v>
      </c>
      <c r="D443" t="s">
        <v>16</v>
      </c>
      <c r="E443" t="s">
        <v>17</v>
      </c>
      <c r="F443" t="s">
        <v>35</v>
      </c>
      <c r="G443">
        <v>78.25</v>
      </c>
      <c r="H443" t="s">
        <v>24</v>
      </c>
      <c r="I443" t="s">
        <v>37</v>
      </c>
      <c r="J443">
        <v>3.3</v>
      </c>
      <c r="K443">
        <v>10</v>
      </c>
      <c r="L443">
        <f t="shared" si="19"/>
        <v>70.424999999999997</v>
      </c>
      <c r="M443">
        <v>5</v>
      </c>
      <c r="N443" t="str">
        <f t="shared" si="20"/>
        <v>Regular</v>
      </c>
    </row>
    <row r="444" spans="1:14" x14ac:dyDescent="0.35">
      <c r="A444">
        <v>443</v>
      </c>
      <c r="B444">
        <v>22</v>
      </c>
      <c r="C444" t="str">
        <f t="shared" si="18"/>
        <v>Youth</v>
      </c>
      <c r="D444" t="s">
        <v>11</v>
      </c>
      <c r="E444" t="s">
        <v>41</v>
      </c>
      <c r="F444" t="s">
        <v>46</v>
      </c>
      <c r="G444">
        <v>162.85</v>
      </c>
      <c r="H444" t="s">
        <v>24</v>
      </c>
      <c r="I444" t="s">
        <v>15</v>
      </c>
      <c r="J444">
        <v>3.7</v>
      </c>
      <c r="K444">
        <v>10</v>
      </c>
      <c r="L444">
        <f t="shared" si="19"/>
        <v>146.565</v>
      </c>
      <c r="M444">
        <v>5</v>
      </c>
      <c r="N444" t="str">
        <f t="shared" si="20"/>
        <v>Regular</v>
      </c>
    </row>
    <row r="445" spans="1:14" x14ac:dyDescent="0.35">
      <c r="A445">
        <v>444</v>
      </c>
      <c r="B445">
        <v>64</v>
      </c>
      <c r="C445" t="str">
        <f t="shared" si="18"/>
        <v>Senior</v>
      </c>
      <c r="D445" t="s">
        <v>11</v>
      </c>
      <c r="E445" t="s">
        <v>12</v>
      </c>
      <c r="F445" t="s">
        <v>56</v>
      </c>
      <c r="G445">
        <v>143.93</v>
      </c>
      <c r="H445" t="s">
        <v>24</v>
      </c>
      <c r="I445" t="s">
        <v>15</v>
      </c>
      <c r="J445">
        <v>3.3</v>
      </c>
      <c r="K445">
        <v>4</v>
      </c>
      <c r="L445">
        <f t="shared" si="19"/>
        <v>138.1728</v>
      </c>
      <c r="M445">
        <v>2</v>
      </c>
      <c r="N445" t="str">
        <f t="shared" si="20"/>
        <v>New</v>
      </c>
    </row>
    <row r="446" spans="1:14" x14ac:dyDescent="0.35">
      <c r="A446">
        <v>445</v>
      </c>
      <c r="B446">
        <v>43</v>
      </c>
      <c r="C446" t="str">
        <f t="shared" si="18"/>
        <v>Adult</v>
      </c>
      <c r="D446" t="s">
        <v>16</v>
      </c>
      <c r="E446" t="s">
        <v>20</v>
      </c>
      <c r="F446" t="s">
        <v>39</v>
      </c>
      <c r="G446">
        <v>170.33</v>
      </c>
      <c r="H446" t="s">
        <v>14</v>
      </c>
      <c r="I446" t="s">
        <v>15</v>
      </c>
      <c r="J446">
        <v>3.8</v>
      </c>
      <c r="K446">
        <v>20</v>
      </c>
      <c r="L446">
        <f t="shared" si="19"/>
        <v>136.26400000000001</v>
      </c>
      <c r="M446">
        <v>5</v>
      </c>
      <c r="N446" t="str">
        <f t="shared" si="20"/>
        <v>Regular</v>
      </c>
    </row>
    <row r="447" spans="1:14" x14ac:dyDescent="0.35">
      <c r="A447">
        <v>446</v>
      </c>
      <c r="B447">
        <v>26</v>
      </c>
      <c r="C447" t="str">
        <f t="shared" si="18"/>
        <v>Youth</v>
      </c>
      <c r="D447" t="s">
        <v>16</v>
      </c>
      <c r="E447" t="s">
        <v>27</v>
      </c>
      <c r="F447" t="s">
        <v>32</v>
      </c>
      <c r="G447">
        <v>2141.41</v>
      </c>
      <c r="H447" t="s">
        <v>19</v>
      </c>
      <c r="I447" t="s">
        <v>15</v>
      </c>
      <c r="J447">
        <v>4.8</v>
      </c>
      <c r="K447">
        <v>19</v>
      </c>
      <c r="L447">
        <f t="shared" si="19"/>
        <v>1734.5420999999999</v>
      </c>
      <c r="M447">
        <v>7</v>
      </c>
      <c r="N447" t="str">
        <f t="shared" si="20"/>
        <v>Regular</v>
      </c>
    </row>
    <row r="448" spans="1:14" x14ac:dyDescent="0.35">
      <c r="A448">
        <v>447</v>
      </c>
      <c r="B448">
        <v>55</v>
      </c>
      <c r="C448" t="str">
        <f t="shared" si="18"/>
        <v>Adult</v>
      </c>
      <c r="D448" t="s">
        <v>16</v>
      </c>
      <c r="E448" t="s">
        <v>20</v>
      </c>
      <c r="F448" t="s">
        <v>36</v>
      </c>
      <c r="G448">
        <v>140.47999999999999</v>
      </c>
      <c r="H448" t="s">
        <v>14</v>
      </c>
      <c r="I448" t="s">
        <v>15</v>
      </c>
      <c r="J448">
        <v>2.8</v>
      </c>
      <c r="K448">
        <v>12</v>
      </c>
      <c r="L448">
        <f t="shared" si="19"/>
        <v>123.62239999999998</v>
      </c>
      <c r="M448">
        <v>6</v>
      </c>
      <c r="N448" t="str">
        <f t="shared" si="20"/>
        <v>Regular</v>
      </c>
    </row>
    <row r="449" spans="1:14" x14ac:dyDescent="0.35">
      <c r="A449">
        <v>448</v>
      </c>
      <c r="B449">
        <v>63</v>
      </c>
      <c r="C449" t="str">
        <f t="shared" si="18"/>
        <v>Senior</v>
      </c>
      <c r="D449" t="s">
        <v>16</v>
      </c>
      <c r="E449" t="s">
        <v>25</v>
      </c>
      <c r="F449" t="s">
        <v>54</v>
      </c>
      <c r="G449">
        <v>17.91</v>
      </c>
      <c r="H449" t="s">
        <v>14</v>
      </c>
      <c r="I449" t="s">
        <v>37</v>
      </c>
      <c r="J449">
        <v>3.3</v>
      </c>
      <c r="K449">
        <v>13</v>
      </c>
      <c r="L449">
        <f t="shared" si="19"/>
        <v>15.5817</v>
      </c>
      <c r="M449">
        <v>4</v>
      </c>
      <c r="N449" t="str">
        <f t="shared" si="20"/>
        <v>Regular</v>
      </c>
    </row>
    <row r="450" spans="1:14" x14ac:dyDescent="0.35">
      <c r="A450">
        <v>449</v>
      </c>
      <c r="B450">
        <v>65</v>
      </c>
      <c r="C450" t="str">
        <f t="shared" si="18"/>
        <v>Senior</v>
      </c>
      <c r="D450" t="s">
        <v>11</v>
      </c>
      <c r="E450" t="s">
        <v>12</v>
      </c>
      <c r="F450" t="s">
        <v>56</v>
      </c>
      <c r="G450">
        <v>129.87</v>
      </c>
      <c r="H450" t="s">
        <v>31</v>
      </c>
      <c r="I450" t="s">
        <v>15</v>
      </c>
      <c r="J450">
        <v>2.5</v>
      </c>
      <c r="K450">
        <v>10</v>
      </c>
      <c r="L450">
        <f t="shared" si="19"/>
        <v>116.88300000000001</v>
      </c>
      <c r="M450">
        <v>5</v>
      </c>
      <c r="N450" t="str">
        <f t="shared" si="20"/>
        <v>Regular</v>
      </c>
    </row>
    <row r="451" spans="1:14" x14ac:dyDescent="0.35">
      <c r="A451">
        <v>450</v>
      </c>
      <c r="B451">
        <v>24</v>
      </c>
      <c r="C451" t="str">
        <f t="shared" ref="C451:C514" si="21">IF(B451&lt;=30,"Youth",IF(B451&lt;=45,"Adult",IF(B451&lt;=60,"Adult","Senior")))</f>
        <v>Youth</v>
      </c>
      <c r="D451" t="s">
        <v>16</v>
      </c>
      <c r="E451" t="s">
        <v>22</v>
      </c>
      <c r="F451" t="s">
        <v>52</v>
      </c>
      <c r="G451">
        <v>77.19</v>
      </c>
      <c r="H451" t="s">
        <v>24</v>
      </c>
      <c r="I451" t="s">
        <v>15</v>
      </c>
      <c r="J451">
        <v>2.2999999999999998</v>
      </c>
      <c r="K451">
        <v>8</v>
      </c>
      <c r="L451">
        <f t="shared" ref="L451:L514" si="22">G451*(1-K451/100)</f>
        <v>71.014799999999994</v>
      </c>
      <c r="M451">
        <v>4</v>
      </c>
      <c r="N451" t="str">
        <f t="shared" ref="N451:N514" si="23">IF(M451&lt;=3,"New",IF(M451&lt;=7,"Regular","Loyal"))</f>
        <v>Regular</v>
      </c>
    </row>
    <row r="452" spans="1:14" x14ac:dyDescent="0.35">
      <c r="A452">
        <v>451</v>
      </c>
      <c r="B452">
        <v>69</v>
      </c>
      <c r="C452" t="str">
        <f t="shared" si="21"/>
        <v>Senior</v>
      </c>
      <c r="D452" t="s">
        <v>11</v>
      </c>
      <c r="E452" t="s">
        <v>41</v>
      </c>
      <c r="F452" t="s">
        <v>42</v>
      </c>
      <c r="G452">
        <v>164.53</v>
      </c>
      <c r="H452" t="s">
        <v>19</v>
      </c>
      <c r="I452" t="s">
        <v>15</v>
      </c>
      <c r="J452">
        <v>3.7</v>
      </c>
      <c r="K452">
        <v>19</v>
      </c>
      <c r="L452">
        <f t="shared" si="22"/>
        <v>133.26930000000002</v>
      </c>
      <c r="M452">
        <v>7</v>
      </c>
      <c r="N452" t="str">
        <f t="shared" si="23"/>
        <v>Regular</v>
      </c>
    </row>
    <row r="453" spans="1:14" x14ac:dyDescent="0.35">
      <c r="A453">
        <v>452</v>
      </c>
      <c r="B453">
        <v>67</v>
      </c>
      <c r="C453" t="str">
        <f t="shared" si="21"/>
        <v>Senior</v>
      </c>
      <c r="D453" t="s">
        <v>16</v>
      </c>
      <c r="E453" t="s">
        <v>27</v>
      </c>
      <c r="F453" t="s">
        <v>32</v>
      </c>
      <c r="G453">
        <v>1534.27</v>
      </c>
      <c r="H453" t="s">
        <v>31</v>
      </c>
      <c r="I453" t="s">
        <v>15</v>
      </c>
      <c r="J453">
        <v>4</v>
      </c>
      <c r="K453">
        <v>8</v>
      </c>
      <c r="L453">
        <f t="shared" si="22"/>
        <v>1411.5284000000001</v>
      </c>
      <c r="M453">
        <v>4</v>
      </c>
      <c r="N453" t="str">
        <f t="shared" si="23"/>
        <v>Regular</v>
      </c>
    </row>
    <row r="454" spans="1:14" x14ac:dyDescent="0.35">
      <c r="A454">
        <v>453</v>
      </c>
      <c r="B454">
        <v>64</v>
      </c>
      <c r="C454" t="str">
        <f t="shared" si="21"/>
        <v>Senior</v>
      </c>
      <c r="D454" t="s">
        <v>16</v>
      </c>
      <c r="E454" t="s">
        <v>25</v>
      </c>
      <c r="F454" t="s">
        <v>54</v>
      </c>
      <c r="G454">
        <v>44.13</v>
      </c>
      <c r="H454" t="s">
        <v>31</v>
      </c>
      <c r="I454" t="s">
        <v>15</v>
      </c>
      <c r="J454">
        <v>3.8</v>
      </c>
      <c r="K454">
        <v>13</v>
      </c>
      <c r="L454">
        <f t="shared" si="22"/>
        <v>38.393100000000004</v>
      </c>
      <c r="M454">
        <v>4</v>
      </c>
      <c r="N454" t="str">
        <f t="shared" si="23"/>
        <v>Regular</v>
      </c>
    </row>
    <row r="455" spans="1:14" x14ac:dyDescent="0.35">
      <c r="A455">
        <v>454</v>
      </c>
      <c r="B455">
        <v>32</v>
      </c>
      <c r="C455" t="str">
        <f t="shared" si="21"/>
        <v>Adult</v>
      </c>
      <c r="D455" t="s">
        <v>16</v>
      </c>
      <c r="E455" t="s">
        <v>33</v>
      </c>
      <c r="F455" t="s">
        <v>38</v>
      </c>
      <c r="G455">
        <v>99.11</v>
      </c>
      <c r="H455" t="s">
        <v>31</v>
      </c>
      <c r="I455" t="s">
        <v>37</v>
      </c>
      <c r="J455">
        <v>3.8</v>
      </c>
      <c r="K455">
        <v>12</v>
      </c>
      <c r="L455">
        <f t="shared" si="22"/>
        <v>87.216800000000006</v>
      </c>
      <c r="M455">
        <v>1</v>
      </c>
      <c r="N455" t="str">
        <f t="shared" si="23"/>
        <v>New</v>
      </c>
    </row>
    <row r="456" spans="1:14" x14ac:dyDescent="0.35">
      <c r="A456">
        <v>455</v>
      </c>
      <c r="B456">
        <v>21</v>
      </c>
      <c r="C456" t="str">
        <f t="shared" si="21"/>
        <v>Youth</v>
      </c>
      <c r="D456" t="s">
        <v>11</v>
      </c>
      <c r="E456" t="s">
        <v>41</v>
      </c>
      <c r="F456" t="s">
        <v>46</v>
      </c>
      <c r="G456">
        <v>105.8</v>
      </c>
      <c r="H456" t="s">
        <v>31</v>
      </c>
      <c r="I456" t="s">
        <v>15</v>
      </c>
      <c r="J456">
        <v>2.6</v>
      </c>
      <c r="K456">
        <v>15</v>
      </c>
      <c r="L456">
        <f t="shared" si="22"/>
        <v>89.929999999999993</v>
      </c>
      <c r="M456">
        <v>5</v>
      </c>
      <c r="N456" t="str">
        <f t="shared" si="23"/>
        <v>Regular</v>
      </c>
    </row>
    <row r="457" spans="1:14" x14ac:dyDescent="0.35">
      <c r="A457">
        <v>456</v>
      </c>
      <c r="B457">
        <v>45</v>
      </c>
      <c r="C457" t="str">
        <f t="shared" si="21"/>
        <v>Adult</v>
      </c>
      <c r="D457" t="s">
        <v>16</v>
      </c>
      <c r="E457" t="s">
        <v>27</v>
      </c>
      <c r="F457" t="s">
        <v>28</v>
      </c>
      <c r="G457">
        <v>2490.98</v>
      </c>
      <c r="H457" t="s">
        <v>14</v>
      </c>
      <c r="I457" t="s">
        <v>15</v>
      </c>
      <c r="J457">
        <v>4.3</v>
      </c>
      <c r="K457">
        <v>17</v>
      </c>
      <c r="L457">
        <f t="shared" si="22"/>
        <v>2067.5133999999998</v>
      </c>
      <c r="M457">
        <v>6</v>
      </c>
      <c r="N457" t="str">
        <f t="shared" si="23"/>
        <v>Regular</v>
      </c>
    </row>
    <row r="458" spans="1:14" x14ac:dyDescent="0.35">
      <c r="A458">
        <v>457</v>
      </c>
      <c r="B458">
        <v>41</v>
      </c>
      <c r="C458" t="str">
        <f t="shared" si="21"/>
        <v>Adult</v>
      </c>
      <c r="D458" t="s">
        <v>16</v>
      </c>
      <c r="E458" t="s">
        <v>17</v>
      </c>
      <c r="F458" t="s">
        <v>48</v>
      </c>
      <c r="G458">
        <v>155.13</v>
      </c>
      <c r="H458" t="s">
        <v>14</v>
      </c>
      <c r="I458" t="s">
        <v>15</v>
      </c>
      <c r="J458">
        <v>3.2</v>
      </c>
      <c r="K458">
        <v>24</v>
      </c>
      <c r="L458">
        <f t="shared" si="22"/>
        <v>117.89879999999999</v>
      </c>
      <c r="M458">
        <v>7</v>
      </c>
      <c r="N458" t="str">
        <f t="shared" si="23"/>
        <v>Regular</v>
      </c>
    </row>
    <row r="459" spans="1:14" x14ac:dyDescent="0.35">
      <c r="A459">
        <v>458</v>
      </c>
      <c r="B459">
        <v>69</v>
      </c>
      <c r="C459" t="str">
        <f t="shared" si="21"/>
        <v>Senior</v>
      </c>
      <c r="D459" t="s">
        <v>11</v>
      </c>
      <c r="E459" t="s">
        <v>33</v>
      </c>
      <c r="F459" t="s">
        <v>40</v>
      </c>
      <c r="G459">
        <v>70.56</v>
      </c>
      <c r="H459" t="s">
        <v>24</v>
      </c>
      <c r="I459" t="s">
        <v>37</v>
      </c>
      <c r="J459">
        <v>5</v>
      </c>
      <c r="K459">
        <v>15</v>
      </c>
      <c r="L459">
        <f t="shared" si="22"/>
        <v>59.975999999999999</v>
      </c>
      <c r="M459">
        <v>5</v>
      </c>
      <c r="N459" t="str">
        <f t="shared" si="23"/>
        <v>Regular</v>
      </c>
    </row>
    <row r="460" spans="1:14" x14ac:dyDescent="0.35">
      <c r="A460">
        <v>459</v>
      </c>
      <c r="B460">
        <v>24</v>
      </c>
      <c r="C460" t="str">
        <f t="shared" si="21"/>
        <v>Youth</v>
      </c>
      <c r="D460" t="s">
        <v>16</v>
      </c>
      <c r="E460" t="s">
        <v>17</v>
      </c>
      <c r="F460" t="s">
        <v>48</v>
      </c>
      <c r="G460">
        <v>177.39</v>
      </c>
      <c r="H460" t="s">
        <v>24</v>
      </c>
      <c r="I460" t="s">
        <v>15</v>
      </c>
      <c r="J460">
        <v>1.9</v>
      </c>
      <c r="K460">
        <v>20</v>
      </c>
      <c r="L460">
        <f t="shared" si="22"/>
        <v>141.91200000000001</v>
      </c>
      <c r="M460">
        <v>5</v>
      </c>
      <c r="N460" t="str">
        <f t="shared" si="23"/>
        <v>Regular</v>
      </c>
    </row>
    <row r="461" spans="1:14" x14ac:dyDescent="0.35">
      <c r="A461">
        <v>460</v>
      </c>
      <c r="B461">
        <v>57</v>
      </c>
      <c r="C461" t="str">
        <f t="shared" si="21"/>
        <v>Adult</v>
      </c>
      <c r="D461" t="s">
        <v>11</v>
      </c>
      <c r="E461" t="s">
        <v>41</v>
      </c>
      <c r="F461" t="s">
        <v>45</v>
      </c>
      <c r="G461">
        <v>106.69</v>
      </c>
      <c r="H461" t="s">
        <v>19</v>
      </c>
      <c r="I461" t="s">
        <v>15</v>
      </c>
      <c r="J461">
        <v>4.0999999999999996</v>
      </c>
      <c r="K461">
        <v>15</v>
      </c>
      <c r="L461">
        <f t="shared" si="22"/>
        <v>90.686499999999995</v>
      </c>
      <c r="M461">
        <v>5</v>
      </c>
      <c r="N461" t="str">
        <f t="shared" si="23"/>
        <v>Regular</v>
      </c>
    </row>
    <row r="462" spans="1:14" x14ac:dyDescent="0.35">
      <c r="A462">
        <v>461</v>
      </c>
      <c r="B462">
        <v>41</v>
      </c>
      <c r="C462" t="str">
        <f t="shared" si="21"/>
        <v>Adult</v>
      </c>
      <c r="D462" t="s">
        <v>11</v>
      </c>
      <c r="E462" t="s">
        <v>12</v>
      </c>
      <c r="F462" t="s">
        <v>50</v>
      </c>
      <c r="G462">
        <v>121.93</v>
      </c>
      <c r="H462" t="s">
        <v>19</v>
      </c>
      <c r="I462" t="s">
        <v>15</v>
      </c>
      <c r="J462">
        <v>3.5</v>
      </c>
      <c r="K462">
        <v>20</v>
      </c>
      <c r="L462">
        <f t="shared" si="22"/>
        <v>97.544000000000011</v>
      </c>
      <c r="M462">
        <v>5</v>
      </c>
      <c r="N462" t="str">
        <f t="shared" si="23"/>
        <v>Regular</v>
      </c>
    </row>
    <row r="463" spans="1:14" x14ac:dyDescent="0.35">
      <c r="A463">
        <v>462</v>
      </c>
      <c r="B463">
        <v>44</v>
      </c>
      <c r="C463" t="str">
        <f t="shared" si="21"/>
        <v>Adult</v>
      </c>
      <c r="D463" t="s">
        <v>16</v>
      </c>
      <c r="E463" t="s">
        <v>17</v>
      </c>
      <c r="F463" t="s">
        <v>42</v>
      </c>
      <c r="G463">
        <v>51.29</v>
      </c>
      <c r="H463" t="s">
        <v>31</v>
      </c>
      <c r="I463" t="s">
        <v>15</v>
      </c>
      <c r="J463">
        <v>3.3</v>
      </c>
      <c r="K463">
        <v>6</v>
      </c>
      <c r="L463">
        <f t="shared" si="22"/>
        <v>48.212599999999995</v>
      </c>
      <c r="M463">
        <v>3</v>
      </c>
      <c r="N463" t="str">
        <f t="shared" si="23"/>
        <v>New</v>
      </c>
    </row>
    <row r="464" spans="1:14" x14ac:dyDescent="0.35">
      <c r="A464">
        <v>463</v>
      </c>
      <c r="B464">
        <v>37</v>
      </c>
      <c r="C464" t="str">
        <f t="shared" si="21"/>
        <v>Adult</v>
      </c>
      <c r="D464" t="s">
        <v>16</v>
      </c>
      <c r="E464" t="s">
        <v>20</v>
      </c>
      <c r="F464" t="s">
        <v>21</v>
      </c>
      <c r="G464">
        <v>242.01</v>
      </c>
      <c r="H464" t="s">
        <v>14</v>
      </c>
      <c r="I464" t="s">
        <v>15</v>
      </c>
      <c r="J464">
        <v>2.8</v>
      </c>
      <c r="K464">
        <v>6</v>
      </c>
      <c r="L464">
        <f t="shared" si="22"/>
        <v>227.48939999999999</v>
      </c>
      <c r="M464">
        <v>3</v>
      </c>
      <c r="N464" t="str">
        <f t="shared" si="23"/>
        <v>New</v>
      </c>
    </row>
    <row r="465" spans="1:14" x14ac:dyDescent="0.35">
      <c r="A465">
        <v>464</v>
      </c>
      <c r="B465">
        <v>43</v>
      </c>
      <c r="C465" t="str">
        <f t="shared" si="21"/>
        <v>Adult</v>
      </c>
      <c r="D465" t="s">
        <v>16</v>
      </c>
      <c r="E465" t="s">
        <v>33</v>
      </c>
      <c r="F465" t="s">
        <v>38</v>
      </c>
      <c r="G465">
        <v>208.11</v>
      </c>
      <c r="H465" t="s">
        <v>31</v>
      </c>
      <c r="I465" t="s">
        <v>15</v>
      </c>
      <c r="J465">
        <v>3.1</v>
      </c>
      <c r="K465">
        <v>6</v>
      </c>
      <c r="L465">
        <f t="shared" si="22"/>
        <v>195.6234</v>
      </c>
      <c r="M465">
        <v>3</v>
      </c>
      <c r="N465" t="str">
        <f t="shared" si="23"/>
        <v>New</v>
      </c>
    </row>
    <row r="466" spans="1:14" x14ac:dyDescent="0.35">
      <c r="A466">
        <v>465</v>
      </c>
      <c r="B466">
        <v>35</v>
      </c>
      <c r="C466" t="str">
        <f t="shared" si="21"/>
        <v>Adult</v>
      </c>
      <c r="D466" t="s">
        <v>11</v>
      </c>
      <c r="E466" t="s">
        <v>20</v>
      </c>
      <c r="F466" t="s">
        <v>36</v>
      </c>
      <c r="G466">
        <v>85.49</v>
      </c>
      <c r="H466" t="s">
        <v>19</v>
      </c>
      <c r="I466" t="s">
        <v>15</v>
      </c>
      <c r="J466">
        <v>2.7</v>
      </c>
      <c r="K466">
        <v>12</v>
      </c>
      <c r="L466">
        <f t="shared" si="22"/>
        <v>75.231200000000001</v>
      </c>
      <c r="M466">
        <v>6</v>
      </c>
      <c r="N466" t="str">
        <f t="shared" si="23"/>
        <v>Regular</v>
      </c>
    </row>
    <row r="467" spans="1:14" x14ac:dyDescent="0.35">
      <c r="A467">
        <v>466</v>
      </c>
      <c r="B467">
        <v>42</v>
      </c>
      <c r="C467" t="str">
        <f t="shared" si="21"/>
        <v>Adult</v>
      </c>
      <c r="D467" t="s">
        <v>16</v>
      </c>
      <c r="E467" t="s">
        <v>27</v>
      </c>
      <c r="F467" t="s">
        <v>53</v>
      </c>
      <c r="G467">
        <v>2867.88</v>
      </c>
      <c r="H467" t="s">
        <v>19</v>
      </c>
      <c r="I467" t="s">
        <v>15</v>
      </c>
      <c r="J467">
        <v>4.5999999999999996</v>
      </c>
      <c r="K467">
        <v>21</v>
      </c>
      <c r="L467">
        <f t="shared" si="22"/>
        <v>2265.6252000000004</v>
      </c>
      <c r="M467">
        <v>8</v>
      </c>
      <c r="N467" t="str">
        <f t="shared" si="23"/>
        <v>Loyal</v>
      </c>
    </row>
    <row r="468" spans="1:14" x14ac:dyDescent="0.35">
      <c r="A468">
        <v>467</v>
      </c>
      <c r="B468">
        <v>42</v>
      </c>
      <c r="C468" t="str">
        <f t="shared" si="21"/>
        <v>Adult</v>
      </c>
      <c r="D468" t="s">
        <v>11</v>
      </c>
      <c r="E468" t="s">
        <v>25</v>
      </c>
      <c r="F468" t="s">
        <v>26</v>
      </c>
      <c r="G468">
        <v>18.72</v>
      </c>
      <c r="H468" t="s">
        <v>19</v>
      </c>
      <c r="I468" t="s">
        <v>15</v>
      </c>
      <c r="J468">
        <v>3.8</v>
      </c>
      <c r="K468">
        <v>14</v>
      </c>
      <c r="L468">
        <f t="shared" si="22"/>
        <v>16.0992</v>
      </c>
      <c r="M468">
        <v>7</v>
      </c>
      <c r="N468" t="str">
        <f t="shared" si="23"/>
        <v>Regular</v>
      </c>
    </row>
    <row r="469" spans="1:14" x14ac:dyDescent="0.35">
      <c r="A469">
        <v>468</v>
      </c>
      <c r="B469">
        <v>58</v>
      </c>
      <c r="C469" t="str">
        <f t="shared" si="21"/>
        <v>Adult</v>
      </c>
      <c r="D469" t="s">
        <v>16</v>
      </c>
      <c r="E469" t="s">
        <v>27</v>
      </c>
      <c r="F469" t="s">
        <v>32</v>
      </c>
      <c r="G469">
        <v>1855.04</v>
      </c>
      <c r="H469" t="s">
        <v>19</v>
      </c>
      <c r="I469" t="s">
        <v>15</v>
      </c>
      <c r="J469">
        <v>3.6</v>
      </c>
      <c r="K469">
        <v>13</v>
      </c>
      <c r="L469">
        <f t="shared" si="22"/>
        <v>1613.8848</v>
      </c>
      <c r="M469">
        <v>4</v>
      </c>
      <c r="N469" t="str">
        <f t="shared" si="23"/>
        <v>Regular</v>
      </c>
    </row>
    <row r="470" spans="1:14" x14ac:dyDescent="0.35">
      <c r="A470">
        <v>469</v>
      </c>
      <c r="B470">
        <v>60</v>
      </c>
      <c r="C470" t="str">
        <f t="shared" si="21"/>
        <v>Adult</v>
      </c>
      <c r="D470" t="s">
        <v>16</v>
      </c>
      <c r="E470" t="s">
        <v>27</v>
      </c>
      <c r="F470" t="s">
        <v>53</v>
      </c>
      <c r="G470">
        <v>2649.85</v>
      </c>
      <c r="H470" t="s">
        <v>31</v>
      </c>
      <c r="I470" t="s">
        <v>15</v>
      </c>
      <c r="J470">
        <v>2.8</v>
      </c>
      <c r="K470">
        <v>13</v>
      </c>
      <c r="L470">
        <f t="shared" si="22"/>
        <v>2305.3694999999998</v>
      </c>
      <c r="M470">
        <v>4</v>
      </c>
      <c r="N470" t="str">
        <f t="shared" si="23"/>
        <v>Regular</v>
      </c>
    </row>
    <row r="471" spans="1:14" x14ac:dyDescent="0.35">
      <c r="A471">
        <v>470</v>
      </c>
      <c r="B471">
        <v>22</v>
      </c>
      <c r="C471" t="str">
        <f t="shared" si="21"/>
        <v>Youth</v>
      </c>
      <c r="D471" t="s">
        <v>11</v>
      </c>
      <c r="E471" t="s">
        <v>12</v>
      </c>
      <c r="F471" t="s">
        <v>13</v>
      </c>
      <c r="G471">
        <v>92.79</v>
      </c>
      <c r="H471" t="s">
        <v>19</v>
      </c>
      <c r="I471" t="s">
        <v>15</v>
      </c>
      <c r="J471">
        <v>4.2</v>
      </c>
      <c r="K471">
        <v>8</v>
      </c>
      <c r="L471">
        <f t="shared" si="22"/>
        <v>85.366800000000012</v>
      </c>
      <c r="M471">
        <v>4</v>
      </c>
      <c r="N471" t="str">
        <f t="shared" si="23"/>
        <v>Regular</v>
      </c>
    </row>
    <row r="472" spans="1:14" x14ac:dyDescent="0.35">
      <c r="A472">
        <v>471</v>
      </c>
      <c r="B472">
        <v>58</v>
      </c>
      <c r="C472" t="str">
        <f t="shared" si="21"/>
        <v>Adult</v>
      </c>
      <c r="D472" t="s">
        <v>16</v>
      </c>
      <c r="E472" t="s">
        <v>22</v>
      </c>
      <c r="F472" t="s">
        <v>52</v>
      </c>
      <c r="G472">
        <v>150.83000000000001</v>
      </c>
      <c r="H472" t="s">
        <v>19</v>
      </c>
      <c r="I472" t="s">
        <v>15</v>
      </c>
      <c r="J472">
        <v>2.6</v>
      </c>
      <c r="K472">
        <v>7</v>
      </c>
      <c r="L472">
        <f t="shared" si="22"/>
        <v>140.27190000000002</v>
      </c>
      <c r="M472">
        <v>1</v>
      </c>
      <c r="N472" t="str">
        <f t="shared" si="23"/>
        <v>New</v>
      </c>
    </row>
    <row r="473" spans="1:14" x14ac:dyDescent="0.35">
      <c r="A473">
        <v>472</v>
      </c>
      <c r="B473">
        <v>34</v>
      </c>
      <c r="C473" t="str">
        <f t="shared" si="21"/>
        <v>Adult</v>
      </c>
      <c r="D473" t="s">
        <v>11</v>
      </c>
      <c r="E473" t="s">
        <v>25</v>
      </c>
      <c r="F473" t="s">
        <v>54</v>
      </c>
      <c r="G473">
        <v>29</v>
      </c>
      <c r="H473" t="s">
        <v>31</v>
      </c>
      <c r="I473" t="s">
        <v>37</v>
      </c>
      <c r="J473">
        <v>4.8</v>
      </c>
      <c r="K473">
        <v>18</v>
      </c>
      <c r="L473">
        <f t="shared" si="22"/>
        <v>23.78</v>
      </c>
      <c r="M473">
        <v>4</v>
      </c>
      <c r="N473" t="str">
        <f t="shared" si="23"/>
        <v>Regular</v>
      </c>
    </row>
    <row r="474" spans="1:14" x14ac:dyDescent="0.35">
      <c r="A474">
        <v>473</v>
      </c>
      <c r="B474">
        <v>45</v>
      </c>
      <c r="C474" t="str">
        <f t="shared" si="21"/>
        <v>Adult</v>
      </c>
      <c r="D474" t="s">
        <v>11</v>
      </c>
      <c r="E474" t="s">
        <v>29</v>
      </c>
      <c r="F474" t="s">
        <v>51</v>
      </c>
      <c r="G474">
        <v>95.57</v>
      </c>
      <c r="H474" t="s">
        <v>24</v>
      </c>
      <c r="I474" t="s">
        <v>15</v>
      </c>
      <c r="J474">
        <v>2.1</v>
      </c>
      <c r="K474">
        <v>11</v>
      </c>
      <c r="L474">
        <f t="shared" si="22"/>
        <v>85.057299999999998</v>
      </c>
      <c r="M474">
        <v>3</v>
      </c>
      <c r="N474" t="str">
        <f t="shared" si="23"/>
        <v>New</v>
      </c>
    </row>
    <row r="475" spans="1:14" x14ac:dyDescent="0.35">
      <c r="A475">
        <v>474</v>
      </c>
      <c r="B475">
        <v>58</v>
      </c>
      <c r="C475" t="str">
        <f t="shared" si="21"/>
        <v>Adult</v>
      </c>
      <c r="D475" t="s">
        <v>11</v>
      </c>
      <c r="E475" t="s">
        <v>12</v>
      </c>
      <c r="F475" t="s">
        <v>56</v>
      </c>
      <c r="G475">
        <v>155.49</v>
      </c>
      <c r="H475" t="s">
        <v>19</v>
      </c>
      <c r="I475" t="s">
        <v>15</v>
      </c>
      <c r="J475">
        <v>4.3</v>
      </c>
      <c r="K475">
        <v>12</v>
      </c>
      <c r="L475">
        <f t="shared" si="22"/>
        <v>136.8312</v>
      </c>
      <c r="M475">
        <v>6</v>
      </c>
      <c r="N475" t="str">
        <f t="shared" si="23"/>
        <v>Regular</v>
      </c>
    </row>
    <row r="476" spans="1:14" x14ac:dyDescent="0.35">
      <c r="A476">
        <v>475</v>
      </c>
      <c r="B476">
        <v>39</v>
      </c>
      <c r="C476" t="str">
        <f t="shared" si="21"/>
        <v>Adult</v>
      </c>
      <c r="D476" t="s">
        <v>16</v>
      </c>
      <c r="E476" t="s">
        <v>22</v>
      </c>
      <c r="F476" t="s">
        <v>43</v>
      </c>
      <c r="G476">
        <v>58.69</v>
      </c>
      <c r="H476" t="s">
        <v>31</v>
      </c>
      <c r="I476" t="s">
        <v>37</v>
      </c>
      <c r="J476">
        <v>3.3</v>
      </c>
      <c r="K476">
        <v>17</v>
      </c>
      <c r="L476">
        <f t="shared" si="22"/>
        <v>48.712699999999998</v>
      </c>
      <c r="M476">
        <v>6</v>
      </c>
      <c r="N476" t="str">
        <f t="shared" si="23"/>
        <v>Regular</v>
      </c>
    </row>
    <row r="477" spans="1:14" x14ac:dyDescent="0.35">
      <c r="A477">
        <v>476</v>
      </c>
      <c r="B477">
        <v>55</v>
      </c>
      <c r="C477" t="str">
        <f t="shared" si="21"/>
        <v>Adult</v>
      </c>
      <c r="D477" t="s">
        <v>11</v>
      </c>
      <c r="E477" t="s">
        <v>29</v>
      </c>
      <c r="F477" t="s">
        <v>51</v>
      </c>
      <c r="G477">
        <v>79.510000000000005</v>
      </c>
      <c r="H477" t="s">
        <v>19</v>
      </c>
      <c r="I477" t="s">
        <v>37</v>
      </c>
      <c r="J477">
        <v>2.4</v>
      </c>
      <c r="K477">
        <v>16</v>
      </c>
      <c r="L477">
        <f t="shared" si="22"/>
        <v>66.788399999999996</v>
      </c>
      <c r="M477">
        <v>3</v>
      </c>
      <c r="N477" t="str">
        <f t="shared" si="23"/>
        <v>New</v>
      </c>
    </row>
    <row r="478" spans="1:14" x14ac:dyDescent="0.35">
      <c r="A478">
        <v>477</v>
      </c>
      <c r="B478">
        <v>58</v>
      </c>
      <c r="C478" t="str">
        <f t="shared" si="21"/>
        <v>Adult</v>
      </c>
      <c r="D478" t="s">
        <v>16</v>
      </c>
      <c r="E478" t="s">
        <v>27</v>
      </c>
      <c r="F478" t="s">
        <v>28</v>
      </c>
      <c r="G478">
        <v>2792.69</v>
      </c>
      <c r="H478" t="s">
        <v>14</v>
      </c>
      <c r="I478" t="s">
        <v>15</v>
      </c>
      <c r="J478">
        <v>3.7</v>
      </c>
      <c r="K478">
        <v>14</v>
      </c>
      <c r="L478">
        <f t="shared" si="22"/>
        <v>2401.7134000000001</v>
      </c>
      <c r="M478">
        <v>7</v>
      </c>
      <c r="N478" t="str">
        <f t="shared" si="23"/>
        <v>Regular</v>
      </c>
    </row>
    <row r="479" spans="1:14" x14ac:dyDescent="0.35">
      <c r="A479">
        <v>478</v>
      </c>
      <c r="B479">
        <v>55</v>
      </c>
      <c r="C479" t="str">
        <f t="shared" si="21"/>
        <v>Adult</v>
      </c>
      <c r="D479" t="s">
        <v>11</v>
      </c>
      <c r="E479" t="s">
        <v>25</v>
      </c>
      <c r="F479" t="s">
        <v>26</v>
      </c>
      <c r="G479">
        <v>78.239999999999995</v>
      </c>
      <c r="H479" t="s">
        <v>31</v>
      </c>
      <c r="I479" t="s">
        <v>37</v>
      </c>
      <c r="J479">
        <v>3.8</v>
      </c>
      <c r="K479">
        <v>19</v>
      </c>
      <c r="L479">
        <f t="shared" si="22"/>
        <v>63.374400000000001</v>
      </c>
      <c r="M479">
        <v>7</v>
      </c>
      <c r="N479" t="str">
        <f t="shared" si="23"/>
        <v>Regular</v>
      </c>
    </row>
    <row r="480" spans="1:14" x14ac:dyDescent="0.35">
      <c r="A480">
        <v>479</v>
      </c>
      <c r="B480">
        <v>49</v>
      </c>
      <c r="C480" t="str">
        <f t="shared" si="21"/>
        <v>Adult</v>
      </c>
      <c r="D480" t="s">
        <v>16</v>
      </c>
      <c r="E480" t="s">
        <v>20</v>
      </c>
      <c r="F480" t="s">
        <v>39</v>
      </c>
      <c r="G480">
        <v>213.36</v>
      </c>
      <c r="H480" t="s">
        <v>19</v>
      </c>
      <c r="I480" t="s">
        <v>15</v>
      </c>
      <c r="J480">
        <v>3.2</v>
      </c>
      <c r="K480">
        <v>12</v>
      </c>
      <c r="L480">
        <f t="shared" si="22"/>
        <v>187.75680000000003</v>
      </c>
      <c r="M480">
        <v>6</v>
      </c>
      <c r="N480" t="str">
        <f t="shared" si="23"/>
        <v>Regular</v>
      </c>
    </row>
    <row r="481" spans="1:14" x14ac:dyDescent="0.35">
      <c r="A481">
        <v>480</v>
      </c>
      <c r="B481">
        <v>39</v>
      </c>
      <c r="C481" t="str">
        <f t="shared" si="21"/>
        <v>Adult</v>
      </c>
      <c r="D481" t="s">
        <v>16</v>
      </c>
      <c r="E481" t="s">
        <v>17</v>
      </c>
      <c r="F481" t="s">
        <v>42</v>
      </c>
      <c r="G481">
        <v>49.04</v>
      </c>
      <c r="H481" t="s">
        <v>19</v>
      </c>
      <c r="I481" t="s">
        <v>37</v>
      </c>
      <c r="J481">
        <v>3.9</v>
      </c>
      <c r="K481">
        <v>19</v>
      </c>
      <c r="L481">
        <f t="shared" si="22"/>
        <v>39.7224</v>
      </c>
      <c r="M481">
        <v>7</v>
      </c>
      <c r="N481" t="str">
        <f t="shared" si="23"/>
        <v>Regular</v>
      </c>
    </row>
    <row r="482" spans="1:14" x14ac:dyDescent="0.35">
      <c r="A482">
        <v>481</v>
      </c>
      <c r="B482">
        <v>54</v>
      </c>
      <c r="C482" t="str">
        <f t="shared" si="21"/>
        <v>Adult</v>
      </c>
      <c r="D482" t="s">
        <v>16</v>
      </c>
      <c r="E482" t="s">
        <v>33</v>
      </c>
      <c r="F482" t="s">
        <v>38</v>
      </c>
      <c r="G482">
        <v>50.57</v>
      </c>
      <c r="H482" t="s">
        <v>14</v>
      </c>
      <c r="I482" t="s">
        <v>37</v>
      </c>
      <c r="J482">
        <v>3.5</v>
      </c>
      <c r="K482">
        <v>4</v>
      </c>
      <c r="L482">
        <f t="shared" si="22"/>
        <v>48.547199999999997</v>
      </c>
      <c r="M482">
        <v>2</v>
      </c>
      <c r="N482" t="str">
        <f t="shared" si="23"/>
        <v>New</v>
      </c>
    </row>
    <row r="483" spans="1:14" x14ac:dyDescent="0.35">
      <c r="A483">
        <v>482</v>
      </c>
      <c r="B483">
        <v>51</v>
      </c>
      <c r="C483" t="str">
        <f t="shared" si="21"/>
        <v>Adult</v>
      </c>
      <c r="D483" t="s">
        <v>11</v>
      </c>
      <c r="E483" t="s">
        <v>29</v>
      </c>
      <c r="F483" t="s">
        <v>51</v>
      </c>
      <c r="G483">
        <v>78.510000000000005</v>
      </c>
      <c r="H483" t="s">
        <v>31</v>
      </c>
      <c r="I483" t="s">
        <v>15</v>
      </c>
      <c r="J483">
        <v>5</v>
      </c>
      <c r="K483">
        <v>10</v>
      </c>
      <c r="L483">
        <f t="shared" si="22"/>
        <v>70.659000000000006</v>
      </c>
      <c r="M483">
        <v>5</v>
      </c>
      <c r="N483" t="str">
        <f t="shared" si="23"/>
        <v>Regular</v>
      </c>
    </row>
    <row r="484" spans="1:14" x14ac:dyDescent="0.35">
      <c r="A484">
        <v>483</v>
      </c>
      <c r="B484">
        <v>53</v>
      </c>
      <c r="C484" t="str">
        <f t="shared" si="21"/>
        <v>Adult</v>
      </c>
      <c r="D484" t="s">
        <v>11</v>
      </c>
      <c r="E484" t="s">
        <v>12</v>
      </c>
      <c r="F484" t="s">
        <v>13</v>
      </c>
      <c r="G484">
        <v>73.069999999999993</v>
      </c>
      <c r="H484" t="s">
        <v>19</v>
      </c>
      <c r="I484" t="s">
        <v>15</v>
      </c>
      <c r="J484">
        <v>3.3</v>
      </c>
      <c r="K484">
        <v>15</v>
      </c>
      <c r="L484">
        <f t="shared" si="22"/>
        <v>62.10949999999999</v>
      </c>
      <c r="M484">
        <v>5</v>
      </c>
      <c r="N484" t="str">
        <f t="shared" si="23"/>
        <v>Regular</v>
      </c>
    </row>
    <row r="485" spans="1:14" x14ac:dyDescent="0.35">
      <c r="A485">
        <v>484</v>
      </c>
      <c r="B485">
        <v>43</v>
      </c>
      <c r="C485" t="str">
        <f t="shared" si="21"/>
        <v>Adult</v>
      </c>
      <c r="D485" t="s">
        <v>16</v>
      </c>
      <c r="E485" t="s">
        <v>22</v>
      </c>
      <c r="F485" t="s">
        <v>23</v>
      </c>
      <c r="G485">
        <v>299.95999999999998</v>
      </c>
      <c r="H485" t="s">
        <v>19</v>
      </c>
      <c r="I485" t="s">
        <v>15</v>
      </c>
      <c r="J485">
        <v>3.4</v>
      </c>
      <c r="K485">
        <v>5</v>
      </c>
      <c r="L485">
        <f t="shared" si="22"/>
        <v>284.96199999999999</v>
      </c>
      <c r="M485">
        <v>0</v>
      </c>
      <c r="N485" t="str">
        <f t="shared" si="23"/>
        <v>New</v>
      </c>
    </row>
    <row r="486" spans="1:14" x14ac:dyDescent="0.35">
      <c r="A486">
        <v>485</v>
      </c>
      <c r="B486">
        <v>43</v>
      </c>
      <c r="C486" t="str">
        <f t="shared" si="21"/>
        <v>Adult</v>
      </c>
      <c r="D486" t="s">
        <v>16</v>
      </c>
      <c r="E486" t="s">
        <v>20</v>
      </c>
      <c r="F486" t="s">
        <v>21</v>
      </c>
      <c r="G486">
        <v>239.89</v>
      </c>
      <c r="H486" t="s">
        <v>31</v>
      </c>
      <c r="I486" t="s">
        <v>15</v>
      </c>
      <c r="J486">
        <v>3.7</v>
      </c>
      <c r="K486">
        <v>2</v>
      </c>
      <c r="L486">
        <f t="shared" si="22"/>
        <v>235.09219999999999</v>
      </c>
      <c r="M486">
        <v>1</v>
      </c>
      <c r="N486" t="str">
        <f t="shared" si="23"/>
        <v>New</v>
      </c>
    </row>
    <row r="487" spans="1:14" x14ac:dyDescent="0.35">
      <c r="A487">
        <v>486</v>
      </c>
      <c r="B487">
        <v>48</v>
      </c>
      <c r="C487" t="str">
        <f t="shared" si="21"/>
        <v>Adult</v>
      </c>
      <c r="D487" t="s">
        <v>11</v>
      </c>
      <c r="E487" t="s">
        <v>41</v>
      </c>
      <c r="F487" t="s">
        <v>45</v>
      </c>
      <c r="G487">
        <v>98.38</v>
      </c>
      <c r="H487" t="s">
        <v>24</v>
      </c>
      <c r="I487" t="s">
        <v>37</v>
      </c>
      <c r="J487">
        <v>4.2</v>
      </c>
      <c r="K487">
        <v>14</v>
      </c>
      <c r="L487">
        <f t="shared" si="22"/>
        <v>84.606799999999993</v>
      </c>
      <c r="M487">
        <v>2</v>
      </c>
      <c r="N487" t="str">
        <f t="shared" si="23"/>
        <v>New</v>
      </c>
    </row>
    <row r="488" spans="1:14" x14ac:dyDescent="0.35">
      <c r="A488">
        <v>487</v>
      </c>
      <c r="B488">
        <v>52</v>
      </c>
      <c r="C488" t="str">
        <f t="shared" si="21"/>
        <v>Adult</v>
      </c>
      <c r="D488" t="s">
        <v>16</v>
      </c>
      <c r="E488" t="s">
        <v>20</v>
      </c>
      <c r="F488" t="s">
        <v>39</v>
      </c>
      <c r="G488">
        <v>152.29</v>
      </c>
      <c r="H488" t="s">
        <v>19</v>
      </c>
      <c r="I488" t="s">
        <v>15</v>
      </c>
      <c r="J488">
        <v>3.2</v>
      </c>
      <c r="K488">
        <v>14</v>
      </c>
      <c r="L488">
        <f t="shared" si="22"/>
        <v>130.96939999999998</v>
      </c>
      <c r="M488">
        <v>2</v>
      </c>
      <c r="N488" t="str">
        <f t="shared" si="23"/>
        <v>New</v>
      </c>
    </row>
    <row r="489" spans="1:14" x14ac:dyDescent="0.35">
      <c r="A489">
        <v>488</v>
      </c>
      <c r="B489">
        <v>69</v>
      </c>
      <c r="C489" t="str">
        <f t="shared" si="21"/>
        <v>Senior</v>
      </c>
      <c r="D489" t="s">
        <v>11</v>
      </c>
      <c r="E489" t="s">
        <v>41</v>
      </c>
      <c r="F489" t="s">
        <v>42</v>
      </c>
      <c r="G489">
        <v>96.34</v>
      </c>
      <c r="H489" t="s">
        <v>24</v>
      </c>
      <c r="I489" t="s">
        <v>15</v>
      </c>
      <c r="J489">
        <v>3.8</v>
      </c>
      <c r="K489">
        <v>26</v>
      </c>
      <c r="L489">
        <f t="shared" si="22"/>
        <v>71.291600000000003</v>
      </c>
      <c r="M489">
        <v>8</v>
      </c>
      <c r="N489" t="str">
        <f t="shared" si="23"/>
        <v>Loyal</v>
      </c>
    </row>
    <row r="490" spans="1:14" x14ac:dyDescent="0.35">
      <c r="A490">
        <v>489</v>
      </c>
      <c r="B490">
        <v>26</v>
      </c>
      <c r="C490" t="str">
        <f t="shared" si="21"/>
        <v>Youth</v>
      </c>
      <c r="D490" t="s">
        <v>11</v>
      </c>
      <c r="E490" t="s">
        <v>12</v>
      </c>
      <c r="F490" t="s">
        <v>56</v>
      </c>
      <c r="G490">
        <v>100.05</v>
      </c>
      <c r="H490" t="s">
        <v>31</v>
      </c>
      <c r="I490" t="s">
        <v>15</v>
      </c>
      <c r="J490">
        <v>3.7</v>
      </c>
      <c r="K490">
        <v>11</v>
      </c>
      <c r="L490">
        <f t="shared" si="22"/>
        <v>89.044499999999999</v>
      </c>
      <c r="M490">
        <v>3</v>
      </c>
      <c r="N490" t="str">
        <f t="shared" si="23"/>
        <v>New</v>
      </c>
    </row>
    <row r="491" spans="1:14" x14ac:dyDescent="0.35">
      <c r="A491">
        <v>490</v>
      </c>
      <c r="B491">
        <v>34</v>
      </c>
      <c r="C491" t="str">
        <f t="shared" si="21"/>
        <v>Adult</v>
      </c>
      <c r="D491" t="s">
        <v>11</v>
      </c>
      <c r="E491" t="s">
        <v>41</v>
      </c>
      <c r="F491" t="s">
        <v>44</v>
      </c>
      <c r="G491">
        <v>96.07</v>
      </c>
      <c r="H491" t="s">
        <v>19</v>
      </c>
      <c r="I491" t="s">
        <v>15</v>
      </c>
      <c r="J491">
        <v>3.1</v>
      </c>
      <c r="K491">
        <v>12</v>
      </c>
      <c r="L491">
        <f t="shared" si="22"/>
        <v>84.541599999999988</v>
      </c>
      <c r="M491">
        <v>6</v>
      </c>
      <c r="N491" t="str">
        <f t="shared" si="23"/>
        <v>Regular</v>
      </c>
    </row>
    <row r="492" spans="1:14" x14ac:dyDescent="0.35">
      <c r="A492">
        <v>491</v>
      </c>
      <c r="B492">
        <v>30</v>
      </c>
      <c r="C492" t="str">
        <f t="shared" si="21"/>
        <v>Youth</v>
      </c>
      <c r="D492" t="s">
        <v>11</v>
      </c>
      <c r="E492" t="s">
        <v>41</v>
      </c>
      <c r="F492" t="s">
        <v>45</v>
      </c>
      <c r="G492">
        <v>46.55</v>
      </c>
      <c r="H492" t="s">
        <v>31</v>
      </c>
      <c r="I492" t="s">
        <v>15</v>
      </c>
      <c r="J492">
        <v>4.0999999999999996</v>
      </c>
      <c r="K492">
        <v>8</v>
      </c>
      <c r="L492">
        <f t="shared" si="22"/>
        <v>42.826000000000001</v>
      </c>
      <c r="M492">
        <v>4</v>
      </c>
      <c r="N492" t="str">
        <f t="shared" si="23"/>
        <v>Regular</v>
      </c>
    </row>
    <row r="493" spans="1:14" x14ac:dyDescent="0.35">
      <c r="A493">
        <v>492</v>
      </c>
      <c r="B493">
        <v>25</v>
      </c>
      <c r="C493" t="str">
        <f t="shared" si="21"/>
        <v>Youth</v>
      </c>
      <c r="D493" t="s">
        <v>11</v>
      </c>
      <c r="E493" t="s">
        <v>29</v>
      </c>
      <c r="F493" t="s">
        <v>30</v>
      </c>
      <c r="G493">
        <v>86.16</v>
      </c>
      <c r="H493" t="s">
        <v>14</v>
      </c>
      <c r="I493" t="s">
        <v>37</v>
      </c>
      <c r="J493">
        <v>4.5</v>
      </c>
      <c r="K493">
        <v>6</v>
      </c>
      <c r="L493">
        <f t="shared" si="22"/>
        <v>80.990399999999994</v>
      </c>
      <c r="M493">
        <v>3</v>
      </c>
      <c r="N493" t="str">
        <f t="shared" si="23"/>
        <v>New</v>
      </c>
    </row>
    <row r="494" spans="1:14" x14ac:dyDescent="0.35">
      <c r="A494">
        <v>493</v>
      </c>
      <c r="B494">
        <v>61</v>
      </c>
      <c r="C494" t="str">
        <f t="shared" si="21"/>
        <v>Senior</v>
      </c>
      <c r="D494" t="s">
        <v>11</v>
      </c>
      <c r="E494" t="s">
        <v>12</v>
      </c>
      <c r="F494" t="s">
        <v>50</v>
      </c>
      <c r="G494">
        <v>174.31</v>
      </c>
      <c r="H494" t="s">
        <v>19</v>
      </c>
      <c r="I494" t="s">
        <v>15</v>
      </c>
      <c r="J494">
        <v>5</v>
      </c>
      <c r="K494">
        <v>24</v>
      </c>
      <c r="L494">
        <f t="shared" si="22"/>
        <v>132.47560000000001</v>
      </c>
      <c r="M494">
        <v>7</v>
      </c>
      <c r="N494" t="str">
        <f t="shared" si="23"/>
        <v>Regular</v>
      </c>
    </row>
    <row r="495" spans="1:14" x14ac:dyDescent="0.35">
      <c r="A495">
        <v>494</v>
      </c>
      <c r="B495">
        <v>27</v>
      </c>
      <c r="C495" t="str">
        <f t="shared" si="21"/>
        <v>Youth</v>
      </c>
      <c r="D495" t="s">
        <v>11</v>
      </c>
      <c r="E495" t="s">
        <v>33</v>
      </c>
      <c r="F495" t="s">
        <v>34</v>
      </c>
      <c r="G495">
        <v>150.44999999999999</v>
      </c>
      <c r="H495" t="s">
        <v>19</v>
      </c>
      <c r="I495" t="s">
        <v>15</v>
      </c>
      <c r="J495">
        <v>3.7</v>
      </c>
      <c r="K495">
        <v>14</v>
      </c>
      <c r="L495">
        <f t="shared" si="22"/>
        <v>129.387</v>
      </c>
      <c r="M495">
        <v>7</v>
      </c>
      <c r="N495" t="str">
        <f t="shared" si="23"/>
        <v>Regular</v>
      </c>
    </row>
    <row r="496" spans="1:14" x14ac:dyDescent="0.35">
      <c r="A496">
        <v>495</v>
      </c>
      <c r="B496">
        <v>40</v>
      </c>
      <c r="C496" t="str">
        <f t="shared" si="21"/>
        <v>Adult</v>
      </c>
      <c r="D496" t="s">
        <v>16</v>
      </c>
      <c r="E496" t="s">
        <v>20</v>
      </c>
      <c r="F496" t="s">
        <v>21</v>
      </c>
      <c r="G496">
        <v>106</v>
      </c>
      <c r="H496" t="s">
        <v>24</v>
      </c>
      <c r="I496" t="s">
        <v>15</v>
      </c>
      <c r="J496">
        <v>3.4</v>
      </c>
      <c r="K496">
        <v>18</v>
      </c>
      <c r="L496">
        <f t="shared" si="22"/>
        <v>86.92</v>
      </c>
      <c r="M496">
        <v>4</v>
      </c>
      <c r="N496" t="str">
        <f t="shared" si="23"/>
        <v>Regular</v>
      </c>
    </row>
    <row r="497" spans="1:14" x14ac:dyDescent="0.35">
      <c r="A497">
        <v>496</v>
      </c>
      <c r="B497">
        <v>44</v>
      </c>
      <c r="C497" t="str">
        <f t="shared" si="21"/>
        <v>Adult</v>
      </c>
      <c r="D497" t="s">
        <v>16</v>
      </c>
      <c r="E497" t="s">
        <v>20</v>
      </c>
      <c r="F497" t="s">
        <v>39</v>
      </c>
      <c r="G497">
        <v>119.84</v>
      </c>
      <c r="H497" t="s">
        <v>14</v>
      </c>
      <c r="I497" t="s">
        <v>15</v>
      </c>
      <c r="J497">
        <v>3.6</v>
      </c>
      <c r="K497">
        <v>9</v>
      </c>
      <c r="L497">
        <f t="shared" si="22"/>
        <v>109.0544</v>
      </c>
      <c r="M497">
        <v>2</v>
      </c>
      <c r="N497" t="str">
        <f t="shared" si="23"/>
        <v>New</v>
      </c>
    </row>
    <row r="498" spans="1:14" x14ac:dyDescent="0.35">
      <c r="A498">
        <v>497</v>
      </c>
      <c r="B498">
        <v>49</v>
      </c>
      <c r="C498" t="str">
        <f t="shared" si="21"/>
        <v>Adult</v>
      </c>
      <c r="D498" t="s">
        <v>11</v>
      </c>
      <c r="E498" t="s">
        <v>29</v>
      </c>
      <c r="F498" t="s">
        <v>30</v>
      </c>
      <c r="G498">
        <v>102.61</v>
      </c>
      <c r="H498" t="s">
        <v>14</v>
      </c>
      <c r="I498" t="s">
        <v>15</v>
      </c>
      <c r="J498">
        <v>4.5999999999999996</v>
      </c>
      <c r="K498">
        <v>26</v>
      </c>
      <c r="L498">
        <f t="shared" si="22"/>
        <v>75.931399999999996</v>
      </c>
      <c r="M498">
        <v>8</v>
      </c>
      <c r="N498" t="str">
        <f t="shared" si="23"/>
        <v>Loyal</v>
      </c>
    </row>
    <row r="499" spans="1:14" x14ac:dyDescent="0.35">
      <c r="A499">
        <v>498</v>
      </c>
      <c r="B499">
        <v>45</v>
      </c>
      <c r="C499" t="str">
        <f t="shared" si="21"/>
        <v>Adult</v>
      </c>
      <c r="D499" t="s">
        <v>11</v>
      </c>
      <c r="E499" t="s">
        <v>41</v>
      </c>
      <c r="F499" t="s">
        <v>46</v>
      </c>
      <c r="G499">
        <v>82.9</v>
      </c>
      <c r="H499" t="s">
        <v>19</v>
      </c>
      <c r="I499" t="s">
        <v>37</v>
      </c>
      <c r="J499">
        <v>3.9</v>
      </c>
      <c r="K499">
        <v>16</v>
      </c>
      <c r="L499">
        <f t="shared" si="22"/>
        <v>69.635999999999996</v>
      </c>
      <c r="M499">
        <v>8</v>
      </c>
      <c r="N499" t="str">
        <f t="shared" si="23"/>
        <v>Loyal</v>
      </c>
    </row>
    <row r="500" spans="1:14" x14ac:dyDescent="0.35">
      <c r="A500">
        <v>499</v>
      </c>
      <c r="B500">
        <v>31</v>
      </c>
      <c r="C500" t="str">
        <f t="shared" si="21"/>
        <v>Adult</v>
      </c>
      <c r="D500" t="s">
        <v>16</v>
      </c>
      <c r="E500" t="s">
        <v>20</v>
      </c>
      <c r="F500" t="s">
        <v>36</v>
      </c>
      <c r="G500">
        <v>72.099999999999994</v>
      </c>
      <c r="H500" t="s">
        <v>19</v>
      </c>
      <c r="I500" t="s">
        <v>15</v>
      </c>
      <c r="J500">
        <v>4.3</v>
      </c>
      <c r="K500">
        <v>12</v>
      </c>
      <c r="L500">
        <f t="shared" si="22"/>
        <v>63.447999999999993</v>
      </c>
      <c r="M500">
        <v>6</v>
      </c>
      <c r="N500" t="str">
        <f t="shared" si="23"/>
        <v>Regular</v>
      </c>
    </row>
    <row r="501" spans="1:14" x14ac:dyDescent="0.35">
      <c r="A501">
        <v>500</v>
      </c>
      <c r="B501">
        <v>51</v>
      </c>
      <c r="C501" t="str">
        <f t="shared" si="21"/>
        <v>Adult</v>
      </c>
      <c r="D501" t="s">
        <v>16</v>
      </c>
      <c r="E501" t="s">
        <v>33</v>
      </c>
      <c r="F501" t="s">
        <v>40</v>
      </c>
      <c r="G501">
        <v>214.97</v>
      </c>
      <c r="H501" t="s">
        <v>14</v>
      </c>
      <c r="I501" t="s">
        <v>15</v>
      </c>
      <c r="J501">
        <v>4.0999999999999996</v>
      </c>
      <c r="K501">
        <v>22</v>
      </c>
      <c r="L501">
        <f t="shared" si="22"/>
        <v>167.67660000000001</v>
      </c>
      <c r="M501">
        <v>6</v>
      </c>
      <c r="N501" t="str">
        <f t="shared" si="23"/>
        <v>Regular</v>
      </c>
    </row>
    <row r="502" spans="1:14" x14ac:dyDescent="0.35">
      <c r="A502">
        <v>501</v>
      </c>
      <c r="B502">
        <v>27</v>
      </c>
      <c r="C502" t="str">
        <f t="shared" si="21"/>
        <v>Youth</v>
      </c>
      <c r="D502" t="s">
        <v>16</v>
      </c>
      <c r="E502" t="s">
        <v>27</v>
      </c>
      <c r="F502" t="s">
        <v>49</v>
      </c>
      <c r="G502">
        <v>1871.95</v>
      </c>
      <c r="H502" t="s">
        <v>19</v>
      </c>
      <c r="I502" t="s">
        <v>15</v>
      </c>
      <c r="J502">
        <v>4.3</v>
      </c>
      <c r="K502">
        <v>15</v>
      </c>
      <c r="L502">
        <f t="shared" si="22"/>
        <v>1591.1575</v>
      </c>
      <c r="M502">
        <v>5</v>
      </c>
      <c r="N502" t="str">
        <f t="shared" si="23"/>
        <v>Regular</v>
      </c>
    </row>
    <row r="503" spans="1:14" x14ac:dyDescent="0.35">
      <c r="A503">
        <v>502</v>
      </c>
      <c r="B503">
        <v>50</v>
      </c>
      <c r="C503" t="str">
        <f t="shared" si="21"/>
        <v>Adult</v>
      </c>
      <c r="D503" t="s">
        <v>11</v>
      </c>
      <c r="E503" t="s">
        <v>12</v>
      </c>
      <c r="F503" t="s">
        <v>13</v>
      </c>
      <c r="G503">
        <v>40.1</v>
      </c>
      <c r="H503" t="s">
        <v>14</v>
      </c>
      <c r="I503" t="s">
        <v>37</v>
      </c>
      <c r="J503">
        <v>3.9</v>
      </c>
      <c r="K503">
        <v>19</v>
      </c>
      <c r="L503">
        <f t="shared" si="22"/>
        <v>32.481000000000002</v>
      </c>
      <c r="M503">
        <v>7</v>
      </c>
      <c r="N503" t="str">
        <f t="shared" si="23"/>
        <v>Regular</v>
      </c>
    </row>
    <row r="504" spans="1:14" x14ac:dyDescent="0.35">
      <c r="A504">
        <v>503</v>
      </c>
      <c r="B504">
        <v>24</v>
      </c>
      <c r="C504" t="str">
        <f t="shared" si="21"/>
        <v>Youth</v>
      </c>
      <c r="D504" t="s">
        <v>11</v>
      </c>
      <c r="E504" t="s">
        <v>29</v>
      </c>
      <c r="F504" t="s">
        <v>51</v>
      </c>
      <c r="G504">
        <v>96.8</v>
      </c>
      <c r="H504" t="s">
        <v>19</v>
      </c>
      <c r="I504" t="s">
        <v>15</v>
      </c>
      <c r="J504">
        <v>4.5999999999999996</v>
      </c>
      <c r="K504">
        <v>21</v>
      </c>
      <c r="L504">
        <f t="shared" si="22"/>
        <v>76.471999999999994</v>
      </c>
      <c r="M504">
        <v>8</v>
      </c>
      <c r="N504" t="str">
        <f t="shared" si="23"/>
        <v>Loyal</v>
      </c>
    </row>
    <row r="505" spans="1:14" x14ac:dyDescent="0.35">
      <c r="A505">
        <v>504</v>
      </c>
      <c r="B505">
        <v>59</v>
      </c>
      <c r="C505" t="str">
        <f t="shared" si="21"/>
        <v>Adult</v>
      </c>
      <c r="D505" t="s">
        <v>16</v>
      </c>
      <c r="E505" t="s">
        <v>22</v>
      </c>
      <c r="F505" t="s">
        <v>23</v>
      </c>
      <c r="G505">
        <v>43.39</v>
      </c>
      <c r="H505" t="s">
        <v>14</v>
      </c>
      <c r="I505" t="s">
        <v>37</v>
      </c>
      <c r="J505">
        <v>5</v>
      </c>
      <c r="K505">
        <v>12</v>
      </c>
      <c r="L505">
        <f t="shared" si="22"/>
        <v>38.183199999999999</v>
      </c>
      <c r="M505">
        <v>1</v>
      </c>
      <c r="N505" t="str">
        <f t="shared" si="23"/>
        <v>New</v>
      </c>
    </row>
    <row r="506" spans="1:14" x14ac:dyDescent="0.35">
      <c r="A506">
        <v>505</v>
      </c>
      <c r="B506">
        <v>26</v>
      </c>
      <c r="C506" t="str">
        <f t="shared" si="21"/>
        <v>Youth</v>
      </c>
      <c r="D506" t="s">
        <v>11</v>
      </c>
      <c r="E506" t="s">
        <v>12</v>
      </c>
      <c r="F506" t="s">
        <v>50</v>
      </c>
      <c r="G506">
        <v>26.57</v>
      </c>
      <c r="H506" t="s">
        <v>31</v>
      </c>
      <c r="I506" t="s">
        <v>37</v>
      </c>
      <c r="J506">
        <v>4.4000000000000004</v>
      </c>
      <c r="K506">
        <v>22</v>
      </c>
      <c r="L506">
        <f t="shared" si="22"/>
        <v>20.724600000000002</v>
      </c>
      <c r="M506">
        <v>6</v>
      </c>
      <c r="N506" t="str">
        <f t="shared" si="23"/>
        <v>Regular</v>
      </c>
    </row>
    <row r="507" spans="1:14" x14ac:dyDescent="0.35">
      <c r="A507">
        <v>506</v>
      </c>
      <c r="B507">
        <v>57</v>
      </c>
      <c r="C507" t="str">
        <f t="shared" si="21"/>
        <v>Adult</v>
      </c>
      <c r="D507" t="s">
        <v>11</v>
      </c>
      <c r="E507" t="s">
        <v>41</v>
      </c>
      <c r="F507" t="s">
        <v>44</v>
      </c>
      <c r="G507">
        <v>187.19</v>
      </c>
      <c r="H507" t="s">
        <v>31</v>
      </c>
      <c r="I507" t="s">
        <v>15</v>
      </c>
      <c r="J507">
        <v>4.7</v>
      </c>
      <c r="K507">
        <v>16</v>
      </c>
      <c r="L507">
        <f t="shared" si="22"/>
        <v>157.2396</v>
      </c>
      <c r="M507">
        <v>3</v>
      </c>
      <c r="N507" t="str">
        <f t="shared" si="23"/>
        <v>New</v>
      </c>
    </row>
    <row r="508" spans="1:14" x14ac:dyDescent="0.35">
      <c r="A508">
        <v>507</v>
      </c>
      <c r="B508">
        <v>37</v>
      </c>
      <c r="C508" t="str">
        <f t="shared" si="21"/>
        <v>Adult</v>
      </c>
      <c r="D508" t="s">
        <v>16</v>
      </c>
      <c r="E508" t="s">
        <v>33</v>
      </c>
      <c r="F508" t="s">
        <v>38</v>
      </c>
      <c r="G508">
        <v>80.92</v>
      </c>
      <c r="H508" t="s">
        <v>14</v>
      </c>
      <c r="I508" t="s">
        <v>37</v>
      </c>
      <c r="J508">
        <v>3</v>
      </c>
      <c r="K508">
        <v>14</v>
      </c>
      <c r="L508">
        <f t="shared" si="22"/>
        <v>69.591200000000001</v>
      </c>
      <c r="M508">
        <v>7</v>
      </c>
      <c r="N508" t="str">
        <f t="shared" si="23"/>
        <v>Regular</v>
      </c>
    </row>
    <row r="509" spans="1:14" x14ac:dyDescent="0.35">
      <c r="A509">
        <v>508</v>
      </c>
      <c r="B509">
        <v>44</v>
      </c>
      <c r="C509" t="str">
        <f t="shared" si="21"/>
        <v>Adult</v>
      </c>
      <c r="D509" t="s">
        <v>16</v>
      </c>
      <c r="E509" t="s">
        <v>27</v>
      </c>
      <c r="F509" t="s">
        <v>49</v>
      </c>
      <c r="G509">
        <v>1002.94</v>
      </c>
      <c r="H509" t="s">
        <v>31</v>
      </c>
      <c r="I509" t="s">
        <v>15</v>
      </c>
      <c r="J509">
        <v>2.2999999999999998</v>
      </c>
      <c r="K509">
        <v>14</v>
      </c>
      <c r="L509">
        <f t="shared" si="22"/>
        <v>862.52840000000003</v>
      </c>
      <c r="M509">
        <v>2</v>
      </c>
      <c r="N509" t="str">
        <f t="shared" si="23"/>
        <v>New</v>
      </c>
    </row>
    <row r="510" spans="1:14" x14ac:dyDescent="0.35">
      <c r="A510">
        <v>509</v>
      </c>
      <c r="B510">
        <v>23</v>
      </c>
      <c r="C510" t="str">
        <f t="shared" si="21"/>
        <v>Youth</v>
      </c>
      <c r="D510" t="s">
        <v>11</v>
      </c>
      <c r="E510" t="s">
        <v>29</v>
      </c>
      <c r="F510" t="s">
        <v>30</v>
      </c>
      <c r="G510">
        <v>65.349999999999994</v>
      </c>
      <c r="H510" t="s">
        <v>31</v>
      </c>
      <c r="I510" t="s">
        <v>15</v>
      </c>
      <c r="J510">
        <v>2.7</v>
      </c>
      <c r="K510">
        <v>16</v>
      </c>
      <c r="L510">
        <f t="shared" si="22"/>
        <v>54.893999999999991</v>
      </c>
      <c r="M510">
        <v>3</v>
      </c>
      <c r="N510" t="str">
        <f t="shared" si="23"/>
        <v>New</v>
      </c>
    </row>
    <row r="511" spans="1:14" x14ac:dyDescent="0.35">
      <c r="A511">
        <v>510</v>
      </c>
      <c r="B511">
        <v>21</v>
      </c>
      <c r="C511" t="str">
        <f t="shared" si="21"/>
        <v>Youth</v>
      </c>
      <c r="D511" t="s">
        <v>16</v>
      </c>
      <c r="E511" t="s">
        <v>33</v>
      </c>
      <c r="F511" t="s">
        <v>34</v>
      </c>
      <c r="G511">
        <v>87.39</v>
      </c>
      <c r="H511" t="s">
        <v>14</v>
      </c>
      <c r="I511" t="s">
        <v>15</v>
      </c>
      <c r="J511">
        <v>3.7</v>
      </c>
      <c r="K511">
        <v>6</v>
      </c>
      <c r="L511">
        <f t="shared" si="22"/>
        <v>82.146599999999992</v>
      </c>
      <c r="M511">
        <v>3</v>
      </c>
      <c r="N511" t="str">
        <f t="shared" si="23"/>
        <v>New</v>
      </c>
    </row>
    <row r="512" spans="1:14" x14ac:dyDescent="0.35">
      <c r="A512">
        <v>511</v>
      </c>
      <c r="B512">
        <v>38</v>
      </c>
      <c r="C512" t="str">
        <f t="shared" si="21"/>
        <v>Adult</v>
      </c>
      <c r="D512" t="s">
        <v>16</v>
      </c>
      <c r="E512" t="s">
        <v>27</v>
      </c>
      <c r="F512" t="s">
        <v>49</v>
      </c>
      <c r="G512">
        <v>1886.55</v>
      </c>
      <c r="H512" t="s">
        <v>31</v>
      </c>
      <c r="I512" t="s">
        <v>15</v>
      </c>
      <c r="J512">
        <v>3.8</v>
      </c>
      <c r="K512">
        <v>16</v>
      </c>
      <c r="L512">
        <f t="shared" si="22"/>
        <v>1584.702</v>
      </c>
      <c r="M512">
        <v>3</v>
      </c>
      <c r="N512" t="str">
        <f t="shared" si="23"/>
        <v>New</v>
      </c>
    </row>
    <row r="513" spans="1:14" x14ac:dyDescent="0.35">
      <c r="A513">
        <v>512</v>
      </c>
      <c r="B513">
        <v>58</v>
      </c>
      <c r="C513" t="str">
        <f t="shared" si="21"/>
        <v>Adult</v>
      </c>
      <c r="D513" t="s">
        <v>11</v>
      </c>
      <c r="E513" t="s">
        <v>41</v>
      </c>
      <c r="F513" t="s">
        <v>45</v>
      </c>
      <c r="G513">
        <v>166.84</v>
      </c>
      <c r="H513" t="s">
        <v>19</v>
      </c>
      <c r="I513" t="s">
        <v>15</v>
      </c>
      <c r="J513">
        <v>4.5999999999999996</v>
      </c>
      <c r="K513">
        <v>18</v>
      </c>
      <c r="L513">
        <f t="shared" si="22"/>
        <v>136.80880000000002</v>
      </c>
      <c r="M513">
        <v>4</v>
      </c>
      <c r="N513" t="str">
        <f t="shared" si="23"/>
        <v>Regular</v>
      </c>
    </row>
    <row r="514" spans="1:14" x14ac:dyDescent="0.35">
      <c r="A514">
        <v>513</v>
      </c>
      <c r="B514">
        <v>37</v>
      </c>
      <c r="C514" t="str">
        <f t="shared" si="21"/>
        <v>Adult</v>
      </c>
      <c r="D514" t="s">
        <v>11</v>
      </c>
      <c r="E514" t="s">
        <v>29</v>
      </c>
      <c r="F514" t="s">
        <v>55</v>
      </c>
      <c r="G514">
        <v>87.84</v>
      </c>
      <c r="H514" t="s">
        <v>19</v>
      </c>
      <c r="I514" t="s">
        <v>15</v>
      </c>
      <c r="J514">
        <v>4.0999999999999996</v>
      </c>
      <c r="K514">
        <v>7</v>
      </c>
      <c r="L514">
        <f t="shared" si="22"/>
        <v>81.691199999999995</v>
      </c>
      <c r="M514">
        <v>1</v>
      </c>
      <c r="N514" t="str">
        <f t="shared" si="23"/>
        <v>New</v>
      </c>
    </row>
    <row r="515" spans="1:14" x14ac:dyDescent="0.35">
      <c r="A515">
        <v>514</v>
      </c>
      <c r="B515">
        <v>44</v>
      </c>
      <c r="C515" t="str">
        <f t="shared" ref="C515:C578" si="24">IF(B515&lt;=30,"Youth",IF(B515&lt;=45,"Adult",IF(B515&lt;=60,"Adult","Senior")))</f>
        <v>Adult</v>
      </c>
      <c r="D515" t="s">
        <v>11</v>
      </c>
      <c r="E515" t="s">
        <v>29</v>
      </c>
      <c r="F515" t="s">
        <v>51</v>
      </c>
      <c r="G515">
        <v>110.61</v>
      </c>
      <c r="H515" t="s">
        <v>14</v>
      </c>
      <c r="I515" t="s">
        <v>15</v>
      </c>
      <c r="J515">
        <v>3.5</v>
      </c>
      <c r="K515">
        <v>13</v>
      </c>
      <c r="L515">
        <f t="shared" ref="L515:L578" si="25">G515*(1-K515/100)</f>
        <v>96.230699999999999</v>
      </c>
      <c r="M515">
        <v>4</v>
      </c>
      <c r="N515" t="str">
        <f t="shared" ref="N515:N578" si="26">IF(M515&lt;=3,"New",IF(M515&lt;=7,"Regular","Loyal"))</f>
        <v>Regular</v>
      </c>
    </row>
    <row r="516" spans="1:14" x14ac:dyDescent="0.35">
      <c r="A516">
        <v>515</v>
      </c>
      <c r="B516">
        <v>55</v>
      </c>
      <c r="C516" t="str">
        <f t="shared" si="24"/>
        <v>Adult</v>
      </c>
      <c r="D516" t="s">
        <v>16</v>
      </c>
      <c r="E516" t="s">
        <v>22</v>
      </c>
      <c r="F516" t="s">
        <v>43</v>
      </c>
      <c r="G516">
        <v>130.03</v>
      </c>
      <c r="H516" t="s">
        <v>24</v>
      </c>
      <c r="I516" t="s">
        <v>15</v>
      </c>
      <c r="J516">
        <v>3.1</v>
      </c>
      <c r="K516">
        <v>14</v>
      </c>
      <c r="L516">
        <f t="shared" si="25"/>
        <v>111.8258</v>
      </c>
      <c r="M516">
        <v>7</v>
      </c>
      <c r="N516" t="str">
        <f t="shared" si="26"/>
        <v>Regular</v>
      </c>
    </row>
    <row r="517" spans="1:14" x14ac:dyDescent="0.35">
      <c r="A517">
        <v>516</v>
      </c>
      <c r="B517">
        <v>33</v>
      </c>
      <c r="C517" t="str">
        <f t="shared" si="24"/>
        <v>Adult</v>
      </c>
      <c r="D517" t="s">
        <v>11</v>
      </c>
      <c r="E517" t="s">
        <v>12</v>
      </c>
      <c r="F517" t="s">
        <v>50</v>
      </c>
      <c r="G517">
        <v>97.26</v>
      </c>
      <c r="H517" t="s">
        <v>31</v>
      </c>
      <c r="I517" t="s">
        <v>15</v>
      </c>
      <c r="J517">
        <v>3.1</v>
      </c>
      <c r="K517">
        <v>10</v>
      </c>
      <c r="L517">
        <f t="shared" si="25"/>
        <v>87.534000000000006</v>
      </c>
      <c r="M517">
        <v>5</v>
      </c>
      <c r="N517" t="str">
        <f t="shared" si="26"/>
        <v>Regular</v>
      </c>
    </row>
    <row r="518" spans="1:14" x14ac:dyDescent="0.35">
      <c r="A518">
        <v>517</v>
      </c>
      <c r="B518">
        <v>39</v>
      </c>
      <c r="C518" t="str">
        <f t="shared" si="24"/>
        <v>Adult</v>
      </c>
      <c r="D518" t="s">
        <v>11</v>
      </c>
      <c r="E518" t="s">
        <v>29</v>
      </c>
      <c r="F518" t="s">
        <v>51</v>
      </c>
      <c r="G518">
        <v>35.18</v>
      </c>
      <c r="H518" t="s">
        <v>14</v>
      </c>
      <c r="I518" t="s">
        <v>15</v>
      </c>
      <c r="J518">
        <v>4.0999999999999996</v>
      </c>
      <c r="K518">
        <v>17</v>
      </c>
      <c r="L518">
        <f t="shared" si="25"/>
        <v>29.199399999999997</v>
      </c>
      <c r="M518">
        <v>6</v>
      </c>
      <c r="N518" t="str">
        <f t="shared" si="26"/>
        <v>Regular</v>
      </c>
    </row>
    <row r="519" spans="1:14" x14ac:dyDescent="0.35">
      <c r="A519">
        <v>518</v>
      </c>
      <c r="B519">
        <v>44</v>
      </c>
      <c r="C519" t="str">
        <f t="shared" si="24"/>
        <v>Adult</v>
      </c>
      <c r="D519" t="s">
        <v>16</v>
      </c>
      <c r="E519" t="s">
        <v>20</v>
      </c>
      <c r="F519" t="s">
        <v>39</v>
      </c>
      <c r="G519">
        <v>93.78</v>
      </c>
      <c r="H519" t="s">
        <v>31</v>
      </c>
      <c r="I519" t="s">
        <v>37</v>
      </c>
      <c r="J519">
        <v>5</v>
      </c>
      <c r="K519">
        <v>17</v>
      </c>
      <c r="L519">
        <f t="shared" si="25"/>
        <v>77.837400000000002</v>
      </c>
      <c r="M519">
        <v>6</v>
      </c>
      <c r="N519" t="str">
        <f t="shared" si="26"/>
        <v>Regular</v>
      </c>
    </row>
    <row r="520" spans="1:14" x14ac:dyDescent="0.35">
      <c r="A520">
        <v>519</v>
      </c>
      <c r="B520">
        <v>26</v>
      </c>
      <c r="C520" t="str">
        <f t="shared" si="24"/>
        <v>Youth</v>
      </c>
      <c r="D520" t="s">
        <v>16</v>
      </c>
      <c r="E520" t="s">
        <v>33</v>
      </c>
      <c r="F520" t="s">
        <v>40</v>
      </c>
      <c r="G520">
        <v>235.26</v>
      </c>
      <c r="H520" t="s">
        <v>31</v>
      </c>
      <c r="I520" t="s">
        <v>15</v>
      </c>
      <c r="J520">
        <v>4.9000000000000004</v>
      </c>
      <c r="K520">
        <v>13</v>
      </c>
      <c r="L520">
        <f t="shared" si="25"/>
        <v>204.67619999999999</v>
      </c>
      <c r="M520">
        <v>4</v>
      </c>
      <c r="N520" t="str">
        <f t="shared" si="26"/>
        <v>Regular</v>
      </c>
    </row>
    <row r="521" spans="1:14" x14ac:dyDescent="0.35">
      <c r="A521">
        <v>520</v>
      </c>
      <c r="B521">
        <v>62</v>
      </c>
      <c r="C521" t="str">
        <f t="shared" si="24"/>
        <v>Senior</v>
      </c>
      <c r="D521" t="s">
        <v>16</v>
      </c>
      <c r="E521" t="s">
        <v>20</v>
      </c>
      <c r="F521" t="s">
        <v>39</v>
      </c>
      <c r="G521">
        <v>136.94</v>
      </c>
      <c r="H521" t="s">
        <v>14</v>
      </c>
      <c r="I521" t="s">
        <v>15</v>
      </c>
      <c r="J521">
        <v>3.6</v>
      </c>
      <c r="K521">
        <v>15</v>
      </c>
      <c r="L521">
        <f t="shared" si="25"/>
        <v>116.399</v>
      </c>
      <c r="M521">
        <v>5</v>
      </c>
      <c r="N521" t="str">
        <f t="shared" si="26"/>
        <v>Regular</v>
      </c>
    </row>
    <row r="522" spans="1:14" x14ac:dyDescent="0.35">
      <c r="A522">
        <v>521</v>
      </c>
      <c r="B522">
        <v>60</v>
      </c>
      <c r="C522" t="str">
        <f t="shared" si="24"/>
        <v>Adult</v>
      </c>
      <c r="D522" t="s">
        <v>11</v>
      </c>
      <c r="E522" t="s">
        <v>33</v>
      </c>
      <c r="F522" t="s">
        <v>34</v>
      </c>
      <c r="G522">
        <v>149.44999999999999</v>
      </c>
      <c r="H522" t="s">
        <v>24</v>
      </c>
      <c r="I522" t="s">
        <v>15</v>
      </c>
      <c r="J522">
        <v>3.3</v>
      </c>
      <c r="K522">
        <v>6</v>
      </c>
      <c r="L522">
        <f t="shared" si="25"/>
        <v>140.48299999999998</v>
      </c>
      <c r="M522">
        <v>3</v>
      </c>
      <c r="N522" t="str">
        <f t="shared" si="26"/>
        <v>New</v>
      </c>
    </row>
    <row r="523" spans="1:14" x14ac:dyDescent="0.35">
      <c r="A523">
        <v>522</v>
      </c>
      <c r="B523">
        <v>42</v>
      </c>
      <c r="C523" t="str">
        <f t="shared" si="24"/>
        <v>Adult</v>
      </c>
      <c r="D523" t="s">
        <v>16</v>
      </c>
      <c r="E523" t="s">
        <v>33</v>
      </c>
      <c r="F523" t="s">
        <v>34</v>
      </c>
      <c r="G523">
        <v>122.86</v>
      </c>
      <c r="H523" t="s">
        <v>31</v>
      </c>
      <c r="I523" t="s">
        <v>15</v>
      </c>
      <c r="J523">
        <v>4.7</v>
      </c>
      <c r="K523">
        <v>18</v>
      </c>
      <c r="L523">
        <f t="shared" si="25"/>
        <v>100.74520000000001</v>
      </c>
      <c r="M523">
        <v>4</v>
      </c>
      <c r="N523" t="str">
        <f t="shared" si="26"/>
        <v>Regular</v>
      </c>
    </row>
    <row r="524" spans="1:14" x14ac:dyDescent="0.35">
      <c r="A524">
        <v>523</v>
      </c>
      <c r="B524">
        <v>32</v>
      </c>
      <c r="C524" t="str">
        <f t="shared" si="24"/>
        <v>Adult</v>
      </c>
      <c r="D524" t="s">
        <v>11</v>
      </c>
      <c r="E524" t="s">
        <v>33</v>
      </c>
      <c r="F524" t="s">
        <v>34</v>
      </c>
      <c r="G524">
        <v>156.61000000000001</v>
      </c>
      <c r="H524" t="s">
        <v>31</v>
      </c>
      <c r="I524" t="s">
        <v>15</v>
      </c>
      <c r="J524">
        <v>4.7</v>
      </c>
      <c r="K524">
        <v>22</v>
      </c>
      <c r="L524">
        <f t="shared" si="25"/>
        <v>122.15580000000001</v>
      </c>
      <c r="M524">
        <v>6</v>
      </c>
      <c r="N524" t="str">
        <f t="shared" si="26"/>
        <v>Regular</v>
      </c>
    </row>
    <row r="525" spans="1:14" x14ac:dyDescent="0.35">
      <c r="A525">
        <v>524</v>
      </c>
      <c r="B525">
        <v>29</v>
      </c>
      <c r="C525" t="str">
        <f t="shared" si="24"/>
        <v>Youth</v>
      </c>
      <c r="D525" t="s">
        <v>16</v>
      </c>
      <c r="E525" t="s">
        <v>20</v>
      </c>
      <c r="F525" t="s">
        <v>39</v>
      </c>
      <c r="G525">
        <v>88.8</v>
      </c>
      <c r="H525" t="s">
        <v>14</v>
      </c>
      <c r="I525" t="s">
        <v>15</v>
      </c>
      <c r="J525">
        <v>3.1</v>
      </c>
      <c r="K525">
        <v>22</v>
      </c>
      <c r="L525">
        <f t="shared" si="25"/>
        <v>69.263999999999996</v>
      </c>
      <c r="M525">
        <v>6</v>
      </c>
      <c r="N525" t="str">
        <f t="shared" si="26"/>
        <v>Regular</v>
      </c>
    </row>
    <row r="526" spans="1:14" x14ac:dyDescent="0.35">
      <c r="A526">
        <v>525</v>
      </c>
      <c r="B526">
        <v>46</v>
      </c>
      <c r="C526" t="str">
        <f t="shared" si="24"/>
        <v>Adult</v>
      </c>
      <c r="D526" t="s">
        <v>16</v>
      </c>
      <c r="E526" t="s">
        <v>17</v>
      </c>
      <c r="F526" t="s">
        <v>18</v>
      </c>
      <c r="G526">
        <v>165.74</v>
      </c>
      <c r="H526" t="s">
        <v>14</v>
      </c>
      <c r="I526" t="s">
        <v>15</v>
      </c>
      <c r="J526">
        <v>4.2</v>
      </c>
      <c r="K526">
        <v>6</v>
      </c>
      <c r="L526">
        <f t="shared" si="25"/>
        <v>155.79560000000001</v>
      </c>
      <c r="M526">
        <v>3</v>
      </c>
      <c r="N526" t="str">
        <f t="shared" si="26"/>
        <v>New</v>
      </c>
    </row>
    <row r="527" spans="1:14" x14ac:dyDescent="0.35">
      <c r="A527">
        <v>526</v>
      </c>
      <c r="B527">
        <v>61</v>
      </c>
      <c r="C527" t="str">
        <f t="shared" si="24"/>
        <v>Senior</v>
      </c>
      <c r="D527" t="s">
        <v>16</v>
      </c>
      <c r="E527" t="s">
        <v>22</v>
      </c>
      <c r="F527" t="s">
        <v>52</v>
      </c>
      <c r="G527">
        <v>220.45</v>
      </c>
      <c r="H527" t="s">
        <v>19</v>
      </c>
      <c r="I527" t="s">
        <v>15</v>
      </c>
      <c r="J527">
        <v>3.2</v>
      </c>
      <c r="K527">
        <v>17</v>
      </c>
      <c r="L527">
        <f t="shared" si="25"/>
        <v>182.97349999999997</v>
      </c>
      <c r="M527">
        <v>6</v>
      </c>
      <c r="N527" t="str">
        <f t="shared" si="26"/>
        <v>Regular</v>
      </c>
    </row>
    <row r="528" spans="1:14" x14ac:dyDescent="0.35">
      <c r="A528">
        <v>527</v>
      </c>
      <c r="B528">
        <v>27</v>
      </c>
      <c r="C528" t="str">
        <f t="shared" si="24"/>
        <v>Youth</v>
      </c>
      <c r="D528" t="s">
        <v>16</v>
      </c>
      <c r="E528" t="s">
        <v>17</v>
      </c>
      <c r="F528" t="s">
        <v>42</v>
      </c>
      <c r="G528">
        <v>110.6</v>
      </c>
      <c r="H528" t="s">
        <v>14</v>
      </c>
      <c r="I528" t="s">
        <v>15</v>
      </c>
      <c r="J528">
        <v>3.6</v>
      </c>
      <c r="K528">
        <v>10</v>
      </c>
      <c r="L528">
        <f t="shared" si="25"/>
        <v>99.539999999999992</v>
      </c>
      <c r="M528">
        <v>0</v>
      </c>
      <c r="N528" t="str">
        <f t="shared" si="26"/>
        <v>New</v>
      </c>
    </row>
    <row r="529" spans="1:14" x14ac:dyDescent="0.35">
      <c r="A529">
        <v>528</v>
      </c>
      <c r="B529">
        <v>56</v>
      </c>
      <c r="C529" t="str">
        <f t="shared" si="24"/>
        <v>Adult</v>
      </c>
      <c r="D529" t="s">
        <v>11</v>
      </c>
      <c r="E529" t="s">
        <v>29</v>
      </c>
      <c r="F529" t="s">
        <v>51</v>
      </c>
      <c r="G529">
        <v>135.51</v>
      </c>
      <c r="H529" t="s">
        <v>31</v>
      </c>
      <c r="I529" t="s">
        <v>15</v>
      </c>
      <c r="J529">
        <v>4.4000000000000004</v>
      </c>
      <c r="K529">
        <v>26</v>
      </c>
      <c r="L529">
        <f t="shared" si="25"/>
        <v>100.27739999999999</v>
      </c>
      <c r="M529">
        <v>8</v>
      </c>
      <c r="N529" t="str">
        <f t="shared" si="26"/>
        <v>Loyal</v>
      </c>
    </row>
    <row r="530" spans="1:14" x14ac:dyDescent="0.35">
      <c r="A530">
        <v>529</v>
      </c>
      <c r="B530">
        <v>54</v>
      </c>
      <c r="C530" t="str">
        <f t="shared" si="24"/>
        <v>Adult</v>
      </c>
      <c r="D530" t="s">
        <v>16</v>
      </c>
      <c r="E530" t="s">
        <v>17</v>
      </c>
      <c r="F530" t="s">
        <v>42</v>
      </c>
      <c r="G530">
        <v>118.11</v>
      </c>
      <c r="H530" t="s">
        <v>19</v>
      </c>
      <c r="I530" t="s">
        <v>15</v>
      </c>
      <c r="J530">
        <v>3.2</v>
      </c>
      <c r="K530">
        <v>13</v>
      </c>
      <c r="L530">
        <f t="shared" si="25"/>
        <v>102.7557</v>
      </c>
      <c r="M530">
        <v>4</v>
      </c>
      <c r="N530" t="str">
        <f t="shared" si="26"/>
        <v>Regular</v>
      </c>
    </row>
    <row r="531" spans="1:14" x14ac:dyDescent="0.35">
      <c r="A531">
        <v>530</v>
      </c>
      <c r="B531">
        <v>56</v>
      </c>
      <c r="C531" t="str">
        <f t="shared" si="24"/>
        <v>Adult</v>
      </c>
      <c r="D531" t="s">
        <v>16</v>
      </c>
      <c r="E531" t="s">
        <v>17</v>
      </c>
      <c r="F531" t="s">
        <v>18</v>
      </c>
      <c r="G531">
        <v>125.17</v>
      </c>
      <c r="H531" t="s">
        <v>14</v>
      </c>
      <c r="I531" t="s">
        <v>15</v>
      </c>
      <c r="J531">
        <v>3.6</v>
      </c>
      <c r="K531">
        <v>22</v>
      </c>
      <c r="L531">
        <f t="shared" si="25"/>
        <v>97.632600000000011</v>
      </c>
      <c r="M531">
        <v>6</v>
      </c>
      <c r="N531" t="str">
        <f t="shared" si="26"/>
        <v>Regular</v>
      </c>
    </row>
    <row r="532" spans="1:14" x14ac:dyDescent="0.35">
      <c r="A532">
        <v>531</v>
      </c>
      <c r="B532">
        <v>57</v>
      </c>
      <c r="C532" t="str">
        <f t="shared" si="24"/>
        <v>Adult</v>
      </c>
      <c r="D532" t="s">
        <v>11</v>
      </c>
      <c r="E532" t="s">
        <v>20</v>
      </c>
      <c r="F532" t="s">
        <v>36</v>
      </c>
      <c r="G532">
        <v>157.33000000000001</v>
      </c>
      <c r="H532" t="s">
        <v>31</v>
      </c>
      <c r="I532" t="s">
        <v>15</v>
      </c>
      <c r="J532">
        <v>3.9</v>
      </c>
      <c r="K532">
        <v>13</v>
      </c>
      <c r="L532">
        <f t="shared" si="25"/>
        <v>136.87710000000001</v>
      </c>
      <c r="M532">
        <v>4</v>
      </c>
      <c r="N532" t="str">
        <f t="shared" si="26"/>
        <v>Regular</v>
      </c>
    </row>
    <row r="533" spans="1:14" x14ac:dyDescent="0.35">
      <c r="A533">
        <v>532</v>
      </c>
      <c r="B533">
        <v>29</v>
      </c>
      <c r="C533" t="str">
        <f t="shared" si="24"/>
        <v>Youth</v>
      </c>
      <c r="D533" t="s">
        <v>11</v>
      </c>
      <c r="E533" t="s">
        <v>25</v>
      </c>
      <c r="F533" t="s">
        <v>47</v>
      </c>
      <c r="G533">
        <v>56.63</v>
      </c>
      <c r="H533" t="s">
        <v>19</v>
      </c>
      <c r="I533" t="s">
        <v>15</v>
      </c>
      <c r="J533">
        <v>4.5</v>
      </c>
      <c r="K533">
        <v>13</v>
      </c>
      <c r="L533">
        <f t="shared" si="25"/>
        <v>49.268100000000004</v>
      </c>
      <c r="M533">
        <v>4</v>
      </c>
      <c r="N533" t="str">
        <f t="shared" si="26"/>
        <v>Regular</v>
      </c>
    </row>
    <row r="534" spans="1:14" x14ac:dyDescent="0.35">
      <c r="A534">
        <v>533</v>
      </c>
      <c r="B534">
        <v>30</v>
      </c>
      <c r="C534" t="str">
        <f t="shared" si="24"/>
        <v>Youth</v>
      </c>
      <c r="D534" t="s">
        <v>11</v>
      </c>
      <c r="E534" t="s">
        <v>12</v>
      </c>
      <c r="F534" t="s">
        <v>13</v>
      </c>
      <c r="G534">
        <v>89.32</v>
      </c>
      <c r="H534" t="s">
        <v>24</v>
      </c>
      <c r="I534" t="s">
        <v>37</v>
      </c>
      <c r="J534">
        <v>4.5</v>
      </c>
      <c r="K534">
        <v>12</v>
      </c>
      <c r="L534">
        <f t="shared" si="25"/>
        <v>78.601599999999991</v>
      </c>
      <c r="M534">
        <v>6</v>
      </c>
      <c r="N534" t="str">
        <f t="shared" si="26"/>
        <v>Regular</v>
      </c>
    </row>
    <row r="535" spans="1:14" x14ac:dyDescent="0.35">
      <c r="A535">
        <v>534</v>
      </c>
      <c r="B535">
        <v>20</v>
      </c>
      <c r="C535" t="str">
        <f t="shared" si="24"/>
        <v>Youth</v>
      </c>
      <c r="D535" t="s">
        <v>11</v>
      </c>
      <c r="E535" t="s">
        <v>41</v>
      </c>
      <c r="F535" t="s">
        <v>46</v>
      </c>
      <c r="G535">
        <v>131.59</v>
      </c>
      <c r="H535" t="s">
        <v>14</v>
      </c>
      <c r="I535" t="s">
        <v>15</v>
      </c>
      <c r="J535">
        <v>4.2</v>
      </c>
      <c r="K535">
        <v>17</v>
      </c>
      <c r="L535">
        <f t="shared" si="25"/>
        <v>109.2197</v>
      </c>
      <c r="M535">
        <v>6</v>
      </c>
      <c r="N535" t="str">
        <f t="shared" si="26"/>
        <v>Regular</v>
      </c>
    </row>
    <row r="536" spans="1:14" x14ac:dyDescent="0.35">
      <c r="A536">
        <v>535</v>
      </c>
      <c r="B536">
        <v>31</v>
      </c>
      <c r="C536" t="str">
        <f t="shared" si="24"/>
        <v>Adult</v>
      </c>
      <c r="D536" t="s">
        <v>16</v>
      </c>
      <c r="E536" t="s">
        <v>20</v>
      </c>
      <c r="F536" t="s">
        <v>36</v>
      </c>
      <c r="G536">
        <v>45.03</v>
      </c>
      <c r="H536" t="s">
        <v>19</v>
      </c>
      <c r="I536" t="s">
        <v>37</v>
      </c>
      <c r="J536">
        <v>4.9000000000000004</v>
      </c>
      <c r="K536">
        <v>12</v>
      </c>
      <c r="L536">
        <f t="shared" si="25"/>
        <v>39.626400000000004</v>
      </c>
      <c r="M536">
        <v>6</v>
      </c>
      <c r="N536" t="str">
        <f t="shared" si="26"/>
        <v>Regular</v>
      </c>
    </row>
    <row r="537" spans="1:14" x14ac:dyDescent="0.35">
      <c r="A537">
        <v>536</v>
      </c>
      <c r="B537">
        <v>49</v>
      </c>
      <c r="C537" t="str">
        <f t="shared" si="24"/>
        <v>Adult</v>
      </c>
      <c r="D537" t="s">
        <v>16</v>
      </c>
      <c r="E537" t="s">
        <v>33</v>
      </c>
      <c r="F537" t="s">
        <v>34</v>
      </c>
      <c r="G537">
        <v>105.07</v>
      </c>
      <c r="H537" t="s">
        <v>31</v>
      </c>
      <c r="I537" t="s">
        <v>15</v>
      </c>
      <c r="J537">
        <v>4.2</v>
      </c>
      <c r="K537">
        <v>14</v>
      </c>
      <c r="L537">
        <f t="shared" si="25"/>
        <v>90.360199999999992</v>
      </c>
      <c r="M537">
        <v>7</v>
      </c>
      <c r="N537" t="str">
        <f t="shared" si="26"/>
        <v>Regular</v>
      </c>
    </row>
    <row r="538" spans="1:14" x14ac:dyDescent="0.35">
      <c r="A538">
        <v>537</v>
      </c>
      <c r="B538">
        <v>35</v>
      </c>
      <c r="C538" t="str">
        <f t="shared" si="24"/>
        <v>Adult</v>
      </c>
      <c r="D538" t="s">
        <v>11</v>
      </c>
      <c r="E538" t="s">
        <v>12</v>
      </c>
      <c r="F538" t="s">
        <v>50</v>
      </c>
      <c r="G538">
        <v>31.51</v>
      </c>
      <c r="H538" t="s">
        <v>31</v>
      </c>
      <c r="I538" t="s">
        <v>15</v>
      </c>
      <c r="J538">
        <v>3.2</v>
      </c>
      <c r="K538">
        <v>15</v>
      </c>
      <c r="L538">
        <f t="shared" si="25"/>
        <v>26.7835</v>
      </c>
      <c r="M538">
        <v>5</v>
      </c>
      <c r="N538" t="str">
        <f t="shared" si="26"/>
        <v>Regular</v>
      </c>
    </row>
    <row r="539" spans="1:14" x14ac:dyDescent="0.35">
      <c r="A539">
        <v>538</v>
      </c>
      <c r="B539">
        <v>60</v>
      </c>
      <c r="C539" t="str">
        <f t="shared" si="24"/>
        <v>Adult</v>
      </c>
      <c r="D539" t="s">
        <v>16</v>
      </c>
      <c r="E539" t="s">
        <v>20</v>
      </c>
      <c r="F539" t="s">
        <v>36</v>
      </c>
      <c r="G539">
        <v>98.94</v>
      </c>
      <c r="H539" t="s">
        <v>19</v>
      </c>
      <c r="I539" t="s">
        <v>15</v>
      </c>
      <c r="J539">
        <v>3.4</v>
      </c>
      <c r="K539">
        <v>10</v>
      </c>
      <c r="L539">
        <f t="shared" si="25"/>
        <v>89.046000000000006</v>
      </c>
      <c r="M539">
        <v>5</v>
      </c>
      <c r="N539" t="str">
        <f t="shared" si="26"/>
        <v>Regular</v>
      </c>
    </row>
    <row r="540" spans="1:14" x14ac:dyDescent="0.35">
      <c r="A540">
        <v>539</v>
      </c>
      <c r="B540">
        <v>23</v>
      </c>
      <c r="C540" t="str">
        <f t="shared" si="24"/>
        <v>Youth</v>
      </c>
      <c r="D540" t="s">
        <v>16</v>
      </c>
      <c r="E540" t="s">
        <v>33</v>
      </c>
      <c r="F540" t="s">
        <v>38</v>
      </c>
      <c r="G540">
        <v>236.7</v>
      </c>
      <c r="H540" t="s">
        <v>19</v>
      </c>
      <c r="I540" t="s">
        <v>15</v>
      </c>
      <c r="J540">
        <v>4.5</v>
      </c>
      <c r="K540">
        <v>17</v>
      </c>
      <c r="L540">
        <f t="shared" si="25"/>
        <v>196.46099999999998</v>
      </c>
      <c r="M540">
        <v>6</v>
      </c>
      <c r="N540" t="str">
        <f t="shared" si="26"/>
        <v>Regular</v>
      </c>
    </row>
    <row r="541" spans="1:14" x14ac:dyDescent="0.35">
      <c r="A541">
        <v>540</v>
      </c>
      <c r="B541">
        <v>59</v>
      </c>
      <c r="C541" t="str">
        <f t="shared" si="24"/>
        <v>Adult</v>
      </c>
      <c r="D541" t="s">
        <v>11</v>
      </c>
      <c r="E541" t="s">
        <v>41</v>
      </c>
      <c r="F541" t="s">
        <v>45</v>
      </c>
      <c r="G541">
        <v>111.87</v>
      </c>
      <c r="H541" t="s">
        <v>24</v>
      </c>
      <c r="I541" t="s">
        <v>15</v>
      </c>
      <c r="J541">
        <v>3.9</v>
      </c>
      <c r="K541">
        <v>21</v>
      </c>
      <c r="L541">
        <f t="shared" si="25"/>
        <v>88.377300000000005</v>
      </c>
      <c r="M541">
        <v>8</v>
      </c>
      <c r="N541" t="str">
        <f t="shared" si="26"/>
        <v>Loyal</v>
      </c>
    </row>
    <row r="542" spans="1:14" x14ac:dyDescent="0.35">
      <c r="A542">
        <v>541</v>
      </c>
      <c r="B542">
        <v>31</v>
      </c>
      <c r="C542" t="str">
        <f t="shared" si="24"/>
        <v>Adult</v>
      </c>
      <c r="D542" t="s">
        <v>16</v>
      </c>
      <c r="E542" t="s">
        <v>20</v>
      </c>
      <c r="F542" t="s">
        <v>21</v>
      </c>
      <c r="G542">
        <v>90.67</v>
      </c>
      <c r="H542" t="s">
        <v>14</v>
      </c>
      <c r="I542" t="s">
        <v>37</v>
      </c>
      <c r="J542">
        <v>5</v>
      </c>
      <c r="K542">
        <v>12</v>
      </c>
      <c r="L542">
        <f t="shared" si="25"/>
        <v>79.789600000000007</v>
      </c>
      <c r="M542">
        <v>6</v>
      </c>
      <c r="N542" t="str">
        <f t="shared" si="26"/>
        <v>Regular</v>
      </c>
    </row>
    <row r="543" spans="1:14" x14ac:dyDescent="0.35">
      <c r="A543">
        <v>542</v>
      </c>
      <c r="B543">
        <v>28</v>
      </c>
      <c r="C543" t="str">
        <f t="shared" si="24"/>
        <v>Youth</v>
      </c>
      <c r="D543" t="s">
        <v>16</v>
      </c>
      <c r="E543" t="s">
        <v>17</v>
      </c>
      <c r="F543" t="s">
        <v>42</v>
      </c>
      <c r="G543">
        <v>141.19</v>
      </c>
      <c r="H543" t="s">
        <v>24</v>
      </c>
      <c r="I543" t="s">
        <v>15</v>
      </c>
      <c r="J543">
        <v>4</v>
      </c>
      <c r="K543">
        <v>4</v>
      </c>
      <c r="L543">
        <f t="shared" si="25"/>
        <v>135.54239999999999</v>
      </c>
      <c r="M543">
        <v>2</v>
      </c>
      <c r="N543" t="str">
        <f t="shared" si="26"/>
        <v>New</v>
      </c>
    </row>
    <row r="544" spans="1:14" x14ac:dyDescent="0.35">
      <c r="A544">
        <v>543</v>
      </c>
      <c r="B544">
        <v>32</v>
      </c>
      <c r="C544" t="str">
        <f t="shared" si="24"/>
        <v>Adult</v>
      </c>
      <c r="D544" t="s">
        <v>11</v>
      </c>
      <c r="E544" t="s">
        <v>41</v>
      </c>
      <c r="F544" t="s">
        <v>45</v>
      </c>
      <c r="G544">
        <v>158.72</v>
      </c>
      <c r="H544" t="s">
        <v>19</v>
      </c>
      <c r="I544" t="s">
        <v>15</v>
      </c>
      <c r="J544">
        <v>4.9000000000000004</v>
      </c>
      <c r="K544">
        <v>16</v>
      </c>
      <c r="L544">
        <f t="shared" si="25"/>
        <v>133.32479999999998</v>
      </c>
      <c r="M544">
        <v>3</v>
      </c>
      <c r="N544" t="str">
        <f t="shared" si="26"/>
        <v>New</v>
      </c>
    </row>
    <row r="545" spans="1:14" x14ac:dyDescent="0.35">
      <c r="A545">
        <v>544</v>
      </c>
      <c r="B545">
        <v>32</v>
      </c>
      <c r="C545" t="str">
        <f t="shared" si="24"/>
        <v>Adult</v>
      </c>
      <c r="D545" t="s">
        <v>11</v>
      </c>
      <c r="E545" t="s">
        <v>33</v>
      </c>
      <c r="F545" t="s">
        <v>34</v>
      </c>
      <c r="G545">
        <v>91.02</v>
      </c>
      <c r="H545" t="s">
        <v>24</v>
      </c>
      <c r="I545" t="s">
        <v>15</v>
      </c>
      <c r="J545">
        <v>4.0999999999999996</v>
      </c>
      <c r="K545">
        <v>17</v>
      </c>
      <c r="L545">
        <f t="shared" si="25"/>
        <v>75.546599999999998</v>
      </c>
      <c r="M545">
        <v>6</v>
      </c>
      <c r="N545" t="str">
        <f t="shared" si="26"/>
        <v>Regular</v>
      </c>
    </row>
    <row r="546" spans="1:14" x14ac:dyDescent="0.35">
      <c r="A546">
        <v>545</v>
      </c>
      <c r="B546">
        <v>70</v>
      </c>
      <c r="C546" t="str">
        <f t="shared" si="24"/>
        <v>Senior</v>
      </c>
      <c r="D546" t="s">
        <v>11</v>
      </c>
      <c r="E546" t="s">
        <v>12</v>
      </c>
      <c r="F546" t="s">
        <v>50</v>
      </c>
      <c r="G546">
        <v>159.31</v>
      </c>
      <c r="H546" t="s">
        <v>14</v>
      </c>
      <c r="I546" t="s">
        <v>15</v>
      </c>
      <c r="J546">
        <v>4.5</v>
      </c>
      <c r="K546">
        <v>17</v>
      </c>
      <c r="L546">
        <f t="shared" si="25"/>
        <v>132.22729999999999</v>
      </c>
      <c r="M546">
        <v>6</v>
      </c>
      <c r="N546" t="str">
        <f t="shared" si="26"/>
        <v>Regular</v>
      </c>
    </row>
    <row r="547" spans="1:14" x14ac:dyDescent="0.35">
      <c r="A547">
        <v>546</v>
      </c>
      <c r="B547">
        <v>30</v>
      </c>
      <c r="C547" t="str">
        <f t="shared" si="24"/>
        <v>Youth</v>
      </c>
      <c r="D547" t="s">
        <v>16</v>
      </c>
      <c r="E547" t="s">
        <v>27</v>
      </c>
      <c r="F547" t="s">
        <v>32</v>
      </c>
      <c r="G547">
        <v>2428.11</v>
      </c>
      <c r="H547" t="s">
        <v>19</v>
      </c>
      <c r="I547" t="s">
        <v>15</v>
      </c>
      <c r="J547">
        <v>3.9</v>
      </c>
      <c r="K547">
        <v>4</v>
      </c>
      <c r="L547">
        <f t="shared" si="25"/>
        <v>2330.9856</v>
      </c>
      <c r="M547">
        <v>2</v>
      </c>
      <c r="N547" t="str">
        <f t="shared" si="26"/>
        <v>New</v>
      </c>
    </row>
    <row r="548" spans="1:14" x14ac:dyDescent="0.35">
      <c r="A548">
        <v>547</v>
      </c>
      <c r="B548">
        <v>28</v>
      </c>
      <c r="C548" t="str">
        <f t="shared" si="24"/>
        <v>Youth</v>
      </c>
      <c r="D548" t="s">
        <v>11</v>
      </c>
      <c r="E548" t="s">
        <v>29</v>
      </c>
      <c r="F548" t="s">
        <v>30</v>
      </c>
      <c r="G548">
        <v>25.24</v>
      </c>
      <c r="H548" t="s">
        <v>24</v>
      </c>
      <c r="I548" t="s">
        <v>15</v>
      </c>
      <c r="J548">
        <v>3.7</v>
      </c>
      <c r="K548">
        <v>21</v>
      </c>
      <c r="L548">
        <f t="shared" si="25"/>
        <v>19.939599999999999</v>
      </c>
      <c r="M548">
        <v>8</v>
      </c>
      <c r="N548" t="str">
        <f t="shared" si="26"/>
        <v>Loyal</v>
      </c>
    </row>
    <row r="549" spans="1:14" x14ac:dyDescent="0.35">
      <c r="A549">
        <v>548</v>
      </c>
      <c r="B549">
        <v>46</v>
      </c>
      <c r="C549" t="str">
        <f t="shared" si="24"/>
        <v>Adult</v>
      </c>
      <c r="D549" t="s">
        <v>16</v>
      </c>
      <c r="E549" t="s">
        <v>25</v>
      </c>
      <c r="F549" t="s">
        <v>47</v>
      </c>
      <c r="G549">
        <v>62.51</v>
      </c>
      <c r="H549" t="s">
        <v>24</v>
      </c>
      <c r="I549" t="s">
        <v>37</v>
      </c>
      <c r="J549">
        <v>4.2</v>
      </c>
      <c r="K549">
        <v>11</v>
      </c>
      <c r="L549">
        <f t="shared" si="25"/>
        <v>55.633899999999997</v>
      </c>
      <c r="M549">
        <v>3</v>
      </c>
      <c r="N549" t="str">
        <f t="shared" si="26"/>
        <v>New</v>
      </c>
    </row>
    <row r="550" spans="1:14" x14ac:dyDescent="0.35">
      <c r="A550">
        <v>549</v>
      </c>
      <c r="B550">
        <v>22</v>
      </c>
      <c r="C550" t="str">
        <f t="shared" si="24"/>
        <v>Youth</v>
      </c>
      <c r="D550" t="s">
        <v>16</v>
      </c>
      <c r="E550" t="s">
        <v>33</v>
      </c>
      <c r="F550" t="s">
        <v>34</v>
      </c>
      <c r="G550">
        <v>80.22</v>
      </c>
      <c r="H550" t="s">
        <v>31</v>
      </c>
      <c r="I550" t="s">
        <v>15</v>
      </c>
      <c r="J550">
        <v>4.5999999999999996</v>
      </c>
      <c r="K550">
        <v>8</v>
      </c>
      <c r="L550">
        <f t="shared" si="25"/>
        <v>73.802400000000006</v>
      </c>
      <c r="M550">
        <v>4</v>
      </c>
      <c r="N550" t="str">
        <f t="shared" si="26"/>
        <v>Regular</v>
      </c>
    </row>
    <row r="551" spans="1:14" x14ac:dyDescent="0.35">
      <c r="A551">
        <v>550</v>
      </c>
      <c r="B551">
        <v>28</v>
      </c>
      <c r="C551" t="str">
        <f t="shared" si="24"/>
        <v>Youth</v>
      </c>
      <c r="D551" t="s">
        <v>16</v>
      </c>
      <c r="E551" t="s">
        <v>27</v>
      </c>
      <c r="F551" t="s">
        <v>53</v>
      </c>
      <c r="G551">
        <v>600.16999999999996</v>
      </c>
      <c r="H551" t="s">
        <v>24</v>
      </c>
      <c r="I551" t="s">
        <v>15</v>
      </c>
      <c r="J551">
        <v>3.8</v>
      </c>
      <c r="K551">
        <v>10</v>
      </c>
      <c r="L551">
        <f t="shared" si="25"/>
        <v>540.15300000000002</v>
      </c>
      <c r="M551">
        <v>5</v>
      </c>
      <c r="N551" t="str">
        <f t="shared" si="26"/>
        <v>Regular</v>
      </c>
    </row>
    <row r="552" spans="1:14" x14ac:dyDescent="0.35">
      <c r="A552">
        <v>551</v>
      </c>
      <c r="B552">
        <v>63</v>
      </c>
      <c r="C552" t="str">
        <f t="shared" si="24"/>
        <v>Senior</v>
      </c>
      <c r="D552" t="s">
        <v>16</v>
      </c>
      <c r="E552" t="s">
        <v>17</v>
      </c>
      <c r="F552" t="s">
        <v>42</v>
      </c>
      <c r="G552">
        <v>106.27</v>
      </c>
      <c r="H552" t="s">
        <v>31</v>
      </c>
      <c r="I552" t="s">
        <v>15</v>
      </c>
      <c r="J552">
        <v>3.5</v>
      </c>
      <c r="K552">
        <v>14</v>
      </c>
      <c r="L552">
        <f t="shared" si="25"/>
        <v>91.392199999999988</v>
      </c>
      <c r="M552">
        <v>7</v>
      </c>
      <c r="N552" t="str">
        <f t="shared" si="26"/>
        <v>Regular</v>
      </c>
    </row>
    <row r="553" spans="1:14" x14ac:dyDescent="0.35">
      <c r="A553">
        <v>552</v>
      </c>
      <c r="B553">
        <v>27</v>
      </c>
      <c r="C553" t="str">
        <f t="shared" si="24"/>
        <v>Youth</v>
      </c>
      <c r="D553" t="s">
        <v>16</v>
      </c>
      <c r="E553" t="s">
        <v>33</v>
      </c>
      <c r="F553" t="s">
        <v>38</v>
      </c>
      <c r="G553">
        <v>141.6</v>
      </c>
      <c r="H553" t="s">
        <v>24</v>
      </c>
      <c r="I553" t="s">
        <v>15</v>
      </c>
      <c r="J553">
        <v>4.0999999999999996</v>
      </c>
      <c r="K553">
        <v>19</v>
      </c>
      <c r="L553">
        <f t="shared" si="25"/>
        <v>114.696</v>
      </c>
      <c r="M553">
        <v>7</v>
      </c>
      <c r="N553" t="str">
        <f t="shared" si="26"/>
        <v>Regular</v>
      </c>
    </row>
    <row r="554" spans="1:14" x14ac:dyDescent="0.35">
      <c r="A554">
        <v>553</v>
      </c>
      <c r="B554">
        <v>43</v>
      </c>
      <c r="C554" t="str">
        <f t="shared" si="24"/>
        <v>Adult</v>
      </c>
      <c r="D554" t="s">
        <v>16</v>
      </c>
      <c r="E554" t="s">
        <v>33</v>
      </c>
      <c r="F554" t="s">
        <v>34</v>
      </c>
      <c r="G554">
        <v>90.88</v>
      </c>
      <c r="H554" t="s">
        <v>24</v>
      </c>
      <c r="I554" t="s">
        <v>37</v>
      </c>
      <c r="J554">
        <v>3.3</v>
      </c>
      <c r="K554">
        <v>14</v>
      </c>
      <c r="L554">
        <f t="shared" si="25"/>
        <v>78.15679999999999</v>
      </c>
      <c r="M554">
        <v>2</v>
      </c>
      <c r="N554" t="str">
        <f t="shared" si="26"/>
        <v>New</v>
      </c>
    </row>
    <row r="555" spans="1:14" x14ac:dyDescent="0.35">
      <c r="A555">
        <v>554</v>
      </c>
      <c r="B555">
        <v>20</v>
      </c>
      <c r="C555" t="str">
        <f t="shared" si="24"/>
        <v>Youth</v>
      </c>
      <c r="D555" t="s">
        <v>11</v>
      </c>
      <c r="E555" t="s">
        <v>33</v>
      </c>
      <c r="F555" t="s">
        <v>40</v>
      </c>
      <c r="G555">
        <v>156.91</v>
      </c>
      <c r="H555" t="s">
        <v>31</v>
      </c>
      <c r="I555" t="s">
        <v>15</v>
      </c>
      <c r="J555">
        <v>4.0999999999999996</v>
      </c>
      <c r="K555">
        <v>22</v>
      </c>
      <c r="L555">
        <f t="shared" si="25"/>
        <v>122.38980000000001</v>
      </c>
      <c r="M555">
        <v>6</v>
      </c>
      <c r="N555" t="str">
        <f t="shared" si="26"/>
        <v>Regular</v>
      </c>
    </row>
    <row r="556" spans="1:14" x14ac:dyDescent="0.35">
      <c r="A556">
        <v>555</v>
      </c>
      <c r="B556">
        <v>41</v>
      </c>
      <c r="C556" t="str">
        <f t="shared" si="24"/>
        <v>Adult</v>
      </c>
      <c r="D556" t="s">
        <v>16</v>
      </c>
      <c r="E556" t="s">
        <v>20</v>
      </c>
      <c r="F556" t="s">
        <v>21</v>
      </c>
      <c r="G556">
        <v>232.73</v>
      </c>
      <c r="H556" t="s">
        <v>24</v>
      </c>
      <c r="I556" t="s">
        <v>15</v>
      </c>
      <c r="J556">
        <v>3.7</v>
      </c>
      <c r="K556">
        <v>15</v>
      </c>
      <c r="L556">
        <f t="shared" si="25"/>
        <v>197.82049999999998</v>
      </c>
      <c r="M556">
        <v>5</v>
      </c>
      <c r="N556" t="str">
        <f t="shared" si="26"/>
        <v>Regular</v>
      </c>
    </row>
    <row r="557" spans="1:14" x14ac:dyDescent="0.35">
      <c r="A557">
        <v>556</v>
      </c>
      <c r="B557">
        <v>29</v>
      </c>
      <c r="C557" t="str">
        <f t="shared" si="24"/>
        <v>Youth</v>
      </c>
      <c r="D557" t="s">
        <v>11</v>
      </c>
      <c r="E557" t="s">
        <v>12</v>
      </c>
      <c r="F557" t="s">
        <v>56</v>
      </c>
      <c r="G557">
        <v>53.93</v>
      </c>
      <c r="H557" t="s">
        <v>31</v>
      </c>
      <c r="I557" t="s">
        <v>15</v>
      </c>
      <c r="J557">
        <v>2.5</v>
      </c>
      <c r="K557">
        <v>18</v>
      </c>
      <c r="L557">
        <f t="shared" si="25"/>
        <v>44.2226</v>
      </c>
      <c r="M557">
        <v>4</v>
      </c>
      <c r="N557" t="str">
        <f t="shared" si="26"/>
        <v>Regular</v>
      </c>
    </row>
    <row r="558" spans="1:14" x14ac:dyDescent="0.35">
      <c r="A558">
        <v>557</v>
      </c>
      <c r="B558">
        <v>61</v>
      </c>
      <c r="C558" t="str">
        <f t="shared" si="24"/>
        <v>Senior</v>
      </c>
      <c r="D558" t="s">
        <v>16</v>
      </c>
      <c r="E558" t="s">
        <v>33</v>
      </c>
      <c r="F558" t="s">
        <v>40</v>
      </c>
      <c r="G558">
        <v>65.72</v>
      </c>
      <c r="H558" t="s">
        <v>31</v>
      </c>
      <c r="I558" t="s">
        <v>37</v>
      </c>
      <c r="J558">
        <v>2.8</v>
      </c>
      <c r="K558">
        <v>8</v>
      </c>
      <c r="L558">
        <f t="shared" si="25"/>
        <v>60.462400000000002</v>
      </c>
      <c r="M558">
        <v>4</v>
      </c>
      <c r="N558" t="str">
        <f t="shared" si="26"/>
        <v>Regular</v>
      </c>
    </row>
    <row r="559" spans="1:14" x14ac:dyDescent="0.35">
      <c r="A559">
        <v>558</v>
      </c>
      <c r="B559">
        <v>69</v>
      </c>
      <c r="C559" t="str">
        <f t="shared" si="24"/>
        <v>Senior</v>
      </c>
      <c r="D559" t="s">
        <v>11</v>
      </c>
      <c r="E559" t="s">
        <v>41</v>
      </c>
      <c r="F559" t="s">
        <v>44</v>
      </c>
      <c r="G559">
        <v>159.87</v>
      </c>
      <c r="H559" t="s">
        <v>24</v>
      </c>
      <c r="I559" t="s">
        <v>15</v>
      </c>
      <c r="J559">
        <v>3.6</v>
      </c>
      <c r="K559">
        <v>10</v>
      </c>
      <c r="L559">
        <f t="shared" si="25"/>
        <v>143.88300000000001</v>
      </c>
      <c r="M559">
        <v>0</v>
      </c>
      <c r="N559" t="str">
        <f t="shared" si="26"/>
        <v>New</v>
      </c>
    </row>
    <row r="560" spans="1:14" x14ac:dyDescent="0.35">
      <c r="A560">
        <v>559</v>
      </c>
      <c r="B560">
        <v>64</v>
      </c>
      <c r="C560" t="str">
        <f t="shared" si="24"/>
        <v>Senior</v>
      </c>
      <c r="D560" t="s">
        <v>16</v>
      </c>
      <c r="E560" t="s">
        <v>27</v>
      </c>
      <c r="F560" t="s">
        <v>49</v>
      </c>
      <c r="G560">
        <v>2435.63</v>
      </c>
      <c r="H560" t="s">
        <v>24</v>
      </c>
      <c r="I560" t="s">
        <v>15</v>
      </c>
      <c r="J560">
        <v>3.3</v>
      </c>
      <c r="K560">
        <v>18</v>
      </c>
      <c r="L560">
        <f t="shared" si="25"/>
        <v>1997.2166000000002</v>
      </c>
      <c r="M560">
        <v>4</v>
      </c>
      <c r="N560" t="str">
        <f t="shared" si="26"/>
        <v>Regular</v>
      </c>
    </row>
    <row r="561" spans="1:14" x14ac:dyDescent="0.35">
      <c r="A561">
        <v>560</v>
      </c>
      <c r="B561">
        <v>40</v>
      </c>
      <c r="C561" t="str">
        <f t="shared" si="24"/>
        <v>Adult</v>
      </c>
      <c r="D561" t="s">
        <v>16</v>
      </c>
      <c r="E561" t="s">
        <v>33</v>
      </c>
      <c r="F561" t="s">
        <v>40</v>
      </c>
      <c r="G561">
        <v>90.24</v>
      </c>
      <c r="H561" t="s">
        <v>19</v>
      </c>
      <c r="I561" t="s">
        <v>37</v>
      </c>
      <c r="J561">
        <v>4.3</v>
      </c>
      <c r="K561">
        <v>17</v>
      </c>
      <c r="L561">
        <f t="shared" si="25"/>
        <v>74.899199999999993</v>
      </c>
      <c r="M561">
        <v>6</v>
      </c>
      <c r="N561" t="str">
        <f t="shared" si="26"/>
        <v>Regular</v>
      </c>
    </row>
    <row r="562" spans="1:14" x14ac:dyDescent="0.35">
      <c r="A562">
        <v>561</v>
      </c>
      <c r="B562">
        <v>37</v>
      </c>
      <c r="C562" t="str">
        <f t="shared" si="24"/>
        <v>Adult</v>
      </c>
      <c r="D562" t="s">
        <v>11</v>
      </c>
      <c r="E562" t="s">
        <v>12</v>
      </c>
      <c r="F562" t="s">
        <v>13</v>
      </c>
      <c r="G562">
        <v>117.76</v>
      </c>
      <c r="H562" t="s">
        <v>19</v>
      </c>
      <c r="I562" t="s">
        <v>15</v>
      </c>
      <c r="J562">
        <v>3.5</v>
      </c>
      <c r="K562">
        <v>12</v>
      </c>
      <c r="L562">
        <f t="shared" si="25"/>
        <v>103.6288</v>
      </c>
      <c r="M562">
        <v>6</v>
      </c>
      <c r="N562" t="str">
        <f t="shared" si="26"/>
        <v>Regular</v>
      </c>
    </row>
    <row r="563" spans="1:14" x14ac:dyDescent="0.35">
      <c r="A563">
        <v>562</v>
      </c>
      <c r="B563">
        <v>64</v>
      </c>
      <c r="C563" t="str">
        <f t="shared" si="24"/>
        <v>Senior</v>
      </c>
      <c r="D563" t="s">
        <v>11</v>
      </c>
      <c r="E563" t="s">
        <v>41</v>
      </c>
      <c r="F563" t="s">
        <v>42</v>
      </c>
      <c r="G563">
        <v>97.62</v>
      </c>
      <c r="H563" t="s">
        <v>31</v>
      </c>
      <c r="I563" t="s">
        <v>15</v>
      </c>
      <c r="J563">
        <v>3.8</v>
      </c>
      <c r="K563">
        <v>8</v>
      </c>
      <c r="L563">
        <f t="shared" si="25"/>
        <v>89.810400000000001</v>
      </c>
      <c r="M563">
        <v>4</v>
      </c>
      <c r="N563" t="str">
        <f t="shared" si="26"/>
        <v>Regular</v>
      </c>
    </row>
    <row r="564" spans="1:14" x14ac:dyDescent="0.35">
      <c r="A564">
        <v>563</v>
      </c>
      <c r="B564">
        <v>66</v>
      </c>
      <c r="C564" t="str">
        <f t="shared" si="24"/>
        <v>Senior</v>
      </c>
      <c r="D564" t="s">
        <v>11</v>
      </c>
      <c r="E564" t="s">
        <v>29</v>
      </c>
      <c r="F564" t="s">
        <v>51</v>
      </c>
      <c r="G564">
        <v>98.66</v>
      </c>
      <c r="H564" t="s">
        <v>14</v>
      </c>
      <c r="I564" t="s">
        <v>15</v>
      </c>
      <c r="J564">
        <v>2.7</v>
      </c>
      <c r="K564">
        <v>22</v>
      </c>
      <c r="L564">
        <f t="shared" si="25"/>
        <v>76.954800000000006</v>
      </c>
      <c r="M564">
        <v>6</v>
      </c>
      <c r="N564" t="str">
        <f t="shared" si="26"/>
        <v>Regular</v>
      </c>
    </row>
    <row r="565" spans="1:14" x14ac:dyDescent="0.35">
      <c r="A565">
        <v>564</v>
      </c>
      <c r="B565">
        <v>66</v>
      </c>
      <c r="C565" t="str">
        <f t="shared" si="24"/>
        <v>Senior</v>
      </c>
      <c r="D565" t="s">
        <v>11</v>
      </c>
      <c r="E565" t="s">
        <v>41</v>
      </c>
      <c r="F565" t="s">
        <v>45</v>
      </c>
      <c r="G565">
        <v>185.56</v>
      </c>
      <c r="H565" t="s">
        <v>19</v>
      </c>
      <c r="I565" t="s">
        <v>15</v>
      </c>
      <c r="J565">
        <v>3.7</v>
      </c>
      <c r="K565">
        <v>21</v>
      </c>
      <c r="L565">
        <f t="shared" si="25"/>
        <v>146.5924</v>
      </c>
      <c r="M565">
        <v>8</v>
      </c>
      <c r="N565" t="str">
        <f t="shared" si="26"/>
        <v>Loyal</v>
      </c>
    </row>
    <row r="566" spans="1:14" x14ac:dyDescent="0.35">
      <c r="A566">
        <v>565</v>
      </c>
      <c r="B566">
        <v>60</v>
      </c>
      <c r="C566" t="str">
        <f t="shared" si="24"/>
        <v>Adult</v>
      </c>
      <c r="D566" t="s">
        <v>11</v>
      </c>
      <c r="E566" t="s">
        <v>25</v>
      </c>
      <c r="F566" t="s">
        <v>47</v>
      </c>
      <c r="G566">
        <v>12.59</v>
      </c>
      <c r="H566" t="s">
        <v>19</v>
      </c>
      <c r="I566" t="s">
        <v>15</v>
      </c>
      <c r="J566">
        <v>3.4</v>
      </c>
      <c r="K566">
        <v>12</v>
      </c>
      <c r="L566">
        <f t="shared" si="25"/>
        <v>11.0792</v>
      </c>
      <c r="M566">
        <v>1</v>
      </c>
      <c r="N566" t="str">
        <f t="shared" si="26"/>
        <v>New</v>
      </c>
    </row>
    <row r="567" spans="1:14" x14ac:dyDescent="0.35">
      <c r="A567">
        <v>566</v>
      </c>
      <c r="B567">
        <v>41</v>
      </c>
      <c r="C567" t="str">
        <f t="shared" si="24"/>
        <v>Adult</v>
      </c>
      <c r="D567" t="s">
        <v>11</v>
      </c>
      <c r="E567" t="s">
        <v>29</v>
      </c>
      <c r="F567" t="s">
        <v>51</v>
      </c>
      <c r="G567">
        <v>34.299999999999997</v>
      </c>
      <c r="H567" t="s">
        <v>14</v>
      </c>
      <c r="I567" t="s">
        <v>15</v>
      </c>
      <c r="J567">
        <v>3.3</v>
      </c>
      <c r="K567">
        <v>4</v>
      </c>
      <c r="L567">
        <f t="shared" si="25"/>
        <v>32.927999999999997</v>
      </c>
      <c r="M567">
        <v>2</v>
      </c>
      <c r="N567" t="str">
        <f t="shared" si="26"/>
        <v>New</v>
      </c>
    </row>
    <row r="568" spans="1:14" x14ac:dyDescent="0.35">
      <c r="A568">
        <v>567</v>
      </c>
      <c r="B568">
        <v>29</v>
      </c>
      <c r="C568" t="str">
        <f t="shared" si="24"/>
        <v>Youth</v>
      </c>
      <c r="D568" t="s">
        <v>16</v>
      </c>
      <c r="E568" t="s">
        <v>20</v>
      </c>
      <c r="F568" t="s">
        <v>21</v>
      </c>
      <c r="G568">
        <v>162.96</v>
      </c>
      <c r="H568" t="s">
        <v>31</v>
      </c>
      <c r="I568" t="s">
        <v>15</v>
      </c>
      <c r="J568">
        <v>3.9</v>
      </c>
      <c r="K568">
        <v>19</v>
      </c>
      <c r="L568">
        <f t="shared" si="25"/>
        <v>131.99760000000001</v>
      </c>
      <c r="M568">
        <v>7</v>
      </c>
      <c r="N568" t="str">
        <f t="shared" si="26"/>
        <v>Regular</v>
      </c>
    </row>
    <row r="569" spans="1:14" x14ac:dyDescent="0.35">
      <c r="A569">
        <v>568</v>
      </c>
      <c r="B569">
        <v>45</v>
      </c>
      <c r="C569" t="str">
        <f t="shared" si="24"/>
        <v>Adult</v>
      </c>
      <c r="D569" t="s">
        <v>16</v>
      </c>
      <c r="E569" t="s">
        <v>27</v>
      </c>
      <c r="F569" t="s">
        <v>49</v>
      </c>
      <c r="G569">
        <v>2785.85</v>
      </c>
      <c r="H569" t="s">
        <v>19</v>
      </c>
      <c r="I569" t="s">
        <v>15</v>
      </c>
      <c r="J569">
        <v>3.4</v>
      </c>
      <c r="K569">
        <v>18</v>
      </c>
      <c r="L569">
        <f t="shared" si="25"/>
        <v>2284.3969999999999</v>
      </c>
      <c r="M569">
        <v>4</v>
      </c>
      <c r="N569" t="str">
        <f t="shared" si="26"/>
        <v>Regular</v>
      </c>
    </row>
    <row r="570" spans="1:14" x14ac:dyDescent="0.35">
      <c r="A570">
        <v>569</v>
      </c>
      <c r="B570">
        <v>67</v>
      </c>
      <c r="C570" t="str">
        <f t="shared" si="24"/>
        <v>Senior</v>
      </c>
      <c r="D570" t="s">
        <v>16</v>
      </c>
      <c r="E570" t="s">
        <v>33</v>
      </c>
      <c r="F570" t="s">
        <v>38</v>
      </c>
      <c r="G570">
        <v>79.989999999999995</v>
      </c>
      <c r="H570" t="s">
        <v>19</v>
      </c>
      <c r="I570" t="s">
        <v>15</v>
      </c>
      <c r="J570">
        <v>3.5</v>
      </c>
      <c r="K570">
        <v>12</v>
      </c>
      <c r="L570">
        <f t="shared" si="25"/>
        <v>70.391199999999998</v>
      </c>
      <c r="M570">
        <v>1</v>
      </c>
      <c r="N570" t="str">
        <f t="shared" si="26"/>
        <v>New</v>
      </c>
    </row>
    <row r="571" spans="1:14" x14ac:dyDescent="0.35">
      <c r="A571">
        <v>570</v>
      </c>
      <c r="B571">
        <v>24</v>
      </c>
      <c r="C571" t="str">
        <f t="shared" si="24"/>
        <v>Youth</v>
      </c>
      <c r="D571" t="s">
        <v>11</v>
      </c>
      <c r="E571" t="s">
        <v>41</v>
      </c>
      <c r="F571" t="s">
        <v>42</v>
      </c>
      <c r="G571">
        <v>33.979999999999997</v>
      </c>
      <c r="H571" t="s">
        <v>19</v>
      </c>
      <c r="I571" t="s">
        <v>15</v>
      </c>
      <c r="J571">
        <v>2.1</v>
      </c>
      <c r="K571">
        <v>15</v>
      </c>
      <c r="L571">
        <f t="shared" si="25"/>
        <v>28.882999999999996</v>
      </c>
      <c r="M571">
        <v>5</v>
      </c>
      <c r="N571" t="str">
        <f t="shared" si="26"/>
        <v>Regular</v>
      </c>
    </row>
    <row r="572" spans="1:14" x14ac:dyDescent="0.35">
      <c r="A572">
        <v>571</v>
      </c>
      <c r="B572">
        <v>32</v>
      </c>
      <c r="C572" t="str">
        <f t="shared" si="24"/>
        <v>Adult</v>
      </c>
      <c r="D572" t="s">
        <v>16</v>
      </c>
      <c r="E572" t="s">
        <v>27</v>
      </c>
      <c r="F572" t="s">
        <v>53</v>
      </c>
      <c r="G572">
        <v>2562.09</v>
      </c>
      <c r="H572" t="s">
        <v>24</v>
      </c>
      <c r="I572" t="s">
        <v>15</v>
      </c>
      <c r="J572">
        <v>3.7</v>
      </c>
      <c r="K572">
        <v>14</v>
      </c>
      <c r="L572">
        <f t="shared" si="25"/>
        <v>2203.3974000000003</v>
      </c>
      <c r="M572">
        <v>7</v>
      </c>
      <c r="N572" t="str">
        <f t="shared" si="26"/>
        <v>Regular</v>
      </c>
    </row>
    <row r="573" spans="1:14" x14ac:dyDescent="0.35">
      <c r="A573">
        <v>572</v>
      </c>
      <c r="B573">
        <v>69</v>
      </c>
      <c r="C573" t="str">
        <f t="shared" si="24"/>
        <v>Senior</v>
      </c>
      <c r="D573" t="s">
        <v>11</v>
      </c>
      <c r="E573" t="s">
        <v>29</v>
      </c>
      <c r="F573" t="s">
        <v>51</v>
      </c>
      <c r="G573">
        <v>55.71</v>
      </c>
      <c r="H573" t="s">
        <v>19</v>
      </c>
      <c r="I573" t="s">
        <v>15</v>
      </c>
      <c r="J573">
        <v>2.9</v>
      </c>
      <c r="K573">
        <v>15</v>
      </c>
      <c r="L573">
        <f t="shared" si="25"/>
        <v>47.353499999999997</v>
      </c>
      <c r="M573">
        <v>5</v>
      </c>
      <c r="N573" t="str">
        <f t="shared" si="26"/>
        <v>Regular</v>
      </c>
    </row>
    <row r="574" spans="1:14" x14ac:dyDescent="0.35">
      <c r="A574">
        <v>573</v>
      </c>
      <c r="B574">
        <v>61</v>
      </c>
      <c r="C574" t="str">
        <f t="shared" si="24"/>
        <v>Senior</v>
      </c>
      <c r="D574" t="s">
        <v>16</v>
      </c>
      <c r="E574" t="s">
        <v>33</v>
      </c>
      <c r="F574" t="s">
        <v>38</v>
      </c>
      <c r="G574">
        <v>41.13</v>
      </c>
      <c r="H574" t="s">
        <v>31</v>
      </c>
      <c r="I574" t="s">
        <v>37</v>
      </c>
      <c r="J574">
        <v>5</v>
      </c>
      <c r="K574">
        <v>17</v>
      </c>
      <c r="L574">
        <f t="shared" si="25"/>
        <v>34.137900000000002</v>
      </c>
      <c r="M574">
        <v>6</v>
      </c>
      <c r="N574" t="str">
        <f t="shared" si="26"/>
        <v>Regular</v>
      </c>
    </row>
    <row r="575" spans="1:14" x14ac:dyDescent="0.35">
      <c r="A575">
        <v>574</v>
      </c>
      <c r="B575">
        <v>46</v>
      </c>
      <c r="C575" t="str">
        <f t="shared" si="24"/>
        <v>Adult</v>
      </c>
      <c r="D575" t="s">
        <v>11</v>
      </c>
      <c r="E575" t="s">
        <v>41</v>
      </c>
      <c r="F575" t="s">
        <v>44</v>
      </c>
      <c r="G575">
        <v>62.15</v>
      </c>
      <c r="H575" t="s">
        <v>31</v>
      </c>
      <c r="I575" t="s">
        <v>37</v>
      </c>
      <c r="J575">
        <v>3.8</v>
      </c>
      <c r="K575">
        <v>22</v>
      </c>
      <c r="L575">
        <f t="shared" si="25"/>
        <v>48.477000000000004</v>
      </c>
      <c r="M575">
        <v>6</v>
      </c>
      <c r="N575" t="str">
        <f t="shared" si="26"/>
        <v>Regular</v>
      </c>
    </row>
    <row r="576" spans="1:14" x14ac:dyDescent="0.35">
      <c r="A576">
        <v>575</v>
      </c>
      <c r="B576">
        <v>44</v>
      </c>
      <c r="C576" t="str">
        <f t="shared" si="24"/>
        <v>Adult</v>
      </c>
      <c r="D576" t="s">
        <v>16</v>
      </c>
      <c r="E576" t="s">
        <v>22</v>
      </c>
      <c r="F576" t="s">
        <v>23</v>
      </c>
      <c r="G576">
        <v>124.45</v>
      </c>
      <c r="H576" t="s">
        <v>31</v>
      </c>
      <c r="I576" t="s">
        <v>15</v>
      </c>
      <c r="J576">
        <v>5</v>
      </c>
      <c r="K576">
        <v>9</v>
      </c>
      <c r="L576">
        <f t="shared" si="25"/>
        <v>113.24950000000001</v>
      </c>
      <c r="M576">
        <v>2</v>
      </c>
      <c r="N576" t="str">
        <f t="shared" si="26"/>
        <v>New</v>
      </c>
    </row>
    <row r="577" spans="1:14" x14ac:dyDescent="0.35">
      <c r="A577">
        <v>576</v>
      </c>
      <c r="B577">
        <v>46</v>
      </c>
      <c r="C577" t="str">
        <f t="shared" si="24"/>
        <v>Adult</v>
      </c>
      <c r="D577" t="s">
        <v>16</v>
      </c>
      <c r="E577" t="s">
        <v>33</v>
      </c>
      <c r="F577" t="s">
        <v>40</v>
      </c>
      <c r="G577">
        <v>75.37</v>
      </c>
      <c r="H577" t="s">
        <v>24</v>
      </c>
      <c r="I577" t="s">
        <v>15</v>
      </c>
      <c r="J577">
        <v>3.7</v>
      </c>
      <c r="K577">
        <v>20</v>
      </c>
      <c r="L577">
        <f t="shared" si="25"/>
        <v>60.296000000000006</v>
      </c>
      <c r="M577">
        <v>10</v>
      </c>
      <c r="N577" t="str">
        <f t="shared" si="26"/>
        <v>Loyal</v>
      </c>
    </row>
    <row r="578" spans="1:14" x14ac:dyDescent="0.35">
      <c r="A578">
        <v>577</v>
      </c>
      <c r="B578">
        <v>30</v>
      </c>
      <c r="C578" t="str">
        <f t="shared" si="24"/>
        <v>Youth</v>
      </c>
      <c r="D578" t="s">
        <v>16</v>
      </c>
      <c r="E578" t="s">
        <v>20</v>
      </c>
      <c r="F578" t="s">
        <v>36</v>
      </c>
      <c r="G578">
        <v>141.81</v>
      </c>
      <c r="H578" t="s">
        <v>24</v>
      </c>
      <c r="I578" t="s">
        <v>15</v>
      </c>
      <c r="J578">
        <v>4.9000000000000004</v>
      </c>
      <c r="K578">
        <v>13</v>
      </c>
      <c r="L578">
        <f t="shared" si="25"/>
        <v>123.3747</v>
      </c>
      <c r="M578">
        <v>4</v>
      </c>
      <c r="N578" t="str">
        <f t="shared" si="26"/>
        <v>Regular</v>
      </c>
    </row>
    <row r="579" spans="1:14" x14ac:dyDescent="0.35">
      <c r="A579">
        <v>578</v>
      </c>
      <c r="B579">
        <v>38</v>
      </c>
      <c r="C579" t="str">
        <f t="shared" ref="C579:C642" si="27">IF(B579&lt;=30,"Youth",IF(B579&lt;=45,"Adult",IF(B579&lt;=60,"Adult","Senior")))</f>
        <v>Adult</v>
      </c>
      <c r="D579" t="s">
        <v>16</v>
      </c>
      <c r="E579" t="s">
        <v>17</v>
      </c>
      <c r="F579" t="s">
        <v>42</v>
      </c>
      <c r="G579">
        <v>173.03</v>
      </c>
      <c r="H579" t="s">
        <v>14</v>
      </c>
      <c r="I579" t="s">
        <v>15</v>
      </c>
      <c r="J579">
        <v>2.6</v>
      </c>
      <c r="K579">
        <v>13</v>
      </c>
      <c r="L579">
        <f t="shared" ref="L579:L642" si="28">G579*(1-K579/100)</f>
        <v>150.5361</v>
      </c>
      <c r="M579">
        <v>4</v>
      </c>
      <c r="N579" t="str">
        <f t="shared" ref="N579:N642" si="29">IF(M579&lt;=3,"New",IF(M579&lt;=7,"Regular","Loyal"))</f>
        <v>Regular</v>
      </c>
    </row>
    <row r="580" spans="1:14" x14ac:dyDescent="0.35">
      <c r="A580">
        <v>579</v>
      </c>
      <c r="B580">
        <v>26</v>
      </c>
      <c r="C580" t="str">
        <f t="shared" si="27"/>
        <v>Youth</v>
      </c>
      <c r="D580" t="s">
        <v>11</v>
      </c>
      <c r="E580" t="s">
        <v>22</v>
      </c>
      <c r="F580" t="s">
        <v>23</v>
      </c>
      <c r="G580">
        <v>174.88</v>
      </c>
      <c r="H580" t="s">
        <v>14</v>
      </c>
      <c r="I580" t="s">
        <v>15</v>
      </c>
      <c r="J580">
        <v>4.4000000000000004</v>
      </c>
      <c r="K580">
        <v>14</v>
      </c>
      <c r="L580">
        <f t="shared" si="28"/>
        <v>150.39679999999998</v>
      </c>
      <c r="M580">
        <v>2</v>
      </c>
      <c r="N580" t="str">
        <f t="shared" si="29"/>
        <v>New</v>
      </c>
    </row>
    <row r="581" spans="1:14" x14ac:dyDescent="0.35">
      <c r="A581">
        <v>580</v>
      </c>
      <c r="B581">
        <v>42</v>
      </c>
      <c r="C581" t="str">
        <f t="shared" si="27"/>
        <v>Adult</v>
      </c>
      <c r="D581" t="s">
        <v>11</v>
      </c>
      <c r="E581" t="s">
        <v>29</v>
      </c>
      <c r="F581" t="s">
        <v>30</v>
      </c>
      <c r="G581">
        <v>48.19</v>
      </c>
      <c r="H581" t="s">
        <v>24</v>
      </c>
      <c r="I581" t="s">
        <v>15</v>
      </c>
      <c r="J581">
        <v>2.7</v>
      </c>
      <c r="K581">
        <v>12</v>
      </c>
      <c r="L581">
        <f t="shared" si="28"/>
        <v>42.407199999999996</v>
      </c>
      <c r="M581">
        <v>6</v>
      </c>
      <c r="N581" t="str">
        <f t="shared" si="29"/>
        <v>Regular</v>
      </c>
    </row>
    <row r="582" spans="1:14" x14ac:dyDescent="0.35">
      <c r="A582">
        <v>581</v>
      </c>
      <c r="B582">
        <v>37</v>
      </c>
      <c r="C582" t="str">
        <f t="shared" si="27"/>
        <v>Adult</v>
      </c>
      <c r="D582" t="s">
        <v>16</v>
      </c>
      <c r="E582" t="s">
        <v>27</v>
      </c>
      <c r="F582" t="s">
        <v>49</v>
      </c>
      <c r="G582">
        <v>714.78</v>
      </c>
      <c r="H582" t="s">
        <v>24</v>
      </c>
      <c r="I582" t="s">
        <v>15</v>
      </c>
      <c r="J582">
        <v>4</v>
      </c>
      <c r="K582">
        <v>12</v>
      </c>
      <c r="L582">
        <f t="shared" si="28"/>
        <v>629.00639999999999</v>
      </c>
      <c r="M582">
        <v>6</v>
      </c>
      <c r="N582" t="str">
        <f t="shared" si="29"/>
        <v>Regular</v>
      </c>
    </row>
    <row r="583" spans="1:14" x14ac:dyDescent="0.35">
      <c r="A583">
        <v>582</v>
      </c>
      <c r="B583">
        <v>54</v>
      </c>
      <c r="C583" t="str">
        <f t="shared" si="27"/>
        <v>Adult</v>
      </c>
      <c r="D583" t="s">
        <v>11</v>
      </c>
      <c r="E583" t="s">
        <v>20</v>
      </c>
      <c r="F583" t="s">
        <v>39</v>
      </c>
      <c r="G583">
        <v>30.19</v>
      </c>
      <c r="H583" t="s">
        <v>14</v>
      </c>
      <c r="I583" t="s">
        <v>37</v>
      </c>
      <c r="J583">
        <v>4.2</v>
      </c>
      <c r="K583">
        <v>13</v>
      </c>
      <c r="L583">
        <f t="shared" si="28"/>
        <v>26.2653</v>
      </c>
      <c r="M583">
        <v>4</v>
      </c>
      <c r="N583" t="str">
        <f t="shared" si="29"/>
        <v>Regular</v>
      </c>
    </row>
    <row r="584" spans="1:14" x14ac:dyDescent="0.35">
      <c r="A584">
        <v>583</v>
      </c>
      <c r="B584">
        <v>68</v>
      </c>
      <c r="C584" t="str">
        <f t="shared" si="27"/>
        <v>Senior</v>
      </c>
      <c r="D584" t="s">
        <v>11</v>
      </c>
      <c r="E584" t="s">
        <v>29</v>
      </c>
      <c r="F584" t="s">
        <v>51</v>
      </c>
      <c r="G584">
        <v>120.37</v>
      </c>
      <c r="H584" t="s">
        <v>24</v>
      </c>
      <c r="I584" t="s">
        <v>15</v>
      </c>
      <c r="J584">
        <v>2.9</v>
      </c>
      <c r="K584">
        <v>24</v>
      </c>
      <c r="L584">
        <f t="shared" si="28"/>
        <v>91.481200000000001</v>
      </c>
      <c r="M584">
        <v>7</v>
      </c>
      <c r="N584" t="str">
        <f t="shared" si="29"/>
        <v>Regular</v>
      </c>
    </row>
    <row r="585" spans="1:14" x14ac:dyDescent="0.35">
      <c r="A585">
        <v>584</v>
      </c>
      <c r="B585">
        <v>38</v>
      </c>
      <c r="C585" t="str">
        <f t="shared" si="27"/>
        <v>Adult</v>
      </c>
      <c r="D585" t="s">
        <v>11</v>
      </c>
      <c r="E585" t="s">
        <v>41</v>
      </c>
      <c r="F585" t="s">
        <v>46</v>
      </c>
      <c r="G585">
        <v>185.35</v>
      </c>
      <c r="H585" t="s">
        <v>24</v>
      </c>
      <c r="I585" t="s">
        <v>15</v>
      </c>
      <c r="J585">
        <v>4.9000000000000004</v>
      </c>
      <c r="K585">
        <v>12</v>
      </c>
      <c r="L585">
        <f t="shared" si="28"/>
        <v>163.108</v>
      </c>
      <c r="M585">
        <v>6</v>
      </c>
      <c r="N585" t="str">
        <f t="shared" si="29"/>
        <v>Regular</v>
      </c>
    </row>
    <row r="586" spans="1:14" x14ac:dyDescent="0.35">
      <c r="A586">
        <v>585</v>
      </c>
      <c r="B586">
        <v>25</v>
      </c>
      <c r="C586" t="str">
        <f t="shared" si="27"/>
        <v>Youth</v>
      </c>
      <c r="D586" t="s">
        <v>16</v>
      </c>
      <c r="E586" t="s">
        <v>27</v>
      </c>
      <c r="F586" t="s">
        <v>32</v>
      </c>
      <c r="G586">
        <v>1495.63</v>
      </c>
      <c r="H586" t="s">
        <v>31</v>
      </c>
      <c r="I586" t="s">
        <v>15</v>
      </c>
      <c r="J586">
        <v>3.8</v>
      </c>
      <c r="K586">
        <v>14</v>
      </c>
      <c r="L586">
        <f t="shared" si="28"/>
        <v>1286.2418</v>
      </c>
      <c r="M586">
        <v>2</v>
      </c>
      <c r="N586" t="str">
        <f t="shared" si="29"/>
        <v>New</v>
      </c>
    </row>
    <row r="587" spans="1:14" x14ac:dyDescent="0.35">
      <c r="A587">
        <v>586</v>
      </c>
      <c r="B587">
        <v>42</v>
      </c>
      <c r="C587" t="str">
        <f t="shared" si="27"/>
        <v>Adult</v>
      </c>
      <c r="D587" t="s">
        <v>16</v>
      </c>
      <c r="E587" t="s">
        <v>27</v>
      </c>
      <c r="F587" t="s">
        <v>28</v>
      </c>
      <c r="G587">
        <v>1552.24</v>
      </c>
      <c r="H587" t="s">
        <v>14</v>
      </c>
      <c r="I587" t="s">
        <v>15</v>
      </c>
      <c r="J587">
        <v>3.8</v>
      </c>
      <c r="K587">
        <v>17</v>
      </c>
      <c r="L587">
        <f t="shared" si="28"/>
        <v>1288.3591999999999</v>
      </c>
      <c r="M587">
        <v>6</v>
      </c>
      <c r="N587" t="str">
        <f t="shared" si="29"/>
        <v>Regular</v>
      </c>
    </row>
    <row r="588" spans="1:14" x14ac:dyDescent="0.35">
      <c r="A588">
        <v>587</v>
      </c>
      <c r="B588">
        <v>26</v>
      </c>
      <c r="C588" t="str">
        <f t="shared" si="27"/>
        <v>Youth</v>
      </c>
      <c r="D588" t="s">
        <v>16</v>
      </c>
      <c r="E588" t="s">
        <v>20</v>
      </c>
      <c r="F588" t="s">
        <v>21</v>
      </c>
      <c r="G588">
        <v>175.47</v>
      </c>
      <c r="H588" t="s">
        <v>14</v>
      </c>
      <c r="I588" t="s">
        <v>15</v>
      </c>
      <c r="J588">
        <v>3</v>
      </c>
      <c r="K588">
        <v>13</v>
      </c>
      <c r="L588">
        <f t="shared" si="28"/>
        <v>152.65889999999999</v>
      </c>
      <c r="M588">
        <v>4</v>
      </c>
      <c r="N588" t="str">
        <f t="shared" si="29"/>
        <v>Regular</v>
      </c>
    </row>
    <row r="589" spans="1:14" x14ac:dyDescent="0.35">
      <c r="A589">
        <v>588</v>
      </c>
      <c r="B589">
        <v>45</v>
      </c>
      <c r="C589" t="str">
        <f t="shared" si="27"/>
        <v>Adult</v>
      </c>
      <c r="D589" t="s">
        <v>16</v>
      </c>
      <c r="E589" t="s">
        <v>20</v>
      </c>
      <c r="F589" t="s">
        <v>21</v>
      </c>
      <c r="G589">
        <v>136.12</v>
      </c>
      <c r="H589" t="s">
        <v>19</v>
      </c>
      <c r="I589" t="s">
        <v>15</v>
      </c>
      <c r="J589">
        <v>4.5</v>
      </c>
      <c r="K589">
        <v>23</v>
      </c>
      <c r="L589">
        <f t="shared" si="28"/>
        <v>104.81240000000001</v>
      </c>
      <c r="M589">
        <v>9</v>
      </c>
      <c r="N589" t="str">
        <f t="shared" si="29"/>
        <v>Loyal</v>
      </c>
    </row>
    <row r="590" spans="1:14" x14ac:dyDescent="0.35">
      <c r="A590">
        <v>589</v>
      </c>
      <c r="B590">
        <v>22</v>
      </c>
      <c r="C590" t="str">
        <f t="shared" si="27"/>
        <v>Youth</v>
      </c>
      <c r="D590" t="s">
        <v>11</v>
      </c>
      <c r="E590" t="s">
        <v>33</v>
      </c>
      <c r="F590" t="s">
        <v>40</v>
      </c>
      <c r="G590">
        <v>174.5</v>
      </c>
      <c r="H590" t="s">
        <v>14</v>
      </c>
      <c r="I590" t="s">
        <v>15</v>
      </c>
      <c r="J590">
        <v>3.7</v>
      </c>
      <c r="K590">
        <v>14</v>
      </c>
      <c r="L590">
        <f t="shared" si="28"/>
        <v>150.07</v>
      </c>
      <c r="M590">
        <v>2</v>
      </c>
      <c r="N590" t="str">
        <f t="shared" si="29"/>
        <v>New</v>
      </c>
    </row>
    <row r="591" spans="1:14" x14ac:dyDescent="0.35">
      <c r="A591">
        <v>590</v>
      </c>
      <c r="B591">
        <v>40</v>
      </c>
      <c r="C591" t="str">
        <f t="shared" si="27"/>
        <v>Adult</v>
      </c>
      <c r="D591" t="s">
        <v>16</v>
      </c>
      <c r="E591" t="s">
        <v>22</v>
      </c>
      <c r="F591" t="s">
        <v>43</v>
      </c>
      <c r="G591">
        <v>136.29</v>
      </c>
      <c r="H591" t="s">
        <v>24</v>
      </c>
      <c r="I591" t="s">
        <v>15</v>
      </c>
      <c r="J591">
        <v>2.9</v>
      </c>
      <c r="K591">
        <v>13</v>
      </c>
      <c r="L591">
        <f t="shared" si="28"/>
        <v>118.5723</v>
      </c>
      <c r="M591">
        <v>4</v>
      </c>
      <c r="N591" t="str">
        <f t="shared" si="29"/>
        <v>Regular</v>
      </c>
    </row>
    <row r="592" spans="1:14" x14ac:dyDescent="0.35">
      <c r="A592">
        <v>591</v>
      </c>
      <c r="B592">
        <v>44</v>
      </c>
      <c r="C592" t="str">
        <f t="shared" si="27"/>
        <v>Adult</v>
      </c>
      <c r="D592" t="s">
        <v>11</v>
      </c>
      <c r="E592" t="s">
        <v>33</v>
      </c>
      <c r="F592" t="s">
        <v>38</v>
      </c>
      <c r="G592">
        <v>62.11</v>
      </c>
      <c r="H592" t="s">
        <v>31</v>
      </c>
      <c r="I592" t="s">
        <v>15</v>
      </c>
      <c r="J592">
        <v>2.9</v>
      </c>
      <c r="K592">
        <v>19</v>
      </c>
      <c r="L592">
        <f t="shared" si="28"/>
        <v>50.309100000000001</v>
      </c>
      <c r="M592">
        <v>7</v>
      </c>
      <c r="N592" t="str">
        <f t="shared" si="29"/>
        <v>Regular</v>
      </c>
    </row>
    <row r="593" spans="1:14" x14ac:dyDescent="0.35">
      <c r="A593">
        <v>592</v>
      </c>
      <c r="B593">
        <v>31</v>
      </c>
      <c r="C593" t="str">
        <f t="shared" si="27"/>
        <v>Adult</v>
      </c>
      <c r="D593" t="s">
        <v>16</v>
      </c>
      <c r="E593" t="s">
        <v>20</v>
      </c>
      <c r="F593" t="s">
        <v>21</v>
      </c>
      <c r="G593">
        <v>209.64</v>
      </c>
      <c r="H593" t="s">
        <v>14</v>
      </c>
      <c r="I593" t="s">
        <v>15</v>
      </c>
      <c r="J593">
        <v>4.5999999999999996</v>
      </c>
      <c r="K593">
        <v>11</v>
      </c>
      <c r="L593">
        <f t="shared" si="28"/>
        <v>186.5796</v>
      </c>
      <c r="M593">
        <v>3</v>
      </c>
      <c r="N593" t="str">
        <f t="shared" si="29"/>
        <v>New</v>
      </c>
    </row>
    <row r="594" spans="1:14" x14ac:dyDescent="0.35">
      <c r="A594">
        <v>593</v>
      </c>
      <c r="B594">
        <v>23</v>
      </c>
      <c r="C594" t="str">
        <f t="shared" si="27"/>
        <v>Youth</v>
      </c>
      <c r="D594" t="s">
        <v>16</v>
      </c>
      <c r="E594" t="s">
        <v>33</v>
      </c>
      <c r="F594" t="s">
        <v>38</v>
      </c>
      <c r="G594">
        <v>188.15</v>
      </c>
      <c r="H594" t="s">
        <v>24</v>
      </c>
      <c r="I594" t="s">
        <v>15</v>
      </c>
      <c r="J594">
        <v>3.5</v>
      </c>
      <c r="K594">
        <v>4</v>
      </c>
      <c r="L594">
        <f t="shared" si="28"/>
        <v>180.624</v>
      </c>
      <c r="M594">
        <v>2</v>
      </c>
      <c r="N594" t="str">
        <f t="shared" si="29"/>
        <v>New</v>
      </c>
    </row>
    <row r="595" spans="1:14" x14ac:dyDescent="0.35">
      <c r="A595">
        <v>594</v>
      </c>
      <c r="B595">
        <v>27</v>
      </c>
      <c r="C595" t="str">
        <f t="shared" si="27"/>
        <v>Youth</v>
      </c>
      <c r="D595" t="s">
        <v>11</v>
      </c>
      <c r="E595" t="s">
        <v>12</v>
      </c>
      <c r="F595" t="s">
        <v>13</v>
      </c>
      <c r="G595">
        <v>31.87</v>
      </c>
      <c r="H595" t="s">
        <v>24</v>
      </c>
      <c r="I595" t="s">
        <v>37</v>
      </c>
      <c r="J595">
        <v>5</v>
      </c>
      <c r="K595">
        <v>22</v>
      </c>
      <c r="L595">
        <f t="shared" si="28"/>
        <v>24.858600000000003</v>
      </c>
      <c r="M595">
        <v>6</v>
      </c>
      <c r="N595" t="str">
        <f t="shared" si="29"/>
        <v>Regular</v>
      </c>
    </row>
    <row r="596" spans="1:14" x14ac:dyDescent="0.35">
      <c r="A596">
        <v>595</v>
      </c>
      <c r="B596">
        <v>24</v>
      </c>
      <c r="C596" t="str">
        <f t="shared" si="27"/>
        <v>Youth</v>
      </c>
      <c r="D596" t="s">
        <v>16</v>
      </c>
      <c r="E596" t="s">
        <v>17</v>
      </c>
      <c r="F596" t="s">
        <v>42</v>
      </c>
      <c r="G596">
        <v>128.63999999999999</v>
      </c>
      <c r="H596" t="s">
        <v>14</v>
      </c>
      <c r="I596" t="s">
        <v>15</v>
      </c>
      <c r="J596">
        <v>4.4000000000000004</v>
      </c>
      <c r="K596">
        <v>22</v>
      </c>
      <c r="L596">
        <f t="shared" si="28"/>
        <v>100.33919999999999</v>
      </c>
      <c r="M596">
        <v>6</v>
      </c>
      <c r="N596" t="str">
        <f t="shared" si="29"/>
        <v>Regular</v>
      </c>
    </row>
    <row r="597" spans="1:14" x14ac:dyDescent="0.35">
      <c r="A597">
        <v>596</v>
      </c>
      <c r="B597">
        <v>57</v>
      </c>
      <c r="C597" t="str">
        <f t="shared" si="27"/>
        <v>Adult</v>
      </c>
      <c r="D597" t="s">
        <v>11</v>
      </c>
      <c r="E597" t="s">
        <v>33</v>
      </c>
      <c r="F597" t="s">
        <v>40</v>
      </c>
      <c r="G597">
        <v>107.31</v>
      </c>
      <c r="H597" t="s">
        <v>24</v>
      </c>
      <c r="I597" t="s">
        <v>15</v>
      </c>
      <c r="J597">
        <v>3.6</v>
      </c>
      <c r="K597">
        <v>16</v>
      </c>
      <c r="L597">
        <f t="shared" si="28"/>
        <v>90.1404</v>
      </c>
      <c r="M597">
        <v>8</v>
      </c>
      <c r="N597" t="str">
        <f t="shared" si="29"/>
        <v>Loyal</v>
      </c>
    </row>
    <row r="598" spans="1:14" x14ac:dyDescent="0.35">
      <c r="A598">
        <v>597</v>
      </c>
      <c r="B598">
        <v>37</v>
      </c>
      <c r="C598" t="str">
        <f t="shared" si="27"/>
        <v>Adult</v>
      </c>
      <c r="D598" t="s">
        <v>11</v>
      </c>
      <c r="E598" t="s">
        <v>20</v>
      </c>
      <c r="F598" t="s">
        <v>21</v>
      </c>
      <c r="G598">
        <v>160.72</v>
      </c>
      <c r="H598" t="s">
        <v>19</v>
      </c>
      <c r="I598" t="s">
        <v>15</v>
      </c>
      <c r="J598">
        <v>3.8</v>
      </c>
      <c r="K598">
        <v>8</v>
      </c>
      <c r="L598">
        <f t="shared" si="28"/>
        <v>147.86240000000001</v>
      </c>
      <c r="M598">
        <v>4</v>
      </c>
      <c r="N598" t="str">
        <f t="shared" si="29"/>
        <v>Regular</v>
      </c>
    </row>
    <row r="599" spans="1:14" x14ac:dyDescent="0.35">
      <c r="A599">
        <v>598</v>
      </c>
      <c r="B599">
        <v>44</v>
      </c>
      <c r="C599" t="str">
        <f t="shared" si="27"/>
        <v>Adult</v>
      </c>
      <c r="D599" t="s">
        <v>16</v>
      </c>
      <c r="E599" t="s">
        <v>17</v>
      </c>
      <c r="F599" t="s">
        <v>48</v>
      </c>
      <c r="G599">
        <v>74.66</v>
      </c>
      <c r="H599" t="s">
        <v>14</v>
      </c>
      <c r="I599" t="s">
        <v>37</v>
      </c>
      <c r="J599">
        <v>3</v>
      </c>
      <c r="K599">
        <v>13</v>
      </c>
      <c r="L599">
        <f t="shared" si="28"/>
        <v>64.9542</v>
      </c>
      <c r="M599">
        <v>4</v>
      </c>
      <c r="N599" t="str">
        <f t="shared" si="29"/>
        <v>Regular</v>
      </c>
    </row>
    <row r="600" spans="1:14" x14ac:dyDescent="0.35">
      <c r="A600">
        <v>599</v>
      </c>
      <c r="B600">
        <v>69</v>
      </c>
      <c r="C600" t="str">
        <f t="shared" si="27"/>
        <v>Senior</v>
      </c>
      <c r="D600" t="s">
        <v>16</v>
      </c>
      <c r="E600" t="s">
        <v>33</v>
      </c>
      <c r="F600" t="s">
        <v>40</v>
      </c>
      <c r="G600">
        <v>210.5</v>
      </c>
      <c r="H600" t="s">
        <v>24</v>
      </c>
      <c r="I600" t="s">
        <v>15</v>
      </c>
      <c r="J600">
        <v>3.8</v>
      </c>
      <c r="K600">
        <v>13</v>
      </c>
      <c r="L600">
        <f t="shared" si="28"/>
        <v>183.13499999999999</v>
      </c>
      <c r="M600">
        <v>4</v>
      </c>
      <c r="N600" t="str">
        <f t="shared" si="29"/>
        <v>Regular</v>
      </c>
    </row>
    <row r="601" spans="1:14" x14ac:dyDescent="0.35">
      <c r="A601">
        <v>600</v>
      </c>
      <c r="B601">
        <v>24</v>
      </c>
      <c r="C601" t="str">
        <f t="shared" si="27"/>
        <v>Youth</v>
      </c>
      <c r="D601" t="s">
        <v>16</v>
      </c>
      <c r="E601" t="s">
        <v>17</v>
      </c>
      <c r="F601" t="s">
        <v>18</v>
      </c>
      <c r="G601">
        <v>35.35</v>
      </c>
      <c r="H601" t="s">
        <v>24</v>
      </c>
      <c r="I601" t="s">
        <v>15</v>
      </c>
      <c r="J601">
        <v>3.6</v>
      </c>
      <c r="K601">
        <v>21</v>
      </c>
      <c r="L601">
        <f t="shared" si="28"/>
        <v>27.926500000000001</v>
      </c>
      <c r="M601">
        <v>8</v>
      </c>
      <c r="N601" t="str">
        <f t="shared" si="29"/>
        <v>Loyal</v>
      </c>
    </row>
    <row r="602" spans="1:14" x14ac:dyDescent="0.35">
      <c r="A602">
        <v>601</v>
      </c>
      <c r="B602">
        <v>48</v>
      </c>
      <c r="C602" t="str">
        <f t="shared" si="27"/>
        <v>Adult</v>
      </c>
      <c r="D602" t="s">
        <v>16</v>
      </c>
      <c r="E602" t="s">
        <v>20</v>
      </c>
      <c r="F602" t="s">
        <v>39</v>
      </c>
      <c r="G602">
        <v>63.8</v>
      </c>
      <c r="H602" t="s">
        <v>24</v>
      </c>
      <c r="I602" t="s">
        <v>37</v>
      </c>
      <c r="J602">
        <v>4.2</v>
      </c>
      <c r="K602">
        <v>15</v>
      </c>
      <c r="L602">
        <f t="shared" si="28"/>
        <v>54.23</v>
      </c>
      <c r="M602">
        <v>5</v>
      </c>
      <c r="N602" t="str">
        <f t="shared" si="29"/>
        <v>Regular</v>
      </c>
    </row>
    <row r="603" spans="1:14" x14ac:dyDescent="0.35">
      <c r="A603">
        <v>602</v>
      </c>
      <c r="B603">
        <v>50</v>
      </c>
      <c r="C603" t="str">
        <f t="shared" si="27"/>
        <v>Adult</v>
      </c>
      <c r="D603" t="s">
        <v>16</v>
      </c>
      <c r="E603" t="s">
        <v>33</v>
      </c>
      <c r="F603" t="s">
        <v>38</v>
      </c>
      <c r="G603">
        <v>66.64</v>
      </c>
      <c r="H603" t="s">
        <v>31</v>
      </c>
      <c r="I603" t="s">
        <v>15</v>
      </c>
      <c r="J603">
        <v>5</v>
      </c>
      <c r="K603">
        <v>15</v>
      </c>
      <c r="L603">
        <f t="shared" si="28"/>
        <v>56.643999999999998</v>
      </c>
      <c r="M603">
        <v>5</v>
      </c>
      <c r="N603" t="str">
        <f t="shared" si="29"/>
        <v>Regular</v>
      </c>
    </row>
    <row r="604" spans="1:14" x14ac:dyDescent="0.35">
      <c r="A604">
        <v>603</v>
      </c>
      <c r="B604">
        <v>33</v>
      </c>
      <c r="C604" t="str">
        <f t="shared" si="27"/>
        <v>Adult</v>
      </c>
      <c r="D604" t="s">
        <v>11</v>
      </c>
      <c r="E604" t="s">
        <v>20</v>
      </c>
      <c r="F604" t="s">
        <v>39</v>
      </c>
      <c r="G604">
        <v>26.47</v>
      </c>
      <c r="H604" t="s">
        <v>19</v>
      </c>
      <c r="I604" t="s">
        <v>37</v>
      </c>
      <c r="J604">
        <v>2.7</v>
      </c>
      <c r="K604">
        <v>4</v>
      </c>
      <c r="L604">
        <f t="shared" si="28"/>
        <v>25.411199999999997</v>
      </c>
      <c r="M604">
        <v>2</v>
      </c>
      <c r="N604" t="str">
        <f t="shared" si="29"/>
        <v>New</v>
      </c>
    </row>
    <row r="605" spans="1:14" x14ac:dyDescent="0.35">
      <c r="A605">
        <v>604</v>
      </c>
      <c r="B605">
        <v>67</v>
      </c>
      <c r="C605" t="str">
        <f t="shared" si="27"/>
        <v>Senior</v>
      </c>
      <c r="D605" t="s">
        <v>16</v>
      </c>
      <c r="E605" t="s">
        <v>33</v>
      </c>
      <c r="F605" t="s">
        <v>34</v>
      </c>
      <c r="G605">
        <v>233.68</v>
      </c>
      <c r="H605" t="s">
        <v>14</v>
      </c>
      <c r="I605" t="s">
        <v>15</v>
      </c>
      <c r="J605">
        <v>3.3</v>
      </c>
      <c r="K605">
        <v>13</v>
      </c>
      <c r="L605">
        <f t="shared" si="28"/>
        <v>203.30160000000001</v>
      </c>
      <c r="M605">
        <v>4</v>
      </c>
      <c r="N605" t="str">
        <f t="shared" si="29"/>
        <v>Regular</v>
      </c>
    </row>
    <row r="606" spans="1:14" x14ac:dyDescent="0.35">
      <c r="A606">
        <v>605</v>
      </c>
      <c r="B606">
        <v>48</v>
      </c>
      <c r="C606" t="str">
        <f t="shared" si="27"/>
        <v>Adult</v>
      </c>
      <c r="D606" t="s">
        <v>11</v>
      </c>
      <c r="E606" t="s">
        <v>20</v>
      </c>
      <c r="F606" t="s">
        <v>39</v>
      </c>
      <c r="G606">
        <v>184.2</v>
      </c>
      <c r="H606" t="s">
        <v>19</v>
      </c>
      <c r="I606" t="s">
        <v>15</v>
      </c>
      <c r="J606">
        <v>4.3</v>
      </c>
      <c r="K606">
        <v>19</v>
      </c>
      <c r="L606">
        <f t="shared" si="28"/>
        <v>149.202</v>
      </c>
      <c r="M606">
        <v>7</v>
      </c>
      <c r="N606" t="str">
        <f t="shared" si="29"/>
        <v>Regular</v>
      </c>
    </row>
    <row r="607" spans="1:14" x14ac:dyDescent="0.35">
      <c r="A607">
        <v>606</v>
      </c>
      <c r="B607">
        <v>43</v>
      </c>
      <c r="C607" t="str">
        <f t="shared" si="27"/>
        <v>Adult</v>
      </c>
      <c r="D607" t="s">
        <v>11</v>
      </c>
      <c r="E607" t="s">
        <v>33</v>
      </c>
      <c r="F607" t="s">
        <v>34</v>
      </c>
      <c r="G607">
        <v>209.23</v>
      </c>
      <c r="H607" t="s">
        <v>24</v>
      </c>
      <c r="I607" t="s">
        <v>15</v>
      </c>
      <c r="J607">
        <v>3</v>
      </c>
      <c r="K607">
        <v>13</v>
      </c>
      <c r="L607">
        <f t="shared" si="28"/>
        <v>182.03009999999998</v>
      </c>
      <c r="M607">
        <v>4</v>
      </c>
      <c r="N607" t="str">
        <f t="shared" si="29"/>
        <v>Regular</v>
      </c>
    </row>
    <row r="608" spans="1:14" x14ac:dyDescent="0.35">
      <c r="A608">
        <v>607</v>
      </c>
      <c r="B608">
        <v>55</v>
      </c>
      <c r="C608" t="str">
        <f t="shared" si="27"/>
        <v>Adult</v>
      </c>
      <c r="D608" t="s">
        <v>16</v>
      </c>
      <c r="E608" t="s">
        <v>20</v>
      </c>
      <c r="F608" t="s">
        <v>21</v>
      </c>
      <c r="G608">
        <v>225.1</v>
      </c>
      <c r="H608" t="s">
        <v>24</v>
      </c>
      <c r="I608" t="s">
        <v>15</v>
      </c>
      <c r="J608">
        <v>4.8</v>
      </c>
      <c r="K608">
        <v>12</v>
      </c>
      <c r="L608">
        <f t="shared" si="28"/>
        <v>198.08799999999999</v>
      </c>
      <c r="M608">
        <v>6</v>
      </c>
      <c r="N608" t="str">
        <f t="shared" si="29"/>
        <v>Regular</v>
      </c>
    </row>
    <row r="609" spans="1:14" x14ac:dyDescent="0.35">
      <c r="A609">
        <v>608</v>
      </c>
      <c r="B609">
        <v>26</v>
      </c>
      <c r="C609" t="str">
        <f t="shared" si="27"/>
        <v>Youth</v>
      </c>
      <c r="D609" t="s">
        <v>16</v>
      </c>
      <c r="E609" t="s">
        <v>17</v>
      </c>
      <c r="F609" t="s">
        <v>48</v>
      </c>
      <c r="G609">
        <v>172.87</v>
      </c>
      <c r="H609" t="s">
        <v>31</v>
      </c>
      <c r="I609" t="s">
        <v>15</v>
      </c>
      <c r="J609">
        <v>3.3</v>
      </c>
      <c r="K609">
        <v>17</v>
      </c>
      <c r="L609">
        <f t="shared" si="28"/>
        <v>143.4821</v>
      </c>
      <c r="M609">
        <v>6</v>
      </c>
      <c r="N609" t="str">
        <f t="shared" si="29"/>
        <v>Regular</v>
      </c>
    </row>
    <row r="610" spans="1:14" x14ac:dyDescent="0.35">
      <c r="A610">
        <v>609</v>
      </c>
      <c r="B610">
        <v>56</v>
      </c>
      <c r="C610" t="str">
        <f t="shared" si="27"/>
        <v>Adult</v>
      </c>
      <c r="D610" t="s">
        <v>16</v>
      </c>
      <c r="E610" t="s">
        <v>27</v>
      </c>
      <c r="F610" t="s">
        <v>49</v>
      </c>
      <c r="G610">
        <v>2831.6</v>
      </c>
      <c r="H610" t="s">
        <v>14</v>
      </c>
      <c r="I610" t="s">
        <v>15</v>
      </c>
      <c r="J610">
        <v>4.7</v>
      </c>
      <c r="K610">
        <v>15</v>
      </c>
      <c r="L610">
        <f t="shared" si="28"/>
        <v>2406.8599999999997</v>
      </c>
      <c r="M610">
        <v>5</v>
      </c>
      <c r="N610" t="str">
        <f t="shared" si="29"/>
        <v>Regular</v>
      </c>
    </row>
    <row r="611" spans="1:14" x14ac:dyDescent="0.35">
      <c r="A611">
        <v>610</v>
      </c>
      <c r="B611">
        <v>52</v>
      </c>
      <c r="C611" t="str">
        <f t="shared" si="27"/>
        <v>Adult</v>
      </c>
      <c r="D611" t="s">
        <v>11</v>
      </c>
      <c r="E611" t="s">
        <v>12</v>
      </c>
      <c r="F611" t="s">
        <v>13</v>
      </c>
      <c r="G611">
        <v>20.11</v>
      </c>
      <c r="H611" t="s">
        <v>19</v>
      </c>
      <c r="I611" t="s">
        <v>15</v>
      </c>
      <c r="J611">
        <v>5</v>
      </c>
      <c r="K611">
        <v>8</v>
      </c>
      <c r="L611">
        <f t="shared" si="28"/>
        <v>18.501200000000001</v>
      </c>
      <c r="M611">
        <v>4</v>
      </c>
      <c r="N611" t="str">
        <f t="shared" si="29"/>
        <v>Regular</v>
      </c>
    </row>
    <row r="612" spans="1:14" x14ac:dyDescent="0.35">
      <c r="A612">
        <v>611</v>
      </c>
      <c r="B612">
        <v>32</v>
      </c>
      <c r="C612" t="str">
        <f t="shared" si="27"/>
        <v>Adult</v>
      </c>
      <c r="D612" t="s">
        <v>16</v>
      </c>
      <c r="E612" t="s">
        <v>25</v>
      </c>
      <c r="F612" t="s">
        <v>26</v>
      </c>
      <c r="G612">
        <v>58.96</v>
      </c>
      <c r="H612" t="s">
        <v>24</v>
      </c>
      <c r="I612" t="s">
        <v>37</v>
      </c>
      <c r="J612">
        <v>4.8</v>
      </c>
      <c r="K612">
        <v>4</v>
      </c>
      <c r="L612">
        <f t="shared" si="28"/>
        <v>56.601599999999998</v>
      </c>
      <c r="M612">
        <v>2</v>
      </c>
      <c r="N612" t="str">
        <f t="shared" si="29"/>
        <v>New</v>
      </c>
    </row>
    <row r="613" spans="1:14" x14ac:dyDescent="0.35">
      <c r="A613">
        <v>612</v>
      </c>
      <c r="B613">
        <v>44</v>
      </c>
      <c r="C613" t="str">
        <f t="shared" si="27"/>
        <v>Adult</v>
      </c>
      <c r="D613" t="s">
        <v>11</v>
      </c>
      <c r="E613" t="s">
        <v>12</v>
      </c>
      <c r="F613" t="s">
        <v>56</v>
      </c>
      <c r="G613">
        <v>170.49</v>
      </c>
      <c r="H613" t="s">
        <v>14</v>
      </c>
      <c r="I613" t="s">
        <v>15</v>
      </c>
      <c r="J613">
        <v>2.9</v>
      </c>
      <c r="K613">
        <v>18</v>
      </c>
      <c r="L613">
        <f t="shared" si="28"/>
        <v>139.80180000000001</v>
      </c>
      <c r="M613">
        <v>9</v>
      </c>
      <c r="N613" t="str">
        <f t="shared" si="29"/>
        <v>Loyal</v>
      </c>
    </row>
    <row r="614" spans="1:14" x14ac:dyDescent="0.35">
      <c r="A614">
        <v>613</v>
      </c>
      <c r="B614">
        <v>44</v>
      </c>
      <c r="C614" t="str">
        <f t="shared" si="27"/>
        <v>Adult</v>
      </c>
      <c r="D614" t="s">
        <v>11</v>
      </c>
      <c r="E614" t="s">
        <v>41</v>
      </c>
      <c r="F614" t="s">
        <v>44</v>
      </c>
      <c r="G614">
        <v>65.05</v>
      </c>
      <c r="H614" t="s">
        <v>31</v>
      </c>
      <c r="I614" t="s">
        <v>37</v>
      </c>
      <c r="J614">
        <v>3.4</v>
      </c>
      <c r="K614">
        <v>19</v>
      </c>
      <c r="L614">
        <f t="shared" si="28"/>
        <v>52.6905</v>
      </c>
      <c r="M614">
        <v>7</v>
      </c>
      <c r="N614" t="str">
        <f t="shared" si="29"/>
        <v>Regular</v>
      </c>
    </row>
    <row r="615" spans="1:14" x14ac:dyDescent="0.35">
      <c r="A615">
        <v>614</v>
      </c>
      <c r="B615">
        <v>32</v>
      </c>
      <c r="C615" t="str">
        <f t="shared" si="27"/>
        <v>Adult</v>
      </c>
      <c r="D615" t="s">
        <v>11</v>
      </c>
      <c r="E615" t="s">
        <v>41</v>
      </c>
      <c r="F615" t="s">
        <v>42</v>
      </c>
      <c r="G615">
        <v>35.659999999999997</v>
      </c>
      <c r="H615" t="s">
        <v>31</v>
      </c>
      <c r="I615" t="s">
        <v>37</v>
      </c>
      <c r="J615">
        <v>4.0999999999999996</v>
      </c>
      <c r="K615">
        <v>17</v>
      </c>
      <c r="L615">
        <f t="shared" si="28"/>
        <v>29.597799999999996</v>
      </c>
      <c r="M615">
        <v>6</v>
      </c>
      <c r="N615" t="str">
        <f t="shared" si="29"/>
        <v>Regular</v>
      </c>
    </row>
    <row r="616" spans="1:14" x14ac:dyDescent="0.35">
      <c r="A616">
        <v>615</v>
      </c>
      <c r="B616">
        <v>32</v>
      </c>
      <c r="C616" t="str">
        <f t="shared" si="27"/>
        <v>Adult</v>
      </c>
      <c r="D616" t="s">
        <v>11</v>
      </c>
      <c r="E616" t="s">
        <v>20</v>
      </c>
      <c r="F616" t="s">
        <v>39</v>
      </c>
      <c r="G616">
        <v>37.450000000000003</v>
      </c>
      <c r="H616" t="s">
        <v>24</v>
      </c>
      <c r="I616" t="s">
        <v>15</v>
      </c>
      <c r="J616">
        <v>3.2</v>
      </c>
      <c r="K616">
        <v>2</v>
      </c>
      <c r="L616">
        <f t="shared" si="28"/>
        <v>36.701000000000001</v>
      </c>
      <c r="M616">
        <v>1</v>
      </c>
      <c r="N616" t="str">
        <f t="shared" si="29"/>
        <v>New</v>
      </c>
    </row>
    <row r="617" spans="1:14" x14ac:dyDescent="0.35">
      <c r="A617">
        <v>616</v>
      </c>
      <c r="B617">
        <v>26</v>
      </c>
      <c r="C617" t="str">
        <f t="shared" si="27"/>
        <v>Youth</v>
      </c>
      <c r="D617" t="s">
        <v>11</v>
      </c>
      <c r="E617" t="s">
        <v>12</v>
      </c>
      <c r="F617" t="s">
        <v>50</v>
      </c>
      <c r="G617">
        <v>170.43</v>
      </c>
      <c r="H617" t="s">
        <v>19</v>
      </c>
      <c r="I617" t="s">
        <v>15</v>
      </c>
      <c r="J617">
        <v>3.1</v>
      </c>
      <c r="K617">
        <v>17</v>
      </c>
      <c r="L617">
        <f t="shared" si="28"/>
        <v>141.45689999999999</v>
      </c>
      <c r="M617">
        <v>6</v>
      </c>
      <c r="N617" t="str">
        <f t="shared" si="29"/>
        <v>Regular</v>
      </c>
    </row>
    <row r="618" spans="1:14" x14ac:dyDescent="0.35">
      <c r="A618">
        <v>617</v>
      </c>
      <c r="B618">
        <v>30</v>
      </c>
      <c r="C618" t="str">
        <f t="shared" si="27"/>
        <v>Youth</v>
      </c>
      <c r="D618" t="s">
        <v>11</v>
      </c>
      <c r="E618" t="s">
        <v>33</v>
      </c>
      <c r="F618" t="s">
        <v>38</v>
      </c>
      <c r="G618">
        <v>61.98</v>
      </c>
      <c r="H618" t="s">
        <v>19</v>
      </c>
      <c r="I618" t="s">
        <v>15</v>
      </c>
      <c r="J618">
        <v>3.5</v>
      </c>
      <c r="K618">
        <v>10</v>
      </c>
      <c r="L618">
        <f t="shared" si="28"/>
        <v>55.781999999999996</v>
      </c>
      <c r="M618">
        <v>5</v>
      </c>
      <c r="N618" t="str">
        <f t="shared" si="29"/>
        <v>Regular</v>
      </c>
    </row>
    <row r="619" spans="1:14" x14ac:dyDescent="0.35">
      <c r="A619">
        <v>618</v>
      </c>
      <c r="B619">
        <v>54</v>
      </c>
      <c r="C619" t="str">
        <f t="shared" si="27"/>
        <v>Adult</v>
      </c>
      <c r="D619" t="s">
        <v>11</v>
      </c>
      <c r="E619" t="s">
        <v>41</v>
      </c>
      <c r="F619" t="s">
        <v>46</v>
      </c>
      <c r="G619">
        <v>97.85</v>
      </c>
      <c r="H619" t="s">
        <v>14</v>
      </c>
      <c r="I619" t="s">
        <v>37</v>
      </c>
      <c r="J619">
        <v>3.6</v>
      </c>
      <c r="K619">
        <v>12</v>
      </c>
      <c r="L619">
        <f t="shared" si="28"/>
        <v>86.10799999999999</v>
      </c>
      <c r="M619">
        <v>6</v>
      </c>
      <c r="N619" t="str">
        <f t="shared" si="29"/>
        <v>Regular</v>
      </c>
    </row>
    <row r="620" spans="1:14" x14ac:dyDescent="0.35">
      <c r="A620">
        <v>619</v>
      </c>
      <c r="B620">
        <v>44</v>
      </c>
      <c r="C620" t="str">
        <f t="shared" si="27"/>
        <v>Adult</v>
      </c>
      <c r="D620" t="s">
        <v>16</v>
      </c>
      <c r="E620" t="s">
        <v>33</v>
      </c>
      <c r="F620" t="s">
        <v>38</v>
      </c>
      <c r="G620">
        <v>180.53</v>
      </c>
      <c r="H620" t="s">
        <v>14</v>
      </c>
      <c r="I620" t="s">
        <v>15</v>
      </c>
      <c r="J620">
        <v>3.4</v>
      </c>
      <c r="K620">
        <v>26</v>
      </c>
      <c r="L620">
        <f t="shared" si="28"/>
        <v>133.59219999999999</v>
      </c>
      <c r="M620">
        <v>8</v>
      </c>
      <c r="N620" t="str">
        <f t="shared" si="29"/>
        <v>Loyal</v>
      </c>
    </row>
    <row r="621" spans="1:14" x14ac:dyDescent="0.35">
      <c r="A621">
        <v>620</v>
      </c>
      <c r="B621">
        <v>70</v>
      </c>
      <c r="C621" t="str">
        <f t="shared" si="27"/>
        <v>Senior</v>
      </c>
      <c r="D621" t="s">
        <v>16</v>
      </c>
      <c r="E621" t="s">
        <v>27</v>
      </c>
      <c r="F621" t="s">
        <v>28</v>
      </c>
      <c r="G621">
        <v>2658.73</v>
      </c>
      <c r="H621" t="s">
        <v>31</v>
      </c>
      <c r="I621" t="s">
        <v>15</v>
      </c>
      <c r="J621">
        <v>4.3</v>
      </c>
      <c r="K621">
        <v>22</v>
      </c>
      <c r="L621">
        <f t="shared" si="28"/>
        <v>2073.8094000000001</v>
      </c>
      <c r="M621">
        <v>6</v>
      </c>
      <c r="N621" t="str">
        <f t="shared" si="29"/>
        <v>Regular</v>
      </c>
    </row>
    <row r="622" spans="1:14" x14ac:dyDescent="0.35">
      <c r="A622">
        <v>621</v>
      </c>
      <c r="B622">
        <v>32</v>
      </c>
      <c r="C622" t="str">
        <f t="shared" si="27"/>
        <v>Adult</v>
      </c>
      <c r="D622" t="s">
        <v>16</v>
      </c>
      <c r="E622" t="s">
        <v>33</v>
      </c>
      <c r="F622" t="s">
        <v>38</v>
      </c>
      <c r="G622">
        <v>158.28</v>
      </c>
      <c r="H622" t="s">
        <v>14</v>
      </c>
      <c r="I622" t="s">
        <v>15</v>
      </c>
      <c r="J622">
        <v>4.0999999999999996</v>
      </c>
      <c r="K622">
        <v>26</v>
      </c>
      <c r="L622">
        <f t="shared" si="28"/>
        <v>117.1272</v>
      </c>
      <c r="M622">
        <v>8</v>
      </c>
      <c r="N622" t="str">
        <f t="shared" si="29"/>
        <v>Loyal</v>
      </c>
    </row>
    <row r="623" spans="1:14" x14ac:dyDescent="0.35">
      <c r="A623">
        <v>622</v>
      </c>
      <c r="B623">
        <v>57</v>
      </c>
      <c r="C623" t="str">
        <f t="shared" si="27"/>
        <v>Adult</v>
      </c>
      <c r="D623" t="s">
        <v>16</v>
      </c>
      <c r="E623" t="s">
        <v>20</v>
      </c>
      <c r="F623" t="s">
        <v>36</v>
      </c>
      <c r="G623">
        <v>222.98</v>
      </c>
      <c r="H623" t="s">
        <v>24</v>
      </c>
      <c r="I623" t="s">
        <v>15</v>
      </c>
      <c r="J623">
        <v>3.5</v>
      </c>
      <c r="K623">
        <v>24</v>
      </c>
      <c r="L623">
        <f t="shared" si="28"/>
        <v>169.4648</v>
      </c>
      <c r="M623">
        <v>7</v>
      </c>
      <c r="N623" t="str">
        <f t="shared" si="29"/>
        <v>Regular</v>
      </c>
    </row>
    <row r="624" spans="1:14" x14ac:dyDescent="0.35">
      <c r="A624">
        <v>623</v>
      </c>
      <c r="B624">
        <v>49</v>
      </c>
      <c r="C624" t="str">
        <f t="shared" si="27"/>
        <v>Adult</v>
      </c>
      <c r="D624" t="s">
        <v>16</v>
      </c>
      <c r="E624" t="s">
        <v>17</v>
      </c>
      <c r="F624" t="s">
        <v>18</v>
      </c>
      <c r="G624">
        <v>197.05</v>
      </c>
      <c r="H624" t="s">
        <v>24</v>
      </c>
      <c r="I624" t="s">
        <v>15</v>
      </c>
      <c r="J624">
        <v>4.4000000000000004</v>
      </c>
      <c r="K624">
        <v>17</v>
      </c>
      <c r="L624">
        <f t="shared" si="28"/>
        <v>163.5515</v>
      </c>
      <c r="M624">
        <v>6</v>
      </c>
      <c r="N624" t="str">
        <f t="shared" si="29"/>
        <v>Regular</v>
      </c>
    </row>
    <row r="625" spans="1:14" x14ac:dyDescent="0.35">
      <c r="A625">
        <v>624</v>
      </c>
      <c r="B625">
        <v>48</v>
      </c>
      <c r="C625" t="str">
        <f t="shared" si="27"/>
        <v>Adult</v>
      </c>
      <c r="D625" t="s">
        <v>16</v>
      </c>
      <c r="E625" t="s">
        <v>20</v>
      </c>
      <c r="F625" t="s">
        <v>36</v>
      </c>
      <c r="G625">
        <v>97.69</v>
      </c>
      <c r="H625" t="s">
        <v>31</v>
      </c>
      <c r="I625" t="s">
        <v>37</v>
      </c>
      <c r="J625">
        <v>3.4</v>
      </c>
      <c r="K625">
        <v>19</v>
      </c>
      <c r="L625">
        <f t="shared" si="28"/>
        <v>79.128900000000002</v>
      </c>
      <c r="M625">
        <v>7</v>
      </c>
      <c r="N625" t="str">
        <f t="shared" si="29"/>
        <v>Regular</v>
      </c>
    </row>
    <row r="626" spans="1:14" x14ac:dyDescent="0.35">
      <c r="A626">
        <v>625</v>
      </c>
      <c r="B626">
        <v>35</v>
      </c>
      <c r="C626" t="str">
        <f t="shared" si="27"/>
        <v>Adult</v>
      </c>
      <c r="D626" t="s">
        <v>16</v>
      </c>
      <c r="E626" t="s">
        <v>27</v>
      </c>
      <c r="F626" t="s">
        <v>28</v>
      </c>
      <c r="G626">
        <v>761.2</v>
      </c>
      <c r="H626" t="s">
        <v>31</v>
      </c>
      <c r="I626" t="s">
        <v>15</v>
      </c>
      <c r="J626">
        <v>5</v>
      </c>
      <c r="K626">
        <v>24</v>
      </c>
      <c r="L626">
        <f t="shared" si="28"/>
        <v>578.51200000000006</v>
      </c>
      <c r="M626">
        <v>7</v>
      </c>
      <c r="N626" t="str">
        <f t="shared" si="29"/>
        <v>Regular</v>
      </c>
    </row>
    <row r="627" spans="1:14" x14ac:dyDescent="0.35">
      <c r="A627">
        <v>626</v>
      </c>
      <c r="B627">
        <v>63</v>
      </c>
      <c r="C627" t="str">
        <f t="shared" si="27"/>
        <v>Senior</v>
      </c>
      <c r="D627" t="s">
        <v>11</v>
      </c>
      <c r="E627" t="s">
        <v>33</v>
      </c>
      <c r="F627" t="s">
        <v>34</v>
      </c>
      <c r="G627">
        <v>208.69</v>
      </c>
      <c r="H627" t="s">
        <v>24</v>
      </c>
      <c r="I627" t="s">
        <v>15</v>
      </c>
      <c r="J627">
        <v>3.2</v>
      </c>
      <c r="K627">
        <v>13</v>
      </c>
      <c r="L627">
        <f t="shared" si="28"/>
        <v>181.56029999999998</v>
      </c>
      <c r="M627">
        <v>4</v>
      </c>
      <c r="N627" t="str">
        <f t="shared" si="29"/>
        <v>Regular</v>
      </c>
    </row>
    <row r="628" spans="1:14" x14ac:dyDescent="0.35">
      <c r="A628">
        <v>627</v>
      </c>
      <c r="B628">
        <v>60</v>
      </c>
      <c r="C628" t="str">
        <f t="shared" si="27"/>
        <v>Adult</v>
      </c>
      <c r="D628" t="s">
        <v>11</v>
      </c>
      <c r="E628" t="s">
        <v>41</v>
      </c>
      <c r="F628" t="s">
        <v>46</v>
      </c>
      <c r="G628">
        <v>31.81</v>
      </c>
      <c r="H628" t="s">
        <v>19</v>
      </c>
      <c r="I628" t="s">
        <v>15</v>
      </c>
      <c r="J628">
        <v>3.5</v>
      </c>
      <c r="K628">
        <v>12</v>
      </c>
      <c r="L628">
        <f t="shared" si="28"/>
        <v>27.992799999999999</v>
      </c>
      <c r="M628">
        <v>6</v>
      </c>
      <c r="N628" t="str">
        <f t="shared" si="29"/>
        <v>Regular</v>
      </c>
    </row>
    <row r="629" spans="1:14" x14ac:dyDescent="0.35">
      <c r="A629">
        <v>628</v>
      </c>
      <c r="B629">
        <v>29</v>
      </c>
      <c r="C629" t="str">
        <f t="shared" si="27"/>
        <v>Youth</v>
      </c>
      <c r="D629" t="s">
        <v>16</v>
      </c>
      <c r="E629" t="s">
        <v>27</v>
      </c>
      <c r="F629" t="s">
        <v>49</v>
      </c>
      <c r="G629">
        <v>1170.69</v>
      </c>
      <c r="H629" t="s">
        <v>31</v>
      </c>
      <c r="I629" t="s">
        <v>15</v>
      </c>
      <c r="J629">
        <v>3.5</v>
      </c>
      <c r="K629">
        <v>16</v>
      </c>
      <c r="L629">
        <f t="shared" si="28"/>
        <v>983.37959999999998</v>
      </c>
      <c r="M629">
        <v>3</v>
      </c>
      <c r="N629" t="str">
        <f t="shared" si="29"/>
        <v>New</v>
      </c>
    </row>
    <row r="630" spans="1:14" x14ac:dyDescent="0.35">
      <c r="A630">
        <v>629</v>
      </c>
      <c r="B630">
        <v>54</v>
      </c>
      <c r="C630" t="str">
        <f t="shared" si="27"/>
        <v>Adult</v>
      </c>
      <c r="D630" t="s">
        <v>16</v>
      </c>
      <c r="E630" t="s">
        <v>33</v>
      </c>
      <c r="F630" t="s">
        <v>34</v>
      </c>
      <c r="G630">
        <v>66.739999999999995</v>
      </c>
      <c r="H630" t="s">
        <v>14</v>
      </c>
      <c r="I630" t="s">
        <v>37</v>
      </c>
      <c r="J630">
        <v>4.3</v>
      </c>
      <c r="K630">
        <v>12</v>
      </c>
      <c r="L630">
        <f t="shared" si="28"/>
        <v>58.731199999999994</v>
      </c>
      <c r="M630">
        <v>6</v>
      </c>
      <c r="N630" t="str">
        <f t="shared" si="29"/>
        <v>Regular</v>
      </c>
    </row>
    <row r="631" spans="1:14" x14ac:dyDescent="0.35">
      <c r="A631">
        <v>630</v>
      </c>
      <c r="B631">
        <v>23</v>
      </c>
      <c r="C631" t="str">
        <f t="shared" si="27"/>
        <v>Youth</v>
      </c>
      <c r="D631" t="s">
        <v>11</v>
      </c>
      <c r="E631" t="s">
        <v>29</v>
      </c>
      <c r="F631" t="s">
        <v>55</v>
      </c>
      <c r="G631">
        <v>39.909999999999997</v>
      </c>
      <c r="H631" t="s">
        <v>19</v>
      </c>
      <c r="I631" t="s">
        <v>37</v>
      </c>
      <c r="J631">
        <v>3.3</v>
      </c>
      <c r="K631">
        <v>2</v>
      </c>
      <c r="L631">
        <f t="shared" si="28"/>
        <v>39.111799999999995</v>
      </c>
      <c r="M631">
        <v>1</v>
      </c>
      <c r="N631" t="str">
        <f t="shared" si="29"/>
        <v>New</v>
      </c>
    </row>
    <row r="632" spans="1:14" x14ac:dyDescent="0.35">
      <c r="A632">
        <v>631</v>
      </c>
      <c r="B632">
        <v>42</v>
      </c>
      <c r="C632" t="str">
        <f t="shared" si="27"/>
        <v>Adult</v>
      </c>
      <c r="D632" t="s">
        <v>11</v>
      </c>
      <c r="E632" t="s">
        <v>25</v>
      </c>
      <c r="F632" t="s">
        <v>54</v>
      </c>
      <c r="G632">
        <v>10.19</v>
      </c>
      <c r="H632" t="s">
        <v>14</v>
      </c>
      <c r="I632" t="s">
        <v>37</v>
      </c>
      <c r="J632">
        <v>4.0999999999999996</v>
      </c>
      <c r="K632">
        <v>14</v>
      </c>
      <c r="L632">
        <f t="shared" si="28"/>
        <v>8.763399999999999</v>
      </c>
      <c r="M632">
        <v>7</v>
      </c>
      <c r="N632" t="str">
        <f t="shared" si="29"/>
        <v>Regular</v>
      </c>
    </row>
    <row r="633" spans="1:14" x14ac:dyDescent="0.35">
      <c r="A633">
        <v>632</v>
      </c>
      <c r="B633">
        <v>70</v>
      </c>
      <c r="C633" t="str">
        <f t="shared" si="27"/>
        <v>Senior</v>
      </c>
      <c r="D633" t="s">
        <v>16</v>
      </c>
      <c r="E633" t="s">
        <v>17</v>
      </c>
      <c r="F633" t="s">
        <v>42</v>
      </c>
      <c r="G633">
        <v>69.05</v>
      </c>
      <c r="H633" t="s">
        <v>14</v>
      </c>
      <c r="I633" t="s">
        <v>15</v>
      </c>
      <c r="J633">
        <v>3.9</v>
      </c>
      <c r="K633">
        <v>8</v>
      </c>
      <c r="L633">
        <f t="shared" si="28"/>
        <v>63.526000000000003</v>
      </c>
      <c r="M633">
        <v>4</v>
      </c>
      <c r="N633" t="str">
        <f t="shared" si="29"/>
        <v>Regular</v>
      </c>
    </row>
    <row r="634" spans="1:14" x14ac:dyDescent="0.35">
      <c r="A634">
        <v>633</v>
      </c>
      <c r="B634">
        <v>29</v>
      </c>
      <c r="C634" t="str">
        <f t="shared" si="27"/>
        <v>Youth</v>
      </c>
      <c r="D634" t="s">
        <v>16</v>
      </c>
      <c r="E634" t="s">
        <v>33</v>
      </c>
      <c r="F634" t="s">
        <v>40</v>
      </c>
      <c r="G634">
        <v>91.99</v>
      </c>
      <c r="H634" t="s">
        <v>24</v>
      </c>
      <c r="I634" t="s">
        <v>15</v>
      </c>
      <c r="J634">
        <v>2.9</v>
      </c>
      <c r="K634">
        <v>25</v>
      </c>
      <c r="L634">
        <f t="shared" si="28"/>
        <v>68.992499999999993</v>
      </c>
      <c r="M634">
        <v>10</v>
      </c>
      <c r="N634" t="str">
        <f t="shared" si="29"/>
        <v>Loyal</v>
      </c>
    </row>
    <row r="635" spans="1:14" x14ac:dyDescent="0.35">
      <c r="A635">
        <v>634</v>
      </c>
      <c r="B635">
        <v>38</v>
      </c>
      <c r="C635" t="str">
        <f t="shared" si="27"/>
        <v>Adult</v>
      </c>
      <c r="D635" t="s">
        <v>11</v>
      </c>
      <c r="E635" t="s">
        <v>33</v>
      </c>
      <c r="F635" t="s">
        <v>34</v>
      </c>
      <c r="G635">
        <v>247.76</v>
      </c>
      <c r="H635" t="s">
        <v>24</v>
      </c>
      <c r="I635" t="s">
        <v>15</v>
      </c>
      <c r="J635">
        <v>3.3</v>
      </c>
      <c r="K635">
        <v>11</v>
      </c>
      <c r="L635">
        <f t="shared" si="28"/>
        <v>220.50639999999999</v>
      </c>
      <c r="M635">
        <v>3</v>
      </c>
      <c r="N635" t="str">
        <f t="shared" si="29"/>
        <v>New</v>
      </c>
    </row>
    <row r="636" spans="1:14" x14ac:dyDescent="0.35">
      <c r="A636">
        <v>635</v>
      </c>
      <c r="B636">
        <v>45</v>
      </c>
      <c r="C636" t="str">
        <f t="shared" si="27"/>
        <v>Adult</v>
      </c>
      <c r="D636" t="s">
        <v>16</v>
      </c>
      <c r="E636" t="s">
        <v>33</v>
      </c>
      <c r="F636" t="s">
        <v>34</v>
      </c>
      <c r="G636">
        <v>203.46</v>
      </c>
      <c r="H636" t="s">
        <v>14</v>
      </c>
      <c r="I636" t="s">
        <v>15</v>
      </c>
      <c r="J636">
        <v>3.1</v>
      </c>
      <c r="K636">
        <v>10</v>
      </c>
      <c r="L636">
        <f t="shared" si="28"/>
        <v>183.114</v>
      </c>
      <c r="M636">
        <v>5</v>
      </c>
      <c r="N636" t="str">
        <f t="shared" si="29"/>
        <v>Regular</v>
      </c>
    </row>
    <row r="637" spans="1:14" x14ac:dyDescent="0.35">
      <c r="A637">
        <v>636</v>
      </c>
      <c r="B637">
        <v>61</v>
      </c>
      <c r="C637" t="str">
        <f t="shared" si="27"/>
        <v>Senior</v>
      </c>
      <c r="D637" t="s">
        <v>16</v>
      </c>
      <c r="E637" t="s">
        <v>33</v>
      </c>
      <c r="F637" t="s">
        <v>34</v>
      </c>
      <c r="G637">
        <v>118.53</v>
      </c>
      <c r="H637" t="s">
        <v>31</v>
      </c>
      <c r="I637" t="s">
        <v>15</v>
      </c>
      <c r="J637">
        <v>4.9000000000000004</v>
      </c>
      <c r="K637">
        <v>14</v>
      </c>
      <c r="L637">
        <f t="shared" si="28"/>
        <v>101.9358</v>
      </c>
      <c r="M637">
        <v>2</v>
      </c>
      <c r="N637" t="str">
        <f t="shared" si="29"/>
        <v>New</v>
      </c>
    </row>
    <row r="638" spans="1:14" x14ac:dyDescent="0.35">
      <c r="A638">
        <v>637</v>
      </c>
      <c r="B638">
        <v>66</v>
      </c>
      <c r="C638" t="str">
        <f t="shared" si="27"/>
        <v>Senior</v>
      </c>
      <c r="D638" t="s">
        <v>16</v>
      </c>
      <c r="E638" t="s">
        <v>17</v>
      </c>
      <c r="F638" t="s">
        <v>18</v>
      </c>
      <c r="G638">
        <v>63.45</v>
      </c>
      <c r="H638" t="s">
        <v>24</v>
      </c>
      <c r="I638" t="s">
        <v>15</v>
      </c>
      <c r="J638">
        <v>3.6</v>
      </c>
      <c r="K638">
        <v>15</v>
      </c>
      <c r="L638">
        <f t="shared" si="28"/>
        <v>53.932500000000005</v>
      </c>
      <c r="M638">
        <v>5</v>
      </c>
      <c r="N638" t="str">
        <f t="shared" si="29"/>
        <v>Regular</v>
      </c>
    </row>
    <row r="639" spans="1:14" x14ac:dyDescent="0.35">
      <c r="A639">
        <v>638</v>
      </c>
      <c r="B639">
        <v>66</v>
      </c>
      <c r="C639" t="str">
        <f t="shared" si="27"/>
        <v>Senior</v>
      </c>
      <c r="D639" t="s">
        <v>11</v>
      </c>
      <c r="E639" t="s">
        <v>12</v>
      </c>
      <c r="F639" t="s">
        <v>50</v>
      </c>
      <c r="G639">
        <v>129.69</v>
      </c>
      <c r="H639" t="s">
        <v>24</v>
      </c>
      <c r="I639" t="s">
        <v>15</v>
      </c>
      <c r="J639">
        <v>3.1</v>
      </c>
      <c r="K639">
        <v>17</v>
      </c>
      <c r="L639">
        <f t="shared" si="28"/>
        <v>107.64269999999999</v>
      </c>
      <c r="M639">
        <v>6</v>
      </c>
      <c r="N639" t="str">
        <f t="shared" si="29"/>
        <v>Regular</v>
      </c>
    </row>
    <row r="640" spans="1:14" x14ac:dyDescent="0.35">
      <c r="A640">
        <v>639</v>
      </c>
      <c r="B640">
        <v>27</v>
      </c>
      <c r="C640" t="str">
        <f t="shared" si="27"/>
        <v>Youth</v>
      </c>
      <c r="D640" t="s">
        <v>16</v>
      </c>
      <c r="E640" t="s">
        <v>27</v>
      </c>
      <c r="F640" t="s">
        <v>32</v>
      </c>
      <c r="G640">
        <v>736.92</v>
      </c>
      <c r="H640" t="s">
        <v>14</v>
      </c>
      <c r="I640" t="s">
        <v>15</v>
      </c>
      <c r="J640">
        <v>3.3</v>
      </c>
      <c r="K640">
        <v>12</v>
      </c>
      <c r="L640">
        <f t="shared" si="28"/>
        <v>648.4896</v>
      </c>
      <c r="M640">
        <v>1</v>
      </c>
      <c r="N640" t="str">
        <f t="shared" si="29"/>
        <v>New</v>
      </c>
    </row>
    <row r="641" spans="1:14" x14ac:dyDescent="0.35">
      <c r="A641">
        <v>640</v>
      </c>
      <c r="B641">
        <v>52</v>
      </c>
      <c r="C641" t="str">
        <f t="shared" si="27"/>
        <v>Adult</v>
      </c>
      <c r="D641" t="s">
        <v>11</v>
      </c>
      <c r="E641" t="s">
        <v>29</v>
      </c>
      <c r="F641" t="s">
        <v>55</v>
      </c>
      <c r="G641">
        <v>87.62</v>
      </c>
      <c r="H641" t="s">
        <v>14</v>
      </c>
      <c r="I641" t="s">
        <v>15</v>
      </c>
      <c r="J641">
        <v>2.9</v>
      </c>
      <c r="K641">
        <v>10</v>
      </c>
      <c r="L641">
        <f t="shared" si="28"/>
        <v>78.858000000000004</v>
      </c>
      <c r="M641">
        <v>5</v>
      </c>
      <c r="N641" t="str">
        <f t="shared" si="29"/>
        <v>Regular</v>
      </c>
    </row>
    <row r="642" spans="1:14" x14ac:dyDescent="0.35">
      <c r="A642">
        <v>641</v>
      </c>
      <c r="B642">
        <v>43</v>
      </c>
      <c r="C642" t="str">
        <f t="shared" si="27"/>
        <v>Adult</v>
      </c>
      <c r="D642" t="s">
        <v>11</v>
      </c>
      <c r="E642" t="s">
        <v>22</v>
      </c>
      <c r="F642" t="s">
        <v>52</v>
      </c>
      <c r="G642">
        <v>140</v>
      </c>
      <c r="H642" t="s">
        <v>31</v>
      </c>
      <c r="I642" t="s">
        <v>15</v>
      </c>
      <c r="J642">
        <v>3.9</v>
      </c>
      <c r="K642">
        <v>15</v>
      </c>
      <c r="L642">
        <f t="shared" si="28"/>
        <v>119</v>
      </c>
      <c r="M642">
        <v>5</v>
      </c>
      <c r="N642" t="str">
        <f t="shared" si="29"/>
        <v>Regular</v>
      </c>
    </row>
    <row r="643" spans="1:14" x14ac:dyDescent="0.35">
      <c r="A643">
        <v>642</v>
      </c>
      <c r="B643">
        <v>35</v>
      </c>
      <c r="C643" t="str">
        <f t="shared" ref="C643:C706" si="30">IF(B643&lt;=30,"Youth",IF(B643&lt;=45,"Adult",IF(B643&lt;=60,"Adult","Senior")))</f>
        <v>Adult</v>
      </c>
      <c r="D643" t="s">
        <v>16</v>
      </c>
      <c r="E643" t="s">
        <v>20</v>
      </c>
      <c r="F643" t="s">
        <v>21</v>
      </c>
      <c r="G643">
        <v>107.57</v>
      </c>
      <c r="H643" t="s">
        <v>31</v>
      </c>
      <c r="I643" t="s">
        <v>15</v>
      </c>
      <c r="J643">
        <v>3.9</v>
      </c>
      <c r="K643">
        <v>12</v>
      </c>
      <c r="L643">
        <f t="shared" ref="L643:L706" si="31">G643*(1-K643/100)</f>
        <v>94.661599999999993</v>
      </c>
      <c r="M643">
        <v>6</v>
      </c>
      <c r="N643" t="str">
        <f t="shared" ref="N643:N706" si="32">IF(M643&lt;=3,"New",IF(M643&lt;=7,"Regular","Loyal"))</f>
        <v>Regular</v>
      </c>
    </row>
    <row r="644" spans="1:14" x14ac:dyDescent="0.35">
      <c r="A644">
        <v>643</v>
      </c>
      <c r="B644">
        <v>34</v>
      </c>
      <c r="C644" t="str">
        <f t="shared" si="30"/>
        <v>Adult</v>
      </c>
      <c r="D644" t="s">
        <v>16</v>
      </c>
      <c r="E644" t="s">
        <v>25</v>
      </c>
      <c r="F644" t="s">
        <v>54</v>
      </c>
      <c r="G644">
        <v>78.16</v>
      </c>
      <c r="H644" t="s">
        <v>19</v>
      </c>
      <c r="I644" t="s">
        <v>37</v>
      </c>
      <c r="J644">
        <v>2.2000000000000002</v>
      </c>
      <c r="K644">
        <v>4</v>
      </c>
      <c r="L644">
        <f t="shared" si="31"/>
        <v>75.033599999999993</v>
      </c>
      <c r="M644">
        <v>2</v>
      </c>
      <c r="N644" t="str">
        <f t="shared" si="32"/>
        <v>New</v>
      </c>
    </row>
    <row r="645" spans="1:14" x14ac:dyDescent="0.35">
      <c r="A645">
        <v>644</v>
      </c>
      <c r="B645">
        <v>51</v>
      </c>
      <c r="C645" t="str">
        <f t="shared" si="30"/>
        <v>Adult</v>
      </c>
      <c r="D645" t="s">
        <v>11</v>
      </c>
      <c r="E645" t="s">
        <v>41</v>
      </c>
      <c r="F645" t="s">
        <v>46</v>
      </c>
      <c r="G645">
        <v>47.3</v>
      </c>
      <c r="H645" t="s">
        <v>14</v>
      </c>
      <c r="I645" t="s">
        <v>37</v>
      </c>
      <c r="J645">
        <v>3.9</v>
      </c>
      <c r="K645">
        <v>7</v>
      </c>
      <c r="L645">
        <f t="shared" si="31"/>
        <v>43.988999999999997</v>
      </c>
      <c r="M645">
        <v>1</v>
      </c>
      <c r="N645" t="str">
        <f t="shared" si="32"/>
        <v>New</v>
      </c>
    </row>
    <row r="646" spans="1:14" x14ac:dyDescent="0.35">
      <c r="A646">
        <v>645</v>
      </c>
      <c r="B646">
        <v>43</v>
      </c>
      <c r="C646" t="str">
        <f t="shared" si="30"/>
        <v>Adult</v>
      </c>
      <c r="D646" t="s">
        <v>11</v>
      </c>
      <c r="E646" t="s">
        <v>41</v>
      </c>
      <c r="F646" t="s">
        <v>44</v>
      </c>
      <c r="G646">
        <v>143.80000000000001</v>
      </c>
      <c r="H646" t="s">
        <v>14</v>
      </c>
      <c r="I646" t="s">
        <v>15</v>
      </c>
      <c r="J646">
        <v>3.6</v>
      </c>
      <c r="K646">
        <v>12</v>
      </c>
      <c r="L646">
        <f t="shared" si="31"/>
        <v>126.54400000000001</v>
      </c>
      <c r="M646">
        <v>6</v>
      </c>
      <c r="N646" t="str">
        <f t="shared" si="32"/>
        <v>Regular</v>
      </c>
    </row>
    <row r="647" spans="1:14" x14ac:dyDescent="0.35">
      <c r="A647">
        <v>646</v>
      </c>
      <c r="B647">
        <v>50</v>
      </c>
      <c r="C647" t="str">
        <f t="shared" si="30"/>
        <v>Adult</v>
      </c>
      <c r="D647" t="s">
        <v>16</v>
      </c>
      <c r="E647" t="s">
        <v>20</v>
      </c>
      <c r="F647" t="s">
        <v>39</v>
      </c>
      <c r="G647">
        <v>208.8</v>
      </c>
      <c r="H647" t="s">
        <v>31</v>
      </c>
      <c r="I647" t="s">
        <v>15</v>
      </c>
      <c r="J647">
        <v>3.4</v>
      </c>
      <c r="K647">
        <v>4</v>
      </c>
      <c r="L647">
        <f t="shared" si="31"/>
        <v>200.44800000000001</v>
      </c>
      <c r="M647">
        <v>2</v>
      </c>
      <c r="N647" t="str">
        <f t="shared" si="32"/>
        <v>New</v>
      </c>
    </row>
    <row r="648" spans="1:14" x14ac:dyDescent="0.35">
      <c r="A648">
        <v>647</v>
      </c>
      <c r="B648">
        <v>33</v>
      </c>
      <c r="C648" t="str">
        <f t="shared" si="30"/>
        <v>Adult</v>
      </c>
      <c r="D648" t="s">
        <v>16</v>
      </c>
      <c r="E648" t="s">
        <v>22</v>
      </c>
      <c r="F648" t="s">
        <v>43</v>
      </c>
      <c r="G648">
        <v>170.58</v>
      </c>
      <c r="H648" t="s">
        <v>31</v>
      </c>
      <c r="I648" t="s">
        <v>15</v>
      </c>
      <c r="J648">
        <v>4.2</v>
      </c>
      <c r="K648">
        <v>8</v>
      </c>
      <c r="L648">
        <f t="shared" si="31"/>
        <v>156.93360000000001</v>
      </c>
      <c r="M648">
        <v>4</v>
      </c>
      <c r="N648" t="str">
        <f t="shared" si="32"/>
        <v>Regular</v>
      </c>
    </row>
    <row r="649" spans="1:14" x14ac:dyDescent="0.35">
      <c r="A649">
        <v>648</v>
      </c>
      <c r="B649">
        <v>30</v>
      </c>
      <c r="C649" t="str">
        <f t="shared" si="30"/>
        <v>Youth</v>
      </c>
      <c r="D649" t="s">
        <v>16</v>
      </c>
      <c r="E649" t="s">
        <v>17</v>
      </c>
      <c r="F649" t="s">
        <v>42</v>
      </c>
      <c r="G649">
        <v>42.67</v>
      </c>
      <c r="H649" t="s">
        <v>14</v>
      </c>
      <c r="I649" t="s">
        <v>37</v>
      </c>
      <c r="J649">
        <v>4.0999999999999996</v>
      </c>
      <c r="K649">
        <v>8</v>
      </c>
      <c r="L649">
        <f t="shared" si="31"/>
        <v>39.256400000000006</v>
      </c>
      <c r="M649">
        <v>4</v>
      </c>
      <c r="N649" t="str">
        <f t="shared" si="32"/>
        <v>Regular</v>
      </c>
    </row>
    <row r="650" spans="1:14" x14ac:dyDescent="0.35">
      <c r="A650">
        <v>649</v>
      </c>
      <c r="B650">
        <v>54</v>
      </c>
      <c r="C650" t="str">
        <f t="shared" si="30"/>
        <v>Adult</v>
      </c>
      <c r="D650" t="s">
        <v>16</v>
      </c>
      <c r="E650" t="s">
        <v>17</v>
      </c>
      <c r="F650" t="s">
        <v>42</v>
      </c>
      <c r="G650">
        <v>170.85</v>
      </c>
      <c r="H650" t="s">
        <v>31</v>
      </c>
      <c r="I650" t="s">
        <v>15</v>
      </c>
      <c r="J650">
        <v>3.4</v>
      </c>
      <c r="K650">
        <v>13</v>
      </c>
      <c r="L650">
        <f t="shared" si="31"/>
        <v>148.6395</v>
      </c>
      <c r="M650">
        <v>4</v>
      </c>
      <c r="N650" t="str">
        <f t="shared" si="32"/>
        <v>Regular</v>
      </c>
    </row>
    <row r="651" spans="1:14" x14ac:dyDescent="0.35">
      <c r="A651">
        <v>650</v>
      </c>
      <c r="B651">
        <v>70</v>
      </c>
      <c r="C651" t="str">
        <f t="shared" si="30"/>
        <v>Senior</v>
      </c>
      <c r="D651" t="s">
        <v>16</v>
      </c>
      <c r="E651" t="s">
        <v>33</v>
      </c>
      <c r="F651" t="s">
        <v>34</v>
      </c>
      <c r="G651">
        <v>174.39</v>
      </c>
      <c r="H651" t="s">
        <v>31</v>
      </c>
      <c r="I651" t="s">
        <v>15</v>
      </c>
      <c r="J651">
        <v>3.2</v>
      </c>
      <c r="K651">
        <v>20</v>
      </c>
      <c r="L651">
        <f t="shared" si="31"/>
        <v>139.512</v>
      </c>
      <c r="M651">
        <v>5</v>
      </c>
      <c r="N651" t="str">
        <f t="shared" si="32"/>
        <v>Regular</v>
      </c>
    </row>
    <row r="652" spans="1:14" x14ac:dyDescent="0.35">
      <c r="A652">
        <v>651</v>
      </c>
      <c r="B652">
        <v>58</v>
      </c>
      <c r="C652" t="str">
        <f t="shared" si="30"/>
        <v>Adult</v>
      </c>
      <c r="D652" t="s">
        <v>16</v>
      </c>
      <c r="E652" t="s">
        <v>20</v>
      </c>
      <c r="F652" t="s">
        <v>21</v>
      </c>
      <c r="G652">
        <v>124.28</v>
      </c>
      <c r="H652" t="s">
        <v>19</v>
      </c>
      <c r="I652" t="s">
        <v>15</v>
      </c>
      <c r="J652">
        <v>3.1</v>
      </c>
      <c r="K652">
        <v>16</v>
      </c>
      <c r="L652">
        <f t="shared" si="31"/>
        <v>104.3952</v>
      </c>
      <c r="M652">
        <v>3</v>
      </c>
      <c r="N652" t="str">
        <f t="shared" si="32"/>
        <v>New</v>
      </c>
    </row>
    <row r="653" spans="1:14" x14ac:dyDescent="0.35">
      <c r="A653">
        <v>652</v>
      </c>
      <c r="B653">
        <v>69</v>
      </c>
      <c r="C653" t="str">
        <f t="shared" si="30"/>
        <v>Senior</v>
      </c>
      <c r="D653" t="s">
        <v>16</v>
      </c>
      <c r="E653" t="s">
        <v>20</v>
      </c>
      <c r="F653" t="s">
        <v>39</v>
      </c>
      <c r="G653">
        <v>100.45</v>
      </c>
      <c r="H653" t="s">
        <v>24</v>
      </c>
      <c r="I653" t="s">
        <v>15</v>
      </c>
      <c r="J653">
        <v>3.6</v>
      </c>
      <c r="K653">
        <v>13</v>
      </c>
      <c r="L653">
        <f t="shared" si="31"/>
        <v>87.391500000000008</v>
      </c>
      <c r="M653">
        <v>4</v>
      </c>
      <c r="N653" t="str">
        <f t="shared" si="32"/>
        <v>Regular</v>
      </c>
    </row>
    <row r="654" spans="1:14" x14ac:dyDescent="0.35">
      <c r="A654">
        <v>653</v>
      </c>
      <c r="B654">
        <v>52</v>
      </c>
      <c r="C654" t="str">
        <f t="shared" si="30"/>
        <v>Adult</v>
      </c>
      <c r="D654" t="s">
        <v>16</v>
      </c>
      <c r="E654" t="s">
        <v>22</v>
      </c>
      <c r="F654" t="s">
        <v>52</v>
      </c>
      <c r="G654">
        <v>56.48</v>
      </c>
      <c r="H654" t="s">
        <v>19</v>
      </c>
      <c r="I654" t="s">
        <v>37</v>
      </c>
      <c r="J654">
        <v>5</v>
      </c>
      <c r="K654">
        <v>29</v>
      </c>
      <c r="L654">
        <f t="shared" si="31"/>
        <v>40.100799999999992</v>
      </c>
      <c r="M654">
        <v>12</v>
      </c>
      <c r="N654" t="str">
        <f t="shared" si="32"/>
        <v>Loyal</v>
      </c>
    </row>
    <row r="655" spans="1:14" x14ac:dyDescent="0.35">
      <c r="A655">
        <v>654</v>
      </c>
      <c r="B655">
        <v>60</v>
      </c>
      <c r="C655" t="str">
        <f t="shared" si="30"/>
        <v>Adult</v>
      </c>
      <c r="D655" t="s">
        <v>11</v>
      </c>
      <c r="E655" t="s">
        <v>12</v>
      </c>
      <c r="F655" t="s">
        <v>56</v>
      </c>
      <c r="G655">
        <v>30.06</v>
      </c>
      <c r="H655" t="s">
        <v>14</v>
      </c>
      <c r="I655" t="s">
        <v>15</v>
      </c>
      <c r="J655">
        <v>4.5999999999999996</v>
      </c>
      <c r="K655">
        <v>22</v>
      </c>
      <c r="L655">
        <f t="shared" si="31"/>
        <v>23.4468</v>
      </c>
      <c r="M655">
        <v>6</v>
      </c>
      <c r="N655" t="str">
        <f t="shared" si="32"/>
        <v>Regular</v>
      </c>
    </row>
    <row r="656" spans="1:14" x14ac:dyDescent="0.35">
      <c r="A656">
        <v>655</v>
      </c>
      <c r="B656">
        <v>70</v>
      </c>
      <c r="C656" t="str">
        <f t="shared" si="30"/>
        <v>Senior</v>
      </c>
      <c r="D656" t="s">
        <v>11</v>
      </c>
      <c r="E656" t="s">
        <v>33</v>
      </c>
      <c r="F656" t="s">
        <v>38</v>
      </c>
      <c r="G656">
        <v>54</v>
      </c>
      <c r="H656" t="s">
        <v>14</v>
      </c>
      <c r="I656" t="s">
        <v>15</v>
      </c>
      <c r="J656">
        <v>2.8</v>
      </c>
      <c r="K656">
        <v>30</v>
      </c>
      <c r="L656">
        <f t="shared" si="31"/>
        <v>37.799999999999997</v>
      </c>
      <c r="M656">
        <v>10</v>
      </c>
      <c r="N656" t="str">
        <f t="shared" si="32"/>
        <v>Loyal</v>
      </c>
    </row>
    <row r="657" spans="1:14" x14ac:dyDescent="0.35">
      <c r="A657">
        <v>656</v>
      </c>
      <c r="B657">
        <v>67</v>
      </c>
      <c r="C657" t="str">
        <f t="shared" si="30"/>
        <v>Senior</v>
      </c>
      <c r="D657" t="s">
        <v>16</v>
      </c>
      <c r="E657" t="s">
        <v>17</v>
      </c>
      <c r="F657" t="s">
        <v>42</v>
      </c>
      <c r="G657">
        <v>174.5</v>
      </c>
      <c r="H657" t="s">
        <v>31</v>
      </c>
      <c r="I657" t="s">
        <v>15</v>
      </c>
      <c r="J657">
        <v>4.5</v>
      </c>
      <c r="K657">
        <v>15</v>
      </c>
      <c r="L657">
        <f t="shared" si="31"/>
        <v>148.32499999999999</v>
      </c>
      <c r="M657">
        <v>5</v>
      </c>
      <c r="N657" t="str">
        <f t="shared" si="32"/>
        <v>Regular</v>
      </c>
    </row>
    <row r="658" spans="1:14" x14ac:dyDescent="0.35">
      <c r="A658">
        <v>657</v>
      </c>
      <c r="B658">
        <v>20</v>
      </c>
      <c r="C658" t="str">
        <f t="shared" si="30"/>
        <v>Youth</v>
      </c>
      <c r="D658" t="s">
        <v>11</v>
      </c>
      <c r="E658" t="s">
        <v>12</v>
      </c>
      <c r="F658" t="s">
        <v>50</v>
      </c>
      <c r="G658">
        <v>92.35</v>
      </c>
      <c r="H658" t="s">
        <v>14</v>
      </c>
      <c r="I658" t="s">
        <v>15</v>
      </c>
      <c r="J658">
        <v>3.3</v>
      </c>
      <c r="K658">
        <v>12</v>
      </c>
      <c r="L658">
        <f t="shared" si="31"/>
        <v>81.268000000000001</v>
      </c>
      <c r="M658">
        <v>1</v>
      </c>
      <c r="N658" t="str">
        <f t="shared" si="32"/>
        <v>New</v>
      </c>
    </row>
    <row r="659" spans="1:14" x14ac:dyDescent="0.35">
      <c r="A659">
        <v>658</v>
      </c>
      <c r="B659">
        <v>33</v>
      </c>
      <c r="C659" t="str">
        <f t="shared" si="30"/>
        <v>Adult</v>
      </c>
      <c r="D659" t="s">
        <v>11</v>
      </c>
      <c r="E659" t="s">
        <v>12</v>
      </c>
      <c r="F659" t="s">
        <v>56</v>
      </c>
      <c r="G659">
        <v>40.85</v>
      </c>
      <c r="H659" t="s">
        <v>31</v>
      </c>
      <c r="I659" t="s">
        <v>37</v>
      </c>
      <c r="J659">
        <v>4.2</v>
      </c>
      <c r="K659">
        <v>18</v>
      </c>
      <c r="L659">
        <f t="shared" si="31"/>
        <v>33.497000000000007</v>
      </c>
      <c r="M659">
        <v>4</v>
      </c>
      <c r="N659" t="str">
        <f t="shared" si="32"/>
        <v>Regular</v>
      </c>
    </row>
    <row r="660" spans="1:14" x14ac:dyDescent="0.35">
      <c r="A660">
        <v>659</v>
      </c>
      <c r="B660">
        <v>27</v>
      </c>
      <c r="C660" t="str">
        <f t="shared" si="30"/>
        <v>Youth</v>
      </c>
      <c r="D660" t="s">
        <v>16</v>
      </c>
      <c r="E660" t="s">
        <v>20</v>
      </c>
      <c r="F660" t="s">
        <v>36</v>
      </c>
      <c r="G660">
        <v>68.16</v>
      </c>
      <c r="H660" t="s">
        <v>19</v>
      </c>
      <c r="I660" t="s">
        <v>15</v>
      </c>
      <c r="J660">
        <v>4.0999999999999996</v>
      </c>
      <c r="K660">
        <v>10</v>
      </c>
      <c r="L660">
        <f t="shared" si="31"/>
        <v>61.344000000000001</v>
      </c>
      <c r="M660">
        <v>5</v>
      </c>
      <c r="N660" t="str">
        <f t="shared" si="32"/>
        <v>Regular</v>
      </c>
    </row>
    <row r="661" spans="1:14" x14ac:dyDescent="0.35">
      <c r="A661">
        <v>660</v>
      </c>
      <c r="B661">
        <v>33</v>
      </c>
      <c r="C661" t="str">
        <f t="shared" si="30"/>
        <v>Adult</v>
      </c>
      <c r="D661" t="s">
        <v>11</v>
      </c>
      <c r="E661" t="s">
        <v>29</v>
      </c>
      <c r="F661" t="s">
        <v>51</v>
      </c>
      <c r="G661">
        <v>107.56</v>
      </c>
      <c r="H661" t="s">
        <v>19</v>
      </c>
      <c r="I661" t="s">
        <v>15</v>
      </c>
      <c r="J661">
        <v>2.6</v>
      </c>
      <c r="K661">
        <v>8</v>
      </c>
      <c r="L661">
        <f t="shared" si="31"/>
        <v>98.955200000000005</v>
      </c>
      <c r="M661">
        <v>4</v>
      </c>
      <c r="N661" t="str">
        <f t="shared" si="32"/>
        <v>Regular</v>
      </c>
    </row>
    <row r="662" spans="1:14" x14ac:dyDescent="0.35">
      <c r="A662">
        <v>661</v>
      </c>
      <c r="B662">
        <v>54</v>
      </c>
      <c r="C662" t="str">
        <f t="shared" si="30"/>
        <v>Adult</v>
      </c>
      <c r="D662" t="s">
        <v>11</v>
      </c>
      <c r="E662" t="s">
        <v>33</v>
      </c>
      <c r="F662" t="s">
        <v>40</v>
      </c>
      <c r="G662">
        <v>242.06</v>
      </c>
      <c r="H662" t="s">
        <v>19</v>
      </c>
      <c r="I662" t="s">
        <v>15</v>
      </c>
      <c r="J662">
        <v>4.0999999999999996</v>
      </c>
      <c r="K662">
        <v>19</v>
      </c>
      <c r="L662">
        <f t="shared" si="31"/>
        <v>196.0686</v>
      </c>
      <c r="M662">
        <v>7</v>
      </c>
      <c r="N662" t="str">
        <f t="shared" si="32"/>
        <v>Regular</v>
      </c>
    </row>
    <row r="663" spans="1:14" x14ac:dyDescent="0.35">
      <c r="A663">
        <v>662</v>
      </c>
      <c r="B663">
        <v>45</v>
      </c>
      <c r="C663" t="str">
        <f t="shared" si="30"/>
        <v>Adult</v>
      </c>
      <c r="D663" t="s">
        <v>11</v>
      </c>
      <c r="E663" t="s">
        <v>29</v>
      </c>
      <c r="F663" t="s">
        <v>30</v>
      </c>
      <c r="G663">
        <v>144.31</v>
      </c>
      <c r="H663" t="s">
        <v>14</v>
      </c>
      <c r="I663" t="s">
        <v>15</v>
      </c>
      <c r="J663">
        <v>3.8</v>
      </c>
      <c r="K663">
        <v>0</v>
      </c>
      <c r="L663">
        <f t="shared" si="31"/>
        <v>144.31</v>
      </c>
      <c r="M663">
        <v>0</v>
      </c>
      <c r="N663" t="str">
        <f t="shared" si="32"/>
        <v>New</v>
      </c>
    </row>
    <row r="664" spans="1:14" x14ac:dyDescent="0.35">
      <c r="A664">
        <v>663</v>
      </c>
      <c r="B664">
        <v>28</v>
      </c>
      <c r="C664" t="str">
        <f t="shared" si="30"/>
        <v>Youth</v>
      </c>
      <c r="D664" t="s">
        <v>11</v>
      </c>
      <c r="E664" t="s">
        <v>29</v>
      </c>
      <c r="F664" t="s">
        <v>30</v>
      </c>
      <c r="G664">
        <v>119.55</v>
      </c>
      <c r="H664" t="s">
        <v>24</v>
      </c>
      <c r="I664" t="s">
        <v>15</v>
      </c>
      <c r="J664">
        <v>3.6</v>
      </c>
      <c r="K664">
        <v>6</v>
      </c>
      <c r="L664">
        <f t="shared" si="31"/>
        <v>112.377</v>
      </c>
      <c r="M664">
        <v>3</v>
      </c>
      <c r="N664" t="str">
        <f t="shared" si="32"/>
        <v>New</v>
      </c>
    </row>
    <row r="665" spans="1:14" x14ac:dyDescent="0.35">
      <c r="A665">
        <v>664</v>
      </c>
      <c r="B665">
        <v>46</v>
      </c>
      <c r="C665" t="str">
        <f t="shared" si="30"/>
        <v>Adult</v>
      </c>
      <c r="D665" t="s">
        <v>16</v>
      </c>
      <c r="E665" t="s">
        <v>20</v>
      </c>
      <c r="F665" t="s">
        <v>21</v>
      </c>
      <c r="G665">
        <v>56.34</v>
      </c>
      <c r="H665" t="s">
        <v>24</v>
      </c>
      <c r="I665" t="s">
        <v>37</v>
      </c>
      <c r="J665">
        <v>2.9</v>
      </c>
      <c r="K665">
        <v>11</v>
      </c>
      <c r="L665">
        <f t="shared" si="31"/>
        <v>50.142600000000002</v>
      </c>
      <c r="M665">
        <v>3</v>
      </c>
      <c r="N665" t="str">
        <f t="shared" si="32"/>
        <v>New</v>
      </c>
    </row>
    <row r="666" spans="1:14" x14ac:dyDescent="0.35">
      <c r="A666">
        <v>665</v>
      </c>
      <c r="B666">
        <v>25</v>
      </c>
      <c r="C666" t="str">
        <f t="shared" si="30"/>
        <v>Youth</v>
      </c>
      <c r="D666" t="s">
        <v>16</v>
      </c>
      <c r="E666" t="s">
        <v>22</v>
      </c>
      <c r="F666" t="s">
        <v>43</v>
      </c>
      <c r="G666">
        <v>279.19</v>
      </c>
      <c r="H666" t="s">
        <v>31</v>
      </c>
      <c r="I666" t="s">
        <v>15</v>
      </c>
      <c r="J666">
        <v>4.5</v>
      </c>
      <c r="K666">
        <v>8</v>
      </c>
      <c r="L666">
        <f t="shared" si="31"/>
        <v>256.85480000000001</v>
      </c>
      <c r="M666">
        <v>4</v>
      </c>
      <c r="N666" t="str">
        <f t="shared" si="32"/>
        <v>Regular</v>
      </c>
    </row>
    <row r="667" spans="1:14" x14ac:dyDescent="0.35">
      <c r="A667">
        <v>666</v>
      </c>
      <c r="B667">
        <v>31</v>
      </c>
      <c r="C667" t="str">
        <f t="shared" si="30"/>
        <v>Adult</v>
      </c>
      <c r="D667" t="s">
        <v>11</v>
      </c>
      <c r="E667" t="s">
        <v>29</v>
      </c>
      <c r="F667" t="s">
        <v>51</v>
      </c>
      <c r="G667">
        <v>34.01</v>
      </c>
      <c r="H667" t="s">
        <v>31</v>
      </c>
      <c r="I667" t="s">
        <v>15</v>
      </c>
      <c r="J667">
        <v>3.8</v>
      </c>
      <c r="K667">
        <v>22</v>
      </c>
      <c r="L667">
        <f t="shared" si="31"/>
        <v>26.527799999999999</v>
      </c>
      <c r="M667">
        <v>6</v>
      </c>
      <c r="N667" t="str">
        <f t="shared" si="32"/>
        <v>Regular</v>
      </c>
    </row>
    <row r="668" spans="1:14" x14ac:dyDescent="0.35">
      <c r="A668">
        <v>667</v>
      </c>
      <c r="B668">
        <v>60</v>
      </c>
      <c r="C668" t="str">
        <f t="shared" si="30"/>
        <v>Adult</v>
      </c>
      <c r="D668" t="s">
        <v>16</v>
      </c>
      <c r="E668" t="s">
        <v>33</v>
      </c>
      <c r="F668" t="s">
        <v>40</v>
      </c>
      <c r="G668">
        <v>99.93</v>
      </c>
      <c r="H668" t="s">
        <v>24</v>
      </c>
      <c r="I668" t="s">
        <v>15</v>
      </c>
      <c r="J668">
        <v>3.5</v>
      </c>
      <c r="K668">
        <v>28</v>
      </c>
      <c r="L668">
        <f t="shared" si="31"/>
        <v>71.949600000000004</v>
      </c>
      <c r="M668">
        <v>9</v>
      </c>
      <c r="N668" t="str">
        <f t="shared" si="32"/>
        <v>Loyal</v>
      </c>
    </row>
    <row r="669" spans="1:14" x14ac:dyDescent="0.35">
      <c r="A669">
        <v>668</v>
      </c>
      <c r="B669">
        <v>64</v>
      </c>
      <c r="C669" t="str">
        <f t="shared" si="30"/>
        <v>Senior</v>
      </c>
      <c r="D669" t="s">
        <v>16</v>
      </c>
      <c r="E669" t="s">
        <v>27</v>
      </c>
      <c r="F669" t="s">
        <v>53</v>
      </c>
      <c r="G669">
        <v>1514.05</v>
      </c>
      <c r="H669" t="s">
        <v>24</v>
      </c>
      <c r="I669" t="s">
        <v>15</v>
      </c>
      <c r="J669">
        <v>3.7</v>
      </c>
      <c r="K669">
        <v>20</v>
      </c>
      <c r="L669">
        <f t="shared" si="31"/>
        <v>1211.24</v>
      </c>
      <c r="M669">
        <v>5</v>
      </c>
      <c r="N669" t="str">
        <f t="shared" si="32"/>
        <v>Regular</v>
      </c>
    </row>
    <row r="670" spans="1:14" x14ac:dyDescent="0.35">
      <c r="A670">
        <v>669</v>
      </c>
      <c r="B670">
        <v>62</v>
      </c>
      <c r="C670" t="str">
        <f t="shared" si="30"/>
        <v>Senior</v>
      </c>
      <c r="D670" t="s">
        <v>16</v>
      </c>
      <c r="E670" t="s">
        <v>17</v>
      </c>
      <c r="F670" t="s">
        <v>35</v>
      </c>
      <c r="G670">
        <v>182.98</v>
      </c>
      <c r="H670" t="s">
        <v>14</v>
      </c>
      <c r="I670" t="s">
        <v>15</v>
      </c>
      <c r="J670">
        <v>3.1</v>
      </c>
      <c r="K670">
        <v>13</v>
      </c>
      <c r="L670">
        <f t="shared" si="31"/>
        <v>159.1926</v>
      </c>
      <c r="M670">
        <v>4</v>
      </c>
      <c r="N670" t="str">
        <f t="shared" si="32"/>
        <v>Regular</v>
      </c>
    </row>
    <row r="671" spans="1:14" x14ac:dyDescent="0.35">
      <c r="A671">
        <v>670</v>
      </c>
      <c r="B671">
        <v>24</v>
      </c>
      <c r="C671" t="str">
        <f t="shared" si="30"/>
        <v>Youth</v>
      </c>
      <c r="D671" t="s">
        <v>16</v>
      </c>
      <c r="E671" t="s">
        <v>22</v>
      </c>
      <c r="F671" t="s">
        <v>23</v>
      </c>
      <c r="G671">
        <v>237.47</v>
      </c>
      <c r="H671" t="s">
        <v>24</v>
      </c>
      <c r="I671" t="s">
        <v>15</v>
      </c>
      <c r="J671">
        <v>3.2</v>
      </c>
      <c r="K671">
        <v>28</v>
      </c>
      <c r="L671">
        <f t="shared" si="31"/>
        <v>170.97839999999999</v>
      </c>
      <c r="M671">
        <v>9</v>
      </c>
      <c r="N671" t="str">
        <f t="shared" si="32"/>
        <v>Loyal</v>
      </c>
    </row>
    <row r="672" spans="1:14" x14ac:dyDescent="0.35">
      <c r="A672">
        <v>671</v>
      </c>
      <c r="B672">
        <v>64</v>
      </c>
      <c r="C672" t="str">
        <f t="shared" si="30"/>
        <v>Senior</v>
      </c>
      <c r="D672" t="s">
        <v>16</v>
      </c>
      <c r="E672" t="s">
        <v>27</v>
      </c>
      <c r="F672" t="s">
        <v>49</v>
      </c>
      <c r="G672">
        <v>1417.01</v>
      </c>
      <c r="H672" t="s">
        <v>19</v>
      </c>
      <c r="I672" t="s">
        <v>15</v>
      </c>
      <c r="J672">
        <v>4</v>
      </c>
      <c r="K672">
        <v>2</v>
      </c>
      <c r="L672">
        <f t="shared" si="31"/>
        <v>1388.6697999999999</v>
      </c>
      <c r="M672">
        <v>1</v>
      </c>
      <c r="N672" t="str">
        <f t="shared" si="32"/>
        <v>New</v>
      </c>
    </row>
    <row r="673" spans="1:14" x14ac:dyDescent="0.35">
      <c r="A673">
        <v>672</v>
      </c>
      <c r="B673">
        <v>27</v>
      </c>
      <c r="C673" t="str">
        <f t="shared" si="30"/>
        <v>Youth</v>
      </c>
      <c r="D673" t="s">
        <v>11</v>
      </c>
      <c r="E673" t="s">
        <v>41</v>
      </c>
      <c r="F673" t="s">
        <v>44</v>
      </c>
      <c r="G673">
        <v>43.52</v>
      </c>
      <c r="H673" t="s">
        <v>31</v>
      </c>
      <c r="I673" t="s">
        <v>37</v>
      </c>
      <c r="J673">
        <v>4.0999999999999996</v>
      </c>
      <c r="K673">
        <v>13</v>
      </c>
      <c r="L673">
        <f t="shared" si="31"/>
        <v>37.862400000000001</v>
      </c>
      <c r="M673">
        <v>4</v>
      </c>
      <c r="N673" t="str">
        <f t="shared" si="32"/>
        <v>Regular</v>
      </c>
    </row>
    <row r="674" spans="1:14" x14ac:dyDescent="0.35">
      <c r="A674">
        <v>673</v>
      </c>
      <c r="B674">
        <v>33</v>
      </c>
      <c r="C674" t="str">
        <f t="shared" si="30"/>
        <v>Adult</v>
      </c>
      <c r="D674" t="s">
        <v>11</v>
      </c>
      <c r="E674" t="s">
        <v>41</v>
      </c>
      <c r="F674" t="s">
        <v>44</v>
      </c>
      <c r="G674">
        <v>116.95</v>
      </c>
      <c r="H674" t="s">
        <v>31</v>
      </c>
      <c r="I674" t="s">
        <v>15</v>
      </c>
      <c r="J674">
        <v>4.5999999999999996</v>
      </c>
      <c r="K674">
        <v>21</v>
      </c>
      <c r="L674">
        <f t="shared" si="31"/>
        <v>92.390500000000003</v>
      </c>
      <c r="M674">
        <v>8</v>
      </c>
      <c r="N674" t="str">
        <f t="shared" si="32"/>
        <v>Loyal</v>
      </c>
    </row>
    <row r="675" spans="1:14" x14ac:dyDescent="0.35">
      <c r="A675">
        <v>674</v>
      </c>
      <c r="B675">
        <v>61</v>
      </c>
      <c r="C675" t="str">
        <f t="shared" si="30"/>
        <v>Senior</v>
      </c>
      <c r="D675" t="s">
        <v>11</v>
      </c>
      <c r="E675" t="s">
        <v>41</v>
      </c>
      <c r="F675" t="s">
        <v>42</v>
      </c>
      <c r="G675">
        <v>196.34</v>
      </c>
      <c r="H675" t="s">
        <v>24</v>
      </c>
      <c r="I675" t="s">
        <v>15</v>
      </c>
      <c r="J675">
        <v>3</v>
      </c>
      <c r="K675">
        <v>16</v>
      </c>
      <c r="L675">
        <f t="shared" si="31"/>
        <v>164.9256</v>
      </c>
      <c r="M675">
        <v>8</v>
      </c>
      <c r="N675" t="str">
        <f t="shared" si="32"/>
        <v>Loyal</v>
      </c>
    </row>
    <row r="676" spans="1:14" x14ac:dyDescent="0.35">
      <c r="A676">
        <v>675</v>
      </c>
      <c r="B676">
        <v>68</v>
      </c>
      <c r="C676" t="str">
        <f t="shared" si="30"/>
        <v>Senior</v>
      </c>
      <c r="D676" t="s">
        <v>11</v>
      </c>
      <c r="E676" t="s">
        <v>33</v>
      </c>
      <c r="F676" t="s">
        <v>38</v>
      </c>
      <c r="G676">
        <v>163.6</v>
      </c>
      <c r="H676" t="s">
        <v>19</v>
      </c>
      <c r="I676" t="s">
        <v>15</v>
      </c>
      <c r="J676">
        <v>4.3</v>
      </c>
      <c r="K676">
        <v>22</v>
      </c>
      <c r="L676">
        <f t="shared" si="31"/>
        <v>127.608</v>
      </c>
      <c r="M676">
        <v>6</v>
      </c>
      <c r="N676" t="str">
        <f t="shared" si="32"/>
        <v>Regular</v>
      </c>
    </row>
    <row r="677" spans="1:14" x14ac:dyDescent="0.35">
      <c r="A677">
        <v>676</v>
      </c>
      <c r="B677">
        <v>54</v>
      </c>
      <c r="C677" t="str">
        <f t="shared" si="30"/>
        <v>Adult</v>
      </c>
      <c r="D677" t="s">
        <v>16</v>
      </c>
      <c r="E677" t="s">
        <v>33</v>
      </c>
      <c r="F677" t="s">
        <v>40</v>
      </c>
      <c r="G677">
        <v>144.58000000000001</v>
      </c>
      <c r="H677" t="s">
        <v>19</v>
      </c>
      <c r="I677" t="s">
        <v>15</v>
      </c>
      <c r="J677">
        <v>3.9</v>
      </c>
      <c r="K677">
        <v>24</v>
      </c>
      <c r="L677">
        <f t="shared" si="31"/>
        <v>109.88080000000001</v>
      </c>
      <c r="M677">
        <v>7</v>
      </c>
      <c r="N677" t="str">
        <f t="shared" si="32"/>
        <v>Regular</v>
      </c>
    </row>
    <row r="678" spans="1:14" x14ac:dyDescent="0.35">
      <c r="A678">
        <v>677</v>
      </c>
      <c r="B678">
        <v>22</v>
      </c>
      <c r="C678" t="str">
        <f t="shared" si="30"/>
        <v>Youth</v>
      </c>
      <c r="D678" t="s">
        <v>16</v>
      </c>
      <c r="E678" t="s">
        <v>20</v>
      </c>
      <c r="F678" t="s">
        <v>36</v>
      </c>
      <c r="G678">
        <v>158.63999999999999</v>
      </c>
      <c r="H678" t="s">
        <v>19</v>
      </c>
      <c r="I678" t="s">
        <v>15</v>
      </c>
      <c r="J678">
        <v>3.9</v>
      </c>
      <c r="K678">
        <v>21</v>
      </c>
      <c r="L678">
        <f t="shared" si="31"/>
        <v>125.32559999999999</v>
      </c>
      <c r="M678">
        <v>8</v>
      </c>
      <c r="N678" t="str">
        <f t="shared" si="32"/>
        <v>Loyal</v>
      </c>
    </row>
    <row r="679" spans="1:14" x14ac:dyDescent="0.35">
      <c r="A679">
        <v>678</v>
      </c>
      <c r="B679">
        <v>52</v>
      </c>
      <c r="C679" t="str">
        <f t="shared" si="30"/>
        <v>Adult</v>
      </c>
      <c r="D679" t="s">
        <v>11</v>
      </c>
      <c r="E679" t="s">
        <v>25</v>
      </c>
      <c r="F679" t="s">
        <v>57</v>
      </c>
      <c r="G679">
        <v>5.89</v>
      </c>
      <c r="H679" t="s">
        <v>31</v>
      </c>
      <c r="I679" t="s">
        <v>15</v>
      </c>
      <c r="J679">
        <v>3.6</v>
      </c>
      <c r="K679">
        <v>7</v>
      </c>
      <c r="L679">
        <f t="shared" si="31"/>
        <v>5.4776999999999996</v>
      </c>
      <c r="M679">
        <v>1</v>
      </c>
      <c r="N679" t="str">
        <f t="shared" si="32"/>
        <v>New</v>
      </c>
    </row>
    <row r="680" spans="1:14" x14ac:dyDescent="0.35">
      <c r="A680">
        <v>679</v>
      </c>
      <c r="B680">
        <v>63</v>
      </c>
      <c r="C680" t="str">
        <f t="shared" si="30"/>
        <v>Senior</v>
      </c>
      <c r="D680" t="s">
        <v>11</v>
      </c>
      <c r="E680" t="s">
        <v>12</v>
      </c>
      <c r="F680" t="s">
        <v>13</v>
      </c>
      <c r="G680">
        <v>168.46</v>
      </c>
      <c r="H680" t="s">
        <v>24</v>
      </c>
      <c r="I680" t="s">
        <v>15</v>
      </c>
      <c r="J680">
        <v>3.1</v>
      </c>
      <c r="K680">
        <v>20</v>
      </c>
      <c r="L680">
        <f t="shared" si="31"/>
        <v>134.768</v>
      </c>
      <c r="M680">
        <v>5</v>
      </c>
      <c r="N680" t="str">
        <f t="shared" si="32"/>
        <v>Regular</v>
      </c>
    </row>
    <row r="681" spans="1:14" x14ac:dyDescent="0.35">
      <c r="A681">
        <v>680</v>
      </c>
      <c r="B681">
        <v>53</v>
      </c>
      <c r="C681" t="str">
        <f t="shared" si="30"/>
        <v>Adult</v>
      </c>
      <c r="D681" t="s">
        <v>11</v>
      </c>
      <c r="E681" t="s">
        <v>41</v>
      </c>
      <c r="F681" t="s">
        <v>42</v>
      </c>
      <c r="G681">
        <v>102.52</v>
      </c>
      <c r="H681" t="s">
        <v>19</v>
      </c>
      <c r="I681" t="s">
        <v>15</v>
      </c>
      <c r="J681">
        <v>4.3</v>
      </c>
      <c r="K681">
        <v>16</v>
      </c>
      <c r="L681">
        <f t="shared" si="31"/>
        <v>86.116799999999998</v>
      </c>
      <c r="M681">
        <v>8</v>
      </c>
      <c r="N681" t="str">
        <f t="shared" si="32"/>
        <v>Loyal</v>
      </c>
    </row>
    <row r="682" spans="1:14" x14ac:dyDescent="0.35">
      <c r="A682">
        <v>681</v>
      </c>
      <c r="B682">
        <v>31</v>
      </c>
      <c r="C682" t="str">
        <f t="shared" si="30"/>
        <v>Adult</v>
      </c>
      <c r="D682" t="s">
        <v>11</v>
      </c>
      <c r="E682" t="s">
        <v>29</v>
      </c>
      <c r="F682" t="s">
        <v>55</v>
      </c>
      <c r="G682">
        <v>47.92</v>
      </c>
      <c r="H682" t="s">
        <v>31</v>
      </c>
      <c r="I682" t="s">
        <v>15</v>
      </c>
      <c r="J682">
        <v>3.6</v>
      </c>
      <c r="K682">
        <v>8</v>
      </c>
      <c r="L682">
        <f t="shared" si="31"/>
        <v>44.086400000000005</v>
      </c>
      <c r="M682">
        <v>4</v>
      </c>
      <c r="N682" t="str">
        <f t="shared" si="32"/>
        <v>Regular</v>
      </c>
    </row>
    <row r="683" spans="1:14" x14ac:dyDescent="0.35">
      <c r="A683">
        <v>682</v>
      </c>
      <c r="B683">
        <v>27</v>
      </c>
      <c r="C683" t="str">
        <f t="shared" si="30"/>
        <v>Youth</v>
      </c>
      <c r="D683" t="s">
        <v>16</v>
      </c>
      <c r="E683" t="s">
        <v>20</v>
      </c>
      <c r="F683" t="s">
        <v>39</v>
      </c>
      <c r="G683">
        <v>119.22</v>
      </c>
      <c r="H683" t="s">
        <v>24</v>
      </c>
      <c r="I683" t="s">
        <v>15</v>
      </c>
      <c r="J683">
        <v>4</v>
      </c>
      <c r="K683">
        <v>16</v>
      </c>
      <c r="L683">
        <f t="shared" si="31"/>
        <v>100.14479999999999</v>
      </c>
      <c r="M683">
        <v>3</v>
      </c>
      <c r="N683" t="str">
        <f t="shared" si="32"/>
        <v>New</v>
      </c>
    </row>
    <row r="684" spans="1:14" x14ac:dyDescent="0.35">
      <c r="A684">
        <v>683</v>
      </c>
      <c r="B684">
        <v>22</v>
      </c>
      <c r="C684" t="str">
        <f t="shared" si="30"/>
        <v>Youth</v>
      </c>
      <c r="D684" t="s">
        <v>16</v>
      </c>
      <c r="E684" t="s">
        <v>22</v>
      </c>
      <c r="F684" t="s">
        <v>43</v>
      </c>
      <c r="G684">
        <v>83.17</v>
      </c>
      <c r="H684" t="s">
        <v>31</v>
      </c>
      <c r="I684" t="s">
        <v>37</v>
      </c>
      <c r="J684">
        <v>4.5999999999999996</v>
      </c>
      <c r="K684">
        <v>22</v>
      </c>
      <c r="L684">
        <f t="shared" si="31"/>
        <v>64.872600000000006</v>
      </c>
      <c r="M684">
        <v>6</v>
      </c>
      <c r="N684" t="str">
        <f t="shared" si="32"/>
        <v>Regular</v>
      </c>
    </row>
    <row r="685" spans="1:14" x14ac:dyDescent="0.35">
      <c r="A685">
        <v>684</v>
      </c>
      <c r="B685">
        <v>41</v>
      </c>
      <c r="C685" t="str">
        <f t="shared" si="30"/>
        <v>Adult</v>
      </c>
      <c r="D685" t="s">
        <v>16</v>
      </c>
      <c r="E685" t="s">
        <v>27</v>
      </c>
      <c r="F685" t="s">
        <v>49</v>
      </c>
      <c r="G685">
        <v>1496.4</v>
      </c>
      <c r="H685" t="s">
        <v>19</v>
      </c>
      <c r="I685" t="s">
        <v>15</v>
      </c>
      <c r="J685">
        <v>3.9</v>
      </c>
      <c r="K685">
        <v>16</v>
      </c>
      <c r="L685">
        <f t="shared" si="31"/>
        <v>1256.9760000000001</v>
      </c>
      <c r="M685">
        <v>3</v>
      </c>
      <c r="N685" t="str">
        <f t="shared" si="32"/>
        <v>New</v>
      </c>
    </row>
    <row r="686" spans="1:14" x14ac:dyDescent="0.35">
      <c r="A686">
        <v>685</v>
      </c>
      <c r="B686">
        <v>35</v>
      </c>
      <c r="C686" t="str">
        <f t="shared" si="30"/>
        <v>Adult</v>
      </c>
      <c r="D686" t="s">
        <v>11</v>
      </c>
      <c r="E686" t="s">
        <v>22</v>
      </c>
      <c r="F686" t="s">
        <v>23</v>
      </c>
      <c r="G686">
        <v>121.52</v>
      </c>
      <c r="H686" t="s">
        <v>31</v>
      </c>
      <c r="I686" t="s">
        <v>15</v>
      </c>
      <c r="J686">
        <v>3.6</v>
      </c>
      <c r="K686">
        <v>10</v>
      </c>
      <c r="L686">
        <f t="shared" si="31"/>
        <v>109.36799999999999</v>
      </c>
      <c r="M686">
        <v>5</v>
      </c>
      <c r="N686" t="str">
        <f t="shared" si="32"/>
        <v>Regular</v>
      </c>
    </row>
    <row r="687" spans="1:14" x14ac:dyDescent="0.35">
      <c r="A687">
        <v>686</v>
      </c>
      <c r="B687">
        <v>51</v>
      </c>
      <c r="C687" t="str">
        <f t="shared" si="30"/>
        <v>Adult</v>
      </c>
      <c r="D687" t="s">
        <v>11</v>
      </c>
      <c r="E687" t="s">
        <v>29</v>
      </c>
      <c r="F687" t="s">
        <v>51</v>
      </c>
      <c r="G687">
        <v>101.58</v>
      </c>
      <c r="H687" t="s">
        <v>19</v>
      </c>
      <c r="I687" t="s">
        <v>15</v>
      </c>
      <c r="J687">
        <v>3.7</v>
      </c>
      <c r="K687">
        <v>14</v>
      </c>
      <c r="L687">
        <f t="shared" si="31"/>
        <v>87.358800000000002</v>
      </c>
      <c r="M687">
        <v>2</v>
      </c>
      <c r="N687" t="str">
        <f t="shared" si="32"/>
        <v>New</v>
      </c>
    </row>
    <row r="688" spans="1:14" x14ac:dyDescent="0.35">
      <c r="A688">
        <v>687</v>
      </c>
      <c r="B688">
        <v>20</v>
      </c>
      <c r="C688" t="str">
        <f t="shared" si="30"/>
        <v>Youth</v>
      </c>
      <c r="D688" t="s">
        <v>11</v>
      </c>
      <c r="E688" t="s">
        <v>12</v>
      </c>
      <c r="F688" t="s">
        <v>56</v>
      </c>
      <c r="G688">
        <v>96.93</v>
      </c>
      <c r="H688" t="s">
        <v>19</v>
      </c>
      <c r="I688" t="s">
        <v>37</v>
      </c>
      <c r="J688">
        <v>3.2</v>
      </c>
      <c r="K688">
        <v>12</v>
      </c>
      <c r="L688">
        <f t="shared" si="31"/>
        <v>85.298400000000001</v>
      </c>
      <c r="M688">
        <v>6</v>
      </c>
      <c r="N688" t="str">
        <f t="shared" si="32"/>
        <v>Regular</v>
      </c>
    </row>
    <row r="689" spans="1:14" x14ac:dyDescent="0.35">
      <c r="A689">
        <v>688</v>
      </c>
      <c r="B689">
        <v>63</v>
      </c>
      <c r="C689" t="str">
        <f t="shared" si="30"/>
        <v>Senior</v>
      </c>
      <c r="D689" t="s">
        <v>16</v>
      </c>
      <c r="E689" t="s">
        <v>20</v>
      </c>
      <c r="F689" t="s">
        <v>21</v>
      </c>
      <c r="G689">
        <v>195.87</v>
      </c>
      <c r="H689" t="s">
        <v>19</v>
      </c>
      <c r="I689" t="s">
        <v>15</v>
      </c>
      <c r="J689">
        <v>4</v>
      </c>
      <c r="K689">
        <v>18</v>
      </c>
      <c r="L689">
        <f t="shared" si="31"/>
        <v>160.61340000000001</v>
      </c>
      <c r="M689">
        <v>4</v>
      </c>
      <c r="N689" t="str">
        <f t="shared" si="32"/>
        <v>Regular</v>
      </c>
    </row>
    <row r="690" spans="1:14" x14ac:dyDescent="0.35">
      <c r="A690">
        <v>689</v>
      </c>
      <c r="B690">
        <v>57</v>
      </c>
      <c r="C690" t="str">
        <f t="shared" si="30"/>
        <v>Adult</v>
      </c>
      <c r="D690" t="s">
        <v>11</v>
      </c>
      <c r="E690" t="s">
        <v>33</v>
      </c>
      <c r="F690" t="s">
        <v>40</v>
      </c>
      <c r="G690">
        <v>152.19</v>
      </c>
      <c r="H690" t="s">
        <v>19</v>
      </c>
      <c r="I690" t="s">
        <v>15</v>
      </c>
      <c r="J690">
        <v>5</v>
      </c>
      <c r="K690">
        <v>13</v>
      </c>
      <c r="L690">
        <f t="shared" si="31"/>
        <v>132.40530000000001</v>
      </c>
      <c r="M690">
        <v>4</v>
      </c>
      <c r="N690" t="str">
        <f t="shared" si="32"/>
        <v>Regular</v>
      </c>
    </row>
    <row r="691" spans="1:14" x14ac:dyDescent="0.35">
      <c r="A691">
        <v>690</v>
      </c>
      <c r="B691">
        <v>68</v>
      </c>
      <c r="C691" t="str">
        <f t="shared" si="30"/>
        <v>Senior</v>
      </c>
      <c r="D691" t="s">
        <v>16</v>
      </c>
      <c r="E691" t="s">
        <v>17</v>
      </c>
      <c r="F691" t="s">
        <v>35</v>
      </c>
      <c r="G691">
        <v>71.13</v>
      </c>
      <c r="H691" t="s">
        <v>24</v>
      </c>
      <c r="I691" t="s">
        <v>37</v>
      </c>
      <c r="J691">
        <v>3.8</v>
      </c>
      <c r="K691">
        <v>10</v>
      </c>
      <c r="L691">
        <f t="shared" si="31"/>
        <v>64.016999999999996</v>
      </c>
      <c r="M691">
        <v>5</v>
      </c>
      <c r="N691" t="str">
        <f t="shared" si="32"/>
        <v>Regular</v>
      </c>
    </row>
    <row r="692" spans="1:14" x14ac:dyDescent="0.35">
      <c r="A692">
        <v>691</v>
      </c>
      <c r="B692">
        <v>68</v>
      </c>
      <c r="C692" t="str">
        <f t="shared" si="30"/>
        <v>Senior</v>
      </c>
      <c r="D692" t="s">
        <v>11</v>
      </c>
      <c r="E692" t="s">
        <v>29</v>
      </c>
      <c r="F692" t="s">
        <v>55</v>
      </c>
      <c r="G692">
        <v>139.63999999999999</v>
      </c>
      <c r="H692" t="s">
        <v>19</v>
      </c>
      <c r="I692" t="s">
        <v>15</v>
      </c>
      <c r="J692">
        <v>4.0999999999999996</v>
      </c>
      <c r="K692">
        <v>20</v>
      </c>
      <c r="L692">
        <f t="shared" si="31"/>
        <v>111.71199999999999</v>
      </c>
      <c r="M692">
        <v>5</v>
      </c>
      <c r="N692" t="str">
        <f t="shared" si="32"/>
        <v>Regular</v>
      </c>
    </row>
    <row r="693" spans="1:14" x14ac:dyDescent="0.35">
      <c r="A693">
        <v>692</v>
      </c>
      <c r="B693">
        <v>65</v>
      </c>
      <c r="C693" t="str">
        <f t="shared" si="30"/>
        <v>Senior</v>
      </c>
      <c r="D693" t="s">
        <v>16</v>
      </c>
      <c r="E693" t="s">
        <v>33</v>
      </c>
      <c r="F693" t="s">
        <v>38</v>
      </c>
      <c r="G693">
        <v>134.93</v>
      </c>
      <c r="H693" t="s">
        <v>31</v>
      </c>
      <c r="I693" t="s">
        <v>15</v>
      </c>
      <c r="J693">
        <v>4</v>
      </c>
      <c r="K693">
        <v>15</v>
      </c>
      <c r="L693">
        <f t="shared" si="31"/>
        <v>114.6905</v>
      </c>
      <c r="M693">
        <v>5</v>
      </c>
      <c r="N693" t="str">
        <f t="shared" si="32"/>
        <v>Regular</v>
      </c>
    </row>
    <row r="694" spans="1:14" x14ac:dyDescent="0.35">
      <c r="A694">
        <v>693</v>
      </c>
      <c r="B694">
        <v>30</v>
      </c>
      <c r="C694" t="str">
        <f t="shared" si="30"/>
        <v>Youth</v>
      </c>
      <c r="D694" t="s">
        <v>16</v>
      </c>
      <c r="E694" t="s">
        <v>33</v>
      </c>
      <c r="F694" t="s">
        <v>38</v>
      </c>
      <c r="G694">
        <v>75.61</v>
      </c>
      <c r="H694" t="s">
        <v>14</v>
      </c>
      <c r="I694" t="s">
        <v>37</v>
      </c>
      <c r="J694">
        <v>3.1</v>
      </c>
      <c r="K694">
        <v>17</v>
      </c>
      <c r="L694">
        <f t="shared" si="31"/>
        <v>62.756299999999996</v>
      </c>
      <c r="M694">
        <v>6</v>
      </c>
      <c r="N694" t="str">
        <f t="shared" si="32"/>
        <v>Regular</v>
      </c>
    </row>
    <row r="695" spans="1:14" x14ac:dyDescent="0.35">
      <c r="A695">
        <v>694</v>
      </c>
      <c r="B695">
        <v>23</v>
      </c>
      <c r="C695" t="str">
        <f t="shared" si="30"/>
        <v>Youth</v>
      </c>
      <c r="D695" t="s">
        <v>11</v>
      </c>
      <c r="E695" t="s">
        <v>12</v>
      </c>
      <c r="F695" t="s">
        <v>50</v>
      </c>
      <c r="G695">
        <v>115.77</v>
      </c>
      <c r="H695" t="s">
        <v>24</v>
      </c>
      <c r="I695" t="s">
        <v>15</v>
      </c>
      <c r="J695">
        <v>4.5</v>
      </c>
      <c r="K695">
        <v>13</v>
      </c>
      <c r="L695">
        <f t="shared" si="31"/>
        <v>100.7199</v>
      </c>
      <c r="M695">
        <v>4</v>
      </c>
      <c r="N695" t="str">
        <f t="shared" si="32"/>
        <v>Regular</v>
      </c>
    </row>
    <row r="696" spans="1:14" x14ac:dyDescent="0.35">
      <c r="A696">
        <v>695</v>
      </c>
      <c r="B696">
        <v>23</v>
      </c>
      <c r="C696" t="str">
        <f t="shared" si="30"/>
        <v>Youth</v>
      </c>
      <c r="D696" t="s">
        <v>11</v>
      </c>
      <c r="E696" t="s">
        <v>33</v>
      </c>
      <c r="F696" t="s">
        <v>38</v>
      </c>
      <c r="G696">
        <v>223.09</v>
      </c>
      <c r="H696" t="s">
        <v>19</v>
      </c>
      <c r="I696" t="s">
        <v>15</v>
      </c>
      <c r="J696">
        <v>4.0999999999999996</v>
      </c>
      <c r="K696">
        <v>16</v>
      </c>
      <c r="L696">
        <f t="shared" si="31"/>
        <v>187.3956</v>
      </c>
      <c r="M696">
        <v>3</v>
      </c>
      <c r="N696" t="str">
        <f t="shared" si="32"/>
        <v>New</v>
      </c>
    </row>
    <row r="697" spans="1:14" x14ac:dyDescent="0.35">
      <c r="A697">
        <v>696</v>
      </c>
      <c r="B697">
        <v>59</v>
      </c>
      <c r="C697" t="str">
        <f t="shared" si="30"/>
        <v>Adult</v>
      </c>
      <c r="D697" t="s">
        <v>11</v>
      </c>
      <c r="E697" t="s">
        <v>29</v>
      </c>
      <c r="F697" t="s">
        <v>55</v>
      </c>
      <c r="G697">
        <v>127.79</v>
      </c>
      <c r="H697" t="s">
        <v>24</v>
      </c>
      <c r="I697" t="s">
        <v>15</v>
      </c>
      <c r="J697">
        <v>3.8</v>
      </c>
      <c r="K697">
        <v>6</v>
      </c>
      <c r="L697">
        <f t="shared" si="31"/>
        <v>120.12260000000001</v>
      </c>
      <c r="M697">
        <v>3</v>
      </c>
      <c r="N697" t="str">
        <f t="shared" si="32"/>
        <v>New</v>
      </c>
    </row>
    <row r="698" spans="1:14" x14ac:dyDescent="0.35">
      <c r="A698">
        <v>697</v>
      </c>
      <c r="B698">
        <v>35</v>
      </c>
      <c r="C698" t="str">
        <f t="shared" si="30"/>
        <v>Adult</v>
      </c>
      <c r="D698" t="s">
        <v>16</v>
      </c>
      <c r="E698" t="s">
        <v>25</v>
      </c>
      <c r="F698" t="s">
        <v>54</v>
      </c>
      <c r="G698">
        <v>49.52</v>
      </c>
      <c r="H698" t="s">
        <v>19</v>
      </c>
      <c r="I698" t="s">
        <v>37</v>
      </c>
      <c r="J698">
        <v>3.6</v>
      </c>
      <c r="K698">
        <v>13</v>
      </c>
      <c r="L698">
        <f t="shared" si="31"/>
        <v>43.0824</v>
      </c>
      <c r="M698">
        <v>4</v>
      </c>
      <c r="N698" t="str">
        <f t="shared" si="32"/>
        <v>Regular</v>
      </c>
    </row>
    <row r="699" spans="1:14" x14ac:dyDescent="0.35">
      <c r="A699">
        <v>698</v>
      </c>
      <c r="B699">
        <v>59</v>
      </c>
      <c r="C699" t="str">
        <f t="shared" si="30"/>
        <v>Adult</v>
      </c>
      <c r="D699" t="s">
        <v>11</v>
      </c>
      <c r="E699" t="s">
        <v>33</v>
      </c>
      <c r="F699" t="s">
        <v>40</v>
      </c>
      <c r="G699">
        <v>105.81</v>
      </c>
      <c r="H699" t="s">
        <v>24</v>
      </c>
      <c r="I699" t="s">
        <v>15</v>
      </c>
      <c r="J699">
        <v>3.8</v>
      </c>
      <c r="K699">
        <v>23</v>
      </c>
      <c r="L699">
        <f t="shared" si="31"/>
        <v>81.473700000000008</v>
      </c>
      <c r="M699">
        <v>9</v>
      </c>
      <c r="N699" t="str">
        <f t="shared" si="32"/>
        <v>Loyal</v>
      </c>
    </row>
    <row r="700" spans="1:14" x14ac:dyDescent="0.35">
      <c r="A700">
        <v>699</v>
      </c>
      <c r="B700">
        <v>42</v>
      </c>
      <c r="C700" t="str">
        <f t="shared" si="30"/>
        <v>Adult</v>
      </c>
      <c r="D700" t="s">
        <v>11</v>
      </c>
      <c r="E700" t="s">
        <v>41</v>
      </c>
      <c r="F700" t="s">
        <v>46</v>
      </c>
      <c r="G700">
        <v>178.77</v>
      </c>
      <c r="H700" t="s">
        <v>31</v>
      </c>
      <c r="I700" t="s">
        <v>15</v>
      </c>
      <c r="J700">
        <v>3.4</v>
      </c>
      <c r="K700">
        <v>9</v>
      </c>
      <c r="L700">
        <f t="shared" si="31"/>
        <v>162.6807</v>
      </c>
      <c r="M700">
        <v>2</v>
      </c>
      <c r="N700" t="str">
        <f t="shared" si="32"/>
        <v>New</v>
      </c>
    </row>
    <row r="701" spans="1:14" x14ac:dyDescent="0.35">
      <c r="A701">
        <v>700</v>
      </c>
      <c r="B701">
        <v>28</v>
      </c>
      <c r="C701" t="str">
        <f t="shared" si="30"/>
        <v>Youth</v>
      </c>
      <c r="D701" t="s">
        <v>16</v>
      </c>
      <c r="E701" t="s">
        <v>25</v>
      </c>
      <c r="F701" t="s">
        <v>47</v>
      </c>
      <c r="G701">
        <v>54.61</v>
      </c>
      <c r="H701" t="s">
        <v>24</v>
      </c>
      <c r="I701" t="s">
        <v>15</v>
      </c>
      <c r="J701">
        <v>4.0999999999999996</v>
      </c>
      <c r="K701">
        <v>8</v>
      </c>
      <c r="L701">
        <f t="shared" si="31"/>
        <v>50.241199999999999</v>
      </c>
      <c r="M701">
        <v>4</v>
      </c>
      <c r="N701" t="str">
        <f t="shared" si="32"/>
        <v>Regular</v>
      </c>
    </row>
    <row r="702" spans="1:14" x14ac:dyDescent="0.35">
      <c r="A702">
        <v>701</v>
      </c>
      <c r="B702">
        <v>49</v>
      </c>
      <c r="C702" t="str">
        <f t="shared" si="30"/>
        <v>Adult</v>
      </c>
      <c r="D702" t="s">
        <v>16</v>
      </c>
      <c r="E702" t="s">
        <v>27</v>
      </c>
      <c r="F702" t="s">
        <v>32</v>
      </c>
      <c r="G702">
        <v>1321.86</v>
      </c>
      <c r="H702" t="s">
        <v>19</v>
      </c>
      <c r="I702" t="s">
        <v>15</v>
      </c>
      <c r="J702">
        <v>4.4000000000000004</v>
      </c>
      <c r="K702">
        <v>24</v>
      </c>
      <c r="L702">
        <f t="shared" si="31"/>
        <v>1004.6135999999999</v>
      </c>
      <c r="M702">
        <v>7</v>
      </c>
      <c r="N702" t="str">
        <f t="shared" si="32"/>
        <v>Regular</v>
      </c>
    </row>
    <row r="703" spans="1:14" x14ac:dyDescent="0.35">
      <c r="A703">
        <v>702</v>
      </c>
      <c r="B703">
        <v>36</v>
      </c>
      <c r="C703" t="str">
        <f t="shared" si="30"/>
        <v>Adult</v>
      </c>
      <c r="D703" t="s">
        <v>16</v>
      </c>
      <c r="E703" t="s">
        <v>33</v>
      </c>
      <c r="F703" t="s">
        <v>40</v>
      </c>
      <c r="G703">
        <v>157.33000000000001</v>
      </c>
      <c r="H703" t="s">
        <v>31</v>
      </c>
      <c r="I703" t="s">
        <v>15</v>
      </c>
      <c r="J703">
        <v>3.7</v>
      </c>
      <c r="K703">
        <v>17</v>
      </c>
      <c r="L703">
        <f t="shared" si="31"/>
        <v>130.5839</v>
      </c>
      <c r="M703">
        <v>6</v>
      </c>
      <c r="N703" t="str">
        <f t="shared" si="32"/>
        <v>Regular</v>
      </c>
    </row>
    <row r="704" spans="1:14" x14ac:dyDescent="0.35">
      <c r="A704">
        <v>703</v>
      </c>
      <c r="B704">
        <v>31</v>
      </c>
      <c r="C704" t="str">
        <f t="shared" si="30"/>
        <v>Adult</v>
      </c>
      <c r="D704" t="s">
        <v>16</v>
      </c>
      <c r="E704" t="s">
        <v>33</v>
      </c>
      <c r="F704" t="s">
        <v>34</v>
      </c>
      <c r="G704">
        <v>157.43</v>
      </c>
      <c r="H704" t="s">
        <v>24</v>
      </c>
      <c r="I704" t="s">
        <v>15</v>
      </c>
      <c r="J704">
        <v>3</v>
      </c>
      <c r="K704">
        <v>6</v>
      </c>
      <c r="L704">
        <f t="shared" si="31"/>
        <v>147.98419999999999</v>
      </c>
      <c r="M704">
        <v>3</v>
      </c>
      <c r="N704" t="str">
        <f t="shared" si="32"/>
        <v>New</v>
      </c>
    </row>
    <row r="705" spans="1:14" x14ac:dyDescent="0.35">
      <c r="A705">
        <v>704</v>
      </c>
      <c r="B705">
        <v>38</v>
      </c>
      <c r="C705" t="str">
        <f t="shared" si="30"/>
        <v>Adult</v>
      </c>
      <c r="D705" t="s">
        <v>16</v>
      </c>
      <c r="E705" t="s">
        <v>17</v>
      </c>
      <c r="F705" t="s">
        <v>48</v>
      </c>
      <c r="G705">
        <v>160.97999999999999</v>
      </c>
      <c r="H705" t="s">
        <v>19</v>
      </c>
      <c r="I705" t="s">
        <v>15</v>
      </c>
      <c r="J705">
        <v>2.9</v>
      </c>
      <c r="K705">
        <v>20</v>
      </c>
      <c r="L705">
        <f t="shared" si="31"/>
        <v>128.78399999999999</v>
      </c>
      <c r="M705">
        <v>5</v>
      </c>
      <c r="N705" t="str">
        <f t="shared" si="32"/>
        <v>Regular</v>
      </c>
    </row>
    <row r="706" spans="1:14" x14ac:dyDescent="0.35">
      <c r="A706">
        <v>705</v>
      </c>
      <c r="B706">
        <v>46</v>
      </c>
      <c r="C706" t="str">
        <f t="shared" si="30"/>
        <v>Adult</v>
      </c>
      <c r="D706" t="s">
        <v>16</v>
      </c>
      <c r="E706" t="s">
        <v>20</v>
      </c>
      <c r="F706" t="s">
        <v>36</v>
      </c>
      <c r="G706">
        <v>107.82</v>
      </c>
      <c r="H706" t="s">
        <v>24</v>
      </c>
      <c r="I706" t="s">
        <v>15</v>
      </c>
      <c r="J706">
        <v>3.9</v>
      </c>
      <c r="K706">
        <v>7</v>
      </c>
      <c r="L706">
        <f t="shared" si="31"/>
        <v>100.27259999999998</v>
      </c>
      <c r="M706">
        <v>1</v>
      </c>
      <c r="N706" t="str">
        <f t="shared" si="32"/>
        <v>New</v>
      </c>
    </row>
    <row r="707" spans="1:14" x14ac:dyDescent="0.35">
      <c r="A707">
        <v>706</v>
      </c>
      <c r="B707">
        <v>39</v>
      </c>
      <c r="C707" t="str">
        <f t="shared" ref="C707:C770" si="33">IF(B707&lt;=30,"Youth",IF(B707&lt;=45,"Adult",IF(B707&lt;=60,"Adult","Senior")))</f>
        <v>Adult</v>
      </c>
      <c r="D707" t="s">
        <v>11</v>
      </c>
      <c r="E707" t="s">
        <v>33</v>
      </c>
      <c r="F707" t="s">
        <v>34</v>
      </c>
      <c r="G707">
        <v>217.69</v>
      </c>
      <c r="H707" t="s">
        <v>31</v>
      </c>
      <c r="I707" t="s">
        <v>15</v>
      </c>
      <c r="J707">
        <v>2.6</v>
      </c>
      <c r="K707">
        <v>10</v>
      </c>
      <c r="L707">
        <f t="shared" ref="L707:L770" si="34">G707*(1-K707/100)</f>
        <v>195.92099999999999</v>
      </c>
      <c r="M707">
        <v>5</v>
      </c>
      <c r="N707" t="str">
        <f t="shared" ref="N707:N770" si="35">IF(M707&lt;=3,"New",IF(M707&lt;=7,"Regular","Loyal"))</f>
        <v>Regular</v>
      </c>
    </row>
    <row r="708" spans="1:14" x14ac:dyDescent="0.35">
      <c r="A708">
        <v>707</v>
      </c>
      <c r="B708">
        <v>45</v>
      </c>
      <c r="C708" t="str">
        <f t="shared" si="33"/>
        <v>Adult</v>
      </c>
      <c r="D708" t="s">
        <v>16</v>
      </c>
      <c r="E708" t="s">
        <v>20</v>
      </c>
      <c r="F708" t="s">
        <v>36</v>
      </c>
      <c r="G708">
        <v>141.27000000000001</v>
      </c>
      <c r="H708" t="s">
        <v>14</v>
      </c>
      <c r="I708" t="s">
        <v>15</v>
      </c>
      <c r="J708">
        <v>3.2</v>
      </c>
      <c r="K708">
        <v>16</v>
      </c>
      <c r="L708">
        <f t="shared" si="34"/>
        <v>118.66680000000001</v>
      </c>
      <c r="M708">
        <v>3</v>
      </c>
      <c r="N708" t="str">
        <f t="shared" si="35"/>
        <v>New</v>
      </c>
    </row>
    <row r="709" spans="1:14" x14ac:dyDescent="0.35">
      <c r="A709">
        <v>708</v>
      </c>
      <c r="B709">
        <v>57</v>
      </c>
      <c r="C709" t="str">
        <f t="shared" si="33"/>
        <v>Adult</v>
      </c>
      <c r="D709" t="s">
        <v>16</v>
      </c>
      <c r="E709" t="s">
        <v>33</v>
      </c>
      <c r="F709" t="s">
        <v>38</v>
      </c>
      <c r="G709">
        <v>233.72</v>
      </c>
      <c r="H709" t="s">
        <v>31</v>
      </c>
      <c r="I709" t="s">
        <v>15</v>
      </c>
      <c r="J709">
        <v>2.8</v>
      </c>
      <c r="K709">
        <v>14</v>
      </c>
      <c r="L709">
        <f t="shared" si="34"/>
        <v>200.9992</v>
      </c>
      <c r="M709">
        <v>7</v>
      </c>
      <c r="N709" t="str">
        <f t="shared" si="35"/>
        <v>Regular</v>
      </c>
    </row>
    <row r="710" spans="1:14" x14ac:dyDescent="0.35">
      <c r="A710">
        <v>709</v>
      </c>
      <c r="B710">
        <v>53</v>
      </c>
      <c r="C710" t="str">
        <f t="shared" si="33"/>
        <v>Adult</v>
      </c>
      <c r="D710" t="s">
        <v>16</v>
      </c>
      <c r="E710" t="s">
        <v>27</v>
      </c>
      <c r="F710" t="s">
        <v>53</v>
      </c>
      <c r="G710">
        <v>1792.88</v>
      </c>
      <c r="H710" t="s">
        <v>24</v>
      </c>
      <c r="I710" t="s">
        <v>15</v>
      </c>
      <c r="J710">
        <v>3.6</v>
      </c>
      <c r="K710">
        <v>19</v>
      </c>
      <c r="L710">
        <f t="shared" si="34"/>
        <v>1452.2328000000002</v>
      </c>
      <c r="M710">
        <v>7</v>
      </c>
      <c r="N710" t="str">
        <f t="shared" si="35"/>
        <v>Regular</v>
      </c>
    </row>
    <row r="711" spans="1:14" x14ac:dyDescent="0.35">
      <c r="A711">
        <v>710</v>
      </c>
      <c r="B711">
        <v>24</v>
      </c>
      <c r="C711" t="str">
        <f t="shared" si="33"/>
        <v>Youth</v>
      </c>
      <c r="D711" t="s">
        <v>16</v>
      </c>
      <c r="E711" t="s">
        <v>27</v>
      </c>
      <c r="F711" t="s">
        <v>32</v>
      </c>
      <c r="G711">
        <v>1064.7</v>
      </c>
      <c r="H711" t="s">
        <v>24</v>
      </c>
      <c r="I711" t="s">
        <v>15</v>
      </c>
      <c r="J711">
        <v>5</v>
      </c>
      <c r="K711">
        <v>18</v>
      </c>
      <c r="L711">
        <f t="shared" si="34"/>
        <v>873.05400000000009</v>
      </c>
      <c r="M711">
        <v>4</v>
      </c>
      <c r="N711" t="str">
        <f t="shared" si="35"/>
        <v>Regular</v>
      </c>
    </row>
    <row r="712" spans="1:14" x14ac:dyDescent="0.35">
      <c r="A712">
        <v>711</v>
      </c>
      <c r="B712">
        <v>44</v>
      </c>
      <c r="C712" t="str">
        <f t="shared" si="33"/>
        <v>Adult</v>
      </c>
      <c r="D712" t="s">
        <v>11</v>
      </c>
      <c r="E712" t="s">
        <v>12</v>
      </c>
      <c r="F712" t="s">
        <v>50</v>
      </c>
      <c r="G712">
        <v>103.15</v>
      </c>
      <c r="H712" t="s">
        <v>14</v>
      </c>
      <c r="I712" t="s">
        <v>15</v>
      </c>
      <c r="J712">
        <v>3.6</v>
      </c>
      <c r="K712">
        <v>13</v>
      </c>
      <c r="L712">
        <f t="shared" si="34"/>
        <v>89.740500000000011</v>
      </c>
      <c r="M712">
        <v>4</v>
      </c>
      <c r="N712" t="str">
        <f t="shared" si="35"/>
        <v>Regular</v>
      </c>
    </row>
    <row r="713" spans="1:14" x14ac:dyDescent="0.35">
      <c r="A713">
        <v>712</v>
      </c>
      <c r="B713">
        <v>69</v>
      </c>
      <c r="C713" t="str">
        <f t="shared" si="33"/>
        <v>Senior</v>
      </c>
      <c r="D713" t="s">
        <v>16</v>
      </c>
      <c r="E713" t="s">
        <v>33</v>
      </c>
      <c r="F713" t="s">
        <v>38</v>
      </c>
      <c r="G713">
        <v>48.78</v>
      </c>
      <c r="H713" t="s">
        <v>31</v>
      </c>
      <c r="I713" t="s">
        <v>15</v>
      </c>
      <c r="J713">
        <v>1.9</v>
      </c>
      <c r="K713">
        <v>17</v>
      </c>
      <c r="L713">
        <f t="shared" si="34"/>
        <v>40.487400000000001</v>
      </c>
      <c r="M713">
        <v>6</v>
      </c>
      <c r="N713" t="str">
        <f t="shared" si="35"/>
        <v>Regular</v>
      </c>
    </row>
    <row r="714" spans="1:14" x14ac:dyDescent="0.35">
      <c r="A714">
        <v>713</v>
      </c>
      <c r="B714">
        <v>64</v>
      </c>
      <c r="C714" t="str">
        <f t="shared" si="33"/>
        <v>Senior</v>
      </c>
      <c r="D714" t="s">
        <v>11</v>
      </c>
      <c r="E714" t="s">
        <v>29</v>
      </c>
      <c r="F714" t="s">
        <v>30</v>
      </c>
      <c r="G714">
        <v>74.05</v>
      </c>
      <c r="H714" t="s">
        <v>19</v>
      </c>
      <c r="I714" t="s">
        <v>15</v>
      </c>
      <c r="J714">
        <v>4.9000000000000004</v>
      </c>
      <c r="K714">
        <v>21</v>
      </c>
      <c r="L714">
        <f t="shared" si="34"/>
        <v>58.499499999999998</v>
      </c>
      <c r="M714">
        <v>8</v>
      </c>
      <c r="N714" t="str">
        <f t="shared" si="35"/>
        <v>Loyal</v>
      </c>
    </row>
    <row r="715" spans="1:14" x14ac:dyDescent="0.35">
      <c r="A715">
        <v>714</v>
      </c>
      <c r="B715">
        <v>59</v>
      </c>
      <c r="C715" t="str">
        <f t="shared" si="33"/>
        <v>Adult</v>
      </c>
      <c r="D715" t="s">
        <v>11</v>
      </c>
      <c r="E715" t="s">
        <v>41</v>
      </c>
      <c r="F715" t="s">
        <v>46</v>
      </c>
      <c r="G715">
        <v>35.33</v>
      </c>
      <c r="H715" t="s">
        <v>31</v>
      </c>
      <c r="I715" t="s">
        <v>37</v>
      </c>
      <c r="J715">
        <v>3.7</v>
      </c>
      <c r="K715">
        <v>13</v>
      </c>
      <c r="L715">
        <f t="shared" si="34"/>
        <v>30.737099999999998</v>
      </c>
      <c r="M715">
        <v>4</v>
      </c>
      <c r="N715" t="str">
        <f t="shared" si="35"/>
        <v>Regular</v>
      </c>
    </row>
    <row r="716" spans="1:14" x14ac:dyDescent="0.35">
      <c r="A716">
        <v>715</v>
      </c>
      <c r="B716">
        <v>68</v>
      </c>
      <c r="C716" t="str">
        <f t="shared" si="33"/>
        <v>Senior</v>
      </c>
      <c r="D716" t="s">
        <v>11</v>
      </c>
      <c r="E716" t="s">
        <v>41</v>
      </c>
      <c r="F716" t="s">
        <v>42</v>
      </c>
      <c r="G716">
        <v>114.33</v>
      </c>
      <c r="H716" t="s">
        <v>31</v>
      </c>
      <c r="I716" t="s">
        <v>15</v>
      </c>
      <c r="J716">
        <v>2.9</v>
      </c>
      <c r="K716">
        <v>10</v>
      </c>
      <c r="L716">
        <f t="shared" si="34"/>
        <v>102.89700000000001</v>
      </c>
      <c r="M716">
        <v>5</v>
      </c>
      <c r="N716" t="str">
        <f t="shared" si="35"/>
        <v>Regular</v>
      </c>
    </row>
    <row r="717" spans="1:14" x14ac:dyDescent="0.35">
      <c r="A717">
        <v>716</v>
      </c>
      <c r="B717">
        <v>48</v>
      </c>
      <c r="C717" t="str">
        <f t="shared" si="33"/>
        <v>Adult</v>
      </c>
      <c r="D717" t="s">
        <v>11</v>
      </c>
      <c r="E717" t="s">
        <v>12</v>
      </c>
      <c r="F717" t="s">
        <v>13</v>
      </c>
      <c r="G717">
        <v>41.13</v>
      </c>
      <c r="H717" t="s">
        <v>24</v>
      </c>
      <c r="I717" t="s">
        <v>15</v>
      </c>
      <c r="J717">
        <v>3.2</v>
      </c>
      <c r="K717">
        <v>9</v>
      </c>
      <c r="L717">
        <f t="shared" si="34"/>
        <v>37.4283</v>
      </c>
      <c r="M717">
        <v>2</v>
      </c>
      <c r="N717" t="str">
        <f t="shared" si="35"/>
        <v>New</v>
      </c>
    </row>
    <row r="718" spans="1:14" x14ac:dyDescent="0.35">
      <c r="A718">
        <v>717</v>
      </c>
      <c r="B718">
        <v>56</v>
      </c>
      <c r="C718" t="str">
        <f t="shared" si="33"/>
        <v>Adult</v>
      </c>
      <c r="D718" t="s">
        <v>11</v>
      </c>
      <c r="E718" t="s">
        <v>22</v>
      </c>
      <c r="F718" t="s">
        <v>52</v>
      </c>
      <c r="G718">
        <v>245.44</v>
      </c>
      <c r="H718" t="s">
        <v>19</v>
      </c>
      <c r="I718" t="s">
        <v>15</v>
      </c>
      <c r="J718">
        <v>3.2</v>
      </c>
      <c r="K718">
        <v>2</v>
      </c>
      <c r="L718">
        <f t="shared" si="34"/>
        <v>240.53119999999998</v>
      </c>
      <c r="M718">
        <v>1</v>
      </c>
      <c r="N718" t="str">
        <f t="shared" si="35"/>
        <v>New</v>
      </c>
    </row>
    <row r="719" spans="1:14" x14ac:dyDescent="0.35">
      <c r="A719">
        <v>718</v>
      </c>
      <c r="B719">
        <v>36</v>
      </c>
      <c r="C719" t="str">
        <f t="shared" si="33"/>
        <v>Adult</v>
      </c>
      <c r="D719" t="s">
        <v>11</v>
      </c>
      <c r="E719" t="s">
        <v>41</v>
      </c>
      <c r="F719" t="s">
        <v>42</v>
      </c>
      <c r="G719">
        <v>153.84</v>
      </c>
      <c r="H719" t="s">
        <v>24</v>
      </c>
      <c r="I719" t="s">
        <v>15</v>
      </c>
      <c r="J719">
        <v>3.2</v>
      </c>
      <c r="K719">
        <v>0</v>
      </c>
      <c r="L719">
        <f t="shared" si="34"/>
        <v>153.84</v>
      </c>
      <c r="M719">
        <v>0</v>
      </c>
      <c r="N719" t="str">
        <f t="shared" si="35"/>
        <v>New</v>
      </c>
    </row>
    <row r="720" spans="1:14" x14ac:dyDescent="0.35">
      <c r="A720">
        <v>719</v>
      </c>
      <c r="B720">
        <v>44</v>
      </c>
      <c r="C720" t="str">
        <f t="shared" si="33"/>
        <v>Adult</v>
      </c>
      <c r="D720" t="s">
        <v>11</v>
      </c>
      <c r="E720" t="s">
        <v>33</v>
      </c>
      <c r="F720" t="s">
        <v>38</v>
      </c>
      <c r="G720">
        <v>236.11</v>
      </c>
      <c r="H720" t="s">
        <v>31</v>
      </c>
      <c r="I720" t="s">
        <v>15</v>
      </c>
      <c r="J720">
        <v>5</v>
      </c>
      <c r="K720">
        <v>23</v>
      </c>
      <c r="L720">
        <f t="shared" si="34"/>
        <v>181.80470000000003</v>
      </c>
      <c r="M720">
        <v>9</v>
      </c>
      <c r="N720" t="str">
        <f t="shared" si="35"/>
        <v>Loyal</v>
      </c>
    </row>
    <row r="721" spans="1:14" x14ac:dyDescent="0.35">
      <c r="A721">
        <v>720</v>
      </c>
      <c r="B721">
        <v>54</v>
      </c>
      <c r="C721" t="str">
        <f t="shared" si="33"/>
        <v>Adult</v>
      </c>
      <c r="D721" t="s">
        <v>11</v>
      </c>
      <c r="E721" t="s">
        <v>41</v>
      </c>
      <c r="F721" t="s">
        <v>46</v>
      </c>
      <c r="G721">
        <v>165.35</v>
      </c>
      <c r="H721" t="s">
        <v>14</v>
      </c>
      <c r="I721" t="s">
        <v>15</v>
      </c>
      <c r="J721">
        <v>3.7</v>
      </c>
      <c r="K721">
        <v>10</v>
      </c>
      <c r="L721">
        <f t="shared" si="34"/>
        <v>148.815</v>
      </c>
      <c r="M721">
        <v>0</v>
      </c>
      <c r="N721" t="str">
        <f t="shared" si="35"/>
        <v>New</v>
      </c>
    </row>
    <row r="722" spans="1:14" x14ac:dyDescent="0.35">
      <c r="A722">
        <v>721</v>
      </c>
      <c r="B722">
        <v>30</v>
      </c>
      <c r="C722" t="str">
        <f t="shared" si="33"/>
        <v>Youth</v>
      </c>
      <c r="D722" t="s">
        <v>11</v>
      </c>
      <c r="E722" t="s">
        <v>12</v>
      </c>
      <c r="F722" t="s">
        <v>50</v>
      </c>
      <c r="G722">
        <v>59.51</v>
      </c>
      <c r="H722" t="s">
        <v>24</v>
      </c>
      <c r="I722" t="s">
        <v>15</v>
      </c>
      <c r="J722">
        <v>3.8</v>
      </c>
      <c r="K722">
        <v>24</v>
      </c>
      <c r="L722">
        <f t="shared" si="34"/>
        <v>45.227600000000002</v>
      </c>
      <c r="M722">
        <v>7</v>
      </c>
      <c r="N722" t="str">
        <f t="shared" si="35"/>
        <v>Regular</v>
      </c>
    </row>
    <row r="723" spans="1:14" x14ac:dyDescent="0.35">
      <c r="A723">
        <v>722</v>
      </c>
      <c r="B723">
        <v>61</v>
      </c>
      <c r="C723" t="str">
        <f t="shared" si="33"/>
        <v>Senior</v>
      </c>
      <c r="D723" t="s">
        <v>16</v>
      </c>
      <c r="E723" t="s">
        <v>20</v>
      </c>
      <c r="F723" t="s">
        <v>39</v>
      </c>
      <c r="G723">
        <v>190.26</v>
      </c>
      <c r="H723" t="s">
        <v>24</v>
      </c>
      <c r="I723" t="s">
        <v>15</v>
      </c>
      <c r="J723">
        <v>4.4000000000000004</v>
      </c>
      <c r="K723">
        <v>14</v>
      </c>
      <c r="L723">
        <f t="shared" si="34"/>
        <v>163.62359999999998</v>
      </c>
      <c r="M723">
        <v>2</v>
      </c>
      <c r="N723" t="str">
        <f t="shared" si="35"/>
        <v>New</v>
      </c>
    </row>
    <row r="724" spans="1:14" x14ac:dyDescent="0.35">
      <c r="A724">
        <v>723</v>
      </c>
      <c r="B724">
        <v>63</v>
      </c>
      <c r="C724" t="str">
        <f t="shared" si="33"/>
        <v>Senior</v>
      </c>
      <c r="D724" t="s">
        <v>11</v>
      </c>
      <c r="E724" t="s">
        <v>22</v>
      </c>
      <c r="F724" t="s">
        <v>52</v>
      </c>
      <c r="G724">
        <v>168.64</v>
      </c>
      <c r="H724" t="s">
        <v>14</v>
      </c>
      <c r="I724" t="s">
        <v>15</v>
      </c>
      <c r="J724">
        <v>3.2</v>
      </c>
      <c r="K724">
        <v>6</v>
      </c>
      <c r="L724">
        <f t="shared" si="34"/>
        <v>158.52159999999998</v>
      </c>
      <c r="M724">
        <v>3</v>
      </c>
      <c r="N724" t="str">
        <f t="shared" si="35"/>
        <v>New</v>
      </c>
    </row>
    <row r="725" spans="1:14" x14ac:dyDescent="0.35">
      <c r="A725">
        <v>724</v>
      </c>
      <c r="B725">
        <v>42</v>
      </c>
      <c r="C725" t="str">
        <f t="shared" si="33"/>
        <v>Adult</v>
      </c>
      <c r="D725" t="s">
        <v>16</v>
      </c>
      <c r="E725" t="s">
        <v>27</v>
      </c>
      <c r="F725" t="s">
        <v>53</v>
      </c>
      <c r="G725">
        <v>2517.98</v>
      </c>
      <c r="H725" t="s">
        <v>31</v>
      </c>
      <c r="I725" t="s">
        <v>15</v>
      </c>
      <c r="J725">
        <v>3.2</v>
      </c>
      <c r="K725">
        <v>17</v>
      </c>
      <c r="L725">
        <f t="shared" si="34"/>
        <v>2089.9234000000001</v>
      </c>
      <c r="M725">
        <v>6</v>
      </c>
      <c r="N725" t="str">
        <f t="shared" si="35"/>
        <v>Regular</v>
      </c>
    </row>
    <row r="726" spans="1:14" x14ac:dyDescent="0.35">
      <c r="A726">
        <v>725</v>
      </c>
      <c r="B726">
        <v>35</v>
      </c>
      <c r="C726" t="str">
        <f t="shared" si="33"/>
        <v>Adult</v>
      </c>
      <c r="D726" t="s">
        <v>16</v>
      </c>
      <c r="E726" t="s">
        <v>20</v>
      </c>
      <c r="F726" t="s">
        <v>21</v>
      </c>
      <c r="G726">
        <v>240.4</v>
      </c>
      <c r="H726" t="s">
        <v>24</v>
      </c>
      <c r="I726" t="s">
        <v>15</v>
      </c>
      <c r="J726">
        <v>3.7</v>
      </c>
      <c r="K726">
        <v>10</v>
      </c>
      <c r="L726">
        <f t="shared" si="34"/>
        <v>216.36</v>
      </c>
      <c r="M726">
        <v>5</v>
      </c>
      <c r="N726" t="str">
        <f t="shared" si="35"/>
        <v>Regular</v>
      </c>
    </row>
    <row r="727" spans="1:14" x14ac:dyDescent="0.35">
      <c r="A727">
        <v>726</v>
      </c>
      <c r="B727">
        <v>66</v>
      </c>
      <c r="C727" t="str">
        <f t="shared" si="33"/>
        <v>Senior</v>
      </c>
      <c r="D727" t="s">
        <v>11</v>
      </c>
      <c r="E727" t="s">
        <v>25</v>
      </c>
      <c r="F727" t="s">
        <v>57</v>
      </c>
      <c r="G727">
        <v>75.72</v>
      </c>
      <c r="H727" t="s">
        <v>19</v>
      </c>
      <c r="I727" t="s">
        <v>15</v>
      </c>
      <c r="J727">
        <v>3.9</v>
      </c>
      <c r="K727">
        <v>14</v>
      </c>
      <c r="L727">
        <f t="shared" si="34"/>
        <v>65.119199999999992</v>
      </c>
      <c r="M727">
        <v>7</v>
      </c>
      <c r="N727" t="str">
        <f t="shared" si="35"/>
        <v>Regular</v>
      </c>
    </row>
    <row r="728" spans="1:14" x14ac:dyDescent="0.35">
      <c r="A728">
        <v>727</v>
      </c>
      <c r="B728">
        <v>37</v>
      </c>
      <c r="C728" t="str">
        <f t="shared" si="33"/>
        <v>Adult</v>
      </c>
      <c r="D728" t="s">
        <v>16</v>
      </c>
      <c r="E728" t="s">
        <v>33</v>
      </c>
      <c r="F728" t="s">
        <v>34</v>
      </c>
      <c r="G728">
        <v>229.47</v>
      </c>
      <c r="H728" t="s">
        <v>19</v>
      </c>
      <c r="I728" t="s">
        <v>15</v>
      </c>
      <c r="J728">
        <v>4.2</v>
      </c>
      <c r="K728">
        <v>14</v>
      </c>
      <c r="L728">
        <f t="shared" si="34"/>
        <v>197.3442</v>
      </c>
      <c r="M728">
        <v>7</v>
      </c>
      <c r="N728" t="str">
        <f t="shared" si="35"/>
        <v>Regular</v>
      </c>
    </row>
    <row r="729" spans="1:14" x14ac:dyDescent="0.35">
      <c r="A729">
        <v>728</v>
      </c>
      <c r="B729">
        <v>31</v>
      </c>
      <c r="C729" t="str">
        <f t="shared" si="33"/>
        <v>Adult</v>
      </c>
      <c r="D729" t="s">
        <v>11</v>
      </c>
      <c r="E729" t="s">
        <v>20</v>
      </c>
      <c r="F729" t="s">
        <v>21</v>
      </c>
      <c r="G729">
        <v>103.72</v>
      </c>
      <c r="H729" t="s">
        <v>24</v>
      </c>
      <c r="I729" t="s">
        <v>15</v>
      </c>
      <c r="J729">
        <v>3.4</v>
      </c>
      <c r="K729">
        <v>20</v>
      </c>
      <c r="L729">
        <f t="shared" si="34"/>
        <v>82.975999999999999</v>
      </c>
      <c r="M729">
        <v>5</v>
      </c>
      <c r="N729" t="str">
        <f t="shared" si="35"/>
        <v>Regular</v>
      </c>
    </row>
    <row r="730" spans="1:14" x14ac:dyDescent="0.35">
      <c r="A730">
        <v>729</v>
      </c>
      <c r="B730">
        <v>46</v>
      </c>
      <c r="C730" t="str">
        <f t="shared" si="33"/>
        <v>Adult</v>
      </c>
      <c r="D730" t="s">
        <v>11</v>
      </c>
      <c r="E730" t="s">
        <v>41</v>
      </c>
      <c r="F730" t="s">
        <v>42</v>
      </c>
      <c r="G730">
        <v>134.76</v>
      </c>
      <c r="H730" t="s">
        <v>31</v>
      </c>
      <c r="I730" t="s">
        <v>15</v>
      </c>
      <c r="J730">
        <v>4.5999999999999996</v>
      </c>
      <c r="K730">
        <v>20</v>
      </c>
      <c r="L730">
        <f t="shared" si="34"/>
        <v>107.80799999999999</v>
      </c>
      <c r="M730">
        <v>5</v>
      </c>
      <c r="N730" t="str">
        <f t="shared" si="35"/>
        <v>Regular</v>
      </c>
    </row>
    <row r="731" spans="1:14" x14ac:dyDescent="0.35">
      <c r="A731">
        <v>730</v>
      </c>
      <c r="B731">
        <v>46</v>
      </c>
      <c r="C731" t="str">
        <f t="shared" si="33"/>
        <v>Adult</v>
      </c>
      <c r="D731" t="s">
        <v>16</v>
      </c>
      <c r="E731" t="s">
        <v>25</v>
      </c>
      <c r="F731" t="s">
        <v>47</v>
      </c>
      <c r="G731">
        <v>59.16</v>
      </c>
      <c r="H731" t="s">
        <v>14</v>
      </c>
      <c r="I731" t="s">
        <v>15</v>
      </c>
      <c r="J731">
        <v>4.5</v>
      </c>
      <c r="K731">
        <v>24</v>
      </c>
      <c r="L731">
        <f t="shared" si="34"/>
        <v>44.961599999999997</v>
      </c>
      <c r="M731">
        <v>7</v>
      </c>
      <c r="N731" t="str">
        <f t="shared" si="35"/>
        <v>Regular</v>
      </c>
    </row>
    <row r="732" spans="1:14" x14ac:dyDescent="0.35">
      <c r="A732">
        <v>731</v>
      </c>
      <c r="B732">
        <v>51</v>
      </c>
      <c r="C732" t="str">
        <f t="shared" si="33"/>
        <v>Adult</v>
      </c>
      <c r="D732" t="s">
        <v>16</v>
      </c>
      <c r="E732" t="s">
        <v>17</v>
      </c>
      <c r="F732" t="s">
        <v>35</v>
      </c>
      <c r="G732">
        <v>99.13</v>
      </c>
      <c r="H732" t="s">
        <v>31</v>
      </c>
      <c r="I732" t="s">
        <v>15</v>
      </c>
      <c r="J732">
        <v>4.0999999999999996</v>
      </c>
      <c r="K732">
        <v>17</v>
      </c>
      <c r="L732">
        <f t="shared" si="34"/>
        <v>82.277899999999988</v>
      </c>
      <c r="M732">
        <v>6</v>
      </c>
      <c r="N732" t="str">
        <f t="shared" si="35"/>
        <v>Regular</v>
      </c>
    </row>
    <row r="733" spans="1:14" x14ac:dyDescent="0.35">
      <c r="A733">
        <v>732</v>
      </c>
      <c r="B733">
        <v>38</v>
      </c>
      <c r="C733" t="str">
        <f t="shared" si="33"/>
        <v>Adult</v>
      </c>
      <c r="D733" t="s">
        <v>16</v>
      </c>
      <c r="E733" t="s">
        <v>20</v>
      </c>
      <c r="F733" t="s">
        <v>39</v>
      </c>
      <c r="G733">
        <v>205.6</v>
      </c>
      <c r="H733" t="s">
        <v>19</v>
      </c>
      <c r="I733" t="s">
        <v>15</v>
      </c>
      <c r="J733">
        <v>4.5</v>
      </c>
      <c r="K733">
        <v>22</v>
      </c>
      <c r="L733">
        <f t="shared" si="34"/>
        <v>160.36799999999999</v>
      </c>
      <c r="M733">
        <v>6</v>
      </c>
      <c r="N733" t="str">
        <f t="shared" si="35"/>
        <v>Regular</v>
      </c>
    </row>
    <row r="734" spans="1:14" x14ac:dyDescent="0.35">
      <c r="A734">
        <v>733</v>
      </c>
      <c r="B734">
        <v>31</v>
      </c>
      <c r="C734" t="str">
        <f t="shared" si="33"/>
        <v>Adult</v>
      </c>
      <c r="D734" t="s">
        <v>16</v>
      </c>
      <c r="E734" t="s">
        <v>33</v>
      </c>
      <c r="F734" t="s">
        <v>34</v>
      </c>
      <c r="G734">
        <v>51.91</v>
      </c>
      <c r="H734" t="s">
        <v>31</v>
      </c>
      <c r="I734" t="s">
        <v>37</v>
      </c>
      <c r="J734">
        <v>2.2000000000000002</v>
      </c>
      <c r="K734">
        <v>2</v>
      </c>
      <c r="L734">
        <f t="shared" si="34"/>
        <v>50.871799999999993</v>
      </c>
      <c r="M734">
        <v>1</v>
      </c>
      <c r="N734" t="str">
        <f t="shared" si="35"/>
        <v>New</v>
      </c>
    </row>
    <row r="735" spans="1:14" x14ac:dyDescent="0.35">
      <c r="A735">
        <v>734</v>
      </c>
      <c r="B735">
        <v>26</v>
      </c>
      <c r="C735" t="str">
        <f t="shared" si="33"/>
        <v>Youth</v>
      </c>
      <c r="D735" t="s">
        <v>11</v>
      </c>
      <c r="E735" t="s">
        <v>29</v>
      </c>
      <c r="F735" t="s">
        <v>51</v>
      </c>
      <c r="G735">
        <v>64.09</v>
      </c>
      <c r="H735" t="s">
        <v>24</v>
      </c>
      <c r="I735" t="s">
        <v>15</v>
      </c>
      <c r="J735">
        <v>4.5</v>
      </c>
      <c r="K735">
        <v>11</v>
      </c>
      <c r="L735">
        <f t="shared" si="34"/>
        <v>57.040100000000002</v>
      </c>
      <c r="M735">
        <v>3</v>
      </c>
      <c r="N735" t="str">
        <f t="shared" si="35"/>
        <v>New</v>
      </c>
    </row>
    <row r="736" spans="1:14" x14ac:dyDescent="0.35">
      <c r="A736">
        <v>735</v>
      </c>
      <c r="B736">
        <v>46</v>
      </c>
      <c r="C736" t="str">
        <f t="shared" si="33"/>
        <v>Adult</v>
      </c>
      <c r="D736" t="s">
        <v>11</v>
      </c>
      <c r="E736" t="s">
        <v>33</v>
      </c>
      <c r="F736" t="s">
        <v>38</v>
      </c>
      <c r="G736">
        <v>44.74</v>
      </c>
      <c r="H736" t="s">
        <v>24</v>
      </c>
      <c r="I736" t="s">
        <v>37</v>
      </c>
      <c r="J736">
        <v>3.6</v>
      </c>
      <c r="K736">
        <v>13</v>
      </c>
      <c r="L736">
        <f t="shared" si="34"/>
        <v>38.9238</v>
      </c>
      <c r="M736">
        <v>4</v>
      </c>
      <c r="N736" t="str">
        <f t="shared" si="35"/>
        <v>Regular</v>
      </c>
    </row>
    <row r="737" spans="1:14" x14ac:dyDescent="0.35">
      <c r="A737">
        <v>736</v>
      </c>
      <c r="B737">
        <v>42</v>
      </c>
      <c r="C737" t="str">
        <f t="shared" si="33"/>
        <v>Adult</v>
      </c>
      <c r="D737" t="s">
        <v>11</v>
      </c>
      <c r="E737" t="s">
        <v>22</v>
      </c>
      <c r="F737" t="s">
        <v>43</v>
      </c>
      <c r="G737">
        <v>44.21</v>
      </c>
      <c r="H737" t="s">
        <v>31</v>
      </c>
      <c r="I737" t="s">
        <v>15</v>
      </c>
      <c r="J737">
        <v>3.4</v>
      </c>
      <c r="K737">
        <v>15</v>
      </c>
      <c r="L737">
        <f t="shared" si="34"/>
        <v>37.578499999999998</v>
      </c>
      <c r="M737">
        <v>5</v>
      </c>
      <c r="N737" t="str">
        <f t="shared" si="35"/>
        <v>Regular</v>
      </c>
    </row>
    <row r="738" spans="1:14" x14ac:dyDescent="0.35">
      <c r="A738">
        <v>737</v>
      </c>
      <c r="B738">
        <v>24</v>
      </c>
      <c r="C738" t="str">
        <f t="shared" si="33"/>
        <v>Youth</v>
      </c>
      <c r="D738" t="s">
        <v>11</v>
      </c>
      <c r="E738" t="s">
        <v>12</v>
      </c>
      <c r="F738" t="s">
        <v>13</v>
      </c>
      <c r="G738">
        <v>177.47</v>
      </c>
      <c r="H738" t="s">
        <v>24</v>
      </c>
      <c r="I738" t="s">
        <v>15</v>
      </c>
      <c r="J738">
        <v>3.3</v>
      </c>
      <c r="K738">
        <v>8</v>
      </c>
      <c r="L738">
        <f t="shared" si="34"/>
        <v>163.2724</v>
      </c>
      <c r="M738">
        <v>4</v>
      </c>
      <c r="N738" t="str">
        <f t="shared" si="35"/>
        <v>Regular</v>
      </c>
    </row>
    <row r="739" spans="1:14" x14ac:dyDescent="0.35">
      <c r="A739">
        <v>738</v>
      </c>
      <c r="B739">
        <v>30</v>
      </c>
      <c r="C739" t="str">
        <f t="shared" si="33"/>
        <v>Youth</v>
      </c>
      <c r="D739" t="s">
        <v>11</v>
      </c>
      <c r="E739" t="s">
        <v>29</v>
      </c>
      <c r="F739" t="s">
        <v>51</v>
      </c>
      <c r="G739">
        <v>114.32</v>
      </c>
      <c r="H739" t="s">
        <v>19</v>
      </c>
      <c r="I739" t="s">
        <v>15</v>
      </c>
      <c r="J739">
        <v>4</v>
      </c>
      <c r="K739">
        <v>7</v>
      </c>
      <c r="L739">
        <f t="shared" si="34"/>
        <v>106.31759999999998</v>
      </c>
      <c r="M739">
        <v>1</v>
      </c>
      <c r="N739" t="str">
        <f t="shared" si="35"/>
        <v>New</v>
      </c>
    </row>
    <row r="740" spans="1:14" x14ac:dyDescent="0.35">
      <c r="A740">
        <v>739</v>
      </c>
      <c r="B740">
        <v>53</v>
      </c>
      <c r="C740" t="str">
        <f t="shared" si="33"/>
        <v>Adult</v>
      </c>
      <c r="D740" t="s">
        <v>16</v>
      </c>
      <c r="E740" t="s">
        <v>33</v>
      </c>
      <c r="F740" t="s">
        <v>34</v>
      </c>
      <c r="G740">
        <v>139.94</v>
      </c>
      <c r="H740" t="s">
        <v>14</v>
      </c>
      <c r="I740" t="s">
        <v>15</v>
      </c>
      <c r="J740">
        <v>3.5</v>
      </c>
      <c r="K740">
        <v>13</v>
      </c>
      <c r="L740">
        <f t="shared" si="34"/>
        <v>121.7478</v>
      </c>
      <c r="M740">
        <v>4</v>
      </c>
      <c r="N740" t="str">
        <f t="shared" si="35"/>
        <v>Regular</v>
      </c>
    </row>
    <row r="741" spans="1:14" x14ac:dyDescent="0.35">
      <c r="A741">
        <v>740</v>
      </c>
      <c r="B741">
        <v>29</v>
      </c>
      <c r="C741" t="str">
        <f t="shared" si="33"/>
        <v>Youth</v>
      </c>
      <c r="D741" t="s">
        <v>16</v>
      </c>
      <c r="E741" t="s">
        <v>33</v>
      </c>
      <c r="F741" t="s">
        <v>40</v>
      </c>
      <c r="G741">
        <v>247.94</v>
      </c>
      <c r="H741" t="s">
        <v>24</v>
      </c>
      <c r="I741" t="s">
        <v>15</v>
      </c>
      <c r="J741">
        <v>3.4</v>
      </c>
      <c r="K741">
        <v>8</v>
      </c>
      <c r="L741">
        <f t="shared" si="34"/>
        <v>228.10480000000001</v>
      </c>
      <c r="M741">
        <v>4</v>
      </c>
      <c r="N741" t="str">
        <f t="shared" si="35"/>
        <v>Regular</v>
      </c>
    </row>
    <row r="742" spans="1:14" x14ac:dyDescent="0.35">
      <c r="A742">
        <v>741</v>
      </c>
      <c r="B742">
        <v>49</v>
      </c>
      <c r="C742" t="str">
        <f t="shared" si="33"/>
        <v>Adult</v>
      </c>
      <c r="D742" t="s">
        <v>16</v>
      </c>
      <c r="E742" t="s">
        <v>27</v>
      </c>
      <c r="F742" t="s">
        <v>49</v>
      </c>
      <c r="G742">
        <v>2588.27</v>
      </c>
      <c r="H742" t="s">
        <v>31</v>
      </c>
      <c r="I742" t="s">
        <v>15</v>
      </c>
      <c r="J742">
        <v>4.9000000000000004</v>
      </c>
      <c r="K742">
        <v>11</v>
      </c>
      <c r="L742">
        <f t="shared" si="34"/>
        <v>2303.5603000000001</v>
      </c>
      <c r="M742">
        <v>3</v>
      </c>
      <c r="N742" t="str">
        <f t="shared" si="35"/>
        <v>New</v>
      </c>
    </row>
    <row r="743" spans="1:14" x14ac:dyDescent="0.35">
      <c r="A743">
        <v>742</v>
      </c>
      <c r="B743">
        <v>70</v>
      </c>
      <c r="C743" t="str">
        <f t="shared" si="33"/>
        <v>Senior</v>
      </c>
      <c r="D743" t="s">
        <v>16</v>
      </c>
      <c r="E743" t="s">
        <v>27</v>
      </c>
      <c r="F743" t="s">
        <v>28</v>
      </c>
      <c r="G743">
        <v>780.6</v>
      </c>
      <c r="H743" t="s">
        <v>14</v>
      </c>
      <c r="I743" t="s">
        <v>15</v>
      </c>
      <c r="J743">
        <v>4.7</v>
      </c>
      <c r="K743">
        <v>20</v>
      </c>
      <c r="L743">
        <f t="shared" si="34"/>
        <v>624.48</v>
      </c>
      <c r="M743">
        <v>5</v>
      </c>
      <c r="N743" t="str">
        <f t="shared" si="35"/>
        <v>Regular</v>
      </c>
    </row>
    <row r="744" spans="1:14" x14ac:dyDescent="0.35">
      <c r="A744">
        <v>743</v>
      </c>
      <c r="B744">
        <v>35</v>
      </c>
      <c r="C744" t="str">
        <f t="shared" si="33"/>
        <v>Adult</v>
      </c>
      <c r="D744" t="s">
        <v>16</v>
      </c>
      <c r="E744" t="s">
        <v>33</v>
      </c>
      <c r="F744" t="s">
        <v>38</v>
      </c>
      <c r="G744">
        <v>113.18</v>
      </c>
      <c r="H744" t="s">
        <v>19</v>
      </c>
      <c r="I744" t="s">
        <v>15</v>
      </c>
      <c r="J744">
        <v>3.8</v>
      </c>
      <c r="K744">
        <v>12</v>
      </c>
      <c r="L744">
        <f t="shared" si="34"/>
        <v>99.598400000000012</v>
      </c>
      <c r="M744">
        <v>6</v>
      </c>
      <c r="N744" t="str">
        <f t="shared" si="35"/>
        <v>Regular</v>
      </c>
    </row>
    <row r="745" spans="1:14" x14ac:dyDescent="0.35">
      <c r="A745">
        <v>744</v>
      </c>
      <c r="B745">
        <v>57</v>
      </c>
      <c r="C745" t="str">
        <f t="shared" si="33"/>
        <v>Adult</v>
      </c>
      <c r="D745" t="s">
        <v>16</v>
      </c>
      <c r="E745" t="s">
        <v>22</v>
      </c>
      <c r="F745" t="s">
        <v>43</v>
      </c>
      <c r="G745">
        <v>107.82</v>
      </c>
      <c r="H745" t="s">
        <v>24</v>
      </c>
      <c r="I745" t="s">
        <v>15</v>
      </c>
      <c r="J745">
        <v>4.0999999999999996</v>
      </c>
      <c r="K745">
        <v>16</v>
      </c>
      <c r="L745">
        <f t="shared" si="34"/>
        <v>90.568799999999996</v>
      </c>
      <c r="M745">
        <v>3</v>
      </c>
      <c r="N745" t="str">
        <f t="shared" si="35"/>
        <v>New</v>
      </c>
    </row>
    <row r="746" spans="1:14" x14ac:dyDescent="0.35">
      <c r="A746">
        <v>745</v>
      </c>
      <c r="B746">
        <v>36</v>
      </c>
      <c r="C746" t="str">
        <f t="shared" si="33"/>
        <v>Adult</v>
      </c>
      <c r="D746" t="s">
        <v>16</v>
      </c>
      <c r="E746" t="s">
        <v>22</v>
      </c>
      <c r="F746" t="s">
        <v>43</v>
      </c>
      <c r="G746">
        <v>224.49</v>
      </c>
      <c r="H746" t="s">
        <v>14</v>
      </c>
      <c r="I746" t="s">
        <v>15</v>
      </c>
      <c r="J746">
        <v>4.5</v>
      </c>
      <c r="K746">
        <v>12</v>
      </c>
      <c r="L746">
        <f t="shared" si="34"/>
        <v>197.55120000000002</v>
      </c>
      <c r="M746">
        <v>6</v>
      </c>
      <c r="N746" t="str">
        <f t="shared" si="35"/>
        <v>Regular</v>
      </c>
    </row>
    <row r="747" spans="1:14" x14ac:dyDescent="0.35">
      <c r="A747">
        <v>746</v>
      </c>
      <c r="B747">
        <v>52</v>
      </c>
      <c r="C747" t="str">
        <f t="shared" si="33"/>
        <v>Adult</v>
      </c>
      <c r="D747" t="s">
        <v>16</v>
      </c>
      <c r="E747" t="s">
        <v>17</v>
      </c>
      <c r="F747" t="s">
        <v>48</v>
      </c>
      <c r="G747">
        <v>132.43</v>
      </c>
      <c r="H747" t="s">
        <v>31</v>
      </c>
      <c r="I747" t="s">
        <v>15</v>
      </c>
      <c r="J747">
        <v>3.5</v>
      </c>
      <c r="K747">
        <v>12</v>
      </c>
      <c r="L747">
        <f t="shared" si="34"/>
        <v>116.53840000000001</v>
      </c>
      <c r="M747">
        <v>1</v>
      </c>
      <c r="N747" t="str">
        <f t="shared" si="35"/>
        <v>New</v>
      </c>
    </row>
    <row r="748" spans="1:14" x14ac:dyDescent="0.35">
      <c r="A748">
        <v>747</v>
      </c>
      <c r="B748">
        <v>47</v>
      </c>
      <c r="C748" t="str">
        <f t="shared" si="33"/>
        <v>Adult</v>
      </c>
      <c r="D748" t="s">
        <v>11</v>
      </c>
      <c r="E748" t="s">
        <v>20</v>
      </c>
      <c r="F748" t="s">
        <v>21</v>
      </c>
      <c r="G748">
        <v>57.77</v>
      </c>
      <c r="H748" t="s">
        <v>19</v>
      </c>
      <c r="I748" t="s">
        <v>37</v>
      </c>
      <c r="J748">
        <v>2.9</v>
      </c>
      <c r="K748">
        <v>16</v>
      </c>
      <c r="L748">
        <f t="shared" si="34"/>
        <v>48.526800000000001</v>
      </c>
      <c r="M748">
        <v>3</v>
      </c>
      <c r="N748" t="str">
        <f t="shared" si="35"/>
        <v>New</v>
      </c>
    </row>
    <row r="749" spans="1:14" x14ac:dyDescent="0.35">
      <c r="A749">
        <v>748</v>
      </c>
      <c r="B749">
        <v>24</v>
      </c>
      <c r="C749" t="str">
        <f t="shared" si="33"/>
        <v>Youth</v>
      </c>
      <c r="D749" t="s">
        <v>16</v>
      </c>
      <c r="E749" t="s">
        <v>20</v>
      </c>
      <c r="F749" t="s">
        <v>36</v>
      </c>
      <c r="G749">
        <v>139.11000000000001</v>
      </c>
      <c r="H749" t="s">
        <v>19</v>
      </c>
      <c r="I749" t="s">
        <v>15</v>
      </c>
      <c r="J749">
        <v>3.1</v>
      </c>
      <c r="K749">
        <v>19</v>
      </c>
      <c r="L749">
        <f t="shared" si="34"/>
        <v>112.67910000000002</v>
      </c>
      <c r="M749">
        <v>7</v>
      </c>
      <c r="N749" t="str">
        <f t="shared" si="35"/>
        <v>Regular</v>
      </c>
    </row>
    <row r="750" spans="1:14" x14ac:dyDescent="0.35">
      <c r="A750">
        <v>749</v>
      </c>
      <c r="B750">
        <v>55</v>
      </c>
      <c r="C750" t="str">
        <f t="shared" si="33"/>
        <v>Adult</v>
      </c>
      <c r="D750" t="s">
        <v>11</v>
      </c>
      <c r="E750" t="s">
        <v>12</v>
      </c>
      <c r="F750" t="s">
        <v>56</v>
      </c>
      <c r="G750">
        <v>159.49</v>
      </c>
      <c r="H750" t="s">
        <v>19</v>
      </c>
      <c r="I750" t="s">
        <v>15</v>
      </c>
      <c r="J750">
        <v>3.4</v>
      </c>
      <c r="K750">
        <v>18</v>
      </c>
      <c r="L750">
        <f t="shared" si="34"/>
        <v>130.7818</v>
      </c>
      <c r="M750">
        <v>4</v>
      </c>
      <c r="N750" t="str">
        <f t="shared" si="35"/>
        <v>Regular</v>
      </c>
    </row>
    <row r="751" spans="1:14" x14ac:dyDescent="0.35">
      <c r="A751">
        <v>750</v>
      </c>
      <c r="B751">
        <v>22</v>
      </c>
      <c r="C751" t="str">
        <f t="shared" si="33"/>
        <v>Youth</v>
      </c>
      <c r="D751" t="s">
        <v>16</v>
      </c>
      <c r="E751" t="s">
        <v>25</v>
      </c>
      <c r="F751" t="s">
        <v>54</v>
      </c>
      <c r="G751">
        <v>36.590000000000003</v>
      </c>
      <c r="H751" t="s">
        <v>19</v>
      </c>
      <c r="I751" t="s">
        <v>37</v>
      </c>
      <c r="J751">
        <v>3.2</v>
      </c>
      <c r="K751">
        <v>15</v>
      </c>
      <c r="L751">
        <f t="shared" si="34"/>
        <v>31.101500000000001</v>
      </c>
      <c r="M751">
        <v>5</v>
      </c>
      <c r="N751" t="str">
        <f t="shared" si="35"/>
        <v>Regular</v>
      </c>
    </row>
    <row r="752" spans="1:14" x14ac:dyDescent="0.35">
      <c r="A752">
        <v>751</v>
      </c>
      <c r="B752">
        <v>36</v>
      </c>
      <c r="C752" t="str">
        <f t="shared" si="33"/>
        <v>Adult</v>
      </c>
      <c r="D752" t="s">
        <v>11</v>
      </c>
      <c r="E752" t="s">
        <v>41</v>
      </c>
      <c r="F752" t="s">
        <v>45</v>
      </c>
      <c r="G752">
        <v>114.62</v>
      </c>
      <c r="H752" t="s">
        <v>31</v>
      </c>
      <c r="I752" t="s">
        <v>15</v>
      </c>
      <c r="J752">
        <v>3.4</v>
      </c>
      <c r="K752">
        <v>16</v>
      </c>
      <c r="L752">
        <f t="shared" si="34"/>
        <v>96.280799999999999</v>
      </c>
      <c r="M752">
        <v>3</v>
      </c>
      <c r="N752" t="str">
        <f t="shared" si="35"/>
        <v>New</v>
      </c>
    </row>
    <row r="753" spans="1:14" x14ac:dyDescent="0.35">
      <c r="A753">
        <v>752</v>
      </c>
      <c r="B753">
        <v>60</v>
      </c>
      <c r="C753" t="str">
        <f t="shared" si="33"/>
        <v>Adult</v>
      </c>
      <c r="D753" t="s">
        <v>16</v>
      </c>
      <c r="E753" t="s">
        <v>20</v>
      </c>
      <c r="F753" t="s">
        <v>39</v>
      </c>
      <c r="G753">
        <v>79.86</v>
      </c>
      <c r="H753" t="s">
        <v>19</v>
      </c>
      <c r="I753" t="s">
        <v>37</v>
      </c>
      <c r="J753">
        <v>4.4000000000000004</v>
      </c>
      <c r="K753">
        <v>19</v>
      </c>
      <c r="L753">
        <f t="shared" si="34"/>
        <v>64.686599999999999</v>
      </c>
      <c r="M753">
        <v>7</v>
      </c>
      <c r="N753" t="str">
        <f t="shared" si="35"/>
        <v>Regular</v>
      </c>
    </row>
    <row r="754" spans="1:14" x14ac:dyDescent="0.35">
      <c r="A754">
        <v>753</v>
      </c>
      <c r="B754">
        <v>43</v>
      </c>
      <c r="C754" t="str">
        <f t="shared" si="33"/>
        <v>Adult</v>
      </c>
      <c r="D754" t="s">
        <v>16</v>
      </c>
      <c r="E754" t="s">
        <v>17</v>
      </c>
      <c r="F754" t="s">
        <v>48</v>
      </c>
      <c r="G754">
        <v>110.06</v>
      </c>
      <c r="H754" t="s">
        <v>31</v>
      </c>
      <c r="I754" t="s">
        <v>15</v>
      </c>
      <c r="J754">
        <v>3.3</v>
      </c>
      <c r="K754">
        <v>20</v>
      </c>
      <c r="L754">
        <f t="shared" si="34"/>
        <v>88.048000000000002</v>
      </c>
      <c r="M754">
        <v>10</v>
      </c>
      <c r="N754" t="str">
        <f t="shared" si="35"/>
        <v>Loyal</v>
      </c>
    </row>
    <row r="755" spans="1:14" x14ac:dyDescent="0.35">
      <c r="A755">
        <v>754</v>
      </c>
      <c r="B755">
        <v>57</v>
      </c>
      <c r="C755" t="str">
        <f t="shared" si="33"/>
        <v>Adult</v>
      </c>
      <c r="D755" t="s">
        <v>16</v>
      </c>
      <c r="E755" t="s">
        <v>20</v>
      </c>
      <c r="F755" t="s">
        <v>36</v>
      </c>
      <c r="G755">
        <v>203.13</v>
      </c>
      <c r="H755" t="s">
        <v>24</v>
      </c>
      <c r="I755" t="s">
        <v>15</v>
      </c>
      <c r="J755">
        <v>3.3</v>
      </c>
      <c r="K755">
        <v>11</v>
      </c>
      <c r="L755">
        <f t="shared" si="34"/>
        <v>180.78569999999999</v>
      </c>
      <c r="M755">
        <v>3</v>
      </c>
      <c r="N755" t="str">
        <f t="shared" si="35"/>
        <v>New</v>
      </c>
    </row>
    <row r="756" spans="1:14" x14ac:dyDescent="0.35">
      <c r="A756">
        <v>755</v>
      </c>
      <c r="B756">
        <v>54</v>
      </c>
      <c r="C756" t="str">
        <f t="shared" si="33"/>
        <v>Adult</v>
      </c>
      <c r="D756" t="s">
        <v>16</v>
      </c>
      <c r="E756" t="s">
        <v>27</v>
      </c>
      <c r="F756" t="s">
        <v>49</v>
      </c>
      <c r="G756">
        <v>1829.89</v>
      </c>
      <c r="H756" t="s">
        <v>24</v>
      </c>
      <c r="I756" t="s">
        <v>15</v>
      </c>
      <c r="J756">
        <v>4.9000000000000004</v>
      </c>
      <c r="K756">
        <v>30</v>
      </c>
      <c r="L756">
        <f t="shared" si="34"/>
        <v>1280.923</v>
      </c>
      <c r="M756">
        <v>10</v>
      </c>
      <c r="N756" t="str">
        <f t="shared" si="35"/>
        <v>Loyal</v>
      </c>
    </row>
    <row r="757" spans="1:14" x14ac:dyDescent="0.35">
      <c r="A757">
        <v>756</v>
      </c>
      <c r="B757">
        <v>33</v>
      </c>
      <c r="C757" t="str">
        <f t="shared" si="33"/>
        <v>Adult</v>
      </c>
      <c r="D757" t="s">
        <v>11</v>
      </c>
      <c r="E757" t="s">
        <v>20</v>
      </c>
      <c r="F757" t="s">
        <v>21</v>
      </c>
      <c r="G757">
        <v>183.9</v>
      </c>
      <c r="H757" t="s">
        <v>31</v>
      </c>
      <c r="I757" t="s">
        <v>15</v>
      </c>
      <c r="J757">
        <v>2.6</v>
      </c>
      <c r="K757">
        <v>15</v>
      </c>
      <c r="L757">
        <f t="shared" si="34"/>
        <v>156.315</v>
      </c>
      <c r="M757">
        <v>5</v>
      </c>
      <c r="N757" t="str">
        <f t="shared" si="35"/>
        <v>Regular</v>
      </c>
    </row>
    <row r="758" spans="1:14" x14ac:dyDescent="0.35">
      <c r="A758">
        <v>757</v>
      </c>
      <c r="B758">
        <v>63</v>
      </c>
      <c r="C758" t="str">
        <f t="shared" si="33"/>
        <v>Senior</v>
      </c>
      <c r="D758" t="s">
        <v>11</v>
      </c>
      <c r="E758" t="s">
        <v>33</v>
      </c>
      <c r="F758" t="s">
        <v>34</v>
      </c>
      <c r="G758">
        <v>108.4</v>
      </c>
      <c r="H758" t="s">
        <v>19</v>
      </c>
      <c r="I758" t="s">
        <v>15</v>
      </c>
      <c r="J758">
        <v>2.6</v>
      </c>
      <c r="K758">
        <v>16</v>
      </c>
      <c r="L758">
        <f t="shared" si="34"/>
        <v>91.055999999999997</v>
      </c>
      <c r="M758">
        <v>3</v>
      </c>
      <c r="N758" t="str">
        <f t="shared" si="35"/>
        <v>New</v>
      </c>
    </row>
    <row r="759" spans="1:14" x14ac:dyDescent="0.35">
      <c r="A759">
        <v>758</v>
      </c>
      <c r="B759">
        <v>66</v>
      </c>
      <c r="C759" t="str">
        <f t="shared" si="33"/>
        <v>Senior</v>
      </c>
      <c r="D759" t="s">
        <v>16</v>
      </c>
      <c r="E759" t="s">
        <v>25</v>
      </c>
      <c r="F759" t="s">
        <v>26</v>
      </c>
      <c r="G759">
        <v>37.9</v>
      </c>
      <c r="H759" t="s">
        <v>24</v>
      </c>
      <c r="I759" t="s">
        <v>15</v>
      </c>
      <c r="J759">
        <v>3.5</v>
      </c>
      <c r="K759">
        <v>14</v>
      </c>
      <c r="L759">
        <f t="shared" si="34"/>
        <v>32.594000000000001</v>
      </c>
      <c r="M759">
        <v>7</v>
      </c>
      <c r="N759" t="str">
        <f t="shared" si="35"/>
        <v>Regular</v>
      </c>
    </row>
    <row r="760" spans="1:14" x14ac:dyDescent="0.35">
      <c r="A760">
        <v>759</v>
      </c>
      <c r="B760">
        <v>30</v>
      </c>
      <c r="C760" t="str">
        <f t="shared" si="33"/>
        <v>Youth</v>
      </c>
      <c r="D760" t="s">
        <v>16</v>
      </c>
      <c r="E760" t="s">
        <v>17</v>
      </c>
      <c r="F760" t="s">
        <v>35</v>
      </c>
      <c r="G760">
        <v>30.45</v>
      </c>
      <c r="H760" t="s">
        <v>31</v>
      </c>
      <c r="I760" t="s">
        <v>15</v>
      </c>
      <c r="J760">
        <v>3.6</v>
      </c>
      <c r="K760">
        <v>15</v>
      </c>
      <c r="L760">
        <f t="shared" si="34"/>
        <v>25.8825</v>
      </c>
      <c r="M760">
        <v>5</v>
      </c>
      <c r="N760" t="str">
        <f t="shared" si="35"/>
        <v>Regular</v>
      </c>
    </row>
    <row r="761" spans="1:14" x14ac:dyDescent="0.35">
      <c r="A761">
        <v>760</v>
      </c>
      <c r="B761">
        <v>55</v>
      </c>
      <c r="C761" t="str">
        <f t="shared" si="33"/>
        <v>Adult</v>
      </c>
      <c r="D761" t="s">
        <v>16</v>
      </c>
      <c r="E761" t="s">
        <v>20</v>
      </c>
      <c r="F761" t="s">
        <v>36</v>
      </c>
      <c r="G761">
        <v>54.84</v>
      </c>
      <c r="H761" t="s">
        <v>19</v>
      </c>
      <c r="I761" t="s">
        <v>37</v>
      </c>
      <c r="J761">
        <v>1.1000000000000001</v>
      </c>
      <c r="K761">
        <v>8</v>
      </c>
      <c r="L761">
        <f t="shared" si="34"/>
        <v>50.452800000000003</v>
      </c>
      <c r="M761">
        <v>4</v>
      </c>
      <c r="N761" t="str">
        <f t="shared" si="35"/>
        <v>Regular</v>
      </c>
    </row>
    <row r="762" spans="1:14" x14ac:dyDescent="0.35">
      <c r="A762">
        <v>761</v>
      </c>
      <c r="B762">
        <v>35</v>
      </c>
      <c r="C762" t="str">
        <f t="shared" si="33"/>
        <v>Adult</v>
      </c>
      <c r="D762" t="s">
        <v>11</v>
      </c>
      <c r="E762" t="s">
        <v>12</v>
      </c>
      <c r="F762" t="s">
        <v>50</v>
      </c>
      <c r="G762">
        <v>154.72</v>
      </c>
      <c r="H762" t="s">
        <v>19</v>
      </c>
      <c r="I762" t="s">
        <v>15</v>
      </c>
      <c r="J762">
        <v>3.2</v>
      </c>
      <c r="K762">
        <v>26</v>
      </c>
      <c r="L762">
        <f t="shared" si="34"/>
        <v>114.4928</v>
      </c>
      <c r="M762">
        <v>8</v>
      </c>
      <c r="N762" t="str">
        <f t="shared" si="35"/>
        <v>Loyal</v>
      </c>
    </row>
    <row r="763" spans="1:14" x14ac:dyDescent="0.35">
      <c r="A763">
        <v>762</v>
      </c>
      <c r="B763">
        <v>33</v>
      </c>
      <c r="C763" t="str">
        <f t="shared" si="33"/>
        <v>Adult</v>
      </c>
      <c r="D763" t="s">
        <v>16</v>
      </c>
      <c r="E763" t="s">
        <v>27</v>
      </c>
      <c r="F763" t="s">
        <v>53</v>
      </c>
      <c r="G763">
        <v>2603.54</v>
      </c>
      <c r="H763" t="s">
        <v>14</v>
      </c>
      <c r="I763" t="s">
        <v>15</v>
      </c>
      <c r="J763">
        <v>4.4000000000000004</v>
      </c>
      <c r="K763">
        <v>12</v>
      </c>
      <c r="L763">
        <f t="shared" si="34"/>
        <v>2291.1152000000002</v>
      </c>
      <c r="M763">
        <v>6</v>
      </c>
      <c r="N763" t="str">
        <f t="shared" si="35"/>
        <v>Regular</v>
      </c>
    </row>
    <row r="764" spans="1:14" x14ac:dyDescent="0.35">
      <c r="A764">
        <v>763</v>
      </c>
      <c r="B764">
        <v>28</v>
      </c>
      <c r="C764" t="str">
        <f t="shared" si="33"/>
        <v>Youth</v>
      </c>
      <c r="D764" t="s">
        <v>16</v>
      </c>
      <c r="E764" t="s">
        <v>33</v>
      </c>
      <c r="F764" t="s">
        <v>38</v>
      </c>
      <c r="G764">
        <v>192.41</v>
      </c>
      <c r="H764" t="s">
        <v>24</v>
      </c>
      <c r="I764" t="s">
        <v>15</v>
      </c>
      <c r="J764">
        <v>3.2</v>
      </c>
      <c r="K764">
        <v>8</v>
      </c>
      <c r="L764">
        <f t="shared" si="34"/>
        <v>177.0172</v>
      </c>
      <c r="M764">
        <v>4</v>
      </c>
      <c r="N764" t="str">
        <f t="shared" si="35"/>
        <v>Regular</v>
      </c>
    </row>
    <row r="765" spans="1:14" x14ac:dyDescent="0.35">
      <c r="A765">
        <v>764</v>
      </c>
      <c r="B765">
        <v>38</v>
      </c>
      <c r="C765" t="str">
        <f t="shared" si="33"/>
        <v>Adult</v>
      </c>
      <c r="D765" t="s">
        <v>16</v>
      </c>
      <c r="E765" t="s">
        <v>20</v>
      </c>
      <c r="F765" t="s">
        <v>36</v>
      </c>
      <c r="G765">
        <v>248.91</v>
      </c>
      <c r="H765" t="s">
        <v>14</v>
      </c>
      <c r="I765" t="s">
        <v>15</v>
      </c>
      <c r="J765">
        <v>4.8</v>
      </c>
      <c r="K765">
        <v>26</v>
      </c>
      <c r="L765">
        <f t="shared" si="34"/>
        <v>184.1934</v>
      </c>
      <c r="M765">
        <v>8</v>
      </c>
      <c r="N765" t="str">
        <f t="shared" si="35"/>
        <v>Loyal</v>
      </c>
    </row>
    <row r="766" spans="1:14" x14ac:dyDescent="0.35">
      <c r="A766">
        <v>765</v>
      </c>
      <c r="B766">
        <v>51</v>
      </c>
      <c r="C766" t="str">
        <f t="shared" si="33"/>
        <v>Adult</v>
      </c>
      <c r="D766" t="s">
        <v>16</v>
      </c>
      <c r="E766" t="s">
        <v>25</v>
      </c>
      <c r="F766" t="s">
        <v>57</v>
      </c>
      <c r="G766">
        <v>43.81</v>
      </c>
      <c r="H766" t="s">
        <v>24</v>
      </c>
      <c r="I766" t="s">
        <v>37</v>
      </c>
      <c r="J766">
        <v>4.0999999999999996</v>
      </c>
      <c r="K766">
        <v>7</v>
      </c>
      <c r="L766">
        <f t="shared" si="34"/>
        <v>40.743299999999998</v>
      </c>
      <c r="M766">
        <v>1</v>
      </c>
      <c r="N766" t="str">
        <f t="shared" si="35"/>
        <v>New</v>
      </c>
    </row>
    <row r="767" spans="1:14" x14ac:dyDescent="0.35">
      <c r="A767">
        <v>766</v>
      </c>
      <c r="B767">
        <v>24</v>
      </c>
      <c r="C767" t="str">
        <f t="shared" si="33"/>
        <v>Youth</v>
      </c>
      <c r="D767" t="s">
        <v>16</v>
      </c>
      <c r="E767" t="s">
        <v>25</v>
      </c>
      <c r="F767" t="s">
        <v>54</v>
      </c>
      <c r="G767">
        <v>63.21</v>
      </c>
      <c r="H767" t="s">
        <v>19</v>
      </c>
      <c r="I767" t="s">
        <v>37</v>
      </c>
      <c r="J767">
        <v>4</v>
      </c>
      <c r="K767">
        <v>10</v>
      </c>
      <c r="L767">
        <f t="shared" si="34"/>
        <v>56.889000000000003</v>
      </c>
      <c r="M767">
        <v>5</v>
      </c>
      <c r="N767" t="str">
        <f t="shared" si="35"/>
        <v>Regular</v>
      </c>
    </row>
    <row r="768" spans="1:14" x14ac:dyDescent="0.35">
      <c r="A768">
        <v>767</v>
      </c>
      <c r="B768">
        <v>62</v>
      </c>
      <c r="C768" t="str">
        <f t="shared" si="33"/>
        <v>Senior</v>
      </c>
      <c r="D768" t="s">
        <v>16</v>
      </c>
      <c r="E768" t="s">
        <v>22</v>
      </c>
      <c r="F768" t="s">
        <v>23</v>
      </c>
      <c r="G768">
        <v>98</v>
      </c>
      <c r="H768" t="s">
        <v>19</v>
      </c>
      <c r="I768" t="s">
        <v>37</v>
      </c>
      <c r="J768">
        <v>5</v>
      </c>
      <c r="K768">
        <v>28</v>
      </c>
      <c r="L768">
        <f t="shared" si="34"/>
        <v>70.56</v>
      </c>
      <c r="M768">
        <v>9</v>
      </c>
      <c r="N768" t="str">
        <f t="shared" si="35"/>
        <v>Loyal</v>
      </c>
    </row>
    <row r="769" spans="1:14" x14ac:dyDescent="0.35">
      <c r="A769">
        <v>768</v>
      </c>
      <c r="B769">
        <v>63</v>
      </c>
      <c r="C769" t="str">
        <f t="shared" si="33"/>
        <v>Senior</v>
      </c>
      <c r="D769" t="s">
        <v>16</v>
      </c>
      <c r="E769" t="s">
        <v>20</v>
      </c>
      <c r="F769" t="s">
        <v>36</v>
      </c>
      <c r="G769">
        <v>117.1</v>
      </c>
      <c r="H769" t="s">
        <v>14</v>
      </c>
      <c r="I769" t="s">
        <v>15</v>
      </c>
      <c r="J769">
        <v>3.6</v>
      </c>
      <c r="K769">
        <v>8</v>
      </c>
      <c r="L769">
        <f t="shared" si="34"/>
        <v>107.732</v>
      </c>
      <c r="M769">
        <v>4</v>
      </c>
      <c r="N769" t="str">
        <f t="shared" si="35"/>
        <v>Regular</v>
      </c>
    </row>
    <row r="770" spans="1:14" x14ac:dyDescent="0.35">
      <c r="A770">
        <v>769</v>
      </c>
      <c r="B770">
        <v>60</v>
      </c>
      <c r="C770" t="str">
        <f t="shared" si="33"/>
        <v>Adult</v>
      </c>
      <c r="D770" t="s">
        <v>11</v>
      </c>
      <c r="E770" t="s">
        <v>20</v>
      </c>
      <c r="F770" t="s">
        <v>39</v>
      </c>
      <c r="G770">
        <v>248.11</v>
      </c>
      <c r="H770" t="s">
        <v>14</v>
      </c>
      <c r="I770" t="s">
        <v>15</v>
      </c>
      <c r="J770">
        <v>3.9</v>
      </c>
      <c r="K770">
        <v>20</v>
      </c>
      <c r="L770">
        <f t="shared" si="34"/>
        <v>198.48800000000003</v>
      </c>
      <c r="M770">
        <v>5</v>
      </c>
      <c r="N770" t="str">
        <f t="shared" si="35"/>
        <v>Regular</v>
      </c>
    </row>
    <row r="771" spans="1:14" x14ac:dyDescent="0.35">
      <c r="A771">
        <v>770</v>
      </c>
      <c r="B771">
        <v>26</v>
      </c>
      <c r="C771" t="str">
        <f t="shared" ref="C771:C834" si="36">IF(B771&lt;=30,"Youth",IF(B771&lt;=45,"Adult",IF(B771&lt;=60,"Adult","Senior")))</f>
        <v>Youth</v>
      </c>
      <c r="D771" t="s">
        <v>11</v>
      </c>
      <c r="E771" t="s">
        <v>41</v>
      </c>
      <c r="F771" t="s">
        <v>46</v>
      </c>
      <c r="G771">
        <v>43.35</v>
      </c>
      <c r="H771" t="s">
        <v>19</v>
      </c>
      <c r="I771" t="s">
        <v>15</v>
      </c>
      <c r="J771">
        <v>4.4000000000000004</v>
      </c>
      <c r="K771">
        <v>14</v>
      </c>
      <c r="L771">
        <f t="shared" ref="L771:L834" si="37">G771*(1-K771/100)</f>
        <v>37.280999999999999</v>
      </c>
      <c r="M771">
        <v>7</v>
      </c>
      <c r="N771" t="str">
        <f t="shared" ref="N771:N834" si="38">IF(M771&lt;=3,"New",IF(M771&lt;=7,"Regular","Loyal"))</f>
        <v>Regular</v>
      </c>
    </row>
    <row r="772" spans="1:14" x14ac:dyDescent="0.35">
      <c r="A772">
        <v>771</v>
      </c>
      <c r="B772">
        <v>56</v>
      </c>
      <c r="C772" t="str">
        <f t="shared" si="36"/>
        <v>Adult</v>
      </c>
      <c r="D772" t="s">
        <v>11</v>
      </c>
      <c r="E772" t="s">
        <v>25</v>
      </c>
      <c r="F772" t="s">
        <v>57</v>
      </c>
      <c r="G772">
        <v>62.63</v>
      </c>
      <c r="H772" t="s">
        <v>14</v>
      </c>
      <c r="I772" t="s">
        <v>15</v>
      </c>
      <c r="J772">
        <v>3.7</v>
      </c>
      <c r="K772">
        <v>18</v>
      </c>
      <c r="L772">
        <f t="shared" si="37"/>
        <v>51.356600000000007</v>
      </c>
      <c r="M772">
        <v>4</v>
      </c>
      <c r="N772" t="str">
        <f t="shared" si="38"/>
        <v>Regular</v>
      </c>
    </row>
    <row r="773" spans="1:14" x14ac:dyDescent="0.35">
      <c r="A773">
        <v>772</v>
      </c>
      <c r="B773">
        <v>21</v>
      </c>
      <c r="C773" t="str">
        <f t="shared" si="36"/>
        <v>Youth</v>
      </c>
      <c r="D773" t="s">
        <v>11</v>
      </c>
      <c r="E773" t="s">
        <v>41</v>
      </c>
      <c r="F773" t="s">
        <v>45</v>
      </c>
      <c r="G773">
        <v>92.13</v>
      </c>
      <c r="H773" t="s">
        <v>24</v>
      </c>
      <c r="I773" t="s">
        <v>37</v>
      </c>
      <c r="J773">
        <v>3.5</v>
      </c>
      <c r="K773">
        <v>20</v>
      </c>
      <c r="L773">
        <f t="shared" si="37"/>
        <v>73.703999999999994</v>
      </c>
      <c r="M773">
        <v>5</v>
      </c>
      <c r="N773" t="str">
        <f t="shared" si="38"/>
        <v>Regular</v>
      </c>
    </row>
    <row r="774" spans="1:14" x14ac:dyDescent="0.35">
      <c r="A774">
        <v>773</v>
      </c>
      <c r="B774">
        <v>31</v>
      </c>
      <c r="C774" t="str">
        <f t="shared" si="36"/>
        <v>Adult</v>
      </c>
      <c r="D774" t="s">
        <v>11</v>
      </c>
      <c r="E774" t="s">
        <v>12</v>
      </c>
      <c r="F774" t="s">
        <v>56</v>
      </c>
      <c r="G774">
        <v>136.74</v>
      </c>
      <c r="H774" t="s">
        <v>24</v>
      </c>
      <c r="I774" t="s">
        <v>15</v>
      </c>
      <c r="J774">
        <v>2.9</v>
      </c>
      <c r="K774">
        <v>8</v>
      </c>
      <c r="L774">
        <f t="shared" si="37"/>
        <v>125.80080000000001</v>
      </c>
      <c r="M774">
        <v>4</v>
      </c>
      <c r="N774" t="str">
        <f t="shared" si="38"/>
        <v>Regular</v>
      </c>
    </row>
    <row r="775" spans="1:14" x14ac:dyDescent="0.35">
      <c r="A775">
        <v>774</v>
      </c>
      <c r="B775">
        <v>51</v>
      </c>
      <c r="C775" t="str">
        <f t="shared" si="36"/>
        <v>Adult</v>
      </c>
      <c r="D775" t="s">
        <v>11</v>
      </c>
      <c r="E775" t="s">
        <v>29</v>
      </c>
      <c r="F775" t="s">
        <v>51</v>
      </c>
      <c r="G775">
        <v>101.97</v>
      </c>
      <c r="H775" t="s">
        <v>14</v>
      </c>
      <c r="I775" t="s">
        <v>15</v>
      </c>
      <c r="J775">
        <v>3.4</v>
      </c>
      <c r="K775">
        <v>9</v>
      </c>
      <c r="L775">
        <f t="shared" si="37"/>
        <v>92.792699999999996</v>
      </c>
      <c r="M775">
        <v>2</v>
      </c>
      <c r="N775" t="str">
        <f t="shared" si="38"/>
        <v>New</v>
      </c>
    </row>
    <row r="776" spans="1:14" x14ac:dyDescent="0.35">
      <c r="A776">
        <v>775</v>
      </c>
      <c r="B776">
        <v>38</v>
      </c>
      <c r="C776" t="str">
        <f t="shared" si="36"/>
        <v>Adult</v>
      </c>
      <c r="D776" t="s">
        <v>11</v>
      </c>
      <c r="E776" t="s">
        <v>41</v>
      </c>
      <c r="F776" t="s">
        <v>45</v>
      </c>
      <c r="G776">
        <v>50.83</v>
      </c>
      <c r="H776" t="s">
        <v>14</v>
      </c>
      <c r="I776" t="s">
        <v>15</v>
      </c>
      <c r="J776">
        <v>3.9</v>
      </c>
      <c r="K776">
        <v>7</v>
      </c>
      <c r="L776">
        <f t="shared" si="37"/>
        <v>47.271899999999995</v>
      </c>
      <c r="M776">
        <v>1</v>
      </c>
      <c r="N776" t="str">
        <f t="shared" si="38"/>
        <v>New</v>
      </c>
    </row>
    <row r="777" spans="1:14" x14ac:dyDescent="0.35">
      <c r="A777">
        <v>776</v>
      </c>
      <c r="B777">
        <v>52</v>
      </c>
      <c r="C777" t="str">
        <f t="shared" si="36"/>
        <v>Adult</v>
      </c>
      <c r="D777" t="s">
        <v>16</v>
      </c>
      <c r="E777" t="s">
        <v>33</v>
      </c>
      <c r="F777" t="s">
        <v>38</v>
      </c>
      <c r="G777">
        <v>161.58000000000001</v>
      </c>
      <c r="H777" t="s">
        <v>19</v>
      </c>
      <c r="I777" t="s">
        <v>15</v>
      </c>
      <c r="J777">
        <v>2.6</v>
      </c>
      <c r="K777">
        <v>22</v>
      </c>
      <c r="L777">
        <f t="shared" si="37"/>
        <v>126.03240000000001</v>
      </c>
      <c r="M777">
        <v>11</v>
      </c>
      <c r="N777" t="str">
        <f t="shared" si="38"/>
        <v>Loyal</v>
      </c>
    </row>
    <row r="778" spans="1:14" x14ac:dyDescent="0.35">
      <c r="A778">
        <v>777</v>
      </c>
      <c r="B778">
        <v>36</v>
      </c>
      <c r="C778" t="str">
        <f t="shared" si="36"/>
        <v>Adult</v>
      </c>
      <c r="D778" t="s">
        <v>11</v>
      </c>
      <c r="E778" t="s">
        <v>25</v>
      </c>
      <c r="F778" t="s">
        <v>57</v>
      </c>
      <c r="G778">
        <v>11.85</v>
      </c>
      <c r="H778" t="s">
        <v>19</v>
      </c>
      <c r="I778" t="s">
        <v>37</v>
      </c>
      <c r="J778">
        <v>3.6</v>
      </c>
      <c r="K778">
        <v>19</v>
      </c>
      <c r="L778">
        <f t="shared" si="37"/>
        <v>9.5984999999999996</v>
      </c>
      <c r="M778">
        <v>7</v>
      </c>
      <c r="N778" t="str">
        <f t="shared" si="38"/>
        <v>Regular</v>
      </c>
    </row>
    <row r="779" spans="1:14" x14ac:dyDescent="0.35">
      <c r="A779">
        <v>778</v>
      </c>
      <c r="B779">
        <v>42</v>
      </c>
      <c r="C779" t="str">
        <f t="shared" si="36"/>
        <v>Adult</v>
      </c>
      <c r="D779" t="s">
        <v>16</v>
      </c>
      <c r="E779" t="s">
        <v>33</v>
      </c>
      <c r="F779" t="s">
        <v>40</v>
      </c>
      <c r="G779">
        <v>205.2</v>
      </c>
      <c r="H779" t="s">
        <v>24</v>
      </c>
      <c r="I779" t="s">
        <v>15</v>
      </c>
      <c r="J779">
        <v>2.9</v>
      </c>
      <c r="K779">
        <v>4</v>
      </c>
      <c r="L779">
        <f t="shared" si="37"/>
        <v>196.99199999999999</v>
      </c>
      <c r="M779">
        <v>2</v>
      </c>
      <c r="N779" t="str">
        <f t="shared" si="38"/>
        <v>New</v>
      </c>
    </row>
    <row r="780" spans="1:14" x14ac:dyDescent="0.35">
      <c r="A780">
        <v>779</v>
      </c>
      <c r="B780">
        <v>69</v>
      </c>
      <c r="C780" t="str">
        <f t="shared" si="36"/>
        <v>Senior</v>
      </c>
      <c r="D780" t="s">
        <v>16</v>
      </c>
      <c r="E780" t="s">
        <v>22</v>
      </c>
      <c r="F780" t="s">
        <v>43</v>
      </c>
      <c r="G780">
        <v>120.93</v>
      </c>
      <c r="H780" t="s">
        <v>31</v>
      </c>
      <c r="I780" t="s">
        <v>15</v>
      </c>
      <c r="J780">
        <v>4.5</v>
      </c>
      <c r="K780">
        <v>28</v>
      </c>
      <c r="L780">
        <f t="shared" si="37"/>
        <v>87.069600000000008</v>
      </c>
      <c r="M780">
        <v>9</v>
      </c>
      <c r="N780" t="str">
        <f t="shared" si="38"/>
        <v>Loyal</v>
      </c>
    </row>
    <row r="781" spans="1:14" x14ac:dyDescent="0.35">
      <c r="A781">
        <v>780</v>
      </c>
      <c r="B781">
        <v>67</v>
      </c>
      <c r="C781" t="str">
        <f t="shared" si="36"/>
        <v>Senior</v>
      </c>
      <c r="D781" t="s">
        <v>16</v>
      </c>
      <c r="E781" t="s">
        <v>17</v>
      </c>
      <c r="F781" t="s">
        <v>48</v>
      </c>
      <c r="G781">
        <v>35.68</v>
      </c>
      <c r="H781" t="s">
        <v>14</v>
      </c>
      <c r="I781" t="s">
        <v>37</v>
      </c>
      <c r="J781">
        <v>3.5</v>
      </c>
      <c r="K781">
        <v>10</v>
      </c>
      <c r="L781">
        <f t="shared" si="37"/>
        <v>32.112000000000002</v>
      </c>
      <c r="M781">
        <v>5</v>
      </c>
      <c r="N781" t="str">
        <f t="shared" si="38"/>
        <v>Regular</v>
      </c>
    </row>
    <row r="782" spans="1:14" x14ac:dyDescent="0.35">
      <c r="A782">
        <v>781</v>
      </c>
      <c r="B782">
        <v>69</v>
      </c>
      <c r="C782" t="str">
        <f t="shared" si="36"/>
        <v>Senior</v>
      </c>
      <c r="D782" t="s">
        <v>16</v>
      </c>
      <c r="E782" t="s">
        <v>20</v>
      </c>
      <c r="F782" t="s">
        <v>39</v>
      </c>
      <c r="G782">
        <v>109.07</v>
      </c>
      <c r="H782" t="s">
        <v>24</v>
      </c>
      <c r="I782" t="s">
        <v>15</v>
      </c>
      <c r="J782">
        <v>3.3</v>
      </c>
      <c r="K782">
        <v>10</v>
      </c>
      <c r="L782">
        <f t="shared" si="37"/>
        <v>98.162999999999997</v>
      </c>
      <c r="M782">
        <v>5</v>
      </c>
      <c r="N782" t="str">
        <f t="shared" si="38"/>
        <v>Regular</v>
      </c>
    </row>
    <row r="783" spans="1:14" x14ac:dyDescent="0.35">
      <c r="A783">
        <v>782</v>
      </c>
      <c r="B783">
        <v>30</v>
      </c>
      <c r="C783" t="str">
        <f t="shared" si="36"/>
        <v>Youth</v>
      </c>
      <c r="D783" t="s">
        <v>11</v>
      </c>
      <c r="E783" t="s">
        <v>33</v>
      </c>
      <c r="F783" t="s">
        <v>34</v>
      </c>
      <c r="G783">
        <v>109.86</v>
      </c>
      <c r="H783" t="s">
        <v>24</v>
      </c>
      <c r="I783" t="s">
        <v>15</v>
      </c>
      <c r="J783">
        <v>3.6</v>
      </c>
      <c r="K783">
        <v>9</v>
      </c>
      <c r="L783">
        <f t="shared" si="37"/>
        <v>99.9726</v>
      </c>
      <c r="M783">
        <v>2</v>
      </c>
      <c r="N783" t="str">
        <f t="shared" si="38"/>
        <v>New</v>
      </c>
    </row>
    <row r="784" spans="1:14" x14ac:dyDescent="0.35">
      <c r="A784">
        <v>783</v>
      </c>
      <c r="B784">
        <v>40</v>
      </c>
      <c r="C784" t="str">
        <f t="shared" si="36"/>
        <v>Adult</v>
      </c>
      <c r="D784" t="s">
        <v>11</v>
      </c>
      <c r="E784" t="s">
        <v>41</v>
      </c>
      <c r="F784" t="s">
        <v>44</v>
      </c>
      <c r="G784">
        <v>34.85</v>
      </c>
      <c r="H784" t="s">
        <v>31</v>
      </c>
      <c r="I784" t="s">
        <v>37</v>
      </c>
      <c r="J784">
        <v>3</v>
      </c>
      <c r="K784">
        <v>14</v>
      </c>
      <c r="L784">
        <f t="shared" si="37"/>
        <v>29.971</v>
      </c>
      <c r="M784">
        <v>2</v>
      </c>
      <c r="N784" t="str">
        <f t="shared" si="38"/>
        <v>New</v>
      </c>
    </row>
    <row r="785" spans="1:14" x14ac:dyDescent="0.35">
      <c r="A785">
        <v>784</v>
      </c>
      <c r="B785">
        <v>41</v>
      </c>
      <c r="C785" t="str">
        <f t="shared" si="36"/>
        <v>Adult</v>
      </c>
      <c r="D785" t="s">
        <v>11</v>
      </c>
      <c r="E785" t="s">
        <v>25</v>
      </c>
      <c r="F785" t="s">
        <v>26</v>
      </c>
      <c r="G785">
        <v>70.84</v>
      </c>
      <c r="H785" t="s">
        <v>14</v>
      </c>
      <c r="I785" t="s">
        <v>15</v>
      </c>
      <c r="J785">
        <v>4.4000000000000004</v>
      </c>
      <c r="K785">
        <v>12</v>
      </c>
      <c r="L785">
        <f t="shared" si="37"/>
        <v>62.339200000000005</v>
      </c>
      <c r="M785">
        <v>6</v>
      </c>
      <c r="N785" t="str">
        <f t="shared" si="38"/>
        <v>Regular</v>
      </c>
    </row>
    <row r="786" spans="1:14" x14ac:dyDescent="0.35">
      <c r="A786">
        <v>785</v>
      </c>
      <c r="B786">
        <v>20</v>
      </c>
      <c r="C786" t="str">
        <f t="shared" si="36"/>
        <v>Youth</v>
      </c>
      <c r="D786" t="s">
        <v>16</v>
      </c>
      <c r="E786" t="s">
        <v>33</v>
      </c>
      <c r="F786" t="s">
        <v>38</v>
      </c>
      <c r="G786">
        <v>170.06</v>
      </c>
      <c r="H786" t="s">
        <v>24</v>
      </c>
      <c r="I786" t="s">
        <v>15</v>
      </c>
      <c r="J786">
        <v>4.4000000000000004</v>
      </c>
      <c r="K786">
        <v>12</v>
      </c>
      <c r="L786">
        <f t="shared" si="37"/>
        <v>149.65280000000001</v>
      </c>
      <c r="M786">
        <v>1</v>
      </c>
      <c r="N786" t="str">
        <f t="shared" si="38"/>
        <v>New</v>
      </c>
    </row>
    <row r="787" spans="1:14" x14ac:dyDescent="0.35">
      <c r="A787">
        <v>786</v>
      </c>
      <c r="B787">
        <v>39</v>
      </c>
      <c r="C787" t="str">
        <f t="shared" si="36"/>
        <v>Adult</v>
      </c>
      <c r="D787" t="s">
        <v>11</v>
      </c>
      <c r="E787" t="s">
        <v>22</v>
      </c>
      <c r="F787" t="s">
        <v>43</v>
      </c>
      <c r="G787">
        <v>80.69</v>
      </c>
      <c r="H787" t="s">
        <v>19</v>
      </c>
      <c r="I787" t="s">
        <v>37</v>
      </c>
      <c r="J787">
        <v>3.8</v>
      </c>
      <c r="K787">
        <v>16</v>
      </c>
      <c r="L787">
        <f t="shared" si="37"/>
        <v>67.779600000000002</v>
      </c>
      <c r="M787">
        <v>8</v>
      </c>
      <c r="N787" t="str">
        <f t="shared" si="38"/>
        <v>Loyal</v>
      </c>
    </row>
    <row r="788" spans="1:14" x14ac:dyDescent="0.35">
      <c r="A788">
        <v>787</v>
      </c>
      <c r="B788">
        <v>54</v>
      </c>
      <c r="C788" t="str">
        <f t="shared" si="36"/>
        <v>Adult</v>
      </c>
      <c r="D788" t="s">
        <v>16</v>
      </c>
      <c r="E788" t="s">
        <v>27</v>
      </c>
      <c r="F788" t="s">
        <v>49</v>
      </c>
      <c r="G788">
        <v>980.43</v>
      </c>
      <c r="H788" t="s">
        <v>31</v>
      </c>
      <c r="I788" t="s">
        <v>15</v>
      </c>
      <c r="J788">
        <v>3.6</v>
      </c>
      <c r="K788">
        <v>14</v>
      </c>
      <c r="L788">
        <f t="shared" si="37"/>
        <v>843.1697999999999</v>
      </c>
      <c r="M788">
        <v>2</v>
      </c>
      <c r="N788" t="str">
        <f t="shared" si="38"/>
        <v>New</v>
      </c>
    </row>
    <row r="789" spans="1:14" x14ac:dyDescent="0.35">
      <c r="A789">
        <v>788</v>
      </c>
      <c r="B789">
        <v>66</v>
      </c>
      <c r="C789" t="str">
        <f t="shared" si="36"/>
        <v>Senior</v>
      </c>
      <c r="D789" t="s">
        <v>16</v>
      </c>
      <c r="E789" t="s">
        <v>20</v>
      </c>
      <c r="F789" t="s">
        <v>21</v>
      </c>
      <c r="G789">
        <v>103.3</v>
      </c>
      <c r="H789" t="s">
        <v>19</v>
      </c>
      <c r="I789" t="s">
        <v>15</v>
      </c>
      <c r="J789">
        <v>2.6</v>
      </c>
      <c r="K789">
        <v>6</v>
      </c>
      <c r="L789">
        <f t="shared" si="37"/>
        <v>97.10199999999999</v>
      </c>
      <c r="M789">
        <v>3</v>
      </c>
      <c r="N789" t="str">
        <f t="shared" si="38"/>
        <v>New</v>
      </c>
    </row>
    <row r="790" spans="1:14" x14ac:dyDescent="0.35">
      <c r="A790">
        <v>789</v>
      </c>
      <c r="B790">
        <v>39</v>
      </c>
      <c r="C790" t="str">
        <f t="shared" si="36"/>
        <v>Adult</v>
      </c>
      <c r="D790" t="s">
        <v>16</v>
      </c>
      <c r="E790" t="s">
        <v>20</v>
      </c>
      <c r="F790" t="s">
        <v>21</v>
      </c>
      <c r="G790">
        <v>245.18</v>
      </c>
      <c r="H790" t="s">
        <v>24</v>
      </c>
      <c r="I790" t="s">
        <v>15</v>
      </c>
      <c r="J790">
        <v>4</v>
      </c>
      <c r="K790">
        <v>20</v>
      </c>
      <c r="L790">
        <f t="shared" si="37"/>
        <v>196.14400000000001</v>
      </c>
      <c r="M790">
        <v>5</v>
      </c>
      <c r="N790" t="str">
        <f t="shared" si="38"/>
        <v>Regular</v>
      </c>
    </row>
    <row r="791" spans="1:14" x14ac:dyDescent="0.35">
      <c r="A791">
        <v>790</v>
      </c>
      <c r="B791">
        <v>39</v>
      </c>
      <c r="C791" t="str">
        <f t="shared" si="36"/>
        <v>Adult</v>
      </c>
      <c r="D791" t="s">
        <v>11</v>
      </c>
      <c r="E791" t="s">
        <v>12</v>
      </c>
      <c r="F791" t="s">
        <v>13</v>
      </c>
      <c r="G791">
        <v>128.03</v>
      </c>
      <c r="H791" t="s">
        <v>19</v>
      </c>
      <c r="I791" t="s">
        <v>15</v>
      </c>
      <c r="J791">
        <v>3.7</v>
      </c>
      <c r="K791">
        <v>8</v>
      </c>
      <c r="L791">
        <f t="shared" si="37"/>
        <v>117.78760000000001</v>
      </c>
      <c r="M791">
        <v>4</v>
      </c>
      <c r="N791" t="str">
        <f t="shared" si="38"/>
        <v>Regular</v>
      </c>
    </row>
    <row r="792" spans="1:14" x14ac:dyDescent="0.35">
      <c r="A792">
        <v>791</v>
      </c>
      <c r="B792">
        <v>21</v>
      </c>
      <c r="C792" t="str">
        <f t="shared" si="36"/>
        <v>Youth</v>
      </c>
      <c r="D792" t="s">
        <v>16</v>
      </c>
      <c r="E792" t="s">
        <v>20</v>
      </c>
      <c r="F792" t="s">
        <v>36</v>
      </c>
      <c r="G792">
        <v>231.08</v>
      </c>
      <c r="H792" t="s">
        <v>19</v>
      </c>
      <c r="I792" t="s">
        <v>15</v>
      </c>
      <c r="J792">
        <v>4.7</v>
      </c>
      <c r="K792">
        <v>18</v>
      </c>
      <c r="L792">
        <f t="shared" si="37"/>
        <v>189.48560000000003</v>
      </c>
      <c r="M792">
        <v>4</v>
      </c>
      <c r="N792" t="str">
        <f t="shared" si="38"/>
        <v>Regular</v>
      </c>
    </row>
    <row r="793" spans="1:14" x14ac:dyDescent="0.35">
      <c r="A793">
        <v>792</v>
      </c>
      <c r="B793">
        <v>60</v>
      </c>
      <c r="C793" t="str">
        <f t="shared" si="36"/>
        <v>Adult</v>
      </c>
      <c r="D793" t="s">
        <v>11</v>
      </c>
      <c r="E793" t="s">
        <v>41</v>
      </c>
      <c r="F793" t="s">
        <v>42</v>
      </c>
      <c r="G793">
        <v>48.29</v>
      </c>
      <c r="H793" t="s">
        <v>24</v>
      </c>
      <c r="I793" t="s">
        <v>37</v>
      </c>
      <c r="J793">
        <v>3.9</v>
      </c>
      <c r="K793">
        <v>22</v>
      </c>
      <c r="L793">
        <f t="shared" si="37"/>
        <v>37.666200000000003</v>
      </c>
      <c r="M793">
        <v>6</v>
      </c>
      <c r="N793" t="str">
        <f t="shared" si="38"/>
        <v>Regular</v>
      </c>
    </row>
    <row r="794" spans="1:14" x14ac:dyDescent="0.35">
      <c r="A794">
        <v>793</v>
      </c>
      <c r="B794">
        <v>27</v>
      </c>
      <c r="C794" t="str">
        <f t="shared" si="36"/>
        <v>Youth</v>
      </c>
      <c r="D794" t="s">
        <v>16</v>
      </c>
      <c r="E794" t="s">
        <v>27</v>
      </c>
      <c r="F794" t="s">
        <v>49</v>
      </c>
      <c r="G794">
        <v>677.89</v>
      </c>
      <c r="H794" t="s">
        <v>31</v>
      </c>
      <c r="I794" t="s">
        <v>15</v>
      </c>
      <c r="J794">
        <v>3.3</v>
      </c>
      <c r="K794">
        <v>16</v>
      </c>
      <c r="L794">
        <f t="shared" si="37"/>
        <v>569.42759999999998</v>
      </c>
      <c r="M794">
        <v>8</v>
      </c>
      <c r="N794" t="str">
        <f t="shared" si="38"/>
        <v>Loyal</v>
      </c>
    </row>
    <row r="795" spans="1:14" x14ac:dyDescent="0.35">
      <c r="A795">
        <v>794</v>
      </c>
      <c r="B795">
        <v>36</v>
      </c>
      <c r="C795" t="str">
        <f t="shared" si="36"/>
        <v>Adult</v>
      </c>
      <c r="D795" t="s">
        <v>16</v>
      </c>
      <c r="E795" t="s">
        <v>20</v>
      </c>
      <c r="F795" t="s">
        <v>21</v>
      </c>
      <c r="G795">
        <v>163.62</v>
      </c>
      <c r="H795" t="s">
        <v>24</v>
      </c>
      <c r="I795" t="s">
        <v>15</v>
      </c>
      <c r="J795">
        <v>2.9</v>
      </c>
      <c r="K795">
        <v>15</v>
      </c>
      <c r="L795">
        <f t="shared" si="37"/>
        <v>139.077</v>
      </c>
      <c r="M795">
        <v>5</v>
      </c>
      <c r="N795" t="str">
        <f t="shared" si="38"/>
        <v>Regular</v>
      </c>
    </row>
    <row r="796" spans="1:14" x14ac:dyDescent="0.35">
      <c r="A796">
        <v>795</v>
      </c>
      <c r="B796">
        <v>21</v>
      </c>
      <c r="C796" t="str">
        <f t="shared" si="36"/>
        <v>Youth</v>
      </c>
      <c r="D796" t="s">
        <v>11</v>
      </c>
      <c r="E796" t="s">
        <v>25</v>
      </c>
      <c r="F796" t="s">
        <v>47</v>
      </c>
      <c r="G796">
        <v>23.18</v>
      </c>
      <c r="H796" t="s">
        <v>19</v>
      </c>
      <c r="I796" t="s">
        <v>15</v>
      </c>
      <c r="J796">
        <v>4.4000000000000004</v>
      </c>
      <c r="K796">
        <v>11</v>
      </c>
      <c r="L796">
        <f t="shared" si="37"/>
        <v>20.630199999999999</v>
      </c>
      <c r="M796">
        <v>3</v>
      </c>
      <c r="N796" t="str">
        <f t="shared" si="38"/>
        <v>New</v>
      </c>
    </row>
    <row r="797" spans="1:14" x14ac:dyDescent="0.35">
      <c r="A797">
        <v>796</v>
      </c>
      <c r="B797">
        <v>63</v>
      </c>
      <c r="C797" t="str">
        <f t="shared" si="36"/>
        <v>Senior</v>
      </c>
      <c r="D797" t="s">
        <v>16</v>
      </c>
      <c r="E797" t="s">
        <v>20</v>
      </c>
      <c r="F797" t="s">
        <v>39</v>
      </c>
      <c r="G797">
        <v>136.33000000000001</v>
      </c>
      <c r="H797" t="s">
        <v>14</v>
      </c>
      <c r="I797" t="s">
        <v>15</v>
      </c>
      <c r="J797">
        <v>4.5999999999999996</v>
      </c>
      <c r="K797">
        <v>15</v>
      </c>
      <c r="L797">
        <f t="shared" si="37"/>
        <v>115.88050000000001</v>
      </c>
      <c r="M797">
        <v>5</v>
      </c>
      <c r="N797" t="str">
        <f t="shared" si="38"/>
        <v>Regular</v>
      </c>
    </row>
    <row r="798" spans="1:14" x14ac:dyDescent="0.35">
      <c r="A798">
        <v>797</v>
      </c>
      <c r="B798">
        <v>67</v>
      </c>
      <c r="C798" t="str">
        <f t="shared" si="36"/>
        <v>Senior</v>
      </c>
      <c r="D798" t="s">
        <v>16</v>
      </c>
      <c r="E798" t="s">
        <v>27</v>
      </c>
      <c r="F798" t="s">
        <v>49</v>
      </c>
      <c r="G798">
        <v>2406.63</v>
      </c>
      <c r="H798" t="s">
        <v>24</v>
      </c>
      <c r="I798" t="s">
        <v>15</v>
      </c>
      <c r="J798">
        <v>3.2</v>
      </c>
      <c r="K798">
        <v>16</v>
      </c>
      <c r="L798">
        <f t="shared" si="37"/>
        <v>2021.5691999999999</v>
      </c>
      <c r="M798">
        <v>3</v>
      </c>
      <c r="N798" t="str">
        <f t="shared" si="38"/>
        <v>New</v>
      </c>
    </row>
    <row r="799" spans="1:14" x14ac:dyDescent="0.35">
      <c r="A799">
        <v>798</v>
      </c>
      <c r="B799">
        <v>27</v>
      </c>
      <c r="C799" t="str">
        <f t="shared" si="36"/>
        <v>Youth</v>
      </c>
      <c r="D799" t="s">
        <v>16</v>
      </c>
      <c r="E799" t="s">
        <v>33</v>
      </c>
      <c r="F799" t="s">
        <v>40</v>
      </c>
      <c r="G799">
        <v>172.16</v>
      </c>
      <c r="H799" t="s">
        <v>24</v>
      </c>
      <c r="I799" t="s">
        <v>15</v>
      </c>
      <c r="J799">
        <v>3.4</v>
      </c>
      <c r="K799">
        <v>14</v>
      </c>
      <c r="L799">
        <f t="shared" si="37"/>
        <v>148.05760000000001</v>
      </c>
      <c r="M799">
        <v>7</v>
      </c>
      <c r="N799" t="str">
        <f t="shared" si="38"/>
        <v>Regular</v>
      </c>
    </row>
    <row r="800" spans="1:14" x14ac:dyDescent="0.35">
      <c r="A800">
        <v>799</v>
      </c>
      <c r="B800">
        <v>69</v>
      </c>
      <c r="C800" t="str">
        <f t="shared" si="36"/>
        <v>Senior</v>
      </c>
      <c r="D800" t="s">
        <v>16</v>
      </c>
      <c r="E800" t="s">
        <v>33</v>
      </c>
      <c r="F800" t="s">
        <v>40</v>
      </c>
      <c r="G800">
        <v>242.66</v>
      </c>
      <c r="H800" t="s">
        <v>19</v>
      </c>
      <c r="I800" t="s">
        <v>15</v>
      </c>
      <c r="J800">
        <v>5</v>
      </c>
      <c r="K800">
        <v>2</v>
      </c>
      <c r="L800">
        <f t="shared" si="37"/>
        <v>237.80679999999998</v>
      </c>
      <c r="M800">
        <v>1</v>
      </c>
      <c r="N800" t="str">
        <f t="shared" si="38"/>
        <v>New</v>
      </c>
    </row>
    <row r="801" spans="1:14" x14ac:dyDescent="0.35">
      <c r="A801">
        <v>800</v>
      </c>
      <c r="B801">
        <v>64</v>
      </c>
      <c r="C801" t="str">
        <f t="shared" si="36"/>
        <v>Senior</v>
      </c>
      <c r="D801" t="s">
        <v>16</v>
      </c>
      <c r="E801" t="s">
        <v>20</v>
      </c>
      <c r="F801" t="s">
        <v>21</v>
      </c>
      <c r="G801">
        <v>99.39</v>
      </c>
      <c r="H801" t="s">
        <v>14</v>
      </c>
      <c r="I801" t="s">
        <v>15</v>
      </c>
      <c r="J801">
        <v>3.6</v>
      </c>
      <c r="K801">
        <v>16</v>
      </c>
      <c r="L801">
        <f t="shared" si="37"/>
        <v>83.4876</v>
      </c>
      <c r="M801">
        <v>8</v>
      </c>
      <c r="N801" t="str">
        <f t="shared" si="38"/>
        <v>Loyal</v>
      </c>
    </row>
    <row r="802" spans="1:14" x14ac:dyDescent="0.35">
      <c r="A802">
        <v>801</v>
      </c>
      <c r="B802">
        <v>62</v>
      </c>
      <c r="C802" t="str">
        <f t="shared" si="36"/>
        <v>Senior</v>
      </c>
      <c r="D802" t="s">
        <v>11</v>
      </c>
      <c r="E802" t="s">
        <v>29</v>
      </c>
      <c r="F802" t="s">
        <v>30</v>
      </c>
      <c r="G802">
        <v>36.869999999999997</v>
      </c>
      <c r="H802" t="s">
        <v>24</v>
      </c>
      <c r="I802" t="s">
        <v>15</v>
      </c>
      <c r="J802">
        <v>4.7</v>
      </c>
      <c r="K802">
        <v>23</v>
      </c>
      <c r="L802">
        <f t="shared" si="37"/>
        <v>28.389899999999997</v>
      </c>
      <c r="M802">
        <v>9</v>
      </c>
      <c r="N802" t="str">
        <f t="shared" si="38"/>
        <v>Loyal</v>
      </c>
    </row>
    <row r="803" spans="1:14" x14ac:dyDescent="0.35">
      <c r="A803">
        <v>802</v>
      </c>
      <c r="B803">
        <v>55</v>
      </c>
      <c r="C803" t="str">
        <f t="shared" si="36"/>
        <v>Adult</v>
      </c>
      <c r="D803" t="s">
        <v>16</v>
      </c>
      <c r="E803" t="s">
        <v>27</v>
      </c>
      <c r="F803" t="s">
        <v>49</v>
      </c>
      <c r="G803">
        <v>2855.84</v>
      </c>
      <c r="H803" t="s">
        <v>14</v>
      </c>
      <c r="I803" t="s">
        <v>15</v>
      </c>
      <c r="J803">
        <v>3.7</v>
      </c>
      <c r="K803">
        <v>11</v>
      </c>
      <c r="L803">
        <f t="shared" si="37"/>
        <v>2541.6976</v>
      </c>
      <c r="M803">
        <v>3</v>
      </c>
      <c r="N803" t="str">
        <f t="shared" si="38"/>
        <v>New</v>
      </c>
    </row>
    <row r="804" spans="1:14" x14ac:dyDescent="0.35">
      <c r="A804">
        <v>803</v>
      </c>
      <c r="B804">
        <v>49</v>
      </c>
      <c r="C804" t="str">
        <f t="shared" si="36"/>
        <v>Adult</v>
      </c>
      <c r="D804" t="s">
        <v>11</v>
      </c>
      <c r="E804" t="s">
        <v>12</v>
      </c>
      <c r="F804" t="s">
        <v>13</v>
      </c>
      <c r="G804">
        <v>135.05000000000001</v>
      </c>
      <c r="H804" t="s">
        <v>19</v>
      </c>
      <c r="I804" t="s">
        <v>15</v>
      </c>
      <c r="J804">
        <v>2.9</v>
      </c>
      <c r="K804">
        <v>6</v>
      </c>
      <c r="L804">
        <f t="shared" si="37"/>
        <v>126.947</v>
      </c>
      <c r="M804">
        <v>3</v>
      </c>
      <c r="N804" t="str">
        <f t="shared" si="38"/>
        <v>New</v>
      </c>
    </row>
    <row r="805" spans="1:14" x14ac:dyDescent="0.35">
      <c r="A805">
        <v>804</v>
      </c>
      <c r="B805">
        <v>34</v>
      </c>
      <c r="C805" t="str">
        <f t="shared" si="36"/>
        <v>Adult</v>
      </c>
      <c r="D805" t="s">
        <v>16</v>
      </c>
      <c r="E805" t="s">
        <v>20</v>
      </c>
      <c r="F805" t="s">
        <v>21</v>
      </c>
      <c r="G805">
        <v>49.52</v>
      </c>
      <c r="H805" t="s">
        <v>19</v>
      </c>
      <c r="I805" t="s">
        <v>37</v>
      </c>
      <c r="J805">
        <v>2.2999999999999998</v>
      </c>
      <c r="K805">
        <v>9</v>
      </c>
      <c r="L805">
        <f t="shared" si="37"/>
        <v>45.063200000000002</v>
      </c>
      <c r="M805">
        <v>2</v>
      </c>
      <c r="N805" t="str">
        <f t="shared" si="38"/>
        <v>New</v>
      </c>
    </row>
    <row r="806" spans="1:14" x14ac:dyDescent="0.35">
      <c r="A806">
        <v>805</v>
      </c>
      <c r="B806">
        <v>42</v>
      </c>
      <c r="C806" t="str">
        <f t="shared" si="36"/>
        <v>Adult</v>
      </c>
      <c r="D806" t="s">
        <v>16</v>
      </c>
      <c r="E806" t="s">
        <v>33</v>
      </c>
      <c r="F806" t="s">
        <v>40</v>
      </c>
      <c r="G806">
        <v>161.18</v>
      </c>
      <c r="H806" t="s">
        <v>19</v>
      </c>
      <c r="I806" t="s">
        <v>15</v>
      </c>
      <c r="J806">
        <v>4.5</v>
      </c>
      <c r="K806">
        <v>20</v>
      </c>
      <c r="L806">
        <f t="shared" si="37"/>
        <v>128.94400000000002</v>
      </c>
      <c r="M806">
        <v>5</v>
      </c>
      <c r="N806" t="str">
        <f t="shared" si="38"/>
        <v>Regular</v>
      </c>
    </row>
    <row r="807" spans="1:14" x14ac:dyDescent="0.35">
      <c r="A807">
        <v>806</v>
      </c>
      <c r="B807">
        <v>70</v>
      </c>
      <c r="C807" t="str">
        <f t="shared" si="36"/>
        <v>Senior</v>
      </c>
      <c r="D807" t="s">
        <v>11</v>
      </c>
      <c r="E807" t="s">
        <v>25</v>
      </c>
      <c r="F807" t="s">
        <v>54</v>
      </c>
      <c r="G807">
        <v>36.299999999999997</v>
      </c>
      <c r="H807" t="s">
        <v>24</v>
      </c>
      <c r="I807" t="s">
        <v>15</v>
      </c>
      <c r="J807">
        <v>3.1</v>
      </c>
      <c r="K807">
        <v>12</v>
      </c>
      <c r="L807">
        <f t="shared" si="37"/>
        <v>31.943999999999999</v>
      </c>
      <c r="M807">
        <v>6</v>
      </c>
      <c r="N807" t="str">
        <f t="shared" si="38"/>
        <v>Regular</v>
      </c>
    </row>
    <row r="808" spans="1:14" x14ac:dyDescent="0.35">
      <c r="A808">
        <v>807</v>
      </c>
      <c r="B808">
        <v>42</v>
      </c>
      <c r="C808" t="str">
        <f t="shared" si="36"/>
        <v>Adult</v>
      </c>
      <c r="D808" t="s">
        <v>16</v>
      </c>
      <c r="E808" t="s">
        <v>27</v>
      </c>
      <c r="F808" t="s">
        <v>28</v>
      </c>
      <c r="G808">
        <v>2889.05</v>
      </c>
      <c r="H808" t="s">
        <v>19</v>
      </c>
      <c r="I808" t="s">
        <v>15</v>
      </c>
      <c r="J808">
        <v>4.0999999999999996</v>
      </c>
      <c r="K808">
        <v>12</v>
      </c>
      <c r="L808">
        <f t="shared" si="37"/>
        <v>2542.364</v>
      </c>
      <c r="M808">
        <v>1</v>
      </c>
      <c r="N808" t="str">
        <f t="shared" si="38"/>
        <v>New</v>
      </c>
    </row>
    <row r="809" spans="1:14" x14ac:dyDescent="0.35">
      <c r="A809">
        <v>808</v>
      </c>
      <c r="B809">
        <v>49</v>
      </c>
      <c r="C809" t="str">
        <f t="shared" si="36"/>
        <v>Adult</v>
      </c>
      <c r="D809" t="s">
        <v>11</v>
      </c>
      <c r="E809" t="s">
        <v>33</v>
      </c>
      <c r="F809" t="s">
        <v>34</v>
      </c>
      <c r="G809">
        <v>185.74</v>
      </c>
      <c r="H809" t="s">
        <v>19</v>
      </c>
      <c r="I809" t="s">
        <v>15</v>
      </c>
      <c r="J809">
        <v>2.5</v>
      </c>
      <c r="K809">
        <v>13</v>
      </c>
      <c r="L809">
        <f t="shared" si="37"/>
        <v>161.59380000000002</v>
      </c>
      <c r="M809">
        <v>4</v>
      </c>
      <c r="N809" t="str">
        <f t="shared" si="38"/>
        <v>Regular</v>
      </c>
    </row>
    <row r="810" spans="1:14" x14ac:dyDescent="0.35">
      <c r="A810">
        <v>809</v>
      </c>
      <c r="B810">
        <v>57</v>
      </c>
      <c r="C810" t="str">
        <f t="shared" si="36"/>
        <v>Adult</v>
      </c>
      <c r="D810" t="s">
        <v>11</v>
      </c>
      <c r="E810" t="s">
        <v>41</v>
      </c>
      <c r="F810" t="s">
        <v>46</v>
      </c>
      <c r="G810">
        <v>149.82</v>
      </c>
      <c r="H810" t="s">
        <v>19</v>
      </c>
      <c r="I810" t="s">
        <v>15</v>
      </c>
      <c r="J810">
        <v>3.3</v>
      </c>
      <c r="K810">
        <v>16</v>
      </c>
      <c r="L810">
        <f t="shared" si="37"/>
        <v>125.84879999999998</v>
      </c>
      <c r="M810">
        <v>8</v>
      </c>
      <c r="N810" t="str">
        <f t="shared" si="38"/>
        <v>Loyal</v>
      </c>
    </row>
    <row r="811" spans="1:14" x14ac:dyDescent="0.35">
      <c r="A811">
        <v>810</v>
      </c>
      <c r="B811">
        <v>45</v>
      </c>
      <c r="C811" t="str">
        <f t="shared" si="36"/>
        <v>Adult</v>
      </c>
      <c r="D811" t="s">
        <v>11</v>
      </c>
      <c r="E811" t="s">
        <v>20</v>
      </c>
      <c r="F811" t="s">
        <v>36</v>
      </c>
      <c r="G811">
        <v>159.87</v>
      </c>
      <c r="H811" t="s">
        <v>24</v>
      </c>
      <c r="I811" t="s">
        <v>15</v>
      </c>
      <c r="J811">
        <v>3.6</v>
      </c>
      <c r="K811">
        <v>11</v>
      </c>
      <c r="L811">
        <f t="shared" si="37"/>
        <v>142.2843</v>
      </c>
      <c r="M811">
        <v>3</v>
      </c>
      <c r="N811" t="str">
        <f t="shared" si="38"/>
        <v>New</v>
      </c>
    </row>
    <row r="812" spans="1:14" x14ac:dyDescent="0.35">
      <c r="A812">
        <v>811</v>
      </c>
      <c r="B812">
        <v>47</v>
      </c>
      <c r="C812" t="str">
        <f t="shared" si="36"/>
        <v>Adult</v>
      </c>
      <c r="D812" t="s">
        <v>11</v>
      </c>
      <c r="E812" t="s">
        <v>33</v>
      </c>
      <c r="F812" t="s">
        <v>40</v>
      </c>
      <c r="G812">
        <v>116.66</v>
      </c>
      <c r="H812" t="s">
        <v>19</v>
      </c>
      <c r="I812" t="s">
        <v>15</v>
      </c>
      <c r="J812">
        <v>4.0999999999999996</v>
      </c>
      <c r="K812">
        <v>16</v>
      </c>
      <c r="L812">
        <f t="shared" si="37"/>
        <v>97.994399999999999</v>
      </c>
      <c r="M812">
        <v>8</v>
      </c>
      <c r="N812" t="str">
        <f t="shared" si="38"/>
        <v>Loyal</v>
      </c>
    </row>
    <row r="813" spans="1:14" x14ac:dyDescent="0.35">
      <c r="A813">
        <v>812</v>
      </c>
      <c r="B813">
        <v>60</v>
      </c>
      <c r="C813" t="str">
        <f t="shared" si="36"/>
        <v>Adult</v>
      </c>
      <c r="D813" t="s">
        <v>16</v>
      </c>
      <c r="E813" t="s">
        <v>33</v>
      </c>
      <c r="F813" t="s">
        <v>34</v>
      </c>
      <c r="G813">
        <v>69.97</v>
      </c>
      <c r="H813" t="s">
        <v>24</v>
      </c>
      <c r="I813" t="s">
        <v>15</v>
      </c>
      <c r="J813">
        <v>4.5999999999999996</v>
      </c>
      <c r="K813">
        <v>24</v>
      </c>
      <c r="L813">
        <f t="shared" si="37"/>
        <v>53.177199999999999</v>
      </c>
      <c r="M813">
        <v>7</v>
      </c>
      <c r="N813" t="str">
        <f t="shared" si="38"/>
        <v>Regular</v>
      </c>
    </row>
    <row r="814" spans="1:14" x14ac:dyDescent="0.35">
      <c r="A814">
        <v>813</v>
      </c>
      <c r="B814">
        <v>43</v>
      </c>
      <c r="C814" t="str">
        <f t="shared" si="36"/>
        <v>Adult</v>
      </c>
      <c r="D814" t="s">
        <v>11</v>
      </c>
      <c r="E814" t="s">
        <v>33</v>
      </c>
      <c r="F814" t="s">
        <v>40</v>
      </c>
      <c r="G814">
        <v>243.54</v>
      </c>
      <c r="H814" t="s">
        <v>24</v>
      </c>
      <c r="I814" t="s">
        <v>15</v>
      </c>
      <c r="J814">
        <v>4.0999999999999996</v>
      </c>
      <c r="K814">
        <v>22</v>
      </c>
      <c r="L814">
        <f t="shared" si="37"/>
        <v>189.96119999999999</v>
      </c>
      <c r="M814">
        <v>6</v>
      </c>
      <c r="N814" t="str">
        <f t="shared" si="38"/>
        <v>Regular</v>
      </c>
    </row>
    <row r="815" spans="1:14" x14ac:dyDescent="0.35">
      <c r="A815">
        <v>814</v>
      </c>
      <c r="B815">
        <v>64</v>
      </c>
      <c r="C815" t="str">
        <f t="shared" si="36"/>
        <v>Senior</v>
      </c>
      <c r="D815" t="s">
        <v>16</v>
      </c>
      <c r="E815" t="s">
        <v>20</v>
      </c>
      <c r="F815" t="s">
        <v>21</v>
      </c>
      <c r="G815">
        <v>182</v>
      </c>
      <c r="H815" t="s">
        <v>31</v>
      </c>
      <c r="I815" t="s">
        <v>15</v>
      </c>
      <c r="J815">
        <v>4.5</v>
      </c>
      <c r="K815">
        <v>11</v>
      </c>
      <c r="L815">
        <f t="shared" si="37"/>
        <v>161.97999999999999</v>
      </c>
      <c r="M815">
        <v>3</v>
      </c>
      <c r="N815" t="str">
        <f t="shared" si="38"/>
        <v>New</v>
      </c>
    </row>
    <row r="816" spans="1:14" x14ac:dyDescent="0.35">
      <c r="A816">
        <v>815</v>
      </c>
      <c r="B816">
        <v>55</v>
      </c>
      <c r="C816" t="str">
        <f t="shared" si="36"/>
        <v>Adult</v>
      </c>
      <c r="D816" t="s">
        <v>11</v>
      </c>
      <c r="E816" t="s">
        <v>29</v>
      </c>
      <c r="F816" t="s">
        <v>51</v>
      </c>
      <c r="G816">
        <v>129.26</v>
      </c>
      <c r="H816" t="s">
        <v>19</v>
      </c>
      <c r="I816" t="s">
        <v>15</v>
      </c>
      <c r="J816">
        <v>3.2</v>
      </c>
      <c r="K816">
        <v>8</v>
      </c>
      <c r="L816">
        <f t="shared" si="37"/>
        <v>118.9192</v>
      </c>
      <c r="M816">
        <v>4</v>
      </c>
      <c r="N816" t="str">
        <f t="shared" si="38"/>
        <v>Regular</v>
      </c>
    </row>
    <row r="817" spans="1:14" x14ac:dyDescent="0.35">
      <c r="A817">
        <v>816</v>
      </c>
      <c r="B817">
        <v>62</v>
      </c>
      <c r="C817" t="str">
        <f t="shared" si="36"/>
        <v>Senior</v>
      </c>
      <c r="D817" t="s">
        <v>11</v>
      </c>
      <c r="E817" t="s">
        <v>33</v>
      </c>
      <c r="F817" t="s">
        <v>34</v>
      </c>
      <c r="G817">
        <v>199.51</v>
      </c>
      <c r="H817" t="s">
        <v>19</v>
      </c>
      <c r="I817" t="s">
        <v>15</v>
      </c>
      <c r="J817">
        <v>5</v>
      </c>
      <c r="K817">
        <v>26</v>
      </c>
      <c r="L817">
        <f t="shared" si="37"/>
        <v>147.63739999999999</v>
      </c>
      <c r="M817">
        <v>13</v>
      </c>
      <c r="N817" t="str">
        <f t="shared" si="38"/>
        <v>Loyal</v>
      </c>
    </row>
    <row r="818" spans="1:14" x14ac:dyDescent="0.35">
      <c r="A818">
        <v>817</v>
      </c>
      <c r="B818">
        <v>48</v>
      </c>
      <c r="C818" t="str">
        <f t="shared" si="36"/>
        <v>Adult</v>
      </c>
      <c r="D818" t="s">
        <v>11</v>
      </c>
      <c r="E818" t="s">
        <v>25</v>
      </c>
      <c r="F818" t="s">
        <v>26</v>
      </c>
      <c r="G818">
        <v>42.88</v>
      </c>
      <c r="H818" t="s">
        <v>31</v>
      </c>
      <c r="I818" t="s">
        <v>37</v>
      </c>
      <c r="J818">
        <v>3.9</v>
      </c>
      <c r="K818">
        <v>22</v>
      </c>
      <c r="L818">
        <f t="shared" si="37"/>
        <v>33.446400000000004</v>
      </c>
      <c r="M818">
        <v>6</v>
      </c>
      <c r="N818" t="str">
        <f t="shared" si="38"/>
        <v>Regular</v>
      </c>
    </row>
    <row r="819" spans="1:14" x14ac:dyDescent="0.35">
      <c r="A819">
        <v>818</v>
      </c>
      <c r="B819">
        <v>65</v>
      </c>
      <c r="C819" t="str">
        <f t="shared" si="36"/>
        <v>Senior</v>
      </c>
      <c r="D819" t="s">
        <v>11</v>
      </c>
      <c r="E819" t="s">
        <v>41</v>
      </c>
      <c r="F819" t="s">
        <v>44</v>
      </c>
      <c r="G819">
        <v>108.5</v>
      </c>
      <c r="H819" t="s">
        <v>31</v>
      </c>
      <c r="I819" t="s">
        <v>15</v>
      </c>
      <c r="J819">
        <v>3.4</v>
      </c>
      <c r="K819">
        <v>16</v>
      </c>
      <c r="L819">
        <f t="shared" si="37"/>
        <v>91.14</v>
      </c>
      <c r="M819">
        <v>8</v>
      </c>
      <c r="N819" t="str">
        <f t="shared" si="38"/>
        <v>Loyal</v>
      </c>
    </row>
    <row r="820" spans="1:14" x14ac:dyDescent="0.35">
      <c r="A820">
        <v>819</v>
      </c>
      <c r="B820">
        <v>27</v>
      </c>
      <c r="C820" t="str">
        <f t="shared" si="36"/>
        <v>Youth</v>
      </c>
      <c r="D820" t="s">
        <v>11</v>
      </c>
      <c r="E820" t="s">
        <v>29</v>
      </c>
      <c r="F820" t="s">
        <v>51</v>
      </c>
      <c r="G820">
        <v>38.35</v>
      </c>
      <c r="H820" t="s">
        <v>31</v>
      </c>
      <c r="I820" t="s">
        <v>37</v>
      </c>
      <c r="J820">
        <v>5</v>
      </c>
      <c r="K820">
        <v>13</v>
      </c>
      <c r="L820">
        <f t="shared" si="37"/>
        <v>33.3645</v>
      </c>
      <c r="M820">
        <v>4</v>
      </c>
      <c r="N820" t="str">
        <f t="shared" si="38"/>
        <v>Regular</v>
      </c>
    </row>
    <row r="821" spans="1:14" x14ac:dyDescent="0.35">
      <c r="A821">
        <v>820</v>
      </c>
      <c r="B821">
        <v>68</v>
      </c>
      <c r="C821" t="str">
        <f t="shared" si="36"/>
        <v>Senior</v>
      </c>
      <c r="D821" t="s">
        <v>11</v>
      </c>
      <c r="E821" t="s">
        <v>25</v>
      </c>
      <c r="F821" t="s">
        <v>47</v>
      </c>
      <c r="G821">
        <v>28.85</v>
      </c>
      <c r="H821" t="s">
        <v>31</v>
      </c>
      <c r="I821" t="s">
        <v>15</v>
      </c>
      <c r="J821">
        <v>4.4000000000000004</v>
      </c>
      <c r="K821">
        <v>17</v>
      </c>
      <c r="L821">
        <f t="shared" si="37"/>
        <v>23.945499999999999</v>
      </c>
      <c r="M821">
        <v>6</v>
      </c>
      <c r="N821" t="str">
        <f t="shared" si="38"/>
        <v>Regular</v>
      </c>
    </row>
    <row r="822" spans="1:14" x14ac:dyDescent="0.35">
      <c r="A822">
        <v>821</v>
      </c>
      <c r="B822">
        <v>64</v>
      </c>
      <c r="C822" t="str">
        <f t="shared" si="36"/>
        <v>Senior</v>
      </c>
      <c r="D822" t="s">
        <v>16</v>
      </c>
      <c r="E822" t="s">
        <v>27</v>
      </c>
      <c r="F822" t="s">
        <v>49</v>
      </c>
      <c r="G822">
        <v>1305.74</v>
      </c>
      <c r="H822" t="s">
        <v>31</v>
      </c>
      <c r="I822" t="s">
        <v>15</v>
      </c>
      <c r="J822">
        <v>4.8</v>
      </c>
      <c r="K822">
        <v>12</v>
      </c>
      <c r="L822">
        <f t="shared" si="37"/>
        <v>1149.0512000000001</v>
      </c>
      <c r="M822">
        <v>6</v>
      </c>
      <c r="N822" t="str">
        <f t="shared" si="38"/>
        <v>Regular</v>
      </c>
    </row>
    <row r="823" spans="1:14" x14ac:dyDescent="0.35">
      <c r="A823">
        <v>822</v>
      </c>
      <c r="B823">
        <v>31</v>
      </c>
      <c r="C823" t="str">
        <f t="shared" si="36"/>
        <v>Adult</v>
      </c>
      <c r="D823" t="s">
        <v>16</v>
      </c>
      <c r="E823" t="s">
        <v>27</v>
      </c>
      <c r="F823" t="s">
        <v>28</v>
      </c>
      <c r="G823">
        <v>2370.9899999999998</v>
      </c>
      <c r="H823" t="s">
        <v>19</v>
      </c>
      <c r="I823" t="s">
        <v>15</v>
      </c>
      <c r="J823">
        <v>3.6</v>
      </c>
      <c r="K823">
        <v>20</v>
      </c>
      <c r="L823">
        <f t="shared" si="37"/>
        <v>1896.7919999999999</v>
      </c>
      <c r="M823">
        <v>5</v>
      </c>
      <c r="N823" t="str">
        <f t="shared" si="38"/>
        <v>Regular</v>
      </c>
    </row>
    <row r="824" spans="1:14" x14ac:dyDescent="0.35">
      <c r="A824">
        <v>823</v>
      </c>
      <c r="B824">
        <v>56</v>
      </c>
      <c r="C824" t="str">
        <f t="shared" si="36"/>
        <v>Adult</v>
      </c>
      <c r="D824" t="s">
        <v>11</v>
      </c>
      <c r="E824" t="s">
        <v>20</v>
      </c>
      <c r="F824" t="s">
        <v>21</v>
      </c>
      <c r="G824">
        <v>197.64</v>
      </c>
      <c r="H824" t="s">
        <v>31</v>
      </c>
      <c r="I824" t="s">
        <v>15</v>
      </c>
      <c r="J824">
        <v>5</v>
      </c>
      <c r="K824">
        <v>22</v>
      </c>
      <c r="L824">
        <f t="shared" si="37"/>
        <v>154.1592</v>
      </c>
      <c r="M824">
        <v>6</v>
      </c>
      <c r="N824" t="str">
        <f t="shared" si="38"/>
        <v>Regular</v>
      </c>
    </row>
    <row r="825" spans="1:14" x14ac:dyDescent="0.35">
      <c r="A825">
        <v>824</v>
      </c>
      <c r="B825">
        <v>55</v>
      </c>
      <c r="C825" t="str">
        <f t="shared" si="36"/>
        <v>Adult</v>
      </c>
      <c r="D825" t="s">
        <v>11</v>
      </c>
      <c r="E825" t="s">
        <v>41</v>
      </c>
      <c r="F825" t="s">
        <v>45</v>
      </c>
      <c r="G825">
        <v>33.4</v>
      </c>
      <c r="H825" t="s">
        <v>31</v>
      </c>
      <c r="I825" t="s">
        <v>37</v>
      </c>
      <c r="J825">
        <v>4.9000000000000004</v>
      </c>
      <c r="K825">
        <v>14</v>
      </c>
      <c r="L825">
        <f t="shared" si="37"/>
        <v>28.723999999999997</v>
      </c>
      <c r="M825">
        <v>2</v>
      </c>
      <c r="N825" t="str">
        <f t="shared" si="38"/>
        <v>New</v>
      </c>
    </row>
    <row r="826" spans="1:14" x14ac:dyDescent="0.35">
      <c r="A826">
        <v>825</v>
      </c>
      <c r="B826">
        <v>57</v>
      </c>
      <c r="C826" t="str">
        <f t="shared" si="36"/>
        <v>Adult</v>
      </c>
      <c r="D826" t="s">
        <v>11</v>
      </c>
      <c r="E826" t="s">
        <v>25</v>
      </c>
      <c r="F826" t="s">
        <v>57</v>
      </c>
      <c r="G826">
        <v>68.77</v>
      </c>
      <c r="H826" t="s">
        <v>19</v>
      </c>
      <c r="I826" t="s">
        <v>15</v>
      </c>
      <c r="J826">
        <v>4.2</v>
      </c>
      <c r="K826">
        <v>32</v>
      </c>
      <c r="L826">
        <f t="shared" si="37"/>
        <v>46.76359999999999</v>
      </c>
      <c r="M826">
        <v>11</v>
      </c>
      <c r="N826" t="str">
        <f t="shared" si="38"/>
        <v>Loyal</v>
      </c>
    </row>
    <row r="827" spans="1:14" x14ac:dyDescent="0.35">
      <c r="A827">
        <v>826</v>
      </c>
      <c r="B827">
        <v>36</v>
      </c>
      <c r="C827" t="str">
        <f t="shared" si="36"/>
        <v>Adult</v>
      </c>
      <c r="D827" t="s">
        <v>11</v>
      </c>
      <c r="E827" t="s">
        <v>41</v>
      </c>
      <c r="F827" t="s">
        <v>42</v>
      </c>
      <c r="G827">
        <v>42.75</v>
      </c>
      <c r="H827" t="s">
        <v>31</v>
      </c>
      <c r="I827" t="s">
        <v>15</v>
      </c>
      <c r="J827">
        <v>3.8</v>
      </c>
      <c r="K827">
        <v>17</v>
      </c>
      <c r="L827">
        <f t="shared" si="37"/>
        <v>35.482500000000002</v>
      </c>
      <c r="M827">
        <v>6</v>
      </c>
      <c r="N827" t="str">
        <f t="shared" si="38"/>
        <v>Regular</v>
      </c>
    </row>
    <row r="828" spans="1:14" x14ac:dyDescent="0.35">
      <c r="A828">
        <v>827</v>
      </c>
      <c r="B828">
        <v>41</v>
      </c>
      <c r="C828" t="str">
        <f t="shared" si="36"/>
        <v>Adult</v>
      </c>
      <c r="D828" t="s">
        <v>11</v>
      </c>
      <c r="E828" t="s">
        <v>22</v>
      </c>
      <c r="F828" t="s">
        <v>23</v>
      </c>
      <c r="G828">
        <v>157.96</v>
      </c>
      <c r="H828" t="s">
        <v>31</v>
      </c>
      <c r="I828" t="s">
        <v>15</v>
      </c>
      <c r="J828">
        <v>4.4000000000000004</v>
      </c>
      <c r="K828">
        <v>10</v>
      </c>
      <c r="L828">
        <f t="shared" si="37"/>
        <v>142.16400000000002</v>
      </c>
      <c r="M828">
        <v>5</v>
      </c>
      <c r="N828" t="str">
        <f t="shared" si="38"/>
        <v>Regular</v>
      </c>
    </row>
    <row r="829" spans="1:14" x14ac:dyDescent="0.35">
      <c r="A829">
        <v>828</v>
      </c>
      <c r="B829">
        <v>38</v>
      </c>
      <c r="C829" t="str">
        <f t="shared" si="36"/>
        <v>Adult</v>
      </c>
      <c r="D829" t="s">
        <v>16</v>
      </c>
      <c r="E829" t="s">
        <v>27</v>
      </c>
      <c r="F829" t="s">
        <v>53</v>
      </c>
      <c r="G829">
        <v>2502.52</v>
      </c>
      <c r="H829" t="s">
        <v>14</v>
      </c>
      <c r="I829" t="s">
        <v>15</v>
      </c>
      <c r="J829">
        <v>2.9</v>
      </c>
      <c r="K829">
        <v>15</v>
      </c>
      <c r="L829">
        <f t="shared" si="37"/>
        <v>2127.1419999999998</v>
      </c>
      <c r="M829">
        <v>5</v>
      </c>
      <c r="N829" t="str">
        <f t="shared" si="38"/>
        <v>Regular</v>
      </c>
    </row>
    <row r="830" spans="1:14" x14ac:dyDescent="0.35">
      <c r="A830">
        <v>829</v>
      </c>
      <c r="B830">
        <v>43</v>
      </c>
      <c r="C830" t="str">
        <f t="shared" si="36"/>
        <v>Adult</v>
      </c>
      <c r="D830" t="s">
        <v>11</v>
      </c>
      <c r="E830" t="s">
        <v>20</v>
      </c>
      <c r="F830" t="s">
        <v>36</v>
      </c>
      <c r="G830">
        <v>93.26</v>
      </c>
      <c r="H830" t="s">
        <v>24</v>
      </c>
      <c r="I830" t="s">
        <v>15</v>
      </c>
      <c r="J830">
        <v>4.3</v>
      </c>
      <c r="K830">
        <v>10</v>
      </c>
      <c r="L830">
        <f t="shared" si="37"/>
        <v>83.934000000000012</v>
      </c>
      <c r="M830">
        <v>5</v>
      </c>
      <c r="N830" t="str">
        <f t="shared" si="38"/>
        <v>Regular</v>
      </c>
    </row>
    <row r="831" spans="1:14" x14ac:dyDescent="0.35">
      <c r="A831">
        <v>830</v>
      </c>
      <c r="B831">
        <v>46</v>
      </c>
      <c r="C831" t="str">
        <f t="shared" si="36"/>
        <v>Adult</v>
      </c>
      <c r="D831" t="s">
        <v>16</v>
      </c>
      <c r="E831" t="s">
        <v>33</v>
      </c>
      <c r="F831" t="s">
        <v>38</v>
      </c>
      <c r="G831">
        <v>160.09</v>
      </c>
      <c r="H831" t="s">
        <v>14</v>
      </c>
      <c r="I831" t="s">
        <v>15</v>
      </c>
      <c r="J831">
        <v>4</v>
      </c>
      <c r="K831">
        <v>8</v>
      </c>
      <c r="L831">
        <f t="shared" si="37"/>
        <v>147.28280000000001</v>
      </c>
      <c r="M831">
        <v>4</v>
      </c>
      <c r="N831" t="str">
        <f t="shared" si="38"/>
        <v>Regular</v>
      </c>
    </row>
    <row r="832" spans="1:14" x14ac:dyDescent="0.35">
      <c r="A832">
        <v>831</v>
      </c>
      <c r="B832">
        <v>38</v>
      </c>
      <c r="C832" t="str">
        <f t="shared" si="36"/>
        <v>Adult</v>
      </c>
      <c r="D832" t="s">
        <v>16</v>
      </c>
      <c r="E832" t="s">
        <v>27</v>
      </c>
      <c r="F832" t="s">
        <v>53</v>
      </c>
      <c r="G832">
        <v>2841.72</v>
      </c>
      <c r="H832" t="s">
        <v>14</v>
      </c>
      <c r="I832" t="s">
        <v>15</v>
      </c>
      <c r="J832">
        <v>4</v>
      </c>
      <c r="K832">
        <v>23</v>
      </c>
      <c r="L832">
        <f t="shared" si="37"/>
        <v>2188.1243999999997</v>
      </c>
      <c r="M832">
        <v>9</v>
      </c>
      <c r="N832" t="str">
        <f t="shared" si="38"/>
        <v>Loyal</v>
      </c>
    </row>
    <row r="833" spans="1:14" x14ac:dyDescent="0.35">
      <c r="A833">
        <v>832</v>
      </c>
      <c r="B833">
        <v>32</v>
      </c>
      <c r="C833" t="str">
        <f t="shared" si="36"/>
        <v>Adult</v>
      </c>
      <c r="D833" t="s">
        <v>16</v>
      </c>
      <c r="E833" t="s">
        <v>22</v>
      </c>
      <c r="F833" t="s">
        <v>23</v>
      </c>
      <c r="G833">
        <v>220.24</v>
      </c>
      <c r="H833" t="s">
        <v>31</v>
      </c>
      <c r="I833" t="s">
        <v>15</v>
      </c>
      <c r="J833">
        <v>5</v>
      </c>
      <c r="K833">
        <v>16</v>
      </c>
      <c r="L833">
        <f t="shared" si="37"/>
        <v>185.0016</v>
      </c>
      <c r="M833">
        <v>3</v>
      </c>
      <c r="N833" t="str">
        <f t="shared" si="38"/>
        <v>New</v>
      </c>
    </row>
    <row r="834" spans="1:14" x14ac:dyDescent="0.35">
      <c r="A834">
        <v>833</v>
      </c>
      <c r="B834">
        <v>59</v>
      </c>
      <c r="C834" t="str">
        <f t="shared" si="36"/>
        <v>Adult</v>
      </c>
      <c r="D834" t="s">
        <v>16</v>
      </c>
      <c r="E834" t="s">
        <v>33</v>
      </c>
      <c r="F834" t="s">
        <v>38</v>
      </c>
      <c r="G834">
        <v>239.65</v>
      </c>
      <c r="H834" t="s">
        <v>24</v>
      </c>
      <c r="I834" t="s">
        <v>15</v>
      </c>
      <c r="J834">
        <v>2.7</v>
      </c>
      <c r="K834">
        <v>9</v>
      </c>
      <c r="L834">
        <f t="shared" si="37"/>
        <v>218.08150000000001</v>
      </c>
      <c r="M834">
        <v>2</v>
      </c>
      <c r="N834" t="str">
        <f t="shared" si="38"/>
        <v>New</v>
      </c>
    </row>
    <row r="835" spans="1:14" x14ac:dyDescent="0.35">
      <c r="A835">
        <v>834</v>
      </c>
      <c r="B835">
        <v>37</v>
      </c>
      <c r="C835" t="str">
        <f t="shared" ref="C835:C898" si="39">IF(B835&lt;=30,"Youth",IF(B835&lt;=45,"Adult",IF(B835&lt;=60,"Adult","Senior")))</f>
        <v>Adult</v>
      </c>
      <c r="D835" t="s">
        <v>11</v>
      </c>
      <c r="E835" t="s">
        <v>41</v>
      </c>
      <c r="F835" t="s">
        <v>42</v>
      </c>
      <c r="G835">
        <v>41.62</v>
      </c>
      <c r="H835" t="s">
        <v>24</v>
      </c>
      <c r="I835" t="s">
        <v>15</v>
      </c>
      <c r="J835">
        <v>3.5</v>
      </c>
      <c r="K835">
        <v>21</v>
      </c>
      <c r="L835">
        <f t="shared" ref="L835:L898" si="40">G835*(1-K835/100)</f>
        <v>32.879799999999996</v>
      </c>
      <c r="M835">
        <v>8</v>
      </c>
      <c r="N835" t="str">
        <f t="shared" ref="N835:N898" si="41">IF(M835&lt;=3,"New",IF(M835&lt;=7,"Regular","Loyal"))</f>
        <v>Loyal</v>
      </c>
    </row>
    <row r="836" spans="1:14" x14ac:dyDescent="0.35">
      <c r="A836">
        <v>835</v>
      </c>
      <c r="B836">
        <v>36</v>
      </c>
      <c r="C836" t="str">
        <f t="shared" si="39"/>
        <v>Adult</v>
      </c>
      <c r="D836" t="s">
        <v>16</v>
      </c>
      <c r="E836" t="s">
        <v>22</v>
      </c>
      <c r="F836" t="s">
        <v>43</v>
      </c>
      <c r="G836">
        <v>254.85</v>
      </c>
      <c r="H836" t="s">
        <v>31</v>
      </c>
      <c r="I836" t="s">
        <v>15</v>
      </c>
      <c r="J836">
        <v>3</v>
      </c>
      <c r="K836">
        <v>8</v>
      </c>
      <c r="L836">
        <f t="shared" si="40"/>
        <v>234.46200000000002</v>
      </c>
      <c r="M836">
        <v>4</v>
      </c>
      <c r="N836" t="str">
        <f t="shared" si="41"/>
        <v>Regular</v>
      </c>
    </row>
    <row r="837" spans="1:14" x14ac:dyDescent="0.35">
      <c r="A837">
        <v>836</v>
      </c>
      <c r="B837">
        <v>34</v>
      </c>
      <c r="C837" t="str">
        <f t="shared" si="39"/>
        <v>Adult</v>
      </c>
      <c r="D837" t="s">
        <v>11</v>
      </c>
      <c r="E837" t="s">
        <v>41</v>
      </c>
      <c r="F837" t="s">
        <v>46</v>
      </c>
      <c r="G837">
        <v>46.13</v>
      </c>
      <c r="H837" t="s">
        <v>31</v>
      </c>
      <c r="I837" t="s">
        <v>37</v>
      </c>
      <c r="J837">
        <v>3.5</v>
      </c>
      <c r="K837">
        <v>21</v>
      </c>
      <c r="L837">
        <f t="shared" si="40"/>
        <v>36.442700000000002</v>
      </c>
      <c r="M837">
        <v>8</v>
      </c>
      <c r="N837" t="str">
        <f t="shared" si="41"/>
        <v>Loyal</v>
      </c>
    </row>
    <row r="838" spans="1:14" x14ac:dyDescent="0.35">
      <c r="A838">
        <v>837</v>
      </c>
      <c r="B838">
        <v>62</v>
      </c>
      <c r="C838" t="str">
        <f t="shared" si="39"/>
        <v>Senior</v>
      </c>
      <c r="D838" t="s">
        <v>11</v>
      </c>
      <c r="E838" t="s">
        <v>12</v>
      </c>
      <c r="F838" t="s">
        <v>13</v>
      </c>
      <c r="G838">
        <v>144.18</v>
      </c>
      <c r="H838" t="s">
        <v>24</v>
      </c>
      <c r="I838" t="s">
        <v>15</v>
      </c>
      <c r="J838">
        <v>3.7</v>
      </c>
      <c r="K838">
        <v>6</v>
      </c>
      <c r="L838">
        <f t="shared" si="40"/>
        <v>135.5292</v>
      </c>
      <c r="M838">
        <v>3</v>
      </c>
      <c r="N838" t="str">
        <f t="shared" si="41"/>
        <v>New</v>
      </c>
    </row>
    <row r="839" spans="1:14" x14ac:dyDescent="0.35">
      <c r="A839">
        <v>838</v>
      </c>
      <c r="B839">
        <v>59</v>
      </c>
      <c r="C839" t="str">
        <f t="shared" si="39"/>
        <v>Adult</v>
      </c>
      <c r="D839" t="s">
        <v>16</v>
      </c>
      <c r="E839" t="s">
        <v>20</v>
      </c>
      <c r="F839" t="s">
        <v>21</v>
      </c>
      <c r="G839">
        <v>140.99</v>
      </c>
      <c r="H839" t="s">
        <v>19</v>
      </c>
      <c r="I839" t="s">
        <v>15</v>
      </c>
      <c r="J839">
        <v>2.7</v>
      </c>
      <c r="K839">
        <v>12</v>
      </c>
      <c r="L839">
        <f t="shared" si="40"/>
        <v>124.0712</v>
      </c>
      <c r="M839">
        <v>6</v>
      </c>
      <c r="N839" t="str">
        <f t="shared" si="41"/>
        <v>Regular</v>
      </c>
    </row>
    <row r="840" spans="1:14" x14ac:dyDescent="0.35">
      <c r="A840">
        <v>839</v>
      </c>
      <c r="B840">
        <v>38</v>
      </c>
      <c r="C840" t="str">
        <f t="shared" si="39"/>
        <v>Adult</v>
      </c>
      <c r="D840" t="s">
        <v>16</v>
      </c>
      <c r="E840" t="s">
        <v>22</v>
      </c>
      <c r="F840" t="s">
        <v>43</v>
      </c>
      <c r="G840">
        <v>140.12</v>
      </c>
      <c r="H840" t="s">
        <v>31</v>
      </c>
      <c r="I840" t="s">
        <v>15</v>
      </c>
      <c r="J840">
        <v>4.9000000000000004</v>
      </c>
      <c r="K840">
        <v>14</v>
      </c>
      <c r="L840">
        <f t="shared" si="40"/>
        <v>120.50320000000001</v>
      </c>
      <c r="M840">
        <v>7</v>
      </c>
      <c r="N840" t="str">
        <f t="shared" si="41"/>
        <v>Regular</v>
      </c>
    </row>
    <row r="841" spans="1:14" x14ac:dyDescent="0.35">
      <c r="A841">
        <v>840</v>
      </c>
      <c r="B841">
        <v>31</v>
      </c>
      <c r="C841" t="str">
        <f t="shared" si="39"/>
        <v>Adult</v>
      </c>
      <c r="D841" t="s">
        <v>16</v>
      </c>
      <c r="E841" t="s">
        <v>17</v>
      </c>
      <c r="F841" t="s">
        <v>48</v>
      </c>
      <c r="G841">
        <v>81.16</v>
      </c>
      <c r="H841" t="s">
        <v>14</v>
      </c>
      <c r="I841" t="s">
        <v>15</v>
      </c>
      <c r="J841">
        <v>3.9</v>
      </c>
      <c r="K841">
        <v>21</v>
      </c>
      <c r="L841">
        <f t="shared" si="40"/>
        <v>64.116399999999999</v>
      </c>
      <c r="M841">
        <v>8</v>
      </c>
      <c r="N841" t="str">
        <f t="shared" si="41"/>
        <v>Loyal</v>
      </c>
    </row>
    <row r="842" spans="1:14" x14ac:dyDescent="0.35">
      <c r="A842">
        <v>841</v>
      </c>
      <c r="B842">
        <v>40</v>
      </c>
      <c r="C842" t="str">
        <f t="shared" si="39"/>
        <v>Adult</v>
      </c>
      <c r="D842" t="s">
        <v>11</v>
      </c>
      <c r="E842" t="s">
        <v>12</v>
      </c>
      <c r="F842" t="s">
        <v>13</v>
      </c>
      <c r="G842">
        <v>74.23</v>
      </c>
      <c r="H842" t="s">
        <v>19</v>
      </c>
      <c r="I842" t="s">
        <v>15</v>
      </c>
      <c r="J842">
        <v>4.4000000000000004</v>
      </c>
      <c r="K842">
        <v>11</v>
      </c>
      <c r="L842">
        <f t="shared" si="40"/>
        <v>66.064700000000002</v>
      </c>
      <c r="M842">
        <v>3</v>
      </c>
      <c r="N842" t="str">
        <f t="shared" si="41"/>
        <v>New</v>
      </c>
    </row>
    <row r="843" spans="1:14" x14ac:dyDescent="0.35">
      <c r="A843">
        <v>842</v>
      </c>
      <c r="B843">
        <v>51</v>
      </c>
      <c r="C843" t="str">
        <f t="shared" si="39"/>
        <v>Adult</v>
      </c>
      <c r="D843" t="s">
        <v>11</v>
      </c>
      <c r="E843" t="s">
        <v>12</v>
      </c>
      <c r="F843" t="s">
        <v>50</v>
      </c>
      <c r="G843">
        <v>125.26</v>
      </c>
      <c r="H843" t="s">
        <v>19</v>
      </c>
      <c r="I843" t="s">
        <v>15</v>
      </c>
      <c r="J843">
        <v>4.7</v>
      </c>
      <c r="K843">
        <v>14</v>
      </c>
      <c r="L843">
        <f t="shared" si="40"/>
        <v>107.7236</v>
      </c>
      <c r="M843">
        <v>2</v>
      </c>
      <c r="N843" t="str">
        <f t="shared" si="41"/>
        <v>New</v>
      </c>
    </row>
    <row r="844" spans="1:14" x14ac:dyDescent="0.35">
      <c r="A844">
        <v>843</v>
      </c>
      <c r="B844">
        <v>24</v>
      </c>
      <c r="C844" t="str">
        <f t="shared" si="39"/>
        <v>Youth</v>
      </c>
      <c r="D844" t="s">
        <v>16</v>
      </c>
      <c r="E844" t="s">
        <v>33</v>
      </c>
      <c r="F844" t="s">
        <v>38</v>
      </c>
      <c r="G844">
        <v>214.97</v>
      </c>
      <c r="H844" t="s">
        <v>24</v>
      </c>
      <c r="I844" t="s">
        <v>15</v>
      </c>
      <c r="J844">
        <v>4.2</v>
      </c>
      <c r="K844">
        <v>19</v>
      </c>
      <c r="L844">
        <f t="shared" si="40"/>
        <v>174.12570000000002</v>
      </c>
      <c r="M844">
        <v>7</v>
      </c>
      <c r="N844" t="str">
        <f t="shared" si="41"/>
        <v>Regular</v>
      </c>
    </row>
    <row r="845" spans="1:14" x14ac:dyDescent="0.35">
      <c r="A845">
        <v>844</v>
      </c>
      <c r="B845">
        <v>23</v>
      </c>
      <c r="C845" t="str">
        <f t="shared" si="39"/>
        <v>Youth</v>
      </c>
      <c r="D845" t="s">
        <v>16</v>
      </c>
      <c r="E845" t="s">
        <v>27</v>
      </c>
      <c r="F845" t="s">
        <v>28</v>
      </c>
      <c r="G845">
        <v>1810.64</v>
      </c>
      <c r="H845" t="s">
        <v>14</v>
      </c>
      <c r="I845" t="s">
        <v>15</v>
      </c>
      <c r="J845">
        <v>4.5</v>
      </c>
      <c r="K845">
        <v>11</v>
      </c>
      <c r="L845">
        <f t="shared" si="40"/>
        <v>1611.4696000000001</v>
      </c>
      <c r="M845">
        <v>3</v>
      </c>
      <c r="N845" t="str">
        <f t="shared" si="41"/>
        <v>New</v>
      </c>
    </row>
    <row r="846" spans="1:14" x14ac:dyDescent="0.35">
      <c r="A846">
        <v>845</v>
      </c>
      <c r="B846">
        <v>33</v>
      </c>
      <c r="C846" t="str">
        <f t="shared" si="39"/>
        <v>Adult</v>
      </c>
      <c r="D846" t="s">
        <v>16</v>
      </c>
      <c r="E846" t="s">
        <v>17</v>
      </c>
      <c r="F846" t="s">
        <v>42</v>
      </c>
      <c r="G846">
        <v>140.65</v>
      </c>
      <c r="H846" t="s">
        <v>31</v>
      </c>
      <c r="I846" t="s">
        <v>15</v>
      </c>
      <c r="J846">
        <v>4.7</v>
      </c>
      <c r="K846">
        <v>20</v>
      </c>
      <c r="L846">
        <f t="shared" si="40"/>
        <v>112.52000000000001</v>
      </c>
      <c r="M846">
        <v>5</v>
      </c>
      <c r="N846" t="str">
        <f t="shared" si="41"/>
        <v>Regular</v>
      </c>
    </row>
    <row r="847" spans="1:14" x14ac:dyDescent="0.35">
      <c r="A847">
        <v>846</v>
      </c>
      <c r="B847">
        <v>33</v>
      </c>
      <c r="C847" t="str">
        <f t="shared" si="39"/>
        <v>Adult</v>
      </c>
      <c r="D847" t="s">
        <v>16</v>
      </c>
      <c r="E847" t="s">
        <v>27</v>
      </c>
      <c r="F847" t="s">
        <v>28</v>
      </c>
      <c r="G847">
        <v>2064.65</v>
      </c>
      <c r="H847" t="s">
        <v>14</v>
      </c>
      <c r="I847" t="s">
        <v>15</v>
      </c>
      <c r="J847">
        <v>4.7</v>
      </c>
      <c r="K847">
        <v>17</v>
      </c>
      <c r="L847">
        <f t="shared" si="40"/>
        <v>1713.6595</v>
      </c>
      <c r="M847">
        <v>6</v>
      </c>
      <c r="N847" t="str">
        <f t="shared" si="41"/>
        <v>Regular</v>
      </c>
    </row>
    <row r="848" spans="1:14" x14ac:dyDescent="0.35">
      <c r="A848">
        <v>847</v>
      </c>
      <c r="B848">
        <v>36</v>
      </c>
      <c r="C848" t="str">
        <f t="shared" si="39"/>
        <v>Adult</v>
      </c>
      <c r="D848" t="s">
        <v>11</v>
      </c>
      <c r="E848" t="s">
        <v>25</v>
      </c>
      <c r="F848" t="s">
        <v>54</v>
      </c>
      <c r="G848">
        <v>11.44</v>
      </c>
      <c r="H848" t="s">
        <v>14</v>
      </c>
      <c r="I848" t="s">
        <v>15</v>
      </c>
      <c r="J848">
        <v>3.1</v>
      </c>
      <c r="K848">
        <v>13</v>
      </c>
      <c r="L848">
        <f t="shared" si="40"/>
        <v>9.9527999999999999</v>
      </c>
      <c r="M848">
        <v>4</v>
      </c>
      <c r="N848" t="str">
        <f t="shared" si="41"/>
        <v>Regular</v>
      </c>
    </row>
    <row r="849" spans="1:14" x14ac:dyDescent="0.35">
      <c r="A849">
        <v>848</v>
      </c>
      <c r="B849">
        <v>54</v>
      </c>
      <c r="C849" t="str">
        <f t="shared" si="39"/>
        <v>Adult</v>
      </c>
      <c r="D849" t="s">
        <v>11</v>
      </c>
      <c r="E849" t="s">
        <v>29</v>
      </c>
      <c r="F849" t="s">
        <v>30</v>
      </c>
      <c r="G849">
        <v>76.66</v>
      </c>
      <c r="H849" t="s">
        <v>19</v>
      </c>
      <c r="I849" t="s">
        <v>37</v>
      </c>
      <c r="J849">
        <v>4.3</v>
      </c>
      <c r="K849">
        <v>12</v>
      </c>
      <c r="L849">
        <f t="shared" si="40"/>
        <v>67.460799999999992</v>
      </c>
      <c r="M849">
        <v>6</v>
      </c>
      <c r="N849" t="str">
        <f t="shared" si="41"/>
        <v>Regular</v>
      </c>
    </row>
    <row r="850" spans="1:14" x14ac:dyDescent="0.35">
      <c r="A850">
        <v>849</v>
      </c>
      <c r="B850">
        <v>64</v>
      </c>
      <c r="C850" t="str">
        <f t="shared" si="39"/>
        <v>Senior</v>
      </c>
      <c r="D850" t="s">
        <v>11</v>
      </c>
      <c r="E850" t="s">
        <v>12</v>
      </c>
      <c r="F850" t="s">
        <v>56</v>
      </c>
      <c r="G850">
        <v>97.05</v>
      </c>
      <c r="H850" t="s">
        <v>14</v>
      </c>
      <c r="I850" t="s">
        <v>37</v>
      </c>
      <c r="J850">
        <v>4.3</v>
      </c>
      <c r="K850">
        <v>17</v>
      </c>
      <c r="L850">
        <f t="shared" si="40"/>
        <v>80.55149999999999</v>
      </c>
      <c r="M850">
        <v>6</v>
      </c>
      <c r="N850" t="str">
        <f t="shared" si="41"/>
        <v>Regular</v>
      </c>
    </row>
    <row r="851" spans="1:14" x14ac:dyDescent="0.35">
      <c r="A851">
        <v>850</v>
      </c>
      <c r="B851">
        <v>24</v>
      </c>
      <c r="C851" t="str">
        <f t="shared" si="39"/>
        <v>Youth</v>
      </c>
      <c r="D851" t="s">
        <v>16</v>
      </c>
      <c r="E851" t="s">
        <v>20</v>
      </c>
      <c r="F851" t="s">
        <v>21</v>
      </c>
      <c r="G851">
        <v>214.49</v>
      </c>
      <c r="H851" t="s">
        <v>14</v>
      </c>
      <c r="I851" t="s">
        <v>15</v>
      </c>
      <c r="J851">
        <v>4.4000000000000004</v>
      </c>
      <c r="K851">
        <v>7</v>
      </c>
      <c r="L851">
        <f t="shared" si="40"/>
        <v>199.47569999999999</v>
      </c>
      <c r="M851">
        <v>1</v>
      </c>
      <c r="N851" t="str">
        <f t="shared" si="41"/>
        <v>New</v>
      </c>
    </row>
    <row r="852" spans="1:14" x14ac:dyDescent="0.35">
      <c r="A852">
        <v>851</v>
      </c>
      <c r="B852">
        <v>27</v>
      </c>
      <c r="C852" t="str">
        <f t="shared" si="39"/>
        <v>Youth</v>
      </c>
      <c r="D852" t="s">
        <v>16</v>
      </c>
      <c r="E852" t="s">
        <v>17</v>
      </c>
      <c r="F852" t="s">
        <v>48</v>
      </c>
      <c r="G852">
        <v>43.04</v>
      </c>
      <c r="H852" t="s">
        <v>31</v>
      </c>
      <c r="I852" t="s">
        <v>37</v>
      </c>
      <c r="J852">
        <v>2</v>
      </c>
      <c r="K852">
        <v>13</v>
      </c>
      <c r="L852">
        <f t="shared" si="40"/>
        <v>37.444800000000001</v>
      </c>
      <c r="M852">
        <v>4</v>
      </c>
      <c r="N852" t="str">
        <f t="shared" si="41"/>
        <v>Regular</v>
      </c>
    </row>
    <row r="853" spans="1:14" x14ac:dyDescent="0.35">
      <c r="A853">
        <v>852</v>
      </c>
      <c r="B853">
        <v>42</v>
      </c>
      <c r="C853" t="str">
        <f t="shared" si="39"/>
        <v>Adult</v>
      </c>
      <c r="D853" t="s">
        <v>11</v>
      </c>
      <c r="E853" t="s">
        <v>12</v>
      </c>
      <c r="F853" t="s">
        <v>50</v>
      </c>
      <c r="G853">
        <v>60.96</v>
      </c>
      <c r="H853" t="s">
        <v>19</v>
      </c>
      <c r="I853" t="s">
        <v>15</v>
      </c>
      <c r="J853">
        <v>3.2</v>
      </c>
      <c r="K853">
        <v>4</v>
      </c>
      <c r="L853">
        <f t="shared" si="40"/>
        <v>58.521599999999999</v>
      </c>
      <c r="M853">
        <v>2</v>
      </c>
      <c r="N853" t="str">
        <f t="shared" si="41"/>
        <v>New</v>
      </c>
    </row>
    <row r="854" spans="1:14" x14ac:dyDescent="0.35">
      <c r="A854">
        <v>853</v>
      </c>
      <c r="B854">
        <v>40</v>
      </c>
      <c r="C854" t="str">
        <f t="shared" si="39"/>
        <v>Adult</v>
      </c>
      <c r="D854" t="s">
        <v>11</v>
      </c>
      <c r="E854" t="s">
        <v>22</v>
      </c>
      <c r="F854" t="s">
        <v>43</v>
      </c>
      <c r="G854">
        <v>198.03</v>
      </c>
      <c r="H854" t="s">
        <v>14</v>
      </c>
      <c r="I854" t="s">
        <v>15</v>
      </c>
      <c r="J854">
        <v>3</v>
      </c>
      <c r="K854">
        <v>20</v>
      </c>
      <c r="L854">
        <f t="shared" si="40"/>
        <v>158.42400000000001</v>
      </c>
      <c r="M854">
        <v>5</v>
      </c>
      <c r="N854" t="str">
        <f t="shared" si="41"/>
        <v>Regular</v>
      </c>
    </row>
    <row r="855" spans="1:14" x14ac:dyDescent="0.35">
      <c r="A855">
        <v>854</v>
      </c>
      <c r="B855">
        <v>44</v>
      </c>
      <c r="C855" t="str">
        <f t="shared" si="39"/>
        <v>Adult</v>
      </c>
      <c r="D855" t="s">
        <v>11</v>
      </c>
      <c r="E855" t="s">
        <v>20</v>
      </c>
      <c r="F855" t="s">
        <v>39</v>
      </c>
      <c r="G855">
        <v>218.22</v>
      </c>
      <c r="H855" t="s">
        <v>19</v>
      </c>
      <c r="I855" t="s">
        <v>15</v>
      </c>
      <c r="J855">
        <v>3.3</v>
      </c>
      <c r="K855">
        <v>19</v>
      </c>
      <c r="L855">
        <f t="shared" si="40"/>
        <v>176.75820000000002</v>
      </c>
      <c r="M855">
        <v>7</v>
      </c>
      <c r="N855" t="str">
        <f t="shared" si="41"/>
        <v>Regular</v>
      </c>
    </row>
    <row r="856" spans="1:14" x14ac:dyDescent="0.35">
      <c r="A856">
        <v>855</v>
      </c>
      <c r="B856">
        <v>51</v>
      </c>
      <c r="C856" t="str">
        <f t="shared" si="39"/>
        <v>Adult</v>
      </c>
      <c r="D856" t="s">
        <v>11</v>
      </c>
      <c r="E856" t="s">
        <v>22</v>
      </c>
      <c r="F856" t="s">
        <v>23</v>
      </c>
      <c r="G856">
        <v>207.52</v>
      </c>
      <c r="H856" t="s">
        <v>19</v>
      </c>
      <c r="I856" t="s">
        <v>15</v>
      </c>
      <c r="J856">
        <v>3.6</v>
      </c>
      <c r="K856">
        <v>17</v>
      </c>
      <c r="L856">
        <f t="shared" si="40"/>
        <v>172.24160000000001</v>
      </c>
      <c r="M856">
        <v>6</v>
      </c>
      <c r="N856" t="str">
        <f t="shared" si="41"/>
        <v>Regular</v>
      </c>
    </row>
    <row r="857" spans="1:14" x14ac:dyDescent="0.35">
      <c r="A857">
        <v>856</v>
      </c>
      <c r="B857">
        <v>55</v>
      </c>
      <c r="C857" t="str">
        <f t="shared" si="39"/>
        <v>Adult</v>
      </c>
      <c r="D857" t="s">
        <v>11</v>
      </c>
      <c r="E857" t="s">
        <v>29</v>
      </c>
      <c r="F857" t="s">
        <v>55</v>
      </c>
      <c r="G857">
        <v>72.03</v>
      </c>
      <c r="H857" t="s">
        <v>14</v>
      </c>
      <c r="I857" t="s">
        <v>15</v>
      </c>
      <c r="J857">
        <v>4.2</v>
      </c>
      <c r="K857">
        <v>12</v>
      </c>
      <c r="L857">
        <f t="shared" si="40"/>
        <v>63.386400000000002</v>
      </c>
      <c r="M857">
        <v>6</v>
      </c>
      <c r="N857" t="str">
        <f t="shared" si="41"/>
        <v>Regular</v>
      </c>
    </row>
    <row r="858" spans="1:14" x14ac:dyDescent="0.35">
      <c r="A858">
        <v>857</v>
      </c>
      <c r="B858">
        <v>60</v>
      </c>
      <c r="C858" t="str">
        <f t="shared" si="39"/>
        <v>Adult</v>
      </c>
      <c r="D858" t="s">
        <v>16</v>
      </c>
      <c r="E858" t="s">
        <v>33</v>
      </c>
      <c r="F858" t="s">
        <v>38</v>
      </c>
      <c r="G858">
        <v>186.72</v>
      </c>
      <c r="H858" t="s">
        <v>19</v>
      </c>
      <c r="I858" t="s">
        <v>15</v>
      </c>
      <c r="J858">
        <v>4</v>
      </c>
      <c r="K858">
        <v>18</v>
      </c>
      <c r="L858">
        <f t="shared" si="40"/>
        <v>153.1104</v>
      </c>
      <c r="M858">
        <v>4</v>
      </c>
      <c r="N858" t="str">
        <f t="shared" si="41"/>
        <v>Regular</v>
      </c>
    </row>
    <row r="859" spans="1:14" x14ac:dyDescent="0.35">
      <c r="A859">
        <v>858</v>
      </c>
      <c r="B859">
        <v>62</v>
      </c>
      <c r="C859" t="str">
        <f t="shared" si="39"/>
        <v>Senior</v>
      </c>
      <c r="D859" t="s">
        <v>16</v>
      </c>
      <c r="E859" t="s">
        <v>33</v>
      </c>
      <c r="F859" t="s">
        <v>34</v>
      </c>
      <c r="G859">
        <v>114.97</v>
      </c>
      <c r="H859" t="s">
        <v>14</v>
      </c>
      <c r="I859" t="s">
        <v>15</v>
      </c>
      <c r="J859">
        <v>2.9</v>
      </c>
      <c r="K859">
        <v>22</v>
      </c>
      <c r="L859">
        <f t="shared" si="40"/>
        <v>89.676600000000008</v>
      </c>
      <c r="M859">
        <v>11</v>
      </c>
      <c r="N859" t="str">
        <f t="shared" si="41"/>
        <v>Loyal</v>
      </c>
    </row>
    <row r="860" spans="1:14" x14ac:dyDescent="0.35">
      <c r="A860">
        <v>859</v>
      </c>
      <c r="B860">
        <v>22</v>
      </c>
      <c r="C860" t="str">
        <f t="shared" si="39"/>
        <v>Youth</v>
      </c>
      <c r="D860" t="s">
        <v>16</v>
      </c>
      <c r="E860" t="s">
        <v>25</v>
      </c>
      <c r="F860" t="s">
        <v>26</v>
      </c>
      <c r="G860">
        <v>40.19</v>
      </c>
      <c r="H860" t="s">
        <v>19</v>
      </c>
      <c r="I860" t="s">
        <v>37</v>
      </c>
      <c r="J860">
        <v>3.7</v>
      </c>
      <c r="K860">
        <v>14</v>
      </c>
      <c r="L860">
        <f t="shared" si="40"/>
        <v>34.563399999999994</v>
      </c>
      <c r="M860">
        <v>2</v>
      </c>
      <c r="N860" t="str">
        <f t="shared" si="41"/>
        <v>New</v>
      </c>
    </row>
    <row r="861" spans="1:14" x14ac:dyDescent="0.35">
      <c r="A861">
        <v>860</v>
      </c>
      <c r="B861">
        <v>32</v>
      </c>
      <c r="C861" t="str">
        <f t="shared" si="39"/>
        <v>Adult</v>
      </c>
      <c r="D861" t="s">
        <v>11</v>
      </c>
      <c r="E861" t="s">
        <v>41</v>
      </c>
      <c r="F861" t="s">
        <v>42</v>
      </c>
      <c r="G861">
        <v>120.08</v>
      </c>
      <c r="H861" t="s">
        <v>19</v>
      </c>
      <c r="I861" t="s">
        <v>15</v>
      </c>
      <c r="J861">
        <v>3.5</v>
      </c>
      <c r="K861">
        <v>8</v>
      </c>
      <c r="L861">
        <f t="shared" si="40"/>
        <v>110.4736</v>
      </c>
      <c r="M861">
        <v>4</v>
      </c>
      <c r="N861" t="str">
        <f t="shared" si="41"/>
        <v>Regular</v>
      </c>
    </row>
    <row r="862" spans="1:14" x14ac:dyDescent="0.35">
      <c r="A862">
        <v>861</v>
      </c>
      <c r="B862">
        <v>58</v>
      </c>
      <c r="C862" t="str">
        <f t="shared" si="39"/>
        <v>Adult</v>
      </c>
      <c r="D862" t="s">
        <v>16</v>
      </c>
      <c r="E862" t="s">
        <v>27</v>
      </c>
      <c r="F862" t="s">
        <v>49</v>
      </c>
      <c r="G862">
        <v>2431.86</v>
      </c>
      <c r="H862" t="s">
        <v>31</v>
      </c>
      <c r="I862" t="s">
        <v>15</v>
      </c>
      <c r="J862">
        <v>4.5999999999999996</v>
      </c>
      <c r="K862">
        <v>15</v>
      </c>
      <c r="L862">
        <f t="shared" si="40"/>
        <v>2067.0810000000001</v>
      </c>
      <c r="M862">
        <v>5</v>
      </c>
      <c r="N862" t="str">
        <f t="shared" si="41"/>
        <v>Regular</v>
      </c>
    </row>
    <row r="863" spans="1:14" x14ac:dyDescent="0.35">
      <c r="A863">
        <v>862</v>
      </c>
      <c r="B863">
        <v>59</v>
      </c>
      <c r="C863" t="str">
        <f t="shared" si="39"/>
        <v>Adult</v>
      </c>
      <c r="D863" t="s">
        <v>16</v>
      </c>
      <c r="E863" t="s">
        <v>27</v>
      </c>
      <c r="F863" t="s">
        <v>53</v>
      </c>
      <c r="G863">
        <v>1129</v>
      </c>
      <c r="H863" t="s">
        <v>24</v>
      </c>
      <c r="I863" t="s">
        <v>15</v>
      </c>
      <c r="J863">
        <v>2.5</v>
      </c>
      <c r="K863">
        <v>11</v>
      </c>
      <c r="L863">
        <f t="shared" si="40"/>
        <v>1004.8100000000001</v>
      </c>
      <c r="M863">
        <v>3</v>
      </c>
      <c r="N863" t="str">
        <f t="shared" si="41"/>
        <v>New</v>
      </c>
    </row>
    <row r="864" spans="1:14" x14ac:dyDescent="0.35">
      <c r="A864">
        <v>863</v>
      </c>
      <c r="B864">
        <v>40</v>
      </c>
      <c r="C864" t="str">
        <f t="shared" si="39"/>
        <v>Adult</v>
      </c>
      <c r="D864" t="s">
        <v>16</v>
      </c>
      <c r="E864" t="s">
        <v>33</v>
      </c>
      <c r="F864" t="s">
        <v>40</v>
      </c>
      <c r="G864">
        <v>96.21</v>
      </c>
      <c r="H864" t="s">
        <v>24</v>
      </c>
      <c r="I864" t="s">
        <v>37</v>
      </c>
      <c r="J864">
        <v>2.6</v>
      </c>
      <c r="K864">
        <v>11</v>
      </c>
      <c r="L864">
        <f t="shared" si="40"/>
        <v>85.626899999999992</v>
      </c>
      <c r="M864">
        <v>3</v>
      </c>
      <c r="N864" t="str">
        <f t="shared" si="41"/>
        <v>New</v>
      </c>
    </row>
    <row r="865" spans="1:14" x14ac:dyDescent="0.35">
      <c r="A865">
        <v>864</v>
      </c>
      <c r="B865">
        <v>46</v>
      </c>
      <c r="C865" t="str">
        <f t="shared" si="39"/>
        <v>Adult</v>
      </c>
      <c r="D865" t="s">
        <v>16</v>
      </c>
      <c r="E865" t="s">
        <v>27</v>
      </c>
      <c r="F865" t="s">
        <v>53</v>
      </c>
      <c r="G865">
        <v>1454.05</v>
      </c>
      <c r="H865" t="s">
        <v>31</v>
      </c>
      <c r="I865" t="s">
        <v>15</v>
      </c>
      <c r="J865">
        <v>3.5</v>
      </c>
      <c r="K865">
        <v>23</v>
      </c>
      <c r="L865">
        <f t="shared" si="40"/>
        <v>1119.6185</v>
      </c>
      <c r="M865">
        <v>9</v>
      </c>
      <c r="N865" t="str">
        <f t="shared" si="41"/>
        <v>Loyal</v>
      </c>
    </row>
    <row r="866" spans="1:14" x14ac:dyDescent="0.35">
      <c r="A866">
        <v>865</v>
      </c>
      <c r="B866">
        <v>22</v>
      </c>
      <c r="C866" t="str">
        <f t="shared" si="39"/>
        <v>Youth</v>
      </c>
      <c r="D866" t="s">
        <v>16</v>
      </c>
      <c r="E866" t="s">
        <v>20</v>
      </c>
      <c r="F866" t="s">
        <v>36</v>
      </c>
      <c r="G866">
        <v>210.91</v>
      </c>
      <c r="H866" t="s">
        <v>19</v>
      </c>
      <c r="I866" t="s">
        <v>15</v>
      </c>
      <c r="J866">
        <v>3.8</v>
      </c>
      <c r="K866">
        <v>24</v>
      </c>
      <c r="L866">
        <f t="shared" si="40"/>
        <v>160.29159999999999</v>
      </c>
      <c r="M866">
        <v>7</v>
      </c>
      <c r="N866" t="str">
        <f t="shared" si="41"/>
        <v>Regular</v>
      </c>
    </row>
    <row r="867" spans="1:14" x14ac:dyDescent="0.35">
      <c r="A867">
        <v>866</v>
      </c>
      <c r="B867">
        <v>52</v>
      </c>
      <c r="C867" t="str">
        <f t="shared" si="39"/>
        <v>Adult</v>
      </c>
      <c r="D867" t="s">
        <v>11</v>
      </c>
      <c r="E867" t="s">
        <v>41</v>
      </c>
      <c r="F867" t="s">
        <v>46</v>
      </c>
      <c r="G867">
        <v>35.17</v>
      </c>
      <c r="H867" t="s">
        <v>14</v>
      </c>
      <c r="I867" t="s">
        <v>15</v>
      </c>
      <c r="J867">
        <v>4.0999999999999996</v>
      </c>
      <c r="K867">
        <v>26</v>
      </c>
      <c r="L867">
        <f t="shared" si="40"/>
        <v>26.0258</v>
      </c>
      <c r="M867">
        <v>8</v>
      </c>
      <c r="N867" t="str">
        <f t="shared" si="41"/>
        <v>Loyal</v>
      </c>
    </row>
    <row r="868" spans="1:14" x14ac:dyDescent="0.35">
      <c r="A868">
        <v>867</v>
      </c>
      <c r="B868">
        <v>70</v>
      </c>
      <c r="C868" t="str">
        <f t="shared" si="39"/>
        <v>Senior</v>
      </c>
      <c r="D868" t="s">
        <v>16</v>
      </c>
      <c r="E868" t="s">
        <v>27</v>
      </c>
      <c r="F868" t="s">
        <v>28</v>
      </c>
      <c r="G868">
        <v>2108.89</v>
      </c>
      <c r="H868" t="s">
        <v>24</v>
      </c>
      <c r="I868" t="s">
        <v>15</v>
      </c>
      <c r="J868">
        <v>4.4000000000000004</v>
      </c>
      <c r="K868">
        <v>23</v>
      </c>
      <c r="L868">
        <f t="shared" si="40"/>
        <v>1623.8453</v>
      </c>
      <c r="M868">
        <v>9</v>
      </c>
      <c r="N868" t="str">
        <f t="shared" si="41"/>
        <v>Loyal</v>
      </c>
    </row>
    <row r="869" spans="1:14" x14ac:dyDescent="0.35">
      <c r="A869">
        <v>868</v>
      </c>
      <c r="B869">
        <v>51</v>
      </c>
      <c r="C869" t="str">
        <f t="shared" si="39"/>
        <v>Adult</v>
      </c>
      <c r="D869" t="s">
        <v>16</v>
      </c>
      <c r="E869" t="s">
        <v>20</v>
      </c>
      <c r="F869" t="s">
        <v>39</v>
      </c>
      <c r="G869">
        <v>219.04</v>
      </c>
      <c r="H869" t="s">
        <v>31</v>
      </c>
      <c r="I869" t="s">
        <v>15</v>
      </c>
      <c r="J869">
        <v>3.2</v>
      </c>
      <c r="K869">
        <v>11</v>
      </c>
      <c r="L869">
        <f t="shared" si="40"/>
        <v>194.94559999999998</v>
      </c>
      <c r="M869">
        <v>3</v>
      </c>
      <c r="N869" t="str">
        <f t="shared" si="41"/>
        <v>New</v>
      </c>
    </row>
    <row r="870" spans="1:14" x14ac:dyDescent="0.35">
      <c r="A870">
        <v>869</v>
      </c>
      <c r="B870">
        <v>67</v>
      </c>
      <c r="C870" t="str">
        <f t="shared" si="39"/>
        <v>Senior</v>
      </c>
      <c r="D870" t="s">
        <v>11</v>
      </c>
      <c r="E870" t="s">
        <v>12</v>
      </c>
      <c r="F870" t="s">
        <v>50</v>
      </c>
      <c r="G870">
        <v>48.74</v>
      </c>
      <c r="H870" t="s">
        <v>14</v>
      </c>
      <c r="I870" t="s">
        <v>15</v>
      </c>
      <c r="J870">
        <v>3.1</v>
      </c>
      <c r="K870">
        <v>24</v>
      </c>
      <c r="L870">
        <f t="shared" si="40"/>
        <v>37.042400000000001</v>
      </c>
      <c r="M870">
        <v>7</v>
      </c>
      <c r="N870" t="str">
        <f t="shared" si="41"/>
        <v>Regular</v>
      </c>
    </row>
    <row r="871" spans="1:14" x14ac:dyDescent="0.35">
      <c r="A871">
        <v>870</v>
      </c>
      <c r="B871">
        <v>31</v>
      </c>
      <c r="C871" t="str">
        <f t="shared" si="39"/>
        <v>Adult</v>
      </c>
      <c r="D871" t="s">
        <v>11</v>
      </c>
      <c r="E871" t="s">
        <v>41</v>
      </c>
      <c r="F871" t="s">
        <v>42</v>
      </c>
      <c r="G871">
        <v>93.29</v>
      </c>
      <c r="H871" t="s">
        <v>14</v>
      </c>
      <c r="I871" t="s">
        <v>15</v>
      </c>
      <c r="J871">
        <v>5</v>
      </c>
      <c r="K871">
        <v>16</v>
      </c>
      <c r="L871">
        <f t="shared" si="40"/>
        <v>78.363600000000005</v>
      </c>
      <c r="M871">
        <v>3</v>
      </c>
      <c r="N871" t="str">
        <f t="shared" si="41"/>
        <v>New</v>
      </c>
    </row>
    <row r="872" spans="1:14" x14ac:dyDescent="0.35">
      <c r="A872">
        <v>871</v>
      </c>
      <c r="B872">
        <v>58</v>
      </c>
      <c r="C872" t="str">
        <f t="shared" si="39"/>
        <v>Adult</v>
      </c>
      <c r="D872" t="s">
        <v>11</v>
      </c>
      <c r="E872" t="s">
        <v>33</v>
      </c>
      <c r="F872" t="s">
        <v>38</v>
      </c>
      <c r="G872">
        <v>59.04</v>
      </c>
      <c r="H872" t="s">
        <v>14</v>
      </c>
      <c r="I872" t="s">
        <v>15</v>
      </c>
      <c r="J872">
        <v>2.9</v>
      </c>
      <c r="K872">
        <v>10</v>
      </c>
      <c r="L872">
        <f t="shared" si="40"/>
        <v>53.136000000000003</v>
      </c>
      <c r="M872">
        <v>5</v>
      </c>
      <c r="N872" t="str">
        <f t="shared" si="41"/>
        <v>Regular</v>
      </c>
    </row>
    <row r="873" spans="1:14" x14ac:dyDescent="0.35">
      <c r="A873">
        <v>872</v>
      </c>
      <c r="B873">
        <v>30</v>
      </c>
      <c r="C873" t="str">
        <f t="shared" si="39"/>
        <v>Youth</v>
      </c>
      <c r="D873" t="s">
        <v>16</v>
      </c>
      <c r="E873" t="s">
        <v>33</v>
      </c>
      <c r="F873" t="s">
        <v>34</v>
      </c>
      <c r="G873">
        <v>87.7</v>
      </c>
      <c r="H873" t="s">
        <v>14</v>
      </c>
      <c r="I873" t="s">
        <v>15</v>
      </c>
      <c r="J873">
        <v>4.2</v>
      </c>
      <c r="K873">
        <v>19</v>
      </c>
      <c r="L873">
        <f t="shared" si="40"/>
        <v>71.037000000000006</v>
      </c>
      <c r="M873">
        <v>7</v>
      </c>
      <c r="N873" t="str">
        <f t="shared" si="41"/>
        <v>Regular</v>
      </c>
    </row>
    <row r="874" spans="1:14" x14ac:dyDescent="0.35">
      <c r="A874">
        <v>873</v>
      </c>
      <c r="B874">
        <v>39</v>
      </c>
      <c r="C874" t="str">
        <f t="shared" si="39"/>
        <v>Adult</v>
      </c>
      <c r="D874" t="s">
        <v>11</v>
      </c>
      <c r="E874" t="s">
        <v>29</v>
      </c>
      <c r="F874" t="s">
        <v>30</v>
      </c>
      <c r="G874">
        <v>58.21</v>
      </c>
      <c r="H874" t="s">
        <v>24</v>
      </c>
      <c r="I874" t="s">
        <v>15</v>
      </c>
      <c r="J874">
        <v>2.5</v>
      </c>
      <c r="K874">
        <v>7</v>
      </c>
      <c r="L874">
        <f t="shared" si="40"/>
        <v>54.135299999999994</v>
      </c>
      <c r="M874">
        <v>1</v>
      </c>
      <c r="N874" t="str">
        <f t="shared" si="41"/>
        <v>New</v>
      </c>
    </row>
    <row r="875" spans="1:14" x14ac:dyDescent="0.35">
      <c r="A875">
        <v>874</v>
      </c>
      <c r="B875">
        <v>69</v>
      </c>
      <c r="C875" t="str">
        <f t="shared" si="39"/>
        <v>Senior</v>
      </c>
      <c r="D875" t="s">
        <v>11</v>
      </c>
      <c r="E875" t="s">
        <v>41</v>
      </c>
      <c r="F875" t="s">
        <v>42</v>
      </c>
      <c r="G875">
        <v>100.29</v>
      </c>
      <c r="H875" t="s">
        <v>24</v>
      </c>
      <c r="I875" t="s">
        <v>15</v>
      </c>
      <c r="J875">
        <v>2.6</v>
      </c>
      <c r="K875">
        <v>24</v>
      </c>
      <c r="L875">
        <f t="shared" si="40"/>
        <v>76.220400000000012</v>
      </c>
      <c r="M875">
        <v>7</v>
      </c>
      <c r="N875" t="str">
        <f t="shared" si="41"/>
        <v>Regular</v>
      </c>
    </row>
    <row r="876" spans="1:14" x14ac:dyDescent="0.35">
      <c r="A876">
        <v>875</v>
      </c>
      <c r="B876">
        <v>22</v>
      </c>
      <c r="C876" t="str">
        <f t="shared" si="39"/>
        <v>Youth</v>
      </c>
      <c r="D876" t="s">
        <v>16</v>
      </c>
      <c r="E876" t="s">
        <v>33</v>
      </c>
      <c r="F876" t="s">
        <v>38</v>
      </c>
      <c r="G876">
        <v>154.19999999999999</v>
      </c>
      <c r="H876" t="s">
        <v>31</v>
      </c>
      <c r="I876" t="s">
        <v>15</v>
      </c>
      <c r="J876">
        <v>3.4</v>
      </c>
      <c r="K876">
        <v>4</v>
      </c>
      <c r="L876">
        <f t="shared" si="40"/>
        <v>148.03199999999998</v>
      </c>
      <c r="M876">
        <v>2</v>
      </c>
      <c r="N876" t="str">
        <f t="shared" si="41"/>
        <v>New</v>
      </c>
    </row>
    <row r="877" spans="1:14" x14ac:dyDescent="0.35">
      <c r="A877">
        <v>876</v>
      </c>
      <c r="B877">
        <v>32</v>
      </c>
      <c r="C877" t="str">
        <f t="shared" si="39"/>
        <v>Adult</v>
      </c>
      <c r="D877" t="s">
        <v>16</v>
      </c>
      <c r="E877" t="s">
        <v>27</v>
      </c>
      <c r="F877" t="s">
        <v>49</v>
      </c>
      <c r="G877">
        <v>1370.18</v>
      </c>
      <c r="H877" t="s">
        <v>19</v>
      </c>
      <c r="I877" t="s">
        <v>15</v>
      </c>
      <c r="J877">
        <v>3</v>
      </c>
      <c r="K877">
        <v>20</v>
      </c>
      <c r="L877">
        <f t="shared" si="40"/>
        <v>1096.144</v>
      </c>
      <c r="M877">
        <v>5</v>
      </c>
      <c r="N877" t="str">
        <f t="shared" si="41"/>
        <v>Regular</v>
      </c>
    </row>
    <row r="878" spans="1:14" x14ac:dyDescent="0.35">
      <c r="A878">
        <v>877</v>
      </c>
      <c r="B878">
        <v>40</v>
      </c>
      <c r="C878" t="str">
        <f t="shared" si="39"/>
        <v>Adult</v>
      </c>
      <c r="D878" t="s">
        <v>16</v>
      </c>
      <c r="E878" t="s">
        <v>33</v>
      </c>
      <c r="F878" t="s">
        <v>40</v>
      </c>
      <c r="G878">
        <v>123.96</v>
      </c>
      <c r="H878" t="s">
        <v>31</v>
      </c>
      <c r="I878" t="s">
        <v>15</v>
      </c>
      <c r="J878">
        <v>4.0999999999999996</v>
      </c>
      <c r="K878">
        <v>11</v>
      </c>
      <c r="L878">
        <f t="shared" si="40"/>
        <v>110.3244</v>
      </c>
      <c r="M878">
        <v>3</v>
      </c>
      <c r="N878" t="str">
        <f t="shared" si="41"/>
        <v>New</v>
      </c>
    </row>
    <row r="879" spans="1:14" x14ac:dyDescent="0.35">
      <c r="A879">
        <v>878</v>
      </c>
      <c r="B879">
        <v>32</v>
      </c>
      <c r="C879" t="str">
        <f t="shared" si="39"/>
        <v>Adult</v>
      </c>
      <c r="D879" t="s">
        <v>11</v>
      </c>
      <c r="E879" t="s">
        <v>33</v>
      </c>
      <c r="F879" t="s">
        <v>34</v>
      </c>
      <c r="G879">
        <v>151.91</v>
      </c>
      <c r="H879" t="s">
        <v>31</v>
      </c>
      <c r="I879" t="s">
        <v>15</v>
      </c>
      <c r="J879">
        <v>4.2</v>
      </c>
      <c r="K879">
        <v>22</v>
      </c>
      <c r="L879">
        <f t="shared" si="40"/>
        <v>118.4898</v>
      </c>
      <c r="M879">
        <v>6</v>
      </c>
      <c r="N879" t="str">
        <f t="shared" si="41"/>
        <v>Regular</v>
      </c>
    </row>
    <row r="880" spans="1:14" x14ac:dyDescent="0.35">
      <c r="A880">
        <v>879</v>
      </c>
      <c r="B880">
        <v>69</v>
      </c>
      <c r="C880" t="str">
        <f t="shared" si="39"/>
        <v>Senior</v>
      </c>
      <c r="D880" t="s">
        <v>11</v>
      </c>
      <c r="E880" t="s">
        <v>22</v>
      </c>
      <c r="F880" t="s">
        <v>23</v>
      </c>
      <c r="G880">
        <v>201.11</v>
      </c>
      <c r="H880" t="s">
        <v>19</v>
      </c>
      <c r="I880" t="s">
        <v>15</v>
      </c>
      <c r="J880">
        <v>3.9</v>
      </c>
      <c r="K880">
        <v>11</v>
      </c>
      <c r="L880">
        <f t="shared" si="40"/>
        <v>178.98790000000002</v>
      </c>
      <c r="M880">
        <v>3</v>
      </c>
      <c r="N880" t="str">
        <f t="shared" si="41"/>
        <v>New</v>
      </c>
    </row>
    <row r="881" spans="1:14" x14ac:dyDescent="0.35">
      <c r="A881">
        <v>880</v>
      </c>
      <c r="B881">
        <v>59</v>
      </c>
      <c r="C881" t="str">
        <f t="shared" si="39"/>
        <v>Adult</v>
      </c>
      <c r="D881" t="s">
        <v>16</v>
      </c>
      <c r="E881" t="s">
        <v>33</v>
      </c>
      <c r="F881" t="s">
        <v>40</v>
      </c>
      <c r="G881">
        <v>42.35</v>
      </c>
      <c r="H881" t="s">
        <v>19</v>
      </c>
      <c r="I881" t="s">
        <v>37</v>
      </c>
      <c r="J881">
        <v>3.6</v>
      </c>
      <c r="K881">
        <v>13</v>
      </c>
      <c r="L881">
        <f t="shared" si="40"/>
        <v>36.844500000000004</v>
      </c>
      <c r="M881">
        <v>4</v>
      </c>
      <c r="N881" t="str">
        <f t="shared" si="41"/>
        <v>Regular</v>
      </c>
    </row>
    <row r="882" spans="1:14" x14ac:dyDescent="0.35">
      <c r="A882">
        <v>881</v>
      </c>
      <c r="B882">
        <v>70</v>
      </c>
      <c r="C882" t="str">
        <f t="shared" si="39"/>
        <v>Senior</v>
      </c>
      <c r="D882" t="s">
        <v>11</v>
      </c>
      <c r="E882" t="s">
        <v>29</v>
      </c>
      <c r="F882" t="s">
        <v>51</v>
      </c>
      <c r="G882">
        <v>142.85</v>
      </c>
      <c r="H882" t="s">
        <v>24</v>
      </c>
      <c r="I882" t="s">
        <v>15</v>
      </c>
      <c r="J882">
        <v>3.2</v>
      </c>
      <c r="K882">
        <v>20</v>
      </c>
      <c r="L882">
        <f t="shared" si="40"/>
        <v>114.28</v>
      </c>
      <c r="M882">
        <v>5</v>
      </c>
      <c r="N882" t="str">
        <f t="shared" si="41"/>
        <v>Regular</v>
      </c>
    </row>
    <row r="883" spans="1:14" x14ac:dyDescent="0.35">
      <c r="A883">
        <v>882</v>
      </c>
      <c r="B883">
        <v>46</v>
      </c>
      <c r="C883" t="str">
        <f t="shared" si="39"/>
        <v>Adult</v>
      </c>
      <c r="D883" t="s">
        <v>16</v>
      </c>
      <c r="E883" t="s">
        <v>27</v>
      </c>
      <c r="F883" t="s">
        <v>28</v>
      </c>
      <c r="G883">
        <v>533.08000000000004</v>
      </c>
      <c r="H883" t="s">
        <v>31</v>
      </c>
      <c r="I883" t="s">
        <v>15</v>
      </c>
      <c r="J883">
        <v>5</v>
      </c>
      <c r="K883">
        <v>16</v>
      </c>
      <c r="L883">
        <f t="shared" si="40"/>
        <v>447.78720000000004</v>
      </c>
      <c r="M883">
        <v>3</v>
      </c>
      <c r="N883" t="str">
        <f t="shared" si="41"/>
        <v>New</v>
      </c>
    </row>
    <row r="884" spans="1:14" x14ac:dyDescent="0.35">
      <c r="A884">
        <v>883</v>
      </c>
      <c r="B884">
        <v>36</v>
      </c>
      <c r="C884" t="str">
        <f t="shared" si="39"/>
        <v>Adult</v>
      </c>
      <c r="D884" t="s">
        <v>11</v>
      </c>
      <c r="E884" t="s">
        <v>22</v>
      </c>
      <c r="F884" t="s">
        <v>52</v>
      </c>
      <c r="G884">
        <v>100.72</v>
      </c>
      <c r="H884" t="s">
        <v>14</v>
      </c>
      <c r="I884" t="s">
        <v>15</v>
      </c>
      <c r="J884">
        <v>2.8</v>
      </c>
      <c r="K884">
        <v>22</v>
      </c>
      <c r="L884">
        <f t="shared" si="40"/>
        <v>78.561599999999999</v>
      </c>
      <c r="M884">
        <v>6</v>
      </c>
      <c r="N884" t="str">
        <f t="shared" si="41"/>
        <v>Regular</v>
      </c>
    </row>
    <row r="885" spans="1:14" x14ac:dyDescent="0.35">
      <c r="A885">
        <v>884</v>
      </c>
      <c r="B885">
        <v>31</v>
      </c>
      <c r="C885" t="str">
        <f t="shared" si="39"/>
        <v>Adult</v>
      </c>
      <c r="D885" t="s">
        <v>11</v>
      </c>
      <c r="E885" t="s">
        <v>12</v>
      </c>
      <c r="F885" t="s">
        <v>50</v>
      </c>
      <c r="G885">
        <v>172.26</v>
      </c>
      <c r="H885" t="s">
        <v>31</v>
      </c>
      <c r="I885" t="s">
        <v>15</v>
      </c>
      <c r="J885">
        <v>2.8</v>
      </c>
      <c r="K885">
        <v>20</v>
      </c>
      <c r="L885">
        <f t="shared" si="40"/>
        <v>137.80799999999999</v>
      </c>
      <c r="M885">
        <v>5</v>
      </c>
      <c r="N885" t="str">
        <f t="shared" si="41"/>
        <v>Regular</v>
      </c>
    </row>
    <row r="886" spans="1:14" x14ac:dyDescent="0.35">
      <c r="A886">
        <v>885</v>
      </c>
      <c r="B886">
        <v>46</v>
      </c>
      <c r="C886" t="str">
        <f t="shared" si="39"/>
        <v>Adult</v>
      </c>
      <c r="D886" t="s">
        <v>11</v>
      </c>
      <c r="E886" t="s">
        <v>20</v>
      </c>
      <c r="F886" t="s">
        <v>39</v>
      </c>
      <c r="G886">
        <v>200.96</v>
      </c>
      <c r="H886" t="s">
        <v>31</v>
      </c>
      <c r="I886" t="s">
        <v>15</v>
      </c>
      <c r="J886">
        <v>4.2</v>
      </c>
      <c r="K886">
        <v>16</v>
      </c>
      <c r="L886">
        <f t="shared" si="40"/>
        <v>168.8064</v>
      </c>
      <c r="M886">
        <v>3</v>
      </c>
      <c r="N886" t="str">
        <f t="shared" si="41"/>
        <v>New</v>
      </c>
    </row>
    <row r="887" spans="1:14" x14ac:dyDescent="0.35">
      <c r="A887">
        <v>886</v>
      </c>
      <c r="B887">
        <v>66</v>
      </c>
      <c r="C887" t="str">
        <f t="shared" si="39"/>
        <v>Senior</v>
      </c>
      <c r="D887" t="s">
        <v>11</v>
      </c>
      <c r="E887" t="s">
        <v>33</v>
      </c>
      <c r="F887" t="s">
        <v>40</v>
      </c>
      <c r="G887">
        <v>113.39</v>
      </c>
      <c r="H887" t="s">
        <v>19</v>
      </c>
      <c r="I887" t="s">
        <v>15</v>
      </c>
      <c r="J887">
        <v>3.4</v>
      </c>
      <c r="K887">
        <v>23</v>
      </c>
      <c r="L887">
        <f t="shared" si="40"/>
        <v>87.310299999999998</v>
      </c>
      <c r="M887">
        <v>9</v>
      </c>
      <c r="N887" t="str">
        <f t="shared" si="41"/>
        <v>Loyal</v>
      </c>
    </row>
    <row r="888" spans="1:14" x14ac:dyDescent="0.35">
      <c r="A888">
        <v>887</v>
      </c>
      <c r="B888">
        <v>36</v>
      </c>
      <c r="C888" t="str">
        <f t="shared" si="39"/>
        <v>Adult</v>
      </c>
      <c r="D888" t="s">
        <v>11</v>
      </c>
      <c r="E888" t="s">
        <v>12</v>
      </c>
      <c r="F888" t="s">
        <v>56</v>
      </c>
      <c r="G888">
        <v>65.17</v>
      </c>
      <c r="H888" t="s">
        <v>31</v>
      </c>
      <c r="I888" t="s">
        <v>37</v>
      </c>
      <c r="J888">
        <v>4.5999999999999996</v>
      </c>
      <c r="K888">
        <v>15</v>
      </c>
      <c r="L888">
        <f t="shared" si="40"/>
        <v>55.394500000000001</v>
      </c>
      <c r="M888">
        <v>5</v>
      </c>
      <c r="N888" t="str">
        <f t="shared" si="41"/>
        <v>Regular</v>
      </c>
    </row>
    <row r="889" spans="1:14" x14ac:dyDescent="0.35">
      <c r="A889">
        <v>888</v>
      </c>
      <c r="B889">
        <v>42</v>
      </c>
      <c r="C889" t="str">
        <f t="shared" si="39"/>
        <v>Adult</v>
      </c>
      <c r="D889" t="s">
        <v>16</v>
      </c>
      <c r="E889" t="s">
        <v>33</v>
      </c>
      <c r="F889" t="s">
        <v>40</v>
      </c>
      <c r="G889">
        <v>154.55000000000001</v>
      </c>
      <c r="H889" t="s">
        <v>24</v>
      </c>
      <c r="I889" t="s">
        <v>15</v>
      </c>
      <c r="J889">
        <v>5</v>
      </c>
      <c r="K889">
        <v>17</v>
      </c>
      <c r="L889">
        <f t="shared" si="40"/>
        <v>128.2765</v>
      </c>
      <c r="M889">
        <v>6</v>
      </c>
      <c r="N889" t="str">
        <f t="shared" si="41"/>
        <v>Regular</v>
      </c>
    </row>
    <row r="890" spans="1:14" x14ac:dyDescent="0.35">
      <c r="A890">
        <v>889</v>
      </c>
      <c r="B890">
        <v>26</v>
      </c>
      <c r="C890" t="str">
        <f t="shared" si="39"/>
        <v>Youth</v>
      </c>
      <c r="D890" t="s">
        <v>16</v>
      </c>
      <c r="E890" t="s">
        <v>17</v>
      </c>
      <c r="F890" t="s">
        <v>42</v>
      </c>
      <c r="G890">
        <v>100.84</v>
      </c>
      <c r="H890" t="s">
        <v>19</v>
      </c>
      <c r="I890" t="s">
        <v>15</v>
      </c>
      <c r="J890">
        <v>3.6</v>
      </c>
      <c r="K890">
        <v>14</v>
      </c>
      <c r="L890">
        <f t="shared" si="40"/>
        <v>86.722400000000007</v>
      </c>
      <c r="M890">
        <v>2</v>
      </c>
      <c r="N890" t="str">
        <f t="shared" si="41"/>
        <v>New</v>
      </c>
    </row>
    <row r="891" spans="1:14" x14ac:dyDescent="0.35">
      <c r="A891">
        <v>890</v>
      </c>
      <c r="B891">
        <v>31</v>
      </c>
      <c r="C891" t="str">
        <f t="shared" si="39"/>
        <v>Adult</v>
      </c>
      <c r="D891" t="s">
        <v>16</v>
      </c>
      <c r="E891" t="s">
        <v>27</v>
      </c>
      <c r="F891" t="s">
        <v>28</v>
      </c>
      <c r="G891">
        <v>1142.03</v>
      </c>
      <c r="H891" t="s">
        <v>24</v>
      </c>
      <c r="I891" t="s">
        <v>15</v>
      </c>
      <c r="J891">
        <v>4.2</v>
      </c>
      <c r="K891">
        <v>10</v>
      </c>
      <c r="L891">
        <f t="shared" si="40"/>
        <v>1027.827</v>
      </c>
      <c r="M891">
        <v>5</v>
      </c>
      <c r="N891" t="str">
        <f t="shared" si="41"/>
        <v>Regular</v>
      </c>
    </row>
    <row r="892" spans="1:14" x14ac:dyDescent="0.35">
      <c r="A892">
        <v>891</v>
      </c>
      <c r="B892">
        <v>39</v>
      </c>
      <c r="C892" t="str">
        <f t="shared" si="39"/>
        <v>Adult</v>
      </c>
      <c r="D892" t="s">
        <v>16</v>
      </c>
      <c r="E892" t="s">
        <v>17</v>
      </c>
      <c r="F892" t="s">
        <v>18</v>
      </c>
      <c r="G892">
        <v>168.97</v>
      </c>
      <c r="H892" t="s">
        <v>31</v>
      </c>
      <c r="I892" t="s">
        <v>15</v>
      </c>
      <c r="J892">
        <v>4.5999999999999996</v>
      </c>
      <c r="K892">
        <v>24</v>
      </c>
      <c r="L892">
        <f t="shared" si="40"/>
        <v>128.41720000000001</v>
      </c>
      <c r="M892">
        <v>7</v>
      </c>
      <c r="N892" t="str">
        <f t="shared" si="41"/>
        <v>Regular</v>
      </c>
    </row>
    <row r="893" spans="1:14" x14ac:dyDescent="0.35">
      <c r="A893">
        <v>892</v>
      </c>
      <c r="B893">
        <v>64</v>
      </c>
      <c r="C893" t="str">
        <f t="shared" si="39"/>
        <v>Senior</v>
      </c>
      <c r="D893" t="s">
        <v>16</v>
      </c>
      <c r="E893" t="s">
        <v>33</v>
      </c>
      <c r="F893" t="s">
        <v>38</v>
      </c>
      <c r="G893">
        <v>220.97</v>
      </c>
      <c r="H893" t="s">
        <v>14</v>
      </c>
      <c r="I893" t="s">
        <v>15</v>
      </c>
      <c r="J893">
        <v>5</v>
      </c>
      <c r="K893">
        <v>4</v>
      </c>
      <c r="L893">
        <f t="shared" si="40"/>
        <v>212.13119999999998</v>
      </c>
      <c r="M893">
        <v>2</v>
      </c>
      <c r="N893" t="str">
        <f t="shared" si="41"/>
        <v>New</v>
      </c>
    </row>
    <row r="894" spans="1:14" x14ac:dyDescent="0.35">
      <c r="A894">
        <v>893</v>
      </c>
      <c r="B894">
        <v>59</v>
      </c>
      <c r="C894" t="str">
        <f t="shared" si="39"/>
        <v>Adult</v>
      </c>
      <c r="D894" t="s">
        <v>11</v>
      </c>
      <c r="E894" t="s">
        <v>22</v>
      </c>
      <c r="F894" t="s">
        <v>23</v>
      </c>
      <c r="G894">
        <v>181.46</v>
      </c>
      <c r="H894" t="s">
        <v>14</v>
      </c>
      <c r="I894" t="s">
        <v>15</v>
      </c>
      <c r="J894">
        <v>3.1</v>
      </c>
      <c r="K894">
        <v>18</v>
      </c>
      <c r="L894">
        <f t="shared" si="40"/>
        <v>148.7972</v>
      </c>
      <c r="M894">
        <v>4</v>
      </c>
      <c r="N894" t="str">
        <f t="shared" si="41"/>
        <v>Regular</v>
      </c>
    </row>
    <row r="895" spans="1:14" x14ac:dyDescent="0.35">
      <c r="A895">
        <v>894</v>
      </c>
      <c r="B895">
        <v>30</v>
      </c>
      <c r="C895" t="str">
        <f t="shared" si="39"/>
        <v>Youth</v>
      </c>
      <c r="D895" t="s">
        <v>11</v>
      </c>
      <c r="E895" t="s">
        <v>33</v>
      </c>
      <c r="F895" t="s">
        <v>40</v>
      </c>
      <c r="G895">
        <v>212.78</v>
      </c>
      <c r="H895" t="s">
        <v>19</v>
      </c>
      <c r="I895" t="s">
        <v>15</v>
      </c>
      <c r="J895">
        <v>4.4000000000000004</v>
      </c>
      <c r="K895">
        <v>22</v>
      </c>
      <c r="L895">
        <f t="shared" si="40"/>
        <v>165.9684</v>
      </c>
      <c r="M895">
        <v>6</v>
      </c>
      <c r="N895" t="str">
        <f t="shared" si="41"/>
        <v>Regular</v>
      </c>
    </row>
    <row r="896" spans="1:14" x14ac:dyDescent="0.35">
      <c r="A896">
        <v>895</v>
      </c>
      <c r="B896">
        <v>30</v>
      </c>
      <c r="C896" t="str">
        <f t="shared" si="39"/>
        <v>Youth</v>
      </c>
      <c r="D896" t="s">
        <v>11</v>
      </c>
      <c r="E896" t="s">
        <v>20</v>
      </c>
      <c r="F896" t="s">
        <v>36</v>
      </c>
      <c r="G896">
        <v>102.27</v>
      </c>
      <c r="H896" t="s">
        <v>19</v>
      </c>
      <c r="I896" t="s">
        <v>15</v>
      </c>
      <c r="J896">
        <v>3.1</v>
      </c>
      <c r="K896">
        <v>16</v>
      </c>
      <c r="L896">
        <f t="shared" si="40"/>
        <v>85.90679999999999</v>
      </c>
      <c r="M896">
        <v>8</v>
      </c>
      <c r="N896" t="str">
        <f t="shared" si="41"/>
        <v>Loyal</v>
      </c>
    </row>
    <row r="897" spans="1:14" x14ac:dyDescent="0.35">
      <c r="A897">
        <v>896</v>
      </c>
      <c r="B897">
        <v>40</v>
      </c>
      <c r="C897" t="str">
        <f t="shared" si="39"/>
        <v>Adult</v>
      </c>
      <c r="D897" t="s">
        <v>16</v>
      </c>
      <c r="E897" t="s">
        <v>20</v>
      </c>
      <c r="F897" t="s">
        <v>39</v>
      </c>
      <c r="G897">
        <v>101.71</v>
      </c>
      <c r="H897" t="s">
        <v>19</v>
      </c>
      <c r="I897" t="s">
        <v>15</v>
      </c>
      <c r="J897">
        <v>3.8</v>
      </c>
      <c r="K897">
        <v>17</v>
      </c>
      <c r="L897">
        <f t="shared" si="40"/>
        <v>84.419299999999993</v>
      </c>
      <c r="M897">
        <v>6</v>
      </c>
      <c r="N897" t="str">
        <f t="shared" si="41"/>
        <v>Regular</v>
      </c>
    </row>
    <row r="898" spans="1:14" x14ac:dyDescent="0.35">
      <c r="A898">
        <v>897</v>
      </c>
      <c r="B898">
        <v>57</v>
      </c>
      <c r="C898" t="str">
        <f t="shared" si="39"/>
        <v>Adult</v>
      </c>
      <c r="D898" t="s">
        <v>16</v>
      </c>
      <c r="E898" t="s">
        <v>20</v>
      </c>
      <c r="F898" t="s">
        <v>36</v>
      </c>
      <c r="G898">
        <v>166.23</v>
      </c>
      <c r="H898" t="s">
        <v>19</v>
      </c>
      <c r="I898" t="s">
        <v>15</v>
      </c>
      <c r="J898">
        <v>4</v>
      </c>
      <c r="K898">
        <v>20</v>
      </c>
      <c r="L898">
        <f t="shared" si="40"/>
        <v>132.98400000000001</v>
      </c>
      <c r="M898">
        <v>5</v>
      </c>
      <c r="N898" t="str">
        <f t="shared" si="41"/>
        <v>Regular</v>
      </c>
    </row>
    <row r="899" spans="1:14" x14ac:dyDescent="0.35">
      <c r="A899">
        <v>898</v>
      </c>
      <c r="B899">
        <v>59</v>
      </c>
      <c r="C899" t="str">
        <f t="shared" ref="C899:C962" si="42">IF(B899&lt;=30,"Youth",IF(B899&lt;=45,"Adult",IF(B899&lt;=60,"Adult","Senior")))</f>
        <v>Adult</v>
      </c>
      <c r="D899" t="s">
        <v>16</v>
      </c>
      <c r="E899" t="s">
        <v>33</v>
      </c>
      <c r="F899" t="s">
        <v>40</v>
      </c>
      <c r="G899">
        <v>82.01</v>
      </c>
      <c r="H899" t="s">
        <v>19</v>
      </c>
      <c r="I899" t="s">
        <v>37</v>
      </c>
      <c r="J899">
        <v>3.3</v>
      </c>
      <c r="K899">
        <v>16</v>
      </c>
      <c r="L899">
        <f t="shared" ref="L899:L962" si="43">G899*(1-K899/100)</f>
        <v>68.888400000000004</v>
      </c>
      <c r="M899">
        <v>3</v>
      </c>
      <c r="N899" t="str">
        <f t="shared" ref="N899:N962" si="44">IF(M899&lt;=3,"New",IF(M899&lt;=7,"Regular","Loyal"))</f>
        <v>New</v>
      </c>
    </row>
    <row r="900" spans="1:14" x14ac:dyDescent="0.35">
      <c r="A900">
        <v>899</v>
      </c>
      <c r="B900">
        <v>23</v>
      </c>
      <c r="C900" t="str">
        <f t="shared" si="42"/>
        <v>Youth</v>
      </c>
      <c r="D900" t="s">
        <v>11</v>
      </c>
      <c r="E900" t="s">
        <v>33</v>
      </c>
      <c r="F900" t="s">
        <v>38</v>
      </c>
      <c r="G900">
        <v>214.88</v>
      </c>
      <c r="H900" t="s">
        <v>24</v>
      </c>
      <c r="I900" t="s">
        <v>15</v>
      </c>
      <c r="J900">
        <v>5</v>
      </c>
      <c r="K900">
        <v>20</v>
      </c>
      <c r="L900">
        <f t="shared" si="43"/>
        <v>171.904</v>
      </c>
      <c r="M900">
        <v>5</v>
      </c>
      <c r="N900" t="str">
        <f t="shared" si="44"/>
        <v>Regular</v>
      </c>
    </row>
    <row r="901" spans="1:14" x14ac:dyDescent="0.35">
      <c r="A901">
        <v>900</v>
      </c>
      <c r="B901">
        <v>64</v>
      </c>
      <c r="C901" t="str">
        <f t="shared" si="42"/>
        <v>Senior</v>
      </c>
      <c r="D901" t="s">
        <v>11</v>
      </c>
      <c r="E901" t="s">
        <v>12</v>
      </c>
      <c r="F901" t="s">
        <v>13</v>
      </c>
      <c r="G901">
        <v>110.37</v>
      </c>
      <c r="H901" t="s">
        <v>19</v>
      </c>
      <c r="I901" t="s">
        <v>15</v>
      </c>
      <c r="J901">
        <v>4.2</v>
      </c>
      <c r="K901">
        <v>17</v>
      </c>
      <c r="L901">
        <f t="shared" si="43"/>
        <v>91.607100000000003</v>
      </c>
      <c r="M901">
        <v>6</v>
      </c>
      <c r="N901" t="str">
        <f t="shared" si="44"/>
        <v>Regular</v>
      </c>
    </row>
    <row r="902" spans="1:14" x14ac:dyDescent="0.35">
      <c r="A902">
        <v>901</v>
      </c>
      <c r="B902">
        <v>23</v>
      </c>
      <c r="C902" t="str">
        <f t="shared" si="42"/>
        <v>Youth</v>
      </c>
      <c r="D902" t="s">
        <v>16</v>
      </c>
      <c r="E902" t="s">
        <v>33</v>
      </c>
      <c r="F902" t="s">
        <v>40</v>
      </c>
      <c r="G902">
        <v>144.05000000000001</v>
      </c>
      <c r="H902" t="s">
        <v>31</v>
      </c>
      <c r="I902" t="s">
        <v>15</v>
      </c>
      <c r="J902">
        <v>2.6</v>
      </c>
      <c r="K902">
        <v>18</v>
      </c>
      <c r="L902">
        <f t="shared" si="43"/>
        <v>118.12100000000002</v>
      </c>
      <c r="M902">
        <v>4</v>
      </c>
      <c r="N902" t="str">
        <f t="shared" si="44"/>
        <v>Regular</v>
      </c>
    </row>
    <row r="903" spans="1:14" x14ac:dyDescent="0.35">
      <c r="A903">
        <v>902</v>
      </c>
      <c r="B903">
        <v>47</v>
      </c>
      <c r="C903" t="str">
        <f t="shared" si="42"/>
        <v>Adult</v>
      </c>
      <c r="D903" t="s">
        <v>11</v>
      </c>
      <c r="E903" t="s">
        <v>12</v>
      </c>
      <c r="F903" t="s">
        <v>50</v>
      </c>
      <c r="G903">
        <v>134.41999999999999</v>
      </c>
      <c r="H903" t="s">
        <v>24</v>
      </c>
      <c r="I903" t="s">
        <v>15</v>
      </c>
      <c r="J903">
        <v>4.0999999999999996</v>
      </c>
      <c r="K903">
        <v>8</v>
      </c>
      <c r="L903">
        <f t="shared" si="43"/>
        <v>123.6664</v>
      </c>
      <c r="M903">
        <v>4</v>
      </c>
      <c r="N903" t="str">
        <f t="shared" si="44"/>
        <v>Regular</v>
      </c>
    </row>
    <row r="904" spans="1:14" x14ac:dyDescent="0.35">
      <c r="A904">
        <v>903</v>
      </c>
      <c r="B904">
        <v>64</v>
      </c>
      <c r="C904" t="str">
        <f t="shared" si="42"/>
        <v>Senior</v>
      </c>
      <c r="D904" t="s">
        <v>11</v>
      </c>
      <c r="E904" t="s">
        <v>29</v>
      </c>
      <c r="F904" t="s">
        <v>55</v>
      </c>
      <c r="G904">
        <v>133.46</v>
      </c>
      <c r="H904" t="s">
        <v>24</v>
      </c>
      <c r="I904" t="s">
        <v>15</v>
      </c>
      <c r="J904">
        <v>4.5999999999999996</v>
      </c>
      <c r="K904">
        <v>10</v>
      </c>
      <c r="L904">
        <f t="shared" si="43"/>
        <v>120.114</v>
      </c>
      <c r="M904">
        <v>5</v>
      </c>
      <c r="N904" t="str">
        <f t="shared" si="44"/>
        <v>Regular</v>
      </c>
    </row>
    <row r="905" spans="1:14" x14ac:dyDescent="0.35">
      <c r="A905">
        <v>904</v>
      </c>
      <c r="B905">
        <v>70</v>
      </c>
      <c r="C905" t="str">
        <f t="shared" si="42"/>
        <v>Senior</v>
      </c>
      <c r="D905" t="s">
        <v>11</v>
      </c>
      <c r="E905" t="s">
        <v>22</v>
      </c>
      <c r="F905" t="s">
        <v>43</v>
      </c>
      <c r="G905">
        <v>256.37</v>
      </c>
      <c r="H905" t="s">
        <v>31</v>
      </c>
      <c r="I905" t="s">
        <v>15</v>
      </c>
      <c r="J905">
        <v>3.6</v>
      </c>
      <c r="K905">
        <v>24</v>
      </c>
      <c r="L905">
        <f t="shared" si="43"/>
        <v>194.84120000000001</v>
      </c>
      <c r="M905">
        <v>7</v>
      </c>
      <c r="N905" t="str">
        <f t="shared" si="44"/>
        <v>Regular</v>
      </c>
    </row>
    <row r="906" spans="1:14" x14ac:dyDescent="0.35">
      <c r="A906">
        <v>905</v>
      </c>
      <c r="B906">
        <v>59</v>
      </c>
      <c r="C906" t="str">
        <f t="shared" si="42"/>
        <v>Adult</v>
      </c>
      <c r="D906" t="s">
        <v>16</v>
      </c>
      <c r="E906" t="s">
        <v>20</v>
      </c>
      <c r="F906" t="s">
        <v>39</v>
      </c>
      <c r="G906">
        <v>160.41999999999999</v>
      </c>
      <c r="H906" t="s">
        <v>19</v>
      </c>
      <c r="I906" t="s">
        <v>15</v>
      </c>
      <c r="J906">
        <v>4.3</v>
      </c>
      <c r="K906">
        <v>22</v>
      </c>
      <c r="L906">
        <f t="shared" si="43"/>
        <v>125.1276</v>
      </c>
      <c r="M906">
        <v>6</v>
      </c>
      <c r="N906" t="str">
        <f t="shared" si="44"/>
        <v>Regular</v>
      </c>
    </row>
    <row r="907" spans="1:14" x14ac:dyDescent="0.35">
      <c r="A907">
        <v>906</v>
      </c>
      <c r="B907">
        <v>31</v>
      </c>
      <c r="C907" t="str">
        <f t="shared" si="42"/>
        <v>Adult</v>
      </c>
      <c r="D907" t="s">
        <v>16</v>
      </c>
      <c r="E907" t="s">
        <v>27</v>
      </c>
      <c r="F907" t="s">
        <v>28</v>
      </c>
      <c r="G907">
        <v>1501.64</v>
      </c>
      <c r="H907" t="s">
        <v>14</v>
      </c>
      <c r="I907" t="s">
        <v>15</v>
      </c>
      <c r="J907">
        <v>3.2</v>
      </c>
      <c r="K907">
        <v>12</v>
      </c>
      <c r="L907">
        <f t="shared" si="43"/>
        <v>1321.4432000000002</v>
      </c>
      <c r="M907">
        <v>6</v>
      </c>
      <c r="N907" t="str">
        <f t="shared" si="44"/>
        <v>Regular</v>
      </c>
    </row>
    <row r="908" spans="1:14" x14ac:dyDescent="0.35">
      <c r="A908">
        <v>907</v>
      </c>
      <c r="B908">
        <v>69</v>
      </c>
      <c r="C908" t="str">
        <f t="shared" si="42"/>
        <v>Senior</v>
      </c>
      <c r="D908" t="s">
        <v>16</v>
      </c>
      <c r="E908" t="s">
        <v>33</v>
      </c>
      <c r="F908" t="s">
        <v>34</v>
      </c>
      <c r="G908">
        <v>145.19999999999999</v>
      </c>
      <c r="H908" t="s">
        <v>14</v>
      </c>
      <c r="I908" t="s">
        <v>15</v>
      </c>
      <c r="J908">
        <v>2.8</v>
      </c>
      <c r="K908">
        <v>18</v>
      </c>
      <c r="L908">
        <f t="shared" si="43"/>
        <v>119.06399999999999</v>
      </c>
      <c r="M908">
        <v>4</v>
      </c>
      <c r="N908" t="str">
        <f t="shared" si="44"/>
        <v>Regular</v>
      </c>
    </row>
    <row r="909" spans="1:14" x14ac:dyDescent="0.35">
      <c r="A909">
        <v>908</v>
      </c>
      <c r="B909">
        <v>50</v>
      </c>
      <c r="C909" t="str">
        <f t="shared" si="42"/>
        <v>Adult</v>
      </c>
      <c r="D909" t="s">
        <v>16</v>
      </c>
      <c r="E909" t="s">
        <v>17</v>
      </c>
      <c r="F909" t="s">
        <v>18</v>
      </c>
      <c r="G909">
        <v>66.680000000000007</v>
      </c>
      <c r="H909" t="s">
        <v>24</v>
      </c>
      <c r="I909" t="s">
        <v>15</v>
      </c>
      <c r="J909">
        <v>3.1</v>
      </c>
      <c r="K909">
        <v>13</v>
      </c>
      <c r="L909">
        <f t="shared" si="43"/>
        <v>58.011600000000008</v>
      </c>
      <c r="M909">
        <v>4</v>
      </c>
      <c r="N909" t="str">
        <f t="shared" si="44"/>
        <v>Regular</v>
      </c>
    </row>
    <row r="910" spans="1:14" x14ac:dyDescent="0.35">
      <c r="A910">
        <v>909</v>
      </c>
      <c r="B910">
        <v>60</v>
      </c>
      <c r="C910" t="str">
        <f t="shared" si="42"/>
        <v>Adult</v>
      </c>
      <c r="D910" t="s">
        <v>16</v>
      </c>
      <c r="E910" t="s">
        <v>27</v>
      </c>
      <c r="F910" t="s">
        <v>32</v>
      </c>
      <c r="G910">
        <v>592.23</v>
      </c>
      <c r="H910" t="s">
        <v>19</v>
      </c>
      <c r="I910" t="s">
        <v>15</v>
      </c>
      <c r="J910">
        <v>3.6</v>
      </c>
      <c r="K910">
        <v>13</v>
      </c>
      <c r="L910">
        <f t="shared" si="43"/>
        <v>515.24009999999998</v>
      </c>
      <c r="M910">
        <v>4</v>
      </c>
      <c r="N910" t="str">
        <f t="shared" si="44"/>
        <v>Regular</v>
      </c>
    </row>
    <row r="911" spans="1:14" x14ac:dyDescent="0.35">
      <c r="A911">
        <v>910</v>
      </c>
      <c r="B911">
        <v>39</v>
      </c>
      <c r="C911" t="str">
        <f t="shared" si="42"/>
        <v>Adult</v>
      </c>
      <c r="D911" t="s">
        <v>16</v>
      </c>
      <c r="E911" t="s">
        <v>27</v>
      </c>
      <c r="F911" t="s">
        <v>28</v>
      </c>
      <c r="G911">
        <v>646.99</v>
      </c>
      <c r="H911" t="s">
        <v>24</v>
      </c>
      <c r="I911" t="s">
        <v>15</v>
      </c>
      <c r="J911">
        <v>4.0999999999999996</v>
      </c>
      <c r="K911">
        <v>24</v>
      </c>
      <c r="L911">
        <f t="shared" si="43"/>
        <v>491.7124</v>
      </c>
      <c r="M911">
        <v>7</v>
      </c>
      <c r="N911" t="str">
        <f t="shared" si="44"/>
        <v>Regular</v>
      </c>
    </row>
    <row r="912" spans="1:14" x14ac:dyDescent="0.35">
      <c r="A912">
        <v>911</v>
      </c>
      <c r="B912">
        <v>50</v>
      </c>
      <c r="C912" t="str">
        <f t="shared" si="42"/>
        <v>Adult</v>
      </c>
      <c r="D912" t="s">
        <v>16</v>
      </c>
      <c r="E912" t="s">
        <v>33</v>
      </c>
      <c r="F912" t="s">
        <v>38</v>
      </c>
      <c r="G912">
        <v>58.87</v>
      </c>
      <c r="H912" t="s">
        <v>19</v>
      </c>
      <c r="I912" t="s">
        <v>37</v>
      </c>
      <c r="J912">
        <v>3.1</v>
      </c>
      <c r="K912">
        <v>16</v>
      </c>
      <c r="L912">
        <f t="shared" si="43"/>
        <v>49.450799999999994</v>
      </c>
      <c r="M912">
        <v>3</v>
      </c>
      <c r="N912" t="str">
        <f t="shared" si="44"/>
        <v>New</v>
      </c>
    </row>
    <row r="913" spans="1:14" x14ac:dyDescent="0.35">
      <c r="A913">
        <v>912</v>
      </c>
      <c r="B913">
        <v>42</v>
      </c>
      <c r="C913" t="str">
        <f t="shared" si="42"/>
        <v>Adult</v>
      </c>
      <c r="D913" t="s">
        <v>16</v>
      </c>
      <c r="E913" t="s">
        <v>20</v>
      </c>
      <c r="F913" t="s">
        <v>39</v>
      </c>
      <c r="G913">
        <v>51.43</v>
      </c>
      <c r="H913" t="s">
        <v>24</v>
      </c>
      <c r="I913" t="s">
        <v>15</v>
      </c>
      <c r="J913">
        <v>2.7</v>
      </c>
      <c r="K913">
        <v>13</v>
      </c>
      <c r="L913">
        <f t="shared" si="43"/>
        <v>44.744099999999996</v>
      </c>
      <c r="M913">
        <v>4</v>
      </c>
      <c r="N913" t="str">
        <f t="shared" si="44"/>
        <v>Regular</v>
      </c>
    </row>
    <row r="914" spans="1:14" x14ac:dyDescent="0.35">
      <c r="A914">
        <v>913</v>
      </c>
      <c r="B914">
        <v>56</v>
      </c>
      <c r="C914" t="str">
        <f t="shared" si="42"/>
        <v>Adult</v>
      </c>
      <c r="D914" t="s">
        <v>11</v>
      </c>
      <c r="E914" t="s">
        <v>22</v>
      </c>
      <c r="F914" t="s">
        <v>43</v>
      </c>
      <c r="G914">
        <v>235.41</v>
      </c>
      <c r="H914" t="s">
        <v>31</v>
      </c>
      <c r="I914" t="s">
        <v>15</v>
      </c>
      <c r="J914">
        <v>2.6</v>
      </c>
      <c r="K914">
        <v>2</v>
      </c>
      <c r="L914">
        <f t="shared" si="43"/>
        <v>230.70179999999999</v>
      </c>
      <c r="M914">
        <v>1</v>
      </c>
      <c r="N914" t="str">
        <f t="shared" si="44"/>
        <v>New</v>
      </c>
    </row>
    <row r="915" spans="1:14" x14ac:dyDescent="0.35">
      <c r="A915">
        <v>914</v>
      </c>
      <c r="B915">
        <v>46</v>
      </c>
      <c r="C915" t="str">
        <f t="shared" si="42"/>
        <v>Adult</v>
      </c>
      <c r="D915" t="s">
        <v>11</v>
      </c>
      <c r="E915" t="s">
        <v>12</v>
      </c>
      <c r="F915" t="s">
        <v>56</v>
      </c>
      <c r="G915">
        <v>99.47</v>
      </c>
      <c r="H915" t="s">
        <v>24</v>
      </c>
      <c r="I915" t="s">
        <v>37</v>
      </c>
      <c r="J915">
        <v>3.7</v>
      </c>
      <c r="K915">
        <v>22</v>
      </c>
      <c r="L915">
        <f t="shared" si="43"/>
        <v>77.586600000000004</v>
      </c>
      <c r="M915">
        <v>11</v>
      </c>
      <c r="N915" t="str">
        <f t="shared" si="44"/>
        <v>Loyal</v>
      </c>
    </row>
    <row r="916" spans="1:14" x14ac:dyDescent="0.35">
      <c r="A916">
        <v>915</v>
      </c>
      <c r="B916">
        <v>40</v>
      </c>
      <c r="C916" t="str">
        <f t="shared" si="42"/>
        <v>Adult</v>
      </c>
      <c r="D916" t="s">
        <v>11</v>
      </c>
      <c r="E916" t="s">
        <v>12</v>
      </c>
      <c r="F916" t="s">
        <v>50</v>
      </c>
      <c r="G916">
        <v>38.29</v>
      </c>
      <c r="H916" t="s">
        <v>14</v>
      </c>
      <c r="I916" t="s">
        <v>15</v>
      </c>
      <c r="J916">
        <v>4.0999999999999996</v>
      </c>
      <c r="K916">
        <v>18</v>
      </c>
      <c r="L916">
        <f t="shared" si="43"/>
        <v>31.3978</v>
      </c>
      <c r="M916">
        <v>9</v>
      </c>
      <c r="N916" t="str">
        <f t="shared" si="44"/>
        <v>Loyal</v>
      </c>
    </row>
    <row r="917" spans="1:14" x14ac:dyDescent="0.35">
      <c r="A917">
        <v>916</v>
      </c>
      <c r="B917">
        <v>54</v>
      </c>
      <c r="C917" t="str">
        <f t="shared" si="42"/>
        <v>Adult</v>
      </c>
      <c r="D917" t="s">
        <v>16</v>
      </c>
      <c r="E917" t="s">
        <v>33</v>
      </c>
      <c r="F917" t="s">
        <v>38</v>
      </c>
      <c r="G917">
        <v>240.73</v>
      </c>
      <c r="H917" t="s">
        <v>19</v>
      </c>
      <c r="I917" t="s">
        <v>15</v>
      </c>
      <c r="J917">
        <v>4.5</v>
      </c>
      <c r="K917">
        <v>18</v>
      </c>
      <c r="L917">
        <f t="shared" si="43"/>
        <v>197.39860000000002</v>
      </c>
      <c r="M917">
        <v>4</v>
      </c>
      <c r="N917" t="str">
        <f t="shared" si="44"/>
        <v>Regular</v>
      </c>
    </row>
    <row r="918" spans="1:14" x14ac:dyDescent="0.35">
      <c r="A918">
        <v>917</v>
      </c>
      <c r="B918">
        <v>24</v>
      </c>
      <c r="C918" t="str">
        <f t="shared" si="42"/>
        <v>Youth</v>
      </c>
      <c r="D918" t="s">
        <v>11</v>
      </c>
      <c r="E918" t="s">
        <v>41</v>
      </c>
      <c r="F918" t="s">
        <v>45</v>
      </c>
      <c r="G918">
        <v>145.27000000000001</v>
      </c>
      <c r="H918" t="s">
        <v>31</v>
      </c>
      <c r="I918" t="s">
        <v>15</v>
      </c>
      <c r="J918">
        <v>4.7</v>
      </c>
      <c r="K918">
        <v>20</v>
      </c>
      <c r="L918">
        <f t="shared" si="43"/>
        <v>116.21600000000001</v>
      </c>
      <c r="M918">
        <v>10</v>
      </c>
      <c r="N918" t="str">
        <f t="shared" si="44"/>
        <v>Loyal</v>
      </c>
    </row>
    <row r="919" spans="1:14" x14ac:dyDescent="0.35">
      <c r="A919">
        <v>918</v>
      </c>
      <c r="B919">
        <v>22</v>
      </c>
      <c r="C919" t="str">
        <f t="shared" si="42"/>
        <v>Youth</v>
      </c>
      <c r="D919" t="s">
        <v>16</v>
      </c>
      <c r="E919" t="s">
        <v>33</v>
      </c>
      <c r="F919" t="s">
        <v>38</v>
      </c>
      <c r="G919">
        <v>140.13</v>
      </c>
      <c r="H919" t="s">
        <v>19</v>
      </c>
      <c r="I919" t="s">
        <v>15</v>
      </c>
      <c r="J919">
        <v>4.4000000000000004</v>
      </c>
      <c r="K919">
        <v>16</v>
      </c>
      <c r="L919">
        <f t="shared" si="43"/>
        <v>117.7092</v>
      </c>
      <c r="M919">
        <v>3</v>
      </c>
      <c r="N919" t="str">
        <f t="shared" si="44"/>
        <v>New</v>
      </c>
    </row>
    <row r="920" spans="1:14" x14ac:dyDescent="0.35">
      <c r="A920">
        <v>919</v>
      </c>
      <c r="B920">
        <v>43</v>
      </c>
      <c r="C920" t="str">
        <f t="shared" si="42"/>
        <v>Adult</v>
      </c>
      <c r="D920" t="s">
        <v>16</v>
      </c>
      <c r="E920" t="s">
        <v>33</v>
      </c>
      <c r="F920" t="s">
        <v>40</v>
      </c>
      <c r="G920">
        <v>192.45</v>
      </c>
      <c r="H920" t="s">
        <v>14</v>
      </c>
      <c r="I920" t="s">
        <v>15</v>
      </c>
      <c r="J920">
        <v>3.3</v>
      </c>
      <c r="K920">
        <v>7</v>
      </c>
      <c r="L920">
        <f t="shared" si="43"/>
        <v>178.97849999999997</v>
      </c>
      <c r="M920">
        <v>1</v>
      </c>
      <c r="N920" t="str">
        <f t="shared" si="44"/>
        <v>New</v>
      </c>
    </row>
    <row r="921" spans="1:14" x14ac:dyDescent="0.35">
      <c r="A921">
        <v>920</v>
      </c>
      <c r="B921">
        <v>21</v>
      </c>
      <c r="C921" t="str">
        <f t="shared" si="42"/>
        <v>Youth</v>
      </c>
      <c r="D921" t="s">
        <v>16</v>
      </c>
      <c r="E921" t="s">
        <v>27</v>
      </c>
      <c r="F921" t="s">
        <v>53</v>
      </c>
      <c r="G921">
        <v>2391.56</v>
      </c>
      <c r="H921" t="s">
        <v>19</v>
      </c>
      <c r="I921" t="s">
        <v>15</v>
      </c>
      <c r="J921">
        <v>3.7</v>
      </c>
      <c r="K921">
        <v>24</v>
      </c>
      <c r="L921">
        <f t="shared" si="43"/>
        <v>1817.5855999999999</v>
      </c>
      <c r="M921">
        <v>7</v>
      </c>
      <c r="N921" t="str">
        <f t="shared" si="44"/>
        <v>Regular</v>
      </c>
    </row>
    <row r="922" spans="1:14" x14ac:dyDescent="0.35">
      <c r="A922">
        <v>921</v>
      </c>
      <c r="B922">
        <v>58</v>
      </c>
      <c r="C922" t="str">
        <f t="shared" si="42"/>
        <v>Adult</v>
      </c>
      <c r="D922" t="s">
        <v>11</v>
      </c>
      <c r="E922" t="s">
        <v>22</v>
      </c>
      <c r="F922" t="s">
        <v>23</v>
      </c>
      <c r="G922">
        <v>246.33</v>
      </c>
      <c r="H922" t="s">
        <v>24</v>
      </c>
      <c r="I922" t="s">
        <v>15</v>
      </c>
      <c r="J922">
        <v>3.9</v>
      </c>
      <c r="K922">
        <v>12</v>
      </c>
      <c r="L922">
        <f t="shared" si="43"/>
        <v>216.77040000000002</v>
      </c>
      <c r="M922">
        <v>6</v>
      </c>
      <c r="N922" t="str">
        <f t="shared" si="44"/>
        <v>Regular</v>
      </c>
    </row>
    <row r="923" spans="1:14" x14ac:dyDescent="0.35">
      <c r="A923">
        <v>922</v>
      </c>
      <c r="B923">
        <v>57</v>
      </c>
      <c r="C923" t="str">
        <f t="shared" si="42"/>
        <v>Adult</v>
      </c>
      <c r="D923" t="s">
        <v>16</v>
      </c>
      <c r="E923" t="s">
        <v>20</v>
      </c>
      <c r="F923" t="s">
        <v>39</v>
      </c>
      <c r="G923">
        <v>39.18</v>
      </c>
      <c r="H923" t="s">
        <v>31</v>
      </c>
      <c r="I923" t="s">
        <v>37</v>
      </c>
      <c r="J923">
        <v>3.4</v>
      </c>
      <c r="K923">
        <v>23</v>
      </c>
      <c r="L923">
        <f t="shared" si="43"/>
        <v>30.168600000000001</v>
      </c>
      <c r="M923">
        <v>9</v>
      </c>
      <c r="N923" t="str">
        <f t="shared" si="44"/>
        <v>Loyal</v>
      </c>
    </row>
    <row r="924" spans="1:14" x14ac:dyDescent="0.35">
      <c r="A924">
        <v>923</v>
      </c>
      <c r="B924">
        <v>25</v>
      </c>
      <c r="C924" t="str">
        <f t="shared" si="42"/>
        <v>Youth</v>
      </c>
      <c r="D924" t="s">
        <v>11</v>
      </c>
      <c r="E924" t="s">
        <v>29</v>
      </c>
      <c r="F924" t="s">
        <v>55</v>
      </c>
      <c r="G924">
        <v>21.93</v>
      </c>
      <c r="H924" t="s">
        <v>14</v>
      </c>
      <c r="I924" t="s">
        <v>37</v>
      </c>
      <c r="J924">
        <v>4.5</v>
      </c>
      <c r="K924">
        <v>18</v>
      </c>
      <c r="L924">
        <f t="shared" si="43"/>
        <v>17.982600000000001</v>
      </c>
      <c r="M924">
        <v>4</v>
      </c>
      <c r="N924" t="str">
        <f t="shared" si="44"/>
        <v>Regular</v>
      </c>
    </row>
    <row r="925" spans="1:14" x14ac:dyDescent="0.35">
      <c r="A925">
        <v>924</v>
      </c>
      <c r="B925">
        <v>35</v>
      </c>
      <c r="C925" t="str">
        <f t="shared" si="42"/>
        <v>Adult</v>
      </c>
      <c r="D925" t="s">
        <v>16</v>
      </c>
      <c r="E925" t="s">
        <v>17</v>
      </c>
      <c r="F925" t="s">
        <v>35</v>
      </c>
      <c r="G925">
        <v>35.65</v>
      </c>
      <c r="H925" t="s">
        <v>14</v>
      </c>
      <c r="I925" t="s">
        <v>15</v>
      </c>
      <c r="J925">
        <v>4.5</v>
      </c>
      <c r="K925">
        <v>13</v>
      </c>
      <c r="L925">
        <f t="shared" si="43"/>
        <v>31.015499999999999</v>
      </c>
      <c r="M925">
        <v>4</v>
      </c>
      <c r="N925" t="str">
        <f t="shared" si="44"/>
        <v>Regular</v>
      </c>
    </row>
    <row r="926" spans="1:14" x14ac:dyDescent="0.35">
      <c r="A926">
        <v>925</v>
      </c>
      <c r="B926">
        <v>23</v>
      </c>
      <c r="C926" t="str">
        <f t="shared" si="42"/>
        <v>Youth</v>
      </c>
      <c r="D926" t="s">
        <v>16</v>
      </c>
      <c r="E926" t="s">
        <v>17</v>
      </c>
      <c r="F926" t="s">
        <v>48</v>
      </c>
      <c r="G926">
        <v>174.44</v>
      </c>
      <c r="H926" t="s">
        <v>31</v>
      </c>
      <c r="I926" t="s">
        <v>15</v>
      </c>
      <c r="J926">
        <v>2.9</v>
      </c>
      <c r="K926">
        <v>14</v>
      </c>
      <c r="L926">
        <f t="shared" si="43"/>
        <v>150.01839999999999</v>
      </c>
      <c r="M926">
        <v>7</v>
      </c>
      <c r="N926" t="str">
        <f t="shared" si="44"/>
        <v>Regular</v>
      </c>
    </row>
    <row r="927" spans="1:14" x14ac:dyDescent="0.35">
      <c r="A927">
        <v>926</v>
      </c>
      <c r="B927">
        <v>23</v>
      </c>
      <c r="C927" t="str">
        <f t="shared" si="42"/>
        <v>Youth</v>
      </c>
      <c r="D927" t="s">
        <v>11</v>
      </c>
      <c r="E927" t="s">
        <v>12</v>
      </c>
      <c r="F927" t="s">
        <v>56</v>
      </c>
      <c r="G927">
        <v>130.69999999999999</v>
      </c>
      <c r="H927" t="s">
        <v>19</v>
      </c>
      <c r="I927" t="s">
        <v>15</v>
      </c>
      <c r="J927">
        <v>3.2</v>
      </c>
      <c r="K927">
        <v>19</v>
      </c>
      <c r="L927">
        <f t="shared" si="43"/>
        <v>105.867</v>
      </c>
      <c r="M927">
        <v>7</v>
      </c>
      <c r="N927" t="str">
        <f t="shared" si="44"/>
        <v>Regular</v>
      </c>
    </row>
    <row r="928" spans="1:14" x14ac:dyDescent="0.35">
      <c r="A928">
        <v>927</v>
      </c>
      <c r="B928">
        <v>31</v>
      </c>
      <c r="C928" t="str">
        <f t="shared" si="42"/>
        <v>Adult</v>
      </c>
      <c r="D928" t="s">
        <v>16</v>
      </c>
      <c r="E928" t="s">
        <v>20</v>
      </c>
      <c r="F928" t="s">
        <v>21</v>
      </c>
      <c r="G928">
        <v>231.91</v>
      </c>
      <c r="H928" t="s">
        <v>24</v>
      </c>
      <c r="I928" t="s">
        <v>15</v>
      </c>
      <c r="J928">
        <v>4.4000000000000004</v>
      </c>
      <c r="K928">
        <v>21</v>
      </c>
      <c r="L928">
        <f t="shared" si="43"/>
        <v>183.2089</v>
      </c>
      <c r="M928">
        <v>8</v>
      </c>
      <c r="N928" t="str">
        <f t="shared" si="44"/>
        <v>Loyal</v>
      </c>
    </row>
    <row r="929" spans="1:14" x14ac:dyDescent="0.35">
      <c r="A929">
        <v>928</v>
      </c>
      <c r="B929">
        <v>33</v>
      </c>
      <c r="C929" t="str">
        <f t="shared" si="42"/>
        <v>Adult</v>
      </c>
      <c r="D929" t="s">
        <v>11</v>
      </c>
      <c r="E929" t="s">
        <v>12</v>
      </c>
      <c r="F929" t="s">
        <v>56</v>
      </c>
      <c r="G929">
        <v>130.37</v>
      </c>
      <c r="H929" t="s">
        <v>14</v>
      </c>
      <c r="I929" t="s">
        <v>15</v>
      </c>
      <c r="J929">
        <v>3.3</v>
      </c>
      <c r="K929">
        <v>6</v>
      </c>
      <c r="L929">
        <f t="shared" si="43"/>
        <v>122.5478</v>
      </c>
      <c r="M929">
        <v>3</v>
      </c>
      <c r="N929" t="str">
        <f t="shared" si="44"/>
        <v>New</v>
      </c>
    </row>
    <row r="930" spans="1:14" x14ac:dyDescent="0.35">
      <c r="A930">
        <v>929</v>
      </c>
      <c r="B930">
        <v>45</v>
      </c>
      <c r="C930" t="str">
        <f t="shared" si="42"/>
        <v>Adult</v>
      </c>
      <c r="D930" t="s">
        <v>11</v>
      </c>
      <c r="E930" t="s">
        <v>41</v>
      </c>
      <c r="F930" t="s">
        <v>45</v>
      </c>
      <c r="G930">
        <v>185.7</v>
      </c>
      <c r="H930" t="s">
        <v>14</v>
      </c>
      <c r="I930" t="s">
        <v>15</v>
      </c>
      <c r="J930">
        <v>2.8</v>
      </c>
      <c r="K930">
        <v>8</v>
      </c>
      <c r="L930">
        <f t="shared" si="43"/>
        <v>170.84399999999999</v>
      </c>
      <c r="M930">
        <v>4</v>
      </c>
      <c r="N930" t="str">
        <f t="shared" si="44"/>
        <v>Regular</v>
      </c>
    </row>
    <row r="931" spans="1:14" x14ac:dyDescent="0.35">
      <c r="A931">
        <v>930</v>
      </c>
      <c r="B931">
        <v>59</v>
      </c>
      <c r="C931" t="str">
        <f t="shared" si="42"/>
        <v>Adult</v>
      </c>
      <c r="D931" t="s">
        <v>16</v>
      </c>
      <c r="E931" t="s">
        <v>25</v>
      </c>
      <c r="F931" t="s">
        <v>26</v>
      </c>
      <c r="G931">
        <v>8.6999999999999993</v>
      </c>
      <c r="H931" t="s">
        <v>14</v>
      </c>
      <c r="I931" t="s">
        <v>37</v>
      </c>
      <c r="J931">
        <v>3.5</v>
      </c>
      <c r="K931">
        <v>32</v>
      </c>
      <c r="L931">
        <f t="shared" si="43"/>
        <v>5.9159999999999986</v>
      </c>
      <c r="M931">
        <v>11</v>
      </c>
      <c r="N931" t="str">
        <f t="shared" si="44"/>
        <v>Loyal</v>
      </c>
    </row>
    <row r="932" spans="1:14" x14ac:dyDescent="0.35">
      <c r="A932">
        <v>931</v>
      </c>
      <c r="B932">
        <v>43</v>
      </c>
      <c r="C932" t="str">
        <f t="shared" si="42"/>
        <v>Adult</v>
      </c>
      <c r="D932" t="s">
        <v>16</v>
      </c>
      <c r="E932" t="s">
        <v>27</v>
      </c>
      <c r="F932" t="s">
        <v>49</v>
      </c>
      <c r="G932">
        <v>2197.9899999999998</v>
      </c>
      <c r="H932" t="s">
        <v>31</v>
      </c>
      <c r="I932" t="s">
        <v>15</v>
      </c>
      <c r="J932">
        <v>4.0999999999999996</v>
      </c>
      <c r="K932">
        <v>10</v>
      </c>
      <c r="L932">
        <f t="shared" si="43"/>
        <v>1978.1909999999998</v>
      </c>
      <c r="M932">
        <v>5</v>
      </c>
      <c r="N932" t="str">
        <f t="shared" si="44"/>
        <v>Regular</v>
      </c>
    </row>
    <row r="933" spans="1:14" x14ac:dyDescent="0.35">
      <c r="A933">
        <v>932</v>
      </c>
      <c r="B933">
        <v>27</v>
      </c>
      <c r="C933" t="str">
        <f t="shared" si="42"/>
        <v>Youth</v>
      </c>
      <c r="D933" t="s">
        <v>16</v>
      </c>
      <c r="E933" t="s">
        <v>20</v>
      </c>
      <c r="F933" t="s">
        <v>36</v>
      </c>
      <c r="G933">
        <v>113.14</v>
      </c>
      <c r="H933" t="s">
        <v>31</v>
      </c>
      <c r="I933" t="s">
        <v>15</v>
      </c>
      <c r="J933">
        <v>4.4000000000000004</v>
      </c>
      <c r="K933">
        <v>10</v>
      </c>
      <c r="L933">
        <f t="shared" si="43"/>
        <v>101.82600000000001</v>
      </c>
      <c r="M933">
        <v>5</v>
      </c>
      <c r="N933" t="str">
        <f t="shared" si="44"/>
        <v>Regular</v>
      </c>
    </row>
    <row r="934" spans="1:14" x14ac:dyDescent="0.35">
      <c r="A934">
        <v>933</v>
      </c>
      <c r="B934">
        <v>53</v>
      </c>
      <c r="C934" t="str">
        <f t="shared" si="42"/>
        <v>Adult</v>
      </c>
      <c r="D934" t="s">
        <v>16</v>
      </c>
      <c r="E934" t="s">
        <v>33</v>
      </c>
      <c r="F934" t="s">
        <v>34</v>
      </c>
      <c r="G934">
        <v>223.47</v>
      </c>
      <c r="H934" t="s">
        <v>14</v>
      </c>
      <c r="I934" t="s">
        <v>15</v>
      </c>
      <c r="J934">
        <v>3.4</v>
      </c>
      <c r="K934">
        <v>8</v>
      </c>
      <c r="L934">
        <f t="shared" si="43"/>
        <v>205.5924</v>
      </c>
      <c r="M934">
        <v>4</v>
      </c>
      <c r="N934" t="str">
        <f t="shared" si="44"/>
        <v>Regular</v>
      </c>
    </row>
    <row r="935" spans="1:14" x14ac:dyDescent="0.35">
      <c r="A935">
        <v>934</v>
      </c>
      <c r="B935">
        <v>60</v>
      </c>
      <c r="C935" t="str">
        <f t="shared" si="42"/>
        <v>Adult</v>
      </c>
      <c r="D935" t="s">
        <v>16</v>
      </c>
      <c r="E935" t="s">
        <v>20</v>
      </c>
      <c r="F935" t="s">
        <v>21</v>
      </c>
      <c r="G935">
        <v>203.1</v>
      </c>
      <c r="H935" t="s">
        <v>14</v>
      </c>
      <c r="I935" t="s">
        <v>15</v>
      </c>
      <c r="J935">
        <v>3.9</v>
      </c>
      <c r="K935">
        <v>10</v>
      </c>
      <c r="L935">
        <f t="shared" si="43"/>
        <v>182.79</v>
      </c>
      <c r="M935">
        <v>5</v>
      </c>
      <c r="N935" t="str">
        <f t="shared" si="44"/>
        <v>Regular</v>
      </c>
    </row>
    <row r="936" spans="1:14" x14ac:dyDescent="0.35">
      <c r="A936">
        <v>935</v>
      </c>
      <c r="B936">
        <v>42</v>
      </c>
      <c r="C936" t="str">
        <f t="shared" si="42"/>
        <v>Adult</v>
      </c>
      <c r="D936" t="s">
        <v>16</v>
      </c>
      <c r="E936" t="s">
        <v>17</v>
      </c>
      <c r="F936" t="s">
        <v>42</v>
      </c>
      <c r="G936">
        <v>85.93</v>
      </c>
      <c r="H936" t="s">
        <v>24</v>
      </c>
      <c r="I936" t="s">
        <v>15</v>
      </c>
      <c r="J936">
        <v>2.6</v>
      </c>
      <c r="K936">
        <v>22</v>
      </c>
      <c r="L936">
        <f t="shared" si="43"/>
        <v>67.025400000000005</v>
      </c>
      <c r="M936">
        <v>6</v>
      </c>
      <c r="N936" t="str">
        <f t="shared" si="44"/>
        <v>Regular</v>
      </c>
    </row>
    <row r="937" spans="1:14" x14ac:dyDescent="0.35">
      <c r="A937">
        <v>936</v>
      </c>
      <c r="B937">
        <v>43</v>
      </c>
      <c r="C937" t="str">
        <f t="shared" si="42"/>
        <v>Adult</v>
      </c>
      <c r="D937" t="s">
        <v>16</v>
      </c>
      <c r="E937" t="s">
        <v>27</v>
      </c>
      <c r="F937" t="s">
        <v>53</v>
      </c>
      <c r="G937">
        <v>622.05999999999995</v>
      </c>
      <c r="H937" t="s">
        <v>14</v>
      </c>
      <c r="I937" t="s">
        <v>15</v>
      </c>
      <c r="J937">
        <v>3.5</v>
      </c>
      <c r="K937">
        <v>20</v>
      </c>
      <c r="L937">
        <f t="shared" si="43"/>
        <v>497.64799999999997</v>
      </c>
      <c r="M937">
        <v>5</v>
      </c>
      <c r="N937" t="str">
        <f t="shared" si="44"/>
        <v>Regular</v>
      </c>
    </row>
    <row r="938" spans="1:14" x14ac:dyDescent="0.35">
      <c r="A938">
        <v>937</v>
      </c>
      <c r="B938">
        <v>62</v>
      </c>
      <c r="C938" t="str">
        <f t="shared" si="42"/>
        <v>Senior</v>
      </c>
      <c r="D938" t="s">
        <v>16</v>
      </c>
      <c r="E938" t="s">
        <v>22</v>
      </c>
      <c r="F938" t="s">
        <v>52</v>
      </c>
      <c r="G938">
        <v>136.93</v>
      </c>
      <c r="H938" t="s">
        <v>14</v>
      </c>
      <c r="I938" t="s">
        <v>15</v>
      </c>
      <c r="J938">
        <v>2</v>
      </c>
      <c r="K938">
        <v>12</v>
      </c>
      <c r="L938">
        <f t="shared" si="43"/>
        <v>120.4984</v>
      </c>
      <c r="M938">
        <v>6</v>
      </c>
      <c r="N938" t="str">
        <f t="shared" si="44"/>
        <v>Regular</v>
      </c>
    </row>
    <row r="939" spans="1:14" x14ac:dyDescent="0.35">
      <c r="A939">
        <v>938</v>
      </c>
      <c r="B939">
        <v>52</v>
      </c>
      <c r="C939" t="str">
        <f t="shared" si="42"/>
        <v>Adult</v>
      </c>
      <c r="D939" t="s">
        <v>11</v>
      </c>
      <c r="E939" t="s">
        <v>22</v>
      </c>
      <c r="F939" t="s">
        <v>23</v>
      </c>
      <c r="G939">
        <v>287.12</v>
      </c>
      <c r="H939" t="s">
        <v>19</v>
      </c>
      <c r="I939" t="s">
        <v>15</v>
      </c>
      <c r="J939">
        <v>4.2</v>
      </c>
      <c r="K939">
        <v>28</v>
      </c>
      <c r="L939">
        <f t="shared" si="43"/>
        <v>206.72639999999998</v>
      </c>
      <c r="M939">
        <v>9</v>
      </c>
      <c r="N939" t="str">
        <f t="shared" si="44"/>
        <v>Loyal</v>
      </c>
    </row>
    <row r="940" spans="1:14" x14ac:dyDescent="0.35">
      <c r="A940">
        <v>939</v>
      </c>
      <c r="B940">
        <v>70</v>
      </c>
      <c r="C940" t="str">
        <f t="shared" si="42"/>
        <v>Senior</v>
      </c>
      <c r="D940" t="s">
        <v>16</v>
      </c>
      <c r="E940" t="s">
        <v>33</v>
      </c>
      <c r="F940" t="s">
        <v>38</v>
      </c>
      <c r="G940">
        <v>223.82</v>
      </c>
      <c r="H940" t="s">
        <v>31</v>
      </c>
      <c r="I940" t="s">
        <v>15</v>
      </c>
      <c r="J940">
        <v>5</v>
      </c>
      <c r="K940">
        <v>9</v>
      </c>
      <c r="L940">
        <f t="shared" si="43"/>
        <v>203.67619999999999</v>
      </c>
      <c r="M940">
        <v>2</v>
      </c>
      <c r="N940" t="str">
        <f t="shared" si="44"/>
        <v>New</v>
      </c>
    </row>
    <row r="941" spans="1:14" x14ac:dyDescent="0.35">
      <c r="A941">
        <v>940</v>
      </c>
      <c r="B941">
        <v>69</v>
      </c>
      <c r="C941" t="str">
        <f t="shared" si="42"/>
        <v>Senior</v>
      </c>
      <c r="D941" t="s">
        <v>11</v>
      </c>
      <c r="E941" t="s">
        <v>25</v>
      </c>
      <c r="F941" t="s">
        <v>57</v>
      </c>
      <c r="G941">
        <v>52.06</v>
      </c>
      <c r="H941" t="s">
        <v>19</v>
      </c>
      <c r="I941" t="s">
        <v>15</v>
      </c>
      <c r="J941">
        <v>4.7</v>
      </c>
      <c r="K941">
        <v>20</v>
      </c>
      <c r="L941">
        <f t="shared" si="43"/>
        <v>41.648000000000003</v>
      </c>
      <c r="M941">
        <v>5</v>
      </c>
      <c r="N941" t="str">
        <f t="shared" si="44"/>
        <v>Regular</v>
      </c>
    </row>
    <row r="942" spans="1:14" x14ac:dyDescent="0.35">
      <c r="A942">
        <v>941</v>
      </c>
      <c r="B942">
        <v>38</v>
      </c>
      <c r="C942" t="str">
        <f t="shared" si="42"/>
        <v>Adult</v>
      </c>
      <c r="D942" t="s">
        <v>16</v>
      </c>
      <c r="E942" t="s">
        <v>22</v>
      </c>
      <c r="F942" t="s">
        <v>43</v>
      </c>
      <c r="G942">
        <v>230.54</v>
      </c>
      <c r="H942" t="s">
        <v>19</v>
      </c>
      <c r="I942" t="s">
        <v>15</v>
      </c>
      <c r="J942">
        <v>4.2</v>
      </c>
      <c r="K942">
        <v>16</v>
      </c>
      <c r="L942">
        <f t="shared" si="43"/>
        <v>193.65359999999998</v>
      </c>
      <c r="M942">
        <v>8</v>
      </c>
      <c r="N942" t="str">
        <f t="shared" si="44"/>
        <v>Loyal</v>
      </c>
    </row>
    <row r="943" spans="1:14" x14ac:dyDescent="0.35">
      <c r="A943">
        <v>942</v>
      </c>
      <c r="B943">
        <v>64</v>
      </c>
      <c r="C943" t="str">
        <f t="shared" si="42"/>
        <v>Senior</v>
      </c>
      <c r="D943" t="s">
        <v>11</v>
      </c>
      <c r="E943" t="s">
        <v>12</v>
      </c>
      <c r="F943" t="s">
        <v>56</v>
      </c>
      <c r="G943">
        <v>146.22999999999999</v>
      </c>
      <c r="H943" t="s">
        <v>31</v>
      </c>
      <c r="I943" t="s">
        <v>15</v>
      </c>
      <c r="J943">
        <v>4</v>
      </c>
      <c r="K943">
        <v>14</v>
      </c>
      <c r="L943">
        <f t="shared" si="43"/>
        <v>125.75779999999999</v>
      </c>
      <c r="M943">
        <v>7</v>
      </c>
      <c r="N943" t="str">
        <f t="shared" si="44"/>
        <v>Regular</v>
      </c>
    </row>
    <row r="944" spans="1:14" x14ac:dyDescent="0.35">
      <c r="A944">
        <v>943</v>
      </c>
      <c r="B944">
        <v>43</v>
      </c>
      <c r="C944" t="str">
        <f t="shared" si="42"/>
        <v>Adult</v>
      </c>
      <c r="D944" t="s">
        <v>11</v>
      </c>
      <c r="E944" t="s">
        <v>41</v>
      </c>
      <c r="F944" t="s">
        <v>42</v>
      </c>
      <c r="G944">
        <v>84.02</v>
      </c>
      <c r="H944" t="s">
        <v>19</v>
      </c>
      <c r="I944" t="s">
        <v>37</v>
      </c>
      <c r="J944">
        <v>4</v>
      </c>
      <c r="K944">
        <v>8</v>
      </c>
      <c r="L944">
        <f t="shared" si="43"/>
        <v>77.298400000000001</v>
      </c>
      <c r="M944">
        <v>4</v>
      </c>
      <c r="N944" t="str">
        <f t="shared" si="44"/>
        <v>Regular</v>
      </c>
    </row>
    <row r="945" spans="1:14" x14ac:dyDescent="0.35">
      <c r="A945">
        <v>944</v>
      </c>
      <c r="B945">
        <v>40</v>
      </c>
      <c r="C945" t="str">
        <f t="shared" si="42"/>
        <v>Adult</v>
      </c>
      <c r="D945" t="s">
        <v>16</v>
      </c>
      <c r="E945" t="s">
        <v>27</v>
      </c>
      <c r="F945" t="s">
        <v>49</v>
      </c>
      <c r="G945">
        <v>570.66</v>
      </c>
      <c r="H945" t="s">
        <v>24</v>
      </c>
      <c r="I945" t="s">
        <v>15</v>
      </c>
      <c r="J945">
        <v>3.7</v>
      </c>
      <c r="K945">
        <v>7</v>
      </c>
      <c r="L945">
        <f t="shared" si="43"/>
        <v>530.71379999999988</v>
      </c>
      <c r="M945">
        <v>1</v>
      </c>
      <c r="N945" t="str">
        <f t="shared" si="44"/>
        <v>New</v>
      </c>
    </row>
    <row r="946" spans="1:14" x14ac:dyDescent="0.35">
      <c r="A946">
        <v>945</v>
      </c>
      <c r="B946">
        <v>59</v>
      </c>
      <c r="C946" t="str">
        <f t="shared" si="42"/>
        <v>Adult</v>
      </c>
      <c r="D946" t="s">
        <v>16</v>
      </c>
      <c r="E946" t="s">
        <v>33</v>
      </c>
      <c r="F946" t="s">
        <v>38</v>
      </c>
      <c r="G946">
        <v>208.68</v>
      </c>
      <c r="H946" t="s">
        <v>24</v>
      </c>
      <c r="I946" t="s">
        <v>15</v>
      </c>
      <c r="J946">
        <v>2.9</v>
      </c>
      <c r="K946">
        <v>22</v>
      </c>
      <c r="L946">
        <f t="shared" si="43"/>
        <v>162.77040000000002</v>
      </c>
      <c r="M946">
        <v>6</v>
      </c>
      <c r="N946" t="str">
        <f t="shared" si="44"/>
        <v>Regular</v>
      </c>
    </row>
    <row r="947" spans="1:14" x14ac:dyDescent="0.35">
      <c r="A947">
        <v>946</v>
      </c>
      <c r="B947">
        <v>55</v>
      </c>
      <c r="C947" t="str">
        <f t="shared" si="42"/>
        <v>Adult</v>
      </c>
      <c r="D947" t="s">
        <v>16</v>
      </c>
      <c r="E947" t="s">
        <v>17</v>
      </c>
      <c r="F947" t="s">
        <v>18</v>
      </c>
      <c r="G947">
        <v>105.92</v>
      </c>
      <c r="H947" t="s">
        <v>19</v>
      </c>
      <c r="I947" t="s">
        <v>15</v>
      </c>
      <c r="J947">
        <v>4</v>
      </c>
      <c r="K947">
        <v>14</v>
      </c>
      <c r="L947">
        <f t="shared" si="43"/>
        <v>91.091200000000001</v>
      </c>
      <c r="M947">
        <v>2</v>
      </c>
      <c r="N947" t="str">
        <f t="shared" si="44"/>
        <v>New</v>
      </c>
    </row>
    <row r="948" spans="1:14" x14ac:dyDescent="0.35">
      <c r="A948">
        <v>947</v>
      </c>
      <c r="B948">
        <v>67</v>
      </c>
      <c r="C948" t="str">
        <f t="shared" si="42"/>
        <v>Senior</v>
      </c>
      <c r="D948" t="s">
        <v>16</v>
      </c>
      <c r="E948" t="s">
        <v>27</v>
      </c>
      <c r="F948" t="s">
        <v>32</v>
      </c>
      <c r="G948">
        <v>594.99</v>
      </c>
      <c r="H948" t="s">
        <v>24</v>
      </c>
      <c r="I948" t="s">
        <v>15</v>
      </c>
      <c r="J948">
        <v>4.7</v>
      </c>
      <c r="K948">
        <v>15</v>
      </c>
      <c r="L948">
        <f t="shared" si="43"/>
        <v>505.74149999999997</v>
      </c>
      <c r="M948">
        <v>5</v>
      </c>
      <c r="N948" t="str">
        <f t="shared" si="44"/>
        <v>Regular</v>
      </c>
    </row>
    <row r="949" spans="1:14" x14ac:dyDescent="0.35">
      <c r="A949">
        <v>948</v>
      </c>
      <c r="B949">
        <v>48</v>
      </c>
      <c r="C949" t="str">
        <f t="shared" si="42"/>
        <v>Adult</v>
      </c>
      <c r="D949" t="s">
        <v>16</v>
      </c>
      <c r="E949" t="s">
        <v>20</v>
      </c>
      <c r="F949" t="s">
        <v>21</v>
      </c>
      <c r="G949">
        <v>122.6</v>
      </c>
      <c r="H949" t="s">
        <v>19</v>
      </c>
      <c r="I949" t="s">
        <v>15</v>
      </c>
      <c r="J949">
        <v>3.6</v>
      </c>
      <c r="K949">
        <v>14</v>
      </c>
      <c r="L949">
        <f t="shared" si="43"/>
        <v>105.43599999999999</v>
      </c>
      <c r="M949">
        <v>7</v>
      </c>
      <c r="N949" t="str">
        <f t="shared" si="44"/>
        <v>Regular</v>
      </c>
    </row>
    <row r="950" spans="1:14" x14ac:dyDescent="0.35">
      <c r="A950">
        <v>949</v>
      </c>
      <c r="B950">
        <v>62</v>
      </c>
      <c r="C950" t="str">
        <f t="shared" si="42"/>
        <v>Senior</v>
      </c>
      <c r="D950" t="s">
        <v>11</v>
      </c>
      <c r="E950" t="s">
        <v>29</v>
      </c>
      <c r="F950" t="s">
        <v>55</v>
      </c>
      <c r="G950">
        <v>105.62</v>
      </c>
      <c r="H950" t="s">
        <v>24</v>
      </c>
      <c r="I950" t="s">
        <v>15</v>
      </c>
      <c r="J950">
        <v>3.6</v>
      </c>
      <c r="K950">
        <v>29</v>
      </c>
      <c r="L950">
        <f t="shared" si="43"/>
        <v>74.990200000000002</v>
      </c>
      <c r="M950">
        <v>12</v>
      </c>
      <c r="N950" t="str">
        <f t="shared" si="44"/>
        <v>Loyal</v>
      </c>
    </row>
    <row r="951" spans="1:14" x14ac:dyDescent="0.35">
      <c r="A951">
        <v>950</v>
      </c>
      <c r="B951">
        <v>57</v>
      </c>
      <c r="C951" t="str">
        <f t="shared" si="42"/>
        <v>Adult</v>
      </c>
      <c r="D951" t="s">
        <v>11</v>
      </c>
      <c r="E951" t="s">
        <v>22</v>
      </c>
      <c r="F951" t="s">
        <v>23</v>
      </c>
      <c r="G951">
        <v>57.08</v>
      </c>
      <c r="H951" t="s">
        <v>24</v>
      </c>
      <c r="I951" t="s">
        <v>37</v>
      </c>
      <c r="J951">
        <v>3.9</v>
      </c>
      <c r="K951">
        <v>10</v>
      </c>
      <c r="L951">
        <f t="shared" si="43"/>
        <v>51.372</v>
      </c>
      <c r="M951">
        <v>5</v>
      </c>
      <c r="N951" t="str">
        <f t="shared" si="44"/>
        <v>Regular</v>
      </c>
    </row>
    <row r="952" spans="1:14" x14ac:dyDescent="0.35">
      <c r="A952">
        <v>951</v>
      </c>
      <c r="B952">
        <v>44</v>
      </c>
      <c r="C952" t="str">
        <f t="shared" si="42"/>
        <v>Adult</v>
      </c>
      <c r="D952" t="s">
        <v>16</v>
      </c>
      <c r="E952" t="s">
        <v>22</v>
      </c>
      <c r="F952" t="s">
        <v>43</v>
      </c>
      <c r="G952">
        <v>157.74</v>
      </c>
      <c r="H952" t="s">
        <v>24</v>
      </c>
      <c r="I952" t="s">
        <v>15</v>
      </c>
      <c r="J952">
        <v>3.3</v>
      </c>
      <c r="K952">
        <v>17</v>
      </c>
      <c r="L952">
        <f t="shared" si="43"/>
        <v>130.92420000000001</v>
      </c>
      <c r="M952">
        <v>6</v>
      </c>
      <c r="N952" t="str">
        <f t="shared" si="44"/>
        <v>Regular</v>
      </c>
    </row>
    <row r="953" spans="1:14" x14ac:dyDescent="0.35">
      <c r="A953">
        <v>952</v>
      </c>
      <c r="B953">
        <v>25</v>
      </c>
      <c r="C953" t="str">
        <f t="shared" si="42"/>
        <v>Youth</v>
      </c>
      <c r="D953" t="s">
        <v>16</v>
      </c>
      <c r="E953" t="s">
        <v>25</v>
      </c>
      <c r="F953" t="s">
        <v>26</v>
      </c>
      <c r="G953">
        <v>77.760000000000005</v>
      </c>
      <c r="H953" t="s">
        <v>31</v>
      </c>
      <c r="I953" t="s">
        <v>15</v>
      </c>
      <c r="J953">
        <v>4.3</v>
      </c>
      <c r="K953">
        <v>27</v>
      </c>
      <c r="L953">
        <f t="shared" si="43"/>
        <v>56.764800000000001</v>
      </c>
      <c r="M953">
        <v>11</v>
      </c>
      <c r="N953" t="str">
        <f t="shared" si="44"/>
        <v>Loyal</v>
      </c>
    </row>
    <row r="954" spans="1:14" x14ac:dyDescent="0.35">
      <c r="A954">
        <v>953</v>
      </c>
      <c r="B954">
        <v>48</v>
      </c>
      <c r="C954" t="str">
        <f t="shared" si="42"/>
        <v>Adult</v>
      </c>
      <c r="D954" t="s">
        <v>11</v>
      </c>
      <c r="E954" t="s">
        <v>22</v>
      </c>
      <c r="F954" t="s">
        <v>23</v>
      </c>
      <c r="G954">
        <v>243.65</v>
      </c>
      <c r="H954" t="s">
        <v>14</v>
      </c>
      <c r="I954" t="s">
        <v>15</v>
      </c>
      <c r="J954">
        <v>4.8</v>
      </c>
      <c r="K954">
        <v>15</v>
      </c>
      <c r="L954">
        <f t="shared" si="43"/>
        <v>207.10249999999999</v>
      </c>
      <c r="M954">
        <v>5</v>
      </c>
      <c r="N954" t="str">
        <f t="shared" si="44"/>
        <v>Regular</v>
      </c>
    </row>
    <row r="955" spans="1:14" x14ac:dyDescent="0.35">
      <c r="A955">
        <v>954</v>
      </c>
      <c r="B955">
        <v>28</v>
      </c>
      <c r="C955" t="str">
        <f t="shared" si="42"/>
        <v>Youth</v>
      </c>
      <c r="D955" t="s">
        <v>16</v>
      </c>
      <c r="E955" t="s">
        <v>20</v>
      </c>
      <c r="F955" t="s">
        <v>39</v>
      </c>
      <c r="G955">
        <v>73.599999999999994</v>
      </c>
      <c r="H955" t="s">
        <v>19</v>
      </c>
      <c r="I955" t="s">
        <v>15</v>
      </c>
      <c r="J955">
        <v>3.3</v>
      </c>
      <c r="K955">
        <v>14</v>
      </c>
      <c r="L955">
        <f t="shared" si="43"/>
        <v>63.295999999999992</v>
      </c>
      <c r="M955">
        <v>7</v>
      </c>
      <c r="N955" t="str">
        <f t="shared" si="44"/>
        <v>Regular</v>
      </c>
    </row>
    <row r="956" spans="1:14" x14ac:dyDescent="0.35">
      <c r="A956">
        <v>955</v>
      </c>
      <c r="B956">
        <v>51</v>
      </c>
      <c r="C956" t="str">
        <f t="shared" si="42"/>
        <v>Adult</v>
      </c>
      <c r="D956" t="s">
        <v>11</v>
      </c>
      <c r="E956" t="s">
        <v>33</v>
      </c>
      <c r="F956" t="s">
        <v>34</v>
      </c>
      <c r="G956">
        <v>187.41</v>
      </c>
      <c r="H956" t="s">
        <v>19</v>
      </c>
      <c r="I956" t="s">
        <v>15</v>
      </c>
      <c r="J956">
        <v>4.4000000000000004</v>
      </c>
      <c r="K956">
        <v>20</v>
      </c>
      <c r="L956">
        <f t="shared" si="43"/>
        <v>149.928</v>
      </c>
      <c r="M956">
        <v>5</v>
      </c>
      <c r="N956" t="str">
        <f t="shared" si="44"/>
        <v>Regular</v>
      </c>
    </row>
    <row r="957" spans="1:14" x14ac:dyDescent="0.35">
      <c r="A957">
        <v>956</v>
      </c>
      <c r="B957">
        <v>46</v>
      </c>
      <c r="C957" t="str">
        <f t="shared" si="42"/>
        <v>Adult</v>
      </c>
      <c r="D957" t="s">
        <v>11</v>
      </c>
      <c r="E957" t="s">
        <v>33</v>
      </c>
      <c r="F957" t="s">
        <v>40</v>
      </c>
      <c r="G957">
        <v>191.13</v>
      </c>
      <c r="H957" t="s">
        <v>19</v>
      </c>
      <c r="I957" t="s">
        <v>15</v>
      </c>
      <c r="J957">
        <v>3.9</v>
      </c>
      <c r="K957">
        <v>12</v>
      </c>
      <c r="L957">
        <f t="shared" si="43"/>
        <v>168.1944</v>
      </c>
      <c r="M957">
        <v>6</v>
      </c>
      <c r="N957" t="str">
        <f t="shared" si="44"/>
        <v>Regular</v>
      </c>
    </row>
    <row r="958" spans="1:14" x14ac:dyDescent="0.35">
      <c r="A958">
        <v>957</v>
      </c>
      <c r="B958">
        <v>24</v>
      </c>
      <c r="C958" t="str">
        <f t="shared" si="42"/>
        <v>Youth</v>
      </c>
      <c r="D958" t="s">
        <v>16</v>
      </c>
      <c r="E958" t="s">
        <v>27</v>
      </c>
      <c r="F958" t="s">
        <v>32</v>
      </c>
      <c r="G958">
        <v>2923.37</v>
      </c>
      <c r="H958" t="s">
        <v>24</v>
      </c>
      <c r="I958" t="s">
        <v>15</v>
      </c>
      <c r="J958">
        <v>3.5</v>
      </c>
      <c r="K958">
        <v>15</v>
      </c>
      <c r="L958">
        <f t="shared" si="43"/>
        <v>2484.8644999999997</v>
      </c>
      <c r="M958">
        <v>5</v>
      </c>
      <c r="N958" t="str">
        <f t="shared" si="44"/>
        <v>Regular</v>
      </c>
    </row>
    <row r="959" spans="1:14" x14ac:dyDescent="0.35">
      <c r="A959">
        <v>958</v>
      </c>
      <c r="B959">
        <v>66</v>
      </c>
      <c r="C959" t="str">
        <f t="shared" si="42"/>
        <v>Senior</v>
      </c>
      <c r="D959" t="s">
        <v>11</v>
      </c>
      <c r="E959" t="s">
        <v>25</v>
      </c>
      <c r="F959" t="s">
        <v>26</v>
      </c>
      <c r="G959">
        <v>56.64</v>
      </c>
      <c r="H959" t="s">
        <v>31</v>
      </c>
      <c r="I959" t="s">
        <v>37</v>
      </c>
      <c r="J959">
        <v>4</v>
      </c>
      <c r="K959">
        <v>18</v>
      </c>
      <c r="L959">
        <f t="shared" si="43"/>
        <v>46.444800000000001</v>
      </c>
      <c r="M959">
        <v>9</v>
      </c>
      <c r="N959" t="str">
        <f t="shared" si="44"/>
        <v>Loyal</v>
      </c>
    </row>
    <row r="960" spans="1:14" x14ac:dyDescent="0.35">
      <c r="A960">
        <v>959</v>
      </c>
      <c r="B960">
        <v>47</v>
      </c>
      <c r="C960" t="str">
        <f t="shared" si="42"/>
        <v>Adult</v>
      </c>
      <c r="D960" t="s">
        <v>16</v>
      </c>
      <c r="E960" t="s">
        <v>25</v>
      </c>
      <c r="F960" t="s">
        <v>54</v>
      </c>
      <c r="G960">
        <v>54.21</v>
      </c>
      <c r="H960" t="s">
        <v>31</v>
      </c>
      <c r="I960" t="s">
        <v>37</v>
      </c>
      <c r="J960">
        <v>3.7</v>
      </c>
      <c r="K960">
        <v>15</v>
      </c>
      <c r="L960">
        <f t="shared" si="43"/>
        <v>46.078499999999998</v>
      </c>
      <c r="M960">
        <v>5</v>
      </c>
      <c r="N960" t="str">
        <f t="shared" si="44"/>
        <v>Regular</v>
      </c>
    </row>
    <row r="961" spans="1:14" x14ac:dyDescent="0.35">
      <c r="A961">
        <v>960</v>
      </c>
      <c r="B961">
        <v>60</v>
      </c>
      <c r="C961" t="str">
        <f t="shared" si="42"/>
        <v>Adult</v>
      </c>
      <c r="D961" t="s">
        <v>11</v>
      </c>
      <c r="E961" t="s">
        <v>12</v>
      </c>
      <c r="F961" t="s">
        <v>13</v>
      </c>
      <c r="G961">
        <v>117.39</v>
      </c>
      <c r="H961" t="s">
        <v>31</v>
      </c>
      <c r="I961" t="s">
        <v>15</v>
      </c>
      <c r="J961">
        <v>2.9</v>
      </c>
      <c r="K961">
        <v>10</v>
      </c>
      <c r="L961">
        <f t="shared" si="43"/>
        <v>105.651</v>
      </c>
      <c r="M961">
        <v>5</v>
      </c>
      <c r="N961" t="str">
        <f t="shared" si="44"/>
        <v>Regular</v>
      </c>
    </row>
    <row r="962" spans="1:14" x14ac:dyDescent="0.35">
      <c r="A962">
        <v>961</v>
      </c>
      <c r="B962">
        <v>40</v>
      </c>
      <c r="C962" t="str">
        <f t="shared" si="42"/>
        <v>Adult</v>
      </c>
      <c r="D962" t="s">
        <v>11</v>
      </c>
      <c r="E962" t="s">
        <v>33</v>
      </c>
      <c r="F962" t="s">
        <v>40</v>
      </c>
      <c r="G962">
        <v>197.69</v>
      </c>
      <c r="H962" t="s">
        <v>24</v>
      </c>
      <c r="I962" t="s">
        <v>15</v>
      </c>
      <c r="J962">
        <v>1.8</v>
      </c>
      <c r="K962">
        <v>20</v>
      </c>
      <c r="L962">
        <f t="shared" si="43"/>
        <v>158.15200000000002</v>
      </c>
      <c r="M962">
        <v>5</v>
      </c>
      <c r="N962" t="str">
        <f t="shared" si="44"/>
        <v>Regular</v>
      </c>
    </row>
    <row r="963" spans="1:14" x14ac:dyDescent="0.35">
      <c r="A963">
        <v>962</v>
      </c>
      <c r="B963">
        <v>47</v>
      </c>
      <c r="C963" t="str">
        <f t="shared" ref="C963:C1026" si="45">IF(B963&lt;=30,"Youth",IF(B963&lt;=45,"Adult",IF(B963&lt;=60,"Adult","Senior")))</f>
        <v>Adult</v>
      </c>
      <c r="D963" t="s">
        <v>16</v>
      </c>
      <c r="E963" t="s">
        <v>20</v>
      </c>
      <c r="F963" t="s">
        <v>21</v>
      </c>
      <c r="G963">
        <v>178.62</v>
      </c>
      <c r="H963" t="s">
        <v>24</v>
      </c>
      <c r="I963" t="s">
        <v>15</v>
      </c>
      <c r="J963">
        <v>3.3</v>
      </c>
      <c r="K963">
        <v>16</v>
      </c>
      <c r="L963">
        <f t="shared" ref="L963:L1026" si="46">G963*(1-K963/100)</f>
        <v>150.04079999999999</v>
      </c>
      <c r="M963">
        <v>8</v>
      </c>
      <c r="N963" t="str">
        <f t="shared" ref="N963:N1026" si="47">IF(M963&lt;=3,"New",IF(M963&lt;=7,"Regular","Loyal"))</f>
        <v>Loyal</v>
      </c>
    </row>
    <row r="964" spans="1:14" x14ac:dyDescent="0.35">
      <c r="A964">
        <v>963</v>
      </c>
      <c r="B964">
        <v>54</v>
      </c>
      <c r="C964" t="str">
        <f t="shared" si="45"/>
        <v>Adult</v>
      </c>
      <c r="D964" t="s">
        <v>16</v>
      </c>
      <c r="E964" t="s">
        <v>17</v>
      </c>
      <c r="F964" t="s">
        <v>42</v>
      </c>
      <c r="G964">
        <v>199.78</v>
      </c>
      <c r="H964" t="s">
        <v>14</v>
      </c>
      <c r="I964" t="s">
        <v>15</v>
      </c>
      <c r="J964">
        <v>3</v>
      </c>
      <c r="K964">
        <v>2</v>
      </c>
      <c r="L964">
        <f t="shared" si="46"/>
        <v>195.78440000000001</v>
      </c>
      <c r="M964">
        <v>1</v>
      </c>
      <c r="N964" t="str">
        <f t="shared" si="47"/>
        <v>New</v>
      </c>
    </row>
    <row r="965" spans="1:14" x14ac:dyDescent="0.35">
      <c r="A965">
        <v>964</v>
      </c>
      <c r="B965">
        <v>31</v>
      </c>
      <c r="C965" t="str">
        <f t="shared" si="45"/>
        <v>Adult</v>
      </c>
      <c r="D965" t="s">
        <v>16</v>
      </c>
      <c r="E965" t="s">
        <v>20</v>
      </c>
      <c r="F965" t="s">
        <v>36</v>
      </c>
      <c r="G965">
        <v>243.71</v>
      </c>
      <c r="H965" t="s">
        <v>24</v>
      </c>
      <c r="I965" t="s">
        <v>15</v>
      </c>
      <c r="J965">
        <v>3.8</v>
      </c>
      <c r="K965">
        <v>4</v>
      </c>
      <c r="L965">
        <f t="shared" si="46"/>
        <v>233.9616</v>
      </c>
      <c r="M965">
        <v>2</v>
      </c>
      <c r="N965" t="str">
        <f t="shared" si="47"/>
        <v>New</v>
      </c>
    </row>
    <row r="966" spans="1:14" x14ac:dyDescent="0.35">
      <c r="A966">
        <v>965</v>
      </c>
      <c r="B966">
        <v>37</v>
      </c>
      <c r="C966" t="str">
        <f t="shared" si="45"/>
        <v>Adult</v>
      </c>
      <c r="D966" t="s">
        <v>16</v>
      </c>
      <c r="E966" t="s">
        <v>27</v>
      </c>
      <c r="F966" t="s">
        <v>49</v>
      </c>
      <c r="G966">
        <v>2839.22</v>
      </c>
      <c r="H966" t="s">
        <v>31</v>
      </c>
      <c r="I966" t="s">
        <v>15</v>
      </c>
      <c r="J966">
        <v>3.9</v>
      </c>
      <c r="K966">
        <v>16</v>
      </c>
      <c r="L966">
        <f t="shared" si="46"/>
        <v>2384.9447999999998</v>
      </c>
      <c r="M966">
        <v>8</v>
      </c>
      <c r="N966" t="str">
        <f t="shared" si="47"/>
        <v>Loyal</v>
      </c>
    </row>
    <row r="967" spans="1:14" x14ac:dyDescent="0.35">
      <c r="A967">
        <v>966</v>
      </c>
      <c r="B967">
        <v>55</v>
      </c>
      <c r="C967" t="str">
        <f t="shared" si="45"/>
        <v>Adult</v>
      </c>
      <c r="D967" t="s">
        <v>11</v>
      </c>
      <c r="E967" t="s">
        <v>33</v>
      </c>
      <c r="F967" t="s">
        <v>34</v>
      </c>
      <c r="G967">
        <v>103.82</v>
      </c>
      <c r="H967" t="s">
        <v>14</v>
      </c>
      <c r="I967" t="s">
        <v>15</v>
      </c>
      <c r="J967">
        <v>4.5</v>
      </c>
      <c r="K967">
        <v>16</v>
      </c>
      <c r="L967">
        <f t="shared" si="46"/>
        <v>87.208799999999997</v>
      </c>
      <c r="M967">
        <v>3</v>
      </c>
      <c r="N967" t="str">
        <f t="shared" si="47"/>
        <v>New</v>
      </c>
    </row>
    <row r="968" spans="1:14" x14ac:dyDescent="0.35">
      <c r="A968">
        <v>967</v>
      </c>
      <c r="B968">
        <v>60</v>
      </c>
      <c r="C968" t="str">
        <f t="shared" si="45"/>
        <v>Adult</v>
      </c>
      <c r="D968" t="s">
        <v>11</v>
      </c>
      <c r="E968" t="s">
        <v>12</v>
      </c>
      <c r="F968" t="s">
        <v>13</v>
      </c>
      <c r="G968">
        <v>131.19</v>
      </c>
      <c r="H968" t="s">
        <v>14</v>
      </c>
      <c r="I968" t="s">
        <v>15</v>
      </c>
      <c r="J968">
        <v>3.8</v>
      </c>
      <c r="K968">
        <v>6</v>
      </c>
      <c r="L968">
        <f t="shared" si="46"/>
        <v>123.31859999999999</v>
      </c>
      <c r="M968">
        <v>3</v>
      </c>
      <c r="N968" t="str">
        <f t="shared" si="47"/>
        <v>New</v>
      </c>
    </row>
    <row r="969" spans="1:14" x14ac:dyDescent="0.35">
      <c r="A969">
        <v>968</v>
      </c>
      <c r="B969">
        <v>52</v>
      </c>
      <c r="C969" t="str">
        <f t="shared" si="45"/>
        <v>Adult</v>
      </c>
      <c r="D969" t="s">
        <v>16</v>
      </c>
      <c r="E969" t="s">
        <v>17</v>
      </c>
      <c r="F969" t="s">
        <v>48</v>
      </c>
      <c r="G969">
        <v>194.91</v>
      </c>
      <c r="H969" t="s">
        <v>31</v>
      </c>
      <c r="I969" t="s">
        <v>15</v>
      </c>
      <c r="J969">
        <v>4.9000000000000004</v>
      </c>
      <c r="K969">
        <v>23</v>
      </c>
      <c r="L969">
        <f t="shared" si="46"/>
        <v>150.08070000000001</v>
      </c>
      <c r="M969">
        <v>9</v>
      </c>
      <c r="N969" t="str">
        <f t="shared" si="47"/>
        <v>Loyal</v>
      </c>
    </row>
    <row r="970" spans="1:14" x14ac:dyDescent="0.35">
      <c r="A970">
        <v>969</v>
      </c>
      <c r="B970">
        <v>48</v>
      </c>
      <c r="C970" t="str">
        <f t="shared" si="45"/>
        <v>Adult</v>
      </c>
      <c r="D970" t="s">
        <v>16</v>
      </c>
      <c r="E970" t="s">
        <v>33</v>
      </c>
      <c r="F970" t="s">
        <v>34</v>
      </c>
      <c r="G970">
        <v>113.38</v>
      </c>
      <c r="H970" t="s">
        <v>19</v>
      </c>
      <c r="I970" t="s">
        <v>15</v>
      </c>
      <c r="J970">
        <v>2.6</v>
      </c>
      <c r="K970">
        <v>11</v>
      </c>
      <c r="L970">
        <f t="shared" si="46"/>
        <v>100.90819999999999</v>
      </c>
      <c r="M970">
        <v>3</v>
      </c>
      <c r="N970" t="str">
        <f t="shared" si="47"/>
        <v>New</v>
      </c>
    </row>
    <row r="971" spans="1:14" x14ac:dyDescent="0.35">
      <c r="A971">
        <v>970</v>
      </c>
      <c r="B971">
        <v>55</v>
      </c>
      <c r="C971" t="str">
        <f t="shared" si="45"/>
        <v>Adult</v>
      </c>
      <c r="D971" t="s">
        <v>11</v>
      </c>
      <c r="E971" t="s">
        <v>33</v>
      </c>
      <c r="F971" t="s">
        <v>34</v>
      </c>
      <c r="G971">
        <v>122.62</v>
      </c>
      <c r="H971" t="s">
        <v>19</v>
      </c>
      <c r="I971" t="s">
        <v>15</v>
      </c>
      <c r="J971">
        <v>2.7</v>
      </c>
      <c r="K971">
        <v>13</v>
      </c>
      <c r="L971">
        <f t="shared" si="46"/>
        <v>106.6794</v>
      </c>
      <c r="M971">
        <v>4</v>
      </c>
      <c r="N971" t="str">
        <f t="shared" si="47"/>
        <v>Regular</v>
      </c>
    </row>
    <row r="972" spans="1:14" x14ac:dyDescent="0.35">
      <c r="A972">
        <v>971</v>
      </c>
      <c r="B972">
        <v>39</v>
      </c>
      <c r="C972" t="str">
        <f t="shared" si="45"/>
        <v>Adult</v>
      </c>
      <c r="D972" t="s">
        <v>11</v>
      </c>
      <c r="E972" t="s">
        <v>29</v>
      </c>
      <c r="F972" t="s">
        <v>55</v>
      </c>
      <c r="G972">
        <v>126.77</v>
      </c>
      <c r="H972" t="s">
        <v>19</v>
      </c>
      <c r="I972" t="s">
        <v>15</v>
      </c>
      <c r="J972">
        <v>3.7</v>
      </c>
      <c r="K972">
        <v>24</v>
      </c>
      <c r="L972">
        <f t="shared" si="46"/>
        <v>96.345199999999991</v>
      </c>
      <c r="M972">
        <v>7</v>
      </c>
      <c r="N972" t="str">
        <f t="shared" si="47"/>
        <v>Regular</v>
      </c>
    </row>
    <row r="973" spans="1:14" x14ac:dyDescent="0.35">
      <c r="A973">
        <v>972</v>
      </c>
      <c r="B973">
        <v>56</v>
      </c>
      <c r="C973" t="str">
        <f t="shared" si="45"/>
        <v>Adult</v>
      </c>
      <c r="D973" t="s">
        <v>16</v>
      </c>
      <c r="E973" t="s">
        <v>33</v>
      </c>
      <c r="F973" t="s">
        <v>38</v>
      </c>
      <c r="G973">
        <v>247.66</v>
      </c>
      <c r="H973" t="s">
        <v>24</v>
      </c>
      <c r="I973" t="s">
        <v>15</v>
      </c>
      <c r="J973">
        <v>4.5</v>
      </c>
      <c r="K973">
        <v>22</v>
      </c>
      <c r="L973">
        <f t="shared" si="46"/>
        <v>193.1748</v>
      </c>
      <c r="M973">
        <v>6</v>
      </c>
      <c r="N973" t="str">
        <f t="shared" si="47"/>
        <v>Regular</v>
      </c>
    </row>
    <row r="974" spans="1:14" x14ac:dyDescent="0.35">
      <c r="A974">
        <v>973</v>
      </c>
      <c r="B974">
        <v>55</v>
      </c>
      <c r="C974" t="str">
        <f t="shared" si="45"/>
        <v>Adult</v>
      </c>
      <c r="D974" t="s">
        <v>16</v>
      </c>
      <c r="E974" t="s">
        <v>20</v>
      </c>
      <c r="F974" t="s">
        <v>39</v>
      </c>
      <c r="G974">
        <v>245.63</v>
      </c>
      <c r="H974" t="s">
        <v>24</v>
      </c>
      <c r="I974" t="s">
        <v>15</v>
      </c>
      <c r="J974">
        <v>4</v>
      </c>
      <c r="K974">
        <v>15</v>
      </c>
      <c r="L974">
        <f t="shared" si="46"/>
        <v>208.78549999999998</v>
      </c>
      <c r="M974">
        <v>5</v>
      </c>
      <c r="N974" t="str">
        <f t="shared" si="47"/>
        <v>Regular</v>
      </c>
    </row>
    <row r="975" spans="1:14" x14ac:dyDescent="0.35">
      <c r="A975">
        <v>974</v>
      </c>
      <c r="B975">
        <v>59</v>
      </c>
      <c r="C975" t="str">
        <f t="shared" si="45"/>
        <v>Adult</v>
      </c>
      <c r="D975" t="s">
        <v>16</v>
      </c>
      <c r="E975" t="s">
        <v>20</v>
      </c>
      <c r="F975" t="s">
        <v>21</v>
      </c>
      <c r="G975">
        <v>42.7</v>
      </c>
      <c r="H975" t="s">
        <v>24</v>
      </c>
      <c r="I975" t="s">
        <v>15</v>
      </c>
      <c r="J975">
        <v>2.9</v>
      </c>
      <c r="K975">
        <v>8</v>
      </c>
      <c r="L975">
        <f t="shared" si="46"/>
        <v>39.284000000000006</v>
      </c>
      <c r="M975">
        <v>4</v>
      </c>
      <c r="N975" t="str">
        <f t="shared" si="47"/>
        <v>Regular</v>
      </c>
    </row>
    <row r="976" spans="1:14" x14ac:dyDescent="0.35">
      <c r="A976">
        <v>975</v>
      </c>
      <c r="B976">
        <v>32</v>
      </c>
      <c r="C976" t="str">
        <f t="shared" si="45"/>
        <v>Adult</v>
      </c>
      <c r="D976" t="s">
        <v>11</v>
      </c>
      <c r="E976" t="s">
        <v>20</v>
      </c>
      <c r="F976" t="s">
        <v>21</v>
      </c>
      <c r="G976">
        <v>143.21</v>
      </c>
      <c r="H976" t="s">
        <v>24</v>
      </c>
      <c r="I976" t="s">
        <v>15</v>
      </c>
      <c r="J976">
        <v>3.4</v>
      </c>
      <c r="K976">
        <v>22</v>
      </c>
      <c r="L976">
        <f t="shared" si="46"/>
        <v>111.70380000000002</v>
      </c>
      <c r="M976">
        <v>6</v>
      </c>
      <c r="N976" t="str">
        <f t="shared" si="47"/>
        <v>Regular</v>
      </c>
    </row>
    <row r="977" spans="1:14" x14ac:dyDescent="0.35">
      <c r="A977">
        <v>976</v>
      </c>
      <c r="B977">
        <v>20</v>
      </c>
      <c r="C977" t="str">
        <f t="shared" si="45"/>
        <v>Youth</v>
      </c>
      <c r="D977" t="s">
        <v>16</v>
      </c>
      <c r="E977" t="s">
        <v>17</v>
      </c>
      <c r="F977" t="s">
        <v>35</v>
      </c>
      <c r="G977">
        <v>182.98</v>
      </c>
      <c r="H977" t="s">
        <v>14</v>
      </c>
      <c r="I977" t="s">
        <v>15</v>
      </c>
      <c r="J977">
        <v>4.5</v>
      </c>
      <c r="K977">
        <v>20</v>
      </c>
      <c r="L977">
        <f t="shared" si="46"/>
        <v>146.38399999999999</v>
      </c>
      <c r="M977">
        <v>5</v>
      </c>
      <c r="N977" t="str">
        <f t="shared" si="47"/>
        <v>Regular</v>
      </c>
    </row>
    <row r="978" spans="1:14" x14ac:dyDescent="0.35">
      <c r="A978">
        <v>977</v>
      </c>
      <c r="B978">
        <v>50</v>
      </c>
      <c r="C978" t="str">
        <f t="shared" si="45"/>
        <v>Adult</v>
      </c>
      <c r="D978" t="s">
        <v>16</v>
      </c>
      <c r="E978" t="s">
        <v>27</v>
      </c>
      <c r="F978" t="s">
        <v>49</v>
      </c>
      <c r="G978">
        <v>1854.1</v>
      </c>
      <c r="H978" t="s">
        <v>14</v>
      </c>
      <c r="I978" t="s">
        <v>15</v>
      </c>
      <c r="J978">
        <v>4.2</v>
      </c>
      <c r="K978">
        <v>12</v>
      </c>
      <c r="L978">
        <f t="shared" si="46"/>
        <v>1631.6079999999999</v>
      </c>
      <c r="M978">
        <v>6</v>
      </c>
      <c r="N978" t="str">
        <f t="shared" si="47"/>
        <v>Regular</v>
      </c>
    </row>
    <row r="979" spans="1:14" x14ac:dyDescent="0.35">
      <c r="A979">
        <v>978</v>
      </c>
      <c r="B979">
        <v>32</v>
      </c>
      <c r="C979" t="str">
        <f t="shared" si="45"/>
        <v>Adult</v>
      </c>
      <c r="D979" t="s">
        <v>16</v>
      </c>
      <c r="E979" t="s">
        <v>33</v>
      </c>
      <c r="F979" t="s">
        <v>34</v>
      </c>
      <c r="G979">
        <v>122.08</v>
      </c>
      <c r="H979" t="s">
        <v>14</v>
      </c>
      <c r="I979" t="s">
        <v>15</v>
      </c>
      <c r="J979">
        <v>3.4</v>
      </c>
      <c r="K979">
        <v>18</v>
      </c>
      <c r="L979">
        <f t="shared" si="46"/>
        <v>100.10560000000001</v>
      </c>
      <c r="M979">
        <v>4</v>
      </c>
      <c r="N979" t="str">
        <f t="shared" si="47"/>
        <v>Regular</v>
      </c>
    </row>
    <row r="980" spans="1:14" x14ac:dyDescent="0.35">
      <c r="A980">
        <v>979</v>
      </c>
      <c r="B980">
        <v>52</v>
      </c>
      <c r="C980" t="str">
        <f t="shared" si="45"/>
        <v>Adult</v>
      </c>
      <c r="D980" t="s">
        <v>11</v>
      </c>
      <c r="E980" t="s">
        <v>12</v>
      </c>
      <c r="F980" t="s">
        <v>56</v>
      </c>
      <c r="G980">
        <v>81.599999999999994</v>
      </c>
      <c r="H980" t="s">
        <v>14</v>
      </c>
      <c r="I980" t="s">
        <v>15</v>
      </c>
      <c r="J980">
        <v>4.3</v>
      </c>
      <c r="K980">
        <v>22</v>
      </c>
      <c r="L980">
        <f t="shared" si="46"/>
        <v>63.647999999999996</v>
      </c>
      <c r="M980">
        <v>6</v>
      </c>
      <c r="N980" t="str">
        <f t="shared" si="47"/>
        <v>Regular</v>
      </c>
    </row>
    <row r="981" spans="1:14" x14ac:dyDescent="0.35">
      <c r="A981">
        <v>980</v>
      </c>
      <c r="B981">
        <v>20</v>
      </c>
      <c r="C981" t="str">
        <f t="shared" si="45"/>
        <v>Youth</v>
      </c>
      <c r="D981" t="s">
        <v>11</v>
      </c>
      <c r="E981" t="s">
        <v>33</v>
      </c>
      <c r="F981" t="s">
        <v>40</v>
      </c>
      <c r="G981">
        <v>191.41</v>
      </c>
      <c r="H981" t="s">
        <v>24</v>
      </c>
      <c r="I981" t="s">
        <v>15</v>
      </c>
      <c r="J981">
        <v>3.6</v>
      </c>
      <c r="K981">
        <v>15</v>
      </c>
      <c r="L981">
        <f t="shared" si="46"/>
        <v>162.6985</v>
      </c>
      <c r="M981">
        <v>5</v>
      </c>
      <c r="N981" t="str">
        <f t="shared" si="47"/>
        <v>Regular</v>
      </c>
    </row>
    <row r="982" spans="1:14" x14ac:dyDescent="0.35">
      <c r="A982">
        <v>981</v>
      </c>
      <c r="B982">
        <v>24</v>
      </c>
      <c r="C982" t="str">
        <f t="shared" si="45"/>
        <v>Youth</v>
      </c>
      <c r="D982" t="s">
        <v>16</v>
      </c>
      <c r="E982" t="s">
        <v>20</v>
      </c>
      <c r="F982" t="s">
        <v>36</v>
      </c>
      <c r="G982">
        <v>31.49</v>
      </c>
      <c r="H982" t="s">
        <v>24</v>
      </c>
      <c r="I982" t="s">
        <v>15</v>
      </c>
      <c r="J982">
        <v>3.5</v>
      </c>
      <c r="K982">
        <v>16</v>
      </c>
      <c r="L982">
        <f t="shared" si="46"/>
        <v>26.451599999999999</v>
      </c>
      <c r="M982">
        <v>3</v>
      </c>
      <c r="N982" t="str">
        <f t="shared" si="47"/>
        <v>New</v>
      </c>
    </row>
    <row r="983" spans="1:14" x14ac:dyDescent="0.35">
      <c r="A983">
        <v>982</v>
      </c>
      <c r="B983">
        <v>28</v>
      </c>
      <c r="C983" t="str">
        <f t="shared" si="45"/>
        <v>Youth</v>
      </c>
      <c r="D983" t="s">
        <v>11</v>
      </c>
      <c r="E983" t="s">
        <v>33</v>
      </c>
      <c r="F983" t="s">
        <v>40</v>
      </c>
      <c r="G983">
        <v>50.93</v>
      </c>
      <c r="H983" t="s">
        <v>14</v>
      </c>
      <c r="I983" t="s">
        <v>37</v>
      </c>
      <c r="J983">
        <v>4.3</v>
      </c>
      <c r="K983">
        <v>11</v>
      </c>
      <c r="L983">
        <f t="shared" si="46"/>
        <v>45.3277</v>
      </c>
      <c r="M983">
        <v>3</v>
      </c>
      <c r="N983" t="str">
        <f t="shared" si="47"/>
        <v>New</v>
      </c>
    </row>
    <row r="984" spans="1:14" x14ac:dyDescent="0.35">
      <c r="A984">
        <v>983</v>
      </c>
      <c r="B984">
        <v>52</v>
      </c>
      <c r="C984" t="str">
        <f t="shared" si="45"/>
        <v>Adult</v>
      </c>
      <c r="D984" t="s">
        <v>11</v>
      </c>
      <c r="E984" t="s">
        <v>12</v>
      </c>
      <c r="F984" t="s">
        <v>50</v>
      </c>
      <c r="G984">
        <v>167.87</v>
      </c>
      <c r="H984" t="s">
        <v>24</v>
      </c>
      <c r="I984" t="s">
        <v>15</v>
      </c>
      <c r="J984">
        <v>3.5</v>
      </c>
      <c r="K984">
        <v>26</v>
      </c>
      <c r="L984">
        <f t="shared" si="46"/>
        <v>124.2238</v>
      </c>
      <c r="M984">
        <v>8</v>
      </c>
      <c r="N984" t="str">
        <f t="shared" si="47"/>
        <v>Loyal</v>
      </c>
    </row>
    <row r="985" spans="1:14" x14ac:dyDescent="0.35">
      <c r="A985">
        <v>984</v>
      </c>
      <c r="B985">
        <v>50</v>
      </c>
      <c r="C985" t="str">
        <f t="shared" si="45"/>
        <v>Adult</v>
      </c>
      <c r="D985" t="s">
        <v>16</v>
      </c>
      <c r="E985" t="s">
        <v>33</v>
      </c>
      <c r="F985" t="s">
        <v>34</v>
      </c>
      <c r="G985">
        <v>119.8</v>
      </c>
      <c r="H985" t="s">
        <v>14</v>
      </c>
      <c r="I985" t="s">
        <v>15</v>
      </c>
      <c r="J985">
        <v>4.7</v>
      </c>
      <c r="K985">
        <v>22</v>
      </c>
      <c r="L985">
        <f t="shared" si="46"/>
        <v>93.444000000000003</v>
      </c>
      <c r="M985">
        <v>6</v>
      </c>
      <c r="N985" t="str">
        <f t="shared" si="47"/>
        <v>Regular</v>
      </c>
    </row>
    <row r="986" spans="1:14" x14ac:dyDescent="0.35">
      <c r="A986">
        <v>985</v>
      </c>
      <c r="B986">
        <v>34</v>
      </c>
      <c r="C986" t="str">
        <f t="shared" si="45"/>
        <v>Adult</v>
      </c>
      <c r="D986" t="s">
        <v>16</v>
      </c>
      <c r="E986" t="s">
        <v>17</v>
      </c>
      <c r="F986" t="s">
        <v>48</v>
      </c>
      <c r="G986">
        <v>93.54</v>
      </c>
      <c r="H986" t="s">
        <v>19</v>
      </c>
      <c r="I986" t="s">
        <v>37</v>
      </c>
      <c r="J986">
        <v>3.4</v>
      </c>
      <c r="K986">
        <v>16</v>
      </c>
      <c r="L986">
        <f t="shared" si="46"/>
        <v>78.573599999999999</v>
      </c>
      <c r="M986">
        <v>8</v>
      </c>
      <c r="N986" t="str">
        <f t="shared" si="47"/>
        <v>Loyal</v>
      </c>
    </row>
    <row r="987" spans="1:14" x14ac:dyDescent="0.35">
      <c r="A987">
        <v>986</v>
      </c>
      <c r="B987">
        <v>47</v>
      </c>
      <c r="C987" t="str">
        <f t="shared" si="45"/>
        <v>Adult</v>
      </c>
      <c r="D987" t="s">
        <v>16</v>
      </c>
      <c r="E987" t="s">
        <v>20</v>
      </c>
      <c r="F987" t="s">
        <v>39</v>
      </c>
      <c r="G987">
        <v>194.21</v>
      </c>
      <c r="H987" t="s">
        <v>14</v>
      </c>
      <c r="I987" t="s">
        <v>15</v>
      </c>
      <c r="J987">
        <v>3.5</v>
      </c>
      <c r="K987">
        <v>16</v>
      </c>
      <c r="L987">
        <f t="shared" si="46"/>
        <v>163.13640000000001</v>
      </c>
      <c r="M987">
        <v>3</v>
      </c>
      <c r="N987" t="str">
        <f t="shared" si="47"/>
        <v>New</v>
      </c>
    </row>
    <row r="988" spans="1:14" x14ac:dyDescent="0.35">
      <c r="A988">
        <v>987</v>
      </c>
      <c r="B988">
        <v>46</v>
      </c>
      <c r="C988" t="str">
        <f t="shared" si="45"/>
        <v>Adult</v>
      </c>
      <c r="D988" t="s">
        <v>16</v>
      </c>
      <c r="E988" t="s">
        <v>20</v>
      </c>
      <c r="F988" t="s">
        <v>36</v>
      </c>
      <c r="G988">
        <v>96.22</v>
      </c>
      <c r="H988" t="s">
        <v>14</v>
      </c>
      <c r="I988" t="s">
        <v>37</v>
      </c>
      <c r="J988">
        <v>3.1</v>
      </c>
      <c r="K988">
        <v>20</v>
      </c>
      <c r="L988">
        <f t="shared" si="46"/>
        <v>76.975999999999999</v>
      </c>
      <c r="M988">
        <v>5</v>
      </c>
      <c r="N988" t="str">
        <f t="shared" si="47"/>
        <v>Regular</v>
      </c>
    </row>
    <row r="989" spans="1:14" x14ac:dyDescent="0.35">
      <c r="A989">
        <v>988</v>
      </c>
      <c r="B989">
        <v>60</v>
      </c>
      <c r="C989" t="str">
        <f t="shared" si="45"/>
        <v>Adult</v>
      </c>
      <c r="D989" t="s">
        <v>16</v>
      </c>
      <c r="E989" t="s">
        <v>27</v>
      </c>
      <c r="F989" t="s">
        <v>53</v>
      </c>
      <c r="G989">
        <v>802.1</v>
      </c>
      <c r="H989" t="s">
        <v>14</v>
      </c>
      <c r="I989" t="s">
        <v>15</v>
      </c>
      <c r="J989">
        <v>4.0999999999999996</v>
      </c>
      <c r="K989">
        <v>16</v>
      </c>
      <c r="L989">
        <f t="shared" si="46"/>
        <v>673.76400000000001</v>
      </c>
      <c r="M989">
        <v>3</v>
      </c>
      <c r="N989" t="str">
        <f t="shared" si="47"/>
        <v>New</v>
      </c>
    </row>
    <row r="990" spans="1:14" x14ac:dyDescent="0.35">
      <c r="A990">
        <v>989</v>
      </c>
      <c r="B990">
        <v>42</v>
      </c>
      <c r="C990" t="str">
        <f t="shared" si="45"/>
        <v>Adult</v>
      </c>
      <c r="D990" t="s">
        <v>11</v>
      </c>
      <c r="E990" t="s">
        <v>41</v>
      </c>
      <c r="F990" t="s">
        <v>42</v>
      </c>
      <c r="G990">
        <v>126.92</v>
      </c>
      <c r="H990" t="s">
        <v>19</v>
      </c>
      <c r="I990" t="s">
        <v>15</v>
      </c>
      <c r="J990">
        <v>3.6</v>
      </c>
      <c r="K990">
        <v>16</v>
      </c>
      <c r="L990">
        <f t="shared" si="46"/>
        <v>106.61279999999999</v>
      </c>
      <c r="M990">
        <v>3</v>
      </c>
      <c r="N990" t="str">
        <f t="shared" si="47"/>
        <v>New</v>
      </c>
    </row>
    <row r="991" spans="1:14" x14ac:dyDescent="0.35">
      <c r="A991">
        <v>990</v>
      </c>
      <c r="B991">
        <v>68</v>
      </c>
      <c r="C991" t="str">
        <f t="shared" si="45"/>
        <v>Senior</v>
      </c>
      <c r="D991" t="s">
        <v>16</v>
      </c>
      <c r="E991" t="s">
        <v>17</v>
      </c>
      <c r="F991" t="s">
        <v>35</v>
      </c>
      <c r="G991">
        <v>46.11</v>
      </c>
      <c r="H991" t="s">
        <v>24</v>
      </c>
      <c r="I991" t="s">
        <v>15</v>
      </c>
      <c r="J991">
        <v>5</v>
      </c>
      <c r="K991">
        <v>12</v>
      </c>
      <c r="L991">
        <f t="shared" si="46"/>
        <v>40.576799999999999</v>
      </c>
      <c r="M991">
        <v>1</v>
      </c>
      <c r="N991" t="str">
        <f t="shared" si="47"/>
        <v>New</v>
      </c>
    </row>
    <row r="992" spans="1:14" x14ac:dyDescent="0.35">
      <c r="A992">
        <v>991</v>
      </c>
      <c r="B992">
        <v>66</v>
      </c>
      <c r="C992" t="str">
        <f t="shared" si="45"/>
        <v>Senior</v>
      </c>
      <c r="D992" t="s">
        <v>16</v>
      </c>
      <c r="E992" t="s">
        <v>20</v>
      </c>
      <c r="F992" t="s">
        <v>21</v>
      </c>
      <c r="G992">
        <v>172.75</v>
      </c>
      <c r="H992" t="s">
        <v>14</v>
      </c>
      <c r="I992" t="s">
        <v>15</v>
      </c>
      <c r="J992">
        <v>4.2</v>
      </c>
      <c r="K992">
        <v>20</v>
      </c>
      <c r="L992">
        <f t="shared" si="46"/>
        <v>138.20000000000002</v>
      </c>
      <c r="M992">
        <v>5</v>
      </c>
      <c r="N992" t="str">
        <f t="shared" si="47"/>
        <v>Regular</v>
      </c>
    </row>
    <row r="993" spans="1:14" x14ac:dyDescent="0.35">
      <c r="A993">
        <v>992</v>
      </c>
      <c r="B993">
        <v>43</v>
      </c>
      <c r="C993" t="str">
        <f t="shared" si="45"/>
        <v>Adult</v>
      </c>
      <c r="D993" t="s">
        <v>16</v>
      </c>
      <c r="E993" t="s">
        <v>27</v>
      </c>
      <c r="F993" t="s">
        <v>53</v>
      </c>
      <c r="G993">
        <v>1247.6600000000001</v>
      </c>
      <c r="H993" t="s">
        <v>19</v>
      </c>
      <c r="I993" t="s">
        <v>15</v>
      </c>
      <c r="J993">
        <v>2.5</v>
      </c>
      <c r="K993">
        <v>15</v>
      </c>
      <c r="L993">
        <f t="shared" si="46"/>
        <v>1060.511</v>
      </c>
      <c r="M993">
        <v>5</v>
      </c>
      <c r="N993" t="str">
        <f t="shared" si="47"/>
        <v>Regular</v>
      </c>
    </row>
    <row r="994" spans="1:14" x14ac:dyDescent="0.35">
      <c r="A994">
        <v>993</v>
      </c>
      <c r="B994">
        <v>61</v>
      </c>
      <c r="C994" t="str">
        <f t="shared" si="45"/>
        <v>Senior</v>
      </c>
      <c r="D994" t="s">
        <v>16</v>
      </c>
      <c r="E994" t="s">
        <v>33</v>
      </c>
      <c r="F994" t="s">
        <v>40</v>
      </c>
      <c r="G994">
        <v>70.459999999999994</v>
      </c>
      <c r="H994" t="s">
        <v>31</v>
      </c>
      <c r="I994" t="s">
        <v>15</v>
      </c>
      <c r="J994">
        <v>4.5999999999999996</v>
      </c>
      <c r="K994">
        <v>4</v>
      </c>
      <c r="L994">
        <f t="shared" si="46"/>
        <v>67.641599999999997</v>
      </c>
      <c r="M994">
        <v>2</v>
      </c>
      <c r="N994" t="str">
        <f t="shared" si="47"/>
        <v>New</v>
      </c>
    </row>
    <row r="995" spans="1:14" x14ac:dyDescent="0.35">
      <c r="A995">
        <v>994</v>
      </c>
      <c r="B995">
        <v>33</v>
      </c>
      <c r="C995" t="str">
        <f t="shared" si="45"/>
        <v>Adult</v>
      </c>
      <c r="D995" t="s">
        <v>16</v>
      </c>
      <c r="E995" t="s">
        <v>20</v>
      </c>
      <c r="F995" t="s">
        <v>36</v>
      </c>
      <c r="G995">
        <v>90.86</v>
      </c>
      <c r="H995" t="s">
        <v>14</v>
      </c>
      <c r="I995" t="s">
        <v>15</v>
      </c>
      <c r="J995">
        <v>4</v>
      </c>
      <c r="K995">
        <v>16</v>
      </c>
      <c r="L995">
        <f t="shared" si="46"/>
        <v>76.322400000000002</v>
      </c>
      <c r="M995">
        <v>8</v>
      </c>
      <c r="N995" t="str">
        <f t="shared" si="47"/>
        <v>Loyal</v>
      </c>
    </row>
    <row r="996" spans="1:14" x14ac:dyDescent="0.35">
      <c r="A996">
        <v>995</v>
      </c>
      <c r="B996">
        <v>36</v>
      </c>
      <c r="C996" t="str">
        <f t="shared" si="45"/>
        <v>Adult</v>
      </c>
      <c r="D996" t="s">
        <v>16</v>
      </c>
      <c r="E996" t="s">
        <v>17</v>
      </c>
      <c r="F996" t="s">
        <v>35</v>
      </c>
      <c r="G996">
        <v>56.95</v>
      </c>
      <c r="H996" t="s">
        <v>24</v>
      </c>
      <c r="I996" t="s">
        <v>15</v>
      </c>
      <c r="J996">
        <v>3.9</v>
      </c>
      <c r="K996">
        <v>12</v>
      </c>
      <c r="L996">
        <f t="shared" si="46"/>
        <v>50.116</v>
      </c>
      <c r="M996">
        <v>6</v>
      </c>
      <c r="N996" t="str">
        <f t="shared" si="47"/>
        <v>Regular</v>
      </c>
    </row>
    <row r="997" spans="1:14" x14ac:dyDescent="0.35">
      <c r="A997">
        <v>996</v>
      </c>
      <c r="B997">
        <v>65</v>
      </c>
      <c r="C997" t="str">
        <f t="shared" si="45"/>
        <v>Senior</v>
      </c>
      <c r="D997" t="s">
        <v>16</v>
      </c>
      <c r="E997" t="s">
        <v>17</v>
      </c>
      <c r="F997" t="s">
        <v>48</v>
      </c>
      <c r="G997">
        <v>100.4</v>
      </c>
      <c r="H997" t="s">
        <v>14</v>
      </c>
      <c r="I997" t="s">
        <v>15</v>
      </c>
      <c r="J997">
        <v>3.8</v>
      </c>
      <c r="K997">
        <v>17</v>
      </c>
      <c r="L997">
        <f t="shared" si="46"/>
        <v>83.331999999999994</v>
      </c>
      <c r="M997">
        <v>6</v>
      </c>
      <c r="N997" t="str">
        <f t="shared" si="47"/>
        <v>Regular</v>
      </c>
    </row>
    <row r="998" spans="1:14" x14ac:dyDescent="0.35">
      <c r="A998">
        <v>997</v>
      </c>
      <c r="B998">
        <v>42</v>
      </c>
      <c r="C998" t="str">
        <f t="shared" si="45"/>
        <v>Adult</v>
      </c>
      <c r="D998" t="s">
        <v>11</v>
      </c>
      <c r="E998" t="s">
        <v>22</v>
      </c>
      <c r="F998" t="s">
        <v>43</v>
      </c>
      <c r="G998">
        <v>142.72999999999999</v>
      </c>
      <c r="H998" t="s">
        <v>14</v>
      </c>
      <c r="I998" t="s">
        <v>15</v>
      </c>
      <c r="J998">
        <v>4.0999999999999996</v>
      </c>
      <c r="K998">
        <v>15</v>
      </c>
      <c r="L998">
        <f t="shared" si="46"/>
        <v>121.32049999999998</v>
      </c>
      <c r="M998">
        <v>5</v>
      </c>
      <c r="N998" t="str">
        <f t="shared" si="47"/>
        <v>Regular</v>
      </c>
    </row>
    <row r="999" spans="1:14" x14ac:dyDescent="0.35">
      <c r="A999">
        <v>998</v>
      </c>
      <c r="B999">
        <v>34</v>
      </c>
      <c r="C999" t="str">
        <f t="shared" si="45"/>
        <v>Adult</v>
      </c>
      <c r="D999" t="s">
        <v>16</v>
      </c>
      <c r="E999" t="s">
        <v>27</v>
      </c>
      <c r="F999" t="s">
        <v>49</v>
      </c>
      <c r="G999">
        <v>2857.91</v>
      </c>
      <c r="H999" t="s">
        <v>31</v>
      </c>
      <c r="I999" t="s">
        <v>15</v>
      </c>
      <c r="J999">
        <v>3.5</v>
      </c>
      <c r="K999">
        <v>8</v>
      </c>
      <c r="L999">
        <f t="shared" si="46"/>
        <v>2629.2772</v>
      </c>
      <c r="M999">
        <v>4</v>
      </c>
      <c r="N999" t="str">
        <f t="shared" si="47"/>
        <v>Regular</v>
      </c>
    </row>
    <row r="1000" spans="1:14" x14ac:dyDescent="0.35">
      <c r="A1000">
        <v>999</v>
      </c>
      <c r="B1000">
        <v>62</v>
      </c>
      <c r="C1000" t="str">
        <f t="shared" si="45"/>
        <v>Senior</v>
      </c>
      <c r="D1000" t="s">
        <v>16</v>
      </c>
      <c r="E1000" t="s">
        <v>17</v>
      </c>
      <c r="F1000" t="s">
        <v>48</v>
      </c>
      <c r="G1000">
        <v>79.55</v>
      </c>
      <c r="H1000" t="s">
        <v>31</v>
      </c>
      <c r="I1000" t="s">
        <v>15</v>
      </c>
      <c r="J1000">
        <v>3.9</v>
      </c>
      <c r="K1000">
        <v>12</v>
      </c>
      <c r="L1000">
        <f t="shared" si="46"/>
        <v>70.004000000000005</v>
      </c>
      <c r="M1000">
        <v>6</v>
      </c>
      <c r="N1000" t="str">
        <f t="shared" si="47"/>
        <v>Regular</v>
      </c>
    </row>
    <row r="1001" spans="1:14" x14ac:dyDescent="0.35">
      <c r="A1001">
        <v>1000</v>
      </c>
      <c r="B1001">
        <v>46</v>
      </c>
      <c r="C1001" t="str">
        <f t="shared" si="45"/>
        <v>Adult</v>
      </c>
      <c r="D1001" t="s">
        <v>11</v>
      </c>
      <c r="E1001" t="s">
        <v>25</v>
      </c>
      <c r="F1001" t="s">
        <v>47</v>
      </c>
      <c r="G1001">
        <v>17.850000000000001</v>
      </c>
      <c r="H1001" t="s">
        <v>24</v>
      </c>
      <c r="I1001" t="s">
        <v>37</v>
      </c>
      <c r="J1001">
        <v>5</v>
      </c>
      <c r="K1001">
        <v>26</v>
      </c>
      <c r="L1001">
        <f t="shared" si="46"/>
        <v>13.209000000000001</v>
      </c>
      <c r="M1001">
        <v>8</v>
      </c>
      <c r="N1001" t="str">
        <f t="shared" si="47"/>
        <v>Loyal</v>
      </c>
    </row>
    <row r="1002" spans="1:14" x14ac:dyDescent="0.35">
      <c r="A1002">
        <v>1001</v>
      </c>
      <c r="B1002">
        <v>21</v>
      </c>
      <c r="C1002" t="str">
        <f t="shared" si="45"/>
        <v>Youth</v>
      </c>
      <c r="D1002" t="s">
        <v>16</v>
      </c>
      <c r="E1002" t="s">
        <v>22</v>
      </c>
      <c r="F1002" t="s">
        <v>43</v>
      </c>
      <c r="G1002">
        <v>113.93</v>
      </c>
      <c r="H1002" t="s">
        <v>14</v>
      </c>
      <c r="I1002" t="s">
        <v>15</v>
      </c>
      <c r="J1002">
        <v>3.7</v>
      </c>
      <c r="K1002">
        <v>19</v>
      </c>
      <c r="L1002">
        <f t="shared" si="46"/>
        <v>92.283300000000011</v>
      </c>
      <c r="M1002">
        <v>7</v>
      </c>
      <c r="N1002" t="str">
        <f t="shared" si="47"/>
        <v>Regular</v>
      </c>
    </row>
    <row r="1003" spans="1:14" x14ac:dyDescent="0.35">
      <c r="A1003">
        <v>1002</v>
      </c>
      <c r="B1003">
        <v>29</v>
      </c>
      <c r="C1003" t="str">
        <f t="shared" si="45"/>
        <v>Youth</v>
      </c>
      <c r="D1003" t="s">
        <v>16</v>
      </c>
      <c r="E1003" t="s">
        <v>33</v>
      </c>
      <c r="F1003" t="s">
        <v>34</v>
      </c>
      <c r="G1003">
        <v>48.18</v>
      </c>
      <c r="H1003" t="s">
        <v>31</v>
      </c>
      <c r="I1003" t="s">
        <v>15</v>
      </c>
      <c r="J1003">
        <v>4.9000000000000004</v>
      </c>
      <c r="K1003">
        <v>34</v>
      </c>
      <c r="L1003">
        <f t="shared" si="46"/>
        <v>31.798799999999996</v>
      </c>
      <c r="M1003">
        <v>12</v>
      </c>
      <c r="N1003" t="str">
        <f t="shared" si="47"/>
        <v>Loyal</v>
      </c>
    </row>
    <row r="1004" spans="1:14" x14ac:dyDescent="0.35">
      <c r="A1004">
        <v>1003</v>
      </c>
      <c r="B1004">
        <v>57</v>
      </c>
      <c r="C1004" t="str">
        <f t="shared" si="45"/>
        <v>Adult</v>
      </c>
      <c r="D1004" t="s">
        <v>11</v>
      </c>
      <c r="E1004" t="s">
        <v>12</v>
      </c>
      <c r="F1004" t="s">
        <v>13</v>
      </c>
      <c r="G1004">
        <v>54.15</v>
      </c>
      <c r="H1004" t="s">
        <v>14</v>
      </c>
      <c r="I1004" t="s">
        <v>37</v>
      </c>
      <c r="J1004">
        <v>2.6</v>
      </c>
      <c r="K1004">
        <v>26</v>
      </c>
      <c r="L1004">
        <f t="shared" si="46"/>
        <v>40.070999999999998</v>
      </c>
      <c r="M1004">
        <v>8</v>
      </c>
      <c r="N1004" t="str">
        <f t="shared" si="47"/>
        <v>Loyal</v>
      </c>
    </row>
    <row r="1005" spans="1:14" x14ac:dyDescent="0.35">
      <c r="A1005">
        <v>1004</v>
      </c>
      <c r="B1005">
        <v>41</v>
      </c>
      <c r="C1005" t="str">
        <f t="shared" si="45"/>
        <v>Adult</v>
      </c>
      <c r="D1005" t="s">
        <v>11</v>
      </c>
      <c r="E1005" t="s">
        <v>41</v>
      </c>
      <c r="F1005" t="s">
        <v>42</v>
      </c>
      <c r="G1005">
        <v>58.88</v>
      </c>
      <c r="H1005" t="s">
        <v>31</v>
      </c>
      <c r="I1005" t="s">
        <v>37</v>
      </c>
      <c r="J1005">
        <v>4</v>
      </c>
      <c r="K1005">
        <v>11</v>
      </c>
      <c r="L1005">
        <f t="shared" si="46"/>
        <v>52.403200000000005</v>
      </c>
      <c r="M1005">
        <v>3</v>
      </c>
      <c r="N1005" t="str">
        <f t="shared" si="47"/>
        <v>New</v>
      </c>
    </row>
    <row r="1006" spans="1:14" x14ac:dyDescent="0.35">
      <c r="A1006">
        <v>1005</v>
      </c>
      <c r="B1006">
        <v>63</v>
      </c>
      <c r="C1006" t="str">
        <f t="shared" si="45"/>
        <v>Senior</v>
      </c>
      <c r="D1006" t="s">
        <v>16</v>
      </c>
      <c r="E1006" t="s">
        <v>17</v>
      </c>
      <c r="F1006" t="s">
        <v>35</v>
      </c>
      <c r="G1006">
        <v>127.76</v>
      </c>
      <c r="H1006" t="s">
        <v>31</v>
      </c>
      <c r="I1006" t="s">
        <v>15</v>
      </c>
      <c r="J1006">
        <v>3.2</v>
      </c>
      <c r="K1006">
        <v>4</v>
      </c>
      <c r="L1006">
        <f t="shared" si="46"/>
        <v>122.64960000000001</v>
      </c>
      <c r="M1006">
        <v>2</v>
      </c>
      <c r="N1006" t="str">
        <f t="shared" si="47"/>
        <v>New</v>
      </c>
    </row>
    <row r="1007" spans="1:14" x14ac:dyDescent="0.35">
      <c r="A1007">
        <v>1006</v>
      </c>
      <c r="B1007">
        <v>45</v>
      </c>
      <c r="C1007" t="str">
        <f t="shared" si="45"/>
        <v>Adult</v>
      </c>
      <c r="D1007" t="s">
        <v>16</v>
      </c>
      <c r="E1007" t="s">
        <v>17</v>
      </c>
      <c r="F1007" t="s">
        <v>48</v>
      </c>
      <c r="G1007">
        <v>88.21</v>
      </c>
      <c r="H1007" t="s">
        <v>14</v>
      </c>
      <c r="I1007" t="s">
        <v>37</v>
      </c>
      <c r="J1007">
        <v>2.2000000000000002</v>
      </c>
      <c r="K1007">
        <v>2</v>
      </c>
      <c r="L1007">
        <f t="shared" si="46"/>
        <v>86.445799999999991</v>
      </c>
      <c r="M1007">
        <v>1</v>
      </c>
      <c r="N1007" t="str">
        <f t="shared" si="47"/>
        <v>New</v>
      </c>
    </row>
    <row r="1008" spans="1:14" x14ac:dyDescent="0.35">
      <c r="A1008">
        <v>1007</v>
      </c>
      <c r="B1008">
        <v>65</v>
      </c>
      <c r="C1008" t="str">
        <f t="shared" si="45"/>
        <v>Senior</v>
      </c>
      <c r="D1008" t="s">
        <v>11</v>
      </c>
      <c r="E1008" t="s">
        <v>41</v>
      </c>
      <c r="F1008" t="s">
        <v>44</v>
      </c>
      <c r="G1008">
        <v>154.19999999999999</v>
      </c>
      <c r="H1008" t="s">
        <v>31</v>
      </c>
      <c r="I1008" t="s">
        <v>15</v>
      </c>
      <c r="J1008">
        <v>3.8</v>
      </c>
      <c r="K1008">
        <v>16</v>
      </c>
      <c r="L1008">
        <f t="shared" si="46"/>
        <v>129.52799999999999</v>
      </c>
      <c r="M1008">
        <v>8</v>
      </c>
      <c r="N1008" t="str">
        <f t="shared" si="47"/>
        <v>Loyal</v>
      </c>
    </row>
    <row r="1009" spans="1:14" x14ac:dyDescent="0.35">
      <c r="A1009">
        <v>1008</v>
      </c>
      <c r="B1009">
        <v>53</v>
      </c>
      <c r="C1009" t="str">
        <f t="shared" si="45"/>
        <v>Adult</v>
      </c>
      <c r="D1009" t="s">
        <v>16</v>
      </c>
      <c r="E1009" t="s">
        <v>17</v>
      </c>
      <c r="F1009" t="s">
        <v>48</v>
      </c>
      <c r="G1009">
        <v>186.55</v>
      </c>
      <c r="H1009" t="s">
        <v>14</v>
      </c>
      <c r="I1009" t="s">
        <v>15</v>
      </c>
      <c r="J1009">
        <v>3.7</v>
      </c>
      <c r="K1009">
        <v>16</v>
      </c>
      <c r="L1009">
        <f t="shared" si="46"/>
        <v>156.702</v>
      </c>
      <c r="M1009">
        <v>3</v>
      </c>
      <c r="N1009" t="str">
        <f t="shared" si="47"/>
        <v>New</v>
      </c>
    </row>
    <row r="1010" spans="1:14" x14ac:dyDescent="0.35">
      <c r="A1010">
        <v>1009</v>
      </c>
      <c r="B1010">
        <v>63</v>
      </c>
      <c r="C1010" t="str">
        <f t="shared" si="45"/>
        <v>Senior</v>
      </c>
      <c r="D1010" t="s">
        <v>16</v>
      </c>
      <c r="E1010" t="s">
        <v>33</v>
      </c>
      <c r="F1010" t="s">
        <v>34</v>
      </c>
      <c r="G1010">
        <v>55.74</v>
      </c>
      <c r="H1010" t="s">
        <v>19</v>
      </c>
      <c r="I1010" t="s">
        <v>37</v>
      </c>
      <c r="J1010">
        <v>4.8</v>
      </c>
      <c r="K1010">
        <v>22</v>
      </c>
      <c r="L1010">
        <f t="shared" si="46"/>
        <v>43.477200000000003</v>
      </c>
      <c r="M1010">
        <v>6</v>
      </c>
      <c r="N1010" t="str">
        <f t="shared" si="47"/>
        <v>Regular</v>
      </c>
    </row>
    <row r="1011" spans="1:14" x14ac:dyDescent="0.35">
      <c r="A1011">
        <v>1010</v>
      </c>
      <c r="B1011">
        <v>41</v>
      </c>
      <c r="C1011" t="str">
        <f t="shared" si="45"/>
        <v>Adult</v>
      </c>
      <c r="D1011" t="s">
        <v>11</v>
      </c>
      <c r="E1011" t="s">
        <v>29</v>
      </c>
      <c r="F1011" t="s">
        <v>51</v>
      </c>
      <c r="G1011">
        <v>149.31</v>
      </c>
      <c r="H1011" t="s">
        <v>24</v>
      </c>
      <c r="I1011" t="s">
        <v>15</v>
      </c>
      <c r="J1011">
        <v>4</v>
      </c>
      <c r="K1011">
        <v>8</v>
      </c>
      <c r="L1011">
        <f t="shared" si="46"/>
        <v>137.36520000000002</v>
      </c>
      <c r="M1011">
        <v>4</v>
      </c>
      <c r="N1011" t="str">
        <f t="shared" si="47"/>
        <v>Regular</v>
      </c>
    </row>
    <row r="1012" spans="1:14" x14ac:dyDescent="0.35">
      <c r="A1012">
        <v>1011</v>
      </c>
      <c r="B1012">
        <v>65</v>
      </c>
      <c r="C1012" t="str">
        <f t="shared" si="45"/>
        <v>Senior</v>
      </c>
      <c r="D1012" t="s">
        <v>16</v>
      </c>
      <c r="E1012" t="s">
        <v>17</v>
      </c>
      <c r="F1012" t="s">
        <v>48</v>
      </c>
      <c r="G1012">
        <v>71.91</v>
      </c>
      <c r="H1012" t="s">
        <v>24</v>
      </c>
      <c r="I1012" t="s">
        <v>37</v>
      </c>
      <c r="J1012">
        <v>3.5</v>
      </c>
      <c r="K1012">
        <v>19</v>
      </c>
      <c r="L1012">
        <f t="shared" si="46"/>
        <v>58.247100000000003</v>
      </c>
      <c r="M1012">
        <v>7</v>
      </c>
      <c r="N1012" t="str">
        <f t="shared" si="47"/>
        <v>Regular</v>
      </c>
    </row>
    <row r="1013" spans="1:14" x14ac:dyDescent="0.35">
      <c r="A1013">
        <v>1012</v>
      </c>
      <c r="B1013">
        <v>20</v>
      </c>
      <c r="C1013" t="str">
        <f t="shared" si="45"/>
        <v>Youth</v>
      </c>
      <c r="D1013" t="s">
        <v>11</v>
      </c>
      <c r="E1013" t="s">
        <v>29</v>
      </c>
      <c r="F1013" t="s">
        <v>55</v>
      </c>
      <c r="G1013">
        <v>25.51</v>
      </c>
      <c r="H1013" t="s">
        <v>19</v>
      </c>
      <c r="I1013" t="s">
        <v>15</v>
      </c>
      <c r="J1013">
        <v>3.6</v>
      </c>
      <c r="K1013">
        <v>30</v>
      </c>
      <c r="L1013">
        <f t="shared" si="46"/>
        <v>17.856999999999999</v>
      </c>
      <c r="M1013">
        <v>10</v>
      </c>
      <c r="N1013" t="str">
        <f t="shared" si="47"/>
        <v>Loyal</v>
      </c>
    </row>
    <row r="1014" spans="1:14" x14ac:dyDescent="0.35">
      <c r="A1014">
        <v>1013</v>
      </c>
      <c r="B1014">
        <v>57</v>
      </c>
      <c r="C1014" t="str">
        <f t="shared" si="45"/>
        <v>Adult</v>
      </c>
      <c r="D1014" t="s">
        <v>11</v>
      </c>
      <c r="E1014" t="s">
        <v>29</v>
      </c>
      <c r="F1014" t="s">
        <v>51</v>
      </c>
      <c r="G1014">
        <v>140</v>
      </c>
      <c r="H1014" t="s">
        <v>14</v>
      </c>
      <c r="I1014" t="s">
        <v>15</v>
      </c>
      <c r="J1014">
        <v>3.5</v>
      </c>
      <c r="K1014">
        <v>20</v>
      </c>
      <c r="L1014">
        <f t="shared" si="46"/>
        <v>112</v>
      </c>
      <c r="M1014">
        <v>5</v>
      </c>
      <c r="N1014" t="str">
        <f t="shared" si="47"/>
        <v>Regular</v>
      </c>
    </row>
    <row r="1015" spans="1:14" x14ac:dyDescent="0.35">
      <c r="A1015">
        <v>1014</v>
      </c>
      <c r="B1015">
        <v>45</v>
      </c>
      <c r="C1015" t="str">
        <f t="shared" si="45"/>
        <v>Adult</v>
      </c>
      <c r="D1015" t="s">
        <v>16</v>
      </c>
      <c r="E1015" t="s">
        <v>25</v>
      </c>
      <c r="F1015" t="s">
        <v>54</v>
      </c>
      <c r="G1015">
        <v>22.48</v>
      </c>
      <c r="H1015" t="s">
        <v>14</v>
      </c>
      <c r="I1015" t="s">
        <v>15</v>
      </c>
      <c r="J1015">
        <v>4.2</v>
      </c>
      <c r="K1015">
        <v>8</v>
      </c>
      <c r="L1015">
        <f t="shared" si="46"/>
        <v>20.6816</v>
      </c>
      <c r="M1015">
        <v>4</v>
      </c>
      <c r="N1015" t="str">
        <f t="shared" si="47"/>
        <v>Regular</v>
      </c>
    </row>
    <row r="1016" spans="1:14" x14ac:dyDescent="0.35">
      <c r="A1016">
        <v>1015</v>
      </c>
      <c r="B1016">
        <v>69</v>
      </c>
      <c r="C1016" t="str">
        <f t="shared" si="45"/>
        <v>Senior</v>
      </c>
      <c r="D1016" t="s">
        <v>11</v>
      </c>
      <c r="E1016" t="s">
        <v>12</v>
      </c>
      <c r="F1016" t="s">
        <v>56</v>
      </c>
      <c r="G1016">
        <v>63.27</v>
      </c>
      <c r="H1016" t="s">
        <v>14</v>
      </c>
      <c r="I1016" t="s">
        <v>37</v>
      </c>
      <c r="J1016">
        <v>2.9</v>
      </c>
      <c r="K1016">
        <v>12</v>
      </c>
      <c r="L1016">
        <f t="shared" si="46"/>
        <v>55.677600000000005</v>
      </c>
      <c r="M1016">
        <v>6</v>
      </c>
      <c r="N1016" t="str">
        <f t="shared" si="47"/>
        <v>Regular</v>
      </c>
    </row>
    <row r="1017" spans="1:14" x14ac:dyDescent="0.35">
      <c r="A1017">
        <v>1016</v>
      </c>
      <c r="B1017">
        <v>32</v>
      </c>
      <c r="C1017" t="str">
        <f t="shared" si="45"/>
        <v>Adult</v>
      </c>
      <c r="D1017" t="s">
        <v>16</v>
      </c>
      <c r="E1017" t="s">
        <v>25</v>
      </c>
      <c r="F1017" t="s">
        <v>47</v>
      </c>
      <c r="G1017">
        <v>79.819999999999993</v>
      </c>
      <c r="H1017" t="s">
        <v>14</v>
      </c>
      <c r="I1017" t="s">
        <v>15</v>
      </c>
      <c r="J1017">
        <v>3.5</v>
      </c>
      <c r="K1017">
        <v>14</v>
      </c>
      <c r="L1017">
        <f t="shared" si="46"/>
        <v>68.645199999999988</v>
      </c>
      <c r="M1017">
        <v>2</v>
      </c>
      <c r="N1017" t="str">
        <f t="shared" si="47"/>
        <v>New</v>
      </c>
    </row>
    <row r="1018" spans="1:14" x14ac:dyDescent="0.35">
      <c r="A1018">
        <v>1017</v>
      </c>
      <c r="B1018">
        <v>69</v>
      </c>
      <c r="C1018" t="str">
        <f t="shared" si="45"/>
        <v>Senior</v>
      </c>
      <c r="D1018" t="s">
        <v>11</v>
      </c>
      <c r="E1018" t="s">
        <v>29</v>
      </c>
      <c r="F1018" t="s">
        <v>30</v>
      </c>
      <c r="G1018">
        <v>68.75</v>
      </c>
      <c r="H1018" t="s">
        <v>19</v>
      </c>
      <c r="I1018" t="s">
        <v>15</v>
      </c>
      <c r="J1018">
        <v>3.8</v>
      </c>
      <c r="K1018">
        <v>8</v>
      </c>
      <c r="L1018">
        <f t="shared" si="46"/>
        <v>63.25</v>
      </c>
      <c r="M1018">
        <v>4</v>
      </c>
      <c r="N1018" t="str">
        <f t="shared" si="47"/>
        <v>Regular</v>
      </c>
    </row>
    <row r="1019" spans="1:14" x14ac:dyDescent="0.35">
      <c r="A1019">
        <v>1018</v>
      </c>
      <c r="B1019">
        <v>43</v>
      </c>
      <c r="C1019" t="str">
        <f t="shared" si="45"/>
        <v>Adult</v>
      </c>
      <c r="D1019" t="s">
        <v>16</v>
      </c>
      <c r="E1019" t="s">
        <v>27</v>
      </c>
      <c r="F1019" t="s">
        <v>32</v>
      </c>
      <c r="G1019">
        <v>1327.27</v>
      </c>
      <c r="H1019" t="s">
        <v>31</v>
      </c>
      <c r="I1019" t="s">
        <v>15</v>
      </c>
      <c r="J1019">
        <v>2.7</v>
      </c>
      <c r="K1019">
        <v>13</v>
      </c>
      <c r="L1019">
        <f t="shared" si="46"/>
        <v>1154.7248999999999</v>
      </c>
      <c r="M1019">
        <v>4</v>
      </c>
      <c r="N1019" t="str">
        <f t="shared" si="47"/>
        <v>Regular</v>
      </c>
    </row>
    <row r="1020" spans="1:14" x14ac:dyDescent="0.35">
      <c r="A1020">
        <v>1019</v>
      </c>
      <c r="B1020">
        <v>28</v>
      </c>
      <c r="C1020" t="str">
        <f t="shared" si="45"/>
        <v>Youth</v>
      </c>
      <c r="D1020" t="s">
        <v>16</v>
      </c>
      <c r="E1020" t="s">
        <v>20</v>
      </c>
      <c r="F1020" t="s">
        <v>36</v>
      </c>
      <c r="G1020">
        <v>220.03</v>
      </c>
      <c r="H1020" t="s">
        <v>31</v>
      </c>
      <c r="I1020" t="s">
        <v>15</v>
      </c>
      <c r="J1020">
        <v>3.2</v>
      </c>
      <c r="K1020">
        <v>10</v>
      </c>
      <c r="L1020">
        <f t="shared" si="46"/>
        <v>198.02700000000002</v>
      </c>
      <c r="M1020">
        <v>5</v>
      </c>
      <c r="N1020" t="str">
        <f t="shared" si="47"/>
        <v>Regular</v>
      </c>
    </row>
    <row r="1021" spans="1:14" x14ac:dyDescent="0.35">
      <c r="A1021">
        <v>1020</v>
      </c>
      <c r="B1021">
        <v>53</v>
      </c>
      <c r="C1021" t="str">
        <f t="shared" si="45"/>
        <v>Adult</v>
      </c>
      <c r="D1021" t="s">
        <v>11</v>
      </c>
      <c r="E1021" t="s">
        <v>20</v>
      </c>
      <c r="F1021" t="s">
        <v>21</v>
      </c>
      <c r="G1021">
        <v>233.03</v>
      </c>
      <c r="H1021" t="s">
        <v>19</v>
      </c>
      <c r="I1021" t="s">
        <v>15</v>
      </c>
      <c r="J1021">
        <v>3.7</v>
      </c>
      <c r="K1021">
        <v>18</v>
      </c>
      <c r="L1021">
        <f t="shared" si="46"/>
        <v>191.08460000000002</v>
      </c>
      <c r="M1021">
        <v>4</v>
      </c>
      <c r="N1021" t="str">
        <f t="shared" si="47"/>
        <v>Regular</v>
      </c>
    </row>
    <row r="1022" spans="1:14" x14ac:dyDescent="0.35">
      <c r="A1022">
        <v>1021</v>
      </c>
      <c r="B1022">
        <v>25</v>
      </c>
      <c r="C1022" t="str">
        <f t="shared" si="45"/>
        <v>Youth</v>
      </c>
      <c r="D1022" t="s">
        <v>11</v>
      </c>
      <c r="E1022" t="s">
        <v>12</v>
      </c>
      <c r="F1022" t="s">
        <v>13</v>
      </c>
      <c r="G1022">
        <v>106.02</v>
      </c>
      <c r="H1022" t="s">
        <v>31</v>
      </c>
      <c r="I1022" t="s">
        <v>15</v>
      </c>
      <c r="J1022">
        <v>4.8</v>
      </c>
      <c r="K1022">
        <v>13</v>
      </c>
      <c r="L1022">
        <f t="shared" si="46"/>
        <v>92.237399999999994</v>
      </c>
      <c r="M1022">
        <v>4</v>
      </c>
      <c r="N1022" t="str">
        <f t="shared" si="47"/>
        <v>Regular</v>
      </c>
    </row>
    <row r="1023" spans="1:14" x14ac:dyDescent="0.35">
      <c r="A1023">
        <v>1022</v>
      </c>
      <c r="B1023">
        <v>30</v>
      </c>
      <c r="C1023" t="str">
        <f t="shared" si="45"/>
        <v>Youth</v>
      </c>
      <c r="D1023" t="s">
        <v>16</v>
      </c>
      <c r="E1023" t="s">
        <v>20</v>
      </c>
      <c r="F1023" t="s">
        <v>21</v>
      </c>
      <c r="G1023">
        <v>74.36</v>
      </c>
      <c r="H1023" t="s">
        <v>24</v>
      </c>
      <c r="I1023" t="s">
        <v>15</v>
      </c>
      <c r="J1023">
        <v>5</v>
      </c>
      <c r="K1023">
        <v>15</v>
      </c>
      <c r="L1023">
        <f t="shared" si="46"/>
        <v>63.205999999999996</v>
      </c>
      <c r="M1023">
        <v>5</v>
      </c>
      <c r="N1023" t="str">
        <f t="shared" si="47"/>
        <v>Regular</v>
      </c>
    </row>
    <row r="1024" spans="1:14" x14ac:dyDescent="0.35">
      <c r="A1024">
        <v>1023</v>
      </c>
      <c r="B1024">
        <v>59</v>
      </c>
      <c r="C1024" t="str">
        <f t="shared" si="45"/>
        <v>Adult</v>
      </c>
      <c r="D1024" t="s">
        <v>11</v>
      </c>
      <c r="E1024" t="s">
        <v>29</v>
      </c>
      <c r="F1024" t="s">
        <v>55</v>
      </c>
      <c r="G1024">
        <v>28.72</v>
      </c>
      <c r="H1024" t="s">
        <v>31</v>
      </c>
      <c r="I1024" t="s">
        <v>37</v>
      </c>
      <c r="J1024">
        <v>4.5</v>
      </c>
      <c r="K1024">
        <v>12</v>
      </c>
      <c r="L1024">
        <f t="shared" si="46"/>
        <v>25.273599999999998</v>
      </c>
      <c r="M1024">
        <v>6</v>
      </c>
      <c r="N1024" t="str">
        <f t="shared" si="47"/>
        <v>Regular</v>
      </c>
    </row>
    <row r="1025" spans="1:14" x14ac:dyDescent="0.35">
      <c r="A1025">
        <v>1024</v>
      </c>
      <c r="B1025">
        <v>53</v>
      </c>
      <c r="C1025" t="str">
        <f t="shared" si="45"/>
        <v>Adult</v>
      </c>
      <c r="D1025" t="s">
        <v>16</v>
      </c>
      <c r="E1025" t="s">
        <v>27</v>
      </c>
      <c r="F1025" t="s">
        <v>49</v>
      </c>
      <c r="G1025">
        <v>512</v>
      </c>
      <c r="H1025" t="s">
        <v>24</v>
      </c>
      <c r="I1025" t="s">
        <v>15</v>
      </c>
      <c r="J1025">
        <v>4</v>
      </c>
      <c r="K1025">
        <v>18</v>
      </c>
      <c r="L1025">
        <f t="shared" si="46"/>
        <v>419.84000000000003</v>
      </c>
      <c r="M1025">
        <v>9</v>
      </c>
      <c r="N1025" t="str">
        <f t="shared" si="47"/>
        <v>Loyal</v>
      </c>
    </row>
    <row r="1026" spans="1:14" x14ac:dyDescent="0.35">
      <c r="A1026">
        <v>1025</v>
      </c>
      <c r="B1026">
        <v>60</v>
      </c>
      <c r="C1026" t="str">
        <f t="shared" si="45"/>
        <v>Adult</v>
      </c>
      <c r="D1026" t="s">
        <v>11</v>
      </c>
      <c r="E1026" t="s">
        <v>41</v>
      </c>
      <c r="F1026" t="s">
        <v>45</v>
      </c>
      <c r="G1026">
        <v>108.63</v>
      </c>
      <c r="H1026" t="s">
        <v>14</v>
      </c>
      <c r="I1026" t="s">
        <v>15</v>
      </c>
      <c r="J1026">
        <v>3.5</v>
      </c>
      <c r="K1026">
        <v>28</v>
      </c>
      <c r="L1026">
        <f t="shared" si="46"/>
        <v>78.2136</v>
      </c>
      <c r="M1026">
        <v>9</v>
      </c>
      <c r="N1026" t="str">
        <f t="shared" si="47"/>
        <v>Loyal</v>
      </c>
    </row>
    <row r="1027" spans="1:14" x14ac:dyDescent="0.35">
      <c r="A1027">
        <v>1026</v>
      </c>
      <c r="B1027">
        <v>25</v>
      </c>
      <c r="C1027" t="str">
        <f t="shared" ref="C1027:C1090" si="48">IF(B1027&lt;=30,"Youth",IF(B1027&lt;=45,"Adult",IF(B1027&lt;=60,"Adult","Senior")))</f>
        <v>Youth</v>
      </c>
      <c r="D1027" t="s">
        <v>16</v>
      </c>
      <c r="E1027" t="s">
        <v>17</v>
      </c>
      <c r="F1027" t="s">
        <v>42</v>
      </c>
      <c r="G1027">
        <v>34.19</v>
      </c>
      <c r="H1027" t="s">
        <v>24</v>
      </c>
      <c r="I1027" t="s">
        <v>37</v>
      </c>
      <c r="J1027">
        <v>3.1</v>
      </c>
      <c r="K1027">
        <v>19</v>
      </c>
      <c r="L1027">
        <f t="shared" ref="L1027:L1090" si="49">G1027*(1-K1027/100)</f>
        <v>27.693899999999999</v>
      </c>
      <c r="M1027">
        <v>7</v>
      </c>
      <c r="N1027" t="str">
        <f t="shared" ref="N1027:N1090" si="50">IF(M1027&lt;=3,"New",IF(M1027&lt;=7,"Regular","Loyal"))</f>
        <v>Regular</v>
      </c>
    </row>
    <row r="1028" spans="1:14" x14ac:dyDescent="0.35">
      <c r="A1028">
        <v>1027</v>
      </c>
      <c r="B1028">
        <v>21</v>
      </c>
      <c r="C1028" t="str">
        <f t="shared" si="48"/>
        <v>Youth</v>
      </c>
      <c r="D1028" t="s">
        <v>11</v>
      </c>
      <c r="E1028" t="s">
        <v>12</v>
      </c>
      <c r="F1028" t="s">
        <v>56</v>
      </c>
      <c r="G1028">
        <v>121.23</v>
      </c>
      <c r="H1028" t="s">
        <v>19</v>
      </c>
      <c r="I1028" t="s">
        <v>15</v>
      </c>
      <c r="J1028">
        <v>2.9</v>
      </c>
      <c r="K1028">
        <v>16</v>
      </c>
      <c r="L1028">
        <f t="shared" si="49"/>
        <v>101.83320000000001</v>
      </c>
      <c r="M1028">
        <v>3</v>
      </c>
      <c r="N1028" t="str">
        <f t="shared" si="50"/>
        <v>New</v>
      </c>
    </row>
    <row r="1029" spans="1:14" x14ac:dyDescent="0.35">
      <c r="A1029">
        <v>1028</v>
      </c>
      <c r="B1029">
        <v>31</v>
      </c>
      <c r="C1029" t="str">
        <f t="shared" si="48"/>
        <v>Adult</v>
      </c>
      <c r="D1029" t="s">
        <v>16</v>
      </c>
      <c r="E1029" t="s">
        <v>22</v>
      </c>
      <c r="F1029" t="s">
        <v>23</v>
      </c>
      <c r="G1029">
        <v>39.869999999999997</v>
      </c>
      <c r="H1029" t="s">
        <v>14</v>
      </c>
      <c r="I1029" t="s">
        <v>37</v>
      </c>
      <c r="J1029">
        <v>3.1</v>
      </c>
      <c r="K1029">
        <v>14</v>
      </c>
      <c r="L1029">
        <f t="shared" si="49"/>
        <v>34.288199999999996</v>
      </c>
      <c r="M1029">
        <v>7</v>
      </c>
      <c r="N1029" t="str">
        <f t="shared" si="50"/>
        <v>Regular</v>
      </c>
    </row>
    <row r="1030" spans="1:14" x14ac:dyDescent="0.35">
      <c r="A1030">
        <v>1029</v>
      </c>
      <c r="B1030">
        <v>65</v>
      </c>
      <c r="C1030" t="str">
        <f t="shared" si="48"/>
        <v>Senior</v>
      </c>
      <c r="D1030" t="s">
        <v>11</v>
      </c>
      <c r="E1030" t="s">
        <v>41</v>
      </c>
      <c r="F1030" t="s">
        <v>42</v>
      </c>
      <c r="G1030">
        <v>194.79</v>
      </c>
      <c r="H1030" t="s">
        <v>24</v>
      </c>
      <c r="I1030" t="s">
        <v>15</v>
      </c>
      <c r="J1030">
        <v>4.0999999999999996</v>
      </c>
      <c r="K1030">
        <v>15</v>
      </c>
      <c r="L1030">
        <f t="shared" si="49"/>
        <v>165.57149999999999</v>
      </c>
      <c r="M1030">
        <v>5</v>
      </c>
      <c r="N1030" t="str">
        <f t="shared" si="50"/>
        <v>Regular</v>
      </c>
    </row>
    <row r="1031" spans="1:14" x14ac:dyDescent="0.35">
      <c r="A1031">
        <v>1030</v>
      </c>
      <c r="B1031">
        <v>45</v>
      </c>
      <c r="C1031" t="str">
        <f t="shared" si="48"/>
        <v>Adult</v>
      </c>
      <c r="D1031" t="s">
        <v>11</v>
      </c>
      <c r="E1031" t="s">
        <v>41</v>
      </c>
      <c r="F1031" t="s">
        <v>46</v>
      </c>
      <c r="G1031">
        <v>192.67</v>
      </c>
      <c r="H1031" t="s">
        <v>19</v>
      </c>
      <c r="I1031" t="s">
        <v>15</v>
      </c>
      <c r="J1031">
        <v>4.3</v>
      </c>
      <c r="K1031">
        <v>20</v>
      </c>
      <c r="L1031">
        <f t="shared" si="49"/>
        <v>154.136</v>
      </c>
      <c r="M1031">
        <v>5</v>
      </c>
      <c r="N1031" t="str">
        <f t="shared" si="50"/>
        <v>Regular</v>
      </c>
    </row>
    <row r="1032" spans="1:14" x14ac:dyDescent="0.35">
      <c r="A1032">
        <v>1031</v>
      </c>
      <c r="B1032">
        <v>33</v>
      </c>
      <c r="C1032" t="str">
        <f t="shared" si="48"/>
        <v>Adult</v>
      </c>
      <c r="D1032" t="s">
        <v>11</v>
      </c>
      <c r="E1032" t="s">
        <v>33</v>
      </c>
      <c r="F1032" t="s">
        <v>40</v>
      </c>
      <c r="G1032">
        <v>119.68</v>
      </c>
      <c r="H1032" t="s">
        <v>14</v>
      </c>
      <c r="I1032" t="s">
        <v>15</v>
      </c>
      <c r="J1032">
        <v>2.5</v>
      </c>
      <c r="K1032">
        <v>19</v>
      </c>
      <c r="L1032">
        <f t="shared" si="49"/>
        <v>96.94080000000001</v>
      </c>
      <c r="M1032">
        <v>7</v>
      </c>
      <c r="N1032" t="str">
        <f t="shared" si="50"/>
        <v>Regular</v>
      </c>
    </row>
    <row r="1033" spans="1:14" x14ac:dyDescent="0.35">
      <c r="A1033">
        <v>1032</v>
      </c>
      <c r="B1033">
        <v>40</v>
      </c>
      <c r="C1033" t="str">
        <f t="shared" si="48"/>
        <v>Adult</v>
      </c>
      <c r="D1033" t="s">
        <v>11</v>
      </c>
      <c r="E1033" t="s">
        <v>25</v>
      </c>
      <c r="F1033" t="s">
        <v>54</v>
      </c>
      <c r="G1033">
        <v>12.42</v>
      </c>
      <c r="H1033" t="s">
        <v>19</v>
      </c>
      <c r="I1033" t="s">
        <v>15</v>
      </c>
      <c r="J1033">
        <v>4</v>
      </c>
      <c r="K1033">
        <v>20</v>
      </c>
      <c r="L1033">
        <f t="shared" si="49"/>
        <v>9.9359999999999999</v>
      </c>
      <c r="M1033">
        <v>5</v>
      </c>
      <c r="N1033" t="str">
        <f t="shared" si="50"/>
        <v>Regular</v>
      </c>
    </row>
    <row r="1034" spans="1:14" x14ac:dyDescent="0.35">
      <c r="A1034">
        <v>1033</v>
      </c>
      <c r="B1034">
        <v>55</v>
      </c>
      <c r="C1034" t="str">
        <f t="shared" si="48"/>
        <v>Adult</v>
      </c>
      <c r="D1034" t="s">
        <v>11</v>
      </c>
      <c r="E1034" t="s">
        <v>20</v>
      </c>
      <c r="F1034" t="s">
        <v>39</v>
      </c>
      <c r="G1034">
        <v>91.6</v>
      </c>
      <c r="H1034" t="s">
        <v>31</v>
      </c>
      <c r="I1034" t="s">
        <v>37</v>
      </c>
      <c r="J1034">
        <v>3.7</v>
      </c>
      <c r="K1034">
        <v>17</v>
      </c>
      <c r="L1034">
        <f t="shared" si="49"/>
        <v>76.027999999999992</v>
      </c>
      <c r="M1034">
        <v>6</v>
      </c>
      <c r="N1034" t="str">
        <f t="shared" si="50"/>
        <v>Regular</v>
      </c>
    </row>
    <row r="1035" spans="1:14" x14ac:dyDescent="0.35">
      <c r="A1035">
        <v>1034</v>
      </c>
      <c r="B1035">
        <v>28</v>
      </c>
      <c r="C1035" t="str">
        <f t="shared" si="48"/>
        <v>Youth</v>
      </c>
      <c r="D1035" t="s">
        <v>11</v>
      </c>
      <c r="E1035" t="s">
        <v>25</v>
      </c>
      <c r="F1035" t="s">
        <v>57</v>
      </c>
      <c r="G1035">
        <v>78.81</v>
      </c>
      <c r="H1035" t="s">
        <v>31</v>
      </c>
      <c r="I1035" t="s">
        <v>15</v>
      </c>
      <c r="J1035">
        <v>4.0999999999999996</v>
      </c>
      <c r="K1035">
        <v>15</v>
      </c>
      <c r="L1035">
        <f t="shared" si="49"/>
        <v>66.988500000000002</v>
      </c>
      <c r="M1035">
        <v>5</v>
      </c>
      <c r="N1035" t="str">
        <f t="shared" si="50"/>
        <v>Regular</v>
      </c>
    </row>
    <row r="1036" spans="1:14" x14ac:dyDescent="0.35">
      <c r="A1036">
        <v>1035</v>
      </c>
      <c r="B1036">
        <v>36</v>
      </c>
      <c r="C1036" t="str">
        <f t="shared" si="48"/>
        <v>Adult</v>
      </c>
      <c r="D1036" t="s">
        <v>16</v>
      </c>
      <c r="E1036" t="s">
        <v>22</v>
      </c>
      <c r="F1036" t="s">
        <v>43</v>
      </c>
      <c r="G1036">
        <v>299.29000000000002</v>
      </c>
      <c r="H1036" t="s">
        <v>19</v>
      </c>
      <c r="I1036" t="s">
        <v>15</v>
      </c>
      <c r="J1036">
        <v>4.5999999999999996</v>
      </c>
      <c r="K1036">
        <v>10</v>
      </c>
      <c r="L1036">
        <f t="shared" si="49"/>
        <v>269.36100000000005</v>
      </c>
      <c r="M1036">
        <v>5</v>
      </c>
      <c r="N1036" t="str">
        <f t="shared" si="50"/>
        <v>Regular</v>
      </c>
    </row>
    <row r="1037" spans="1:14" x14ac:dyDescent="0.35">
      <c r="A1037">
        <v>1036</v>
      </c>
      <c r="B1037">
        <v>59</v>
      </c>
      <c r="C1037" t="str">
        <f t="shared" si="48"/>
        <v>Adult</v>
      </c>
      <c r="D1037" t="s">
        <v>11</v>
      </c>
      <c r="E1037" t="s">
        <v>29</v>
      </c>
      <c r="F1037" t="s">
        <v>51</v>
      </c>
      <c r="G1037">
        <v>52.13</v>
      </c>
      <c r="H1037" t="s">
        <v>24</v>
      </c>
      <c r="I1037" t="s">
        <v>15</v>
      </c>
      <c r="J1037">
        <v>4.4000000000000004</v>
      </c>
      <c r="K1037">
        <v>14</v>
      </c>
      <c r="L1037">
        <f t="shared" si="49"/>
        <v>44.831800000000001</v>
      </c>
      <c r="M1037">
        <v>2</v>
      </c>
      <c r="N1037" t="str">
        <f t="shared" si="50"/>
        <v>New</v>
      </c>
    </row>
    <row r="1038" spans="1:14" x14ac:dyDescent="0.35">
      <c r="A1038">
        <v>1037</v>
      </c>
      <c r="B1038">
        <v>42</v>
      </c>
      <c r="C1038" t="str">
        <f t="shared" si="48"/>
        <v>Adult</v>
      </c>
      <c r="D1038" t="s">
        <v>11</v>
      </c>
      <c r="E1038" t="s">
        <v>12</v>
      </c>
      <c r="F1038" t="s">
        <v>13</v>
      </c>
      <c r="G1038">
        <v>73.709999999999994</v>
      </c>
      <c r="H1038" t="s">
        <v>14</v>
      </c>
      <c r="I1038" t="s">
        <v>15</v>
      </c>
      <c r="J1038">
        <v>2.8</v>
      </c>
      <c r="K1038">
        <v>8</v>
      </c>
      <c r="L1038">
        <f t="shared" si="49"/>
        <v>67.813199999999995</v>
      </c>
      <c r="M1038">
        <v>4</v>
      </c>
      <c r="N1038" t="str">
        <f t="shared" si="50"/>
        <v>Regular</v>
      </c>
    </row>
    <row r="1039" spans="1:14" x14ac:dyDescent="0.35">
      <c r="A1039">
        <v>1038</v>
      </c>
      <c r="B1039">
        <v>21</v>
      </c>
      <c r="C1039" t="str">
        <f t="shared" si="48"/>
        <v>Youth</v>
      </c>
      <c r="D1039" t="s">
        <v>11</v>
      </c>
      <c r="E1039" t="s">
        <v>12</v>
      </c>
      <c r="F1039" t="s">
        <v>56</v>
      </c>
      <c r="G1039">
        <v>108.59</v>
      </c>
      <c r="H1039" t="s">
        <v>24</v>
      </c>
      <c r="I1039" t="s">
        <v>15</v>
      </c>
      <c r="J1039">
        <v>4.3</v>
      </c>
      <c r="K1039">
        <v>26</v>
      </c>
      <c r="L1039">
        <f t="shared" si="49"/>
        <v>80.3566</v>
      </c>
      <c r="M1039">
        <v>8</v>
      </c>
      <c r="N1039" t="str">
        <f t="shared" si="50"/>
        <v>Loyal</v>
      </c>
    </row>
    <row r="1040" spans="1:14" x14ac:dyDescent="0.35">
      <c r="A1040">
        <v>1039</v>
      </c>
      <c r="B1040">
        <v>63</v>
      </c>
      <c r="C1040" t="str">
        <f t="shared" si="48"/>
        <v>Senior</v>
      </c>
      <c r="D1040" t="s">
        <v>16</v>
      </c>
      <c r="E1040" t="s">
        <v>27</v>
      </c>
      <c r="F1040" t="s">
        <v>53</v>
      </c>
      <c r="G1040">
        <v>2738.93</v>
      </c>
      <c r="H1040" t="s">
        <v>31</v>
      </c>
      <c r="I1040" t="s">
        <v>15</v>
      </c>
      <c r="J1040">
        <v>4</v>
      </c>
      <c r="K1040">
        <v>12</v>
      </c>
      <c r="L1040">
        <f t="shared" si="49"/>
        <v>2410.2583999999997</v>
      </c>
      <c r="M1040">
        <v>6</v>
      </c>
      <c r="N1040" t="str">
        <f t="shared" si="50"/>
        <v>Regular</v>
      </c>
    </row>
    <row r="1041" spans="1:14" x14ac:dyDescent="0.35">
      <c r="A1041">
        <v>1040</v>
      </c>
      <c r="B1041">
        <v>32</v>
      </c>
      <c r="C1041" t="str">
        <f t="shared" si="48"/>
        <v>Adult</v>
      </c>
      <c r="D1041" t="s">
        <v>11</v>
      </c>
      <c r="E1041" t="s">
        <v>12</v>
      </c>
      <c r="F1041" t="s">
        <v>50</v>
      </c>
      <c r="G1041">
        <v>159.16</v>
      </c>
      <c r="H1041" t="s">
        <v>31</v>
      </c>
      <c r="I1041" t="s">
        <v>15</v>
      </c>
      <c r="J1041">
        <v>4.0999999999999996</v>
      </c>
      <c r="K1041">
        <v>10</v>
      </c>
      <c r="L1041">
        <f t="shared" si="49"/>
        <v>143.244</v>
      </c>
      <c r="M1041">
        <v>5</v>
      </c>
      <c r="N1041" t="str">
        <f t="shared" si="50"/>
        <v>Regular</v>
      </c>
    </row>
    <row r="1042" spans="1:14" x14ac:dyDescent="0.35">
      <c r="A1042">
        <v>1041</v>
      </c>
      <c r="B1042">
        <v>32</v>
      </c>
      <c r="C1042" t="str">
        <f t="shared" si="48"/>
        <v>Adult</v>
      </c>
      <c r="D1042" t="s">
        <v>11</v>
      </c>
      <c r="E1042" t="s">
        <v>41</v>
      </c>
      <c r="F1042" t="s">
        <v>45</v>
      </c>
      <c r="G1042">
        <v>193.19</v>
      </c>
      <c r="H1042" t="s">
        <v>19</v>
      </c>
      <c r="I1042" t="s">
        <v>15</v>
      </c>
      <c r="J1042">
        <v>4.9000000000000004</v>
      </c>
      <c r="K1042">
        <v>26</v>
      </c>
      <c r="L1042">
        <f t="shared" si="49"/>
        <v>142.9606</v>
      </c>
      <c r="M1042">
        <v>8</v>
      </c>
      <c r="N1042" t="str">
        <f t="shared" si="50"/>
        <v>Loyal</v>
      </c>
    </row>
    <row r="1043" spans="1:14" x14ac:dyDescent="0.35">
      <c r="A1043">
        <v>1042</v>
      </c>
      <c r="B1043">
        <v>45</v>
      </c>
      <c r="C1043" t="str">
        <f t="shared" si="48"/>
        <v>Adult</v>
      </c>
      <c r="D1043" t="s">
        <v>16</v>
      </c>
      <c r="E1043" t="s">
        <v>33</v>
      </c>
      <c r="F1043" t="s">
        <v>38</v>
      </c>
      <c r="G1043">
        <v>143.72</v>
      </c>
      <c r="H1043" t="s">
        <v>31</v>
      </c>
      <c r="I1043" t="s">
        <v>15</v>
      </c>
      <c r="J1043">
        <v>2.6</v>
      </c>
      <c r="K1043">
        <v>20</v>
      </c>
      <c r="L1043">
        <f t="shared" si="49"/>
        <v>114.976</v>
      </c>
      <c r="M1043">
        <v>5</v>
      </c>
      <c r="N1043" t="str">
        <f t="shared" si="50"/>
        <v>Regular</v>
      </c>
    </row>
    <row r="1044" spans="1:14" x14ac:dyDescent="0.35">
      <c r="A1044">
        <v>1043</v>
      </c>
      <c r="B1044">
        <v>24</v>
      </c>
      <c r="C1044" t="str">
        <f t="shared" si="48"/>
        <v>Youth</v>
      </c>
      <c r="D1044" t="s">
        <v>11</v>
      </c>
      <c r="E1044" t="s">
        <v>41</v>
      </c>
      <c r="F1044" t="s">
        <v>46</v>
      </c>
      <c r="G1044">
        <v>141.82</v>
      </c>
      <c r="H1044" t="s">
        <v>24</v>
      </c>
      <c r="I1044" t="s">
        <v>15</v>
      </c>
      <c r="J1044">
        <v>3.8</v>
      </c>
      <c r="K1044">
        <v>10</v>
      </c>
      <c r="L1044">
        <f t="shared" si="49"/>
        <v>127.63799999999999</v>
      </c>
      <c r="M1044">
        <v>5</v>
      </c>
      <c r="N1044" t="str">
        <f t="shared" si="50"/>
        <v>Regular</v>
      </c>
    </row>
    <row r="1045" spans="1:14" x14ac:dyDescent="0.35">
      <c r="A1045">
        <v>1044</v>
      </c>
      <c r="B1045">
        <v>44</v>
      </c>
      <c r="C1045" t="str">
        <f t="shared" si="48"/>
        <v>Adult</v>
      </c>
      <c r="D1045" t="s">
        <v>11</v>
      </c>
      <c r="E1045" t="s">
        <v>41</v>
      </c>
      <c r="F1045" t="s">
        <v>45</v>
      </c>
      <c r="G1045">
        <v>177.01</v>
      </c>
      <c r="H1045" t="s">
        <v>19</v>
      </c>
      <c r="I1045" t="s">
        <v>15</v>
      </c>
      <c r="J1045">
        <v>1.9</v>
      </c>
      <c r="K1045">
        <v>7</v>
      </c>
      <c r="L1045">
        <f t="shared" si="49"/>
        <v>164.61929999999998</v>
      </c>
      <c r="M1045">
        <v>1</v>
      </c>
      <c r="N1045" t="str">
        <f t="shared" si="50"/>
        <v>New</v>
      </c>
    </row>
    <row r="1046" spans="1:14" x14ac:dyDescent="0.35">
      <c r="A1046">
        <v>1045</v>
      </c>
      <c r="B1046">
        <v>33</v>
      </c>
      <c r="C1046" t="str">
        <f t="shared" si="48"/>
        <v>Adult</v>
      </c>
      <c r="D1046" t="s">
        <v>16</v>
      </c>
      <c r="E1046" t="s">
        <v>20</v>
      </c>
      <c r="F1046" t="s">
        <v>36</v>
      </c>
      <c r="G1046">
        <v>144.52000000000001</v>
      </c>
      <c r="H1046" t="s">
        <v>14</v>
      </c>
      <c r="I1046" t="s">
        <v>15</v>
      </c>
      <c r="J1046">
        <v>4.5999999999999996</v>
      </c>
      <c r="K1046">
        <v>10</v>
      </c>
      <c r="L1046">
        <f t="shared" si="49"/>
        <v>130.06800000000001</v>
      </c>
      <c r="M1046">
        <v>5</v>
      </c>
      <c r="N1046" t="str">
        <f t="shared" si="50"/>
        <v>Regular</v>
      </c>
    </row>
    <row r="1047" spans="1:14" x14ac:dyDescent="0.35">
      <c r="A1047">
        <v>1046</v>
      </c>
      <c r="B1047">
        <v>40</v>
      </c>
      <c r="C1047" t="str">
        <f t="shared" si="48"/>
        <v>Adult</v>
      </c>
      <c r="D1047" t="s">
        <v>16</v>
      </c>
      <c r="E1047" t="s">
        <v>17</v>
      </c>
      <c r="F1047" t="s">
        <v>35</v>
      </c>
      <c r="G1047">
        <v>141.59</v>
      </c>
      <c r="H1047" t="s">
        <v>19</v>
      </c>
      <c r="I1047" t="s">
        <v>15</v>
      </c>
      <c r="J1047">
        <v>3.3</v>
      </c>
      <c r="K1047">
        <v>4</v>
      </c>
      <c r="L1047">
        <f t="shared" si="49"/>
        <v>135.9264</v>
      </c>
      <c r="M1047">
        <v>2</v>
      </c>
      <c r="N1047" t="str">
        <f t="shared" si="50"/>
        <v>New</v>
      </c>
    </row>
    <row r="1048" spans="1:14" x14ac:dyDescent="0.35">
      <c r="A1048">
        <v>1047</v>
      </c>
      <c r="B1048">
        <v>53</v>
      </c>
      <c r="C1048" t="str">
        <f t="shared" si="48"/>
        <v>Adult</v>
      </c>
      <c r="D1048" t="s">
        <v>11</v>
      </c>
      <c r="E1048" t="s">
        <v>41</v>
      </c>
      <c r="F1048" t="s">
        <v>44</v>
      </c>
      <c r="G1048">
        <v>130.75</v>
      </c>
      <c r="H1048" t="s">
        <v>31</v>
      </c>
      <c r="I1048" t="s">
        <v>15</v>
      </c>
      <c r="J1048">
        <v>3.9</v>
      </c>
      <c r="K1048">
        <v>15</v>
      </c>
      <c r="L1048">
        <f t="shared" si="49"/>
        <v>111.1375</v>
      </c>
      <c r="M1048">
        <v>5</v>
      </c>
      <c r="N1048" t="str">
        <f t="shared" si="50"/>
        <v>Regular</v>
      </c>
    </row>
    <row r="1049" spans="1:14" x14ac:dyDescent="0.35">
      <c r="A1049">
        <v>1048</v>
      </c>
      <c r="B1049">
        <v>55</v>
      </c>
      <c r="C1049" t="str">
        <f t="shared" si="48"/>
        <v>Adult</v>
      </c>
      <c r="D1049" t="s">
        <v>16</v>
      </c>
      <c r="E1049" t="s">
        <v>33</v>
      </c>
      <c r="F1049" t="s">
        <v>38</v>
      </c>
      <c r="G1049">
        <v>57.48</v>
      </c>
      <c r="H1049" t="s">
        <v>31</v>
      </c>
      <c r="I1049" t="s">
        <v>15</v>
      </c>
      <c r="J1049">
        <v>4.0999999999999996</v>
      </c>
      <c r="K1049">
        <v>15</v>
      </c>
      <c r="L1049">
        <f t="shared" si="49"/>
        <v>48.857999999999997</v>
      </c>
      <c r="M1049">
        <v>5</v>
      </c>
      <c r="N1049" t="str">
        <f t="shared" si="50"/>
        <v>Regular</v>
      </c>
    </row>
    <row r="1050" spans="1:14" x14ac:dyDescent="0.35">
      <c r="A1050">
        <v>1049</v>
      </c>
      <c r="B1050">
        <v>40</v>
      </c>
      <c r="C1050" t="str">
        <f t="shared" si="48"/>
        <v>Adult</v>
      </c>
      <c r="D1050" t="s">
        <v>11</v>
      </c>
      <c r="E1050" t="s">
        <v>41</v>
      </c>
      <c r="F1050" t="s">
        <v>46</v>
      </c>
      <c r="G1050">
        <v>75.56</v>
      </c>
      <c r="H1050" t="s">
        <v>24</v>
      </c>
      <c r="I1050" t="s">
        <v>37</v>
      </c>
      <c r="J1050">
        <v>4.0999999999999996</v>
      </c>
      <c r="K1050">
        <v>10</v>
      </c>
      <c r="L1050">
        <f t="shared" si="49"/>
        <v>68.004000000000005</v>
      </c>
      <c r="M1050">
        <v>5</v>
      </c>
      <c r="N1050" t="str">
        <f t="shared" si="50"/>
        <v>Regular</v>
      </c>
    </row>
    <row r="1051" spans="1:14" x14ac:dyDescent="0.35">
      <c r="A1051">
        <v>1050</v>
      </c>
      <c r="B1051">
        <v>34</v>
      </c>
      <c r="C1051" t="str">
        <f t="shared" si="48"/>
        <v>Adult</v>
      </c>
      <c r="D1051" t="s">
        <v>11</v>
      </c>
      <c r="E1051" t="s">
        <v>12</v>
      </c>
      <c r="F1051" t="s">
        <v>13</v>
      </c>
      <c r="G1051">
        <v>50.23</v>
      </c>
      <c r="H1051" t="s">
        <v>19</v>
      </c>
      <c r="I1051" t="s">
        <v>37</v>
      </c>
      <c r="J1051">
        <v>2.2000000000000002</v>
      </c>
      <c r="K1051">
        <v>6</v>
      </c>
      <c r="L1051">
        <f t="shared" si="49"/>
        <v>47.216199999999994</v>
      </c>
      <c r="M1051">
        <v>3</v>
      </c>
      <c r="N1051" t="str">
        <f t="shared" si="50"/>
        <v>New</v>
      </c>
    </row>
    <row r="1052" spans="1:14" x14ac:dyDescent="0.35">
      <c r="A1052">
        <v>1051</v>
      </c>
      <c r="B1052">
        <v>45</v>
      </c>
      <c r="C1052" t="str">
        <f t="shared" si="48"/>
        <v>Adult</v>
      </c>
      <c r="D1052" t="s">
        <v>11</v>
      </c>
      <c r="E1052" t="s">
        <v>12</v>
      </c>
      <c r="F1052" t="s">
        <v>13</v>
      </c>
      <c r="G1052">
        <v>56.28</v>
      </c>
      <c r="H1052" t="s">
        <v>31</v>
      </c>
      <c r="I1052" t="s">
        <v>37</v>
      </c>
      <c r="J1052">
        <v>4.5</v>
      </c>
      <c r="K1052">
        <v>18</v>
      </c>
      <c r="L1052">
        <f t="shared" si="49"/>
        <v>46.149600000000007</v>
      </c>
      <c r="M1052">
        <v>4</v>
      </c>
      <c r="N1052" t="str">
        <f t="shared" si="50"/>
        <v>Regular</v>
      </c>
    </row>
    <row r="1053" spans="1:14" x14ac:dyDescent="0.35">
      <c r="A1053">
        <v>1052</v>
      </c>
      <c r="B1053">
        <v>31</v>
      </c>
      <c r="C1053" t="str">
        <f t="shared" si="48"/>
        <v>Adult</v>
      </c>
      <c r="D1053" t="s">
        <v>16</v>
      </c>
      <c r="E1053" t="s">
        <v>22</v>
      </c>
      <c r="F1053" t="s">
        <v>23</v>
      </c>
      <c r="G1053">
        <v>211.48</v>
      </c>
      <c r="H1053" t="s">
        <v>19</v>
      </c>
      <c r="I1053" t="s">
        <v>15</v>
      </c>
      <c r="J1053">
        <v>2.8</v>
      </c>
      <c r="K1053">
        <v>9</v>
      </c>
      <c r="L1053">
        <f t="shared" si="49"/>
        <v>192.4468</v>
      </c>
      <c r="M1053">
        <v>2</v>
      </c>
      <c r="N1053" t="str">
        <f t="shared" si="50"/>
        <v>New</v>
      </c>
    </row>
    <row r="1054" spans="1:14" x14ac:dyDescent="0.35">
      <c r="A1054">
        <v>1053</v>
      </c>
      <c r="B1054">
        <v>37</v>
      </c>
      <c r="C1054" t="str">
        <f t="shared" si="48"/>
        <v>Adult</v>
      </c>
      <c r="D1054" t="s">
        <v>11</v>
      </c>
      <c r="E1054" t="s">
        <v>22</v>
      </c>
      <c r="F1054" t="s">
        <v>43</v>
      </c>
      <c r="G1054">
        <v>75.819999999999993</v>
      </c>
      <c r="H1054" t="s">
        <v>24</v>
      </c>
      <c r="I1054" t="s">
        <v>15</v>
      </c>
      <c r="J1054">
        <v>4.3</v>
      </c>
      <c r="K1054">
        <v>12</v>
      </c>
      <c r="L1054">
        <f t="shared" si="49"/>
        <v>66.721599999999995</v>
      </c>
      <c r="M1054">
        <v>1</v>
      </c>
      <c r="N1054" t="str">
        <f t="shared" si="50"/>
        <v>New</v>
      </c>
    </row>
    <row r="1055" spans="1:14" x14ac:dyDescent="0.35">
      <c r="A1055">
        <v>1054</v>
      </c>
      <c r="B1055">
        <v>60</v>
      </c>
      <c r="C1055" t="str">
        <f t="shared" si="48"/>
        <v>Adult</v>
      </c>
      <c r="D1055" t="s">
        <v>11</v>
      </c>
      <c r="E1055" t="s">
        <v>12</v>
      </c>
      <c r="F1055" t="s">
        <v>50</v>
      </c>
      <c r="G1055">
        <v>58.95</v>
      </c>
      <c r="H1055" t="s">
        <v>24</v>
      </c>
      <c r="I1055" t="s">
        <v>37</v>
      </c>
      <c r="J1055">
        <v>3.5</v>
      </c>
      <c r="K1055">
        <v>6</v>
      </c>
      <c r="L1055">
        <f t="shared" si="49"/>
        <v>55.412999999999997</v>
      </c>
      <c r="M1055">
        <v>3</v>
      </c>
      <c r="N1055" t="str">
        <f t="shared" si="50"/>
        <v>New</v>
      </c>
    </row>
    <row r="1056" spans="1:14" x14ac:dyDescent="0.35">
      <c r="A1056">
        <v>1055</v>
      </c>
      <c r="B1056">
        <v>38</v>
      </c>
      <c r="C1056" t="str">
        <f t="shared" si="48"/>
        <v>Adult</v>
      </c>
      <c r="D1056" t="s">
        <v>16</v>
      </c>
      <c r="E1056" t="s">
        <v>27</v>
      </c>
      <c r="F1056" t="s">
        <v>53</v>
      </c>
      <c r="G1056">
        <v>1948.69</v>
      </c>
      <c r="H1056" t="s">
        <v>31</v>
      </c>
      <c r="I1056" t="s">
        <v>15</v>
      </c>
      <c r="J1056">
        <v>2.9</v>
      </c>
      <c r="K1056">
        <v>16</v>
      </c>
      <c r="L1056">
        <f t="shared" si="49"/>
        <v>1636.8996</v>
      </c>
      <c r="M1056">
        <v>8</v>
      </c>
      <c r="N1056" t="str">
        <f t="shared" si="50"/>
        <v>Loyal</v>
      </c>
    </row>
    <row r="1057" spans="1:14" x14ac:dyDescent="0.35">
      <c r="A1057">
        <v>1056</v>
      </c>
      <c r="B1057">
        <v>60</v>
      </c>
      <c r="C1057" t="str">
        <f t="shared" si="48"/>
        <v>Adult</v>
      </c>
      <c r="D1057" t="s">
        <v>16</v>
      </c>
      <c r="E1057" t="s">
        <v>20</v>
      </c>
      <c r="F1057" t="s">
        <v>36</v>
      </c>
      <c r="G1057">
        <v>221.58</v>
      </c>
      <c r="H1057" t="s">
        <v>31</v>
      </c>
      <c r="I1057" t="s">
        <v>15</v>
      </c>
      <c r="J1057">
        <v>3.2</v>
      </c>
      <c r="K1057">
        <v>10</v>
      </c>
      <c r="L1057">
        <f t="shared" si="49"/>
        <v>199.42200000000003</v>
      </c>
      <c r="M1057">
        <v>5</v>
      </c>
      <c r="N1057" t="str">
        <f t="shared" si="50"/>
        <v>Regular</v>
      </c>
    </row>
    <row r="1058" spans="1:14" x14ac:dyDescent="0.35">
      <c r="A1058">
        <v>1057</v>
      </c>
      <c r="B1058">
        <v>40</v>
      </c>
      <c r="C1058" t="str">
        <f t="shared" si="48"/>
        <v>Adult</v>
      </c>
      <c r="D1058" t="s">
        <v>16</v>
      </c>
      <c r="E1058" t="s">
        <v>20</v>
      </c>
      <c r="F1058" t="s">
        <v>21</v>
      </c>
      <c r="G1058">
        <v>194.16</v>
      </c>
      <c r="H1058" t="s">
        <v>24</v>
      </c>
      <c r="I1058" t="s">
        <v>15</v>
      </c>
      <c r="J1058">
        <v>3.9</v>
      </c>
      <c r="K1058">
        <v>21</v>
      </c>
      <c r="L1058">
        <f t="shared" si="49"/>
        <v>153.38640000000001</v>
      </c>
      <c r="M1058">
        <v>8</v>
      </c>
      <c r="N1058" t="str">
        <f t="shared" si="50"/>
        <v>Loyal</v>
      </c>
    </row>
    <row r="1059" spans="1:14" x14ac:dyDescent="0.35">
      <c r="A1059">
        <v>1058</v>
      </c>
      <c r="B1059">
        <v>33</v>
      </c>
      <c r="C1059" t="str">
        <f t="shared" si="48"/>
        <v>Adult</v>
      </c>
      <c r="D1059" t="s">
        <v>11</v>
      </c>
      <c r="E1059" t="s">
        <v>33</v>
      </c>
      <c r="F1059" t="s">
        <v>40</v>
      </c>
      <c r="G1059">
        <v>40.299999999999997</v>
      </c>
      <c r="H1059" t="s">
        <v>24</v>
      </c>
      <c r="I1059" t="s">
        <v>15</v>
      </c>
      <c r="J1059">
        <v>2.5</v>
      </c>
      <c r="K1059">
        <v>22</v>
      </c>
      <c r="L1059">
        <f t="shared" si="49"/>
        <v>31.433999999999997</v>
      </c>
      <c r="M1059">
        <v>6</v>
      </c>
      <c r="N1059" t="str">
        <f t="shared" si="50"/>
        <v>Regular</v>
      </c>
    </row>
    <row r="1060" spans="1:14" x14ac:dyDescent="0.35">
      <c r="A1060">
        <v>1059</v>
      </c>
      <c r="B1060">
        <v>64</v>
      </c>
      <c r="C1060" t="str">
        <f t="shared" si="48"/>
        <v>Senior</v>
      </c>
      <c r="D1060" t="s">
        <v>11</v>
      </c>
      <c r="E1060" t="s">
        <v>41</v>
      </c>
      <c r="F1060" t="s">
        <v>45</v>
      </c>
      <c r="G1060">
        <v>178.98</v>
      </c>
      <c r="H1060" t="s">
        <v>14</v>
      </c>
      <c r="I1060" t="s">
        <v>15</v>
      </c>
      <c r="J1060">
        <v>3.2</v>
      </c>
      <c r="K1060">
        <v>20</v>
      </c>
      <c r="L1060">
        <f t="shared" si="49"/>
        <v>143.184</v>
      </c>
      <c r="M1060">
        <v>5</v>
      </c>
      <c r="N1060" t="str">
        <f t="shared" si="50"/>
        <v>Regular</v>
      </c>
    </row>
    <row r="1061" spans="1:14" x14ac:dyDescent="0.35">
      <c r="A1061">
        <v>1060</v>
      </c>
      <c r="B1061">
        <v>64</v>
      </c>
      <c r="C1061" t="str">
        <f t="shared" si="48"/>
        <v>Senior</v>
      </c>
      <c r="D1061" t="s">
        <v>11</v>
      </c>
      <c r="E1061" t="s">
        <v>41</v>
      </c>
      <c r="F1061" t="s">
        <v>45</v>
      </c>
      <c r="G1061">
        <v>190.01</v>
      </c>
      <c r="H1061" t="s">
        <v>19</v>
      </c>
      <c r="I1061" t="s">
        <v>15</v>
      </c>
      <c r="J1061">
        <v>4.0999999999999996</v>
      </c>
      <c r="K1061">
        <v>18</v>
      </c>
      <c r="L1061">
        <f t="shared" si="49"/>
        <v>155.8082</v>
      </c>
      <c r="M1061">
        <v>9</v>
      </c>
      <c r="N1061" t="str">
        <f t="shared" si="50"/>
        <v>Loyal</v>
      </c>
    </row>
    <row r="1062" spans="1:14" x14ac:dyDescent="0.35">
      <c r="A1062">
        <v>1061</v>
      </c>
      <c r="B1062">
        <v>66</v>
      </c>
      <c r="C1062" t="str">
        <f t="shared" si="48"/>
        <v>Senior</v>
      </c>
      <c r="D1062" t="s">
        <v>11</v>
      </c>
      <c r="E1062" t="s">
        <v>41</v>
      </c>
      <c r="F1062" t="s">
        <v>44</v>
      </c>
      <c r="G1062">
        <v>114.31</v>
      </c>
      <c r="H1062" t="s">
        <v>14</v>
      </c>
      <c r="I1062" t="s">
        <v>15</v>
      </c>
      <c r="J1062">
        <v>5</v>
      </c>
      <c r="K1062">
        <v>8</v>
      </c>
      <c r="L1062">
        <f t="shared" si="49"/>
        <v>105.16520000000001</v>
      </c>
      <c r="M1062">
        <v>4</v>
      </c>
      <c r="N1062" t="str">
        <f t="shared" si="50"/>
        <v>Regular</v>
      </c>
    </row>
    <row r="1063" spans="1:14" x14ac:dyDescent="0.35">
      <c r="A1063">
        <v>1062</v>
      </c>
      <c r="B1063">
        <v>21</v>
      </c>
      <c r="C1063" t="str">
        <f t="shared" si="48"/>
        <v>Youth</v>
      </c>
      <c r="D1063" t="s">
        <v>16</v>
      </c>
      <c r="E1063" t="s">
        <v>17</v>
      </c>
      <c r="F1063" t="s">
        <v>18</v>
      </c>
      <c r="G1063">
        <v>114.03</v>
      </c>
      <c r="H1063" t="s">
        <v>14</v>
      </c>
      <c r="I1063" t="s">
        <v>15</v>
      </c>
      <c r="J1063">
        <v>2.6</v>
      </c>
      <c r="K1063">
        <v>12</v>
      </c>
      <c r="L1063">
        <f t="shared" si="49"/>
        <v>100.3464</v>
      </c>
      <c r="M1063">
        <v>1</v>
      </c>
      <c r="N1063" t="str">
        <f t="shared" si="50"/>
        <v>New</v>
      </c>
    </row>
    <row r="1064" spans="1:14" x14ac:dyDescent="0.35">
      <c r="A1064">
        <v>1063</v>
      </c>
      <c r="B1064">
        <v>49</v>
      </c>
      <c r="C1064" t="str">
        <f t="shared" si="48"/>
        <v>Adult</v>
      </c>
      <c r="D1064" t="s">
        <v>16</v>
      </c>
      <c r="E1064" t="s">
        <v>33</v>
      </c>
      <c r="F1064" t="s">
        <v>34</v>
      </c>
      <c r="G1064">
        <v>106.57</v>
      </c>
      <c r="H1064" t="s">
        <v>14</v>
      </c>
      <c r="I1064" t="s">
        <v>15</v>
      </c>
      <c r="J1064">
        <v>3.2</v>
      </c>
      <c r="K1064">
        <v>8</v>
      </c>
      <c r="L1064">
        <f t="shared" si="49"/>
        <v>98.044399999999996</v>
      </c>
      <c r="M1064">
        <v>4</v>
      </c>
      <c r="N1064" t="str">
        <f t="shared" si="50"/>
        <v>Regular</v>
      </c>
    </row>
    <row r="1065" spans="1:14" x14ac:dyDescent="0.35">
      <c r="A1065">
        <v>1064</v>
      </c>
      <c r="B1065">
        <v>40</v>
      </c>
      <c r="C1065" t="str">
        <f t="shared" si="48"/>
        <v>Adult</v>
      </c>
      <c r="D1065" t="s">
        <v>11</v>
      </c>
      <c r="E1065" t="s">
        <v>29</v>
      </c>
      <c r="F1065" t="s">
        <v>51</v>
      </c>
      <c r="G1065">
        <v>44.46</v>
      </c>
      <c r="H1065" t="s">
        <v>31</v>
      </c>
      <c r="I1065" t="s">
        <v>15</v>
      </c>
      <c r="J1065">
        <v>3.5</v>
      </c>
      <c r="K1065">
        <v>22</v>
      </c>
      <c r="L1065">
        <f t="shared" si="49"/>
        <v>34.678800000000003</v>
      </c>
      <c r="M1065">
        <v>6</v>
      </c>
      <c r="N1065" t="str">
        <f t="shared" si="50"/>
        <v>Regular</v>
      </c>
    </row>
    <row r="1066" spans="1:14" x14ac:dyDescent="0.35">
      <c r="A1066">
        <v>1065</v>
      </c>
      <c r="B1066">
        <v>49</v>
      </c>
      <c r="C1066" t="str">
        <f t="shared" si="48"/>
        <v>Adult</v>
      </c>
      <c r="D1066" t="s">
        <v>11</v>
      </c>
      <c r="E1066" t="s">
        <v>41</v>
      </c>
      <c r="F1066" t="s">
        <v>44</v>
      </c>
      <c r="G1066">
        <v>43.75</v>
      </c>
      <c r="H1066" t="s">
        <v>19</v>
      </c>
      <c r="I1066" t="s">
        <v>15</v>
      </c>
      <c r="J1066">
        <v>3.8</v>
      </c>
      <c r="K1066">
        <v>22</v>
      </c>
      <c r="L1066">
        <f t="shared" si="49"/>
        <v>34.125</v>
      </c>
      <c r="M1066">
        <v>6</v>
      </c>
      <c r="N1066" t="str">
        <f t="shared" si="50"/>
        <v>Regular</v>
      </c>
    </row>
    <row r="1067" spans="1:14" x14ac:dyDescent="0.35">
      <c r="A1067">
        <v>1066</v>
      </c>
      <c r="B1067">
        <v>20</v>
      </c>
      <c r="C1067" t="str">
        <f t="shared" si="48"/>
        <v>Youth</v>
      </c>
      <c r="D1067" t="s">
        <v>16</v>
      </c>
      <c r="E1067" t="s">
        <v>20</v>
      </c>
      <c r="F1067" t="s">
        <v>36</v>
      </c>
      <c r="G1067">
        <v>98.82</v>
      </c>
      <c r="H1067" t="s">
        <v>24</v>
      </c>
      <c r="I1067" t="s">
        <v>15</v>
      </c>
      <c r="J1067">
        <v>3.5</v>
      </c>
      <c r="K1067">
        <v>16</v>
      </c>
      <c r="L1067">
        <f t="shared" si="49"/>
        <v>83.008799999999994</v>
      </c>
      <c r="M1067">
        <v>3</v>
      </c>
      <c r="N1067" t="str">
        <f t="shared" si="50"/>
        <v>New</v>
      </c>
    </row>
    <row r="1068" spans="1:14" x14ac:dyDescent="0.35">
      <c r="A1068">
        <v>1067</v>
      </c>
      <c r="B1068">
        <v>53</v>
      </c>
      <c r="C1068" t="str">
        <f t="shared" si="48"/>
        <v>Adult</v>
      </c>
      <c r="D1068" t="s">
        <v>16</v>
      </c>
      <c r="E1068" t="s">
        <v>17</v>
      </c>
      <c r="F1068" t="s">
        <v>42</v>
      </c>
      <c r="G1068">
        <v>176.35</v>
      </c>
      <c r="H1068" t="s">
        <v>14</v>
      </c>
      <c r="I1068" t="s">
        <v>15</v>
      </c>
      <c r="J1068">
        <v>4</v>
      </c>
      <c r="K1068">
        <v>6</v>
      </c>
      <c r="L1068">
        <f t="shared" si="49"/>
        <v>165.76899999999998</v>
      </c>
      <c r="M1068">
        <v>3</v>
      </c>
      <c r="N1068" t="str">
        <f t="shared" si="50"/>
        <v>New</v>
      </c>
    </row>
    <row r="1069" spans="1:14" x14ac:dyDescent="0.35">
      <c r="A1069">
        <v>1068</v>
      </c>
      <c r="B1069">
        <v>20</v>
      </c>
      <c r="C1069" t="str">
        <f t="shared" si="48"/>
        <v>Youth</v>
      </c>
      <c r="D1069" t="s">
        <v>16</v>
      </c>
      <c r="E1069" t="s">
        <v>27</v>
      </c>
      <c r="F1069" t="s">
        <v>49</v>
      </c>
      <c r="G1069">
        <v>768.38</v>
      </c>
      <c r="H1069" t="s">
        <v>14</v>
      </c>
      <c r="I1069" t="s">
        <v>15</v>
      </c>
      <c r="J1069">
        <v>4.3</v>
      </c>
      <c r="K1069">
        <v>15</v>
      </c>
      <c r="L1069">
        <f t="shared" si="49"/>
        <v>653.12299999999993</v>
      </c>
      <c r="M1069">
        <v>5</v>
      </c>
      <c r="N1069" t="str">
        <f t="shared" si="50"/>
        <v>Regular</v>
      </c>
    </row>
    <row r="1070" spans="1:14" x14ac:dyDescent="0.35">
      <c r="A1070">
        <v>1069</v>
      </c>
      <c r="B1070">
        <v>58</v>
      </c>
      <c r="C1070" t="str">
        <f t="shared" si="48"/>
        <v>Adult</v>
      </c>
      <c r="D1070" t="s">
        <v>16</v>
      </c>
      <c r="E1070" t="s">
        <v>27</v>
      </c>
      <c r="F1070" t="s">
        <v>49</v>
      </c>
      <c r="G1070">
        <v>2823.73</v>
      </c>
      <c r="H1070" t="s">
        <v>19</v>
      </c>
      <c r="I1070" t="s">
        <v>15</v>
      </c>
      <c r="J1070">
        <v>4.5</v>
      </c>
      <c r="K1070">
        <v>20</v>
      </c>
      <c r="L1070">
        <f t="shared" si="49"/>
        <v>2258.9839999999999</v>
      </c>
      <c r="M1070">
        <v>5</v>
      </c>
      <c r="N1070" t="str">
        <f t="shared" si="50"/>
        <v>Regular</v>
      </c>
    </row>
    <row r="1071" spans="1:14" x14ac:dyDescent="0.35">
      <c r="A1071">
        <v>1070</v>
      </c>
      <c r="B1071">
        <v>53</v>
      </c>
      <c r="C1071" t="str">
        <f t="shared" si="48"/>
        <v>Adult</v>
      </c>
      <c r="D1071" t="s">
        <v>16</v>
      </c>
      <c r="E1071" t="s">
        <v>20</v>
      </c>
      <c r="F1071" t="s">
        <v>36</v>
      </c>
      <c r="G1071">
        <v>33.24</v>
      </c>
      <c r="H1071" t="s">
        <v>14</v>
      </c>
      <c r="I1071" t="s">
        <v>37</v>
      </c>
      <c r="J1071">
        <v>4.0999999999999996</v>
      </c>
      <c r="K1071">
        <v>22</v>
      </c>
      <c r="L1071">
        <f t="shared" si="49"/>
        <v>25.927200000000003</v>
      </c>
      <c r="M1071">
        <v>6</v>
      </c>
      <c r="N1071" t="str">
        <f t="shared" si="50"/>
        <v>Regular</v>
      </c>
    </row>
    <row r="1072" spans="1:14" x14ac:dyDescent="0.35">
      <c r="A1072">
        <v>1071</v>
      </c>
      <c r="B1072">
        <v>38</v>
      </c>
      <c r="C1072" t="str">
        <f t="shared" si="48"/>
        <v>Adult</v>
      </c>
      <c r="D1072" t="s">
        <v>11</v>
      </c>
      <c r="E1072" t="s">
        <v>12</v>
      </c>
      <c r="F1072" t="s">
        <v>56</v>
      </c>
      <c r="G1072">
        <v>150.79</v>
      </c>
      <c r="H1072" t="s">
        <v>14</v>
      </c>
      <c r="I1072" t="s">
        <v>15</v>
      </c>
      <c r="J1072">
        <v>2.7</v>
      </c>
      <c r="K1072">
        <v>10</v>
      </c>
      <c r="L1072">
        <f t="shared" si="49"/>
        <v>135.71099999999998</v>
      </c>
      <c r="M1072">
        <v>5</v>
      </c>
      <c r="N1072" t="str">
        <f t="shared" si="50"/>
        <v>Regular</v>
      </c>
    </row>
    <row r="1073" spans="1:14" x14ac:dyDescent="0.35">
      <c r="A1073">
        <v>1072</v>
      </c>
      <c r="B1073">
        <v>65</v>
      </c>
      <c r="C1073" t="str">
        <f t="shared" si="48"/>
        <v>Senior</v>
      </c>
      <c r="D1073" t="s">
        <v>16</v>
      </c>
      <c r="E1073" t="s">
        <v>20</v>
      </c>
      <c r="F1073" t="s">
        <v>36</v>
      </c>
      <c r="G1073">
        <v>208.78</v>
      </c>
      <c r="H1073" t="s">
        <v>14</v>
      </c>
      <c r="I1073" t="s">
        <v>15</v>
      </c>
      <c r="J1073">
        <v>4.3</v>
      </c>
      <c r="K1073">
        <v>20</v>
      </c>
      <c r="L1073">
        <f t="shared" si="49"/>
        <v>167.024</v>
      </c>
      <c r="M1073">
        <v>5</v>
      </c>
      <c r="N1073" t="str">
        <f t="shared" si="50"/>
        <v>Regular</v>
      </c>
    </row>
    <row r="1074" spans="1:14" x14ac:dyDescent="0.35">
      <c r="A1074">
        <v>1073</v>
      </c>
      <c r="B1074">
        <v>22</v>
      </c>
      <c r="C1074" t="str">
        <f t="shared" si="48"/>
        <v>Youth</v>
      </c>
      <c r="D1074" t="s">
        <v>11</v>
      </c>
      <c r="E1074" t="s">
        <v>12</v>
      </c>
      <c r="F1074" t="s">
        <v>13</v>
      </c>
      <c r="G1074">
        <v>80.5</v>
      </c>
      <c r="H1074" t="s">
        <v>31</v>
      </c>
      <c r="I1074" t="s">
        <v>15</v>
      </c>
      <c r="J1074">
        <v>4</v>
      </c>
      <c r="K1074">
        <v>16</v>
      </c>
      <c r="L1074">
        <f t="shared" si="49"/>
        <v>67.62</v>
      </c>
      <c r="M1074">
        <v>3</v>
      </c>
      <c r="N1074" t="str">
        <f t="shared" si="50"/>
        <v>New</v>
      </c>
    </row>
    <row r="1075" spans="1:14" x14ac:dyDescent="0.35">
      <c r="A1075">
        <v>1074</v>
      </c>
      <c r="B1075">
        <v>60</v>
      </c>
      <c r="C1075" t="str">
        <f t="shared" si="48"/>
        <v>Adult</v>
      </c>
      <c r="D1075" t="s">
        <v>16</v>
      </c>
      <c r="E1075" t="s">
        <v>20</v>
      </c>
      <c r="F1075" t="s">
        <v>39</v>
      </c>
      <c r="G1075">
        <v>139.63999999999999</v>
      </c>
      <c r="H1075" t="s">
        <v>14</v>
      </c>
      <c r="I1075" t="s">
        <v>15</v>
      </c>
      <c r="J1075">
        <v>4</v>
      </c>
      <c r="K1075">
        <v>26</v>
      </c>
      <c r="L1075">
        <f t="shared" si="49"/>
        <v>103.33359999999999</v>
      </c>
      <c r="M1075">
        <v>8</v>
      </c>
      <c r="N1075" t="str">
        <f t="shared" si="50"/>
        <v>Loyal</v>
      </c>
    </row>
    <row r="1076" spans="1:14" x14ac:dyDescent="0.35">
      <c r="A1076">
        <v>1075</v>
      </c>
      <c r="B1076">
        <v>32</v>
      </c>
      <c r="C1076" t="str">
        <f t="shared" si="48"/>
        <v>Adult</v>
      </c>
      <c r="D1076" t="s">
        <v>11</v>
      </c>
      <c r="E1076" t="s">
        <v>29</v>
      </c>
      <c r="F1076" t="s">
        <v>55</v>
      </c>
      <c r="G1076">
        <v>105.08</v>
      </c>
      <c r="H1076" t="s">
        <v>19</v>
      </c>
      <c r="I1076" t="s">
        <v>15</v>
      </c>
      <c r="J1076">
        <v>3</v>
      </c>
      <c r="K1076">
        <v>13</v>
      </c>
      <c r="L1076">
        <f t="shared" si="49"/>
        <v>91.419600000000003</v>
      </c>
      <c r="M1076">
        <v>4</v>
      </c>
      <c r="N1076" t="str">
        <f t="shared" si="50"/>
        <v>Regular</v>
      </c>
    </row>
    <row r="1077" spans="1:14" x14ac:dyDescent="0.35">
      <c r="A1077">
        <v>1076</v>
      </c>
      <c r="B1077">
        <v>47</v>
      </c>
      <c r="C1077" t="str">
        <f t="shared" si="48"/>
        <v>Adult</v>
      </c>
      <c r="D1077" t="s">
        <v>16</v>
      </c>
      <c r="E1077" t="s">
        <v>25</v>
      </c>
      <c r="F1077" t="s">
        <v>54</v>
      </c>
      <c r="G1077">
        <v>73.92</v>
      </c>
      <c r="H1077" t="s">
        <v>19</v>
      </c>
      <c r="I1077" t="s">
        <v>37</v>
      </c>
      <c r="J1077">
        <v>3.5</v>
      </c>
      <c r="K1077">
        <v>9</v>
      </c>
      <c r="L1077">
        <f t="shared" si="49"/>
        <v>67.267200000000003</v>
      </c>
      <c r="M1077">
        <v>2</v>
      </c>
      <c r="N1077" t="str">
        <f t="shared" si="50"/>
        <v>New</v>
      </c>
    </row>
    <row r="1078" spans="1:14" x14ac:dyDescent="0.35">
      <c r="A1078">
        <v>1077</v>
      </c>
      <c r="B1078">
        <v>48</v>
      </c>
      <c r="C1078" t="str">
        <f t="shared" si="48"/>
        <v>Adult</v>
      </c>
      <c r="D1078" t="s">
        <v>16</v>
      </c>
      <c r="E1078" t="s">
        <v>27</v>
      </c>
      <c r="F1078" t="s">
        <v>32</v>
      </c>
      <c r="G1078">
        <v>2738.51</v>
      </c>
      <c r="H1078" t="s">
        <v>31</v>
      </c>
      <c r="I1078" t="s">
        <v>15</v>
      </c>
      <c r="J1078">
        <v>3.5</v>
      </c>
      <c r="K1078">
        <v>11</v>
      </c>
      <c r="L1078">
        <f t="shared" si="49"/>
        <v>2437.2739000000001</v>
      </c>
      <c r="M1078">
        <v>3</v>
      </c>
      <c r="N1078" t="str">
        <f t="shared" si="50"/>
        <v>New</v>
      </c>
    </row>
    <row r="1079" spans="1:14" x14ac:dyDescent="0.35">
      <c r="A1079">
        <v>1078</v>
      </c>
      <c r="B1079">
        <v>69</v>
      </c>
      <c r="C1079" t="str">
        <f t="shared" si="48"/>
        <v>Senior</v>
      </c>
      <c r="D1079" t="s">
        <v>16</v>
      </c>
      <c r="E1079" t="s">
        <v>27</v>
      </c>
      <c r="F1079" t="s">
        <v>32</v>
      </c>
      <c r="G1079">
        <v>1627.36</v>
      </c>
      <c r="H1079" t="s">
        <v>19</v>
      </c>
      <c r="I1079" t="s">
        <v>15</v>
      </c>
      <c r="J1079">
        <v>3.5</v>
      </c>
      <c r="K1079">
        <v>18</v>
      </c>
      <c r="L1079">
        <f t="shared" si="49"/>
        <v>1334.4352000000001</v>
      </c>
      <c r="M1079">
        <v>4</v>
      </c>
      <c r="N1079" t="str">
        <f t="shared" si="50"/>
        <v>Regular</v>
      </c>
    </row>
    <row r="1080" spans="1:14" x14ac:dyDescent="0.35">
      <c r="A1080">
        <v>1079</v>
      </c>
      <c r="B1080">
        <v>64</v>
      </c>
      <c r="C1080" t="str">
        <f t="shared" si="48"/>
        <v>Senior</v>
      </c>
      <c r="D1080" t="s">
        <v>16</v>
      </c>
      <c r="E1080" t="s">
        <v>25</v>
      </c>
      <c r="F1080" t="s">
        <v>26</v>
      </c>
      <c r="G1080">
        <v>44.35</v>
      </c>
      <c r="H1080" t="s">
        <v>19</v>
      </c>
      <c r="I1080" t="s">
        <v>37</v>
      </c>
      <c r="J1080">
        <v>3.4</v>
      </c>
      <c r="K1080">
        <v>15</v>
      </c>
      <c r="L1080">
        <f t="shared" si="49"/>
        <v>37.697499999999998</v>
      </c>
      <c r="M1080">
        <v>5</v>
      </c>
      <c r="N1080" t="str">
        <f t="shared" si="50"/>
        <v>Regular</v>
      </c>
    </row>
    <row r="1081" spans="1:14" x14ac:dyDescent="0.35">
      <c r="A1081">
        <v>1080</v>
      </c>
      <c r="B1081">
        <v>51</v>
      </c>
      <c r="C1081" t="str">
        <f t="shared" si="48"/>
        <v>Adult</v>
      </c>
      <c r="D1081" t="s">
        <v>16</v>
      </c>
      <c r="E1081" t="s">
        <v>25</v>
      </c>
      <c r="F1081" t="s">
        <v>57</v>
      </c>
      <c r="G1081">
        <v>67.37</v>
      </c>
      <c r="H1081" t="s">
        <v>24</v>
      </c>
      <c r="I1081" t="s">
        <v>37</v>
      </c>
      <c r="J1081">
        <v>3.6</v>
      </c>
      <c r="K1081">
        <v>22</v>
      </c>
      <c r="L1081">
        <f t="shared" si="49"/>
        <v>52.548600000000008</v>
      </c>
      <c r="M1081">
        <v>6</v>
      </c>
      <c r="N1081" t="str">
        <f t="shared" si="50"/>
        <v>Regular</v>
      </c>
    </row>
    <row r="1082" spans="1:14" x14ac:dyDescent="0.35">
      <c r="A1082">
        <v>1081</v>
      </c>
      <c r="B1082">
        <v>55</v>
      </c>
      <c r="C1082" t="str">
        <f t="shared" si="48"/>
        <v>Adult</v>
      </c>
      <c r="D1082" t="s">
        <v>11</v>
      </c>
      <c r="E1082" t="s">
        <v>29</v>
      </c>
      <c r="F1082" t="s">
        <v>30</v>
      </c>
      <c r="G1082">
        <v>51.63</v>
      </c>
      <c r="H1082" t="s">
        <v>14</v>
      </c>
      <c r="I1082" t="s">
        <v>15</v>
      </c>
      <c r="J1082">
        <v>4.5999999999999996</v>
      </c>
      <c r="K1082">
        <v>18</v>
      </c>
      <c r="L1082">
        <f t="shared" si="49"/>
        <v>42.336600000000004</v>
      </c>
      <c r="M1082">
        <v>4</v>
      </c>
      <c r="N1082" t="str">
        <f t="shared" si="50"/>
        <v>Regular</v>
      </c>
    </row>
    <row r="1083" spans="1:14" x14ac:dyDescent="0.35">
      <c r="A1083">
        <v>1082</v>
      </c>
      <c r="B1083">
        <v>62</v>
      </c>
      <c r="C1083" t="str">
        <f t="shared" si="48"/>
        <v>Senior</v>
      </c>
      <c r="D1083" t="s">
        <v>16</v>
      </c>
      <c r="E1083" t="s">
        <v>20</v>
      </c>
      <c r="F1083" t="s">
        <v>21</v>
      </c>
      <c r="G1083">
        <v>202.1</v>
      </c>
      <c r="H1083" t="s">
        <v>31</v>
      </c>
      <c r="I1083" t="s">
        <v>15</v>
      </c>
      <c r="J1083">
        <v>2.2000000000000002</v>
      </c>
      <c r="K1083">
        <v>20</v>
      </c>
      <c r="L1083">
        <f t="shared" si="49"/>
        <v>161.68</v>
      </c>
      <c r="M1083">
        <v>5</v>
      </c>
      <c r="N1083" t="str">
        <f t="shared" si="50"/>
        <v>Regular</v>
      </c>
    </row>
    <row r="1084" spans="1:14" x14ac:dyDescent="0.35">
      <c r="A1084">
        <v>1083</v>
      </c>
      <c r="B1084">
        <v>52</v>
      </c>
      <c r="C1084" t="str">
        <f t="shared" si="48"/>
        <v>Adult</v>
      </c>
      <c r="D1084" t="s">
        <v>11</v>
      </c>
      <c r="E1084" t="s">
        <v>33</v>
      </c>
      <c r="F1084" t="s">
        <v>40</v>
      </c>
      <c r="G1084">
        <v>86.78</v>
      </c>
      <c r="H1084" t="s">
        <v>19</v>
      </c>
      <c r="I1084" t="s">
        <v>37</v>
      </c>
      <c r="J1084">
        <v>4</v>
      </c>
      <c r="K1084">
        <v>20</v>
      </c>
      <c r="L1084">
        <f t="shared" si="49"/>
        <v>69.424000000000007</v>
      </c>
      <c r="M1084">
        <v>5</v>
      </c>
      <c r="N1084" t="str">
        <f t="shared" si="50"/>
        <v>Regular</v>
      </c>
    </row>
    <row r="1085" spans="1:14" x14ac:dyDescent="0.35">
      <c r="A1085">
        <v>1084</v>
      </c>
      <c r="B1085">
        <v>41</v>
      </c>
      <c r="C1085" t="str">
        <f t="shared" si="48"/>
        <v>Adult</v>
      </c>
      <c r="D1085" t="s">
        <v>16</v>
      </c>
      <c r="E1085" t="s">
        <v>33</v>
      </c>
      <c r="F1085" t="s">
        <v>34</v>
      </c>
      <c r="G1085">
        <v>82.05</v>
      </c>
      <c r="H1085" t="s">
        <v>31</v>
      </c>
      <c r="I1085" t="s">
        <v>15</v>
      </c>
      <c r="J1085">
        <v>4.0999999999999996</v>
      </c>
      <c r="K1085">
        <v>20</v>
      </c>
      <c r="L1085">
        <f t="shared" si="49"/>
        <v>65.64</v>
      </c>
      <c r="M1085">
        <v>5</v>
      </c>
      <c r="N1085" t="str">
        <f t="shared" si="50"/>
        <v>Regular</v>
      </c>
    </row>
    <row r="1086" spans="1:14" x14ac:dyDescent="0.35">
      <c r="A1086">
        <v>1085</v>
      </c>
      <c r="B1086">
        <v>27</v>
      </c>
      <c r="C1086" t="str">
        <f t="shared" si="48"/>
        <v>Youth</v>
      </c>
      <c r="D1086" t="s">
        <v>11</v>
      </c>
      <c r="E1086" t="s">
        <v>29</v>
      </c>
      <c r="F1086" t="s">
        <v>30</v>
      </c>
      <c r="G1086">
        <v>24.02</v>
      </c>
      <c r="H1086" t="s">
        <v>24</v>
      </c>
      <c r="I1086" t="s">
        <v>37</v>
      </c>
      <c r="J1086">
        <v>4.3</v>
      </c>
      <c r="K1086">
        <v>14</v>
      </c>
      <c r="L1086">
        <f t="shared" si="49"/>
        <v>20.6572</v>
      </c>
      <c r="M1086">
        <v>2</v>
      </c>
      <c r="N1086" t="str">
        <f t="shared" si="50"/>
        <v>New</v>
      </c>
    </row>
    <row r="1087" spans="1:14" x14ac:dyDescent="0.35">
      <c r="A1087">
        <v>1086</v>
      </c>
      <c r="B1087">
        <v>29</v>
      </c>
      <c r="C1087" t="str">
        <f t="shared" si="48"/>
        <v>Youth</v>
      </c>
      <c r="D1087" t="s">
        <v>11</v>
      </c>
      <c r="E1087" t="s">
        <v>41</v>
      </c>
      <c r="F1087" t="s">
        <v>45</v>
      </c>
      <c r="G1087">
        <v>45.21</v>
      </c>
      <c r="H1087" t="s">
        <v>19</v>
      </c>
      <c r="I1087" t="s">
        <v>15</v>
      </c>
      <c r="J1087">
        <v>3.9</v>
      </c>
      <c r="K1087">
        <v>25</v>
      </c>
      <c r="L1087">
        <f t="shared" si="49"/>
        <v>33.907499999999999</v>
      </c>
      <c r="M1087">
        <v>10</v>
      </c>
      <c r="N1087" t="str">
        <f t="shared" si="50"/>
        <v>Loyal</v>
      </c>
    </row>
    <row r="1088" spans="1:14" x14ac:dyDescent="0.35">
      <c r="A1088">
        <v>1087</v>
      </c>
      <c r="B1088">
        <v>66</v>
      </c>
      <c r="C1088" t="str">
        <f t="shared" si="48"/>
        <v>Senior</v>
      </c>
      <c r="D1088" t="s">
        <v>16</v>
      </c>
      <c r="E1088" t="s">
        <v>33</v>
      </c>
      <c r="F1088" t="s">
        <v>38</v>
      </c>
      <c r="G1088">
        <v>239.97</v>
      </c>
      <c r="H1088" t="s">
        <v>19</v>
      </c>
      <c r="I1088" t="s">
        <v>15</v>
      </c>
      <c r="J1088">
        <v>4.7</v>
      </c>
      <c r="K1088">
        <v>17</v>
      </c>
      <c r="L1088">
        <f t="shared" si="49"/>
        <v>199.17509999999999</v>
      </c>
      <c r="M1088">
        <v>6</v>
      </c>
      <c r="N1088" t="str">
        <f t="shared" si="50"/>
        <v>Regular</v>
      </c>
    </row>
    <row r="1089" spans="1:14" x14ac:dyDescent="0.35">
      <c r="A1089">
        <v>1088</v>
      </c>
      <c r="B1089">
        <v>67</v>
      </c>
      <c r="C1089" t="str">
        <f t="shared" si="48"/>
        <v>Senior</v>
      </c>
      <c r="D1089" t="s">
        <v>16</v>
      </c>
      <c r="E1089" t="s">
        <v>20</v>
      </c>
      <c r="F1089" t="s">
        <v>21</v>
      </c>
      <c r="G1089">
        <v>117.03</v>
      </c>
      <c r="H1089" t="s">
        <v>19</v>
      </c>
      <c r="I1089" t="s">
        <v>15</v>
      </c>
      <c r="J1089">
        <v>3.4</v>
      </c>
      <c r="K1089">
        <v>4</v>
      </c>
      <c r="L1089">
        <f t="shared" si="49"/>
        <v>112.3488</v>
      </c>
      <c r="M1089">
        <v>2</v>
      </c>
      <c r="N1089" t="str">
        <f t="shared" si="50"/>
        <v>New</v>
      </c>
    </row>
    <row r="1090" spans="1:14" x14ac:dyDescent="0.35">
      <c r="A1090">
        <v>1089</v>
      </c>
      <c r="B1090">
        <v>44</v>
      </c>
      <c r="C1090" t="str">
        <f t="shared" si="48"/>
        <v>Adult</v>
      </c>
      <c r="D1090" t="s">
        <v>11</v>
      </c>
      <c r="E1090" t="s">
        <v>22</v>
      </c>
      <c r="F1090" t="s">
        <v>52</v>
      </c>
      <c r="G1090">
        <v>121.22</v>
      </c>
      <c r="H1090" t="s">
        <v>24</v>
      </c>
      <c r="I1090" t="s">
        <v>15</v>
      </c>
      <c r="J1090">
        <v>4.7</v>
      </c>
      <c r="K1090">
        <v>6</v>
      </c>
      <c r="L1090">
        <f t="shared" si="49"/>
        <v>113.9468</v>
      </c>
      <c r="M1090">
        <v>3</v>
      </c>
      <c r="N1090" t="str">
        <f t="shared" si="50"/>
        <v>New</v>
      </c>
    </row>
    <row r="1091" spans="1:14" x14ac:dyDescent="0.35">
      <c r="A1091">
        <v>1090</v>
      </c>
      <c r="B1091">
        <v>26</v>
      </c>
      <c r="C1091" t="str">
        <f t="shared" ref="C1091:C1154" si="51">IF(B1091&lt;=30,"Youth",IF(B1091&lt;=45,"Adult",IF(B1091&lt;=60,"Adult","Senior")))</f>
        <v>Youth</v>
      </c>
      <c r="D1091" t="s">
        <v>16</v>
      </c>
      <c r="E1091" t="s">
        <v>22</v>
      </c>
      <c r="F1091" t="s">
        <v>52</v>
      </c>
      <c r="G1091">
        <v>155.63</v>
      </c>
      <c r="H1091" t="s">
        <v>14</v>
      </c>
      <c r="I1091" t="s">
        <v>15</v>
      </c>
      <c r="J1091">
        <v>3.2</v>
      </c>
      <c r="K1091">
        <v>20</v>
      </c>
      <c r="L1091">
        <f t="shared" ref="L1091:L1154" si="52">G1091*(1-K1091/100)</f>
        <v>124.504</v>
      </c>
      <c r="M1091">
        <v>5</v>
      </c>
      <c r="N1091" t="str">
        <f t="shared" ref="N1091:N1154" si="53">IF(M1091&lt;=3,"New",IF(M1091&lt;=7,"Regular","Loyal"))</f>
        <v>Regular</v>
      </c>
    </row>
    <row r="1092" spans="1:14" x14ac:dyDescent="0.35">
      <c r="A1092">
        <v>1091</v>
      </c>
      <c r="B1092">
        <v>64</v>
      </c>
      <c r="C1092" t="str">
        <f t="shared" si="51"/>
        <v>Senior</v>
      </c>
      <c r="D1092" t="s">
        <v>16</v>
      </c>
      <c r="E1092" t="s">
        <v>33</v>
      </c>
      <c r="F1092" t="s">
        <v>40</v>
      </c>
      <c r="G1092">
        <v>133.61000000000001</v>
      </c>
      <c r="H1092" t="s">
        <v>31</v>
      </c>
      <c r="I1092" t="s">
        <v>15</v>
      </c>
      <c r="J1092">
        <v>4.5999999999999996</v>
      </c>
      <c r="K1092">
        <v>10</v>
      </c>
      <c r="L1092">
        <f t="shared" si="52"/>
        <v>120.24900000000001</v>
      </c>
      <c r="M1092">
        <v>5</v>
      </c>
      <c r="N1092" t="str">
        <f t="shared" si="53"/>
        <v>Regular</v>
      </c>
    </row>
    <row r="1093" spans="1:14" x14ac:dyDescent="0.35">
      <c r="A1093">
        <v>1092</v>
      </c>
      <c r="B1093">
        <v>39</v>
      </c>
      <c r="C1093" t="str">
        <f t="shared" si="51"/>
        <v>Adult</v>
      </c>
      <c r="D1093" t="s">
        <v>16</v>
      </c>
      <c r="E1093" t="s">
        <v>17</v>
      </c>
      <c r="F1093" t="s">
        <v>35</v>
      </c>
      <c r="G1093">
        <v>136.87</v>
      </c>
      <c r="H1093" t="s">
        <v>24</v>
      </c>
      <c r="I1093" t="s">
        <v>15</v>
      </c>
      <c r="J1093">
        <v>5</v>
      </c>
      <c r="K1093">
        <v>17</v>
      </c>
      <c r="L1093">
        <f t="shared" si="52"/>
        <v>113.60209999999999</v>
      </c>
      <c r="M1093">
        <v>6</v>
      </c>
      <c r="N1093" t="str">
        <f t="shared" si="53"/>
        <v>Regular</v>
      </c>
    </row>
    <row r="1094" spans="1:14" x14ac:dyDescent="0.35">
      <c r="A1094">
        <v>1093</v>
      </c>
      <c r="B1094">
        <v>24</v>
      </c>
      <c r="C1094" t="str">
        <f t="shared" si="51"/>
        <v>Youth</v>
      </c>
      <c r="D1094" t="s">
        <v>11</v>
      </c>
      <c r="E1094" t="s">
        <v>29</v>
      </c>
      <c r="F1094" t="s">
        <v>51</v>
      </c>
      <c r="G1094">
        <v>61.18</v>
      </c>
      <c r="H1094" t="s">
        <v>19</v>
      </c>
      <c r="I1094" t="s">
        <v>37</v>
      </c>
      <c r="J1094">
        <v>3.1</v>
      </c>
      <c r="K1094">
        <v>12</v>
      </c>
      <c r="L1094">
        <f t="shared" si="52"/>
        <v>53.8384</v>
      </c>
      <c r="M1094">
        <v>6</v>
      </c>
      <c r="N1094" t="str">
        <f t="shared" si="53"/>
        <v>Regular</v>
      </c>
    </row>
    <row r="1095" spans="1:14" x14ac:dyDescent="0.35">
      <c r="A1095">
        <v>1094</v>
      </c>
      <c r="B1095">
        <v>22</v>
      </c>
      <c r="C1095" t="str">
        <f t="shared" si="51"/>
        <v>Youth</v>
      </c>
      <c r="D1095" t="s">
        <v>11</v>
      </c>
      <c r="E1095" t="s">
        <v>29</v>
      </c>
      <c r="F1095" t="s">
        <v>51</v>
      </c>
      <c r="G1095">
        <v>52.42</v>
      </c>
      <c r="H1095" t="s">
        <v>31</v>
      </c>
      <c r="I1095" t="s">
        <v>37</v>
      </c>
      <c r="J1095">
        <v>4.4000000000000004</v>
      </c>
      <c r="K1095">
        <v>10</v>
      </c>
      <c r="L1095">
        <f t="shared" si="52"/>
        <v>47.178000000000004</v>
      </c>
      <c r="M1095">
        <v>5</v>
      </c>
      <c r="N1095" t="str">
        <f t="shared" si="53"/>
        <v>Regular</v>
      </c>
    </row>
    <row r="1096" spans="1:14" x14ac:dyDescent="0.35">
      <c r="A1096">
        <v>1095</v>
      </c>
      <c r="B1096">
        <v>64</v>
      </c>
      <c r="C1096" t="str">
        <f t="shared" si="51"/>
        <v>Senior</v>
      </c>
      <c r="D1096" t="s">
        <v>11</v>
      </c>
      <c r="E1096" t="s">
        <v>20</v>
      </c>
      <c r="F1096" t="s">
        <v>21</v>
      </c>
      <c r="G1096">
        <v>64.47</v>
      </c>
      <c r="H1096" t="s">
        <v>14</v>
      </c>
      <c r="I1096" t="s">
        <v>15</v>
      </c>
      <c r="J1096">
        <v>2.8</v>
      </c>
      <c r="K1096">
        <v>16</v>
      </c>
      <c r="L1096">
        <f t="shared" si="52"/>
        <v>54.154799999999994</v>
      </c>
      <c r="M1096">
        <v>3</v>
      </c>
      <c r="N1096" t="str">
        <f t="shared" si="53"/>
        <v>New</v>
      </c>
    </row>
    <row r="1097" spans="1:14" x14ac:dyDescent="0.35">
      <c r="A1097">
        <v>1096</v>
      </c>
      <c r="B1097">
        <v>41</v>
      </c>
      <c r="C1097" t="str">
        <f t="shared" si="51"/>
        <v>Adult</v>
      </c>
      <c r="D1097" t="s">
        <v>16</v>
      </c>
      <c r="E1097" t="s">
        <v>17</v>
      </c>
      <c r="F1097" t="s">
        <v>42</v>
      </c>
      <c r="G1097">
        <v>72.23</v>
      </c>
      <c r="H1097" t="s">
        <v>14</v>
      </c>
      <c r="I1097" t="s">
        <v>37</v>
      </c>
      <c r="J1097">
        <v>3.6</v>
      </c>
      <c r="K1097">
        <v>11</v>
      </c>
      <c r="L1097">
        <f t="shared" si="52"/>
        <v>64.284700000000001</v>
      </c>
      <c r="M1097">
        <v>3</v>
      </c>
      <c r="N1097" t="str">
        <f t="shared" si="53"/>
        <v>New</v>
      </c>
    </row>
    <row r="1098" spans="1:14" x14ac:dyDescent="0.35">
      <c r="A1098">
        <v>1097</v>
      </c>
      <c r="B1098">
        <v>55</v>
      </c>
      <c r="C1098" t="str">
        <f t="shared" si="51"/>
        <v>Adult</v>
      </c>
      <c r="D1098" t="s">
        <v>16</v>
      </c>
      <c r="E1098" t="s">
        <v>17</v>
      </c>
      <c r="F1098" t="s">
        <v>42</v>
      </c>
      <c r="G1098">
        <v>121.35</v>
      </c>
      <c r="H1098" t="s">
        <v>31</v>
      </c>
      <c r="I1098" t="s">
        <v>15</v>
      </c>
      <c r="J1098">
        <v>3.4</v>
      </c>
      <c r="K1098">
        <v>10</v>
      </c>
      <c r="L1098">
        <f t="shared" si="52"/>
        <v>109.215</v>
      </c>
      <c r="M1098">
        <v>5</v>
      </c>
      <c r="N1098" t="str">
        <f t="shared" si="53"/>
        <v>Regular</v>
      </c>
    </row>
    <row r="1099" spans="1:14" x14ac:dyDescent="0.35">
      <c r="A1099">
        <v>1098</v>
      </c>
      <c r="B1099">
        <v>23</v>
      </c>
      <c r="C1099" t="str">
        <f t="shared" si="51"/>
        <v>Youth</v>
      </c>
      <c r="D1099" t="s">
        <v>11</v>
      </c>
      <c r="E1099" t="s">
        <v>12</v>
      </c>
      <c r="F1099" t="s">
        <v>50</v>
      </c>
      <c r="G1099">
        <v>117.09</v>
      </c>
      <c r="H1099" t="s">
        <v>19</v>
      </c>
      <c r="I1099" t="s">
        <v>15</v>
      </c>
      <c r="J1099">
        <v>3.4</v>
      </c>
      <c r="K1099">
        <v>4</v>
      </c>
      <c r="L1099">
        <f t="shared" si="52"/>
        <v>112.4064</v>
      </c>
      <c r="M1099">
        <v>2</v>
      </c>
      <c r="N1099" t="str">
        <f t="shared" si="53"/>
        <v>New</v>
      </c>
    </row>
    <row r="1100" spans="1:14" x14ac:dyDescent="0.35">
      <c r="A1100">
        <v>1099</v>
      </c>
      <c r="B1100">
        <v>70</v>
      </c>
      <c r="C1100" t="str">
        <f t="shared" si="51"/>
        <v>Senior</v>
      </c>
      <c r="D1100" t="s">
        <v>16</v>
      </c>
      <c r="E1100" t="s">
        <v>17</v>
      </c>
      <c r="F1100" t="s">
        <v>48</v>
      </c>
      <c r="G1100">
        <v>190.63</v>
      </c>
      <c r="H1100" t="s">
        <v>31</v>
      </c>
      <c r="I1100" t="s">
        <v>15</v>
      </c>
      <c r="J1100">
        <v>3.7</v>
      </c>
      <c r="K1100">
        <v>2</v>
      </c>
      <c r="L1100">
        <f t="shared" si="52"/>
        <v>186.81739999999999</v>
      </c>
      <c r="M1100">
        <v>1</v>
      </c>
      <c r="N1100" t="str">
        <f t="shared" si="53"/>
        <v>New</v>
      </c>
    </row>
    <row r="1101" spans="1:14" x14ac:dyDescent="0.35">
      <c r="A1101">
        <v>1100</v>
      </c>
      <c r="B1101">
        <v>57</v>
      </c>
      <c r="C1101" t="str">
        <f t="shared" si="51"/>
        <v>Adult</v>
      </c>
      <c r="D1101" t="s">
        <v>16</v>
      </c>
      <c r="E1101" t="s">
        <v>17</v>
      </c>
      <c r="F1101" t="s">
        <v>48</v>
      </c>
      <c r="G1101">
        <v>53.94</v>
      </c>
      <c r="H1101" t="s">
        <v>31</v>
      </c>
      <c r="I1101" t="s">
        <v>37</v>
      </c>
      <c r="J1101">
        <v>3.7</v>
      </c>
      <c r="K1101">
        <v>17</v>
      </c>
      <c r="L1101">
        <f t="shared" si="52"/>
        <v>44.770199999999996</v>
      </c>
      <c r="M1101">
        <v>6</v>
      </c>
      <c r="N1101" t="str">
        <f t="shared" si="53"/>
        <v>Regular</v>
      </c>
    </row>
    <row r="1102" spans="1:14" x14ac:dyDescent="0.35">
      <c r="A1102">
        <v>1101</v>
      </c>
      <c r="B1102">
        <v>26</v>
      </c>
      <c r="C1102" t="str">
        <f t="shared" si="51"/>
        <v>Youth</v>
      </c>
      <c r="D1102" t="s">
        <v>11</v>
      </c>
      <c r="E1102" t="s">
        <v>12</v>
      </c>
      <c r="F1102" t="s">
        <v>13</v>
      </c>
      <c r="G1102">
        <v>158.79</v>
      </c>
      <c r="H1102" t="s">
        <v>31</v>
      </c>
      <c r="I1102" t="s">
        <v>15</v>
      </c>
      <c r="J1102">
        <v>4.5999999999999996</v>
      </c>
      <c r="K1102">
        <v>7</v>
      </c>
      <c r="L1102">
        <f t="shared" si="52"/>
        <v>147.67469999999997</v>
      </c>
      <c r="M1102">
        <v>1</v>
      </c>
      <c r="N1102" t="str">
        <f t="shared" si="53"/>
        <v>New</v>
      </c>
    </row>
    <row r="1103" spans="1:14" x14ac:dyDescent="0.35">
      <c r="A1103">
        <v>1102</v>
      </c>
      <c r="B1103">
        <v>62</v>
      </c>
      <c r="C1103" t="str">
        <f t="shared" si="51"/>
        <v>Senior</v>
      </c>
      <c r="D1103" t="s">
        <v>16</v>
      </c>
      <c r="E1103" t="s">
        <v>20</v>
      </c>
      <c r="F1103" t="s">
        <v>36</v>
      </c>
      <c r="G1103">
        <v>77.56</v>
      </c>
      <c r="H1103" t="s">
        <v>19</v>
      </c>
      <c r="I1103" t="s">
        <v>37</v>
      </c>
      <c r="J1103">
        <v>3.8</v>
      </c>
      <c r="K1103">
        <v>15</v>
      </c>
      <c r="L1103">
        <f t="shared" si="52"/>
        <v>65.926000000000002</v>
      </c>
      <c r="M1103">
        <v>5</v>
      </c>
      <c r="N1103" t="str">
        <f t="shared" si="53"/>
        <v>Regular</v>
      </c>
    </row>
    <row r="1104" spans="1:14" x14ac:dyDescent="0.35">
      <c r="A1104">
        <v>1103</v>
      </c>
      <c r="B1104">
        <v>23</v>
      </c>
      <c r="C1104" t="str">
        <f t="shared" si="51"/>
        <v>Youth</v>
      </c>
      <c r="D1104" t="s">
        <v>16</v>
      </c>
      <c r="E1104" t="s">
        <v>27</v>
      </c>
      <c r="F1104" t="s">
        <v>49</v>
      </c>
      <c r="G1104">
        <v>559.52</v>
      </c>
      <c r="H1104" t="s">
        <v>14</v>
      </c>
      <c r="I1104" t="s">
        <v>15</v>
      </c>
      <c r="J1104">
        <v>4</v>
      </c>
      <c r="K1104">
        <v>18</v>
      </c>
      <c r="L1104">
        <f t="shared" si="52"/>
        <v>458.8064</v>
      </c>
      <c r="M1104">
        <v>4</v>
      </c>
      <c r="N1104" t="str">
        <f t="shared" si="53"/>
        <v>Regular</v>
      </c>
    </row>
    <row r="1105" spans="1:14" x14ac:dyDescent="0.35">
      <c r="A1105">
        <v>1104</v>
      </c>
      <c r="B1105">
        <v>44</v>
      </c>
      <c r="C1105" t="str">
        <f t="shared" si="51"/>
        <v>Adult</v>
      </c>
      <c r="D1105" t="s">
        <v>16</v>
      </c>
      <c r="E1105" t="s">
        <v>27</v>
      </c>
      <c r="F1105" t="s">
        <v>49</v>
      </c>
      <c r="G1105">
        <v>2966</v>
      </c>
      <c r="H1105" t="s">
        <v>19</v>
      </c>
      <c r="I1105" t="s">
        <v>15</v>
      </c>
      <c r="J1105">
        <v>2.9</v>
      </c>
      <c r="K1105">
        <v>10</v>
      </c>
      <c r="L1105">
        <f t="shared" si="52"/>
        <v>2669.4</v>
      </c>
      <c r="M1105">
        <v>5</v>
      </c>
      <c r="N1105" t="str">
        <f t="shared" si="53"/>
        <v>Regular</v>
      </c>
    </row>
    <row r="1106" spans="1:14" x14ac:dyDescent="0.35">
      <c r="A1106">
        <v>1105</v>
      </c>
      <c r="B1106">
        <v>57</v>
      </c>
      <c r="C1106" t="str">
        <f t="shared" si="51"/>
        <v>Adult</v>
      </c>
      <c r="D1106" t="s">
        <v>11</v>
      </c>
      <c r="E1106" t="s">
        <v>25</v>
      </c>
      <c r="F1106" t="s">
        <v>26</v>
      </c>
      <c r="G1106">
        <v>20.37</v>
      </c>
      <c r="H1106" t="s">
        <v>31</v>
      </c>
      <c r="I1106" t="s">
        <v>15</v>
      </c>
      <c r="J1106">
        <v>4</v>
      </c>
      <c r="K1106">
        <v>30</v>
      </c>
      <c r="L1106">
        <f t="shared" si="52"/>
        <v>14.259</v>
      </c>
      <c r="M1106">
        <v>10</v>
      </c>
      <c r="N1106" t="str">
        <f t="shared" si="53"/>
        <v>Loyal</v>
      </c>
    </row>
    <row r="1107" spans="1:14" x14ac:dyDescent="0.35">
      <c r="A1107">
        <v>1106</v>
      </c>
      <c r="B1107">
        <v>26</v>
      </c>
      <c r="C1107" t="str">
        <f t="shared" si="51"/>
        <v>Youth</v>
      </c>
      <c r="D1107" t="s">
        <v>11</v>
      </c>
      <c r="E1107" t="s">
        <v>41</v>
      </c>
      <c r="F1107" t="s">
        <v>44</v>
      </c>
      <c r="G1107">
        <v>175.46</v>
      </c>
      <c r="H1107" t="s">
        <v>14</v>
      </c>
      <c r="I1107" t="s">
        <v>15</v>
      </c>
      <c r="J1107">
        <v>3.4</v>
      </c>
      <c r="K1107">
        <v>24</v>
      </c>
      <c r="L1107">
        <f t="shared" si="52"/>
        <v>133.34960000000001</v>
      </c>
      <c r="M1107">
        <v>7</v>
      </c>
      <c r="N1107" t="str">
        <f t="shared" si="53"/>
        <v>Regular</v>
      </c>
    </row>
    <row r="1108" spans="1:14" x14ac:dyDescent="0.35">
      <c r="A1108">
        <v>1107</v>
      </c>
      <c r="B1108">
        <v>42</v>
      </c>
      <c r="C1108" t="str">
        <f t="shared" si="51"/>
        <v>Adult</v>
      </c>
      <c r="D1108" t="s">
        <v>11</v>
      </c>
      <c r="E1108" t="s">
        <v>33</v>
      </c>
      <c r="F1108" t="s">
        <v>40</v>
      </c>
      <c r="G1108">
        <v>193.23</v>
      </c>
      <c r="H1108" t="s">
        <v>14</v>
      </c>
      <c r="I1108" t="s">
        <v>15</v>
      </c>
      <c r="J1108">
        <v>4.5999999999999996</v>
      </c>
      <c r="K1108">
        <v>8</v>
      </c>
      <c r="L1108">
        <f t="shared" si="52"/>
        <v>177.77160000000001</v>
      </c>
      <c r="M1108">
        <v>4</v>
      </c>
      <c r="N1108" t="str">
        <f t="shared" si="53"/>
        <v>Regular</v>
      </c>
    </row>
    <row r="1109" spans="1:14" x14ac:dyDescent="0.35">
      <c r="A1109">
        <v>1108</v>
      </c>
      <c r="B1109">
        <v>26</v>
      </c>
      <c r="C1109" t="str">
        <f t="shared" si="51"/>
        <v>Youth</v>
      </c>
      <c r="D1109" t="s">
        <v>16</v>
      </c>
      <c r="E1109" t="s">
        <v>20</v>
      </c>
      <c r="F1109" t="s">
        <v>36</v>
      </c>
      <c r="G1109">
        <v>67.09</v>
      </c>
      <c r="H1109" t="s">
        <v>31</v>
      </c>
      <c r="I1109" t="s">
        <v>15</v>
      </c>
      <c r="J1109">
        <v>3.5</v>
      </c>
      <c r="K1109">
        <v>18</v>
      </c>
      <c r="L1109">
        <f t="shared" si="52"/>
        <v>55.01380000000001</v>
      </c>
      <c r="M1109">
        <v>9</v>
      </c>
      <c r="N1109" t="str">
        <f t="shared" si="53"/>
        <v>Loyal</v>
      </c>
    </row>
    <row r="1110" spans="1:14" x14ac:dyDescent="0.35">
      <c r="A1110">
        <v>1109</v>
      </c>
      <c r="B1110">
        <v>28</v>
      </c>
      <c r="C1110" t="str">
        <f t="shared" si="51"/>
        <v>Youth</v>
      </c>
      <c r="D1110" t="s">
        <v>11</v>
      </c>
      <c r="E1110" t="s">
        <v>12</v>
      </c>
      <c r="F1110" t="s">
        <v>56</v>
      </c>
      <c r="G1110">
        <v>57.75</v>
      </c>
      <c r="H1110" t="s">
        <v>19</v>
      </c>
      <c r="I1110" t="s">
        <v>37</v>
      </c>
      <c r="J1110">
        <v>5</v>
      </c>
      <c r="K1110">
        <v>9</v>
      </c>
      <c r="L1110">
        <f t="shared" si="52"/>
        <v>52.552500000000002</v>
      </c>
      <c r="M1110">
        <v>2</v>
      </c>
      <c r="N1110" t="str">
        <f t="shared" si="53"/>
        <v>New</v>
      </c>
    </row>
    <row r="1111" spans="1:14" x14ac:dyDescent="0.35">
      <c r="A1111">
        <v>1110</v>
      </c>
      <c r="B1111">
        <v>46</v>
      </c>
      <c r="C1111" t="str">
        <f t="shared" si="51"/>
        <v>Adult</v>
      </c>
      <c r="D1111" t="s">
        <v>16</v>
      </c>
      <c r="E1111" t="s">
        <v>17</v>
      </c>
      <c r="F1111" t="s">
        <v>42</v>
      </c>
      <c r="G1111">
        <v>60.83</v>
      </c>
      <c r="H1111" t="s">
        <v>14</v>
      </c>
      <c r="I1111" t="s">
        <v>15</v>
      </c>
      <c r="J1111">
        <v>3.9</v>
      </c>
      <c r="K1111">
        <v>8</v>
      </c>
      <c r="L1111">
        <f t="shared" si="52"/>
        <v>55.9636</v>
      </c>
      <c r="M1111">
        <v>4</v>
      </c>
      <c r="N1111" t="str">
        <f t="shared" si="53"/>
        <v>Regular</v>
      </c>
    </row>
    <row r="1112" spans="1:14" x14ac:dyDescent="0.35">
      <c r="A1112">
        <v>1111</v>
      </c>
      <c r="B1112">
        <v>28</v>
      </c>
      <c r="C1112" t="str">
        <f t="shared" si="51"/>
        <v>Youth</v>
      </c>
      <c r="D1112" t="s">
        <v>16</v>
      </c>
      <c r="E1112" t="s">
        <v>17</v>
      </c>
      <c r="F1112" t="s">
        <v>42</v>
      </c>
      <c r="G1112">
        <v>153.1</v>
      </c>
      <c r="H1112" t="s">
        <v>31</v>
      </c>
      <c r="I1112" t="s">
        <v>15</v>
      </c>
      <c r="J1112">
        <v>4.5</v>
      </c>
      <c r="K1112">
        <v>8</v>
      </c>
      <c r="L1112">
        <f t="shared" si="52"/>
        <v>140.852</v>
      </c>
      <c r="M1112">
        <v>4</v>
      </c>
      <c r="N1112" t="str">
        <f t="shared" si="53"/>
        <v>Regular</v>
      </c>
    </row>
    <row r="1113" spans="1:14" x14ac:dyDescent="0.35">
      <c r="A1113">
        <v>1112</v>
      </c>
      <c r="B1113">
        <v>49</v>
      </c>
      <c r="C1113" t="str">
        <f t="shared" si="51"/>
        <v>Adult</v>
      </c>
      <c r="D1113" t="s">
        <v>11</v>
      </c>
      <c r="E1113" t="s">
        <v>25</v>
      </c>
      <c r="F1113" t="s">
        <v>57</v>
      </c>
      <c r="G1113">
        <v>29.32</v>
      </c>
      <c r="H1113" t="s">
        <v>19</v>
      </c>
      <c r="I1113" t="s">
        <v>15</v>
      </c>
      <c r="J1113">
        <v>5</v>
      </c>
      <c r="K1113">
        <v>23</v>
      </c>
      <c r="L1113">
        <f t="shared" si="52"/>
        <v>22.5764</v>
      </c>
      <c r="M1113">
        <v>9</v>
      </c>
      <c r="N1113" t="str">
        <f t="shared" si="53"/>
        <v>Loyal</v>
      </c>
    </row>
    <row r="1114" spans="1:14" x14ac:dyDescent="0.35">
      <c r="A1114">
        <v>1113</v>
      </c>
      <c r="B1114">
        <v>67</v>
      </c>
      <c r="C1114" t="str">
        <f t="shared" si="51"/>
        <v>Senior</v>
      </c>
      <c r="D1114" t="s">
        <v>11</v>
      </c>
      <c r="E1114" t="s">
        <v>12</v>
      </c>
      <c r="F1114" t="s">
        <v>50</v>
      </c>
      <c r="G1114">
        <v>133.57</v>
      </c>
      <c r="H1114" t="s">
        <v>24</v>
      </c>
      <c r="I1114" t="s">
        <v>15</v>
      </c>
      <c r="J1114">
        <v>3.9</v>
      </c>
      <c r="K1114">
        <v>26</v>
      </c>
      <c r="L1114">
        <f t="shared" si="52"/>
        <v>98.841799999999992</v>
      </c>
      <c r="M1114">
        <v>8</v>
      </c>
      <c r="N1114" t="str">
        <f t="shared" si="53"/>
        <v>Loyal</v>
      </c>
    </row>
    <row r="1115" spans="1:14" x14ac:dyDescent="0.35">
      <c r="A1115">
        <v>1114</v>
      </c>
      <c r="B1115">
        <v>69</v>
      </c>
      <c r="C1115" t="str">
        <f t="shared" si="51"/>
        <v>Senior</v>
      </c>
      <c r="D1115" t="s">
        <v>11</v>
      </c>
      <c r="E1115" t="s">
        <v>12</v>
      </c>
      <c r="F1115" t="s">
        <v>56</v>
      </c>
      <c r="G1115">
        <v>26.45</v>
      </c>
      <c r="H1115" t="s">
        <v>14</v>
      </c>
      <c r="I1115" t="s">
        <v>15</v>
      </c>
      <c r="J1115">
        <v>3.2</v>
      </c>
      <c r="K1115">
        <v>14</v>
      </c>
      <c r="L1115">
        <f t="shared" si="52"/>
        <v>22.747</v>
      </c>
      <c r="M1115">
        <v>7</v>
      </c>
      <c r="N1115" t="str">
        <f t="shared" si="53"/>
        <v>Regular</v>
      </c>
    </row>
    <row r="1116" spans="1:14" x14ac:dyDescent="0.35">
      <c r="A1116">
        <v>1115</v>
      </c>
      <c r="B1116">
        <v>56</v>
      </c>
      <c r="C1116" t="str">
        <f t="shared" si="51"/>
        <v>Adult</v>
      </c>
      <c r="D1116" t="s">
        <v>11</v>
      </c>
      <c r="E1116" t="s">
        <v>25</v>
      </c>
      <c r="F1116" t="s">
        <v>26</v>
      </c>
      <c r="G1116">
        <v>66.52</v>
      </c>
      <c r="H1116" t="s">
        <v>24</v>
      </c>
      <c r="I1116" t="s">
        <v>15</v>
      </c>
      <c r="J1116">
        <v>3.9</v>
      </c>
      <c r="K1116">
        <v>13</v>
      </c>
      <c r="L1116">
        <f t="shared" si="52"/>
        <v>57.872399999999999</v>
      </c>
      <c r="M1116">
        <v>4</v>
      </c>
      <c r="N1116" t="str">
        <f t="shared" si="53"/>
        <v>Regular</v>
      </c>
    </row>
    <row r="1117" spans="1:14" x14ac:dyDescent="0.35">
      <c r="A1117">
        <v>1116</v>
      </c>
      <c r="B1117">
        <v>66</v>
      </c>
      <c r="C1117" t="str">
        <f t="shared" si="51"/>
        <v>Senior</v>
      </c>
      <c r="D1117" t="s">
        <v>11</v>
      </c>
      <c r="E1117" t="s">
        <v>29</v>
      </c>
      <c r="F1117" t="s">
        <v>30</v>
      </c>
      <c r="G1117">
        <v>125.89</v>
      </c>
      <c r="H1117" t="s">
        <v>14</v>
      </c>
      <c r="I1117" t="s">
        <v>15</v>
      </c>
      <c r="J1117">
        <v>4.3</v>
      </c>
      <c r="K1117">
        <v>16</v>
      </c>
      <c r="L1117">
        <f t="shared" si="52"/>
        <v>105.74759999999999</v>
      </c>
      <c r="M1117">
        <v>3</v>
      </c>
      <c r="N1117" t="str">
        <f t="shared" si="53"/>
        <v>New</v>
      </c>
    </row>
    <row r="1118" spans="1:14" x14ac:dyDescent="0.35">
      <c r="A1118">
        <v>1117</v>
      </c>
      <c r="B1118">
        <v>26</v>
      </c>
      <c r="C1118" t="str">
        <f t="shared" si="51"/>
        <v>Youth</v>
      </c>
      <c r="D1118" t="s">
        <v>11</v>
      </c>
      <c r="E1118" t="s">
        <v>12</v>
      </c>
      <c r="F1118" t="s">
        <v>13</v>
      </c>
      <c r="G1118">
        <v>177.36</v>
      </c>
      <c r="H1118" t="s">
        <v>14</v>
      </c>
      <c r="I1118" t="s">
        <v>15</v>
      </c>
      <c r="J1118">
        <v>4.8</v>
      </c>
      <c r="K1118">
        <v>20</v>
      </c>
      <c r="L1118">
        <f t="shared" si="52"/>
        <v>141.88800000000001</v>
      </c>
      <c r="M1118">
        <v>5</v>
      </c>
      <c r="N1118" t="str">
        <f t="shared" si="53"/>
        <v>Regular</v>
      </c>
    </row>
    <row r="1119" spans="1:14" x14ac:dyDescent="0.35">
      <c r="A1119">
        <v>1118</v>
      </c>
      <c r="B1119">
        <v>31</v>
      </c>
      <c r="C1119" t="str">
        <f t="shared" si="51"/>
        <v>Adult</v>
      </c>
      <c r="D1119" t="s">
        <v>16</v>
      </c>
      <c r="E1119" t="s">
        <v>33</v>
      </c>
      <c r="F1119" t="s">
        <v>40</v>
      </c>
      <c r="G1119">
        <v>168.74</v>
      </c>
      <c r="H1119" t="s">
        <v>31</v>
      </c>
      <c r="I1119" t="s">
        <v>15</v>
      </c>
      <c r="J1119">
        <v>4.0999999999999996</v>
      </c>
      <c r="K1119">
        <v>16</v>
      </c>
      <c r="L1119">
        <f t="shared" si="52"/>
        <v>141.74160000000001</v>
      </c>
      <c r="M1119">
        <v>8</v>
      </c>
      <c r="N1119" t="str">
        <f t="shared" si="53"/>
        <v>Loyal</v>
      </c>
    </row>
    <row r="1120" spans="1:14" x14ac:dyDescent="0.35">
      <c r="A1120">
        <v>1119</v>
      </c>
      <c r="B1120">
        <v>63</v>
      </c>
      <c r="C1120" t="str">
        <f t="shared" si="51"/>
        <v>Senior</v>
      </c>
      <c r="D1120" t="s">
        <v>11</v>
      </c>
      <c r="E1120" t="s">
        <v>41</v>
      </c>
      <c r="F1120" t="s">
        <v>42</v>
      </c>
      <c r="G1120">
        <v>61.35</v>
      </c>
      <c r="H1120" t="s">
        <v>31</v>
      </c>
      <c r="I1120" t="s">
        <v>37</v>
      </c>
      <c r="J1120">
        <v>3.6</v>
      </c>
      <c r="K1120">
        <v>20</v>
      </c>
      <c r="L1120">
        <f t="shared" si="52"/>
        <v>49.080000000000005</v>
      </c>
      <c r="M1120">
        <v>5</v>
      </c>
      <c r="N1120" t="str">
        <f t="shared" si="53"/>
        <v>Regular</v>
      </c>
    </row>
    <row r="1121" spans="1:14" x14ac:dyDescent="0.35">
      <c r="A1121">
        <v>1120</v>
      </c>
      <c r="B1121">
        <v>44</v>
      </c>
      <c r="C1121" t="str">
        <f t="shared" si="51"/>
        <v>Adult</v>
      </c>
      <c r="D1121" t="s">
        <v>11</v>
      </c>
      <c r="E1121" t="s">
        <v>29</v>
      </c>
      <c r="F1121" t="s">
        <v>30</v>
      </c>
      <c r="G1121">
        <v>128.72999999999999</v>
      </c>
      <c r="H1121" t="s">
        <v>24</v>
      </c>
      <c r="I1121" t="s">
        <v>15</v>
      </c>
      <c r="J1121">
        <v>4.9000000000000004</v>
      </c>
      <c r="K1121">
        <v>12</v>
      </c>
      <c r="L1121">
        <f t="shared" si="52"/>
        <v>113.2824</v>
      </c>
      <c r="M1121">
        <v>6</v>
      </c>
      <c r="N1121" t="str">
        <f t="shared" si="53"/>
        <v>Regular</v>
      </c>
    </row>
    <row r="1122" spans="1:14" x14ac:dyDescent="0.35">
      <c r="A1122">
        <v>1121</v>
      </c>
      <c r="B1122">
        <v>20</v>
      </c>
      <c r="C1122" t="str">
        <f t="shared" si="51"/>
        <v>Youth</v>
      </c>
      <c r="D1122" t="s">
        <v>11</v>
      </c>
      <c r="E1122" t="s">
        <v>20</v>
      </c>
      <c r="F1122" t="s">
        <v>39</v>
      </c>
      <c r="G1122">
        <v>144.69999999999999</v>
      </c>
      <c r="H1122" t="s">
        <v>31</v>
      </c>
      <c r="I1122" t="s">
        <v>15</v>
      </c>
      <c r="J1122">
        <v>4.2</v>
      </c>
      <c r="K1122">
        <v>16</v>
      </c>
      <c r="L1122">
        <f t="shared" si="52"/>
        <v>121.54799999999999</v>
      </c>
      <c r="M1122">
        <v>3</v>
      </c>
      <c r="N1122" t="str">
        <f t="shared" si="53"/>
        <v>New</v>
      </c>
    </row>
    <row r="1123" spans="1:14" x14ac:dyDescent="0.35">
      <c r="A1123">
        <v>1122</v>
      </c>
      <c r="B1123">
        <v>41</v>
      </c>
      <c r="C1123" t="str">
        <f t="shared" si="51"/>
        <v>Adult</v>
      </c>
      <c r="D1123" t="s">
        <v>11</v>
      </c>
      <c r="E1123" t="s">
        <v>12</v>
      </c>
      <c r="F1123" t="s">
        <v>56</v>
      </c>
      <c r="G1123">
        <v>107.04</v>
      </c>
      <c r="H1123" t="s">
        <v>14</v>
      </c>
      <c r="I1123" t="s">
        <v>15</v>
      </c>
      <c r="J1123">
        <v>3.5</v>
      </c>
      <c r="K1123">
        <v>8</v>
      </c>
      <c r="L1123">
        <f t="shared" si="52"/>
        <v>98.476800000000011</v>
      </c>
      <c r="M1123">
        <v>4</v>
      </c>
      <c r="N1123" t="str">
        <f t="shared" si="53"/>
        <v>Regular</v>
      </c>
    </row>
    <row r="1124" spans="1:14" x14ac:dyDescent="0.35">
      <c r="A1124">
        <v>1123</v>
      </c>
      <c r="B1124">
        <v>36</v>
      </c>
      <c r="C1124" t="str">
        <f t="shared" si="51"/>
        <v>Adult</v>
      </c>
      <c r="D1124" t="s">
        <v>11</v>
      </c>
      <c r="E1124" t="s">
        <v>12</v>
      </c>
      <c r="F1124" t="s">
        <v>50</v>
      </c>
      <c r="G1124">
        <v>31.74</v>
      </c>
      <c r="H1124" t="s">
        <v>19</v>
      </c>
      <c r="I1124" t="s">
        <v>37</v>
      </c>
      <c r="J1124">
        <v>3.9</v>
      </c>
      <c r="K1124">
        <v>6</v>
      </c>
      <c r="L1124">
        <f t="shared" si="52"/>
        <v>29.835599999999996</v>
      </c>
      <c r="M1124">
        <v>3</v>
      </c>
      <c r="N1124" t="str">
        <f t="shared" si="53"/>
        <v>New</v>
      </c>
    </row>
    <row r="1125" spans="1:14" x14ac:dyDescent="0.35">
      <c r="A1125">
        <v>1124</v>
      </c>
      <c r="B1125">
        <v>38</v>
      </c>
      <c r="C1125" t="str">
        <f t="shared" si="51"/>
        <v>Adult</v>
      </c>
      <c r="D1125" t="s">
        <v>16</v>
      </c>
      <c r="E1125" t="s">
        <v>27</v>
      </c>
      <c r="F1125" t="s">
        <v>49</v>
      </c>
      <c r="G1125">
        <v>2415.1999999999998</v>
      </c>
      <c r="H1125" t="s">
        <v>31</v>
      </c>
      <c r="I1125" t="s">
        <v>15</v>
      </c>
      <c r="J1125">
        <v>4.3</v>
      </c>
      <c r="K1125">
        <v>20</v>
      </c>
      <c r="L1125">
        <f t="shared" si="52"/>
        <v>1932.1599999999999</v>
      </c>
      <c r="M1125">
        <v>5</v>
      </c>
      <c r="N1125" t="str">
        <f t="shared" si="53"/>
        <v>Regular</v>
      </c>
    </row>
    <row r="1126" spans="1:14" x14ac:dyDescent="0.35">
      <c r="A1126">
        <v>1125</v>
      </c>
      <c r="B1126">
        <v>44</v>
      </c>
      <c r="C1126" t="str">
        <f t="shared" si="51"/>
        <v>Adult</v>
      </c>
      <c r="D1126" t="s">
        <v>16</v>
      </c>
      <c r="E1126" t="s">
        <v>17</v>
      </c>
      <c r="F1126" t="s">
        <v>48</v>
      </c>
      <c r="G1126">
        <v>91.47</v>
      </c>
      <c r="H1126" t="s">
        <v>24</v>
      </c>
      <c r="I1126" t="s">
        <v>37</v>
      </c>
      <c r="J1126">
        <v>3.5</v>
      </c>
      <c r="K1126">
        <v>17</v>
      </c>
      <c r="L1126">
        <f t="shared" si="52"/>
        <v>75.920099999999991</v>
      </c>
      <c r="M1126">
        <v>6</v>
      </c>
      <c r="N1126" t="str">
        <f t="shared" si="53"/>
        <v>Regular</v>
      </c>
    </row>
    <row r="1127" spans="1:14" x14ac:dyDescent="0.35">
      <c r="A1127">
        <v>1126</v>
      </c>
      <c r="B1127">
        <v>40</v>
      </c>
      <c r="C1127" t="str">
        <f t="shared" si="51"/>
        <v>Adult</v>
      </c>
      <c r="D1127" t="s">
        <v>11</v>
      </c>
      <c r="E1127" t="s">
        <v>33</v>
      </c>
      <c r="F1127" t="s">
        <v>38</v>
      </c>
      <c r="G1127">
        <v>118.69</v>
      </c>
      <c r="H1127" t="s">
        <v>14</v>
      </c>
      <c r="I1127" t="s">
        <v>15</v>
      </c>
      <c r="J1127">
        <v>3.5</v>
      </c>
      <c r="K1127">
        <v>14</v>
      </c>
      <c r="L1127">
        <f t="shared" si="52"/>
        <v>102.07339999999999</v>
      </c>
      <c r="M1127">
        <v>7</v>
      </c>
      <c r="N1127" t="str">
        <f t="shared" si="53"/>
        <v>Regular</v>
      </c>
    </row>
    <row r="1128" spans="1:14" x14ac:dyDescent="0.35">
      <c r="A1128">
        <v>1127</v>
      </c>
      <c r="B1128">
        <v>33</v>
      </c>
      <c r="C1128" t="str">
        <f t="shared" si="51"/>
        <v>Adult</v>
      </c>
      <c r="D1128" t="s">
        <v>16</v>
      </c>
      <c r="E1128" t="s">
        <v>33</v>
      </c>
      <c r="F1128" t="s">
        <v>40</v>
      </c>
      <c r="G1128">
        <v>163.49</v>
      </c>
      <c r="H1128" t="s">
        <v>24</v>
      </c>
      <c r="I1128" t="s">
        <v>15</v>
      </c>
      <c r="J1128">
        <v>2.7</v>
      </c>
      <c r="K1128">
        <v>22</v>
      </c>
      <c r="L1128">
        <f t="shared" si="52"/>
        <v>127.52220000000001</v>
      </c>
      <c r="M1128">
        <v>6</v>
      </c>
      <c r="N1128" t="str">
        <f t="shared" si="53"/>
        <v>Regular</v>
      </c>
    </row>
    <row r="1129" spans="1:14" x14ac:dyDescent="0.35">
      <c r="A1129">
        <v>1128</v>
      </c>
      <c r="B1129">
        <v>55</v>
      </c>
      <c r="C1129" t="str">
        <f t="shared" si="51"/>
        <v>Adult</v>
      </c>
      <c r="D1129" t="s">
        <v>11</v>
      </c>
      <c r="E1129" t="s">
        <v>33</v>
      </c>
      <c r="F1129" t="s">
        <v>38</v>
      </c>
      <c r="G1129">
        <v>104.63</v>
      </c>
      <c r="H1129" t="s">
        <v>19</v>
      </c>
      <c r="I1129" t="s">
        <v>15</v>
      </c>
      <c r="J1129">
        <v>3.2</v>
      </c>
      <c r="K1129">
        <v>20</v>
      </c>
      <c r="L1129">
        <f t="shared" si="52"/>
        <v>83.704000000000008</v>
      </c>
      <c r="M1129">
        <v>5</v>
      </c>
      <c r="N1129" t="str">
        <f t="shared" si="53"/>
        <v>Regular</v>
      </c>
    </row>
    <row r="1130" spans="1:14" x14ac:dyDescent="0.35">
      <c r="A1130">
        <v>1129</v>
      </c>
      <c r="B1130">
        <v>43</v>
      </c>
      <c r="C1130" t="str">
        <f t="shared" si="51"/>
        <v>Adult</v>
      </c>
      <c r="D1130" t="s">
        <v>16</v>
      </c>
      <c r="E1130" t="s">
        <v>20</v>
      </c>
      <c r="F1130" t="s">
        <v>36</v>
      </c>
      <c r="G1130">
        <v>195.7</v>
      </c>
      <c r="H1130" t="s">
        <v>14</v>
      </c>
      <c r="I1130" t="s">
        <v>15</v>
      </c>
      <c r="J1130">
        <v>2.8</v>
      </c>
      <c r="K1130">
        <v>10</v>
      </c>
      <c r="L1130">
        <f t="shared" si="52"/>
        <v>176.13</v>
      </c>
      <c r="M1130">
        <v>5</v>
      </c>
      <c r="N1130" t="str">
        <f t="shared" si="53"/>
        <v>Regular</v>
      </c>
    </row>
    <row r="1131" spans="1:14" x14ac:dyDescent="0.35">
      <c r="A1131">
        <v>1130</v>
      </c>
      <c r="B1131">
        <v>67</v>
      </c>
      <c r="C1131" t="str">
        <f t="shared" si="51"/>
        <v>Senior</v>
      </c>
      <c r="D1131" t="s">
        <v>11</v>
      </c>
      <c r="E1131" t="s">
        <v>12</v>
      </c>
      <c r="F1131" t="s">
        <v>56</v>
      </c>
      <c r="G1131">
        <v>42.94</v>
      </c>
      <c r="H1131" t="s">
        <v>19</v>
      </c>
      <c r="I1131" t="s">
        <v>15</v>
      </c>
      <c r="J1131">
        <v>3.4</v>
      </c>
      <c r="K1131">
        <v>9</v>
      </c>
      <c r="L1131">
        <f t="shared" si="52"/>
        <v>39.075400000000002</v>
      </c>
      <c r="M1131">
        <v>2</v>
      </c>
      <c r="N1131" t="str">
        <f t="shared" si="53"/>
        <v>New</v>
      </c>
    </row>
    <row r="1132" spans="1:14" x14ac:dyDescent="0.35">
      <c r="A1132">
        <v>1131</v>
      </c>
      <c r="B1132">
        <v>33</v>
      </c>
      <c r="C1132" t="str">
        <f t="shared" si="51"/>
        <v>Adult</v>
      </c>
      <c r="D1132" t="s">
        <v>16</v>
      </c>
      <c r="E1132" t="s">
        <v>27</v>
      </c>
      <c r="F1132" t="s">
        <v>28</v>
      </c>
      <c r="G1132">
        <v>2697.97</v>
      </c>
      <c r="H1132" t="s">
        <v>31</v>
      </c>
      <c r="I1132" t="s">
        <v>15</v>
      </c>
      <c r="J1132">
        <v>3.8</v>
      </c>
      <c r="K1132">
        <v>6</v>
      </c>
      <c r="L1132">
        <f t="shared" si="52"/>
        <v>2536.0917999999997</v>
      </c>
      <c r="M1132">
        <v>3</v>
      </c>
      <c r="N1132" t="str">
        <f t="shared" si="53"/>
        <v>New</v>
      </c>
    </row>
    <row r="1133" spans="1:14" x14ac:dyDescent="0.35">
      <c r="A1133">
        <v>1132</v>
      </c>
      <c r="B1133">
        <v>34</v>
      </c>
      <c r="C1133" t="str">
        <f t="shared" si="51"/>
        <v>Adult</v>
      </c>
      <c r="D1133" t="s">
        <v>11</v>
      </c>
      <c r="E1133" t="s">
        <v>12</v>
      </c>
      <c r="F1133" t="s">
        <v>13</v>
      </c>
      <c r="G1133">
        <v>86.46</v>
      </c>
      <c r="H1133" t="s">
        <v>24</v>
      </c>
      <c r="I1133" t="s">
        <v>37</v>
      </c>
      <c r="J1133">
        <v>4.5</v>
      </c>
      <c r="K1133">
        <v>4</v>
      </c>
      <c r="L1133">
        <f t="shared" si="52"/>
        <v>83.001599999999996</v>
      </c>
      <c r="M1133">
        <v>2</v>
      </c>
      <c r="N1133" t="str">
        <f t="shared" si="53"/>
        <v>New</v>
      </c>
    </row>
    <row r="1134" spans="1:14" x14ac:dyDescent="0.35">
      <c r="A1134">
        <v>1133</v>
      </c>
      <c r="B1134">
        <v>50</v>
      </c>
      <c r="C1134" t="str">
        <f t="shared" si="51"/>
        <v>Adult</v>
      </c>
      <c r="D1134" t="s">
        <v>16</v>
      </c>
      <c r="E1134" t="s">
        <v>20</v>
      </c>
      <c r="F1134" t="s">
        <v>39</v>
      </c>
      <c r="G1134">
        <v>166.99</v>
      </c>
      <c r="H1134" t="s">
        <v>24</v>
      </c>
      <c r="I1134" t="s">
        <v>15</v>
      </c>
      <c r="J1134">
        <v>4.5</v>
      </c>
      <c r="K1134">
        <v>23</v>
      </c>
      <c r="L1134">
        <f t="shared" si="52"/>
        <v>128.5823</v>
      </c>
      <c r="M1134">
        <v>9</v>
      </c>
      <c r="N1134" t="str">
        <f t="shared" si="53"/>
        <v>Loyal</v>
      </c>
    </row>
    <row r="1135" spans="1:14" x14ac:dyDescent="0.35">
      <c r="A1135">
        <v>1134</v>
      </c>
      <c r="B1135">
        <v>50</v>
      </c>
      <c r="C1135" t="str">
        <f t="shared" si="51"/>
        <v>Adult</v>
      </c>
      <c r="D1135" t="s">
        <v>16</v>
      </c>
      <c r="E1135" t="s">
        <v>27</v>
      </c>
      <c r="F1135" t="s">
        <v>28</v>
      </c>
      <c r="G1135">
        <v>1790.31</v>
      </c>
      <c r="H1135" t="s">
        <v>31</v>
      </c>
      <c r="I1135" t="s">
        <v>15</v>
      </c>
      <c r="J1135">
        <v>2.7</v>
      </c>
      <c r="K1135">
        <v>18</v>
      </c>
      <c r="L1135">
        <f t="shared" si="52"/>
        <v>1468.0542</v>
      </c>
      <c r="M1135">
        <v>4</v>
      </c>
      <c r="N1135" t="str">
        <f t="shared" si="53"/>
        <v>Regular</v>
      </c>
    </row>
    <row r="1136" spans="1:14" x14ac:dyDescent="0.35">
      <c r="A1136">
        <v>1135</v>
      </c>
      <c r="B1136">
        <v>43</v>
      </c>
      <c r="C1136" t="str">
        <f t="shared" si="51"/>
        <v>Adult</v>
      </c>
      <c r="D1136" t="s">
        <v>16</v>
      </c>
      <c r="E1136" t="s">
        <v>20</v>
      </c>
      <c r="F1136" t="s">
        <v>21</v>
      </c>
      <c r="G1136">
        <v>86.47</v>
      </c>
      <c r="H1136" t="s">
        <v>24</v>
      </c>
      <c r="I1136" t="s">
        <v>15</v>
      </c>
      <c r="J1136">
        <v>3</v>
      </c>
      <c r="K1136">
        <v>25</v>
      </c>
      <c r="L1136">
        <f t="shared" si="52"/>
        <v>64.852499999999992</v>
      </c>
      <c r="M1136">
        <v>10</v>
      </c>
      <c r="N1136" t="str">
        <f t="shared" si="53"/>
        <v>Loyal</v>
      </c>
    </row>
    <row r="1137" spans="1:14" x14ac:dyDescent="0.35">
      <c r="A1137">
        <v>1136</v>
      </c>
      <c r="B1137">
        <v>41</v>
      </c>
      <c r="C1137" t="str">
        <f t="shared" si="51"/>
        <v>Adult</v>
      </c>
      <c r="D1137" t="s">
        <v>11</v>
      </c>
      <c r="E1137" t="s">
        <v>33</v>
      </c>
      <c r="F1137" t="s">
        <v>40</v>
      </c>
      <c r="G1137">
        <v>215.58</v>
      </c>
      <c r="H1137" t="s">
        <v>14</v>
      </c>
      <c r="I1137" t="s">
        <v>15</v>
      </c>
      <c r="J1137">
        <v>4.0999999999999996</v>
      </c>
      <c r="K1137">
        <v>21</v>
      </c>
      <c r="L1137">
        <f t="shared" si="52"/>
        <v>170.30820000000003</v>
      </c>
      <c r="M1137">
        <v>8</v>
      </c>
      <c r="N1137" t="str">
        <f t="shared" si="53"/>
        <v>Loyal</v>
      </c>
    </row>
    <row r="1138" spans="1:14" x14ac:dyDescent="0.35">
      <c r="A1138">
        <v>1137</v>
      </c>
      <c r="B1138">
        <v>52</v>
      </c>
      <c r="C1138" t="str">
        <f t="shared" si="51"/>
        <v>Adult</v>
      </c>
      <c r="D1138" t="s">
        <v>11</v>
      </c>
      <c r="E1138" t="s">
        <v>12</v>
      </c>
      <c r="F1138" t="s">
        <v>50</v>
      </c>
      <c r="G1138">
        <v>51.85</v>
      </c>
      <c r="H1138" t="s">
        <v>31</v>
      </c>
      <c r="I1138" t="s">
        <v>15</v>
      </c>
      <c r="J1138">
        <v>3.5</v>
      </c>
      <c r="K1138">
        <v>20</v>
      </c>
      <c r="L1138">
        <f t="shared" si="52"/>
        <v>41.480000000000004</v>
      </c>
      <c r="M1138">
        <v>5</v>
      </c>
      <c r="N1138" t="str">
        <f t="shared" si="53"/>
        <v>Regular</v>
      </c>
    </row>
    <row r="1139" spans="1:14" x14ac:dyDescent="0.35">
      <c r="A1139">
        <v>1138</v>
      </c>
      <c r="B1139">
        <v>45</v>
      </c>
      <c r="C1139" t="str">
        <f t="shared" si="51"/>
        <v>Adult</v>
      </c>
      <c r="D1139" t="s">
        <v>16</v>
      </c>
      <c r="E1139" t="s">
        <v>25</v>
      </c>
      <c r="F1139" t="s">
        <v>26</v>
      </c>
      <c r="G1139">
        <v>13.27</v>
      </c>
      <c r="H1139" t="s">
        <v>31</v>
      </c>
      <c r="I1139" t="s">
        <v>37</v>
      </c>
      <c r="J1139">
        <v>5</v>
      </c>
      <c r="K1139">
        <v>24</v>
      </c>
      <c r="L1139">
        <f t="shared" si="52"/>
        <v>10.0852</v>
      </c>
      <c r="M1139">
        <v>7</v>
      </c>
      <c r="N1139" t="str">
        <f t="shared" si="53"/>
        <v>Regular</v>
      </c>
    </row>
    <row r="1140" spans="1:14" x14ac:dyDescent="0.35">
      <c r="A1140">
        <v>1139</v>
      </c>
      <c r="B1140">
        <v>66</v>
      </c>
      <c r="C1140" t="str">
        <f t="shared" si="51"/>
        <v>Senior</v>
      </c>
      <c r="D1140" t="s">
        <v>16</v>
      </c>
      <c r="E1140" t="s">
        <v>27</v>
      </c>
      <c r="F1140" t="s">
        <v>32</v>
      </c>
      <c r="G1140">
        <v>1457.42</v>
      </c>
      <c r="H1140" t="s">
        <v>24</v>
      </c>
      <c r="I1140" t="s">
        <v>15</v>
      </c>
      <c r="J1140">
        <v>2.7</v>
      </c>
      <c r="K1140">
        <v>11</v>
      </c>
      <c r="L1140">
        <f t="shared" si="52"/>
        <v>1297.1038000000001</v>
      </c>
      <c r="M1140">
        <v>3</v>
      </c>
      <c r="N1140" t="str">
        <f t="shared" si="53"/>
        <v>New</v>
      </c>
    </row>
    <row r="1141" spans="1:14" x14ac:dyDescent="0.35">
      <c r="A1141">
        <v>1140</v>
      </c>
      <c r="B1141">
        <v>20</v>
      </c>
      <c r="C1141" t="str">
        <f t="shared" si="51"/>
        <v>Youth</v>
      </c>
      <c r="D1141" t="s">
        <v>16</v>
      </c>
      <c r="E1141" t="s">
        <v>27</v>
      </c>
      <c r="F1141" t="s">
        <v>53</v>
      </c>
      <c r="G1141">
        <v>1172.26</v>
      </c>
      <c r="H1141" t="s">
        <v>14</v>
      </c>
      <c r="I1141" t="s">
        <v>15</v>
      </c>
      <c r="J1141">
        <v>2.9</v>
      </c>
      <c r="K1141">
        <v>14</v>
      </c>
      <c r="L1141">
        <f t="shared" si="52"/>
        <v>1008.1436</v>
      </c>
      <c r="M1141">
        <v>2</v>
      </c>
      <c r="N1141" t="str">
        <f t="shared" si="53"/>
        <v>New</v>
      </c>
    </row>
    <row r="1142" spans="1:14" x14ac:dyDescent="0.35">
      <c r="A1142">
        <v>1141</v>
      </c>
      <c r="B1142">
        <v>48</v>
      </c>
      <c r="C1142" t="str">
        <f t="shared" si="51"/>
        <v>Adult</v>
      </c>
      <c r="D1142" t="s">
        <v>11</v>
      </c>
      <c r="E1142" t="s">
        <v>41</v>
      </c>
      <c r="F1142" t="s">
        <v>46</v>
      </c>
      <c r="G1142">
        <v>188.55</v>
      </c>
      <c r="H1142" t="s">
        <v>14</v>
      </c>
      <c r="I1142" t="s">
        <v>15</v>
      </c>
      <c r="J1142">
        <v>4.7</v>
      </c>
      <c r="K1142">
        <v>13</v>
      </c>
      <c r="L1142">
        <f t="shared" si="52"/>
        <v>164.0385</v>
      </c>
      <c r="M1142">
        <v>4</v>
      </c>
      <c r="N1142" t="str">
        <f t="shared" si="53"/>
        <v>Regular</v>
      </c>
    </row>
    <row r="1143" spans="1:14" x14ac:dyDescent="0.35">
      <c r="A1143">
        <v>1142</v>
      </c>
      <c r="B1143">
        <v>48</v>
      </c>
      <c r="C1143" t="str">
        <f t="shared" si="51"/>
        <v>Adult</v>
      </c>
      <c r="D1143" t="s">
        <v>11</v>
      </c>
      <c r="E1143" t="s">
        <v>41</v>
      </c>
      <c r="F1143" t="s">
        <v>44</v>
      </c>
      <c r="G1143">
        <v>188.22</v>
      </c>
      <c r="H1143" t="s">
        <v>24</v>
      </c>
      <c r="I1143" t="s">
        <v>15</v>
      </c>
      <c r="J1143">
        <v>2.7</v>
      </c>
      <c r="K1143">
        <v>15</v>
      </c>
      <c r="L1143">
        <f t="shared" si="52"/>
        <v>159.98699999999999</v>
      </c>
      <c r="M1143">
        <v>5</v>
      </c>
      <c r="N1143" t="str">
        <f t="shared" si="53"/>
        <v>Regular</v>
      </c>
    </row>
    <row r="1144" spans="1:14" x14ac:dyDescent="0.35">
      <c r="A1144">
        <v>1143</v>
      </c>
      <c r="B1144">
        <v>27</v>
      </c>
      <c r="C1144" t="str">
        <f t="shared" si="51"/>
        <v>Youth</v>
      </c>
      <c r="D1144" t="s">
        <v>11</v>
      </c>
      <c r="E1144" t="s">
        <v>41</v>
      </c>
      <c r="F1144" t="s">
        <v>45</v>
      </c>
      <c r="G1144">
        <v>90.74</v>
      </c>
      <c r="H1144" t="s">
        <v>24</v>
      </c>
      <c r="I1144" t="s">
        <v>37</v>
      </c>
      <c r="J1144">
        <v>2.8</v>
      </c>
      <c r="K1144">
        <v>22</v>
      </c>
      <c r="L1144">
        <f t="shared" si="52"/>
        <v>70.777199999999993</v>
      </c>
      <c r="M1144">
        <v>6</v>
      </c>
      <c r="N1144" t="str">
        <f t="shared" si="53"/>
        <v>Regular</v>
      </c>
    </row>
    <row r="1145" spans="1:14" x14ac:dyDescent="0.35">
      <c r="A1145">
        <v>1144</v>
      </c>
      <c r="B1145">
        <v>59</v>
      </c>
      <c r="C1145" t="str">
        <f t="shared" si="51"/>
        <v>Adult</v>
      </c>
      <c r="D1145" t="s">
        <v>11</v>
      </c>
      <c r="E1145" t="s">
        <v>33</v>
      </c>
      <c r="F1145" t="s">
        <v>34</v>
      </c>
      <c r="G1145">
        <v>69.569999999999993</v>
      </c>
      <c r="H1145" t="s">
        <v>19</v>
      </c>
      <c r="I1145" t="s">
        <v>37</v>
      </c>
      <c r="J1145">
        <v>5</v>
      </c>
      <c r="K1145">
        <v>20</v>
      </c>
      <c r="L1145">
        <f t="shared" si="52"/>
        <v>55.655999999999999</v>
      </c>
      <c r="M1145">
        <v>5</v>
      </c>
      <c r="N1145" t="str">
        <f t="shared" si="53"/>
        <v>Regular</v>
      </c>
    </row>
    <row r="1146" spans="1:14" x14ac:dyDescent="0.35">
      <c r="A1146">
        <v>1145</v>
      </c>
      <c r="B1146">
        <v>56</v>
      </c>
      <c r="C1146" t="str">
        <f t="shared" si="51"/>
        <v>Adult</v>
      </c>
      <c r="D1146" t="s">
        <v>16</v>
      </c>
      <c r="E1146" t="s">
        <v>27</v>
      </c>
      <c r="F1146" t="s">
        <v>28</v>
      </c>
      <c r="G1146">
        <v>2953.85</v>
      </c>
      <c r="H1146" t="s">
        <v>24</v>
      </c>
      <c r="I1146" t="s">
        <v>15</v>
      </c>
      <c r="J1146">
        <v>4.2</v>
      </c>
      <c r="K1146">
        <v>18</v>
      </c>
      <c r="L1146">
        <f t="shared" si="52"/>
        <v>2422.1570000000002</v>
      </c>
      <c r="M1146">
        <v>4</v>
      </c>
      <c r="N1146" t="str">
        <f t="shared" si="53"/>
        <v>Regular</v>
      </c>
    </row>
    <row r="1147" spans="1:14" x14ac:dyDescent="0.35">
      <c r="A1147">
        <v>1146</v>
      </c>
      <c r="B1147">
        <v>23</v>
      </c>
      <c r="C1147" t="str">
        <f t="shared" si="51"/>
        <v>Youth</v>
      </c>
      <c r="D1147" t="s">
        <v>16</v>
      </c>
      <c r="E1147" t="s">
        <v>33</v>
      </c>
      <c r="F1147" t="s">
        <v>40</v>
      </c>
      <c r="G1147">
        <v>224.71</v>
      </c>
      <c r="H1147" t="s">
        <v>24</v>
      </c>
      <c r="I1147" t="s">
        <v>15</v>
      </c>
      <c r="J1147">
        <v>4.5999999999999996</v>
      </c>
      <c r="K1147">
        <v>22</v>
      </c>
      <c r="L1147">
        <f t="shared" si="52"/>
        <v>175.27380000000002</v>
      </c>
      <c r="M1147">
        <v>6</v>
      </c>
      <c r="N1147" t="str">
        <f t="shared" si="53"/>
        <v>Regular</v>
      </c>
    </row>
    <row r="1148" spans="1:14" x14ac:dyDescent="0.35">
      <c r="A1148">
        <v>1147</v>
      </c>
      <c r="B1148">
        <v>32</v>
      </c>
      <c r="C1148" t="str">
        <f t="shared" si="51"/>
        <v>Adult</v>
      </c>
      <c r="D1148" t="s">
        <v>11</v>
      </c>
      <c r="E1148" t="s">
        <v>12</v>
      </c>
      <c r="F1148" t="s">
        <v>56</v>
      </c>
      <c r="G1148">
        <v>53.71</v>
      </c>
      <c r="H1148" t="s">
        <v>14</v>
      </c>
      <c r="I1148" t="s">
        <v>37</v>
      </c>
      <c r="J1148">
        <v>3.2</v>
      </c>
      <c r="K1148">
        <v>21</v>
      </c>
      <c r="L1148">
        <f t="shared" si="52"/>
        <v>42.430900000000001</v>
      </c>
      <c r="M1148">
        <v>8</v>
      </c>
      <c r="N1148" t="str">
        <f t="shared" si="53"/>
        <v>Loyal</v>
      </c>
    </row>
    <row r="1149" spans="1:14" x14ac:dyDescent="0.35">
      <c r="A1149">
        <v>1148</v>
      </c>
      <c r="B1149">
        <v>43</v>
      </c>
      <c r="C1149" t="str">
        <f t="shared" si="51"/>
        <v>Adult</v>
      </c>
      <c r="D1149" t="s">
        <v>11</v>
      </c>
      <c r="E1149" t="s">
        <v>20</v>
      </c>
      <c r="F1149" t="s">
        <v>39</v>
      </c>
      <c r="G1149">
        <v>38.869999999999997</v>
      </c>
      <c r="H1149" t="s">
        <v>24</v>
      </c>
      <c r="I1149" t="s">
        <v>37</v>
      </c>
      <c r="J1149">
        <v>4</v>
      </c>
      <c r="K1149">
        <v>16</v>
      </c>
      <c r="L1149">
        <f t="shared" si="52"/>
        <v>32.650799999999997</v>
      </c>
      <c r="M1149">
        <v>8</v>
      </c>
      <c r="N1149" t="str">
        <f t="shared" si="53"/>
        <v>Loyal</v>
      </c>
    </row>
    <row r="1150" spans="1:14" x14ac:dyDescent="0.35">
      <c r="A1150">
        <v>1149</v>
      </c>
      <c r="B1150">
        <v>55</v>
      </c>
      <c r="C1150" t="str">
        <f t="shared" si="51"/>
        <v>Adult</v>
      </c>
      <c r="D1150" t="s">
        <v>11</v>
      </c>
      <c r="E1150" t="s">
        <v>22</v>
      </c>
      <c r="F1150" t="s">
        <v>23</v>
      </c>
      <c r="G1150">
        <v>200.15</v>
      </c>
      <c r="H1150" t="s">
        <v>31</v>
      </c>
      <c r="I1150" t="s">
        <v>15</v>
      </c>
      <c r="J1150">
        <v>4.7</v>
      </c>
      <c r="K1150">
        <v>26</v>
      </c>
      <c r="L1150">
        <f t="shared" si="52"/>
        <v>148.11099999999999</v>
      </c>
      <c r="M1150">
        <v>8</v>
      </c>
      <c r="N1150" t="str">
        <f t="shared" si="53"/>
        <v>Loyal</v>
      </c>
    </row>
    <row r="1151" spans="1:14" x14ac:dyDescent="0.35">
      <c r="A1151">
        <v>1150</v>
      </c>
      <c r="B1151">
        <v>36</v>
      </c>
      <c r="C1151" t="str">
        <f t="shared" si="51"/>
        <v>Adult</v>
      </c>
      <c r="D1151" t="s">
        <v>11</v>
      </c>
      <c r="E1151" t="s">
        <v>33</v>
      </c>
      <c r="F1151" t="s">
        <v>40</v>
      </c>
      <c r="G1151">
        <v>207.62</v>
      </c>
      <c r="H1151" t="s">
        <v>31</v>
      </c>
      <c r="I1151" t="s">
        <v>15</v>
      </c>
      <c r="J1151">
        <v>4</v>
      </c>
      <c r="K1151">
        <v>21</v>
      </c>
      <c r="L1151">
        <f t="shared" si="52"/>
        <v>164.0198</v>
      </c>
      <c r="M1151">
        <v>8</v>
      </c>
      <c r="N1151" t="str">
        <f t="shared" si="53"/>
        <v>Loyal</v>
      </c>
    </row>
    <row r="1152" spans="1:14" x14ac:dyDescent="0.35">
      <c r="A1152">
        <v>1151</v>
      </c>
      <c r="B1152">
        <v>24</v>
      </c>
      <c r="C1152" t="str">
        <f t="shared" si="51"/>
        <v>Youth</v>
      </c>
      <c r="D1152" t="s">
        <v>16</v>
      </c>
      <c r="E1152" t="s">
        <v>33</v>
      </c>
      <c r="F1152" t="s">
        <v>40</v>
      </c>
      <c r="G1152">
        <v>221.11</v>
      </c>
      <c r="H1152" t="s">
        <v>31</v>
      </c>
      <c r="I1152" t="s">
        <v>15</v>
      </c>
      <c r="J1152">
        <v>3.1</v>
      </c>
      <c r="K1152">
        <v>11</v>
      </c>
      <c r="L1152">
        <f t="shared" si="52"/>
        <v>196.78790000000001</v>
      </c>
      <c r="M1152">
        <v>3</v>
      </c>
      <c r="N1152" t="str">
        <f t="shared" si="53"/>
        <v>New</v>
      </c>
    </row>
    <row r="1153" spans="1:14" x14ac:dyDescent="0.35">
      <c r="A1153">
        <v>1152</v>
      </c>
      <c r="B1153">
        <v>42</v>
      </c>
      <c r="C1153" t="str">
        <f t="shared" si="51"/>
        <v>Adult</v>
      </c>
      <c r="D1153" t="s">
        <v>11</v>
      </c>
      <c r="E1153" t="s">
        <v>41</v>
      </c>
      <c r="F1153" t="s">
        <v>46</v>
      </c>
      <c r="G1153">
        <v>49.43</v>
      </c>
      <c r="H1153" t="s">
        <v>24</v>
      </c>
      <c r="I1153" t="s">
        <v>37</v>
      </c>
      <c r="J1153">
        <v>4.9000000000000004</v>
      </c>
      <c r="K1153">
        <v>8</v>
      </c>
      <c r="L1153">
        <f t="shared" si="52"/>
        <v>45.4756</v>
      </c>
      <c r="M1153">
        <v>4</v>
      </c>
      <c r="N1153" t="str">
        <f t="shared" si="53"/>
        <v>Regular</v>
      </c>
    </row>
    <row r="1154" spans="1:14" x14ac:dyDescent="0.35">
      <c r="A1154">
        <v>1153</v>
      </c>
      <c r="B1154">
        <v>44</v>
      </c>
      <c r="C1154" t="str">
        <f t="shared" si="51"/>
        <v>Adult</v>
      </c>
      <c r="D1154" t="s">
        <v>16</v>
      </c>
      <c r="E1154" t="s">
        <v>27</v>
      </c>
      <c r="F1154" t="s">
        <v>53</v>
      </c>
      <c r="G1154">
        <v>1549.6</v>
      </c>
      <c r="H1154" t="s">
        <v>24</v>
      </c>
      <c r="I1154" t="s">
        <v>15</v>
      </c>
      <c r="J1154">
        <v>3.1</v>
      </c>
      <c r="K1154">
        <v>14</v>
      </c>
      <c r="L1154">
        <f t="shared" si="52"/>
        <v>1332.6559999999999</v>
      </c>
      <c r="M1154">
        <v>7</v>
      </c>
      <c r="N1154" t="str">
        <f t="shared" si="53"/>
        <v>Regular</v>
      </c>
    </row>
    <row r="1155" spans="1:14" x14ac:dyDescent="0.35">
      <c r="A1155">
        <v>1154</v>
      </c>
      <c r="B1155">
        <v>48</v>
      </c>
      <c r="C1155" t="str">
        <f t="shared" ref="C1155:C1218" si="54">IF(B1155&lt;=30,"Youth",IF(B1155&lt;=45,"Adult",IF(B1155&lt;=60,"Adult","Senior")))</f>
        <v>Adult</v>
      </c>
      <c r="D1155" t="s">
        <v>11</v>
      </c>
      <c r="E1155" t="s">
        <v>33</v>
      </c>
      <c r="F1155" t="s">
        <v>40</v>
      </c>
      <c r="G1155">
        <v>113.07</v>
      </c>
      <c r="H1155" t="s">
        <v>14</v>
      </c>
      <c r="I1155" t="s">
        <v>15</v>
      </c>
      <c r="J1155">
        <v>2.5</v>
      </c>
      <c r="K1155">
        <v>9</v>
      </c>
      <c r="L1155">
        <f t="shared" ref="L1155:L1218" si="55">G1155*(1-K1155/100)</f>
        <v>102.8937</v>
      </c>
      <c r="M1155">
        <v>2</v>
      </c>
      <c r="N1155" t="str">
        <f t="shared" ref="N1155:N1218" si="56">IF(M1155&lt;=3,"New",IF(M1155&lt;=7,"Regular","Loyal"))</f>
        <v>New</v>
      </c>
    </row>
    <row r="1156" spans="1:14" x14ac:dyDescent="0.35">
      <c r="A1156">
        <v>1155</v>
      </c>
      <c r="B1156">
        <v>52</v>
      </c>
      <c r="C1156" t="str">
        <f t="shared" si="54"/>
        <v>Adult</v>
      </c>
      <c r="D1156" t="s">
        <v>11</v>
      </c>
      <c r="E1156" t="s">
        <v>29</v>
      </c>
      <c r="F1156" t="s">
        <v>51</v>
      </c>
      <c r="G1156">
        <v>53.48</v>
      </c>
      <c r="H1156" t="s">
        <v>31</v>
      </c>
      <c r="I1156" t="s">
        <v>37</v>
      </c>
      <c r="J1156">
        <v>5</v>
      </c>
      <c r="K1156">
        <v>12</v>
      </c>
      <c r="L1156">
        <f t="shared" si="55"/>
        <v>47.062399999999997</v>
      </c>
      <c r="M1156">
        <v>6</v>
      </c>
      <c r="N1156" t="str">
        <f t="shared" si="56"/>
        <v>Regular</v>
      </c>
    </row>
    <row r="1157" spans="1:14" x14ac:dyDescent="0.35">
      <c r="A1157">
        <v>1156</v>
      </c>
      <c r="B1157">
        <v>56</v>
      </c>
      <c r="C1157" t="str">
        <f t="shared" si="54"/>
        <v>Adult</v>
      </c>
      <c r="D1157" t="s">
        <v>16</v>
      </c>
      <c r="E1157" t="s">
        <v>17</v>
      </c>
      <c r="F1157" t="s">
        <v>35</v>
      </c>
      <c r="G1157">
        <v>75.17</v>
      </c>
      <c r="H1157" t="s">
        <v>19</v>
      </c>
      <c r="I1157" t="s">
        <v>37</v>
      </c>
      <c r="J1157">
        <v>3.7</v>
      </c>
      <c r="K1157">
        <v>8</v>
      </c>
      <c r="L1157">
        <f t="shared" si="55"/>
        <v>69.156400000000005</v>
      </c>
      <c r="M1157">
        <v>4</v>
      </c>
      <c r="N1157" t="str">
        <f t="shared" si="56"/>
        <v>Regular</v>
      </c>
    </row>
    <row r="1158" spans="1:14" x14ac:dyDescent="0.35">
      <c r="A1158">
        <v>1157</v>
      </c>
      <c r="B1158">
        <v>33</v>
      </c>
      <c r="C1158" t="str">
        <f t="shared" si="54"/>
        <v>Adult</v>
      </c>
      <c r="D1158" t="s">
        <v>11</v>
      </c>
      <c r="E1158" t="s">
        <v>12</v>
      </c>
      <c r="F1158" t="s">
        <v>56</v>
      </c>
      <c r="G1158">
        <v>166.03</v>
      </c>
      <c r="H1158" t="s">
        <v>19</v>
      </c>
      <c r="I1158" t="s">
        <v>15</v>
      </c>
      <c r="J1158">
        <v>3.8</v>
      </c>
      <c r="K1158">
        <v>16</v>
      </c>
      <c r="L1158">
        <f t="shared" si="55"/>
        <v>139.46519999999998</v>
      </c>
      <c r="M1158">
        <v>8</v>
      </c>
      <c r="N1158" t="str">
        <f t="shared" si="56"/>
        <v>Loyal</v>
      </c>
    </row>
    <row r="1159" spans="1:14" x14ac:dyDescent="0.35">
      <c r="A1159">
        <v>1158</v>
      </c>
      <c r="B1159">
        <v>58</v>
      </c>
      <c r="C1159" t="str">
        <f t="shared" si="54"/>
        <v>Adult</v>
      </c>
      <c r="D1159" t="s">
        <v>16</v>
      </c>
      <c r="E1159" t="s">
        <v>17</v>
      </c>
      <c r="F1159" t="s">
        <v>18</v>
      </c>
      <c r="G1159">
        <v>103.75</v>
      </c>
      <c r="H1159" t="s">
        <v>14</v>
      </c>
      <c r="I1159" t="s">
        <v>15</v>
      </c>
      <c r="J1159">
        <v>3.4</v>
      </c>
      <c r="K1159">
        <v>17</v>
      </c>
      <c r="L1159">
        <f t="shared" si="55"/>
        <v>86.112499999999997</v>
      </c>
      <c r="M1159">
        <v>6</v>
      </c>
      <c r="N1159" t="str">
        <f t="shared" si="56"/>
        <v>Regular</v>
      </c>
    </row>
    <row r="1160" spans="1:14" x14ac:dyDescent="0.35">
      <c r="A1160">
        <v>1159</v>
      </c>
      <c r="B1160">
        <v>31</v>
      </c>
      <c r="C1160" t="str">
        <f t="shared" si="54"/>
        <v>Adult</v>
      </c>
      <c r="D1160" t="s">
        <v>11</v>
      </c>
      <c r="E1160" t="s">
        <v>12</v>
      </c>
      <c r="F1160" t="s">
        <v>13</v>
      </c>
      <c r="G1160">
        <v>45.34</v>
      </c>
      <c r="H1160" t="s">
        <v>31</v>
      </c>
      <c r="I1160" t="s">
        <v>37</v>
      </c>
      <c r="J1160">
        <v>3.2</v>
      </c>
      <c r="K1160">
        <v>20</v>
      </c>
      <c r="L1160">
        <f t="shared" si="55"/>
        <v>36.272000000000006</v>
      </c>
      <c r="M1160">
        <v>10</v>
      </c>
      <c r="N1160" t="str">
        <f t="shared" si="56"/>
        <v>Loyal</v>
      </c>
    </row>
    <row r="1161" spans="1:14" x14ac:dyDescent="0.35">
      <c r="A1161">
        <v>1160</v>
      </c>
      <c r="B1161">
        <v>41</v>
      </c>
      <c r="C1161" t="str">
        <f t="shared" si="54"/>
        <v>Adult</v>
      </c>
      <c r="D1161" t="s">
        <v>16</v>
      </c>
      <c r="E1161" t="s">
        <v>17</v>
      </c>
      <c r="F1161" t="s">
        <v>48</v>
      </c>
      <c r="G1161">
        <v>122.83</v>
      </c>
      <c r="H1161" t="s">
        <v>24</v>
      </c>
      <c r="I1161" t="s">
        <v>15</v>
      </c>
      <c r="J1161">
        <v>3.7</v>
      </c>
      <c r="K1161">
        <v>22</v>
      </c>
      <c r="L1161">
        <f t="shared" si="55"/>
        <v>95.807400000000001</v>
      </c>
      <c r="M1161">
        <v>6</v>
      </c>
      <c r="N1161" t="str">
        <f t="shared" si="56"/>
        <v>Regular</v>
      </c>
    </row>
    <row r="1162" spans="1:14" x14ac:dyDescent="0.35">
      <c r="A1162">
        <v>1161</v>
      </c>
      <c r="B1162">
        <v>65</v>
      </c>
      <c r="C1162" t="str">
        <f t="shared" si="54"/>
        <v>Senior</v>
      </c>
      <c r="D1162" t="s">
        <v>16</v>
      </c>
      <c r="E1162" t="s">
        <v>33</v>
      </c>
      <c r="F1162" t="s">
        <v>34</v>
      </c>
      <c r="G1162">
        <v>77.34</v>
      </c>
      <c r="H1162" t="s">
        <v>31</v>
      </c>
      <c r="I1162" t="s">
        <v>37</v>
      </c>
      <c r="J1162">
        <v>4.8</v>
      </c>
      <c r="K1162">
        <v>6</v>
      </c>
      <c r="L1162">
        <f t="shared" si="55"/>
        <v>72.699600000000004</v>
      </c>
      <c r="M1162">
        <v>3</v>
      </c>
      <c r="N1162" t="str">
        <f t="shared" si="56"/>
        <v>New</v>
      </c>
    </row>
    <row r="1163" spans="1:14" x14ac:dyDescent="0.35">
      <c r="A1163">
        <v>1162</v>
      </c>
      <c r="B1163">
        <v>46</v>
      </c>
      <c r="C1163" t="str">
        <f t="shared" si="54"/>
        <v>Adult</v>
      </c>
      <c r="D1163" t="s">
        <v>16</v>
      </c>
      <c r="E1163" t="s">
        <v>27</v>
      </c>
      <c r="F1163" t="s">
        <v>49</v>
      </c>
      <c r="G1163">
        <v>2424.09</v>
      </c>
      <c r="H1163" t="s">
        <v>24</v>
      </c>
      <c r="I1163" t="s">
        <v>15</v>
      </c>
      <c r="J1163">
        <v>3.6</v>
      </c>
      <c r="K1163">
        <v>18</v>
      </c>
      <c r="L1163">
        <f t="shared" si="55"/>
        <v>1987.7538000000002</v>
      </c>
      <c r="M1163">
        <v>4</v>
      </c>
      <c r="N1163" t="str">
        <f t="shared" si="56"/>
        <v>Regular</v>
      </c>
    </row>
    <row r="1164" spans="1:14" x14ac:dyDescent="0.35">
      <c r="A1164">
        <v>1163</v>
      </c>
      <c r="B1164">
        <v>30</v>
      </c>
      <c r="C1164" t="str">
        <f t="shared" si="54"/>
        <v>Youth</v>
      </c>
      <c r="D1164" t="s">
        <v>16</v>
      </c>
      <c r="E1164" t="s">
        <v>25</v>
      </c>
      <c r="F1164" t="s">
        <v>54</v>
      </c>
      <c r="G1164">
        <v>25.43</v>
      </c>
      <c r="H1164" t="s">
        <v>19</v>
      </c>
      <c r="I1164" t="s">
        <v>37</v>
      </c>
      <c r="J1164">
        <v>4.3</v>
      </c>
      <c r="K1164">
        <v>6</v>
      </c>
      <c r="L1164">
        <f t="shared" si="55"/>
        <v>23.904199999999999</v>
      </c>
      <c r="M1164">
        <v>3</v>
      </c>
      <c r="N1164" t="str">
        <f t="shared" si="56"/>
        <v>New</v>
      </c>
    </row>
    <row r="1165" spans="1:14" x14ac:dyDescent="0.35">
      <c r="A1165">
        <v>1164</v>
      </c>
      <c r="B1165">
        <v>62</v>
      </c>
      <c r="C1165" t="str">
        <f t="shared" si="54"/>
        <v>Senior</v>
      </c>
      <c r="D1165" t="s">
        <v>16</v>
      </c>
      <c r="E1165" t="s">
        <v>27</v>
      </c>
      <c r="F1165" t="s">
        <v>53</v>
      </c>
      <c r="G1165">
        <v>603.16999999999996</v>
      </c>
      <c r="H1165" t="s">
        <v>19</v>
      </c>
      <c r="I1165" t="s">
        <v>15</v>
      </c>
      <c r="J1165">
        <v>2.9</v>
      </c>
      <c r="K1165">
        <v>16</v>
      </c>
      <c r="L1165">
        <f t="shared" si="55"/>
        <v>506.66279999999995</v>
      </c>
      <c r="M1165">
        <v>8</v>
      </c>
      <c r="N1165" t="str">
        <f t="shared" si="56"/>
        <v>Loyal</v>
      </c>
    </row>
    <row r="1166" spans="1:14" x14ac:dyDescent="0.35">
      <c r="A1166">
        <v>1165</v>
      </c>
      <c r="B1166">
        <v>22</v>
      </c>
      <c r="C1166" t="str">
        <f t="shared" si="54"/>
        <v>Youth</v>
      </c>
      <c r="D1166" t="s">
        <v>11</v>
      </c>
      <c r="E1166" t="s">
        <v>29</v>
      </c>
      <c r="F1166" t="s">
        <v>30</v>
      </c>
      <c r="G1166">
        <v>80.91</v>
      </c>
      <c r="H1166" t="s">
        <v>14</v>
      </c>
      <c r="I1166" t="s">
        <v>15</v>
      </c>
      <c r="J1166">
        <v>5</v>
      </c>
      <c r="K1166">
        <v>20</v>
      </c>
      <c r="L1166">
        <f t="shared" si="55"/>
        <v>64.727999999999994</v>
      </c>
      <c r="M1166">
        <v>5</v>
      </c>
      <c r="N1166" t="str">
        <f t="shared" si="56"/>
        <v>Regular</v>
      </c>
    </row>
    <row r="1167" spans="1:14" x14ac:dyDescent="0.35">
      <c r="A1167">
        <v>1166</v>
      </c>
      <c r="B1167">
        <v>22</v>
      </c>
      <c r="C1167" t="str">
        <f t="shared" si="54"/>
        <v>Youth</v>
      </c>
      <c r="D1167" t="s">
        <v>16</v>
      </c>
      <c r="E1167" t="s">
        <v>27</v>
      </c>
      <c r="F1167" t="s">
        <v>28</v>
      </c>
      <c r="G1167">
        <v>542.16</v>
      </c>
      <c r="H1167" t="s">
        <v>14</v>
      </c>
      <c r="I1167" t="s">
        <v>15</v>
      </c>
      <c r="J1167">
        <v>3.5</v>
      </c>
      <c r="K1167">
        <v>9</v>
      </c>
      <c r="L1167">
        <f t="shared" si="55"/>
        <v>493.36559999999997</v>
      </c>
      <c r="M1167">
        <v>2</v>
      </c>
      <c r="N1167" t="str">
        <f t="shared" si="56"/>
        <v>New</v>
      </c>
    </row>
    <row r="1168" spans="1:14" x14ac:dyDescent="0.35">
      <c r="A1168">
        <v>1167</v>
      </c>
      <c r="B1168">
        <v>51</v>
      </c>
      <c r="C1168" t="str">
        <f t="shared" si="54"/>
        <v>Adult</v>
      </c>
      <c r="D1168" t="s">
        <v>16</v>
      </c>
      <c r="E1168" t="s">
        <v>27</v>
      </c>
      <c r="F1168" t="s">
        <v>49</v>
      </c>
      <c r="G1168">
        <v>1413.04</v>
      </c>
      <c r="H1168" t="s">
        <v>14</v>
      </c>
      <c r="I1168" t="s">
        <v>15</v>
      </c>
      <c r="J1168">
        <v>3.3</v>
      </c>
      <c r="K1168">
        <v>13</v>
      </c>
      <c r="L1168">
        <f t="shared" si="55"/>
        <v>1229.3447999999999</v>
      </c>
      <c r="M1168">
        <v>4</v>
      </c>
      <c r="N1168" t="str">
        <f t="shared" si="56"/>
        <v>Regular</v>
      </c>
    </row>
    <row r="1169" spans="1:14" x14ac:dyDescent="0.35">
      <c r="A1169">
        <v>1168</v>
      </c>
      <c r="B1169">
        <v>37</v>
      </c>
      <c r="C1169" t="str">
        <f t="shared" si="54"/>
        <v>Adult</v>
      </c>
      <c r="D1169" t="s">
        <v>11</v>
      </c>
      <c r="E1169" t="s">
        <v>25</v>
      </c>
      <c r="F1169" t="s">
        <v>26</v>
      </c>
      <c r="G1169">
        <v>47.92</v>
      </c>
      <c r="H1169" t="s">
        <v>31</v>
      </c>
      <c r="I1169" t="s">
        <v>37</v>
      </c>
      <c r="J1169">
        <v>3.9</v>
      </c>
      <c r="K1169">
        <v>20</v>
      </c>
      <c r="L1169">
        <f t="shared" si="55"/>
        <v>38.336000000000006</v>
      </c>
      <c r="M1169">
        <v>5</v>
      </c>
      <c r="N1169" t="str">
        <f t="shared" si="56"/>
        <v>Regular</v>
      </c>
    </row>
    <row r="1170" spans="1:14" x14ac:dyDescent="0.35">
      <c r="A1170">
        <v>1169</v>
      </c>
      <c r="B1170">
        <v>59</v>
      </c>
      <c r="C1170" t="str">
        <f t="shared" si="54"/>
        <v>Adult</v>
      </c>
      <c r="D1170" t="s">
        <v>11</v>
      </c>
      <c r="E1170" t="s">
        <v>12</v>
      </c>
      <c r="F1170" t="s">
        <v>56</v>
      </c>
      <c r="G1170">
        <v>93.12</v>
      </c>
      <c r="H1170" t="s">
        <v>31</v>
      </c>
      <c r="I1170" t="s">
        <v>37</v>
      </c>
      <c r="J1170">
        <v>4.2</v>
      </c>
      <c r="K1170">
        <v>22</v>
      </c>
      <c r="L1170">
        <f t="shared" si="55"/>
        <v>72.633600000000001</v>
      </c>
      <c r="M1170">
        <v>6</v>
      </c>
      <c r="N1170" t="str">
        <f t="shared" si="56"/>
        <v>Regular</v>
      </c>
    </row>
    <row r="1171" spans="1:14" x14ac:dyDescent="0.35">
      <c r="A1171">
        <v>1170</v>
      </c>
      <c r="B1171">
        <v>48</v>
      </c>
      <c r="C1171" t="str">
        <f t="shared" si="54"/>
        <v>Adult</v>
      </c>
      <c r="D1171" t="s">
        <v>11</v>
      </c>
      <c r="E1171" t="s">
        <v>20</v>
      </c>
      <c r="F1171" t="s">
        <v>21</v>
      </c>
      <c r="G1171">
        <v>58.09</v>
      </c>
      <c r="H1171" t="s">
        <v>14</v>
      </c>
      <c r="I1171" t="s">
        <v>15</v>
      </c>
      <c r="J1171">
        <v>3.4</v>
      </c>
      <c r="K1171">
        <v>11</v>
      </c>
      <c r="L1171">
        <f t="shared" si="55"/>
        <v>51.700100000000006</v>
      </c>
      <c r="M1171">
        <v>3</v>
      </c>
      <c r="N1171" t="str">
        <f t="shared" si="56"/>
        <v>New</v>
      </c>
    </row>
    <row r="1172" spans="1:14" x14ac:dyDescent="0.35">
      <c r="A1172">
        <v>1171</v>
      </c>
      <c r="B1172">
        <v>48</v>
      </c>
      <c r="C1172" t="str">
        <f t="shared" si="54"/>
        <v>Adult</v>
      </c>
      <c r="D1172" t="s">
        <v>16</v>
      </c>
      <c r="E1172" t="s">
        <v>27</v>
      </c>
      <c r="F1172" t="s">
        <v>49</v>
      </c>
      <c r="G1172">
        <v>1992.41</v>
      </c>
      <c r="H1172" t="s">
        <v>31</v>
      </c>
      <c r="I1172" t="s">
        <v>15</v>
      </c>
      <c r="J1172">
        <v>4.4000000000000004</v>
      </c>
      <c r="K1172">
        <v>16</v>
      </c>
      <c r="L1172">
        <f t="shared" si="55"/>
        <v>1673.6243999999999</v>
      </c>
      <c r="M1172">
        <v>3</v>
      </c>
      <c r="N1172" t="str">
        <f t="shared" si="56"/>
        <v>New</v>
      </c>
    </row>
    <row r="1173" spans="1:14" x14ac:dyDescent="0.35">
      <c r="A1173">
        <v>1172</v>
      </c>
      <c r="B1173">
        <v>58</v>
      </c>
      <c r="C1173" t="str">
        <f t="shared" si="54"/>
        <v>Adult</v>
      </c>
      <c r="D1173" t="s">
        <v>16</v>
      </c>
      <c r="E1173" t="s">
        <v>20</v>
      </c>
      <c r="F1173" t="s">
        <v>39</v>
      </c>
      <c r="G1173">
        <v>137.08000000000001</v>
      </c>
      <c r="H1173" t="s">
        <v>24</v>
      </c>
      <c r="I1173" t="s">
        <v>15</v>
      </c>
      <c r="J1173">
        <v>3.1</v>
      </c>
      <c r="K1173">
        <v>28</v>
      </c>
      <c r="L1173">
        <f t="shared" si="55"/>
        <v>98.697600000000008</v>
      </c>
      <c r="M1173">
        <v>9</v>
      </c>
      <c r="N1173" t="str">
        <f t="shared" si="56"/>
        <v>Loyal</v>
      </c>
    </row>
    <row r="1174" spans="1:14" x14ac:dyDescent="0.35">
      <c r="A1174">
        <v>1173</v>
      </c>
      <c r="B1174">
        <v>33</v>
      </c>
      <c r="C1174" t="str">
        <f t="shared" si="54"/>
        <v>Adult</v>
      </c>
      <c r="D1174" t="s">
        <v>16</v>
      </c>
      <c r="E1174" t="s">
        <v>25</v>
      </c>
      <c r="F1174" t="s">
        <v>47</v>
      </c>
      <c r="G1174">
        <v>7.64</v>
      </c>
      <c r="H1174" t="s">
        <v>19</v>
      </c>
      <c r="I1174" t="s">
        <v>15</v>
      </c>
      <c r="J1174">
        <v>3.6</v>
      </c>
      <c r="K1174">
        <v>4</v>
      </c>
      <c r="L1174">
        <f t="shared" si="55"/>
        <v>7.3343999999999996</v>
      </c>
      <c r="M1174">
        <v>2</v>
      </c>
      <c r="N1174" t="str">
        <f t="shared" si="56"/>
        <v>New</v>
      </c>
    </row>
    <row r="1175" spans="1:14" x14ac:dyDescent="0.35">
      <c r="A1175">
        <v>1174</v>
      </c>
      <c r="B1175">
        <v>20</v>
      </c>
      <c r="C1175" t="str">
        <f t="shared" si="54"/>
        <v>Youth</v>
      </c>
      <c r="D1175" t="s">
        <v>16</v>
      </c>
      <c r="E1175" t="s">
        <v>27</v>
      </c>
      <c r="F1175" t="s">
        <v>49</v>
      </c>
      <c r="G1175">
        <v>1333.64</v>
      </c>
      <c r="H1175" t="s">
        <v>31</v>
      </c>
      <c r="I1175" t="s">
        <v>15</v>
      </c>
      <c r="J1175">
        <v>2.7</v>
      </c>
      <c r="K1175">
        <v>10</v>
      </c>
      <c r="L1175">
        <f t="shared" si="55"/>
        <v>1200.2760000000001</v>
      </c>
      <c r="M1175">
        <v>5</v>
      </c>
      <c r="N1175" t="str">
        <f t="shared" si="56"/>
        <v>Regular</v>
      </c>
    </row>
    <row r="1176" spans="1:14" x14ac:dyDescent="0.35">
      <c r="A1176">
        <v>1175</v>
      </c>
      <c r="B1176">
        <v>23</v>
      </c>
      <c r="C1176" t="str">
        <f t="shared" si="54"/>
        <v>Youth</v>
      </c>
      <c r="D1176" t="s">
        <v>16</v>
      </c>
      <c r="E1176" t="s">
        <v>17</v>
      </c>
      <c r="F1176" t="s">
        <v>48</v>
      </c>
      <c r="G1176">
        <v>58.77</v>
      </c>
      <c r="H1176" t="s">
        <v>24</v>
      </c>
      <c r="I1176" t="s">
        <v>37</v>
      </c>
      <c r="J1176">
        <v>3.1</v>
      </c>
      <c r="K1176">
        <v>10</v>
      </c>
      <c r="L1176">
        <f t="shared" si="55"/>
        <v>52.893000000000001</v>
      </c>
      <c r="M1176">
        <v>5</v>
      </c>
      <c r="N1176" t="str">
        <f t="shared" si="56"/>
        <v>Regular</v>
      </c>
    </row>
    <row r="1177" spans="1:14" x14ac:dyDescent="0.35">
      <c r="A1177">
        <v>1176</v>
      </c>
      <c r="B1177">
        <v>64</v>
      </c>
      <c r="C1177" t="str">
        <f t="shared" si="54"/>
        <v>Senior</v>
      </c>
      <c r="D1177" t="s">
        <v>11</v>
      </c>
      <c r="E1177" t="s">
        <v>33</v>
      </c>
      <c r="F1177" t="s">
        <v>34</v>
      </c>
      <c r="G1177">
        <v>42.22</v>
      </c>
      <c r="H1177" t="s">
        <v>19</v>
      </c>
      <c r="I1177" t="s">
        <v>15</v>
      </c>
      <c r="J1177">
        <v>3.9</v>
      </c>
      <c r="K1177">
        <v>17</v>
      </c>
      <c r="L1177">
        <f t="shared" si="55"/>
        <v>35.0426</v>
      </c>
      <c r="M1177">
        <v>6</v>
      </c>
      <c r="N1177" t="str">
        <f t="shared" si="56"/>
        <v>Regular</v>
      </c>
    </row>
    <row r="1178" spans="1:14" x14ac:dyDescent="0.35">
      <c r="A1178">
        <v>1177</v>
      </c>
      <c r="B1178">
        <v>66</v>
      </c>
      <c r="C1178" t="str">
        <f t="shared" si="54"/>
        <v>Senior</v>
      </c>
      <c r="D1178" t="s">
        <v>16</v>
      </c>
      <c r="E1178" t="s">
        <v>33</v>
      </c>
      <c r="F1178" t="s">
        <v>34</v>
      </c>
      <c r="G1178">
        <v>158.22</v>
      </c>
      <c r="H1178" t="s">
        <v>31</v>
      </c>
      <c r="I1178" t="s">
        <v>15</v>
      </c>
      <c r="J1178">
        <v>2.8</v>
      </c>
      <c r="K1178">
        <v>11</v>
      </c>
      <c r="L1178">
        <f t="shared" si="55"/>
        <v>140.8158</v>
      </c>
      <c r="M1178">
        <v>3</v>
      </c>
      <c r="N1178" t="str">
        <f t="shared" si="56"/>
        <v>New</v>
      </c>
    </row>
    <row r="1179" spans="1:14" x14ac:dyDescent="0.35">
      <c r="A1179">
        <v>1178</v>
      </c>
      <c r="B1179">
        <v>55</v>
      </c>
      <c r="C1179" t="str">
        <f t="shared" si="54"/>
        <v>Adult</v>
      </c>
      <c r="D1179" t="s">
        <v>16</v>
      </c>
      <c r="E1179" t="s">
        <v>33</v>
      </c>
      <c r="F1179" t="s">
        <v>40</v>
      </c>
      <c r="G1179">
        <v>77.33</v>
      </c>
      <c r="H1179" t="s">
        <v>14</v>
      </c>
      <c r="I1179" t="s">
        <v>37</v>
      </c>
      <c r="J1179">
        <v>3.6</v>
      </c>
      <c r="K1179">
        <v>15</v>
      </c>
      <c r="L1179">
        <f t="shared" si="55"/>
        <v>65.730499999999992</v>
      </c>
      <c r="M1179">
        <v>5</v>
      </c>
      <c r="N1179" t="str">
        <f t="shared" si="56"/>
        <v>Regular</v>
      </c>
    </row>
    <row r="1180" spans="1:14" x14ac:dyDescent="0.35">
      <c r="A1180">
        <v>1179</v>
      </c>
      <c r="B1180">
        <v>29</v>
      </c>
      <c r="C1180" t="str">
        <f t="shared" si="54"/>
        <v>Youth</v>
      </c>
      <c r="D1180" t="s">
        <v>16</v>
      </c>
      <c r="E1180" t="s">
        <v>22</v>
      </c>
      <c r="F1180" t="s">
        <v>23</v>
      </c>
      <c r="G1180">
        <v>255.41</v>
      </c>
      <c r="H1180" t="s">
        <v>31</v>
      </c>
      <c r="I1180" t="s">
        <v>15</v>
      </c>
      <c r="J1180">
        <v>4.5999999999999996</v>
      </c>
      <c r="K1180">
        <v>24</v>
      </c>
      <c r="L1180">
        <f t="shared" si="55"/>
        <v>194.11160000000001</v>
      </c>
      <c r="M1180">
        <v>7</v>
      </c>
      <c r="N1180" t="str">
        <f t="shared" si="56"/>
        <v>Regular</v>
      </c>
    </row>
    <row r="1181" spans="1:14" x14ac:dyDescent="0.35">
      <c r="A1181">
        <v>1180</v>
      </c>
      <c r="B1181">
        <v>39</v>
      </c>
      <c r="C1181" t="str">
        <f t="shared" si="54"/>
        <v>Adult</v>
      </c>
      <c r="D1181" t="s">
        <v>16</v>
      </c>
      <c r="E1181" t="s">
        <v>20</v>
      </c>
      <c r="F1181" t="s">
        <v>36</v>
      </c>
      <c r="G1181">
        <v>241.39</v>
      </c>
      <c r="H1181" t="s">
        <v>19</v>
      </c>
      <c r="I1181" t="s">
        <v>15</v>
      </c>
      <c r="J1181">
        <v>2.1</v>
      </c>
      <c r="K1181">
        <v>18</v>
      </c>
      <c r="L1181">
        <f t="shared" si="55"/>
        <v>197.93979999999999</v>
      </c>
      <c r="M1181">
        <v>9</v>
      </c>
      <c r="N1181" t="str">
        <f t="shared" si="56"/>
        <v>Loyal</v>
      </c>
    </row>
    <row r="1182" spans="1:14" x14ac:dyDescent="0.35">
      <c r="A1182">
        <v>1181</v>
      </c>
      <c r="B1182">
        <v>67</v>
      </c>
      <c r="C1182" t="str">
        <f t="shared" si="54"/>
        <v>Senior</v>
      </c>
      <c r="D1182" t="s">
        <v>16</v>
      </c>
      <c r="E1182" t="s">
        <v>20</v>
      </c>
      <c r="F1182" t="s">
        <v>39</v>
      </c>
      <c r="G1182">
        <v>141.33000000000001</v>
      </c>
      <c r="H1182" t="s">
        <v>24</v>
      </c>
      <c r="I1182" t="s">
        <v>15</v>
      </c>
      <c r="J1182">
        <v>5</v>
      </c>
      <c r="K1182">
        <v>24</v>
      </c>
      <c r="L1182">
        <f t="shared" si="55"/>
        <v>107.41080000000001</v>
      </c>
      <c r="M1182">
        <v>7</v>
      </c>
      <c r="N1182" t="str">
        <f t="shared" si="56"/>
        <v>Regular</v>
      </c>
    </row>
    <row r="1183" spans="1:14" x14ac:dyDescent="0.35">
      <c r="A1183">
        <v>1182</v>
      </c>
      <c r="B1183">
        <v>29</v>
      </c>
      <c r="C1183" t="str">
        <f t="shared" si="54"/>
        <v>Youth</v>
      </c>
      <c r="D1183" t="s">
        <v>11</v>
      </c>
      <c r="E1183" t="s">
        <v>33</v>
      </c>
      <c r="F1183" t="s">
        <v>40</v>
      </c>
      <c r="G1183">
        <v>78.349999999999994</v>
      </c>
      <c r="H1183" t="s">
        <v>31</v>
      </c>
      <c r="I1183" t="s">
        <v>37</v>
      </c>
      <c r="J1183">
        <v>3.8</v>
      </c>
      <c r="K1183">
        <v>16</v>
      </c>
      <c r="L1183">
        <f t="shared" si="55"/>
        <v>65.813999999999993</v>
      </c>
      <c r="M1183">
        <v>3</v>
      </c>
      <c r="N1183" t="str">
        <f t="shared" si="56"/>
        <v>New</v>
      </c>
    </row>
    <row r="1184" spans="1:14" x14ac:dyDescent="0.35">
      <c r="A1184">
        <v>1183</v>
      </c>
      <c r="B1184">
        <v>30</v>
      </c>
      <c r="C1184" t="str">
        <f t="shared" si="54"/>
        <v>Youth</v>
      </c>
      <c r="D1184" t="s">
        <v>11</v>
      </c>
      <c r="E1184" t="s">
        <v>33</v>
      </c>
      <c r="F1184" t="s">
        <v>34</v>
      </c>
      <c r="G1184">
        <v>170.77</v>
      </c>
      <c r="H1184" t="s">
        <v>24</v>
      </c>
      <c r="I1184" t="s">
        <v>15</v>
      </c>
      <c r="J1184">
        <v>4.9000000000000004</v>
      </c>
      <c r="K1184">
        <v>11</v>
      </c>
      <c r="L1184">
        <f t="shared" si="55"/>
        <v>151.98530000000002</v>
      </c>
      <c r="M1184">
        <v>3</v>
      </c>
      <c r="N1184" t="str">
        <f t="shared" si="56"/>
        <v>New</v>
      </c>
    </row>
    <row r="1185" spans="1:14" x14ac:dyDescent="0.35">
      <c r="A1185">
        <v>1184</v>
      </c>
      <c r="B1185">
        <v>20</v>
      </c>
      <c r="C1185" t="str">
        <f t="shared" si="54"/>
        <v>Youth</v>
      </c>
      <c r="D1185" t="s">
        <v>16</v>
      </c>
      <c r="E1185" t="s">
        <v>33</v>
      </c>
      <c r="F1185" t="s">
        <v>40</v>
      </c>
      <c r="G1185">
        <v>249.56</v>
      </c>
      <c r="H1185" t="s">
        <v>31</v>
      </c>
      <c r="I1185" t="s">
        <v>15</v>
      </c>
      <c r="J1185">
        <v>2.4</v>
      </c>
      <c r="K1185">
        <v>26</v>
      </c>
      <c r="L1185">
        <f t="shared" si="55"/>
        <v>184.67439999999999</v>
      </c>
      <c r="M1185">
        <v>8</v>
      </c>
      <c r="N1185" t="str">
        <f t="shared" si="56"/>
        <v>Loyal</v>
      </c>
    </row>
    <row r="1186" spans="1:14" x14ac:dyDescent="0.35">
      <c r="A1186">
        <v>1185</v>
      </c>
      <c r="B1186">
        <v>44</v>
      </c>
      <c r="C1186" t="str">
        <f t="shared" si="54"/>
        <v>Adult</v>
      </c>
      <c r="D1186" t="s">
        <v>11</v>
      </c>
      <c r="E1186" t="s">
        <v>29</v>
      </c>
      <c r="F1186" t="s">
        <v>55</v>
      </c>
      <c r="G1186">
        <v>69.64</v>
      </c>
      <c r="H1186" t="s">
        <v>31</v>
      </c>
      <c r="I1186" t="s">
        <v>37</v>
      </c>
      <c r="J1186">
        <v>2.7</v>
      </c>
      <c r="K1186">
        <v>10</v>
      </c>
      <c r="L1186">
        <f t="shared" si="55"/>
        <v>62.676000000000002</v>
      </c>
      <c r="M1186">
        <v>5</v>
      </c>
      <c r="N1186" t="str">
        <f t="shared" si="56"/>
        <v>Regular</v>
      </c>
    </row>
    <row r="1187" spans="1:14" x14ac:dyDescent="0.35">
      <c r="A1187">
        <v>1186</v>
      </c>
      <c r="B1187">
        <v>61</v>
      </c>
      <c r="C1187" t="str">
        <f t="shared" si="54"/>
        <v>Senior</v>
      </c>
      <c r="D1187" t="s">
        <v>16</v>
      </c>
      <c r="E1187" t="s">
        <v>20</v>
      </c>
      <c r="F1187" t="s">
        <v>39</v>
      </c>
      <c r="G1187">
        <v>31.66</v>
      </c>
      <c r="H1187" t="s">
        <v>24</v>
      </c>
      <c r="I1187" t="s">
        <v>37</v>
      </c>
      <c r="J1187">
        <v>4</v>
      </c>
      <c r="K1187">
        <v>20</v>
      </c>
      <c r="L1187">
        <f t="shared" si="55"/>
        <v>25.328000000000003</v>
      </c>
      <c r="M1187">
        <v>5</v>
      </c>
      <c r="N1187" t="str">
        <f t="shared" si="56"/>
        <v>Regular</v>
      </c>
    </row>
    <row r="1188" spans="1:14" x14ac:dyDescent="0.35">
      <c r="A1188">
        <v>1187</v>
      </c>
      <c r="B1188">
        <v>25</v>
      </c>
      <c r="C1188" t="str">
        <f t="shared" si="54"/>
        <v>Youth</v>
      </c>
      <c r="D1188" t="s">
        <v>11</v>
      </c>
      <c r="E1188" t="s">
        <v>29</v>
      </c>
      <c r="F1188" t="s">
        <v>55</v>
      </c>
      <c r="G1188">
        <v>56.01</v>
      </c>
      <c r="H1188" t="s">
        <v>19</v>
      </c>
      <c r="I1188" t="s">
        <v>37</v>
      </c>
      <c r="J1188">
        <v>3.1</v>
      </c>
      <c r="K1188">
        <v>10</v>
      </c>
      <c r="L1188">
        <f t="shared" si="55"/>
        <v>50.408999999999999</v>
      </c>
      <c r="M1188">
        <v>5</v>
      </c>
      <c r="N1188" t="str">
        <f t="shared" si="56"/>
        <v>Regular</v>
      </c>
    </row>
    <row r="1189" spans="1:14" x14ac:dyDescent="0.35">
      <c r="A1189">
        <v>1188</v>
      </c>
      <c r="B1189">
        <v>57</v>
      </c>
      <c r="C1189" t="str">
        <f t="shared" si="54"/>
        <v>Adult</v>
      </c>
      <c r="D1189" t="s">
        <v>16</v>
      </c>
      <c r="E1189" t="s">
        <v>33</v>
      </c>
      <c r="F1189" t="s">
        <v>34</v>
      </c>
      <c r="G1189">
        <v>191.16</v>
      </c>
      <c r="H1189" t="s">
        <v>19</v>
      </c>
      <c r="I1189" t="s">
        <v>15</v>
      </c>
      <c r="J1189">
        <v>3.8</v>
      </c>
      <c r="K1189">
        <v>15</v>
      </c>
      <c r="L1189">
        <f t="shared" si="55"/>
        <v>162.48599999999999</v>
      </c>
      <c r="M1189">
        <v>5</v>
      </c>
      <c r="N1189" t="str">
        <f t="shared" si="56"/>
        <v>Regular</v>
      </c>
    </row>
    <row r="1190" spans="1:14" x14ac:dyDescent="0.35">
      <c r="A1190">
        <v>1189</v>
      </c>
      <c r="B1190">
        <v>32</v>
      </c>
      <c r="C1190" t="str">
        <f t="shared" si="54"/>
        <v>Adult</v>
      </c>
      <c r="D1190" t="s">
        <v>11</v>
      </c>
      <c r="E1190" t="s">
        <v>33</v>
      </c>
      <c r="F1190" t="s">
        <v>34</v>
      </c>
      <c r="G1190">
        <v>200.69</v>
      </c>
      <c r="H1190" t="s">
        <v>31</v>
      </c>
      <c r="I1190" t="s">
        <v>15</v>
      </c>
      <c r="J1190">
        <v>3.9</v>
      </c>
      <c r="K1190">
        <v>10</v>
      </c>
      <c r="L1190">
        <f t="shared" si="55"/>
        <v>180.62100000000001</v>
      </c>
      <c r="M1190">
        <v>5</v>
      </c>
      <c r="N1190" t="str">
        <f t="shared" si="56"/>
        <v>Regular</v>
      </c>
    </row>
    <row r="1191" spans="1:14" x14ac:dyDescent="0.35">
      <c r="A1191">
        <v>1190</v>
      </c>
      <c r="B1191">
        <v>33</v>
      </c>
      <c r="C1191" t="str">
        <f t="shared" si="54"/>
        <v>Adult</v>
      </c>
      <c r="D1191" t="s">
        <v>16</v>
      </c>
      <c r="E1191" t="s">
        <v>17</v>
      </c>
      <c r="F1191" t="s">
        <v>18</v>
      </c>
      <c r="G1191">
        <v>30.68</v>
      </c>
      <c r="H1191" t="s">
        <v>19</v>
      </c>
      <c r="I1191" t="s">
        <v>15</v>
      </c>
      <c r="J1191">
        <v>3.7</v>
      </c>
      <c r="K1191">
        <v>10</v>
      </c>
      <c r="L1191">
        <f t="shared" si="55"/>
        <v>27.612000000000002</v>
      </c>
      <c r="M1191">
        <v>5</v>
      </c>
      <c r="N1191" t="str">
        <f t="shared" si="56"/>
        <v>Regular</v>
      </c>
    </row>
    <row r="1192" spans="1:14" x14ac:dyDescent="0.35">
      <c r="A1192">
        <v>1191</v>
      </c>
      <c r="B1192">
        <v>38</v>
      </c>
      <c r="C1192" t="str">
        <f t="shared" si="54"/>
        <v>Adult</v>
      </c>
      <c r="D1192" t="s">
        <v>16</v>
      </c>
      <c r="E1192" t="s">
        <v>20</v>
      </c>
      <c r="F1192" t="s">
        <v>39</v>
      </c>
      <c r="G1192">
        <v>225</v>
      </c>
      <c r="H1192" t="s">
        <v>31</v>
      </c>
      <c r="I1192" t="s">
        <v>15</v>
      </c>
      <c r="J1192">
        <v>3.7</v>
      </c>
      <c r="K1192">
        <v>2</v>
      </c>
      <c r="L1192">
        <f t="shared" si="55"/>
        <v>220.5</v>
      </c>
      <c r="M1192">
        <v>1</v>
      </c>
      <c r="N1192" t="str">
        <f t="shared" si="56"/>
        <v>New</v>
      </c>
    </row>
    <row r="1193" spans="1:14" x14ac:dyDescent="0.35">
      <c r="A1193">
        <v>1192</v>
      </c>
      <c r="B1193">
        <v>31</v>
      </c>
      <c r="C1193" t="str">
        <f t="shared" si="54"/>
        <v>Adult</v>
      </c>
      <c r="D1193" t="s">
        <v>11</v>
      </c>
      <c r="E1193" t="s">
        <v>29</v>
      </c>
      <c r="F1193" t="s">
        <v>55</v>
      </c>
      <c r="G1193">
        <v>39.450000000000003</v>
      </c>
      <c r="H1193" t="s">
        <v>31</v>
      </c>
      <c r="I1193" t="s">
        <v>37</v>
      </c>
      <c r="J1193">
        <v>4.2</v>
      </c>
      <c r="K1193">
        <v>18</v>
      </c>
      <c r="L1193">
        <f t="shared" si="55"/>
        <v>32.349000000000004</v>
      </c>
      <c r="M1193">
        <v>9</v>
      </c>
      <c r="N1193" t="str">
        <f t="shared" si="56"/>
        <v>Loyal</v>
      </c>
    </row>
    <row r="1194" spans="1:14" x14ac:dyDescent="0.35">
      <c r="A1194">
        <v>1193</v>
      </c>
      <c r="B1194">
        <v>65</v>
      </c>
      <c r="C1194" t="str">
        <f t="shared" si="54"/>
        <v>Senior</v>
      </c>
      <c r="D1194" t="s">
        <v>11</v>
      </c>
      <c r="E1194" t="s">
        <v>33</v>
      </c>
      <c r="F1194" t="s">
        <v>40</v>
      </c>
      <c r="G1194">
        <v>131.71</v>
      </c>
      <c r="H1194" t="s">
        <v>14</v>
      </c>
      <c r="I1194" t="s">
        <v>15</v>
      </c>
      <c r="J1194">
        <v>3.5</v>
      </c>
      <c r="K1194">
        <v>13</v>
      </c>
      <c r="L1194">
        <f t="shared" si="55"/>
        <v>114.58770000000001</v>
      </c>
      <c r="M1194">
        <v>4</v>
      </c>
      <c r="N1194" t="str">
        <f t="shared" si="56"/>
        <v>Regular</v>
      </c>
    </row>
    <row r="1195" spans="1:14" x14ac:dyDescent="0.35">
      <c r="A1195">
        <v>1194</v>
      </c>
      <c r="B1195">
        <v>43</v>
      </c>
      <c r="C1195" t="str">
        <f t="shared" si="54"/>
        <v>Adult</v>
      </c>
      <c r="D1195" t="s">
        <v>16</v>
      </c>
      <c r="E1195" t="s">
        <v>33</v>
      </c>
      <c r="F1195" t="s">
        <v>34</v>
      </c>
      <c r="G1195">
        <v>141.38999999999999</v>
      </c>
      <c r="H1195" t="s">
        <v>14</v>
      </c>
      <c r="I1195" t="s">
        <v>15</v>
      </c>
      <c r="J1195">
        <v>4.3</v>
      </c>
      <c r="K1195">
        <v>17</v>
      </c>
      <c r="L1195">
        <f t="shared" si="55"/>
        <v>117.35369999999999</v>
      </c>
      <c r="M1195">
        <v>6</v>
      </c>
      <c r="N1195" t="str">
        <f t="shared" si="56"/>
        <v>Regular</v>
      </c>
    </row>
    <row r="1196" spans="1:14" x14ac:dyDescent="0.35">
      <c r="A1196">
        <v>1195</v>
      </c>
      <c r="B1196">
        <v>33</v>
      </c>
      <c r="C1196" t="str">
        <f t="shared" si="54"/>
        <v>Adult</v>
      </c>
      <c r="D1196" t="s">
        <v>16</v>
      </c>
      <c r="E1196" t="s">
        <v>22</v>
      </c>
      <c r="F1196" t="s">
        <v>52</v>
      </c>
      <c r="G1196">
        <v>48.08</v>
      </c>
      <c r="H1196" t="s">
        <v>31</v>
      </c>
      <c r="I1196" t="s">
        <v>15</v>
      </c>
      <c r="J1196">
        <v>3.8</v>
      </c>
      <c r="K1196">
        <v>30</v>
      </c>
      <c r="L1196">
        <f t="shared" si="55"/>
        <v>33.655999999999999</v>
      </c>
      <c r="M1196">
        <v>10</v>
      </c>
      <c r="N1196" t="str">
        <f t="shared" si="56"/>
        <v>Loyal</v>
      </c>
    </row>
    <row r="1197" spans="1:14" x14ac:dyDescent="0.35">
      <c r="A1197">
        <v>1196</v>
      </c>
      <c r="B1197">
        <v>29</v>
      </c>
      <c r="C1197" t="str">
        <f t="shared" si="54"/>
        <v>Youth</v>
      </c>
      <c r="D1197" t="s">
        <v>11</v>
      </c>
      <c r="E1197" t="s">
        <v>33</v>
      </c>
      <c r="F1197" t="s">
        <v>34</v>
      </c>
      <c r="G1197">
        <v>143.49</v>
      </c>
      <c r="H1197" t="s">
        <v>19</v>
      </c>
      <c r="I1197" t="s">
        <v>15</v>
      </c>
      <c r="J1197">
        <v>2.4</v>
      </c>
      <c r="K1197">
        <v>18</v>
      </c>
      <c r="L1197">
        <f t="shared" si="55"/>
        <v>117.66180000000001</v>
      </c>
      <c r="M1197">
        <v>4</v>
      </c>
      <c r="N1197" t="str">
        <f t="shared" si="56"/>
        <v>Regular</v>
      </c>
    </row>
    <row r="1198" spans="1:14" x14ac:dyDescent="0.35">
      <c r="A1198">
        <v>1197</v>
      </c>
      <c r="B1198">
        <v>23</v>
      </c>
      <c r="C1198" t="str">
        <f t="shared" si="54"/>
        <v>Youth</v>
      </c>
      <c r="D1198" t="s">
        <v>11</v>
      </c>
      <c r="E1198" t="s">
        <v>25</v>
      </c>
      <c r="F1198" t="s">
        <v>57</v>
      </c>
      <c r="G1198">
        <v>32.67</v>
      </c>
      <c r="H1198" t="s">
        <v>19</v>
      </c>
      <c r="I1198" t="s">
        <v>37</v>
      </c>
      <c r="J1198">
        <v>4</v>
      </c>
      <c r="K1198">
        <v>19</v>
      </c>
      <c r="L1198">
        <f t="shared" si="55"/>
        <v>26.462700000000002</v>
      </c>
      <c r="M1198">
        <v>7</v>
      </c>
      <c r="N1198" t="str">
        <f t="shared" si="56"/>
        <v>Regular</v>
      </c>
    </row>
    <row r="1199" spans="1:14" x14ac:dyDescent="0.35">
      <c r="A1199">
        <v>1198</v>
      </c>
      <c r="B1199">
        <v>68</v>
      </c>
      <c r="C1199" t="str">
        <f t="shared" si="54"/>
        <v>Senior</v>
      </c>
      <c r="D1199" t="s">
        <v>11</v>
      </c>
      <c r="E1199" t="s">
        <v>41</v>
      </c>
      <c r="F1199" t="s">
        <v>42</v>
      </c>
      <c r="G1199">
        <v>95.87</v>
      </c>
      <c r="H1199" t="s">
        <v>14</v>
      </c>
      <c r="I1199" t="s">
        <v>37</v>
      </c>
      <c r="J1199">
        <v>3.3</v>
      </c>
      <c r="K1199">
        <v>13</v>
      </c>
      <c r="L1199">
        <f t="shared" si="55"/>
        <v>83.406900000000007</v>
      </c>
      <c r="M1199">
        <v>4</v>
      </c>
      <c r="N1199" t="str">
        <f t="shared" si="56"/>
        <v>Regular</v>
      </c>
    </row>
    <row r="1200" spans="1:14" x14ac:dyDescent="0.35">
      <c r="A1200">
        <v>1199</v>
      </c>
      <c r="B1200">
        <v>61</v>
      </c>
      <c r="C1200" t="str">
        <f t="shared" si="54"/>
        <v>Senior</v>
      </c>
      <c r="D1200" t="s">
        <v>16</v>
      </c>
      <c r="E1200" t="s">
        <v>20</v>
      </c>
      <c r="F1200" t="s">
        <v>36</v>
      </c>
      <c r="G1200">
        <v>102.24</v>
      </c>
      <c r="H1200" t="s">
        <v>24</v>
      </c>
      <c r="I1200" t="s">
        <v>15</v>
      </c>
      <c r="J1200">
        <v>3.6</v>
      </c>
      <c r="K1200">
        <v>20</v>
      </c>
      <c r="L1200">
        <f t="shared" si="55"/>
        <v>81.792000000000002</v>
      </c>
      <c r="M1200">
        <v>5</v>
      </c>
      <c r="N1200" t="str">
        <f t="shared" si="56"/>
        <v>Regular</v>
      </c>
    </row>
    <row r="1201" spans="1:14" x14ac:dyDescent="0.35">
      <c r="A1201">
        <v>1200</v>
      </c>
      <c r="B1201">
        <v>64</v>
      </c>
      <c r="C1201" t="str">
        <f t="shared" si="54"/>
        <v>Senior</v>
      </c>
      <c r="D1201" t="s">
        <v>16</v>
      </c>
      <c r="E1201" t="s">
        <v>33</v>
      </c>
      <c r="F1201" t="s">
        <v>40</v>
      </c>
      <c r="G1201">
        <v>55.35</v>
      </c>
      <c r="H1201" t="s">
        <v>31</v>
      </c>
      <c r="I1201" t="s">
        <v>15</v>
      </c>
      <c r="J1201">
        <v>4</v>
      </c>
      <c r="K1201">
        <v>26</v>
      </c>
      <c r="L1201">
        <f t="shared" si="55"/>
        <v>40.959000000000003</v>
      </c>
      <c r="M1201">
        <v>8</v>
      </c>
      <c r="N1201" t="str">
        <f t="shared" si="56"/>
        <v>Loyal</v>
      </c>
    </row>
    <row r="1202" spans="1:14" x14ac:dyDescent="0.35">
      <c r="A1202">
        <v>1201</v>
      </c>
      <c r="B1202">
        <v>28</v>
      </c>
      <c r="C1202" t="str">
        <f t="shared" si="54"/>
        <v>Youth</v>
      </c>
      <c r="D1202" t="s">
        <v>11</v>
      </c>
      <c r="E1202" t="s">
        <v>41</v>
      </c>
      <c r="F1202" t="s">
        <v>42</v>
      </c>
      <c r="G1202">
        <v>39.68</v>
      </c>
      <c r="H1202" t="s">
        <v>31</v>
      </c>
      <c r="I1202" t="s">
        <v>37</v>
      </c>
      <c r="J1202">
        <v>3.4</v>
      </c>
      <c r="K1202">
        <v>16</v>
      </c>
      <c r="L1202">
        <f t="shared" si="55"/>
        <v>33.331199999999995</v>
      </c>
      <c r="M1202">
        <v>3</v>
      </c>
      <c r="N1202" t="str">
        <f t="shared" si="56"/>
        <v>New</v>
      </c>
    </row>
    <row r="1203" spans="1:14" x14ac:dyDescent="0.35">
      <c r="A1203">
        <v>1202</v>
      </c>
      <c r="B1203">
        <v>34</v>
      </c>
      <c r="C1203" t="str">
        <f t="shared" si="54"/>
        <v>Adult</v>
      </c>
      <c r="D1203" t="s">
        <v>16</v>
      </c>
      <c r="E1203" t="s">
        <v>17</v>
      </c>
      <c r="F1203" t="s">
        <v>48</v>
      </c>
      <c r="G1203">
        <v>188.14</v>
      </c>
      <c r="H1203" t="s">
        <v>14</v>
      </c>
      <c r="I1203" t="s">
        <v>15</v>
      </c>
      <c r="J1203">
        <v>4.2</v>
      </c>
      <c r="K1203">
        <v>8</v>
      </c>
      <c r="L1203">
        <f t="shared" si="55"/>
        <v>173.08879999999999</v>
      </c>
      <c r="M1203">
        <v>4</v>
      </c>
      <c r="N1203" t="str">
        <f t="shared" si="56"/>
        <v>Regular</v>
      </c>
    </row>
    <row r="1204" spans="1:14" x14ac:dyDescent="0.35">
      <c r="A1204">
        <v>1203</v>
      </c>
      <c r="B1204">
        <v>26</v>
      </c>
      <c r="C1204" t="str">
        <f t="shared" si="54"/>
        <v>Youth</v>
      </c>
      <c r="D1204" t="s">
        <v>11</v>
      </c>
      <c r="E1204" t="s">
        <v>41</v>
      </c>
      <c r="F1204" t="s">
        <v>45</v>
      </c>
      <c r="G1204">
        <v>148.54</v>
      </c>
      <c r="H1204" t="s">
        <v>24</v>
      </c>
      <c r="I1204" t="s">
        <v>15</v>
      </c>
      <c r="J1204">
        <v>3.6</v>
      </c>
      <c r="K1204">
        <v>26</v>
      </c>
      <c r="L1204">
        <f t="shared" si="55"/>
        <v>109.91959999999999</v>
      </c>
      <c r="M1204">
        <v>8</v>
      </c>
      <c r="N1204" t="str">
        <f t="shared" si="56"/>
        <v>Loyal</v>
      </c>
    </row>
    <row r="1205" spans="1:14" x14ac:dyDescent="0.35">
      <c r="A1205">
        <v>1204</v>
      </c>
      <c r="B1205">
        <v>29</v>
      </c>
      <c r="C1205" t="str">
        <f t="shared" si="54"/>
        <v>Youth</v>
      </c>
      <c r="D1205" t="s">
        <v>16</v>
      </c>
      <c r="E1205" t="s">
        <v>33</v>
      </c>
      <c r="F1205" t="s">
        <v>40</v>
      </c>
      <c r="G1205">
        <v>102</v>
      </c>
      <c r="H1205" t="s">
        <v>19</v>
      </c>
      <c r="I1205" t="s">
        <v>15</v>
      </c>
      <c r="J1205">
        <v>3.5</v>
      </c>
      <c r="K1205">
        <v>10</v>
      </c>
      <c r="L1205">
        <f t="shared" si="55"/>
        <v>91.8</v>
      </c>
      <c r="M1205">
        <v>5</v>
      </c>
      <c r="N1205" t="str">
        <f t="shared" si="56"/>
        <v>Regular</v>
      </c>
    </row>
    <row r="1206" spans="1:14" x14ac:dyDescent="0.35">
      <c r="A1206">
        <v>1205</v>
      </c>
      <c r="B1206">
        <v>47</v>
      </c>
      <c r="C1206" t="str">
        <f t="shared" si="54"/>
        <v>Adult</v>
      </c>
      <c r="D1206" t="s">
        <v>11</v>
      </c>
      <c r="E1206" t="s">
        <v>20</v>
      </c>
      <c r="F1206" t="s">
        <v>21</v>
      </c>
      <c r="G1206">
        <v>239.73</v>
      </c>
      <c r="H1206" t="s">
        <v>31</v>
      </c>
      <c r="I1206" t="s">
        <v>15</v>
      </c>
      <c r="J1206">
        <v>4.8</v>
      </c>
      <c r="K1206">
        <v>24</v>
      </c>
      <c r="L1206">
        <f t="shared" si="55"/>
        <v>182.19479999999999</v>
      </c>
      <c r="M1206">
        <v>7</v>
      </c>
      <c r="N1206" t="str">
        <f t="shared" si="56"/>
        <v>Regular</v>
      </c>
    </row>
    <row r="1207" spans="1:14" x14ac:dyDescent="0.35">
      <c r="A1207">
        <v>1206</v>
      </c>
      <c r="B1207">
        <v>37</v>
      </c>
      <c r="C1207" t="str">
        <f t="shared" si="54"/>
        <v>Adult</v>
      </c>
      <c r="D1207" t="s">
        <v>11</v>
      </c>
      <c r="E1207" t="s">
        <v>29</v>
      </c>
      <c r="F1207" t="s">
        <v>55</v>
      </c>
      <c r="G1207">
        <v>102.4</v>
      </c>
      <c r="H1207" t="s">
        <v>19</v>
      </c>
      <c r="I1207" t="s">
        <v>15</v>
      </c>
      <c r="J1207">
        <v>4.3</v>
      </c>
      <c r="K1207">
        <v>20</v>
      </c>
      <c r="L1207">
        <f t="shared" si="55"/>
        <v>81.920000000000016</v>
      </c>
      <c r="M1207">
        <v>5</v>
      </c>
      <c r="N1207" t="str">
        <f t="shared" si="56"/>
        <v>Regular</v>
      </c>
    </row>
    <row r="1208" spans="1:14" x14ac:dyDescent="0.35">
      <c r="A1208">
        <v>1207</v>
      </c>
      <c r="B1208">
        <v>54</v>
      </c>
      <c r="C1208" t="str">
        <f t="shared" si="54"/>
        <v>Adult</v>
      </c>
      <c r="D1208" t="s">
        <v>11</v>
      </c>
      <c r="E1208" t="s">
        <v>29</v>
      </c>
      <c r="F1208" t="s">
        <v>55</v>
      </c>
      <c r="G1208">
        <v>34.86</v>
      </c>
      <c r="H1208" t="s">
        <v>24</v>
      </c>
      <c r="I1208" t="s">
        <v>37</v>
      </c>
      <c r="J1208">
        <v>3.6</v>
      </c>
      <c r="K1208">
        <v>13</v>
      </c>
      <c r="L1208">
        <f t="shared" si="55"/>
        <v>30.328199999999999</v>
      </c>
      <c r="M1208">
        <v>4</v>
      </c>
      <c r="N1208" t="str">
        <f t="shared" si="56"/>
        <v>Regular</v>
      </c>
    </row>
    <row r="1209" spans="1:14" x14ac:dyDescent="0.35">
      <c r="A1209">
        <v>1208</v>
      </c>
      <c r="B1209">
        <v>67</v>
      </c>
      <c r="C1209" t="str">
        <f t="shared" si="54"/>
        <v>Senior</v>
      </c>
      <c r="D1209" t="s">
        <v>11</v>
      </c>
      <c r="E1209" t="s">
        <v>33</v>
      </c>
      <c r="F1209" t="s">
        <v>34</v>
      </c>
      <c r="G1209">
        <v>184.03</v>
      </c>
      <c r="H1209" t="s">
        <v>31</v>
      </c>
      <c r="I1209" t="s">
        <v>15</v>
      </c>
      <c r="J1209">
        <v>4.0999999999999996</v>
      </c>
      <c r="K1209">
        <v>24</v>
      </c>
      <c r="L1209">
        <f t="shared" si="55"/>
        <v>139.86279999999999</v>
      </c>
      <c r="M1209">
        <v>7</v>
      </c>
      <c r="N1209" t="str">
        <f t="shared" si="56"/>
        <v>Regular</v>
      </c>
    </row>
    <row r="1210" spans="1:14" x14ac:dyDescent="0.35">
      <c r="A1210">
        <v>1209</v>
      </c>
      <c r="B1210">
        <v>24</v>
      </c>
      <c r="C1210" t="str">
        <f t="shared" si="54"/>
        <v>Youth</v>
      </c>
      <c r="D1210" t="s">
        <v>16</v>
      </c>
      <c r="E1210" t="s">
        <v>33</v>
      </c>
      <c r="F1210" t="s">
        <v>40</v>
      </c>
      <c r="G1210">
        <v>129.9</v>
      </c>
      <c r="H1210" t="s">
        <v>24</v>
      </c>
      <c r="I1210" t="s">
        <v>15</v>
      </c>
      <c r="J1210">
        <v>3.8</v>
      </c>
      <c r="K1210">
        <v>16</v>
      </c>
      <c r="L1210">
        <f t="shared" si="55"/>
        <v>109.116</v>
      </c>
      <c r="M1210">
        <v>8</v>
      </c>
      <c r="N1210" t="str">
        <f t="shared" si="56"/>
        <v>Loyal</v>
      </c>
    </row>
    <row r="1211" spans="1:14" x14ac:dyDescent="0.35">
      <c r="A1211">
        <v>1210</v>
      </c>
      <c r="B1211">
        <v>33</v>
      </c>
      <c r="C1211" t="str">
        <f t="shared" si="54"/>
        <v>Adult</v>
      </c>
      <c r="D1211" t="s">
        <v>16</v>
      </c>
      <c r="E1211" t="s">
        <v>22</v>
      </c>
      <c r="F1211" t="s">
        <v>52</v>
      </c>
      <c r="G1211">
        <v>255.3</v>
      </c>
      <c r="H1211" t="s">
        <v>24</v>
      </c>
      <c r="I1211" t="s">
        <v>15</v>
      </c>
      <c r="J1211">
        <v>3.3</v>
      </c>
      <c r="K1211">
        <v>26</v>
      </c>
      <c r="L1211">
        <f t="shared" si="55"/>
        <v>188.922</v>
      </c>
      <c r="M1211">
        <v>8</v>
      </c>
      <c r="N1211" t="str">
        <f t="shared" si="56"/>
        <v>Loyal</v>
      </c>
    </row>
    <row r="1212" spans="1:14" x14ac:dyDescent="0.35">
      <c r="A1212">
        <v>1211</v>
      </c>
      <c r="B1212">
        <v>31</v>
      </c>
      <c r="C1212" t="str">
        <f t="shared" si="54"/>
        <v>Adult</v>
      </c>
      <c r="D1212" t="s">
        <v>16</v>
      </c>
      <c r="E1212" t="s">
        <v>25</v>
      </c>
      <c r="F1212" t="s">
        <v>47</v>
      </c>
      <c r="G1212">
        <v>63.06</v>
      </c>
      <c r="H1212" t="s">
        <v>14</v>
      </c>
      <c r="I1212" t="s">
        <v>37</v>
      </c>
      <c r="J1212">
        <v>2.5</v>
      </c>
      <c r="K1212">
        <v>15</v>
      </c>
      <c r="L1212">
        <f t="shared" si="55"/>
        <v>53.600999999999999</v>
      </c>
      <c r="M1212">
        <v>5</v>
      </c>
      <c r="N1212" t="str">
        <f t="shared" si="56"/>
        <v>Regular</v>
      </c>
    </row>
    <row r="1213" spans="1:14" x14ac:dyDescent="0.35">
      <c r="A1213">
        <v>1212</v>
      </c>
      <c r="B1213">
        <v>37</v>
      </c>
      <c r="C1213" t="str">
        <f t="shared" si="54"/>
        <v>Adult</v>
      </c>
      <c r="D1213" t="s">
        <v>16</v>
      </c>
      <c r="E1213" t="s">
        <v>20</v>
      </c>
      <c r="F1213" t="s">
        <v>39</v>
      </c>
      <c r="G1213">
        <v>147.46</v>
      </c>
      <c r="H1213" t="s">
        <v>14</v>
      </c>
      <c r="I1213" t="s">
        <v>15</v>
      </c>
      <c r="J1213">
        <v>3.7</v>
      </c>
      <c r="K1213">
        <v>14</v>
      </c>
      <c r="L1213">
        <f t="shared" si="55"/>
        <v>126.8156</v>
      </c>
      <c r="M1213">
        <v>2</v>
      </c>
      <c r="N1213" t="str">
        <f t="shared" si="56"/>
        <v>New</v>
      </c>
    </row>
    <row r="1214" spans="1:14" x14ac:dyDescent="0.35">
      <c r="A1214">
        <v>1213</v>
      </c>
      <c r="B1214">
        <v>28</v>
      </c>
      <c r="C1214" t="str">
        <f t="shared" si="54"/>
        <v>Youth</v>
      </c>
      <c r="D1214" t="s">
        <v>11</v>
      </c>
      <c r="E1214" t="s">
        <v>29</v>
      </c>
      <c r="F1214" t="s">
        <v>55</v>
      </c>
      <c r="G1214">
        <v>68.680000000000007</v>
      </c>
      <c r="H1214" t="s">
        <v>14</v>
      </c>
      <c r="I1214" t="s">
        <v>37</v>
      </c>
      <c r="J1214">
        <v>3.1</v>
      </c>
      <c r="K1214">
        <v>18</v>
      </c>
      <c r="L1214">
        <f t="shared" si="55"/>
        <v>56.317600000000013</v>
      </c>
      <c r="M1214">
        <v>4</v>
      </c>
      <c r="N1214" t="str">
        <f t="shared" si="56"/>
        <v>Regular</v>
      </c>
    </row>
    <row r="1215" spans="1:14" x14ac:dyDescent="0.35">
      <c r="A1215">
        <v>1214</v>
      </c>
      <c r="B1215">
        <v>58</v>
      </c>
      <c r="C1215" t="str">
        <f t="shared" si="54"/>
        <v>Adult</v>
      </c>
      <c r="D1215" t="s">
        <v>11</v>
      </c>
      <c r="E1215" t="s">
        <v>12</v>
      </c>
      <c r="F1215" t="s">
        <v>13</v>
      </c>
      <c r="G1215">
        <v>118.34</v>
      </c>
      <c r="H1215" t="s">
        <v>31</v>
      </c>
      <c r="I1215" t="s">
        <v>15</v>
      </c>
      <c r="J1215">
        <v>4.0999999999999996</v>
      </c>
      <c r="K1215">
        <v>19</v>
      </c>
      <c r="L1215">
        <f t="shared" si="55"/>
        <v>95.855400000000003</v>
      </c>
      <c r="M1215">
        <v>7</v>
      </c>
      <c r="N1215" t="str">
        <f t="shared" si="56"/>
        <v>Regular</v>
      </c>
    </row>
    <row r="1216" spans="1:14" x14ac:dyDescent="0.35">
      <c r="A1216">
        <v>1215</v>
      </c>
      <c r="B1216">
        <v>60</v>
      </c>
      <c r="C1216" t="str">
        <f t="shared" si="54"/>
        <v>Adult</v>
      </c>
      <c r="D1216" t="s">
        <v>16</v>
      </c>
      <c r="E1216" t="s">
        <v>17</v>
      </c>
      <c r="F1216" t="s">
        <v>35</v>
      </c>
      <c r="G1216">
        <v>99.54</v>
      </c>
      <c r="H1216" t="s">
        <v>24</v>
      </c>
      <c r="I1216" t="s">
        <v>37</v>
      </c>
      <c r="J1216">
        <v>3.7</v>
      </c>
      <c r="K1216">
        <v>12</v>
      </c>
      <c r="L1216">
        <f t="shared" si="55"/>
        <v>87.595200000000006</v>
      </c>
      <c r="M1216">
        <v>1</v>
      </c>
      <c r="N1216" t="str">
        <f t="shared" si="56"/>
        <v>New</v>
      </c>
    </row>
    <row r="1217" spans="1:14" x14ac:dyDescent="0.35">
      <c r="A1217">
        <v>1216</v>
      </c>
      <c r="B1217">
        <v>28</v>
      </c>
      <c r="C1217" t="str">
        <f t="shared" si="54"/>
        <v>Youth</v>
      </c>
      <c r="D1217" t="s">
        <v>16</v>
      </c>
      <c r="E1217" t="s">
        <v>22</v>
      </c>
      <c r="F1217" t="s">
        <v>43</v>
      </c>
      <c r="G1217">
        <v>206.37</v>
      </c>
      <c r="H1217" t="s">
        <v>31</v>
      </c>
      <c r="I1217" t="s">
        <v>15</v>
      </c>
      <c r="J1217">
        <v>3.1</v>
      </c>
      <c r="K1217">
        <v>16</v>
      </c>
      <c r="L1217">
        <f t="shared" si="55"/>
        <v>173.35079999999999</v>
      </c>
      <c r="M1217">
        <v>8</v>
      </c>
      <c r="N1217" t="str">
        <f t="shared" si="56"/>
        <v>Loyal</v>
      </c>
    </row>
    <row r="1218" spans="1:14" x14ac:dyDescent="0.35">
      <c r="A1218">
        <v>1217</v>
      </c>
      <c r="B1218">
        <v>66</v>
      </c>
      <c r="C1218" t="str">
        <f t="shared" si="54"/>
        <v>Senior</v>
      </c>
      <c r="D1218" t="s">
        <v>11</v>
      </c>
      <c r="E1218" t="s">
        <v>41</v>
      </c>
      <c r="F1218" t="s">
        <v>45</v>
      </c>
      <c r="G1218">
        <v>163.33000000000001</v>
      </c>
      <c r="H1218" t="s">
        <v>19</v>
      </c>
      <c r="I1218" t="s">
        <v>15</v>
      </c>
      <c r="J1218">
        <v>3</v>
      </c>
      <c r="K1218">
        <v>12</v>
      </c>
      <c r="L1218">
        <f t="shared" si="55"/>
        <v>143.7304</v>
      </c>
      <c r="M1218">
        <v>6</v>
      </c>
      <c r="N1218" t="str">
        <f t="shared" si="56"/>
        <v>Regular</v>
      </c>
    </row>
    <row r="1219" spans="1:14" x14ac:dyDescent="0.35">
      <c r="A1219">
        <v>1218</v>
      </c>
      <c r="B1219">
        <v>55</v>
      </c>
      <c r="C1219" t="str">
        <f t="shared" ref="C1219:C1282" si="57">IF(B1219&lt;=30,"Youth",IF(B1219&lt;=45,"Adult",IF(B1219&lt;=60,"Adult","Senior")))</f>
        <v>Adult</v>
      </c>
      <c r="D1219" t="s">
        <v>16</v>
      </c>
      <c r="E1219" t="s">
        <v>17</v>
      </c>
      <c r="F1219" t="s">
        <v>48</v>
      </c>
      <c r="G1219">
        <v>162.46</v>
      </c>
      <c r="H1219" t="s">
        <v>24</v>
      </c>
      <c r="I1219" t="s">
        <v>15</v>
      </c>
      <c r="J1219">
        <v>3.2</v>
      </c>
      <c r="K1219">
        <v>4</v>
      </c>
      <c r="L1219">
        <f t="shared" ref="L1219:L1282" si="58">G1219*(1-K1219/100)</f>
        <v>155.9616</v>
      </c>
      <c r="M1219">
        <v>2</v>
      </c>
      <c r="N1219" t="str">
        <f t="shared" ref="N1219:N1282" si="59">IF(M1219&lt;=3,"New",IF(M1219&lt;=7,"Regular","Loyal"))</f>
        <v>New</v>
      </c>
    </row>
    <row r="1220" spans="1:14" x14ac:dyDescent="0.35">
      <c r="A1220">
        <v>1219</v>
      </c>
      <c r="B1220">
        <v>35</v>
      </c>
      <c r="C1220" t="str">
        <f t="shared" si="57"/>
        <v>Adult</v>
      </c>
      <c r="D1220" t="s">
        <v>11</v>
      </c>
      <c r="E1220" t="s">
        <v>33</v>
      </c>
      <c r="F1220" t="s">
        <v>38</v>
      </c>
      <c r="G1220">
        <v>242.17</v>
      </c>
      <c r="H1220" t="s">
        <v>14</v>
      </c>
      <c r="I1220" t="s">
        <v>15</v>
      </c>
      <c r="J1220">
        <v>3.8</v>
      </c>
      <c r="K1220">
        <v>21</v>
      </c>
      <c r="L1220">
        <f t="shared" si="58"/>
        <v>191.3143</v>
      </c>
      <c r="M1220">
        <v>8</v>
      </c>
      <c r="N1220" t="str">
        <f t="shared" si="59"/>
        <v>Loyal</v>
      </c>
    </row>
    <row r="1221" spans="1:14" x14ac:dyDescent="0.35">
      <c r="A1221">
        <v>1220</v>
      </c>
      <c r="B1221">
        <v>65</v>
      </c>
      <c r="C1221" t="str">
        <f t="shared" si="57"/>
        <v>Senior</v>
      </c>
      <c r="D1221" t="s">
        <v>16</v>
      </c>
      <c r="E1221" t="s">
        <v>20</v>
      </c>
      <c r="F1221" t="s">
        <v>36</v>
      </c>
      <c r="G1221">
        <v>108.5</v>
      </c>
      <c r="H1221" t="s">
        <v>19</v>
      </c>
      <c r="I1221" t="s">
        <v>15</v>
      </c>
      <c r="J1221">
        <v>4.4000000000000004</v>
      </c>
      <c r="K1221">
        <v>14</v>
      </c>
      <c r="L1221">
        <f t="shared" si="58"/>
        <v>93.31</v>
      </c>
      <c r="M1221">
        <v>7</v>
      </c>
      <c r="N1221" t="str">
        <f t="shared" si="59"/>
        <v>Regular</v>
      </c>
    </row>
    <row r="1222" spans="1:14" x14ac:dyDescent="0.35">
      <c r="A1222">
        <v>1221</v>
      </c>
      <c r="B1222">
        <v>35</v>
      </c>
      <c r="C1222" t="str">
        <f t="shared" si="57"/>
        <v>Adult</v>
      </c>
      <c r="D1222" t="s">
        <v>11</v>
      </c>
      <c r="E1222" t="s">
        <v>12</v>
      </c>
      <c r="F1222" t="s">
        <v>13</v>
      </c>
      <c r="G1222">
        <v>82.93</v>
      </c>
      <c r="H1222" t="s">
        <v>14</v>
      </c>
      <c r="I1222" t="s">
        <v>15</v>
      </c>
      <c r="J1222">
        <v>3.6</v>
      </c>
      <c r="K1222">
        <v>19</v>
      </c>
      <c r="L1222">
        <f t="shared" si="58"/>
        <v>67.173300000000012</v>
      </c>
      <c r="M1222">
        <v>7</v>
      </c>
      <c r="N1222" t="str">
        <f t="shared" si="59"/>
        <v>Regular</v>
      </c>
    </row>
    <row r="1223" spans="1:14" x14ac:dyDescent="0.35">
      <c r="A1223">
        <v>1222</v>
      </c>
      <c r="B1223">
        <v>21</v>
      </c>
      <c r="C1223" t="str">
        <f t="shared" si="57"/>
        <v>Youth</v>
      </c>
      <c r="D1223" t="s">
        <v>16</v>
      </c>
      <c r="E1223" t="s">
        <v>27</v>
      </c>
      <c r="F1223" t="s">
        <v>49</v>
      </c>
      <c r="G1223">
        <v>2122.12</v>
      </c>
      <c r="H1223" t="s">
        <v>14</v>
      </c>
      <c r="I1223" t="s">
        <v>15</v>
      </c>
      <c r="J1223">
        <v>4.0999999999999996</v>
      </c>
      <c r="K1223">
        <v>18</v>
      </c>
      <c r="L1223">
        <f t="shared" si="58"/>
        <v>1740.1384</v>
      </c>
      <c r="M1223">
        <v>4</v>
      </c>
      <c r="N1223" t="str">
        <f t="shared" si="59"/>
        <v>Regular</v>
      </c>
    </row>
    <row r="1224" spans="1:14" x14ac:dyDescent="0.35">
      <c r="A1224">
        <v>1223</v>
      </c>
      <c r="B1224">
        <v>31</v>
      </c>
      <c r="C1224" t="str">
        <f t="shared" si="57"/>
        <v>Adult</v>
      </c>
      <c r="D1224" t="s">
        <v>16</v>
      </c>
      <c r="E1224" t="s">
        <v>22</v>
      </c>
      <c r="F1224" t="s">
        <v>52</v>
      </c>
      <c r="G1224">
        <v>187.38</v>
      </c>
      <c r="H1224" t="s">
        <v>19</v>
      </c>
      <c r="I1224" t="s">
        <v>15</v>
      </c>
      <c r="J1224">
        <v>4.0999999999999996</v>
      </c>
      <c r="K1224">
        <v>18</v>
      </c>
      <c r="L1224">
        <f t="shared" si="58"/>
        <v>153.6516</v>
      </c>
      <c r="M1224">
        <v>9</v>
      </c>
      <c r="N1224" t="str">
        <f t="shared" si="59"/>
        <v>Loyal</v>
      </c>
    </row>
    <row r="1225" spans="1:14" x14ac:dyDescent="0.35">
      <c r="A1225">
        <v>1224</v>
      </c>
      <c r="B1225">
        <v>42</v>
      </c>
      <c r="C1225" t="str">
        <f t="shared" si="57"/>
        <v>Adult</v>
      </c>
      <c r="D1225" t="s">
        <v>16</v>
      </c>
      <c r="E1225" t="s">
        <v>20</v>
      </c>
      <c r="F1225" t="s">
        <v>36</v>
      </c>
      <c r="G1225">
        <v>157.06</v>
      </c>
      <c r="H1225" t="s">
        <v>24</v>
      </c>
      <c r="I1225" t="s">
        <v>15</v>
      </c>
      <c r="J1225">
        <v>4.2</v>
      </c>
      <c r="K1225">
        <v>20</v>
      </c>
      <c r="L1225">
        <f t="shared" si="58"/>
        <v>125.64800000000001</v>
      </c>
      <c r="M1225">
        <v>5</v>
      </c>
      <c r="N1225" t="str">
        <f t="shared" si="59"/>
        <v>Regular</v>
      </c>
    </row>
    <row r="1226" spans="1:14" x14ac:dyDescent="0.35">
      <c r="A1226">
        <v>1225</v>
      </c>
      <c r="B1226">
        <v>22</v>
      </c>
      <c r="C1226" t="str">
        <f t="shared" si="57"/>
        <v>Youth</v>
      </c>
      <c r="D1226" t="s">
        <v>16</v>
      </c>
      <c r="E1226" t="s">
        <v>27</v>
      </c>
      <c r="F1226" t="s">
        <v>49</v>
      </c>
      <c r="G1226">
        <v>1708.09</v>
      </c>
      <c r="H1226" t="s">
        <v>19</v>
      </c>
      <c r="I1226" t="s">
        <v>15</v>
      </c>
      <c r="J1226">
        <v>3.7</v>
      </c>
      <c r="K1226">
        <v>6</v>
      </c>
      <c r="L1226">
        <f t="shared" si="58"/>
        <v>1605.6045999999999</v>
      </c>
      <c r="M1226">
        <v>3</v>
      </c>
      <c r="N1226" t="str">
        <f t="shared" si="59"/>
        <v>New</v>
      </c>
    </row>
    <row r="1227" spans="1:14" x14ac:dyDescent="0.35">
      <c r="A1227">
        <v>1226</v>
      </c>
      <c r="B1227">
        <v>62</v>
      </c>
      <c r="C1227" t="str">
        <f t="shared" si="57"/>
        <v>Senior</v>
      </c>
      <c r="D1227" t="s">
        <v>11</v>
      </c>
      <c r="E1227" t="s">
        <v>33</v>
      </c>
      <c r="F1227" t="s">
        <v>34</v>
      </c>
      <c r="G1227">
        <v>156.84</v>
      </c>
      <c r="H1227" t="s">
        <v>24</v>
      </c>
      <c r="I1227" t="s">
        <v>15</v>
      </c>
      <c r="J1227">
        <v>3.4</v>
      </c>
      <c r="K1227">
        <v>13</v>
      </c>
      <c r="L1227">
        <f t="shared" si="58"/>
        <v>136.45080000000002</v>
      </c>
      <c r="M1227">
        <v>4</v>
      </c>
      <c r="N1227" t="str">
        <f t="shared" si="59"/>
        <v>Regular</v>
      </c>
    </row>
    <row r="1228" spans="1:14" x14ac:dyDescent="0.35">
      <c r="A1228">
        <v>1227</v>
      </c>
      <c r="B1228">
        <v>28</v>
      </c>
      <c r="C1228" t="str">
        <f t="shared" si="57"/>
        <v>Youth</v>
      </c>
      <c r="D1228" t="s">
        <v>11</v>
      </c>
      <c r="E1228" t="s">
        <v>41</v>
      </c>
      <c r="F1228" t="s">
        <v>44</v>
      </c>
      <c r="G1228">
        <v>189.2</v>
      </c>
      <c r="H1228" t="s">
        <v>19</v>
      </c>
      <c r="I1228" t="s">
        <v>15</v>
      </c>
      <c r="J1228">
        <v>2.9</v>
      </c>
      <c r="K1228">
        <v>13</v>
      </c>
      <c r="L1228">
        <f t="shared" si="58"/>
        <v>164.60399999999998</v>
      </c>
      <c r="M1228">
        <v>4</v>
      </c>
      <c r="N1228" t="str">
        <f t="shared" si="59"/>
        <v>Regular</v>
      </c>
    </row>
    <row r="1229" spans="1:14" x14ac:dyDescent="0.35">
      <c r="A1229">
        <v>1228</v>
      </c>
      <c r="B1229">
        <v>33</v>
      </c>
      <c r="C1229" t="str">
        <f t="shared" si="57"/>
        <v>Adult</v>
      </c>
      <c r="D1229" t="s">
        <v>11</v>
      </c>
      <c r="E1229" t="s">
        <v>22</v>
      </c>
      <c r="F1229" t="s">
        <v>23</v>
      </c>
      <c r="G1229">
        <v>117.64</v>
      </c>
      <c r="H1229" t="s">
        <v>19</v>
      </c>
      <c r="I1229" t="s">
        <v>15</v>
      </c>
      <c r="J1229">
        <v>3</v>
      </c>
      <c r="K1229">
        <v>14</v>
      </c>
      <c r="L1229">
        <f t="shared" si="58"/>
        <v>101.1704</v>
      </c>
      <c r="M1229">
        <v>7</v>
      </c>
      <c r="N1229" t="str">
        <f t="shared" si="59"/>
        <v>Regular</v>
      </c>
    </row>
    <row r="1230" spans="1:14" x14ac:dyDescent="0.35">
      <c r="A1230">
        <v>1229</v>
      </c>
      <c r="B1230">
        <v>36</v>
      </c>
      <c r="C1230" t="str">
        <f t="shared" si="57"/>
        <v>Adult</v>
      </c>
      <c r="D1230" t="s">
        <v>16</v>
      </c>
      <c r="E1230" t="s">
        <v>33</v>
      </c>
      <c r="F1230" t="s">
        <v>38</v>
      </c>
      <c r="G1230">
        <v>147.47999999999999</v>
      </c>
      <c r="H1230" t="s">
        <v>14</v>
      </c>
      <c r="I1230" t="s">
        <v>15</v>
      </c>
      <c r="J1230">
        <v>4.3</v>
      </c>
      <c r="K1230">
        <v>15</v>
      </c>
      <c r="L1230">
        <f t="shared" si="58"/>
        <v>125.35799999999999</v>
      </c>
      <c r="M1230">
        <v>5</v>
      </c>
      <c r="N1230" t="str">
        <f t="shared" si="59"/>
        <v>Regular</v>
      </c>
    </row>
    <row r="1231" spans="1:14" x14ac:dyDescent="0.35">
      <c r="A1231">
        <v>1230</v>
      </c>
      <c r="B1231">
        <v>28</v>
      </c>
      <c r="C1231" t="str">
        <f t="shared" si="57"/>
        <v>Youth</v>
      </c>
      <c r="D1231" t="s">
        <v>16</v>
      </c>
      <c r="E1231" t="s">
        <v>17</v>
      </c>
      <c r="F1231" t="s">
        <v>42</v>
      </c>
      <c r="G1231">
        <v>75.040000000000006</v>
      </c>
      <c r="H1231" t="s">
        <v>19</v>
      </c>
      <c r="I1231" t="s">
        <v>37</v>
      </c>
      <c r="J1231">
        <v>3.8</v>
      </c>
      <c r="K1231">
        <v>4</v>
      </c>
      <c r="L1231">
        <f t="shared" si="58"/>
        <v>72.03840000000001</v>
      </c>
      <c r="M1231">
        <v>2</v>
      </c>
      <c r="N1231" t="str">
        <f t="shared" si="59"/>
        <v>New</v>
      </c>
    </row>
    <row r="1232" spans="1:14" x14ac:dyDescent="0.35">
      <c r="A1232">
        <v>1231</v>
      </c>
      <c r="B1232">
        <v>26</v>
      </c>
      <c r="C1232" t="str">
        <f t="shared" si="57"/>
        <v>Youth</v>
      </c>
      <c r="D1232" t="s">
        <v>16</v>
      </c>
      <c r="E1232" t="s">
        <v>17</v>
      </c>
      <c r="F1232" t="s">
        <v>35</v>
      </c>
      <c r="G1232">
        <v>108.5</v>
      </c>
      <c r="H1232" t="s">
        <v>14</v>
      </c>
      <c r="I1232" t="s">
        <v>15</v>
      </c>
      <c r="J1232">
        <v>3.7</v>
      </c>
      <c r="K1232">
        <v>14</v>
      </c>
      <c r="L1232">
        <f t="shared" si="58"/>
        <v>93.31</v>
      </c>
      <c r="M1232">
        <v>2</v>
      </c>
      <c r="N1232" t="str">
        <f t="shared" si="59"/>
        <v>New</v>
      </c>
    </row>
    <row r="1233" spans="1:14" x14ac:dyDescent="0.35">
      <c r="A1233">
        <v>1232</v>
      </c>
      <c r="B1233">
        <v>55</v>
      </c>
      <c r="C1233" t="str">
        <f t="shared" si="57"/>
        <v>Adult</v>
      </c>
      <c r="D1233" t="s">
        <v>16</v>
      </c>
      <c r="E1233" t="s">
        <v>27</v>
      </c>
      <c r="F1233" t="s">
        <v>49</v>
      </c>
      <c r="G1233">
        <v>1226.67</v>
      </c>
      <c r="H1233" t="s">
        <v>31</v>
      </c>
      <c r="I1233" t="s">
        <v>15</v>
      </c>
      <c r="J1233">
        <v>3.4</v>
      </c>
      <c r="K1233">
        <v>10</v>
      </c>
      <c r="L1233">
        <f t="shared" si="58"/>
        <v>1104.0030000000002</v>
      </c>
      <c r="M1233">
        <v>5</v>
      </c>
      <c r="N1233" t="str">
        <f t="shared" si="59"/>
        <v>Regular</v>
      </c>
    </row>
    <row r="1234" spans="1:14" x14ac:dyDescent="0.35">
      <c r="A1234">
        <v>1233</v>
      </c>
      <c r="B1234">
        <v>64</v>
      </c>
      <c r="C1234" t="str">
        <f t="shared" si="57"/>
        <v>Senior</v>
      </c>
      <c r="D1234" t="s">
        <v>11</v>
      </c>
      <c r="E1234" t="s">
        <v>33</v>
      </c>
      <c r="F1234" t="s">
        <v>34</v>
      </c>
      <c r="G1234">
        <v>70.09</v>
      </c>
      <c r="H1234" t="s">
        <v>19</v>
      </c>
      <c r="I1234" t="s">
        <v>37</v>
      </c>
      <c r="J1234">
        <v>4.3</v>
      </c>
      <c r="K1234">
        <v>20</v>
      </c>
      <c r="L1234">
        <f t="shared" si="58"/>
        <v>56.072000000000003</v>
      </c>
      <c r="M1234">
        <v>5</v>
      </c>
      <c r="N1234" t="str">
        <f t="shared" si="59"/>
        <v>Regular</v>
      </c>
    </row>
    <row r="1235" spans="1:14" x14ac:dyDescent="0.35">
      <c r="A1235">
        <v>1234</v>
      </c>
      <c r="B1235">
        <v>51</v>
      </c>
      <c r="C1235" t="str">
        <f t="shared" si="57"/>
        <v>Adult</v>
      </c>
      <c r="D1235" t="s">
        <v>11</v>
      </c>
      <c r="E1235" t="s">
        <v>41</v>
      </c>
      <c r="F1235" t="s">
        <v>45</v>
      </c>
      <c r="G1235">
        <v>145.44999999999999</v>
      </c>
      <c r="H1235" t="s">
        <v>31</v>
      </c>
      <c r="I1235" t="s">
        <v>15</v>
      </c>
      <c r="J1235">
        <v>2.6</v>
      </c>
      <c r="K1235">
        <v>10</v>
      </c>
      <c r="L1235">
        <f t="shared" si="58"/>
        <v>130.905</v>
      </c>
      <c r="M1235">
        <v>5</v>
      </c>
      <c r="N1235" t="str">
        <f t="shared" si="59"/>
        <v>Regular</v>
      </c>
    </row>
    <row r="1236" spans="1:14" x14ac:dyDescent="0.35">
      <c r="A1236">
        <v>1235</v>
      </c>
      <c r="B1236">
        <v>37</v>
      </c>
      <c r="C1236" t="str">
        <f t="shared" si="57"/>
        <v>Adult</v>
      </c>
      <c r="D1236" t="s">
        <v>11</v>
      </c>
      <c r="E1236" t="s">
        <v>41</v>
      </c>
      <c r="F1236" t="s">
        <v>42</v>
      </c>
      <c r="G1236">
        <v>121.42</v>
      </c>
      <c r="H1236" t="s">
        <v>24</v>
      </c>
      <c r="I1236" t="s">
        <v>15</v>
      </c>
      <c r="J1236">
        <v>4.7</v>
      </c>
      <c r="K1236">
        <v>8</v>
      </c>
      <c r="L1236">
        <f t="shared" si="58"/>
        <v>111.7064</v>
      </c>
      <c r="M1236">
        <v>4</v>
      </c>
      <c r="N1236" t="str">
        <f t="shared" si="59"/>
        <v>Regular</v>
      </c>
    </row>
    <row r="1237" spans="1:14" x14ac:dyDescent="0.35">
      <c r="A1237">
        <v>1236</v>
      </c>
      <c r="B1237">
        <v>21</v>
      </c>
      <c r="C1237" t="str">
        <f t="shared" si="57"/>
        <v>Youth</v>
      </c>
      <c r="D1237" t="s">
        <v>16</v>
      </c>
      <c r="E1237" t="s">
        <v>17</v>
      </c>
      <c r="F1237" t="s">
        <v>42</v>
      </c>
      <c r="G1237">
        <v>129.32</v>
      </c>
      <c r="H1237" t="s">
        <v>24</v>
      </c>
      <c r="I1237" t="s">
        <v>15</v>
      </c>
      <c r="J1237">
        <v>3.5</v>
      </c>
      <c r="K1237">
        <v>9</v>
      </c>
      <c r="L1237">
        <f t="shared" si="58"/>
        <v>117.6812</v>
      </c>
      <c r="M1237">
        <v>2</v>
      </c>
      <c r="N1237" t="str">
        <f t="shared" si="59"/>
        <v>New</v>
      </c>
    </row>
    <row r="1238" spans="1:14" x14ac:dyDescent="0.35">
      <c r="A1238">
        <v>1237</v>
      </c>
      <c r="B1238">
        <v>27</v>
      </c>
      <c r="C1238" t="str">
        <f t="shared" si="57"/>
        <v>Youth</v>
      </c>
      <c r="D1238" t="s">
        <v>11</v>
      </c>
      <c r="E1238" t="s">
        <v>41</v>
      </c>
      <c r="F1238" t="s">
        <v>45</v>
      </c>
      <c r="G1238">
        <v>134.56</v>
      </c>
      <c r="H1238" t="s">
        <v>31</v>
      </c>
      <c r="I1238" t="s">
        <v>15</v>
      </c>
      <c r="J1238">
        <v>3.9</v>
      </c>
      <c r="K1238">
        <v>14</v>
      </c>
      <c r="L1238">
        <f t="shared" si="58"/>
        <v>115.7216</v>
      </c>
      <c r="M1238">
        <v>7</v>
      </c>
      <c r="N1238" t="str">
        <f t="shared" si="59"/>
        <v>Regular</v>
      </c>
    </row>
    <row r="1239" spans="1:14" x14ac:dyDescent="0.35">
      <c r="A1239">
        <v>1238</v>
      </c>
      <c r="B1239">
        <v>28</v>
      </c>
      <c r="C1239" t="str">
        <f t="shared" si="57"/>
        <v>Youth</v>
      </c>
      <c r="D1239" t="s">
        <v>16</v>
      </c>
      <c r="E1239" t="s">
        <v>17</v>
      </c>
      <c r="F1239" t="s">
        <v>42</v>
      </c>
      <c r="G1239">
        <v>190.96</v>
      </c>
      <c r="H1239" t="s">
        <v>19</v>
      </c>
      <c r="I1239" t="s">
        <v>15</v>
      </c>
      <c r="J1239">
        <v>5</v>
      </c>
      <c r="K1239">
        <v>19</v>
      </c>
      <c r="L1239">
        <f t="shared" si="58"/>
        <v>154.67760000000001</v>
      </c>
      <c r="M1239">
        <v>7</v>
      </c>
      <c r="N1239" t="str">
        <f t="shared" si="59"/>
        <v>Regular</v>
      </c>
    </row>
    <row r="1240" spans="1:14" x14ac:dyDescent="0.35">
      <c r="A1240">
        <v>1239</v>
      </c>
      <c r="B1240">
        <v>56</v>
      </c>
      <c r="C1240" t="str">
        <f t="shared" si="57"/>
        <v>Adult</v>
      </c>
      <c r="D1240" t="s">
        <v>11</v>
      </c>
      <c r="E1240" t="s">
        <v>12</v>
      </c>
      <c r="F1240" t="s">
        <v>56</v>
      </c>
      <c r="G1240">
        <v>32.97</v>
      </c>
      <c r="H1240" t="s">
        <v>14</v>
      </c>
      <c r="I1240" t="s">
        <v>37</v>
      </c>
      <c r="J1240">
        <v>5</v>
      </c>
      <c r="K1240">
        <v>14</v>
      </c>
      <c r="L1240">
        <f t="shared" si="58"/>
        <v>28.354199999999999</v>
      </c>
      <c r="M1240">
        <v>7</v>
      </c>
      <c r="N1240" t="str">
        <f t="shared" si="59"/>
        <v>Regular</v>
      </c>
    </row>
    <row r="1241" spans="1:14" x14ac:dyDescent="0.35">
      <c r="A1241">
        <v>1240</v>
      </c>
      <c r="B1241">
        <v>25</v>
      </c>
      <c r="C1241" t="str">
        <f t="shared" si="57"/>
        <v>Youth</v>
      </c>
      <c r="D1241" t="s">
        <v>16</v>
      </c>
      <c r="E1241" t="s">
        <v>17</v>
      </c>
      <c r="F1241" t="s">
        <v>42</v>
      </c>
      <c r="G1241">
        <v>140.93</v>
      </c>
      <c r="H1241" t="s">
        <v>19</v>
      </c>
      <c r="I1241" t="s">
        <v>15</v>
      </c>
      <c r="J1241">
        <v>3.6</v>
      </c>
      <c r="K1241">
        <v>8</v>
      </c>
      <c r="L1241">
        <f t="shared" si="58"/>
        <v>129.65560000000002</v>
      </c>
      <c r="M1241">
        <v>4</v>
      </c>
      <c r="N1241" t="str">
        <f t="shared" si="59"/>
        <v>Regular</v>
      </c>
    </row>
    <row r="1242" spans="1:14" x14ac:dyDescent="0.35">
      <c r="A1242">
        <v>1241</v>
      </c>
      <c r="B1242">
        <v>35</v>
      </c>
      <c r="C1242" t="str">
        <f t="shared" si="57"/>
        <v>Adult</v>
      </c>
      <c r="D1242" t="s">
        <v>11</v>
      </c>
      <c r="E1242" t="s">
        <v>41</v>
      </c>
      <c r="F1242" t="s">
        <v>45</v>
      </c>
      <c r="G1242">
        <v>96.4</v>
      </c>
      <c r="H1242" t="s">
        <v>14</v>
      </c>
      <c r="I1242" t="s">
        <v>15</v>
      </c>
      <c r="J1242">
        <v>4.3</v>
      </c>
      <c r="K1242">
        <v>9</v>
      </c>
      <c r="L1242">
        <f t="shared" si="58"/>
        <v>87.724000000000004</v>
      </c>
      <c r="M1242">
        <v>2</v>
      </c>
      <c r="N1242" t="str">
        <f t="shared" si="59"/>
        <v>New</v>
      </c>
    </row>
    <row r="1243" spans="1:14" x14ac:dyDescent="0.35">
      <c r="A1243">
        <v>1242</v>
      </c>
      <c r="B1243">
        <v>55</v>
      </c>
      <c r="C1243" t="str">
        <f t="shared" si="57"/>
        <v>Adult</v>
      </c>
      <c r="D1243" t="s">
        <v>11</v>
      </c>
      <c r="E1243" t="s">
        <v>41</v>
      </c>
      <c r="F1243" t="s">
        <v>46</v>
      </c>
      <c r="G1243">
        <v>136.21</v>
      </c>
      <c r="H1243" t="s">
        <v>14</v>
      </c>
      <c r="I1243" t="s">
        <v>15</v>
      </c>
      <c r="J1243">
        <v>3</v>
      </c>
      <c r="K1243">
        <v>12</v>
      </c>
      <c r="L1243">
        <f t="shared" si="58"/>
        <v>119.8648</v>
      </c>
      <c r="M1243">
        <v>6</v>
      </c>
      <c r="N1243" t="str">
        <f t="shared" si="59"/>
        <v>Regular</v>
      </c>
    </row>
    <row r="1244" spans="1:14" x14ac:dyDescent="0.35">
      <c r="A1244">
        <v>1243</v>
      </c>
      <c r="B1244">
        <v>52</v>
      </c>
      <c r="C1244" t="str">
        <f t="shared" si="57"/>
        <v>Adult</v>
      </c>
      <c r="D1244" t="s">
        <v>11</v>
      </c>
      <c r="E1244" t="s">
        <v>22</v>
      </c>
      <c r="F1244" t="s">
        <v>23</v>
      </c>
      <c r="G1244">
        <v>44.41</v>
      </c>
      <c r="H1244" t="s">
        <v>19</v>
      </c>
      <c r="I1244" t="s">
        <v>37</v>
      </c>
      <c r="J1244">
        <v>3</v>
      </c>
      <c r="K1244">
        <v>11</v>
      </c>
      <c r="L1244">
        <f t="shared" si="58"/>
        <v>39.524899999999995</v>
      </c>
      <c r="M1244">
        <v>3</v>
      </c>
      <c r="N1244" t="str">
        <f t="shared" si="59"/>
        <v>New</v>
      </c>
    </row>
    <row r="1245" spans="1:14" x14ac:dyDescent="0.35">
      <c r="A1245">
        <v>1244</v>
      </c>
      <c r="B1245">
        <v>67</v>
      </c>
      <c r="C1245" t="str">
        <f t="shared" si="57"/>
        <v>Senior</v>
      </c>
      <c r="D1245" t="s">
        <v>11</v>
      </c>
      <c r="E1245" t="s">
        <v>29</v>
      </c>
      <c r="F1245" t="s">
        <v>30</v>
      </c>
      <c r="G1245">
        <v>91.85</v>
      </c>
      <c r="H1245" t="s">
        <v>24</v>
      </c>
      <c r="I1245" t="s">
        <v>15</v>
      </c>
      <c r="J1245">
        <v>3.2</v>
      </c>
      <c r="K1245">
        <v>10</v>
      </c>
      <c r="L1245">
        <f t="shared" si="58"/>
        <v>82.664999999999992</v>
      </c>
      <c r="M1245">
        <v>5</v>
      </c>
      <c r="N1245" t="str">
        <f t="shared" si="59"/>
        <v>Regular</v>
      </c>
    </row>
    <row r="1246" spans="1:14" x14ac:dyDescent="0.35">
      <c r="A1246">
        <v>1245</v>
      </c>
      <c r="B1246">
        <v>35</v>
      </c>
      <c r="C1246" t="str">
        <f t="shared" si="57"/>
        <v>Adult</v>
      </c>
      <c r="D1246" t="s">
        <v>16</v>
      </c>
      <c r="E1246" t="s">
        <v>27</v>
      </c>
      <c r="F1246" t="s">
        <v>28</v>
      </c>
      <c r="G1246">
        <v>2677.54</v>
      </c>
      <c r="H1246" t="s">
        <v>31</v>
      </c>
      <c r="I1246" t="s">
        <v>15</v>
      </c>
      <c r="J1246">
        <v>4.3</v>
      </c>
      <c r="K1246">
        <v>28</v>
      </c>
      <c r="L1246">
        <f t="shared" si="58"/>
        <v>1927.8288</v>
      </c>
      <c r="M1246">
        <v>9</v>
      </c>
      <c r="N1246" t="str">
        <f t="shared" si="59"/>
        <v>Loyal</v>
      </c>
    </row>
    <row r="1247" spans="1:14" x14ac:dyDescent="0.35">
      <c r="A1247">
        <v>1246</v>
      </c>
      <c r="B1247">
        <v>49</v>
      </c>
      <c r="C1247" t="str">
        <f t="shared" si="57"/>
        <v>Adult</v>
      </c>
      <c r="D1247" t="s">
        <v>11</v>
      </c>
      <c r="E1247" t="s">
        <v>29</v>
      </c>
      <c r="F1247" t="s">
        <v>55</v>
      </c>
      <c r="G1247">
        <v>106.28</v>
      </c>
      <c r="H1247" t="s">
        <v>14</v>
      </c>
      <c r="I1247" t="s">
        <v>15</v>
      </c>
      <c r="J1247">
        <v>4.4000000000000004</v>
      </c>
      <c r="K1247">
        <v>12</v>
      </c>
      <c r="L1247">
        <f t="shared" si="58"/>
        <v>93.526399999999995</v>
      </c>
      <c r="M1247">
        <v>6</v>
      </c>
      <c r="N1247" t="str">
        <f t="shared" si="59"/>
        <v>Regular</v>
      </c>
    </row>
    <row r="1248" spans="1:14" x14ac:dyDescent="0.35">
      <c r="A1248">
        <v>1247</v>
      </c>
      <c r="B1248">
        <v>64</v>
      </c>
      <c r="C1248" t="str">
        <f t="shared" si="57"/>
        <v>Senior</v>
      </c>
      <c r="D1248" t="s">
        <v>16</v>
      </c>
      <c r="E1248" t="s">
        <v>27</v>
      </c>
      <c r="F1248" t="s">
        <v>32</v>
      </c>
      <c r="G1248">
        <v>2907.6</v>
      </c>
      <c r="H1248" t="s">
        <v>19</v>
      </c>
      <c r="I1248" t="s">
        <v>15</v>
      </c>
      <c r="J1248">
        <v>4.5</v>
      </c>
      <c r="K1248">
        <v>16</v>
      </c>
      <c r="L1248">
        <f t="shared" si="58"/>
        <v>2442.384</v>
      </c>
      <c r="M1248">
        <v>3</v>
      </c>
      <c r="N1248" t="str">
        <f t="shared" si="59"/>
        <v>New</v>
      </c>
    </row>
    <row r="1249" spans="1:14" x14ac:dyDescent="0.35">
      <c r="A1249">
        <v>1248</v>
      </c>
      <c r="B1249">
        <v>20</v>
      </c>
      <c r="C1249" t="str">
        <f t="shared" si="57"/>
        <v>Youth</v>
      </c>
      <c r="D1249" t="s">
        <v>16</v>
      </c>
      <c r="E1249" t="s">
        <v>33</v>
      </c>
      <c r="F1249" t="s">
        <v>34</v>
      </c>
      <c r="G1249">
        <v>176.9</v>
      </c>
      <c r="H1249" t="s">
        <v>14</v>
      </c>
      <c r="I1249" t="s">
        <v>15</v>
      </c>
      <c r="J1249">
        <v>3.9</v>
      </c>
      <c r="K1249">
        <v>15</v>
      </c>
      <c r="L1249">
        <f t="shared" si="58"/>
        <v>150.36500000000001</v>
      </c>
      <c r="M1249">
        <v>5</v>
      </c>
      <c r="N1249" t="str">
        <f t="shared" si="59"/>
        <v>Regular</v>
      </c>
    </row>
    <row r="1250" spans="1:14" x14ac:dyDescent="0.35">
      <c r="A1250">
        <v>1249</v>
      </c>
      <c r="B1250">
        <v>52</v>
      </c>
      <c r="C1250" t="str">
        <f t="shared" si="57"/>
        <v>Adult</v>
      </c>
      <c r="D1250" t="s">
        <v>11</v>
      </c>
      <c r="E1250" t="s">
        <v>41</v>
      </c>
      <c r="F1250" t="s">
        <v>46</v>
      </c>
      <c r="G1250">
        <v>89.05</v>
      </c>
      <c r="H1250" t="s">
        <v>24</v>
      </c>
      <c r="I1250" t="s">
        <v>37</v>
      </c>
      <c r="J1250">
        <v>3.7</v>
      </c>
      <c r="K1250">
        <v>7</v>
      </c>
      <c r="L1250">
        <f t="shared" si="58"/>
        <v>82.816499999999991</v>
      </c>
      <c r="M1250">
        <v>1</v>
      </c>
      <c r="N1250" t="str">
        <f t="shared" si="59"/>
        <v>New</v>
      </c>
    </row>
    <row r="1251" spans="1:14" x14ac:dyDescent="0.35">
      <c r="A1251">
        <v>1250</v>
      </c>
      <c r="B1251">
        <v>37</v>
      </c>
      <c r="C1251" t="str">
        <f t="shared" si="57"/>
        <v>Adult</v>
      </c>
      <c r="D1251" t="s">
        <v>16</v>
      </c>
      <c r="E1251" t="s">
        <v>25</v>
      </c>
      <c r="F1251" t="s">
        <v>54</v>
      </c>
      <c r="G1251">
        <v>57.93</v>
      </c>
      <c r="H1251" t="s">
        <v>19</v>
      </c>
      <c r="I1251" t="s">
        <v>15</v>
      </c>
      <c r="J1251">
        <v>2.7</v>
      </c>
      <c r="K1251">
        <v>4</v>
      </c>
      <c r="L1251">
        <f t="shared" si="58"/>
        <v>55.6128</v>
      </c>
      <c r="M1251">
        <v>2</v>
      </c>
      <c r="N1251" t="str">
        <f t="shared" si="59"/>
        <v>New</v>
      </c>
    </row>
    <row r="1252" spans="1:14" x14ac:dyDescent="0.35">
      <c r="A1252">
        <v>1251</v>
      </c>
      <c r="B1252">
        <v>44</v>
      </c>
      <c r="C1252" t="str">
        <f t="shared" si="57"/>
        <v>Adult</v>
      </c>
      <c r="D1252" t="s">
        <v>11</v>
      </c>
      <c r="E1252" t="s">
        <v>12</v>
      </c>
      <c r="F1252" t="s">
        <v>50</v>
      </c>
      <c r="G1252">
        <v>22.1</v>
      </c>
      <c r="H1252" t="s">
        <v>19</v>
      </c>
      <c r="I1252" t="s">
        <v>37</v>
      </c>
      <c r="J1252">
        <v>4.2</v>
      </c>
      <c r="K1252">
        <v>12</v>
      </c>
      <c r="L1252">
        <f t="shared" si="58"/>
        <v>19.448</v>
      </c>
      <c r="M1252">
        <v>6</v>
      </c>
      <c r="N1252" t="str">
        <f t="shared" si="59"/>
        <v>Regular</v>
      </c>
    </row>
    <row r="1253" spans="1:14" x14ac:dyDescent="0.35">
      <c r="A1253">
        <v>1252</v>
      </c>
      <c r="B1253">
        <v>66</v>
      </c>
      <c r="C1253" t="str">
        <f t="shared" si="57"/>
        <v>Senior</v>
      </c>
      <c r="D1253" t="s">
        <v>16</v>
      </c>
      <c r="E1253" t="s">
        <v>20</v>
      </c>
      <c r="F1253" t="s">
        <v>36</v>
      </c>
      <c r="G1253">
        <v>81.13</v>
      </c>
      <c r="H1253" t="s">
        <v>14</v>
      </c>
      <c r="I1253" t="s">
        <v>37</v>
      </c>
      <c r="J1253">
        <v>3.3</v>
      </c>
      <c r="K1253">
        <v>9</v>
      </c>
      <c r="L1253">
        <f t="shared" si="58"/>
        <v>73.828299999999999</v>
      </c>
      <c r="M1253">
        <v>2</v>
      </c>
      <c r="N1253" t="str">
        <f t="shared" si="59"/>
        <v>New</v>
      </c>
    </row>
    <row r="1254" spans="1:14" x14ac:dyDescent="0.35">
      <c r="A1254">
        <v>1253</v>
      </c>
      <c r="B1254">
        <v>28</v>
      </c>
      <c r="C1254" t="str">
        <f t="shared" si="57"/>
        <v>Youth</v>
      </c>
      <c r="D1254" t="s">
        <v>11</v>
      </c>
      <c r="E1254" t="s">
        <v>12</v>
      </c>
      <c r="F1254" t="s">
        <v>56</v>
      </c>
      <c r="G1254">
        <v>165.53</v>
      </c>
      <c r="H1254" t="s">
        <v>14</v>
      </c>
      <c r="I1254" t="s">
        <v>15</v>
      </c>
      <c r="J1254">
        <v>5</v>
      </c>
      <c r="K1254">
        <v>15</v>
      </c>
      <c r="L1254">
        <f t="shared" si="58"/>
        <v>140.70050000000001</v>
      </c>
      <c r="M1254">
        <v>5</v>
      </c>
      <c r="N1254" t="str">
        <f t="shared" si="59"/>
        <v>Regular</v>
      </c>
    </row>
    <row r="1255" spans="1:14" x14ac:dyDescent="0.35">
      <c r="A1255">
        <v>1254</v>
      </c>
      <c r="B1255">
        <v>30</v>
      </c>
      <c r="C1255" t="str">
        <f t="shared" si="57"/>
        <v>Youth</v>
      </c>
      <c r="D1255" t="s">
        <v>16</v>
      </c>
      <c r="E1255" t="s">
        <v>33</v>
      </c>
      <c r="F1255" t="s">
        <v>40</v>
      </c>
      <c r="G1255">
        <v>222.83</v>
      </c>
      <c r="H1255" t="s">
        <v>19</v>
      </c>
      <c r="I1255" t="s">
        <v>15</v>
      </c>
      <c r="J1255">
        <v>3.8</v>
      </c>
      <c r="K1255">
        <v>6</v>
      </c>
      <c r="L1255">
        <f t="shared" si="58"/>
        <v>209.46019999999999</v>
      </c>
      <c r="M1255">
        <v>3</v>
      </c>
      <c r="N1255" t="str">
        <f t="shared" si="59"/>
        <v>New</v>
      </c>
    </row>
    <row r="1256" spans="1:14" x14ac:dyDescent="0.35">
      <c r="A1256">
        <v>1255</v>
      </c>
      <c r="B1256">
        <v>70</v>
      </c>
      <c r="C1256" t="str">
        <f t="shared" si="57"/>
        <v>Senior</v>
      </c>
      <c r="D1256" t="s">
        <v>16</v>
      </c>
      <c r="E1256" t="s">
        <v>27</v>
      </c>
      <c r="F1256" t="s">
        <v>49</v>
      </c>
      <c r="G1256">
        <v>2919.39</v>
      </c>
      <c r="H1256" t="s">
        <v>24</v>
      </c>
      <c r="I1256" t="s">
        <v>15</v>
      </c>
      <c r="J1256">
        <v>3.5</v>
      </c>
      <c r="K1256">
        <v>13</v>
      </c>
      <c r="L1256">
        <f t="shared" si="58"/>
        <v>2539.8692999999998</v>
      </c>
      <c r="M1256">
        <v>4</v>
      </c>
      <c r="N1256" t="str">
        <f t="shared" si="59"/>
        <v>Regular</v>
      </c>
    </row>
    <row r="1257" spans="1:14" x14ac:dyDescent="0.35">
      <c r="A1257">
        <v>1256</v>
      </c>
      <c r="B1257">
        <v>44</v>
      </c>
      <c r="C1257" t="str">
        <f t="shared" si="57"/>
        <v>Adult</v>
      </c>
      <c r="D1257" t="s">
        <v>11</v>
      </c>
      <c r="E1257" t="s">
        <v>29</v>
      </c>
      <c r="F1257" t="s">
        <v>55</v>
      </c>
      <c r="G1257">
        <v>143.9</v>
      </c>
      <c r="H1257" t="s">
        <v>19</v>
      </c>
      <c r="I1257" t="s">
        <v>15</v>
      </c>
      <c r="J1257">
        <v>4.7</v>
      </c>
      <c r="K1257">
        <v>26</v>
      </c>
      <c r="L1257">
        <f t="shared" si="58"/>
        <v>106.486</v>
      </c>
      <c r="M1257">
        <v>8</v>
      </c>
      <c r="N1257" t="str">
        <f t="shared" si="59"/>
        <v>Loyal</v>
      </c>
    </row>
    <row r="1258" spans="1:14" x14ac:dyDescent="0.35">
      <c r="A1258">
        <v>1257</v>
      </c>
      <c r="B1258">
        <v>45</v>
      </c>
      <c r="C1258" t="str">
        <f t="shared" si="57"/>
        <v>Adult</v>
      </c>
      <c r="D1258" t="s">
        <v>11</v>
      </c>
      <c r="E1258" t="s">
        <v>29</v>
      </c>
      <c r="F1258" t="s">
        <v>30</v>
      </c>
      <c r="G1258">
        <v>85.13</v>
      </c>
      <c r="H1258" t="s">
        <v>14</v>
      </c>
      <c r="I1258" t="s">
        <v>37</v>
      </c>
      <c r="J1258">
        <v>3.4</v>
      </c>
      <c r="K1258">
        <v>10</v>
      </c>
      <c r="L1258">
        <f t="shared" si="58"/>
        <v>76.617000000000004</v>
      </c>
      <c r="M1258">
        <v>5</v>
      </c>
      <c r="N1258" t="str">
        <f t="shared" si="59"/>
        <v>Regular</v>
      </c>
    </row>
    <row r="1259" spans="1:14" x14ac:dyDescent="0.35">
      <c r="A1259">
        <v>1258</v>
      </c>
      <c r="B1259">
        <v>41</v>
      </c>
      <c r="C1259" t="str">
        <f t="shared" si="57"/>
        <v>Adult</v>
      </c>
      <c r="D1259" t="s">
        <v>16</v>
      </c>
      <c r="E1259" t="s">
        <v>25</v>
      </c>
      <c r="F1259" t="s">
        <v>54</v>
      </c>
      <c r="G1259">
        <v>8.8699999999999992</v>
      </c>
      <c r="H1259" t="s">
        <v>24</v>
      </c>
      <c r="I1259" t="s">
        <v>15</v>
      </c>
      <c r="J1259">
        <v>4.4000000000000004</v>
      </c>
      <c r="K1259">
        <v>16</v>
      </c>
      <c r="L1259">
        <f t="shared" si="58"/>
        <v>7.4507999999999992</v>
      </c>
      <c r="M1259">
        <v>3</v>
      </c>
      <c r="N1259" t="str">
        <f t="shared" si="59"/>
        <v>New</v>
      </c>
    </row>
    <row r="1260" spans="1:14" x14ac:dyDescent="0.35">
      <c r="A1260">
        <v>1259</v>
      </c>
      <c r="B1260">
        <v>42</v>
      </c>
      <c r="C1260" t="str">
        <f t="shared" si="57"/>
        <v>Adult</v>
      </c>
      <c r="D1260" t="s">
        <v>16</v>
      </c>
      <c r="E1260" t="s">
        <v>33</v>
      </c>
      <c r="F1260" t="s">
        <v>40</v>
      </c>
      <c r="G1260">
        <v>166.69</v>
      </c>
      <c r="H1260" t="s">
        <v>14</v>
      </c>
      <c r="I1260" t="s">
        <v>15</v>
      </c>
      <c r="J1260">
        <v>2.8</v>
      </c>
      <c r="K1260">
        <v>6</v>
      </c>
      <c r="L1260">
        <f t="shared" si="58"/>
        <v>156.68859999999998</v>
      </c>
      <c r="M1260">
        <v>3</v>
      </c>
      <c r="N1260" t="str">
        <f t="shared" si="59"/>
        <v>New</v>
      </c>
    </row>
    <row r="1261" spans="1:14" x14ac:dyDescent="0.35">
      <c r="A1261">
        <v>1260</v>
      </c>
      <c r="B1261">
        <v>51</v>
      </c>
      <c r="C1261" t="str">
        <f t="shared" si="57"/>
        <v>Adult</v>
      </c>
      <c r="D1261" t="s">
        <v>16</v>
      </c>
      <c r="E1261" t="s">
        <v>33</v>
      </c>
      <c r="F1261" t="s">
        <v>34</v>
      </c>
      <c r="G1261">
        <v>195.92</v>
      </c>
      <c r="H1261" t="s">
        <v>19</v>
      </c>
      <c r="I1261" t="s">
        <v>15</v>
      </c>
      <c r="J1261">
        <v>2.8</v>
      </c>
      <c r="K1261">
        <v>19</v>
      </c>
      <c r="L1261">
        <f t="shared" si="58"/>
        <v>158.6952</v>
      </c>
      <c r="M1261">
        <v>7</v>
      </c>
      <c r="N1261" t="str">
        <f t="shared" si="59"/>
        <v>Regular</v>
      </c>
    </row>
    <row r="1262" spans="1:14" x14ac:dyDescent="0.35">
      <c r="A1262">
        <v>1261</v>
      </c>
      <c r="B1262">
        <v>59</v>
      </c>
      <c r="C1262" t="str">
        <f t="shared" si="57"/>
        <v>Adult</v>
      </c>
      <c r="D1262" t="s">
        <v>16</v>
      </c>
      <c r="E1262" t="s">
        <v>17</v>
      </c>
      <c r="F1262" t="s">
        <v>42</v>
      </c>
      <c r="G1262">
        <v>165.21</v>
      </c>
      <c r="H1262" t="s">
        <v>19</v>
      </c>
      <c r="I1262" t="s">
        <v>15</v>
      </c>
      <c r="J1262">
        <v>3.8</v>
      </c>
      <c r="K1262">
        <v>14</v>
      </c>
      <c r="L1262">
        <f t="shared" si="58"/>
        <v>142.0806</v>
      </c>
      <c r="M1262">
        <v>7</v>
      </c>
      <c r="N1262" t="str">
        <f t="shared" si="59"/>
        <v>Regular</v>
      </c>
    </row>
    <row r="1263" spans="1:14" x14ac:dyDescent="0.35">
      <c r="A1263">
        <v>1262</v>
      </c>
      <c r="B1263">
        <v>58</v>
      </c>
      <c r="C1263" t="str">
        <f t="shared" si="57"/>
        <v>Adult</v>
      </c>
      <c r="D1263" t="s">
        <v>16</v>
      </c>
      <c r="E1263" t="s">
        <v>27</v>
      </c>
      <c r="F1263" t="s">
        <v>32</v>
      </c>
      <c r="G1263">
        <v>500.44</v>
      </c>
      <c r="H1263" t="s">
        <v>31</v>
      </c>
      <c r="I1263" t="s">
        <v>15</v>
      </c>
      <c r="J1263">
        <v>4.4000000000000004</v>
      </c>
      <c r="K1263">
        <v>16</v>
      </c>
      <c r="L1263">
        <f t="shared" si="58"/>
        <v>420.36959999999999</v>
      </c>
      <c r="M1263">
        <v>3</v>
      </c>
      <c r="N1263" t="str">
        <f t="shared" si="59"/>
        <v>New</v>
      </c>
    </row>
    <row r="1264" spans="1:14" x14ac:dyDescent="0.35">
      <c r="A1264">
        <v>1263</v>
      </c>
      <c r="B1264">
        <v>56</v>
      </c>
      <c r="C1264" t="str">
        <f t="shared" si="57"/>
        <v>Adult</v>
      </c>
      <c r="D1264" t="s">
        <v>16</v>
      </c>
      <c r="E1264" t="s">
        <v>20</v>
      </c>
      <c r="F1264" t="s">
        <v>36</v>
      </c>
      <c r="G1264">
        <v>95.43</v>
      </c>
      <c r="H1264" t="s">
        <v>19</v>
      </c>
      <c r="I1264" t="s">
        <v>37</v>
      </c>
      <c r="J1264">
        <v>4</v>
      </c>
      <c r="K1264">
        <v>6</v>
      </c>
      <c r="L1264">
        <f t="shared" si="58"/>
        <v>89.7042</v>
      </c>
      <c r="M1264">
        <v>3</v>
      </c>
      <c r="N1264" t="str">
        <f t="shared" si="59"/>
        <v>New</v>
      </c>
    </row>
    <row r="1265" spans="1:14" x14ac:dyDescent="0.35">
      <c r="A1265">
        <v>1264</v>
      </c>
      <c r="B1265">
        <v>52</v>
      </c>
      <c r="C1265" t="str">
        <f t="shared" si="57"/>
        <v>Adult</v>
      </c>
      <c r="D1265" t="s">
        <v>16</v>
      </c>
      <c r="E1265" t="s">
        <v>27</v>
      </c>
      <c r="F1265" t="s">
        <v>32</v>
      </c>
      <c r="G1265">
        <v>2764.97</v>
      </c>
      <c r="H1265" t="s">
        <v>24</v>
      </c>
      <c r="I1265" t="s">
        <v>15</v>
      </c>
      <c r="J1265">
        <v>2.7</v>
      </c>
      <c r="K1265">
        <v>9</v>
      </c>
      <c r="L1265">
        <f t="shared" si="58"/>
        <v>2516.1226999999999</v>
      </c>
      <c r="M1265">
        <v>2</v>
      </c>
      <c r="N1265" t="str">
        <f t="shared" si="59"/>
        <v>New</v>
      </c>
    </row>
    <row r="1266" spans="1:14" x14ac:dyDescent="0.35">
      <c r="A1266">
        <v>1265</v>
      </c>
      <c r="B1266">
        <v>41</v>
      </c>
      <c r="C1266" t="str">
        <f t="shared" si="57"/>
        <v>Adult</v>
      </c>
      <c r="D1266" t="s">
        <v>16</v>
      </c>
      <c r="E1266" t="s">
        <v>25</v>
      </c>
      <c r="F1266" t="s">
        <v>54</v>
      </c>
      <c r="G1266">
        <v>60.98</v>
      </c>
      <c r="H1266" t="s">
        <v>19</v>
      </c>
      <c r="I1266" t="s">
        <v>15</v>
      </c>
      <c r="J1266">
        <v>2.8</v>
      </c>
      <c r="K1266">
        <v>14</v>
      </c>
      <c r="L1266">
        <f t="shared" si="58"/>
        <v>52.442799999999998</v>
      </c>
      <c r="M1266">
        <v>7</v>
      </c>
      <c r="N1266" t="str">
        <f t="shared" si="59"/>
        <v>Regular</v>
      </c>
    </row>
    <row r="1267" spans="1:14" x14ac:dyDescent="0.35">
      <c r="A1267">
        <v>1266</v>
      </c>
      <c r="B1267">
        <v>37</v>
      </c>
      <c r="C1267" t="str">
        <f t="shared" si="57"/>
        <v>Adult</v>
      </c>
      <c r="D1267" t="s">
        <v>16</v>
      </c>
      <c r="E1267" t="s">
        <v>27</v>
      </c>
      <c r="F1267" t="s">
        <v>32</v>
      </c>
      <c r="G1267">
        <v>943.53</v>
      </c>
      <c r="H1267" t="s">
        <v>19</v>
      </c>
      <c r="I1267" t="s">
        <v>15</v>
      </c>
      <c r="J1267">
        <v>4.7</v>
      </c>
      <c r="K1267">
        <v>2</v>
      </c>
      <c r="L1267">
        <f t="shared" si="58"/>
        <v>924.65940000000001</v>
      </c>
      <c r="M1267">
        <v>1</v>
      </c>
      <c r="N1267" t="str">
        <f t="shared" si="59"/>
        <v>New</v>
      </c>
    </row>
    <row r="1268" spans="1:14" x14ac:dyDescent="0.35">
      <c r="A1268">
        <v>1267</v>
      </c>
      <c r="B1268">
        <v>51</v>
      </c>
      <c r="C1268" t="str">
        <f t="shared" si="57"/>
        <v>Adult</v>
      </c>
      <c r="D1268" t="s">
        <v>16</v>
      </c>
      <c r="E1268" t="s">
        <v>20</v>
      </c>
      <c r="F1268" t="s">
        <v>36</v>
      </c>
      <c r="G1268">
        <v>246.18</v>
      </c>
      <c r="H1268" t="s">
        <v>19</v>
      </c>
      <c r="I1268" t="s">
        <v>15</v>
      </c>
      <c r="J1268">
        <v>3.6</v>
      </c>
      <c r="K1268">
        <v>8</v>
      </c>
      <c r="L1268">
        <f t="shared" si="58"/>
        <v>226.48560000000001</v>
      </c>
      <c r="M1268">
        <v>4</v>
      </c>
      <c r="N1268" t="str">
        <f t="shared" si="59"/>
        <v>Regular</v>
      </c>
    </row>
    <row r="1269" spans="1:14" x14ac:dyDescent="0.35">
      <c r="A1269">
        <v>1268</v>
      </c>
      <c r="B1269">
        <v>65</v>
      </c>
      <c r="C1269" t="str">
        <f t="shared" si="57"/>
        <v>Senior</v>
      </c>
      <c r="D1269" t="s">
        <v>16</v>
      </c>
      <c r="E1269" t="s">
        <v>27</v>
      </c>
      <c r="F1269" t="s">
        <v>53</v>
      </c>
      <c r="G1269">
        <v>1135.9000000000001</v>
      </c>
      <c r="H1269" t="s">
        <v>24</v>
      </c>
      <c r="I1269" t="s">
        <v>15</v>
      </c>
      <c r="J1269">
        <v>3.5</v>
      </c>
      <c r="K1269">
        <v>13</v>
      </c>
      <c r="L1269">
        <f t="shared" si="58"/>
        <v>988.23300000000006</v>
      </c>
      <c r="M1269">
        <v>4</v>
      </c>
      <c r="N1269" t="str">
        <f t="shared" si="59"/>
        <v>Regular</v>
      </c>
    </row>
    <row r="1270" spans="1:14" x14ac:dyDescent="0.35">
      <c r="A1270">
        <v>1269</v>
      </c>
      <c r="B1270">
        <v>45</v>
      </c>
      <c r="C1270" t="str">
        <f t="shared" si="57"/>
        <v>Adult</v>
      </c>
      <c r="D1270" t="s">
        <v>16</v>
      </c>
      <c r="E1270" t="s">
        <v>27</v>
      </c>
      <c r="F1270" t="s">
        <v>53</v>
      </c>
      <c r="G1270">
        <v>1704.22</v>
      </c>
      <c r="H1270" t="s">
        <v>31</v>
      </c>
      <c r="I1270" t="s">
        <v>15</v>
      </c>
      <c r="J1270">
        <v>4.0999999999999996</v>
      </c>
      <c r="K1270">
        <v>15</v>
      </c>
      <c r="L1270">
        <f t="shared" si="58"/>
        <v>1448.587</v>
      </c>
      <c r="M1270">
        <v>5</v>
      </c>
      <c r="N1270" t="str">
        <f t="shared" si="59"/>
        <v>Regular</v>
      </c>
    </row>
    <row r="1271" spans="1:14" x14ac:dyDescent="0.35">
      <c r="A1271">
        <v>1270</v>
      </c>
      <c r="B1271">
        <v>23</v>
      </c>
      <c r="C1271" t="str">
        <f t="shared" si="57"/>
        <v>Youth</v>
      </c>
      <c r="D1271" t="s">
        <v>16</v>
      </c>
      <c r="E1271" t="s">
        <v>33</v>
      </c>
      <c r="F1271" t="s">
        <v>34</v>
      </c>
      <c r="G1271">
        <v>92.79</v>
      </c>
      <c r="H1271" t="s">
        <v>14</v>
      </c>
      <c r="I1271" t="s">
        <v>15</v>
      </c>
      <c r="J1271">
        <v>4.9000000000000004</v>
      </c>
      <c r="K1271">
        <v>13</v>
      </c>
      <c r="L1271">
        <f t="shared" si="58"/>
        <v>80.7273</v>
      </c>
      <c r="M1271">
        <v>4</v>
      </c>
      <c r="N1271" t="str">
        <f t="shared" si="59"/>
        <v>Regular</v>
      </c>
    </row>
    <row r="1272" spans="1:14" x14ac:dyDescent="0.35">
      <c r="A1272">
        <v>1271</v>
      </c>
      <c r="B1272">
        <v>55</v>
      </c>
      <c r="C1272" t="str">
        <f t="shared" si="57"/>
        <v>Adult</v>
      </c>
      <c r="D1272" t="s">
        <v>16</v>
      </c>
      <c r="E1272" t="s">
        <v>17</v>
      </c>
      <c r="F1272" t="s">
        <v>42</v>
      </c>
      <c r="G1272">
        <v>165.27</v>
      </c>
      <c r="H1272" t="s">
        <v>19</v>
      </c>
      <c r="I1272" t="s">
        <v>15</v>
      </c>
      <c r="J1272">
        <v>3.5</v>
      </c>
      <c r="K1272">
        <v>17</v>
      </c>
      <c r="L1272">
        <f t="shared" si="58"/>
        <v>137.17410000000001</v>
      </c>
      <c r="M1272">
        <v>6</v>
      </c>
      <c r="N1272" t="str">
        <f t="shared" si="59"/>
        <v>Regular</v>
      </c>
    </row>
    <row r="1273" spans="1:14" x14ac:dyDescent="0.35">
      <c r="A1273">
        <v>1272</v>
      </c>
      <c r="B1273">
        <v>45</v>
      </c>
      <c r="C1273" t="str">
        <f t="shared" si="57"/>
        <v>Adult</v>
      </c>
      <c r="D1273" t="s">
        <v>11</v>
      </c>
      <c r="E1273" t="s">
        <v>29</v>
      </c>
      <c r="F1273" t="s">
        <v>51</v>
      </c>
      <c r="G1273">
        <v>72.319999999999993</v>
      </c>
      <c r="H1273" t="s">
        <v>31</v>
      </c>
      <c r="I1273" t="s">
        <v>37</v>
      </c>
      <c r="J1273">
        <v>3.4</v>
      </c>
      <c r="K1273">
        <v>17</v>
      </c>
      <c r="L1273">
        <f t="shared" si="58"/>
        <v>60.02559999999999</v>
      </c>
      <c r="M1273">
        <v>6</v>
      </c>
      <c r="N1273" t="str">
        <f t="shared" si="59"/>
        <v>Regular</v>
      </c>
    </row>
    <row r="1274" spans="1:14" x14ac:dyDescent="0.35">
      <c r="A1274">
        <v>1273</v>
      </c>
      <c r="B1274">
        <v>55</v>
      </c>
      <c r="C1274" t="str">
        <f t="shared" si="57"/>
        <v>Adult</v>
      </c>
      <c r="D1274" t="s">
        <v>16</v>
      </c>
      <c r="E1274" t="s">
        <v>27</v>
      </c>
      <c r="F1274" t="s">
        <v>53</v>
      </c>
      <c r="G1274">
        <v>1843.01</v>
      </c>
      <c r="H1274" t="s">
        <v>19</v>
      </c>
      <c r="I1274" t="s">
        <v>15</v>
      </c>
      <c r="J1274">
        <v>2.9</v>
      </c>
      <c r="K1274">
        <v>20</v>
      </c>
      <c r="L1274">
        <f t="shared" si="58"/>
        <v>1474.4080000000001</v>
      </c>
      <c r="M1274">
        <v>10</v>
      </c>
      <c r="N1274" t="str">
        <f t="shared" si="59"/>
        <v>Loyal</v>
      </c>
    </row>
    <row r="1275" spans="1:14" x14ac:dyDescent="0.35">
      <c r="A1275">
        <v>1274</v>
      </c>
      <c r="B1275">
        <v>45</v>
      </c>
      <c r="C1275" t="str">
        <f t="shared" si="57"/>
        <v>Adult</v>
      </c>
      <c r="D1275" t="s">
        <v>16</v>
      </c>
      <c r="E1275" t="s">
        <v>20</v>
      </c>
      <c r="F1275" t="s">
        <v>21</v>
      </c>
      <c r="G1275">
        <v>40.4</v>
      </c>
      <c r="H1275" t="s">
        <v>31</v>
      </c>
      <c r="I1275" t="s">
        <v>15</v>
      </c>
      <c r="J1275">
        <v>3.3</v>
      </c>
      <c r="K1275">
        <v>10</v>
      </c>
      <c r="L1275">
        <f t="shared" si="58"/>
        <v>36.36</v>
      </c>
      <c r="M1275">
        <v>5</v>
      </c>
      <c r="N1275" t="str">
        <f t="shared" si="59"/>
        <v>Regular</v>
      </c>
    </row>
    <row r="1276" spans="1:14" x14ac:dyDescent="0.35">
      <c r="A1276">
        <v>1275</v>
      </c>
      <c r="B1276">
        <v>29</v>
      </c>
      <c r="C1276" t="str">
        <f t="shared" si="57"/>
        <v>Youth</v>
      </c>
      <c r="D1276" t="s">
        <v>16</v>
      </c>
      <c r="E1276" t="s">
        <v>20</v>
      </c>
      <c r="F1276" t="s">
        <v>36</v>
      </c>
      <c r="G1276">
        <v>80.31</v>
      </c>
      <c r="H1276" t="s">
        <v>24</v>
      </c>
      <c r="I1276" t="s">
        <v>37</v>
      </c>
      <c r="J1276">
        <v>4.3</v>
      </c>
      <c r="K1276">
        <v>11</v>
      </c>
      <c r="L1276">
        <f t="shared" si="58"/>
        <v>71.47590000000001</v>
      </c>
      <c r="M1276">
        <v>3</v>
      </c>
      <c r="N1276" t="str">
        <f t="shared" si="59"/>
        <v>New</v>
      </c>
    </row>
    <row r="1277" spans="1:14" x14ac:dyDescent="0.35">
      <c r="A1277">
        <v>1276</v>
      </c>
      <c r="B1277">
        <v>27</v>
      </c>
      <c r="C1277" t="str">
        <f t="shared" si="57"/>
        <v>Youth</v>
      </c>
      <c r="D1277" t="s">
        <v>11</v>
      </c>
      <c r="E1277" t="s">
        <v>33</v>
      </c>
      <c r="F1277" t="s">
        <v>38</v>
      </c>
      <c r="G1277">
        <v>197.36</v>
      </c>
      <c r="H1277" t="s">
        <v>14</v>
      </c>
      <c r="I1277" t="s">
        <v>15</v>
      </c>
      <c r="J1277">
        <v>3.5</v>
      </c>
      <c r="K1277">
        <v>16</v>
      </c>
      <c r="L1277">
        <f t="shared" si="58"/>
        <v>165.7824</v>
      </c>
      <c r="M1277">
        <v>3</v>
      </c>
      <c r="N1277" t="str">
        <f t="shared" si="59"/>
        <v>New</v>
      </c>
    </row>
    <row r="1278" spans="1:14" x14ac:dyDescent="0.35">
      <c r="A1278">
        <v>1277</v>
      </c>
      <c r="B1278">
        <v>22</v>
      </c>
      <c r="C1278" t="str">
        <f t="shared" si="57"/>
        <v>Youth</v>
      </c>
      <c r="D1278" t="s">
        <v>16</v>
      </c>
      <c r="E1278" t="s">
        <v>33</v>
      </c>
      <c r="F1278" t="s">
        <v>38</v>
      </c>
      <c r="G1278">
        <v>153.96</v>
      </c>
      <c r="H1278" t="s">
        <v>19</v>
      </c>
      <c r="I1278" t="s">
        <v>15</v>
      </c>
      <c r="J1278">
        <v>4.7</v>
      </c>
      <c r="K1278">
        <v>11</v>
      </c>
      <c r="L1278">
        <f t="shared" si="58"/>
        <v>137.02440000000001</v>
      </c>
      <c r="M1278">
        <v>3</v>
      </c>
      <c r="N1278" t="str">
        <f t="shared" si="59"/>
        <v>New</v>
      </c>
    </row>
    <row r="1279" spans="1:14" x14ac:dyDescent="0.35">
      <c r="A1279">
        <v>1278</v>
      </c>
      <c r="B1279">
        <v>55</v>
      </c>
      <c r="C1279" t="str">
        <f t="shared" si="57"/>
        <v>Adult</v>
      </c>
      <c r="D1279" t="s">
        <v>16</v>
      </c>
      <c r="E1279" t="s">
        <v>33</v>
      </c>
      <c r="F1279" t="s">
        <v>38</v>
      </c>
      <c r="G1279">
        <v>46.48</v>
      </c>
      <c r="H1279" t="s">
        <v>31</v>
      </c>
      <c r="I1279" t="s">
        <v>37</v>
      </c>
      <c r="J1279">
        <v>3.1</v>
      </c>
      <c r="K1279">
        <v>6</v>
      </c>
      <c r="L1279">
        <f t="shared" si="58"/>
        <v>43.691199999999995</v>
      </c>
      <c r="M1279">
        <v>3</v>
      </c>
      <c r="N1279" t="str">
        <f t="shared" si="59"/>
        <v>New</v>
      </c>
    </row>
    <row r="1280" spans="1:14" x14ac:dyDescent="0.35">
      <c r="A1280">
        <v>1279</v>
      </c>
      <c r="B1280">
        <v>40</v>
      </c>
      <c r="C1280" t="str">
        <f t="shared" si="57"/>
        <v>Adult</v>
      </c>
      <c r="D1280" t="s">
        <v>16</v>
      </c>
      <c r="E1280" t="s">
        <v>22</v>
      </c>
      <c r="F1280" t="s">
        <v>52</v>
      </c>
      <c r="G1280">
        <v>129.11000000000001</v>
      </c>
      <c r="H1280" t="s">
        <v>31</v>
      </c>
      <c r="I1280" t="s">
        <v>15</v>
      </c>
      <c r="J1280">
        <v>3.1</v>
      </c>
      <c r="K1280">
        <v>20</v>
      </c>
      <c r="L1280">
        <f t="shared" si="58"/>
        <v>103.28800000000001</v>
      </c>
      <c r="M1280">
        <v>5</v>
      </c>
      <c r="N1280" t="str">
        <f t="shared" si="59"/>
        <v>Regular</v>
      </c>
    </row>
    <row r="1281" spans="1:14" x14ac:dyDescent="0.35">
      <c r="A1281">
        <v>1280</v>
      </c>
      <c r="B1281">
        <v>63</v>
      </c>
      <c r="C1281" t="str">
        <f t="shared" si="57"/>
        <v>Senior</v>
      </c>
      <c r="D1281" t="s">
        <v>16</v>
      </c>
      <c r="E1281" t="s">
        <v>20</v>
      </c>
      <c r="F1281" t="s">
        <v>36</v>
      </c>
      <c r="G1281">
        <v>130.97999999999999</v>
      </c>
      <c r="H1281" t="s">
        <v>31</v>
      </c>
      <c r="I1281" t="s">
        <v>15</v>
      </c>
      <c r="J1281">
        <v>3.3</v>
      </c>
      <c r="K1281">
        <v>10</v>
      </c>
      <c r="L1281">
        <f t="shared" si="58"/>
        <v>117.88199999999999</v>
      </c>
      <c r="M1281">
        <v>5</v>
      </c>
      <c r="N1281" t="str">
        <f t="shared" si="59"/>
        <v>Regular</v>
      </c>
    </row>
    <row r="1282" spans="1:14" x14ac:dyDescent="0.35">
      <c r="A1282">
        <v>1281</v>
      </c>
      <c r="B1282">
        <v>43</v>
      </c>
      <c r="C1282" t="str">
        <f t="shared" si="57"/>
        <v>Adult</v>
      </c>
      <c r="D1282" t="s">
        <v>16</v>
      </c>
      <c r="E1282" t="s">
        <v>20</v>
      </c>
      <c r="F1282" t="s">
        <v>39</v>
      </c>
      <c r="G1282">
        <v>116.56</v>
      </c>
      <c r="H1282" t="s">
        <v>31</v>
      </c>
      <c r="I1282" t="s">
        <v>15</v>
      </c>
      <c r="J1282">
        <v>3.1</v>
      </c>
      <c r="K1282">
        <v>25</v>
      </c>
      <c r="L1282">
        <f t="shared" si="58"/>
        <v>87.42</v>
      </c>
      <c r="M1282">
        <v>10</v>
      </c>
      <c r="N1282" t="str">
        <f t="shared" si="59"/>
        <v>Loyal</v>
      </c>
    </row>
    <row r="1283" spans="1:14" x14ac:dyDescent="0.35">
      <c r="A1283">
        <v>1282</v>
      </c>
      <c r="B1283">
        <v>34</v>
      </c>
      <c r="C1283" t="str">
        <f t="shared" ref="C1283:C1346" si="60">IF(B1283&lt;=30,"Youth",IF(B1283&lt;=45,"Adult",IF(B1283&lt;=60,"Adult","Senior")))</f>
        <v>Adult</v>
      </c>
      <c r="D1283" t="s">
        <v>16</v>
      </c>
      <c r="E1283" t="s">
        <v>27</v>
      </c>
      <c r="F1283" t="s">
        <v>53</v>
      </c>
      <c r="G1283">
        <v>1105.45</v>
      </c>
      <c r="H1283" t="s">
        <v>24</v>
      </c>
      <c r="I1283" t="s">
        <v>15</v>
      </c>
      <c r="J1283">
        <v>5</v>
      </c>
      <c r="K1283">
        <v>24</v>
      </c>
      <c r="L1283">
        <f t="shared" ref="L1283:L1346" si="61">G1283*(1-K1283/100)</f>
        <v>840.14200000000005</v>
      </c>
      <c r="M1283">
        <v>7</v>
      </c>
      <c r="N1283" t="str">
        <f t="shared" ref="N1283:N1346" si="62">IF(M1283&lt;=3,"New",IF(M1283&lt;=7,"Regular","Loyal"))</f>
        <v>Regular</v>
      </c>
    </row>
    <row r="1284" spans="1:14" x14ac:dyDescent="0.35">
      <c r="A1284">
        <v>1283</v>
      </c>
      <c r="B1284">
        <v>46</v>
      </c>
      <c r="C1284" t="str">
        <f t="shared" si="60"/>
        <v>Adult</v>
      </c>
      <c r="D1284" t="s">
        <v>16</v>
      </c>
      <c r="E1284" t="s">
        <v>33</v>
      </c>
      <c r="F1284" t="s">
        <v>40</v>
      </c>
      <c r="G1284">
        <v>192.39</v>
      </c>
      <c r="H1284" t="s">
        <v>14</v>
      </c>
      <c r="I1284" t="s">
        <v>15</v>
      </c>
      <c r="J1284">
        <v>3.9</v>
      </c>
      <c r="K1284">
        <v>9</v>
      </c>
      <c r="L1284">
        <f t="shared" si="61"/>
        <v>175.07489999999999</v>
      </c>
      <c r="M1284">
        <v>2</v>
      </c>
      <c r="N1284" t="str">
        <f t="shared" si="62"/>
        <v>New</v>
      </c>
    </row>
    <row r="1285" spans="1:14" x14ac:dyDescent="0.35">
      <c r="A1285">
        <v>1284</v>
      </c>
      <c r="B1285">
        <v>51</v>
      </c>
      <c r="C1285" t="str">
        <f t="shared" si="60"/>
        <v>Adult</v>
      </c>
      <c r="D1285" t="s">
        <v>11</v>
      </c>
      <c r="E1285" t="s">
        <v>41</v>
      </c>
      <c r="F1285" t="s">
        <v>46</v>
      </c>
      <c r="G1285">
        <v>184.44</v>
      </c>
      <c r="H1285" t="s">
        <v>19</v>
      </c>
      <c r="I1285" t="s">
        <v>15</v>
      </c>
      <c r="J1285">
        <v>3.6</v>
      </c>
      <c r="K1285">
        <v>15</v>
      </c>
      <c r="L1285">
        <f t="shared" si="61"/>
        <v>156.774</v>
      </c>
      <c r="M1285">
        <v>5</v>
      </c>
      <c r="N1285" t="str">
        <f t="shared" si="62"/>
        <v>Regular</v>
      </c>
    </row>
    <row r="1286" spans="1:14" x14ac:dyDescent="0.35">
      <c r="A1286">
        <v>1285</v>
      </c>
      <c r="B1286">
        <v>25</v>
      </c>
      <c r="C1286" t="str">
        <f t="shared" si="60"/>
        <v>Youth</v>
      </c>
      <c r="D1286" t="s">
        <v>16</v>
      </c>
      <c r="E1286" t="s">
        <v>22</v>
      </c>
      <c r="F1286" t="s">
        <v>52</v>
      </c>
      <c r="G1286">
        <v>227.36</v>
      </c>
      <c r="H1286" t="s">
        <v>19</v>
      </c>
      <c r="I1286" t="s">
        <v>15</v>
      </c>
      <c r="J1286">
        <v>3.2</v>
      </c>
      <c r="K1286">
        <v>15</v>
      </c>
      <c r="L1286">
        <f t="shared" si="61"/>
        <v>193.256</v>
      </c>
      <c r="M1286">
        <v>5</v>
      </c>
      <c r="N1286" t="str">
        <f t="shared" si="62"/>
        <v>Regular</v>
      </c>
    </row>
    <row r="1287" spans="1:14" x14ac:dyDescent="0.35">
      <c r="A1287">
        <v>1286</v>
      </c>
      <c r="B1287">
        <v>55</v>
      </c>
      <c r="C1287" t="str">
        <f t="shared" si="60"/>
        <v>Adult</v>
      </c>
      <c r="D1287" t="s">
        <v>16</v>
      </c>
      <c r="E1287" t="s">
        <v>17</v>
      </c>
      <c r="F1287" t="s">
        <v>48</v>
      </c>
      <c r="G1287">
        <v>91.95</v>
      </c>
      <c r="H1287" t="s">
        <v>31</v>
      </c>
      <c r="I1287" t="s">
        <v>15</v>
      </c>
      <c r="J1287">
        <v>4.0999999999999996</v>
      </c>
      <c r="K1287">
        <v>20</v>
      </c>
      <c r="L1287">
        <f t="shared" si="61"/>
        <v>73.56</v>
      </c>
      <c r="M1287">
        <v>5</v>
      </c>
      <c r="N1287" t="str">
        <f t="shared" si="62"/>
        <v>Regular</v>
      </c>
    </row>
    <row r="1288" spans="1:14" x14ac:dyDescent="0.35">
      <c r="A1288">
        <v>1287</v>
      </c>
      <c r="B1288">
        <v>40</v>
      </c>
      <c r="C1288" t="str">
        <f t="shared" si="60"/>
        <v>Adult</v>
      </c>
      <c r="D1288" t="s">
        <v>11</v>
      </c>
      <c r="E1288" t="s">
        <v>20</v>
      </c>
      <c r="F1288" t="s">
        <v>39</v>
      </c>
      <c r="G1288">
        <v>71.11</v>
      </c>
      <c r="H1288" t="s">
        <v>24</v>
      </c>
      <c r="I1288" t="s">
        <v>37</v>
      </c>
      <c r="J1288">
        <v>4.5999999999999996</v>
      </c>
      <c r="K1288">
        <v>18</v>
      </c>
      <c r="L1288">
        <f t="shared" si="61"/>
        <v>58.310200000000002</v>
      </c>
      <c r="M1288">
        <v>4</v>
      </c>
      <c r="N1288" t="str">
        <f t="shared" si="62"/>
        <v>Regular</v>
      </c>
    </row>
    <row r="1289" spans="1:14" x14ac:dyDescent="0.35">
      <c r="A1289">
        <v>1288</v>
      </c>
      <c r="B1289">
        <v>36</v>
      </c>
      <c r="C1289" t="str">
        <f t="shared" si="60"/>
        <v>Adult</v>
      </c>
      <c r="D1289" t="s">
        <v>16</v>
      </c>
      <c r="E1289" t="s">
        <v>33</v>
      </c>
      <c r="F1289" t="s">
        <v>34</v>
      </c>
      <c r="G1289">
        <v>114.22</v>
      </c>
      <c r="H1289" t="s">
        <v>14</v>
      </c>
      <c r="I1289" t="s">
        <v>15</v>
      </c>
      <c r="J1289">
        <v>3.9</v>
      </c>
      <c r="K1289">
        <v>22</v>
      </c>
      <c r="L1289">
        <f t="shared" si="61"/>
        <v>89.0916</v>
      </c>
      <c r="M1289">
        <v>6</v>
      </c>
      <c r="N1289" t="str">
        <f t="shared" si="62"/>
        <v>Regular</v>
      </c>
    </row>
    <row r="1290" spans="1:14" x14ac:dyDescent="0.35">
      <c r="A1290">
        <v>1289</v>
      </c>
      <c r="B1290">
        <v>70</v>
      </c>
      <c r="C1290" t="str">
        <f t="shared" si="60"/>
        <v>Senior</v>
      </c>
      <c r="D1290" t="s">
        <v>11</v>
      </c>
      <c r="E1290" t="s">
        <v>29</v>
      </c>
      <c r="F1290" t="s">
        <v>55</v>
      </c>
      <c r="G1290">
        <v>104.25</v>
      </c>
      <c r="H1290" t="s">
        <v>24</v>
      </c>
      <c r="I1290" t="s">
        <v>15</v>
      </c>
      <c r="J1290">
        <v>3.9</v>
      </c>
      <c r="K1290">
        <v>10</v>
      </c>
      <c r="L1290">
        <f t="shared" si="61"/>
        <v>93.825000000000003</v>
      </c>
      <c r="M1290">
        <v>5</v>
      </c>
      <c r="N1290" t="str">
        <f t="shared" si="62"/>
        <v>Regular</v>
      </c>
    </row>
    <row r="1291" spans="1:14" x14ac:dyDescent="0.35">
      <c r="A1291">
        <v>1290</v>
      </c>
      <c r="B1291">
        <v>20</v>
      </c>
      <c r="C1291" t="str">
        <f t="shared" si="60"/>
        <v>Youth</v>
      </c>
      <c r="D1291" t="s">
        <v>11</v>
      </c>
      <c r="E1291" t="s">
        <v>41</v>
      </c>
      <c r="F1291" t="s">
        <v>44</v>
      </c>
      <c r="G1291">
        <v>151.63</v>
      </c>
      <c r="H1291" t="s">
        <v>24</v>
      </c>
      <c r="I1291" t="s">
        <v>15</v>
      </c>
      <c r="J1291">
        <v>2</v>
      </c>
      <c r="K1291">
        <v>12</v>
      </c>
      <c r="L1291">
        <f t="shared" si="61"/>
        <v>133.43440000000001</v>
      </c>
      <c r="M1291">
        <v>6</v>
      </c>
      <c r="N1291" t="str">
        <f t="shared" si="62"/>
        <v>Regular</v>
      </c>
    </row>
    <row r="1292" spans="1:14" x14ac:dyDescent="0.35">
      <c r="A1292">
        <v>1291</v>
      </c>
      <c r="B1292">
        <v>35</v>
      </c>
      <c r="C1292" t="str">
        <f t="shared" si="60"/>
        <v>Adult</v>
      </c>
      <c r="D1292" t="s">
        <v>16</v>
      </c>
      <c r="E1292" t="s">
        <v>20</v>
      </c>
      <c r="F1292" t="s">
        <v>39</v>
      </c>
      <c r="G1292">
        <v>113.99</v>
      </c>
      <c r="H1292" t="s">
        <v>31</v>
      </c>
      <c r="I1292" t="s">
        <v>15</v>
      </c>
      <c r="J1292">
        <v>3.3</v>
      </c>
      <c r="K1292">
        <v>8</v>
      </c>
      <c r="L1292">
        <f t="shared" si="61"/>
        <v>104.8708</v>
      </c>
      <c r="M1292">
        <v>4</v>
      </c>
      <c r="N1292" t="str">
        <f t="shared" si="62"/>
        <v>Regular</v>
      </c>
    </row>
    <row r="1293" spans="1:14" x14ac:dyDescent="0.35">
      <c r="A1293">
        <v>1292</v>
      </c>
      <c r="B1293">
        <v>37</v>
      </c>
      <c r="C1293" t="str">
        <f t="shared" si="60"/>
        <v>Adult</v>
      </c>
      <c r="D1293" t="s">
        <v>11</v>
      </c>
      <c r="E1293" t="s">
        <v>33</v>
      </c>
      <c r="F1293" t="s">
        <v>38</v>
      </c>
      <c r="G1293">
        <v>149.77000000000001</v>
      </c>
      <c r="H1293" t="s">
        <v>19</v>
      </c>
      <c r="I1293" t="s">
        <v>15</v>
      </c>
      <c r="J1293">
        <v>4</v>
      </c>
      <c r="K1293">
        <v>25</v>
      </c>
      <c r="L1293">
        <f t="shared" si="61"/>
        <v>112.32750000000001</v>
      </c>
      <c r="M1293">
        <v>10</v>
      </c>
      <c r="N1293" t="str">
        <f t="shared" si="62"/>
        <v>Loyal</v>
      </c>
    </row>
    <row r="1294" spans="1:14" x14ac:dyDescent="0.35">
      <c r="A1294">
        <v>1293</v>
      </c>
      <c r="B1294">
        <v>35</v>
      </c>
      <c r="C1294" t="str">
        <f t="shared" si="60"/>
        <v>Adult</v>
      </c>
      <c r="D1294" t="s">
        <v>11</v>
      </c>
      <c r="E1294" t="s">
        <v>20</v>
      </c>
      <c r="F1294" t="s">
        <v>21</v>
      </c>
      <c r="G1294">
        <v>149.11000000000001</v>
      </c>
      <c r="H1294" t="s">
        <v>19</v>
      </c>
      <c r="I1294" t="s">
        <v>15</v>
      </c>
      <c r="J1294">
        <v>3.1</v>
      </c>
      <c r="K1294">
        <v>14</v>
      </c>
      <c r="L1294">
        <f t="shared" si="61"/>
        <v>128.2346</v>
      </c>
      <c r="M1294">
        <v>7</v>
      </c>
      <c r="N1294" t="str">
        <f t="shared" si="62"/>
        <v>Regular</v>
      </c>
    </row>
    <row r="1295" spans="1:14" x14ac:dyDescent="0.35">
      <c r="A1295">
        <v>1294</v>
      </c>
      <c r="B1295">
        <v>47</v>
      </c>
      <c r="C1295" t="str">
        <f t="shared" si="60"/>
        <v>Adult</v>
      </c>
      <c r="D1295" t="s">
        <v>11</v>
      </c>
      <c r="E1295" t="s">
        <v>12</v>
      </c>
      <c r="F1295" t="s">
        <v>56</v>
      </c>
      <c r="G1295">
        <v>44.02</v>
      </c>
      <c r="H1295" t="s">
        <v>14</v>
      </c>
      <c r="I1295" t="s">
        <v>37</v>
      </c>
      <c r="J1295">
        <v>4.4000000000000004</v>
      </c>
      <c r="K1295">
        <v>6</v>
      </c>
      <c r="L1295">
        <f t="shared" si="61"/>
        <v>41.378799999999998</v>
      </c>
      <c r="M1295">
        <v>3</v>
      </c>
      <c r="N1295" t="str">
        <f t="shared" si="62"/>
        <v>New</v>
      </c>
    </row>
    <row r="1296" spans="1:14" x14ac:dyDescent="0.35">
      <c r="A1296">
        <v>1295</v>
      </c>
      <c r="B1296">
        <v>60</v>
      </c>
      <c r="C1296" t="str">
        <f t="shared" si="60"/>
        <v>Adult</v>
      </c>
      <c r="D1296" t="s">
        <v>16</v>
      </c>
      <c r="E1296" t="s">
        <v>17</v>
      </c>
      <c r="F1296" t="s">
        <v>48</v>
      </c>
      <c r="G1296">
        <v>42.96</v>
      </c>
      <c r="H1296" t="s">
        <v>19</v>
      </c>
      <c r="I1296" t="s">
        <v>15</v>
      </c>
      <c r="J1296">
        <v>5</v>
      </c>
      <c r="K1296">
        <v>25</v>
      </c>
      <c r="L1296">
        <f t="shared" si="61"/>
        <v>32.22</v>
      </c>
      <c r="M1296">
        <v>10</v>
      </c>
      <c r="N1296" t="str">
        <f t="shared" si="62"/>
        <v>Loyal</v>
      </c>
    </row>
    <row r="1297" spans="1:14" x14ac:dyDescent="0.35">
      <c r="A1297">
        <v>1296</v>
      </c>
      <c r="B1297">
        <v>55</v>
      </c>
      <c r="C1297" t="str">
        <f t="shared" si="60"/>
        <v>Adult</v>
      </c>
      <c r="D1297" t="s">
        <v>11</v>
      </c>
      <c r="E1297" t="s">
        <v>41</v>
      </c>
      <c r="F1297" t="s">
        <v>46</v>
      </c>
      <c r="G1297">
        <v>186.61</v>
      </c>
      <c r="H1297" t="s">
        <v>31</v>
      </c>
      <c r="I1297" t="s">
        <v>15</v>
      </c>
      <c r="J1297">
        <v>3.2</v>
      </c>
      <c r="K1297">
        <v>14</v>
      </c>
      <c r="L1297">
        <f t="shared" si="61"/>
        <v>160.4846</v>
      </c>
      <c r="M1297">
        <v>7</v>
      </c>
      <c r="N1297" t="str">
        <f t="shared" si="62"/>
        <v>Regular</v>
      </c>
    </row>
    <row r="1298" spans="1:14" x14ac:dyDescent="0.35">
      <c r="A1298">
        <v>1297</v>
      </c>
      <c r="B1298">
        <v>36</v>
      </c>
      <c r="C1298" t="str">
        <f t="shared" si="60"/>
        <v>Adult</v>
      </c>
      <c r="D1298" t="s">
        <v>16</v>
      </c>
      <c r="E1298" t="s">
        <v>25</v>
      </c>
      <c r="F1298" t="s">
        <v>47</v>
      </c>
      <c r="G1298">
        <v>20.05</v>
      </c>
      <c r="H1298" t="s">
        <v>19</v>
      </c>
      <c r="I1298" t="s">
        <v>37</v>
      </c>
      <c r="J1298">
        <v>3.9</v>
      </c>
      <c r="K1298">
        <v>13</v>
      </c>
      <c r="L1298">
        <f t="shared" si="61"/>
        <v>17.4435</v>
      </c>
      <c r="M1298">
        <v>4</v>
      </c>
      <c r="N1298" t="str">
        <f t="shared" si="62"/>
        <v>Regular</v>
      </c>
    </row>
    <row r="1299" spans="1:14" x14ac:dyDescent="0.35">
      <c r="A1299">
        <v>1298</v>
      </c>
      <c r="B1299">
        <v>31</v>
      </c>
      <c r="C1299" t="str">
        <f t="shared" si="60"/>
        <v>Adult</v>
      </c>
      <c r="D1299" t="s">
        <v>16</v>
      </c>
      <c r="E1299" t="s">
        <v>27</v>
      </c>
      <c r="F1299" t="s">
        <v>49</v>
      </c>
      <c r="G1299">
        <v>2520.3000000000002</v>
      </c>
      <c r="H1299" t="s">
        <v>31</v>
      </c>
      <c r="I1299" t="s">
        <v>15</v>
      </c>
      <c r="J1299">
        <v>2.7</v>
      </c>
      <c r="K1299">
        <v>14</v>
      </c>
      <c r="L1299">
        <f t="shared" si="61"/>
        <v>2167.4580000000001</v>
      </c>
      <c r="M1299">
        <v>7</v>
      </c>
      <c r="N1299" t="str">
        <f t="shared" si="62"/>
        <v>Regular</v>
      </c>
    </row>
    <row r="1300" spans="1:14" x14ac:dyDescent="0.35">
      <c r="A1300">
        <v>1299</v>
      </c>
      <c r="B1300">
        <v>51</v>
      </c>
      <c r="C1300" t="str">
        <f t="shared" si="60"/>
        <v>Adult</v>
      </c>
      <c r="D1300" t="s">
        <v>11</v>
      </c>
      <c r="E1300" t="s">
        <v>41</v>
      </c>
      <c r="F1300" t="s">
        <v>46</v>
      </c>
      <c r="G1300">
        <v>119.82</v>
      </c>
      <c r="H1300" t="s">
        <v>24</v>
      </c>
      <c r="I1300" t="s">
        <v>15</v>
      </c>
      <c r="J1300">
        <v>4.3</v>
      </c>
      <c r="K1300">
        <v>21</v>
      </c>
      <c r="L1300">
        <f t="shared" si="61"/>
        <v>94.657799999999995</v>
      </c>
      <c r="M1300">
        <v>8</v>
      </c>
      <c r="N1300" t="str">
        <f t="shared" si="62"/>
        <v>Loyal</v>
      </c>
    </row>
    <row r="1301" spans="1:14" x14ac:dyDescent="0.35">
      <c r="A1301">
        <v>1300</v>
      </c>
      <c r="B1301">
        <v>62</v>
      </c>
      <c r="C1301" t="str">
        <f t="shared" si="60"/>
        <v>Senior</v>
      </c>
      <c r="D1301" t="s">
        <v>16</v>
      </c>
      <c r="E1301" t="s">
        <v>33</v>
      </c>
      <c r="F1301" t="s">
        <v>34</v>
      </c>
      <c r="G1301">
        <v>144.66999999999999</v>
      </c>
      <c r="H1301" t="s">
        <v>14</v>
      </c>
      <c r="I1301" t="s">
        <v>15</v>
      </c>
      <c r="J1301">
        <v>3.7</v>
      </c>
      <c r="K1301">
        <v>14</v>
      </c>
      <c r="L1301">
        <f t="shared" si="61"/>
        <v>124.41619999999999</v>
      </c>
      <c r="M1301">
        <v>7</v>
      </c>
      <c r="N1301" t="str">
        <f t="shared" si="62"/>
        <v>Regular</v>
      </c>
    </row>
    <row r="1302" spans="1:14" x14ac:dyDescent="0.35">
      <c r="A1302">
        <v>1301</v>
      </c>
      <c r="B1302">
        <v>29</v>
      </c>
      <c r="C1302" t="str">
        <f t="shared" si="60"/>
        <v>Youth</v>
      </c>
      <c r="D1302" t="s">
        <v>11</v>
      </c>
      <c r="E1302" t="s">
        <v>29</v>
      </c>
      <c r="F1302" t="s">
        <v>30</v>
      </c>
      <c r="G1302">
        <v>38.64</v>
      </c>
      <c r="H1302" t="s">
        <v>14</v>
      </c>
      <c r="I1302" t="s">
        <v>37</v>
      </c>
      <c r="J1302">
        <v>4</v>
      </c>
      <c r="K1302">
        <v>16</v>
      </c>
      <c r="L1302">
        <f t="shared" si="61"/>
        <v>32.457599999999999</v>
      </c>
      <c r="M1302">
        <v>3</v>
      </c>
      <c r="N1302" t="str">
        <f t="shared" si="62"/>
        <v>New</v>
      </c>
    </row>
    <row r="1303" spans="1:14" x14ac:dyDescent="0.35">
      <c r="A1303">
        <v>1302</v>
      </c>
      <c r="B1303">
        <v>28</v>
      </c>
      <c r="C1303" t="str">
        <f t="shared" si="60"/>
        <v>Youth</v>
      </c>
      <c r="D1303" t="s">
        <v>16</v>
      </c>
      <c r="E1303" t="s">
        <v>20</v>
      </c>
      <c r="F1303" t="s">
        <v>21</v>
      </c>
      <c r="G1303">
        <v>64.16</v>
      </c>
      <c r="H1303" t="s">
        <v>24</v>
      </c>
      <c r="I1303" t="s">
        <v>37</v>
      </c>
      <c r="J1303">
        <v>3.7</v>
      </c>
      <c r="K1303">
        <v>28</v>
      </c>
      <c r="L1303">
        <f t="shared" si="61"/>
        <v>46.195199999999993</v>
      </c>
      <c r="M1303">
        <v>9</v>
      </c>
      <c r="N1303" t="str">
        <f t="shared" si="62"/>
        <v>Loyal</v>
      </c>
    </row>
    <row r="1304" spans="1:14" x14ac:dyDescent="0.35">
      <c r="A1304">
        <v>1303</v>
      </c>
      <c r="B1304">
        <v>35</v>
      </c>
      <c r="C1304" t="str">
        <f t="shared" si="60"/>
        <v>Adult</v>
      </c>
      <c r="D1304" t="s">
        <v>16</v>
      </c>
      <c r="E1304" t="s">
        <v>20</v>
      </c>
      <c r="F1304" t="s">
        <v>36</v>
      </c>
      <c r="G1304">
        <v>238.78</v>
      </c>
      <c r="H1304" t="s">
        <v>31</v>
      </c>
      <c r="I1304" t="s">
        <v>15</v>
      </c>
      <c r="J1304">
        <v>3.8</v>
      </c>
      <c r="K1304">
        <v>9</v>
      </c>
      <c r="L1304">
        <f t="shared" si="61"/>
        <v>217.28980000000001</v>
      </c>
      <c r="M1304">
        <v>2</v>
      </c>
      <c r="N1304" t="str">
        <f t="shared" si="62"/>
        <v>New</v>
      </c>
    </row>
    <row r="1305" spans="1:14" x14ac:dyDescent="0.35">
      <c r="A1305">
        <v>1304</v>
      </c>
      <c r="B1305">
        <v>34</v>
      </c>
      <c r="C1305" t="str">
        <f t="shared" si="60"/>
        <v>Adult</v>
      </c>
      <c r="D1305" t="s">
        <v>11</v>
      </c>
      <c r="E1305" t="s">
        <v>12</v>
      </c>
      <c r="F1305" t="s">
        <v>50</v>
      </c>
      <c r="G1305">
        <v>159.38999999999999</v>
      </c>
      <c r="H1305" t="s">
        <v>19</v>
      </c>
      <c r="I1305" t="s">
        <v>15</v>
      </c>
      <c r="J1305">
        <v>3</v>
      </c>
      <c r="K1305">
        <v>6</v>
      </c>
      <c r="L1305">
        <f t="shared" si="61"/>
        <v>149.82659999999998</v>
      </c>
      <c r="M1305">
        <v>3</v>
      </c>
      <c r="N1305" t="str">
        <f t="shared" si="62"/>
        <v>New</v>
      </c>
    </row>
    <row r="1306" spans="1:14" x14ac:dyDescent="0.35">
      <c r="A1306">
        <v>1305</v>
      </c>
      <c r="B1306">
        <v>22</v>
      </c>
      <c r="C1306" t="str">
        <f t="shared" si="60"/>
        <v>Youth</v>
      </c>
      <c r="D1306" t="s">
        <v>11</v>
      </c>
      <c r="E1306" t="s">
        <v>25</v>
      </c>
      <c r="F1306" t="s">
        <v>54</v>
      </c>
      <c r="G1306">
        <v>60.87</v>
      </c>
      <c r="H1306" t="s">
        <v>24</v>
      </c>
      <c r="I1306" t="s">
        <v>15</v>
      </c>
      <c r="J1306">
        <v>3.6</v>
      </c>
      <c r="K1306">
        <v>14</v>
      </c>
      <c r="L1306">
        <f t="shared" si="61"/>
        <v>52.348199999999999</v>
      </c>
      <c r="M1306">
        <v>7</v>
      </c>
      <c r="N1306" t="str">
        <f t="shared" si="62"/>
        <v>Regular</v>
      </c>
    </row>
    <row r="1307" spans="1:14" x14ac:dyDescent="0.35">
      <c r="A1307">
        <v>1306</v>
      </c>
      <c r="B1307">
        <v>70</v>
      </c>
      <c r="C1307" t="str">
        <f t="shared" si="60"/>
        <v>Senior</v>
      </c>
      <c r="D1307" t="s">
        <v>16</v>
      </c>
      <c r="E1307" t="s">
        <v>33</v>
      </c>
      <c r="F1307" t="s">
        <v>34</v>
      </c>
      <c r="G1307">
        <v>61.28</v>
      </c>
      <c r="H1307" t="s">
        <v>31</v>
      </c>
      <c r="I1307" t="s">
        <v>15</v>
      </c>
      <c r="J1307">
        <v>4.5999999999999996</v>
      </c>
      <c r="K1307">
        <v>14</v>
      </c>
      <c r="L1307">
        <f t="shared" si="61"/>
        <v>52.700800000000001</v>
      </c>
      <c r="M1307">
        <v>7</v>
      </c>
      <c r="N1307" t="str">
        <f t="shared" si="62"/>
        <v>Regular</v>
      </c>
    </row>
    <row r="1308" spans="1:14" x14ac:dyDescent="0.35">
      <c r="A1308">
        <v>1307</v>
      </c>
      <c r="B1308">
        <v>42</v>
      </c>
      <c r="C1308" t="str">
        <f t="shared" si="60"/>
        <v>Adult</v>
      </c>
      <c r="D1308" t="s">
        <v>16</v>
      </c>
      <c r="E1308" t="s">
        <v>33</v>
      </c>
      <c r="F1308" t="s">
        <v>38</v>
      </c>
      <c r="G1308">
        <v>219.14</v>
      </c>
      <c r="H1308" t="s">
        <v>24</v>
      </c>
      <c r="I1308" t="s">
        <v>15</v>
      </c>
      <c r="J1308">
        <v>4.2</v>
      </c>
      <c r="K1308">
        <v>18</v>
      </c>
      <c r="L1308">
        <f t="shared" si="61"/>
        <v>179.69480000000001</v>
      </c>
      <c r="M1308">
        <v>4</v>
      </c>
      <c r="N1308" t="str">
        <f t="shared" si="62"/>
        <v>Regular</v>
      </c>
    </row>
    <row r="1309" spans="1:14" x14ac:dyDescent="0.35">
      <c r="A1309">
        <v>1308</v>
      </c>
      <c r="B1309">
        <v>22</v>
      </c>
      <c r="C1309" t="str">
        <f t="shared" si="60"/>
        <v>Youth</v>
      </c>
      <c r="D1309" t="s">
        <v>11</v>
      </c>
      <c r="E1309" t="s">
        <v>41</v>
      </c>
      <c r="F1309" t="s">
        <v>44</v>
      </c>
      <c r="G1309">
        <v>125.23</v>
      </c>
      <c r="H1309" t="s">
        <v>24</v>
      </c>
      <c r="I1309" t="s">
        <v>15</v>
      </c>
      <c r="J1309">
        <v>4.8</v>
      </c>
      <c r="K1309">
        <v>13</v>
      </c>
      <c r="L1309">
        <f t="shared" si="61"/>
        <v>108.95010000000001</v>
      </c>
      <c r="M1309">
        <v>4</v>
      </c>
      <c r="N1309" t="str">
        <f t="shared" si="62"/>
        <v>Regular</v>
      </c>
    </row>
    <row r="1310" spans="1:14" x14ac:dyDescent="0.35">
      <c r="A1310">
        <v>1309</v>
      </c>
      <c r="B1310">
        <v>39</v>
      </c>
      <c r="C1310" t="str">
        <f t="shared" si="60"/>
        <v>Adult</v>
      </c>
      <c r="D1310" t="s">
        <v>11</v>
      </c>
      <c r="E1310" t="s">
        <v>12</v>
      </c>
      <c r="F1310" t="s">
        <v>56</v>
      </c>
      <c r="G1310">
        <v>77.930000000000007</v>
      </c>
      <c r="H1310" t="s">
        <v>31</v>
      </c>
      <c r="I1310" t="s">
        <v>15</v>
      </c>
      <c r="J1310">
        <v>3.5</v>
      </c>
      <c r="K1310">
        <v>10</v>
      </c>
      <c r="L1310">
        <f t="shared" si="61"/>
        <v>70.137000000000015</v>
      </c>
      <c r="M1310">
        <v>5</v>
      </c>
      <c r="N1310" t="str">
        <f t="shared" si="62"/>
        <v>Regular</v>
      </c>
    </row>
    <row r="1311" spans="1:14" x14ac:dyDescent="0.35">
      <c r="A1311">
        <v>1310</v>
      </c>
      <c r="B1311">
        <v>48</v>
      </c>
      <c r="C1311" t="str">
        <f t="shared" si="60"/>
        <v>Adult</v>
      </c>
      <c r="D1311" t="s">
        <v>16</v>
      </c>
      <c r="E1311" t="s">
        <v>27</v>
      </c>
      <c r="F1311" t="s">
        <v>32</v>
      </c>
      <c r="G1311">
        <v>579.51</v>
      </c>
      <c r="H1311" t="s">
        <v>19</v>
      </c>
      <c r="I1311" t="s">
        <v>15</v>
      </c>
      <c r="J1311">
        <v>2.5</v>
      </c>
      <c r="K1311">
        <v>11</v>
      </c>
      <c r="L1311">
        <f t="shared" si="61"/>
        <v>515.76390000000004</v>
      </c>
      <c r="M1311">
        <v>3</v>
      </c>
      <c r="N1311" t="str">
        <f t="shared" si="62"/>
        <v>New</v>
      </c>
    </row>
    <row r="1312" spans="1:14" x14ac:dyDescent="0.35">
      <c r="A1312">
        <v>1311</v>
      </c>
      <c r="B1312">
        <v>58</v>
      </c>
      <c r="C1312" t="str">
        <f t="shared" si="60"/>
        <v>Adult</v>
      </c>
      <c r="D1312" t="s">
        <v>16</v>
      </c>
      <c r="E1312" t="s">
        <v>17</v>
      </c>
      <c r="F1312" t="s">
        <v>48</v>
      </c>
      <c r="G1312">
        <v>142.47</v>
      </c>
      <c r="H1312" t="s">
        <v>19</v>
      </c>
      <c r="I1312" t="s">
        <v>15</v>
      </c>
      <c r="J1312">
        <v>3.5</v>
      </c>
      <c r="K1312">
        <v>20</v>
      </c>
      <c r="L1312">
        <f t="shared" si="61"/>
        <v>113.976</v>
      </c>
      <c r="M1312">
        <v>5</v>
      </c>
      <c r="N1312" t="str">
        <f t="shared" si="62"/>
        <v>Regular</v>
      </c>
    </row>
    <row r="1313" spans="1:14" x14ac:dyDescent="0.35">
      <c r="A1313">
        <v>1312</v>
      </c>
      <c r="B1313">
        <v>21</v>
      </c>
      <c r="C1313" t="str">
        <f t="shared" si="60"/>
        <v>Youth</v>
      </c>
      <c r="D1313" t="s">
        <v>16</v>
      </c>
      <c r="E1313" t="s">
        <v>20</v>
      </c>
      <c r="F1313" t="s">
        <v>36</v>
      </c>
      <c r="G1313">
        <v>34.03</v>
      </c>
      <c r="H1313" t="s">
        <v>31</v>
      </c>
      <c r="I1313" t="s">
        <v>37</v>
      </c>
      <c r="J1313">
        <v>3.3</v>
      </c>
      <c r="K1313">
        <v>6</v>
      </c>
      <c r="L1313">
        <f t="shared" si="61"/>
        <v>31.988199999999999</v>
      </c>
      <c r="M1313">
        <v>3</v>
      </c>
      <c r="N1313" t="str">
        <f t="shared" si="62"/>
        <v>New</v>
      </c>
    </row>
    <row r="1314" spans="1:14" x14ac:dyDescent="0.35">
      <c r="A1314">
        <v>1313</v>
      </c>
      <c r="B1314">
        <v>56</v>
      </c>
      <c r="C1314" t="str">
        <f t="shared" si="60"/>
        <v>Adult</v>
      </c>
      <c r="D1314" t="s">
        <v>16</v>
      </c>
      <c r="E1314" t="s">
        <v>17</v>
      </c>
      <c r="F1314" t="s">
        <v>42</v>
      </c>
      <c r="G1314">
        <v>191.15</v>
      </c>
      <c r="H1314" t="s">
        <v>31</v>
      </c>
      <c r="I1314" t="s">
        <v>15</v>
      </c>
      <c r="J1314">
        <v>3.2</v>
      </c>
      <c r="K1314">
        <v>30</v>
      </c>
      <c r="L1314">
        <f t="shared" si="61"/>
        <v>133.80500000000001</v>
      </c>
      <c r="M1314">
        <v>10</v>
      </c>
      <c r="N1314" t="str">
        <f t="shared" si="62"/>
        <v>Loyal</v>
      </c>
    </row>
    <row r="1315" spans="1:14" x14ac:dyDescent="0.35">
      <c r="A1315">
        <v>1314</v>
      </c>
      <c r="B1315">
        <v>57</v>
      </c>
      <c r="C1315" t="str">
        <f t="shared" si="60"/>
        <v>Adult</v>
      </c>
      <c r="D1315" t="s">
        <v>11</v>
      </c>
      <c r="E1315" t="s">
        <v>25</v>
      </c>
      <c r="F1315" t="s">
        <v>54</v>
      </c>
      <c r="G1315">
        <v>57.36</v>
      </c>
      <c r="H1315" t="s">
        <v>31</v>
      </c>
      <c r="I1315" t="s">
        <v>15</v>
      </c>
      <c r="J1315">
        <v>3.8</v>
      </c>
      <c r="K1315">
        <v>20</v>
      </c>
      <c r="L1315">
        <f t="shared" si="61"/>
        <v>45.888000000000005</v>
      </c>
      <c r="M1315">
        <v>5</v>
      </c>
      <c r="N1315" t="str">
        <f t="shared" si="62"/>
        <v>Regular</v>
      </c>
    </row>
    <row r="1316" spans="1:14" x14ac:dyDescent="0.35">
      <c r="A1316">
        <v>1315</v>
      </c>
      <c r="B1316">
        <v>40</v>
      </c>
      <c r="C1316" t="str">
        <f t="shared" si="60"/>
        <v>Adult</v>
      </c>
      <c r="D1316" t="s">
        <v>16</v>
      </c>
      <c r="E1316" t="s">
        <v>20</v>
      </c>
      <c r="F1316" t="s">
        <v>36</v>
      </c>
      <c r="G1316">
        <v>235.9</v>
      </c>
      <c r="H1316" t="s">
        <v>14</v>
      </c>
      <c r="I1316" t="s">
        <v>15</v>
      </c>
      <c r="J1316">
        <v>3.5</v>
      </c>
      <c r="K1316">
        <v>13</v>
      </c>
      <c r="L1316">
        <f t="shared" si="61"/>
        <v>205.233</v>
      </c>
      <c r="M1316">
        <v>4</v>
      </c>
      <c r="N1316" t="str">
        <f t="shared" si="62"/>
        <v>Regular</v>
      </c>
    </row>
    <row r="1317" spans="1:14" x14ac:dyDescent="0.35">
      <c r="A1317">
        <v>1316</v>
      </c>
      <c r="B1317">
        <v>53</v>
      </c>
      <c r="C1317" t="str">
        <f t="shared" si="60"/>
        <v>Adult</v>
      </c>
      <c r="D1317" t="s">
        <v>16</v>
      </c>
      <c r="E1317" t="s">
        <v>27</v>
      </c>
      <c r="F1317" t="s">
        <v>32</v>
      </c>
      <c r="G1317">
        <v>1327.45</v>
      </c>
      <c r="H1317" t="s">
        <v>31</v>
      </c>
      <c r="I1317" t="s">
        <v>15</v>
      </c>
      <c r="J1317">
        <v>3.9</v>
      </c>
      <c r="K1317">
        <v>6</v>
      </c>
      <c r="L1317">
        <f t="shared" si="61"/>
        <v>1247.8029999999999</v>
      </c>
      <c r="M1317">
        <v>3</v>
      </c>
      <c r="N1317" t="str">
        <f t="shared" si="62"/>
        <v>New</v>
      </c>
    </row>
    <row r="1318" spans="1:14" x14ac:dyDescent="0.35">
      <c r="A1318">
        <v>1317</v>
      </c>
      <c r="B1318">
        <v>69</v>
      </c>
      <c r="C1318" t="str">
        <f t="shared" si="60"/>
        <v>Senior</v>
      </c>
      <c r="D1318" t="s">
        <v>16</v>
      </c>
      <c r="E1318" t="s">
        <v>22</v>
      </c>
      <c r="F1318" t="s">
        <v>52</v>
      </c>
      <c r="G1318">
        <v>120.8</v>
      </c>
      <c r="H1318" t="s">
        <v>19</v>
      </c>
      <c r="I1318" t="s">
        <v>15</v>
      </c>
      <c r="J1318">
        <v>4.8</v>
      </c>
      <c r="K1318">
        <v>20</v>
      </c>
      <c r="L1318">
        <f t="shared" si="61"/>
        <v>96.64</v>
      </c>
      <c r="M1318">
        <v>5</v>
      </c>
      <c r="N1318" t="str">
        <f t="shared" si="62"/>
        <v>Regular</v>
      </c>
    </row>
    <row r="1319" spans="1:14" x14ac:dyDescent="0.35">
      <c r="A1319">
        <v>1318</v>
      </c>
      <c r="B1319">
        <v>30</v>
      </c>
      <c r="C1319" t="str">
        <f t="shared" si="60"/>
        <v>Youth</v>
      </c>
      <c r="D1319" t="s">
        <v>16</v>
      </c>
      <c r="E1319" t="s">
        <v>27</v>
      </c>
      <c r="F1319" t="s">
        <v>49</v>
      </c>
      <c r="G1319">
        <v>2944.78</v>
      </c>
      <c r="H1319" t="s">
        <v>19</v>
      </c>
      <c r="I1319" t="s">
        <v>15</v>
      </c>
      <c r="J1319">
        <v>4</v>
      </c>
      <c r="K1319">
        <v>23</v>
      </c>
      <c r="L1319">
        <f t="shared" si="61"/>
        <v>2267.4806000000003</v>
      </c>
      <c r="M1319">
        <v>9</v>
      </c>
      <c r="N1319" t="str">
        <f t="shared" si="62"/>
        <v>Loyal</v>
      </c>
    </row>
    <row r="1320" spans="1:14" x14ac:dyDescent="0.35">
      <c r="A1320">
        <v>1319</v>
      </c>
      <c r="B1320">
        <v>52</v>
      </c>
      <c r="C1320" t="str">
        <f t="shared" si="60"/>
        <v>Adult</v>
      </c>
      <c r="D1320" t="s">
        <v>11</v>
      </c>
      <c r="E1320" t="s">
        <v>29</v>
      </c>
      <c r="F1320" t="s">
        <v>55</v>
      </c>
      <c r="G1320">
        <v>105.98</v>
      </c>
      <c r="H1320" t="s">
        <v>19</v>
      </c>
      <c r="I1320" t="s">
        <v>15</v>
      </c>
      <c r="J1320">
        <v>3.9</v>
      </c>
      <c r="K1320">
        <v>19</v>
      </c>
      <c r="L1320">
        <f t="shared" si="61"/>
        <v>85.843800000000016</v>
      </c>
      <c r="M1320">
        <v>7</v>
      </c>
      <c r="N1320" t="str">
        <f t="shared" si="62"/>
        <v>Regular</v>
      </c>
    </row>
    <row r="1321" spans="1:14" x14ac:dyDescent="0.35">
      <c r="A1321">
        <v>1320</v>
      </c>
      <c r="B1321">
        <v>24</v>
      </c>
      <c r="C1321" t="str">
        <f t="shared" si="60"/>
        <v>Youth</v>
      </c>
      <c r="D1321" t="s">
        <v>16</v>
      </c>
      <c r="E1321" t="s">
        <v>20</v>
      </c>
      <c r="F1321" t="s">
        <v>21</v>
      </c>
      <c r="G1321">
        <v>71.53</v>
      </c>
      <c r="H1321" t="s">
        <v>14</v>
      </c>
      <c r="I1321" t="s">
        <v>15</v>
      </c>
      <c r="J1321">
        <v>4</v>
      </c>
      <c r="K1321">
        <v>11</v>
      </c>
      <c r="L1321">
        <f t="shared" si="61"/>
        <v>63.661700000000003</v>
      </c>
      <c r="M1321">
        <v>3</v>
      </c>
      <c r="N1321" t="str">
        <f t="shared" si="62"/>
        <v>New</v>
      </c>
    </row>
    <row r="1322" spans="1:14" x14ac:dyDescent="0.35">
      <c r="A1322">
        <v>1321</v>
      </c>
      <c r="B1322">
        <v>51</v>
      </c>
      <c r="C1322" t="str">
        <f t="shared" si="60"/>
        <v>Adult</v>
      </c>
      <c r="D1322" t="s">
        <v>11</v>
      </c>
      <c r="E1322" t="s">
        <v>29</v>
      </c>
      <c r="F1322" t="s">
        <v>55</v>
      </c>
      <c r="G1322">
        <v>30.99</v>
      </c>
      <c r="H1322" t="s">
        <v>31</v>
      </c>
      <c r="I1322" t="s">
        <v>37</v>
      </c>
      <c r="J1322">
        <v>3.4</v>
      </c>
      <c r="K1322">
        <v>8</v>
      </c>
      <c r="L1322">
        <f t="shared" si="61"/>
        <v>28.5108</v>
      </c>
      <c r="M1322">
        <v>4</v>
      </c>
      <c r="N1322" t="str">
        <f t="shared" si="62"/>
        <v>Regular</v>
      </c>
    </row>
    <row r="1323" spans="1:14" x14ac:dyDescent="0.35">
      <c r="A1323">
        <v>1322</v>
      </c>
      <c r="B1323">
        <v>50</v>
      </c>
      <c r="C1323" t="str">
        <f t="shared" si="60"/>
        <v>Adult</v>
      </c>
      <c r="D1323" t="s">
        <v>11</v>
      </c>
      <c r="E1323" t="s">
        <v>29</v>
      </c>
      <c r="F1323" t="s">
        <v>51</v>
      </c>
      <c r="G1323">
        <v>53.04</v>
      </c>
      <c r="H1323" t="s">
        <v>31</v>
      </c>
      <c r="I1323" t="s">
        <v>37</v>
      </c>
      <c r="J1323">
        <v>3.7</v>
      </c>
      <c r="K1323">
        <v>10</v>
      </c>
      <c r="L1323">
        <f t="shared" si="61"/>
        <v>47.735999999999997</v>
      </c>
      <c r="M1323">
        <v>0</v>
      </c>
      <c r="N1323" t="str">
        <f t="shared" si="62"/>
        <v>New</v>
      </c>
    </row>
    <row r="1324" spans="1:14" x14ac:dyDescent="0.35">
      <c r="A1324">
        <v>1323</v>
      </c>
      <c r="B1324">
        <v>52</v>
      </c>
      <c r="C1324" t="str">
        <f t="shared" si="60"/>
        <v>Adult</v>
      </c>
      <c r="D1324" t="s">
        <v>11</v>
      </c>
      <c r="E1324" t="s">
        <v>29</v>
      </c>
      <c r="F1324" t="s">
        <v>55</v>
      </c>
      <c r="G1324">
        <v>50.77</v>
      </c>
      <c r="H1324" t="s">
        <v>24</v>
      </c>
      <c r="I1324" t="s">
        <v>37</v>
      </c>
      <c r="J1324">
        <v>4.4000000000000004</v>
      </c>
      <c r="K1324">
        <v>12</v>
      </c>
      <c r="L1324">
        <f t="shared" si="61"/>
        <v>44.677600000000005</v>
      </c>
      <c r="M1324">
        <v>6</v>
      </c>
      <c r="N1324" t="str">
        <f t="shared" si="62"/>
        <v>Regular</v>
      </c>
    </row>
    <row r="1325" spans="1:14" x14ac:dyDescent="0.35">
      <c r="A1325">
        <v>1324</v>
      </c>
      <c r="B1325">
        <v>23</v>
      </c>
      <c r="C1325" t="str">
        <f t="shared" si="60"/>
        <v>Youth</v>
      </c>
      <c r="D1325" t="s">
        <v>11</v>
      </c>
      <c r="E1325" t="s">
        <v>29</v>
      </c>
      <c r="F1325" t="s">
        <v>55</v>
      </c>
      <c r="G1325">
        <v>25.79</v>
      </c>
      <c r="H1325" t="s">
        <v>14</v>
      </c>
      <c r="I1325" t="s">
        <v>15</v>
      </c>
      <c r="J1325">
        <v>4.5999999999999996</v>
      </c>
      <c r="K1325">
        <v>16</v>
      </c>
      <c r="L1325">
        <f t="shared" si="61"/>
        <v>21.663599999999999</v>
      </c>
      <c r="M1325">
        <v>8</v>
      </c>
      <c r="N1325" t="str">
        <f t="shared" si="62"/>
        <v>Loyal</v>
      </c>
    </row>
    <row r="1326" spans="1:14" x14ac:dyDescent="0.35">
      <c r="A1326">
        <v>1325</v>
      </c>
      <c r="B1326">
        <v>64</v>
      </c>
      <c r="C1326" t="str">
        <f t="shared" si="60"/>
        <v>Senior</v>
      </c>
      <c r="D1326" t="s">
        <v>16</v>
      </c>
      <c r="E1326" t="s">
        <v>20</v>
      </c>
      <c r="F1326" t="s">
        <v>39</v>
      </c>
      <c r="G1326">
        <v>194.44</v>
      </c>
      <c r="H1326" t="s">
        <v>24</v>
      </c>
      <c r="I1326" t="s">
        <v>15</v>
      </c>
      <c r="J1326">
        <v>4.3</v>
      </c>
      <c r="K1326">
        <v>30</v>
      </c>
      <c r="L1326">
        <f t="shared" si="61"/>
        <v>136.10799999999998</v>
      </c>
      <c r="M1326">
        <v>10</v>
      </c>
      <c r="N1326" t="str">
        <f t="shared" si="62"/>
        <v>Loyal</v>
      </c>
    </row>
    <row r="1327" spans="1:14" x14ac:dyDescent="0.35">
      <c r="A1327">
        <v>1326</v>
      </c>
      <c r="B1327">
        <v>25</v>
      </c>
      <c r="C1327" t="str">
        <f t="shared" si="60"/>
        <v>Youth</v>
      </c>
      <c r="D1327" t="s">
        <v>11</v>
      </c>
      <c r="E1327" t="s">
        <v>33</v>
      </c>
      <c r="F1327" t="s">
        <v>34</v>
      </c>
      <c r="G1327">
        <v>160.51</v>
      </c>
      <c r="H1327" t="s">
        <v>31</v>
      </c>
      <c r="I1327" t="s">
        <v>15</v>
      </c>
      <c r="J1327">
        <v>3.4</v>
      </c>
      <c r="K1327">
        <v>15</v>
      </c>
      <c r="L1327">
        <f t="shared" si="61"/>
        <v>136.43349999999998</v>
      </c>
      <c r="M1327">
        <v>5</v>
      </c>
      <c r="N1327" t="str">
        <f t="shared" si="62"/>
        <v>Regular</v>
      </c>
    </row>
    <row r="1328" spans="1:14" x14ac:dyDescent="0.35">
      <c r="A1328">
        <v>1327</v>
      </c>
      <c r="B1328">
        <v>67</v>
      </c>
      <c r="C1328" t="str">
        <f t="shared" si="60"/>
        <v>Senior</v>
      </c>
      <c r="D1328" t="s">
        <v>16</v>
      </c>
      <c r="E1328" t="s">
        <v>20</v>
      </c>
      <c r="F1328" t="s">
        <v>36</v>
      </c>
      <c r="G1328">
        <v>36.44</v>
      </c>
      <c r="H1328" t="s">
        <v>19</v>
      </c>
      <c r="I1328" t="s">
        <v>15</v>
      </c>
      <c r="J1328">
        <v>3</v>
      </c>
      <c r="K1328">
        <v>13</v>
      </c>
      <c r="L1328">
        <f t="shared" si="61"/>
        <v>31.702799999999996</v>
      </c>
      <c r="M1328">
        <v>4</v>
      </c>
      <c r="N1328" t="str">
        <f t="shared" si="62"/>
        <v>Regular</v>
      </c>
    </row>
    <row r="1329" spans="1:14" x14ac:dyDescent="0.35">
      <c r="A1329">
        <v>1328</v>
      </c>
      <c r="B1329">
        <v>57</v>
      </c>
      <c r="C1329" t="str">
        <f t="shared" si="60"/>
        <v>Adult</v>
      </c>
      <c r="D1329" t="s">
        <v>11</v>
      </c>
      <c r="E1329" t="s">
        <v>12</v>
      </c>
      <c r="F1329" t="s">
        <v>50</v>
      </c>
      <c r="G1329">
        <v>80.59</v>
      </c>
      <c r="H1329" t="s">
        <v>31</v>
      </c>
      <c r="I1329" t="s">
        <v>37</v>
      </c>
      <c r="J1329">
        <v>3.1</v>
      </c>
      <c r="K1329">
        <v>16</v>
      </c>
      <c r="L1329">
        <f t="shared" si="61"/>
        <v>67.695599999999999</v>
      </c>
      <c r="M1329">
        <v>3</v>
      </c>
      <c r="N1329" t="str">
        <f t="shared" si="62"/>
        <v>New</v>
      </c>
    </row>
    <row r="1330" spans="1:14" x14ac:dyDescent="0.35">
      <c r="A1330">
        <v>1329</v>
      </c>
      <c r="B1330">
        <v>36</v>
      </c>
      <c r="C1330" t="str">
        <f t="shared" si="60"/>
        <v>Adult</v>
      </c>
      <c r="D1330" t="s">
        <v>11</v>
      </c>
      <c r="E1330" t="s">
        <v>41</v>
      </c>
      <c r="F1330" t="s">
        <v>44</v>
      </c>
      <c r="G1330">
        <v>194.05</v>
      </c>
      <c r="H1330" t="s">
        <v>24</v>
      </c>
      <c r="I1330" t="s">
        <v>15</v>
      </c>
      <c r="J1330">
        <v>3.3</v>
      </c>
      <c r="K1330">
        <v>8</v>
      </c>
      <c r="L1330">
        <f t="shared" si="61"/>
        <v>178.52600000000001</v>
      </c>
      <c r="M1330">
        <v>4</v>
      </c>
      <c r="N1330" t="str">
        <f t="shared" si="62"/>
        <v>Regular</v>
      </c>
    </row>
    <row r="1331" spans="1:14" x14ac:dyDescent="0.35">
      <c r="A1331">
        <v>1330</v>
      </c>
      <c r="B1331">
        <v>62</v>
      </c>
      <c r="C1331" t="str">
        <f t="shared" si="60"/>
        <v>Senior</v>
      </c>
      <c r="D1331" t="s">
        <v>16</v>
      </c>
      <c r="E1331" t="s">
        <v>17</v>
      </c>
      <c r="F1331" t="s">
        <v>18</v>
      </c>
      <c r="G1331">
        <v>143.18</v>
      </c>
      <c r="H1331" t="s">
        <v>19</v>
      </c>
      <c r="I1331" t="s">
        <v>15</v>
      </c>
      <c r="J1331">
        <v>2.8</v>
      </c>
      <c r="K1331">
        <v>24</v>
      </c>
      <c r="L1331">
        <f t="shared" si="61"/>
        <v>108.8168</v>
      </c>
      <c r="M1331">
        <v>7</v>
      </c>
      <c r="N1331" t="str">
        <f t="shared" si="62"/>
        <v>Regular</v>
      </c>
    </row>
    <row r="1332" spans="1:14" x14ac:dyDescent="0.35">
      <c r="A1332">
        <v>1331</v>
      </c>
      <c r="B1332">
        <v>47</v>
      </c>
      <c r="C1332" t="str">
        <f t="shared" si="60"/>
        <v>Adult</v>
      </c>
      <c r="D1332" t="s">
        <v>16</v>
      </c>
      <c r="E1332" t="s">
        <v>27</v>
      </c>
      <c r="F1332" t="s">
        <v>28</v>
      </c>
      <c r="G1332">
        <v>1170.3699999999999</v>
      </c>
      <c r="H1332" t="s">
        <v>14</v>
      </c>
      <c r="I1332" t="s">
        <v>15</v>
      </c>
      <c r="J1332">
        <v>3.4</v>
      </c>
      <c r="K1332">
        <v>16</v>
      </c>
      <c r="L1332">
        <f t="shared" si="61"/>
        <v>983.11079999999993</v>
      </c>
      <c r="M1332">
        <v>3</v>
      </c>
      <c r="N1332" t="str">
        <f t="shared" si="62"/>
        <v>New</v>
      </c>
    </row>
    <row r="1333" spans="1:14" x14ac:dyDescent="0.35">
      <c r="A1333">
        <v>1332</v>
      </c>
      <c r="B1333">
        <v>25</v>
      </c>
      <c r="C1333" t="str">
        <f t="shared" si="60"/>
        <v>Youth</v>
      </c>
      <c r="D1333" t="s">
        <v>11</v>
      </c>
      <c r="E1333" t="s">
        <v>41</v>
      </c>
      <c r="F1333" t="s">
        <v>46</v>
      </c>
      <c r="G1333">
        <v>164.39</v>
      </c>
      <c r="H1333" t="s">
        <v>24</v>
      </c>
      <c r="I1333" t="s">
        <v>15</v>
      </c>
      <c r="J1333">
        <v>3.6</v>
      </c>
      <c r="K1333">
        <v>18</v>
      </c>
      <c r="L1333">
        <f t="shared" si="61"/>
        <v>134.7998</v>
      </c>
      <c r="M1333">
        <v>4</v>
      </c>
      <c r="N1333" t="str">
        <f t="shared" si="62"/>
        <v>Regular</v>
      </c>
    </row>
    <row r="1334" spans="1:14" x14ac:dyDescent="0.35">
      <c r="A1334">
        <v>1333</v>
      </c>
      <c r="B1334">
        <v>56</v>
      </c>
      <c r="C1334" t="str">
        <f t="shared" si="60"/>
        <v>Adult</v>
      </c>
      <c r="D1334" t="s">
        <v>16</v>
      </c>
      <c r="E1334" t="s">
        <v>20</v>
      </c>
      <c r="F1334" t="s">
        <v>36</v>
      </c>
      <c r="G1334">
        <v>52.53</v>
      </c>
      <c r="H1334" t="s">
        <v>31</v>
      </c>
      <c r="I1334" t="s">
        <v>37</v>
      </c>
      <c r="J1334">
        <v>3.1</v>
      </c>
      <c r="K1334">
        <v>14</v>
      </c>
      <c r="L1334">
        <f t="shared" si="61"/>
        <v>45.175800000000002</v>
      </c>
      <c r="M1334">
        <v>2</v>
      </c>
      <c r="N1334" t="str">
        <f t="shared" si="62"/>
        <v>New</v>
      </c>
    </row>
    <row r="1335" spans="1:14" x14ac:dyDescent="0.35">
      <c r="A1335">
        <v>1334</v>
      </c>
      <c r="B1335">
        <v>55</v>
      </c>
      <c r="C1335" t="str">
        <f t="shared" si="60"/>
        <v>Adult</v>
      </c>
      <c r="D1335" t="s">
        <v>11</v>
      </c>
      <c r="E1335" t="s">
        <v>33</v>
      </c>
      <c r="F1335" t="s">
        <v>38</v>
      </c>
      <c r="G1335">
        <v>46.45</v>
      </c>
      <c r="H1335" t="s">
        <v>24</v>
      </c>
      <c r="I1335" t="s">
        <v>15</v>
      </c>
      <c r="J1335">
        <v>4.9000000000000004</v>
      </c>
      <c r="K1335">
        <v>16</v>
      </c>
      <c r="L1335">
        <f t="shared" si="61"/>
        <v>39.018000000000001</v>
      </c>
      <c r="M1335">
        <v>8</v>
      </c>
      <c r="N1335" t="str">
        <f t="shared" si="62"/>
        <v>Loyal</v>
      </c>
    </row>
    <row r="1336" spans="1:14" x14ac:dyDescent="0.35">
      <c r="A1336">
        <v>1335</v>
      </c>
      <c r="B1336">
        <v>34</v>
      </c>
      <c r="C1336" t="str">
        <f t="shared" si="60"/>
        <v>Adult</v>
      </c>
      <c r="D1336" t="s">
        <v>16</v>
      </c>
      <c r="E1336" t="s">
        <v>33</v>
      </c>
      <c r="F1336" t="s">
        <v>40</v>
      </c>
      <c r="G1336">
        <v>85.32</v>
      </c>
      <c r="H1336" t="s">
        <v>31</v>
      </c>
      <c r="I1336" t="s">
        <v>37</v>
      </c>
      <c r="J1336">
        <v>4.8</v>
      </c>
      <c r="K1336">
        <v>15</v>
      </c>
      <c r="L1336">
        <f t="shared" si="61"/>
        <v>72.521999999999991</v>
      </c>
      <c r="M1336">
        <v>5</v>
      </c>
      <c r="N1336" t="str">
        <f t="shared" si="62"/>
        <v>Regular</v>
      </c>
    </row>
    <row r="1337" spans="1:14" x14ac:dyDescent="0.35">
      <c r="A1337">
        <v>1336</v>
      </c>
      <c r="B1337">
        <v>58</v>
      </c>
      <c r="C1337" t="str">
        <f t="shared" si="60"/>
        <v>Adult</v>
      </c>
      <c r="D1337" t="s">
        <v>16</v>
      </c>
      <c r="E1337" t="s">
        <v>27</v>
      </c>
      <c r="F1337" t="s">
        <v>28</v>
      </c>
      <c r="G1337">
        <v>1082.29</v>
      </c>
      <c r="H1337" t="s">
        <v>31</v>
      </c>
      <c r="I1337" t="s">
        <v>15</v>
      </c>
      <c r="J1337">
        <v>3.2</v>
      </c>
      <c r="K1337">
        <v>8</v>
      </c>
      <c r="L1337">
        <f t="shared" si="61"/>
        <v>995.70680000000004</v>
      </c>
      <c r="M1337">
        <v>4</v>
      </c>
      <c r="N1337" t="str">
        <f t="shared" si="62"/>
        <v>Regular</v>
      </c>
    </row>
    <row r="1338" spans="1:14" x14ac:dyDescent="0.35">
      <c r="A1338">
        <v>1337</v>
      </c>
      <c r="B1338">
        <v>60</v>
      </c>
      <c r="C1338" t="str">
        <f t="shared" si="60"/>
        <v>Adult</v>
      </c>
      <c r="D1338" t="s">
        <v>11</v>
      </c>
      <c r="E1338" t="s">
        <v>12</v>
      </c>
      <c r="F1338" t="s">
        <v>56</v>
      </c>
      <c r="G1338">
        <v>97.14</v>
      </c>
      <c r="H1338" t="s">
        <v>14</v>
      </c>
      <c r="I1338" t="s">
        <v>37</v>
      </c>
      <c r="J1338">
        <v>3.3</v>
      </c>
      <c r="K1338">
        <v>17</v>
      </c>
      <c r="L1338">
        <f t="shared" si="61"/>
        <v>80.626199999999997</v>
      </c>
      <c r="M1338">
        <v>6</v>
      </c>
      <c r="N1338" t="str">
        <f t="shared" si="62"/>
        <v>Regular</v>
      </c>
    </row>
    <row r="1339" spans="1:14" x14ac:dyDescent="0.35">
      <c r="A1339">
        <v>1338</v>
      </c>
      <c r="B1339">
        <v>22</v>
      </c>
      <c r="C1339" t="str">
        <f t="shared" si="60"/>
        <v>Youth</v>
      </c>
      <c r="D1339" t="s">
        <v>11</v>
      </c>
      <c r="E1339" t="s">
        <v>41</v>
      </c>
      <c r="F1339" t="s">
        <v>45</v>
      </c>
      <c r="G1339">
        <v>72.12</v>
      </c>
      <c r="H1339" t="s">
        <v>14</v>
      </c>
      <c r="I1339" t="s">
        <v>37</v>
      </c>
      <c r="J1339">
        <v>2.4</v>
      </c>
      <c r="K1339">
        <v>8</v>
      </c>
      <c r="L1339">
        <f t="shared" si="61"/>
        <v>66.350400000000008</v>
      </c>
      <c r="M1339">
        <v>4</v>
      </c>
      <c r="N1339" t="str">
        <f t="shared" si="62"/>
        <v>Regular</v>
      </c>
    </row>
    <row r="1340" spans="1:14" x14ac:dyDescent="0.35">
      <c r="A1340">
        <v>1339</v>
      </c>
      <c r="B1340">
        <v>31</v>
      </c>
      <c r="C1340" t="str">
        <f t="shared" si="60"/>
        <v>Adult</v>
      </c>
      <c r="D1340" t="s">
        <v>11</v>
      </c>
      <c r="E1340" t="s">
        <v>41</v>
      </c>
      <c r="F1340" t="s">
        <v>42</v>
      </c>
      <c r="G1340">
        <v>115.32</v>
      </c>
      <c r="H1340" t="s">
        <v>31</v>
      </c>
      <c r="I1340" t="s">
        <v>15</v>
      </c>
      <c r="J1340">
        <v>2.6</v>
      </c>
      <c r="K1340">
        <v>12</v>
      </c>
      <c r="L1340">
        <f t="shared" si="61"/>
        <v>101.4816</v>
      </c>
      <c r="M1340">
        <v>6</v>
      </c>
      <c r="N1340" t="str">
        <f t="shared" si="62"/>
        <v>Regular</v>
      </c>
    </row>
    <row r="1341" spans="1:14" x14ac:dyDescent="0.35">
      <c r="A1341">
        <v>1340</v>
      </c>
      <c r="B1341">
        <v>51</v>
      </c>
      <c r="C1341" t="str">
        <f t="shared" si="60"/>
        <v>Adult</v>
      </c>
      <c r="D1341" t="s">
        <v>11</v>
      </c>
      <c r="E1341" t="s">
        <v>29</v>
      </c>
      <c r="F1341" t="s">
        <v>55</v>
      </c>
      <c r="G1341">
        <v>76.33</v>
      </c>
      <c r="H1341" t="s">
        <v>19</v>
      </c>
      <c r="I1341" t="s">
        <v>15</v>
      </c>
      <c r="J1341">
        <v>4</v>
      </c>
      <c r="K1341">
        <v>9</v>
      </c>
      <c r="L1341">
        <f t="shared" si="61"/>
        <v>69.460300000000004</v>
      </c>
      <c r="M1341">
        <v>2</v>
      </c>
      <c r="N1341" t="str">
        <f t="shared" si="62"/>
        <v>New</v>
      </c>
    </row>
    <row r="1342" spans="1:14" x14ac:dyDescent="0.35">
      <c r="A1342">
        <v>1341</v>
      </c>
      <c r="B1342">
        <v>62</v>
      </c>
      <c r="C1342" t="str">
        <f t="shared" si="60"/>
        <v>Senior</v>
      </c>
      <c r="D1342" t="s">
        <v>16</v>
      </c>
      <c r="E1342" t="s">
        <v>17</v>
      </c>
      <c r="F1342" t="s">
        <v>48</v>
      </c>
      <c r="G1342">
        <v>181.25</v>
      </c>
      <c r="H1342" t="s">
        <v>31</v>
      </c>
      <c r="I1342" t="s">
        <v>15</v>
      </c>
      <c r="J1342">
        <v>2.8</v>
      </c>
      <c r="K1342">
        <v>21</v>
      </c>
      <c r="L1342">
        <f t="shared" si="61"/>
        <v>143.1875</v>
      </c>
      <c r="M1342">
        <v>8</v>
      </c>
      <c r="N1342" t="str">
        <f t="shared" si="62"/>
        <v>Loyal</v>
      </c>
    </row>
    <row r="1343" spans="1:14" x14ac:dyDescent="0.35">
      <c r="A1343">
        <v>1342</v>
      </c>
      <c r="B1343">
        <v>62</v>
      </c>
      <c r="C1343" t="str">
        <f t="shared" si="60"/>
        <v>Senior</v>
      </c>
      <c r="D1343" t="s">
        <v>16</v>
      </c>
      <c r="E1343" t="s">
        <v>22</v>
      </c>
      <c r="F1343" t="s">
        <v>52</v>
      </c>
      <c r="G1343">
        <v>178.48</v>
      </c>
      <c r="H1343" t="s">
        <v>19</v>
      </c>
      <c r="I1343" t="s">
        <v>15</v>
      </c>
      <c r="J1343">
        <v>2.9</v>
      </c>
      <c r="K1343">
        <v>20</v>
      </c>
      <c r="L1343">
        <f t="shared" si="61"/>
        <v>142.78399999999999</v>
      </c>
      <c r="M1343">
        <v>5</v>
      </c>
      <c r="N1343" t="str">
        <f t="shared" si="62"/>
        <v>Regular</v>
      </c>
    </row>
    <row r="1344" spans="1:14" x14ac:dyDescent="0.35">
      <c r="A1344">
        <v>1343</v>
      </c>
      <c r="B1344">
        <v>49</v>
      </c>
      <c r="C1344" t="str">
        <f t="shared" si="60"/>
        <v>Adult</v>
      </c>
      <c r="D1344" t="s">
        <v>16</v>
      </c>
      <c r="E1344" t="s">
        <v>20</v>
      </c>
      <c r="F1344" t="s">
        <v>36</v>
      </c>
      <c r="G1344">
        <v>28.95</v>
      </c>
      <c r="H1344" t="s">
        <v>31</v>
      </c>
      <c r="I1344" t="s">
        <v>37</v>
      </c>
      <c r="J1344">
        <v>3.4</v>
      </c>
      <c r="K1344">
        <v>24</v>
      </c>
      <c r="L1344">
        <f t="shared" si="61"/>
        <v>22.001999999999999</v>
      </c>
      <c r="M1344">
        <v>7</v>
      </c>
      <c r="N1344" t="str">
        <f t="shared" si="62"/>
        <v>Regular</v>
      </c>
    </row>
    <row r="1345" spans="1:14" x14ac:dyDescent="0.35">
      <c r="A1345">
        <v>1344</v>
      </c>
      <c r="B1345">
        <v>55</v>
      </c>
      <c r="C1345" t="str">
        <f t="shared" si="60"/>
        <v>Adult</v>
      </c>
      <c r="D1345" t="s">
        <v>11</v>
      </c>
      <c r="E1345" t="s">
        <v>33</v>
      </c>
      <c r="F1345" t="s">
        <v>38</v>
      </c>
      <c r="G1345">
        <v>96.28</v>
      </c>
      <c r="H1345" t="s">
        <v>19</v>
      </c>
      <c r="I1345" t="s">
        <v>15</v>
      </c>
      <c r="J1345">
        <v>4</v>
      </c>
      <c r="K1345">
        <v>17</v>
      </c>
      <c r="L1345">
        <f t="shared" si="61"/>
        <v>79.912399999999991</v>
      </c>
      <c r="M1345">
        <v>6</v>
      </c>
      <c r="N1345" t="str">
        <f t="shared" si="62"/>
        <v>Regular</v>
      </c>
    </row>
    <row r="1346" spans="1:14" x14ac:dyDescent="0.35">
      <c r="A1346">
        <v>1345</v>
      </c>
      <c r="B1346">
        <v>36</v>
      </c>
      <c r="C1346" t="str">
        <f t="shared" si="60"/>
        <v>Adult</v>
      </c>
      <c r="D1346" t="s">
        <v>16</v>
      </c>
      <c r="E1346" t="s">
        <v>25</v>
      </c>
      <c r="F1346" t="s">
        <v>54</v>
      </c>
      <c r="G1346">
        <v>17.13</v>
      </c>
      <c r="H1346" t="s">
        <v>24</v>
      </c>
      <c r="I1346" t="s">
        <v>37</v>
      </c>
      <c r="J1346">
        <v>2.9</v>
      </c>
      <c r="K1346">
        <v>9</v>
      </c>
      <c r="L1346">
        <f t="shared" si="61"/>
        <v>15.5883</v>
      </c>
      <c r="M1346">
        <v>2</v>
      </c>
      <c r="N1346" t="str">
        <f t="shared" si="62"/>
        <v>New</v>
      </c>
    </row>
    <row r="1347" spans="1:14" x14ac:dyDescent="0.35">
      <c r="A1347">
        <v>1346</v>
      </c>
      <c r="B1347">
        <v>41</v>
      </c>
      <c r="C1347" t="str">
        <f t="shared" ref="C1347:C1410" si="63">IF(B1347&lt;=30,"Youth",IF(B1347&lt;=45,"Adult",IF(B1347&lt;=60,"Adult","Senior")))</f>
        <v>Adult</v>
      </c>
      <c r="D1347" t="s">
        <v>11</v>
      </c>
      <c r="E1347" t="s">
        <v>22</v>
      </c>
      <c r="F1347" t="s">
        <v>52</v>
      </c>
      <c r="G1347">
        <v>233.88</v>
      </c>
      <c r="H1347" t="s">
        <v>31</v>
      </c>
      <c r="I1347" t="s">
        <v>15</v>
      </c>
      <c r="J1347">
        <v>4.4000000000000004</v>
      </c>
      <c r="K1347">
        <v>14</v>
      </c>
      <c r="L1347">
        <f t="shared" ref="L1347:L1410" si="64">G1347*(1-K1347/100)</f>
        <v>201.13679999999999</v>
      </c>
      <c r="M1347">
        <v>7</v>
      </c>
      <c r="N1347" t="str">
        <f t="shared" ref="N1347:N1410" si="65">IF(M1347&lt;=3,"New",IF(M1347&lt;=7,"Regular","Loyal"))</f>
        <v>Regular</v>
      </c>
    </row>
    <row r="1348" spans="1:14" x14ac:dyDescent="0.35">
      <c r="A1348">
        <v>1347</v>
      </c>
      <c r="B1348">
        <v>33</v>
      </c>
      <c r="C1348" t="str">
        <f t="shared" si="63"/>
        <v>Adult</v>
      </c>
      <c r="D1348" t="s">
        <v>11</v>
      </c>
      <c r="E1348" t="s">
        <v>33</v>
      </c>
      <c r="F1348" t="s">
        <v>38</v>
      </c>
      <c r="G1348">
        <v>125.68</v>
      </c>
      <c r="H1348" t="s">
        <v>24</v>
      </c>
      <c r="I1348" t="s">
        <v>15</v>
      </c>
      <c r="J1348">
        <v>4.5</v>
      </c>
      <c r="K1348">
        <v>24</v>
      </c>
      <c r="L1348">
        <f t="shared" si="64"/>
        <v>95.516800000000003</v>
      </c>
      <c r="M1348">
        <v>7</v>
      </c>
      <c r="N1348" t="str">
        <f t="shared" si="65"/>
        <v>Regular</v>
      </c>
    </row>
    <row r="1349" spans="1:14" x14ac:dyDescent="0.35">
      <c r="A1349">
        <v>1348</v>
      </c>
      <c r="B1349">
        <v>22</v>
      </c>
      <c r="C1349" t="str">
        <f t="shared" si="63"/>
        <v>Youth</v>
      </c>
      <c r="D1349" t="s">
        <v>16</v>
      </c>
      <c r="E1349" t="s">
        <v>22</v>
      </c>
      <c r="F1349" t="s">
        <v>43</v>
      </c>
      <c r="G1349">
        <v>132.30000000000001</v>
      </c>
      <c r="H1349" t="s">
        <v>14</v>
      </c>
      <c r="I1349" t="s">
        <v>15</v>
      </c>
      <c r="J1349">
        <v>4.4000000000000004</v>
      </c>
      <c r="K1349">
        <v>8</v>
      </c>
      <c r="L1349">
        <f t="shared" si="64"/>
        <v>121.71600000000002</v>
      </c>
      <c r="M1349">
        <v>4</v>
      </c>
      <c r="N1349" t="str">
        <f t="shared" si="65"/>
        <v>Regular</v>
      </c>
    </row>
    <row r="1350" spans="1:14" x14ac:dyDescent="0.35">
      <c r="A1350">
        <v>1349</v>
      </c>
      <c r="B1350">
        <v>65</v>
      </c>
      <c r="C1350" t="str">
        <f t="shared" si="63"/>
        <v>Senior</v>
      </c>
      <c r="D1350" t="s">
        <v>11</v>
      </c>
      <c r="E1350" t="s">
        <v>41</v>
      </c>
      <c r="F1350" t="s">
        <v>42</v>
      </c>
      <c r="G1350">
        <v>80.239999999999995</v>
      </c>
      <c r="H1350" t="s">
        <v>31</v>
      </c>
      <c r="I1350" t="s">
        <v>15</v>
      </c>
      <c r="J1350">
        <v>3.3</v>
      </c>
      <c r="K1350">
        <v>6</v>
      </c>
      <c r="L1350">
        <f t="shared" si="64"/>
        <v>75.425599999999989</v>
      </c>
      <c r="M1350">
        <v>3</v>
      </c>
      <c r="N1350" t="str">
        <f t="shared" si="65"/>
        <v>New</v>
      </c>
    </row>
    <row r="1351" spans="1:14" x14ac:dyDescent="0.35">
      <c r="A1351">
        <v>1350</v>
      </c>
      <c r="B1351">
        <v>58</v>
      </c>
      <c r="C1351" t="str">
        <f t="shared" si="63"/>
        <v>Adult</v>
      </c>
      <c r="D1351" t="s">
        <v>11</v>
      </c>
      <c r="E1351" t="s">
        <v>41</v>
      </c>
      <c r="F1351" t="s">
        <v>45</v>
      </c>
      <c r="G1351">
        <v>197.63</v>
      </c>
      <c r="H1351" t="s">
        <v>19</v>
      </c>
      <c r="I1351" t="s">
        <v>15</v>
      </c>
      <c r="J1351">
        <v>4.2</v>
      </c>
      <c r="K1351">
        <v>30</v>
      </c>
      <c r="L1351">
        <f t="shared" si="64"/>
        <v>138.34099999999998</v>
      </c>
      <c r="M1351">
        <v>10</v>
      </c>
      <c r="N1351" t="str">
        <f t="shared" si="65"/>
        <v>Loyal</v>
      </c>
    </row>
    <row r="1352" spans="1:14" x14ac:dyDescent="0.35">
      <c r="A1352">
        <v>1351</v>
      </c>
      <c r="B1352">
        <v>58</v>
      </c>
      <c r="C1352" t="str">
        <f t="shared" si="63"/>
        <v>Adult</v>
      </c>
      <c r="D1352" t="s">
        <v>16</v>
      </c>
      <c r="E1352" t="s">
        <v>20</v>
      </c>
      <c r="F1352" t="s">
        <v>21</v>
      </c>
      <c r="G1352">
        <v>144</v>
      </c>
      <c r="H1352" t="s">
        <v>14</v>
      </c>
      <c r="I1352" t="s">
        <v>15</v>
      </c>
      <c r="J1352">
        <v>4.4000000000000004</v>
      </c>
      <c r="K1352">
        <v>24</v>
      </c>
      <c r="L1352">
        <f t="shared" si="64"/>
        <v>109.44</v>
      </c>
      <c r="M1352">
        <v>7</v>
      </c>
      <c r="N1352" t="str">
        <f t="shared" si="65"/>
        <v>Regular</v>
      </c>
    </row>
    <row r="1353" spans="1:14" x14ac:dyDescent="0.35">
      <c r="A1353">
        <v>1352</v>
      </c>
      <c r="B1353">
        <v>67</v>
      </c>
      <c r="C1353" t="str">
        <f t="shared" si="63"/>
        <v>Senior</v>
      </c>
      <c r="D1353" t="s">
        <v>11</v>
      </c>
      <c r="E1353" t="s">
        <v>12</v>
      </c>
      <c r="F1353" t="s">
        <v>50</v>
      </c>
      <c r="G1353">
        <v>173.81</v>
      </c>
      <c r="H1353" t="s">
        <v>31</v>
      </c>
      <c r="I1353" t="s">
        <v>15</v>
      </c>
      <c r="J1353">
        <v>2.7</v>
      </c>
      <c r="K1353">
        <v>8</v>
      </c>
      <c r="L1353">
        <f t="shared" si="64"/>
        <v>159.90520000000001</v>
      </c>
      <c r="M1353">
        <v>4</v>
      </c>
      <c r="N1353" t="str">
        <f t="shared" si="65"/>
        <v>Regular</v>
      </c>
    </row>
    <row r="1354" spans="1:14" x14ac:dyDescent="0.35">
      <c r="A1354">
        <v>1353</v>
      </c>
      <c r="B1354">
        <v>54</v>
      </c>
      <c r="C1354" t="str">
        <f t="shared" si="63"/>
        <v>Adult</v>
      </c>
      <c r="D1354" t="s">
        <v>11</v>
      </c>
      <c r="E1354" t="s">
        <v>41</v>
      </c>
      <c r="F1354" t="s">
        <v>46</v>
      </c>
      <c r="G1354">
        <v>130.33000000000001</v>
      </c>
      <c r="H1354" t="s">
        <v>31</v>
      </c>
      <c r="I1354" t="s">
        <v>15</v>
      </c>
      <c r="J1354">
        <v>3.9</v>
      </c>
      <c r="K1354">
        <v>16</v>
      </c>
      <c r="L1354">
        <f t="shared" si="64"/>
        <v>109.47720000000001</v>
      </c>
      <c r="M1354">
        <v>8</v>
      </c>
      <c r="N1354" t="str">
        <f t="shared" si="65"/>
        <v>Loyal</v>
      </c>
    </row>
    <row r="1355" spans="1:14" x14ac:dyDescent="0.35">
      <c r="A1355">
        <v>1354</v>
      </c>
      <c r="B1355">
        <v>52</v>
      </c>
      <c r="C1355" t="str">
        <f t="shared" si="63"/>
        <v>Adult</v>
      </c>
      <c r="D1355" t="s">
        <v>11</v>
      </c>
      <c r="E1355" t="s">
        <v>12</v>
      </c>
      <c r="F1355" t="s">
        <v>56</v>
      </c>
      <c r="G1355">
        <v>151.16999999999999</v>
      </c>
      <c r="H1355" t="s">
        <v>19</v>
      </c>
      <c r="I1355" t="s">
        <v>15</v>
      </c>
      <c r="J1355">
        <v>2.7</v>
      </c>
      <c r="K1355">
        <v>21</v>
      </c>
      <c r="L1355">
        <f t="shared" si="64"/>
        <v>119.4243</v>
      </c>
      <c r="M1355">
        <v>8</v>
      </c>
      <c r="N1355" t="str">
        <f t="shared" si="65"/>
        <v>Loyal</v>
      </c>
    </row>
    <row r="1356" spans="1:14" x14ac:dyDescent="0.35">
      <c r="A1356">
        <v>1355</v>
      </c>
      <c r="B1356">
        <v>43</v>
      </c>
      <c r="C1356" t="str">
        <f t="shared" si="63"/>
        <v>Adult</v>
      </c>
      <c r="D1356" t="s">
        <v>11</v>
      </c>
      <c r="E1356" t="s">
        <v>29</v>
      </c>
      <c r="F1356" t="s">
        <v>55</v>
      </c>
      <c r="G1356">
        <v>56.31</v>
      </c>
      <c r="H1356" t="s">
        <v>19</v>
      </c>
      <c r="I1356" t="s">
        <v>37</v>
      </c>
      <c r="J1356">
        <v>5</v>
      </c>
      <c r="K1356">
        <v>6</v>
      </c>
      <c r="L1356">
        <f t="shared" si="64"/>
        <v>52.931399999999996</v>
      </c>
      <c r="M1356">
        <v>3</v>
      </c>
      <c r="N1356" t="str">
        <f t="shared" si="65"/>
        <v>New</v>
      </c>
    </row>
    <row r="1357" spans="1:14" x14ac:dyDescent="0.35">
      <c r="A1357">
        <v>1356</v>
      </c>
      <c r="B1357">
        <v>39</v>
      </c>
      <c r="C1357" t="str">
        <f t="shared" si="63"/>
        <v>Adult</v>
      </c>
      <c r="D1357" t="s">
        <v>11</v>
      </c>
      <c r="E1357" t="s">
        <v>33</v>
      </c>
      <c r="F1357" t="s">
        <v>34</v>
      </c>
      <c r="G1357">
        <v>79.95</v>
      </c>
      <c r="H1357" t="s">
        <v>31</v>
      </c>
      <c r="I1357" t="s">
        <v>15</v>
      </c>
      <c r="J1357">
        <v>3.4</v>
      </c>
      <c r="K1357">
        <v>30</v>
      </c>
      <c r="L1357">
        <f t="shared" si="64"/>
        <v>55.964999999999996</v>
      </c>
      <c r="M1357">
        <v>10</v>
      </c>
      <c r="N1357" t="str">
        <f t="shared" si="65"/>
        <v>Loyal</v>
      </c>
    </row>
    <row r="1358" spans="1:14" x14ac:dyDescent="0.35">
      <c r="A1358">
        <v>1357</v>
      </c>
      <c r="B1358">
        <v>60</v>
      </c>
      <c r="C1358" t="str">
        <f t="shared" si="63"/>
        <v>Adult</v>
      </c>
      <c r="D1358" t="s">
        <v>16</v>
      </c>
      <c r="E1358" t="s">
        <v>27</v>
      </c>
      <c r="F1358" t="s">
        <v>32</v>
      </c>
      <c r="G1358">
        <v>1905.2</v>
      </c>
      <c r="H1358" t="s">
        <v>24</v>
      </c>
      <c r="I1358" t="s">
        <v>15</v>
      </c>
      <c r="J1358">
        <v>3.3</v>
      </c>
      <c r="K1358">
        <v>21</v>
      </c>
      <c r="L1358">
        <f t="shared" si="64"/>
        <v>1505.1080000000002</v>
      </c>
      <c r="M1358">
        <v>8</v>
      </c>
      <c r="N1358" t="str">
        <f t="shared" si="65"/>
        <v>Loyal</v>
      </c>
    </row>
    <row r="1359" spans="1:14" x14ac:dyDescent="0.35">
      <c r="A1359">
        <v>1358</v>
      </c>
      <c r="B1359">
        <v>30</v>
      </c>
      <c r="C1359" t="str">
        <f t="shared" si="63"/>
        <v>Youth</v>
      </c>
      <c r="D1359" t="s">
        <v>11</v>
      </c>
      <c r="E1359" t="s">
        <v>22</v>
      </c>
      <c r="F1359" t="s">
        <v>52</v>
      </c>
      <c r="G1359">
        <v>172.51</v>
      </c>
      <c r="H1359" t="s">
        <v>31</v>
      </c>
      <c r="I1359" t="s">
        <v>15</v>
      </c>
      <c r="J1359">
        <v>2.4</v>
      </c>
      <c r="K1359">
        <v>22</v>
      </c>
      <c r="L1359">
        <f t="shared" si="64"/>
        <v>134.55779999999999</v>
      </c>
      <c r="M1359">
        <v>6</v>
      </c>
      <c r="N1359" t="str">
        <f t="shared" si="65"/>
        <v>Regular</v>
      </c>
    </row>
    <row r="1360" spans="1:14" x14ac:dyDescent="0.35">
      <c r="A1360">
        <v>1359</v>
      </c>
      <c r="B1360">
        <v>28</v>
      </c>
      <c r="C1360" t="str">
        <f t="shared" si="63"/>
        <v>Youth</v>
      </c>
      <c r="D1360" t="s">
        <v>11</v>
      </c>
      <c r="E1360" t="s">
        <v>33</v>
      </c>
      <c r="F1360" t="s">
        <v>40</v>
      </c>
      <c r="G1360">
        <v>162.07</v>
      </c>
      <c r="H1360" t="s">
        <v>19</v>
      </c>
      <c r="I1360" t="s">
        <v>15</v>
      </c>
      <c r="J1360">
        <v>2.7</v>
      </c>
      <c r="K1360">
        <v>11</v>
      </c>
      <c r="L1360">
        <f t="shared" si="64"/>
        <v>144.2423</v>
      </c>
      <c r="M1360">
        <v>3</v>
      </c>
      <c r="N1360" t="str">
        <f t="shared" si="65"/>
        <v>New</v>
      </c>
    </row>
    <row r="1361" spans="1:14" x14ac:dyDescent="0.35">
      <c r="A1361">
        <v>1360</v>
      </c>
      <c r="B1361">
        <v>60</v>
      </c>
      <c r="C1361" t="str">
        <f t="shared" si="63"/>
        <v>Adult</v>
      </c>
      <c r="D1361" t="s">
        <v>11</v>
      </c>
      <c r="E1361" t="s">
        <v>41</v>
      </c>
      <c r="F1361" t="s">
        <v>46</v>
      </c>
      <c r="G1361">
        <v>75.11</v>
      </c>
      <c r="H1361" t="s">
        <v>31</v>
      </c>
      <c r="I1361" t="s">
        <v>15</v>
      </c>
      <c r="J1361">
        <v>4</v>
      </c>
      <c r="K1361">
        <v>12</v>
      </c>
      <c r="L1361">
        <f t="shared" si="64"/>
        <v>66.096800000000002</v>
      </c>
      <c r="M1361">
        <v>6</v>
      </c>
      <c r="N1361" t="str">
        <f t="shared" si="65"/>
        <v>Regular</v>
      </c>
    </row>
    <row r="1362" spans="1:14" x14ac:dyDescent="0.35">
      <c r="A1362">
        <v>1361</v>
      </c>
      <c r="B1362">
        <v>52</v>
      </c>
      <c r="C1362" t="str">
        <f t="shared" si="63"/>
        <v>Adult</v>
      </c>
      <c r="D1362" t="s">
        <v>11</v>
      </c>
      <c r="E1362" t="s">
        <v>25</v>
      </c>
      <c r="F1362" t="s">
        <v>54</v>
      </c>
      <c r="G1362">
        <v>66.05</v>
      </c>
      <c r="H1362" t="s">
        <v>31</v>
      </c>
      <c r="I1362" t="s">
        <v>37</v>
      </c>
      <c r="J1362">
        <v>3.7</v>
      </c>
      <c r="K1362">
        <v>10</v>
      </c>
      <c r="L1362">
        <f t="shared" si="64"/>
        <v>59.445</v>
      </c>
      <c r="M1362">
        <v>5</v>
      </c>
      <c r="N1362" t="str">
        <f t="shared" si="65"/>
        <v>Regular</v>
      </c>
    </row>
    <row r="1363" spans="1:14" x14ac:dyDescent="0.35">
      <c r="A1363">
        <v>1362</v>
      </c>
      <c r="B1363">
        <v>32</v>
      </c>
      <c r="C1363" t="str">
        <f t="shared" si="63"/>
        <v>Adult</v>
      </c>
      <c r="D1363" t="s">
        <v>16</v>
      </c>
      <c r="E1363" t="s">
        <v>20</v>
      </c>
      <c r="F1363" t="s">
        <v>21</v>
      </c>
      <c r="G1363">
        <v>136.35</v>
      </c>
      <c r="H1363" t="s">
        <v>19</v>
      </c>
      <c r="I1363" t="s">
        <v>15</v>
      </c>
      <c r="J1363">
        <v>3.3</v>
      </c>
      <c r="K1363">
        <v>16</v>
      </c>
      <c r="L1363">
        <f t="shared" si="64"/>
        <v>114.53399999999999</v>
      </c>
      <c r="M1363">
        <v>3</v>
      </c>
      <c r="N1363" t="str">
        <f t="shared" si="65"/>
        <v>New</v>
      </c>
    </row>
    <row r="1364" spans="1:14" x14ac:dyDescent="0.35">
      <c r="A1364">
        <v>1363</v>
      </c>
      <c r="B1364">
        <v>39</v>
      </c>
      <c r="C1364" t="str">
        <f t="shared" si="63"/>
        <v>Adult</v>
      </c>
      <c r="D1364" t="s">
        <v>11</v>
      </c>
      <c r="E1364" t="s">
        <v>29</v>
      </c>
      <c r="F1364" t="s">
        <v>51</v>
      </c>
      <c r="G1364">
        <v>141.19</v>
      </c>
      <c r="H1364" t="s">
        <v>24</v>
      </c>
      <c r="I1364" t="s">
        <v>15</v>
      </c>
      <c r="J1364">
        <v>1.5</v>
      </c>
      <c r="K1364">
        <v>14</v>
      </c>
      <c r="L1364">
        <f t="shared" si="64"/>
        <v>121.4234</v>
      </c>
      <c r="M1364">
        <v>7</v>
      </c>
      <c r="N1364" t="str">
        <f t="shared" si="65"/>
        <v>Regular</v>
      </c>
    </row>
    <row r="1365" spans="1:14" x14ac:dyDescent="0.35">
      <c r="A1365">
        <v>1364</v>
      </c>
      <c r="B1365">
        <v>42</v>
      </c>
      <c r="C1365" t="str">
        <f t="shared" si="63"/>
        <v>Adult</v>
      </c>
      <c r="D1365" t="s">
        <v>11</v>
      </c>
      <c r="E1365" t="s">
        <v>33</v>
      </c>
      <c r="F1365" t="s">
        <v>34</v>
      </c>
      <c r="G1365">
        <v>76.55</v>
      </c>
      <c r="H1365" t="s">
        <v>14</v>
      </c>
      <c r="I1365" t="s">
        <v>37</v>
      </c>
      <c r="J1365">
        <v>3.6</v>
      </c>
      <c r="K1365">
        <v>15</v>
      </c>
      <c r="L1365">
        <f t="shared" si="64"/>
        <v>65.067499999999995</v>
      </c>
      <c r="M1365">
        <v>5</v>
      </c>
      <c r="N1365" t="str">
        <f t="shared" si="65"/>
        <v>Regular</v>
      </c>
    </row>
    <row r="1366" spans="1:14" x14ac:dyDescent="0.35">
      <c r="A1366">
        <v>1365</v>
      </c>
      <c r="B1366">
        <v>52</v>
      </c>
      <c r="C1366" t="str">
        <f t="shared" si="63"/>
        <v>Adult</v>
      </c>
      <c r="D1366" t="s">
        <v>16</v>
      </c>
      <c r="E1366" t="s">
        <v>33</v>
      </c>
      <c r="F1366" t="s">
        <v>34</v>
      </c>
      <c r="G1366">
        <v>248.92</v>
      </c>
      <c r="H1366" t="s">
        <v>19</v>
      </c>
      <c r="I1366" t="s">
        <v>15</v>
      </c>
      <c r="J1366">
        <v>3.4</v>
      </c>
      <c r="K1366">
        <v>13</v>
      </c>
      <c r="L1366">
        <f t="shared" si="64"/>
        <v>216.56039999999999</v>
      </c>
      <c r="M1366">
        <v>4</v>
      </c>
      <c r="N1366" t="str">
        <f t="shared" si="65"/>
        <v>Regular</v>
      </c>
    </row>
    <row r="1367" spans="1:14" x14ac:dyDescent="0.35">
      <c r="A1367">
        <v>1366</v>
      </c>
      <c r="B1367">
        <v>54</v>
      </c>
      <c r="C1367" t="str">
        <f t="shared" si="63"/>
        <v>Adult</v>
      </c>
      <c r="D1367" t="s">
        <v>16</v>
      </c>
      <c r="E1367" t="s">
        <v>33</v>
      </c>
      <c r="F1367" t="s">
        <v>40</v>
      </c>
      <c r="G1367">
        <v>247.98</v>
      </c>
      <c r="H1367" t="s">
        <v>19</v>
      </c>
      <c r="I1367" t="s">
        <v>15</v>
      </c>
      <c r="J1367">
        <v>3.6</v>
      </c>
      <c r="K1367">
        <v>10</v>
      </c>
      <c r="L1367">
        <f t="shared" si="64"/>
        <v>223.18199999999999</v>
      </c>
      <c r="M1367">
        <v>5</v>
      </c>
      <c r="N1367" t="str">
        <f t="shared" si="65"/>
        <v>Regular</v>
      </c>
    </row>
    <row r="1368" spans="1:14" x14ac:dyDescent="0.35">
      <c r="A1368">
        <v>1367</v>
      </c>
      <c r="B1368">
        <v>64</v>
      </c>
      <c r="C1368" t="str">
        <f t="shared" si="63"/>
        <v>Senior</v>
      </c>
      <c r="D1368" t="s">
        <v>16</v>
      </c>
      <c r="E1368" t="s">
        <v>27</v>
      </c>
      <c r="F1368" t="s">
        <v>32</v>
      </c>
      <c r="G1368">
        <v>1925.6</v>
      </c>
      <c r="H1368" t="s">
        <v>19</v>
      </c>
      <c r="I1368" t="s">
        <v>15</v>
      </c>
      <c r="J1368">
        <v>2.6</v>
      </c>
      <c r="K1368">
        <v>13</v>
      </c>
      <c r="L1368">
        <f t="shared" si="64"/>
        <v>1675.2719999999999</v>
      </c>
      <c r="M1368">
        <v>4</v>
      </c>
      <c r="N1368" t="str">
        <f t="shared" si="65"/>
        <v>Regular</v>
      </c>
    </row>
    <row r="1369" spans="1:14" x14ac:dyDescent="0.35">
      <c r="A1369">
        <v>1368</v>
      </c>
      <c r="B1369">
        <v>51</v>
      </c>
      <c r="C1369" t="str">
        <f t="shared" si="63"/>
        <v>Adult</v>
      </c>
      <c r="D1369" t="s">
        <v>16</v>
      </c>
      <c r="E1369" t="s">
        <v>20</v>
      </c>
      <c r="F1369" t="s">
        <v>39</v>
      </c>
      <c r="G1369">
        <v>139.66</v>
      </c>
      <c r="H1369" t="s">
        <v>24</v>
      </c>
      <c r="I1369" t="s">
        <v>15</v>
      </c>
      <c r="J1369">
        <v>3.6</v>
      </c>
      <c r="K1369">
        <v>9</v>
      </c>
      <c r="L1369">
        <f t="shared" si="64"/>
        <v>127.09059999999999</v>
      </c>
      <c r="M1369">
        <v>2</v>
      </c>
      <c r="N1369" t="str">
        <f t="shared" si="65"/>
        <v>New</v>
      </c>
    </row>
    <row r="1370" spans="1:14" x14ac:dyDescent="0.35">
      <c r="A1370">
        <v>1369</v>
      </c>
      <c r="B1370">
        <v>65</v>
      </c>
      <c r="C1370" t="str">
        <f t="shared" si="63"/>
        <v>Senior</v>
      </c>
      <c r="D1370" t="s">
        <v>16</v>
      </c>
      <c r="E1370" t="s">
        <v>17</v>
      </c>
      <c r="F1370" t="s">
        <v>42</v>
      </c>
      <c r="G1370">
        <v>199.78</v>
      </c>
      <c r="H1370" t="s">
        <v>14</v>
      </c>
      <c r="I1370" t="s">
        <v>15</v>
      </c>
      <c r="J1370">
        <v>3.5</v>
      </c>
      <c r="K1370">
        <v>15</v>
      </c>
      <c r="L1370">
        <f t="shared" si="64"/>
        <v>169.81299999999999</v>
      </c>
      <c r="M1370">
        <v>5</v>
      </c>
      <c r="N1370" t="str">
        <f t="shared" si="65"/>
        <v>Regular</v>
      </c>
    </row>
    <row r="1371" spans="1:14" x14ac:dyDescent="0.35">
      <c r="A1371">
        <v>1370</v>
      </c>
      <c r="B1371">
        <v>22</v>
      </c>
      <c r="C1371" t="str">
        <f t="shared" si="63"/>
        <v>Youth</v>
      </c>
      <c r="D1371" t="s">
        <v>11</v>
      </c>
      <c r="E1371" t="s">
        <v>29</v>
      </c>
      <c r="F1371" t="s">
        <v>55</v>
      </c>
      <c r="G1371">
        <v>45.19</v>
      </c>
      <c r="H1371" t="s">
        <v>31</v>
      </c>
      <c r="I1371" t="s">
        <v>15</v>
      </c>
      <c r="J1371">
        <v>4.7</v>
      </c>
      <c r="K1371">
        <v>12</v>
      </c>
      <c r="L1371">
        <f t="shared" si="64"/>
        <v>39.767199999999995</v>
      </c>
      <c r="M1371">
        <v>6</v>
      </c>
      <c r="N1371" t="str">
        <f t="shared" si="65"/>
        <v>Regular</v>
      </c>
    </row>
    <row r="1372" spans="1:14" x14ac:dyDescent="0.35">
      <c r="A1372">
        <v>1371</v>
      </c>
      <c r="B1372">
        <v>30</v>
      </c>
      <c r="C1372" t="str">
        <f t="shared" si="63"/>
        <v>Youth</v>
      </c>
      <c r="D1372" t="s">
        <v>11</v>
      </c>
      <c r="E1372" t="s">
        <v>33</v>
      </c>
      <c r="F1372" t="s">
        <v>40</v>
      </c>
      <c r="G1372">
        <v>206.49</v>
      </c>
      <c r="H1372" t="s">
        <v>31</v>
      </c>
      <c r="I1372" t="s">
        <v>15</v>
      </c>
      <c r="J1372">
        <v>3.6</v>
      </c>
      <c r="K1372">
        <v>20</v>
      </c>
      <c r="L1372">
        <f t="shared" si="64"/>
        <v>165.19200000000001</v>
      </c>
      <c r="M1372">
        <v>5</v>
      </c>
      <c r="N1372" t="str">
        <f t="shared" si="65"/>
        <v>Regular</v>
      </c>
    </row>
    <row r="1373" spans="1:14" x14ac:dyDescent="0.35">
      <c r="A1373">
        <v>1372</v>
      </c>
      <c r="B1373">
        <v>52</v>
      </c>
      <c r="C1373" t="str">
        <f t="shared" si="63"/>
        <v>Adult</v>
      </c>
      <c r="D1373" t="s">
        <v>16</v>
      </c>
      <c r="E1373" t="s">
        <v>27</v>
      </c>
      <c r="F1373" t="s">
        <v>28</v>
      </c>
      <c r="G1373">
        <v>1357.56</v>
      </c>
      <c r="H1373" t="s">
        <v>14</v>
      </c>
      <c r="I1373" t="s">
        <v>15</v>
      </c>
      <c r="J1373">
        <v>5</v>
      </c>
      <c r="K1373">
        <v>16</v>
      </c>
      <c r="L1373">
        <f t="shared" si="64"/>
        <v>1140.3503999999998</v>
      </c>
      <c r="M1373">
        <v>8</v>
      </c>
      <c r="N1373" t="str">
        <f t="shared" si="65"/>
        <v>Loyal</v>
      </c>
    </row>
    <row r="1374" spans="1:14" x14ac:dyDescent="0.35">
      <c r="A1374">
        <v>1373</v>
      </c>
      <c r="B1374">
        <v>26</v>
      </c>
      <c r="C1374" t="str">
        <f t="shared" si="63"/>
        <v>Youth</v>
      </c>
      <c r="D1374" t="s">
        <v>11</v>
      </c>
      <c r="E1374" t="s">
        <v>33</v>
      </c>
      <c r="F1374" t="s">
        <v>40</v>
      </c>
      <c r="G1374">
        <v>160.69</v>
      </c>
      <c r="H1374" t="s">
        <v>14</v>
      </c>
      <c r="I1374" t="s">
        <v>15</v>
      </c>
      <c r="J1374">
        <v>4.3</v>
      </c>
      <c r="K1374">
        <v>15</v>
      </c>
      <c r="L1374">
        <f t="shared" si="64"/>
        <v>136.5865</v>
      </c>
      <c r="M1374">
        <v>5</v>
      </c>
      <c r="N1374" t="str">
        <f t="shared" si="65"/>
        <v>Regular</v>
      </c>
    </row>
    <row r="1375" spans="1:14" x14ac:dyDescent="0.35">
      <c r="A1375">
        <v>1374</v>
      </c>
      <c r="B1375">
        <v>29</v>
      </c>
      <c r="C1375" t="str">
        <f t="shared" si="63"/>
        <v>Youth</v>
      </c>
      <c r="D1375" t="s">
        <v>11</v>
      </c>
      <c r="E1375" t="s">
        <v>20</v>
      </c>
      <c r="F1375" t="s">
        <v>36</v>
      </c>
      <c r="G1375">
        <v>239.09</v>
      </c>
      <c r="H1375" t="s">
        <v>31</v>
      </c>
      <c r="I1375" t="s">
        <v>15</v>
      </c>
      <c r="J1375">
        <v>4</v>
      </c>
      <c r="K1375">
        <v>6</v>
      </c>
      <c r="L1375">
        <f t="shared" si="64"/>
        <v>224.74459999999999</v>
      </c>
      <c r="M1375">
        <v>3</v>
      </c>
      <c r="N1375" t="str">
        <f t="shared" si="65"/>
        <v>New</v>
      </c>
    </row>
    <row r="1376" spans="1:14" x14ac:dyDescent="0.35">
      <c r="A1376">
        <v>1375</v>
      </c>
      <c r="B1376">
        <v>61</v>
      </c>
      <c r="C1376" t="str">
        <f t="shared" si="63"/>
        <v>Senior</v>
      </c>
      <c r="D1376" t="s">
        <v>16</v>
      </c>
      <c r="E1376" t="s">
        <v>27</v>
      </c>
      <c r="F1376" t="s">
        <v>53</v>
      </c>
      <c r="G1376">
        <v>2519.73</v>
      </c>
      <c r="H1376" t="s">
        <v>31</v>
      </c>
      <c r="I1376" t="s">
        <v>15</v>
      </c>
      <c r="J1376">
        <v>3.5</v>
      </c>
      <c r="K1376">
        <v>20</v>
      </c>
      <c r="L1376">
        <f t="shared" si="64"/>
        <v>2015.7840000000001</v>
      </c>
      <c r="M1376">
        <v>5</v>
      </c>
      <c r="N1376" t="str">
        <f t="shared" si="65"/>
        <v>Regular</v>
      </c>
    </row>
    <row r="1377" spans="1:14" x14ac:dyDescent="0.35">
      <c r="A1377">
        <v>1376</v>
      </c>
      <c r="B1377">
        <v>62</v>
      </c>
      <c r="C1377" t="str">
        <f t="shared" si="63"/>
        <v>Senior</v>
      </c>
      <c r="D1377" t="s">
        <v>11</v>
      </c>
      <c r="E1377" t="s">
        <v>33</v>
      </c>
      <c r="F1377" t="s">
        <v>34</v>
      </c>
      <c r="G1377">
        <v>218.99</v>
      </c>
      <c r="H1377" t="s">
        <v>14</v>
      </c>
      <c r="I1377" t="s">
        <v>15</v>
      </c>
      <c r="J1377">
        <v>3.6</v>
      </c>
      <c r="K1377">
        <v>16</v>
      </c>
      <c r="L1377">
        <f t="shared" si="64"/>
        <v>183.95160000000001</v>
      </c>
      <c r="M1377">
        <v>3</v>
      </c>
      <c r="N1377" t="str">
        <f t="shared" si="65"/>
        <v>New</v>
      </c>
    </row>
    <row r="1378" spans="1:14" x14ac:dyDescent="0.35">
      <c r="A1378">
        <v>1377</v>
      </c>
      <c r="B1378">
        <v>64</v>
      </c>
      <c r="C1378" t="str">
        <f t="shared" si="63"/>
        <v>Senior</v>
      </c>
      <c r="D1378" t="s">
        <v>16</v>
      </c>
      <c r="E1378" t="s">
        <v>33</v>
      </c>
      <c r="F1378" t="s">
        <v>34</v>
      </c>
      <c r="G1378">
        <v>244.01</v>
      </c>
      <c r="H1378" t="s">
        <v>19</v>
      </c>
      <c r="I1378" t="s">
        <v>15</v>
      </c>
      <c r="J1378">
        <v>4.0999999999999996</v>
      </c>
      <c r="K1378">
        <v>15</v>
      </c>
      <c r="L1378">
        <f t="shared" si="64"/>
        <v>207.40849999999998</v>
      </c>
      <c r="M1378">
        <v>5</v>
      </c>
      <c r="N1378" t="str">
        <f t="shared" si="65"/>
        <v>Regular</v>
      </c>
    </row>
    <row r="1379" spans="1:14" x14ac:dyDescent="0.35">
      <c r="A1379">
        <v>1378</v>
      </c>
      <c r="B1379">
        <v>31</v>
      </c>
      <c r="C1379" t="str">
        <f t="shared" si="63"/>
        <v>Adult</v>
      </c>
      <c r="D1379" t="s">
        <v>11</v>
      </c>
      <c r="E1379" t="s">
        <v>22</v>
      </c>
      <c r="F1379" t="s">
        <v>43</v>
      </c>
      <c r="G1379">
        <v>140.22999999999999</v>
      </c>
      <c r="H1379" t="s">
        <v>14</v>
      </c>
      <c r="I1379" t="s">
        <v>15</v>
      </c>
      <c r="J1379">
        <v>3</v>
      </c>
      <c r="K1379">
        <v>9</v>
      </c>
      <c r="L1379">
        <f t="shared" si="64"/>
        <v>127.60929999999999</v>
      </c>
      <c r="M1379">
        <v>2</v>
      </c>
      <c r="N1379" t="str">
        <f t="shared" si="65"/>
        <v>New</v>
      </c>
    </row>
    <row r="1380" spans="1:14" x14ac:dyDescent="0.35">
      <c r="A1380">
        <v>1379</v>
      </c>
      <c r="B1380">
        <v>49</v>
      </c>
      <c r="C1380" t="str">
        <f t="shared" si="63"/>
        <v>Adult</v>
      </c>
      <c r="D1380" t="s">
        <v>16</v>
      </c>
      <c r="E1380" t="s">
        <v>27</v>
      </c>
      <c r="F1380" t="s">
        <v>32</v>
      </c>
      <c r="G1380">
        <v>2191.92</v>
      </c>
      <c r="H1380" t="s">
        <v>31</v>
      </c>
      <c r="I1380" t="s">
        <v>15</v>
      </c>
      <c r="J1380">
        <v>2.8</v>
      </c>
      <c r="K1380">
        <v>13</v>
      </c>
      <c r="L1380">
        <f t="shared" si="64"/>
        <v>1906.9704000000002</v>
      </c>
      <c r="M1380">
        <v>4</v>
      </c>
      <c r="N1380" t="str">
        <f t="shared" si="65"/>
        <v>Regular</v>
      </c>
    </row>
    <row r="1381" spans="1:14" x14ac:dyDescent="0.35">
      <c r="A1381">
        <v>1380</v>
      </c>
      <c r="B1381">
        <v>46</v>
      </c>
      <c r="C1381" t="str">
        <f t="shared" si="63"/>
        <v>Adult</v>
      </c>
      <c r="D1381" t="s">
        <v>11</v>
      </c>
      <c r="E1381" t="s">
        <v>22</v>
      </c>
      <c r="F1381" t="s">
        <v>23</v>
      </c>
      <c r="G1381">
        <v>145.72999999999999</v>
      </c>
      <c r="H1381" t="s">
        <v>14</v>
      </c>
      <c r="I1381" t="s">
        <v>15</v>
      </c>
      <c r="J1381">
        <v>2.7</v>
      </c>
      <c r="K1381">
        <v>14</v>
      </c>
      <c r="L1381">
        <f t="shared" si="64"/>
        <v>125.3278</v>
      </c>
      <c r="M1381">
        <v>2</v>
      </c>
      <c r="N1381" t="str">
        <f t="shared" si="65"/>
        <v>New</v>
      </c>
    </row>
    <row r="1382" spans="1:14" x14ac:dyDescent="0.35">
      <c r="A1382">
        <v>1381</v>
      </c>
      <c r="B1382">
        <v>32</v>
      </c>
      <c r="C1382" t="str">
        <f t="shared" si="63"/>
        <v>Adult</v>
      </c>
      <c r="D1382" t="s">
        <v>11</v>
      </c>
      <c r="E1382" t="s">
        <v>41</v>
      </c>
      <c r="F1382" t="s">
        <v>45</v>
      </c>
      <c r="G1382">
        <v>194.29</v>
      </c>
      <c r="H1382" t="s">
        <v>31</v>
      </c>
      <c r="I1382" t="s">
        <v>15</v>
      </c>
      <c r="J1382">
        <v>3.6</v>
      </c>
      <c r="K1382">
        <v>10</v>
      </c>
      <c r="L1382">
        <f t="shared" si="64"/>
        <v>174.86099999999999</v>
      </c>
      <c r="M1382">
        <v>5</v>
      </c>
      <c r="N1382" t="str">
        <f t="shared" si="65"/>
        <v>Regular</v>
      </c>
    </row>
    <row r="1383" spans="1:14" x14ac:dyDescent="0.35">
      <c r="A1383">
        <v>1382</v>
      </c>
      <c r="B1383">
        <v>29</v>
      </c>
      <c r="C1383" t="str">
        <f t="shared" si="63"/>
        <v>Youth</v>
      </c>
      <c r="D1383" t="s">
        <v>16</v>
      </c>
      <c r="E1383" t="s">
        <v>22</v>
      </c>
      <c r="F1383" t="s">
        <v>23</v>
      </c>
      <c r="G1383">
        <v>219.13</v>
      </c>
      <c r="H1383" t="s">
        <v>31</v>
      </c>
      <c r="I1383" t="s">
        <v>15</v>
      </c>
      <c r="J1383">
        <v>2.8</v>
      </c>
      <c r="K1383">
        <v>20</v>
      </c>
      <c r="L1383">
        <f t="shared" si="64"/>
        <v>175.304</v>
      </c>
      <c r="M1383">
        <v>5</v>
      </c>
      <c r="N1383" t="str">
        <f t="shared" si="65"/>
        <v>Regular</v>
      </c>
    </row>
    <row r="1384" spans="1:14" x14ac:dyDescent="0.35">
      <c r="A1384">
        <v>1383</v>
      </c>
      <c r="B1384">
        <v>53</v>
      </c>
      <c r="C1384" t="str">
        <f t="shared" si="63"/>
        <v>Adult</v>
      </c>
      <c r="D1384" t="s">
        <v>11</v>
      </c>
      <c r="E1384" t="s">
        <v>29</v>
      </c>
      <c r="F1384" t="s">
        <v>30</v>
      </c>
      <c r="G1384">
        <v>73</v>
      </c>
      <c r="H1384" t="s">
        <v>14</v>
      </c>
      <c r="I1384" t="s">
        <v>15</v>
      </c>
      <c r="J1384">
        <v>2.8</v>
      </c>
      <c r="K1384">
        <v>18</v>
      </c>
      <c r="L1384">
        <f t="shared" si="64"/>
        <v>59.860000000000007</v>
      </c>
      <c r="M1384">
        <v>4</v>
      </c>
      <c r="N1384" t="str">
        <f t="shared" si="65"/>
        <v>Regular</v>
      </c>
    </row>
    <row r="1385" spans="1:14" x14ac:dyDescent="0.35">
      <c r="A1385">
        <v>1384</v>
      </c>
      <c r="B1385">
        <v>56</v>
      </c>
      <c r="C1385" t="str">
        <f t="shared" si="63"/>
        <v>Adult</v>
      </c>
      <c r="D1385" t="s">
        <v>16</v>
      </c>
      <c r="E1385" t="s">
        <v>20</v>
      </c>
      <c r="F1385" t="s">
        <v>36</v>
      </c>
      <c r="G1385">
        <v>206.69</v>
      </c>
      <c r="H1385" t="s">
        <v>31</v>
      </c>
      <c r="I1385" t="s">
        <v>15</v>
      </c>
      <c r="J1385">
        <v>4.0999999999999996</v>
      </c>
      <c r="K1385">
        <v>15</v>
      </c>
      <c r="L1385">
        <f t="shared" si="64"/>
        <v>175.6865</v>
      </c>
      <c r="M1385">
        <v>5</v>
      </c>
      <c r="N1385" t="str">
        <f t="shared" si="65"/>
        <v>Regular</v>
      </c>
    </row>
    <row r="1386" spans="1:14" x14ac:dyDescent="0.35">
      <c r="A1386">
        <v>1385</v>
      </c>
      <c r="B1386">
        <v>49</v>
      </c>
      <c r="C1386" t="str">
        <f t="shared" si="63"/>
        <v>Adult</v>
      </c>
      <c r="D1386" t="s">
        <v>16</v>
      </c>
      <c r="E1386" t="s">
        <v>33</v>
      </c>
      <c r="F1386" t="s">
        <v>38</v>
      </c>
      <c r="G1386">
        <v>171.39</v>
      </c>
      <c r="H1386" t="s">
        <v>24</v>
      </c>
      <c r="I1386" t="s">
        <v>15</v>
      </c>
      <c r="J1386">
        <v>5</v>
      </c>
      <c r="K1386">
        <v>13</v>
      </c>
      <c r="L1386">
        <f t="shared" si="64"/>
        <v>149.10929999999999</v>
      </c>
      <c r="M1386">
        <v>4</v>
      </c>
      <c r="N1386" t="str">
        <f t="shared" si="65"/>
        <v>Regular</v>
      </c>
    </row>
    <row r="1387" spans="1:14" x14ac:dyDescent="0.35">
      <c r="A1387">
        <v>1386</v>
      </c>
      <c r="B1387">
        <v>49</v>
      </c>
      <c r="C1387" t="str">
        <f t="shared" si="63"/>
        <v>Adult</v>
      </c>
      <c r="D1387" t="s">
        <v>11</v>
      </c>
      <c r="E1387" t="s">
        <v>22</v>
      </c>
      <c r="F1387" t="s">
        <v>43</v>
      </c>
      <c r="G1387">
        <v>281.41000000000003</v>
      </c>
      <c r="H1387" t="s">
        <v>14</v>
      </c>
      <c r="I1387" t="s">
        <v>15</v>
      </c>
      <c r="J1387">
        <v>4.5999999999999996</v>
      </c>
      <c r="K1387">
        <v>10</v>
      </c>
      <c r="L1387">
        <f t="shared" si="64"/>
        <v>253.26900000000003</v>
      </c>
      <c r="M1387">
        <v>5</v>
      </c>
      <c r="N1387" t="str">
        <f t="shared" si="65"/>
        <v>Regular</v>
      </c>
    </row>
    <row r="1388" spans="1:14" x14ac:dyDescent="0.35">
      <c r="A1388">
        <v>1387</v>
      </c>
      <c r="B1388">
        <v>42</v>
      </c>
      <c r="C1388" t="str">
        <f t="shared" si="63"/>
        <v>Adult</v>
      </c>
      <c r="D1388" t="s">
        <v>16</v>
      </c>
      <c r="E1388" t="s">
        <v>25</v>
      </c>
      <c r="F1388" t="s">
        <v>54</v>
      </c>
      <c r="G1388">
        <v>65.66</v>
      </c>
      <c r="H1388" t="s">
        <v>31</v>
      </c>
      <c r="I1388" t="s">
        <v>37</v>
      </c>
      <c r="J1388">
        <v>3.1</v>
      </c>
      <c r="K1388">
        <v>20</v>
      </c>
      <c r="L1388">
        <f t="shared" si="64"/>
        <v>52.527999999999999</v>
      </c>
      <c r="M1388">
        <v>5</v>
      </c>
      <c r="N1388" t="str">
        <f t="shared" si="65"/>
        <v>Regular</v>
      </c>
    </row>
    <row r="1389" spans="1:14" x14ac:dyDescent="0.35">
      <c r="A1389">
        <v>1388</v>
      </c>
      <c r="B1389">
        <v>66</v>
      </c>
      <c r="C1389" t="str">
        <f t="shared" si="63"/>
        <v>Senior</v>
      </c>
      <c r="D1389" t="s">
        <v>16</v>
      </c>
      <c r="E1389" t="s">
        <v>17</v>
      </c>
      <c r="F1389" t="s">
        <v>35</v>
      </c>
      <c r="G1389">
        <v>117.92</v>
      </c>
      <c r="H1389" t="s">
        <v>31</v>
      </c>
      <c r="I1389" t="s">
        <v>15</v>
      </c>
      <c r="J1389">
        <v>3.1</v>
      </c>
      <c r="K1389">
        <v>18</v>
      </c>
      <c r="L1389">
        <f t="shared" si="64"/>
        <v>96.694400000000002</v>
      </c>
      <c r="M1389">
        <v>9</v>
      </c>
      <c r="N1389" t="str">
        <f t="shared" si="65"/>
        <v>Loyal</v>
      </c>
    </row>
    <row r="1390" spans="1:14" x14ac:dyDescent="0.35">
      <c r="A1390">
        <v>1389</v>
      </c>
      <c r="B1390">
        <v>57</v>
      </c>
      <c r="C1390" t="str">
        <f t="shared" si="63"/>
        <v>Adult</v>
      </c>
      <c r="D1390" t="s">
        <v>11</v>
      </c>
      <c r="E1390" t="s">
        <v>12</v>
      </c>
      <c r="F1390" t="s">
        <v>56</v>
      </c>
      <c r="G1390">
        <v>85.12</v>
      </c>
      <c r="H1390" t="s">
        <v>14</v>
      </c>
      <c r="I1390" t="s">
        <v>37</v>
      </c>
      <c r="J1390">
        <v>3</v>
      </c>
      <c r="K1390">
        <v>10</v>
      </c>
      <c r="L1390">
        <f t="shared" si="64"/>
        <v>76.608000000000004</v>
      </c>
      <c r="M1390">
        <v>5</v>
      </c>
      <c r="N1390" t="str">
        <f t="shared" si="65"/>
        <v>Regular</v>
      </c>
    </row>
    <row r="1391" spans="1:14" x14ac:dyDescent="0.35">
      <c r="A1391">
        <v>1390</v>
      </c>
      <c r="B1391">
        <v>21</v>
      </c>
      <c r="C1391" t="str">
        <f t="shared" si="63"/>
        <v>Youth</v>
      </c>
      <c r="D1391" t="s">
        <v>16</v>
      </c>
      <c r="E1391" t="s">
        <v>27</v>
      </c>
      <c r="F1391" t="s">
        <v>53</v>
      </c>
      <c r="G1391">
        <v>522.74</v>
      </c>
      <c r="H1391" t="s">
        <v>31</v>
      </c>
      <c r="I1391" t="s">
        <v>15</v>
      </c>
      <c r="J1391">
        <v>4.8</v>
      </c>
      <c r="K1391">
        <v>24</v>
      </c>
      <c r="L1391">
        <f t="shared" si="64"/>
        <v>397.2824</v>
      </c>
      <c r="M1391">
        <v>7</v>
      </c>
      <c r="N1391" t="str">
        <f t="shared" si="65"/>
        <v>Regular</v>
      </c>
    </row>
    <row r="1392" spans="1:14" x14ac:dyDescent="0.35">
      <c r="A1392">
        <v>1391</v>
      </c>
      <c r="B1392">
        <v>70</v>
      </c>
      <c r="C1392" t="str">
        <f t="shared" si="63"/>
        <v>Senior</v>
      </c>
      <c r="D1392" t="s">
        <v>16</v>
      </c>
      <c r="E1392" t="s">
        <v>20</v>
      </c>
      <c r="F1392" t="s">
        <v>39</v>
      </c>
      <c r="G1392">
        <v>146.30000000000001</v>
      </c>
      <c r="H1392" t="s">
        <v>31</v>
      </c>
      <c r="I1392" t="s">
        <v>15</v>
      </c>
      <c r="J1392">
        <v>3.3</v>
      </c>
      <c r="K1392">
        <v>20</v>
      </c>
      <c r="L1392">
        <f t="shared" si="64"/>
        <v>117.04000000000002</v>
      </c>
      <c r="M1392">
        <v>5</v>
      </c>
      <c r="N1392" t="str">
        <f t="shared" si="65"/>
        <v>Regular</v>
      </c>
    </row>
    <row r="1393" spans="1:14" x14ac:dyDescent="0.35">
      <c r="A1393">
        <v>1392</v>
      </c>
      <c r="B1393">
        <v>57</v>
      </c>
      <c r="C1393" t="str">
        <f t="shared" si="63"/>
        <v>Adult</v>
      </c>
      <c r="D1393" t="s">
        <v>16</v>
      </c>
      <c r="E1393" t="s">
        <v>33</v>
      </c>
      <c r="F1393" t="s">
        <v>40</v>
      </c>
      <c r="G1393">
        <v>188.81</v>
      </c>
      <c r="H1393" t="s">
        <v>19</v>
      </c>
      <c r="I1393" t="s">
        <v>15</v>
      </c>
      <c r="J1393">
        <v>4.0999999999999996</v>
      </c>
      <c r="K1393">
        <v>11</v>
      </c>
      <c r="L1393">
        <f t="shared" si="64"/>
        <v>168.04089999999999</v>
      </c>
      <c r="M1393">
        <v>3</v>
      </c>
      <c r="N1393" t="str">
        <f t="shared" si="65"/>
        <v>New</v>
      </c>
    </row>
    <row r="1394" spans="1:14" x14ac:dyDescent="0.35">
      <c r="A1394">
        <v>1393</v>
      </c>
      <c r="B1394">
        <v>24</v>
      </c>
      <c r="C1394" t="str">
        <f t="shared" si="63"/>
        <v>Youth</v>
      </c>
      <c r="D1394" t="s">
        <v>16</v>
      </c>
      <c r="E1394" t="s">
        <v>27</v>
      </c>
      <c r="F1394" t="s">
        <v>32</v>
      </c>
      <c r="G1394">
        <v>973.64</v>
      </c>
      <c r="H1394" t="s">
        <v>14</v>
      </c>
      <c r="I1394" t="s">
        <v>15</v>
      </c>
      <c r="J1394">
        <v>4.3</v>
      </c>
      <c r="K1394">
        <v>16</v>
      </c>
      <c r="L1394">
        <f t="shared" si="64"/>
        <v>817.85759999999993</v>
      </c>
      <c r="M1394">
        <v>3</v>
      </c>
      <c r="N1394" t="str">
        <f t="shared" si="65"/>
        <v>New</v>
      </c>
    </row>
    <row r="1395" spans="1:14" x14ac:dyDescent="0.35">
      <c r="A1395">
        <v>1394</v>
      </c>
      <c r="B1395">
        <v>61</v>
      </c>
      <c r="C1395" t="str">
        <f t="shared" si="63"/>
        <v>Senior</v>
      </c>
      <c r="D1395" t="s">
        <v>16</v>
      </c>
      <c r="E1395" t="s">
        <v>27</v>
      </c>
      <c r="F1395" t="s">
        <v>28</v>
      </c>
      <c r="G1395">
        <v>1496.01</v>
      </c>
      <c r="H1395" t="s">
        <v>24</v>
      </c>
      <c r="I1395" t="s">
        <v>15</v>
      </c>
      <c r="J1395">
        <v>4</v>
      </c>
      <c r="K1395">
        <v>13</v>
      </c>
      <c r="L1395">
        <f t="shared" si="64"/>
        <v>1301.5287000000001</v>
      </c>
      <c r="M1395">
        <v>4</v>
      </c>
      <c r="N1395" t="str">
        <f t="shared" si="65"/>
        <v>Regular</v>
      </c>
    </row>
    <row r="1396" spans="1:14" x14ac:dyDescent="0.35">
      <c r="A1396">
        <v>1395</v>
      </c>
      <c r="B1396">
        <v>56</v>
      </c>
      <c r="C1396" t="str">
        <f t="shared" si="63"/>
        <v>Adult</v>
      </c>
      <c r="D1396" t="s">
        <v>11</v>
      </c>
      <c r="E1396" t="s">
        <v>33</v>
      </c>
      <c r="F1396" t="s">
        <v>34</v>
      </c>
      <c r="G1396">
        <v>228.28</v>
      </c>
      <c r="H1396" t="s">
        <v>31</v>
      </c>
      <c r="I1396" t="s">
        <v>15</v>
      </c>
      <c r="J1396">
        <v>4.0999999999999996</v>
      </c>
      <c r="K1396">
        <v>6</v>
      </c>
      <c r="L1396">
        <f t="shared" si="64"/>
        <v>214.58319999999998</v>
      </c>
      <c r="M1396">
        <v>3</v>
      </c>
      <c r="N1396" t="str">
        <f t="shared" si="65"/>
        <v>New</v>
      </c>
    </row>
    <row r="1397" spans="1:14" x14ac:dyDescent="0.35">
      <c r="A1397">
        <v>1396</v>
      </c>
      <c r="B1397">
        <v>40</v>
      </c>
      <c r="C1397" t="str">
        <f t="shared" si="63"/>
        <v>Adult</v>
      </c>
      <c r="D1397" t="s">
        <v>11</v>
      </c>
      <c r="E1397" t="s">
        <v>12</v>
      </c>
      <c r="F1397" t="s">
        <v>50</v>
      </c>
      <c r="G1397">
        <v>119.97</v>
      </c>
      <c r="H1397" t="s">
        <v>31</v>
      </c>
      <c r="I1397" t="s">
        <v>15</v>
      </c>
      <c r="J1397">
        <v>4</v>
      </c>
      <c r="K1397">
        <v>13</v>
      </c>
      <c r="L1397">
        <f t="shared" si="64"/>
        <v>104.37389999999999</v>
      </c>
      <c r="M1397">
        <v>4</v>
      </c>
      <c r="N1397" t="str">
        <f t="shared" si="65"/>
        <v>Regular</v>
      </c>
    </row>
    <row r="1398" spans="1:14" x14ac:dyDescent="0.35">
      <c r="A1398">
        <v>1397</v>
      </c>
      <c r="B1398">
        <v>23</v>
      </c>
      <c r="C1398" t="str">
        <f t="shared" si="63"/>
        <v>Youth</v>
      </c>
      <c r="D1398" t="s">
        <v>11</v>
      </c>
      <c r="E1398" t="s">
        <v>41</v>
      </c>
      <c r="F1398" t="s">
        <v>42</v>
      </c>
      <c r="G1398">
        <v>123.01</v>
      </c>
      <c r="H1398" t="s">
        <v>19</v>
      </c>
      <c r="I1398" t="s">
        <v>15</v>
      </c>
      <c r="J1398">
        <v>3.9</v>
      </c>
      <c r="K1398">
        <v>17</v>
      </c>
      <c r="L1398">
        <f t="shared" si="64"/>
        <v>102.09829999999999</v>
      </c>
      <c r="M1398">
        <v>6</v>
      </c>
      <c r="N1398" t="str">
        <f t="shared" si="65"/>
        <v>Regular</v>
      </c>
    </row>
    <row r="1399" spans="1:14" x14ac:dyDescent="0.35">
      <c r="A1399">
        <v>1398</v>
      </c>
      <c r="B1399">
        <v>43</v>
      </c>
      <c r="C1399" t="str">
        <f t="shared" si="63"/>
        <v>Adult</v>
      </c>
      <c r="D1399" t="s">
        <v>11</v>
      </c>
      <c r="E1399" t="s">
        <v>12</v>
      </c>
      <c r="F1399" t="s">
        <v>13</v>
      </c>
      <c r="G1399">
        <v>162.25</v>
      </c>
      <c r="H1399" t="s">
        <v>19</v>
      </c>
      <c r="I1399" t="s">
        <v>15</v>
      </c>
      <c r="J1399">
        <v>4.2</v>
      </c>
      <c r="K1399">
        <v>6</v>
      </c>
      <c r="L1399">
        <f t="shared" si="64"/>
        <v>152.51499999999999</v>
      </c>
      <c r="M1399">
        <v>3</v>
      </c>
      <c r="N1399" t="str">
        <f t="shared" si="65"/>
        <v>New</v>
      </c>
    </row>
    <row r="1400" spans="1:14" x14ac:dyDescent="0.35">
      <c r="A1400">
        <v>1399</v>
      </c>
      <c r="B1400">
        <v>54</v>
      </c>
      <c r="C1400" t="str">
        <f t="shared" si="63"/>
        <v>Adult</v>
      </c>
      <c r="D1400" t="s">
        <v>11</v>
      </c>
      <c r="E1400" t="s">
        <v>33</v>
      </c>
      <c r="F1400" t="s">
        <v>40</v>
      </c>
      <c r="G1400">
        <v>194.79</v>
      </c>
      <c r="H1400" t="s">
        <v>24</v>
      </c>
      <c r="I1400" t="s">
        <v>15</v>
      </c>
      <c r="J1400">
        <v>2.2000000000000002</v>
      </c>
      <c r="K1400">
        <v>16</v>
      </c>
      <c r="L1400">
        <f t="shared" si="64"/>
        <v>163.62359999999998</v>
      </c>
      <c r="M1400">
        <v>8</v>
      </c>
      <c r="N1400" t="str">
        <f t="shared" si="65"/>
        <v>Loyal</v>
      </c>
    </row>
    <row r="1401" spans="1:14" x14ac:dyDescent="0.35">
      <c r="A1401">
        <v>1400</v>
      </c>
      <c r="B1401">
        <v>50</v>
      </c>
      <c r="C1401" t="str">
        <f t="shared" si="63"/>
        <v>Adult</v>
      </c>
      <c r="D1401" t="s">
        <v>16</v>
      </c>
      <c r="E1401" t="s">
        <v>20</v>
      </c>
      <c r="F1401" t="s">
        <v>39</v>
      </c>
      <c r="G1401">
        <v>126.38</v>
      </c>
      <c r="H1401" t="s">
        <v>14</v>
      </c>
      <c r="I1401" t="s">
        <v>15</v>
      </c>
      <c r="J1401">
        <v>3.4</v>
      </c>
      <c r="K1401">
        <v>6</v>
      </c>
      <c r="L1401">
        <f t="shared" si="64"/>
        <v>118.79719999999999</v>
      </c>
      <c r="M1401">
        <v>3</v>
      </c>
      <c r="N1401" t="str">
        <f t="shared" si="65"/>
        <v>New</v>
      </c>
    </row>
    <row r="1402" spans="1:14" x14ac:dyDescent="0.35">
      <c r="A1402">
        <v>1401</v>
      </c>
      <c r="B1402">
        <v>67</v>
      </c>
      <c r="C1402" t="str">
        <f t="shared" si="63"/>
        <v>Senior</v>
      </c>
      <c r="D1402" t="s">
        <v>11</v>
      </c>
      <c r="E1402" t="s">
        <v>33</v>
      </c>
      <c r="F1402" t="s">
        <v>38</v>
      </c>
      <c r="G1402">
        <v>246.6</v>
      </c>
      <c r="H1402" t="s">
        <v>19</v>
      </c>
      <c r="I1402" t="s">
        <v>15</v>
      </c>
      <c r="J1402">
        <v>4.8</v>
      </c>
      <c r="K1402">
        <v>15</v>
      </c>
      <c r="L1402">
        <f t="shared" si="64"/>
        <v>209.60999999999999</v>
      </c>
      <c r="M1402">
        <v>5</v>
      </c>
      <c r="N1402" t="str">
        <f t="shared" si="65"/>
        <v>Regular</v>
      </c>
    </row>
    <row r="1403" spans="1:14" x14ac:dyDescent="0.35">
      <c r="A1403">
        <v>1402</v>
      </c>
      <c r="B1403">
        <v>59</v>
      </c>
      <c r="C1403" t="str">
        <f t="shared" si="63"/>
        <v>Adult</v>
      </c>
      <c r="D1403" t="s">
        <v>16</v>
      </c>
      <c r="E1403" t="s">
        <v>17</v>
      </c>
      <c r="F1403" t="s">
        <v>18</v>
      </c>
      <c r="G1403">
        <v>116.03</v>
      </c>
      <c r="H1403" t="s">
        <v>19</v>
      </c>
      <c r="I1403" t="s">
        <v>15</v>
      </c>
      <c r="J1403">
        <v>2.6</v>
      </c>
      <c r="K1403">
        <v>7</v>
      </c>
      <c r="L1403">
        <f t="shared" si="64"/>
        <v>107.9079</v>
      </c>
      <c r="M1403">
        <v>1</v>
      </c>
      <c r="N1403" t="str">
        <f t="shared" si="65"/>
        <v>New</v>
      </c>
    </row>
    <row r="1404" spans="1:14" x14ac:dyDescent="0.35">
      <c r="A1404">
        <v>1403</v>
      </c>
      <c r="B1404">
        <v>21</v>
      </c>
      <c r="C1404" t="str">
        <f t="shared" si="63"/>
        <v>Youth</v>
      </c>
      <c r="D1404" t="s">
        <v>11</v>
      </c>
      <c r="E1404" t="s">
        <v>12</v>
      </c>
      <c r="F1404" t="s">
        <v>56</v>
      </c>
      <c r="G1404">
        <v>157.32</v>
      </c>
      <c r="H1404" t="s">
        <v>24</v>
      </c>
      <c r="I1404" t="s">
        <v>15</v>
      </c>
      <c r="J1404">
        <v>3.1</v>
      </c>
      <c r="K1404">
        <v>18</v>
      </c>
      <c r="L1404">
        <f t="shared" si="64"/>
        <v>129.00239999999999</v>
      </c>
      <c r="M1404">
        <v>4</v>
      </c>
      <c r="N1404" t="str">
        <f t="shared" si="65"/>
        <v>Regular</v>
      </c>
    </row>
    <row r="1405" spans="1:14" x14ac:dyDescent="0.35">
      <c r="A1405">
        <v>1404</v>
      </c>
      <c r="B1405">
        <v>26</v>
      </c>
      <c r="C1405" t="str">
        <f t="shared" si="63"/>
        <v>Youth</v>
      </c>
      <c r="D1405" t="s">
        <v>11</v>
      </c>
      <c r="E1405" t="s">
        <v>29</v>
      </c>
      <c r="F1405" t="s">
        <v>51</v>
      </c>
      <c r="G1405">
        <v>96.17</v>
      </c>
      <c r="H1405" t="s">
        <v>31</v>
      </c>
      <c r="I1405" t="s">
        <v>37</v>
      </c>
      <c r="J1405">
        <v>3.5</v>
      </c>
      <c r="K1405">
        <v>15</v>
      </c>
      <c r="L1405">
        <f t="shared" si="64"/>
        <v>81.744500000000002</v>
      </c>
      <c r="M1405">
        <v>5</v>
      </c>
      <c r="N1405" t="str">
        <f t="shared" si="65"/>
        <v>Regular</v>
      </c>
    </row>
    <row r="1406" spans="1:14" x14ac:dyDescent="0.35">
      <c r="A1406">
        <v>1405</v>
      </c>
      <c r="B1406">
        <v>21</v>
      </c>
      <c r="C1406" t="str">
        <f t="shared" si="63"/>
        <v>Youth</v>
      </c>
      <c r="D1406" t="s">
        <v>11</v>
      </c>
      <c r="E1406" t="s">
        <v>33</v>
      </c>
      <c r="F1406" t="s">
        <v>40</v>
      </c>
      <c r="G1406">
        <v>103.99</v>
      </c>
      <c r="H1406" t="s">
        <v>19</v>
      </c>
      <c r="I1406" t="s">
        <v>15</v>
      </c>
      <c r="J1406">
        <v>4.3</v>
      </c>
      <c r="K1406">
        <v>11</v>
      </c>
      <c r="L1406">
        <f t="shared" si="64"/>
        <v>92.551099999999991</v>
      </c>
      <c r="M1406">
        <v>3</v>
      </c>
      <c r="N1406" t="str">
        <f t="shared" si="65"/>
        <v>New</v>
      </c>
    </row>
    <row r="1407" spans="1:14" x14ac:dyDescent="0.35">
      <c r="A1407">
        <v>1406</v>
      </c>
      <c r="B1407">
        <v>57</v>
      </c>
      <c r="C1407" t="str">
        <f t="shared" si="63"/>
        <v>Adult</v>
      </c>
      <c r="D1407" t="s">
        <v>16</v>
      </c>
      <c r="E1407" t="s">
        <v>27</v>
      </c>
      <c r="F1407" t="s">
        <v>32</v>
      </c>
      <c r="G1407">
        <v>629.5</v>
      </c>
      <c r="H1407" t="s">
        <v>19</v>
      </c>
      <c r="I1407" t="s">
        <v>15</v>
      </c>
      <c r="J1407">
        <v>3.7</v>
      </c>
      <c r="K1407">
        <v>15</v>
      </c>
      <c r="L1407">
        <f t="shared" si="64"/>
        <v>535.07499999999993</v>
      </c>
      <c r="M1407">
        <v>5</v>
      </c>
      <c r="N1407" t="str">
        <f t="shared" si="65"/>
        <v>Regular</v>
      </c>
    </row>
    <row r="1408" spans="1:14" x14ac:dyDescent="0.35">
      <c r="A1408">
        <v>1407</v>
      </c>
      <c r="B1408">
        <v>23</v>
      </c>
      <c r="C1408" t="str">
        <f t="shared" si="63"/>
        <v>Youth</v>
      </c>
      <c r="D1408" t="s">
        <v>16</v>
      </c>
      <c r="E1408" t="s">
        <v>27</v>
      </c>
      <c r="F1408" t="s">
        <v>32</v>
      </c>
      <c r="G1408">
        <v>1444.5</v>
      </c>
      <c r="H1408" t="s">
        <v>19</v>
      </c>
      <c r="I1408" t="s">
        <v>15</v>
      </c>
      <c r="J1408">
        <v>3.2</v>
      </c>
      <c r="K1408">
        <v>14</v>
      </c>
      <c r="L1408">
        <f t="shared" si="64"/>
        <v>1242.27</v>
      </c>
      <c r="M1408">
        <v>2</v>
      </c>
      <c r="N1408" t="str">
        <f t="shared" si="65"/>
        <v>New</v>
      </c>
    </row>
    <row r="1409" spans="1:14" x14ac:dyDescent="0.35">
      <c r="A1409">
        <v>1408</v>
      </c>
      <c r="B1409">
        <v>57</v>
      </c>
      <c r="C1409" t="str">
        <f t="shared" si="63"/>
        <v>Adult</v>
      </c>
      <c r="D1409" t="s">
        <v>16</v>
      </c>
      <c r="E1409" t="s">
        <v>17</v>
      </c>
      <c r="F1409" t="s">
        <v>48</v>
      </c>
      <c r="G1409">
        <v>36.46</v>
      </c>
      <c r="H1409" t="s">
        <v>31</v>
      </c>
      <c r="I1409" t="s">
        <v>15</v>
      </c>
      <c r="J1409">
        <v>2.6</v>
      </c>
      <c r="K1409">
        <v>4</v>
      </c>
      <c r="L1409">
        <f t="shared" si="64"/>
        <v>35.001599999999996</v>
      </c>
      <c r="M1409">
        <v>2</v>
      </c>
      <c r="N1409" t="str">
        <f t="shared" si="65"/>
        <v>New</v>
      </c>
    </row>
    <row r="1410" spans="1:14" x14ac:dyDescent="0.35">
      <c r="A1410">
        <v>1409</v>
      </c>
      <c r="B1410">
        <v>31</v>
      </c>
      <c r="C1410" t="str">
        <f t="shared" si="63"/>
        <v>Adult</v>
      </c>
      <c r="D1410" t="s">
        <v>11</v>
      </c>
      <c r="E1410" t="s">
        <v>29</v>
      </c>
      <c r="F1410" t="s">
        <v>30</v>
      </c>
      <c r="G1410">
        <v>80.36</v>
      </c>
      <c r="H1410" t="s">
        <v>31</v>
      </c>
      <c r="I1410" t="s">
        <v>37</v>
      </c>
      <c r="J1410">
        <v>4.5</v>
      </c>
      <c r="K1410">
        <v>17</v>
      </c>
      <c r="L1410">
        <f t="shared" si="64"/>
        <v>66.698799999999991</v>
      </c>
      <c r="M1410">
        <v>6</v>
      </c>
      <c r="N1410" t="str">
        <f t="shared" si="65"/>
        <v>Regular</v>
      </c>
    </row>
    <row r="1411" spans="1:14" x14ac:dyDescent="0.35">
      <c r="A1411">
        <v>1410</v>
      </c>
      <c r="B1411">
        <v>57</v>
      </c>
      <c r="C1411" t="str">
        <f t="shared" ref="C1411:C1474" si="66">IF(B1411&lt;=30,"Youth",IF(B1411&lt;=45,"Adult",IF(B1411&lt;=60,"Adult","Senior")))</f>
        <v>Adult</v>
      </c>
      <c r="D1411" t="s">
        <v>16</v>
      </c>
      <c r="E1411" t="s">
        <v>27</v>
      </c>
      <c r="F1411" t="s">
        <v>53</v>
      </c>
      <c r="G1411">
        <v>2547.41</v>
      </c>
      <c r="H1411" t="s">
        <v>19</v>
      </c>
      <c r="I1411" t="s">
        <v>15</v>
      </c>
      <c r="J1411">
        <v>3.7</v>
      </c>
      <c r="K1411">
        <v>16</v>
      </c>
      <c r="L1411">
        <f t="shared" ref="L1411:L1474" si="67">G1411*(1-K1411/100)</f>
        <v>2139.8244</v>
      </c>
      <c r="M1411">
        <v>3</v>
      </c>
      <c r="N1411" t="str">
        <f t="shared" ref="N1411:N1474" si="68">IF(M1411&lt;=3,"New",IF(M1411&lt;=7,"Regular","Loyal"))</f>
        <v>New</v>
      </c>
    </row>
    <row r="1412" spans="1:14" x14ac:dyDescent="0.35">
      <c r="A1412">
        <v>1411</v>
      </c>
      <c r="B1412">
        <v>55</v>
      </c>
      <c r="C1412" t="str">
        <f t="shared" si="66"/>
        <v>Adult</v>
      </c>
      <c r="D1412" t="s">
        <v>11</v>
      </c>
      <c r="E1412" t="s">
        <v>33</v>
      </c>
      <c r="F1412" t="s">
        <v>40</v>
      </c>
      <c r="G1412">
        <v>75.06</v>
      </c>
      <c r="H1412" t="s">
        <v>31</v>
      </c>
      <c r="I1412" t="s">
        <v>15</v>
      </c>
      <c r="J1412">
        <v>3.9</v>
      </c>
      <c r="K1412">
        <v>12</v>
      </c>
      <c r="L1412">
        <f t="shared" si="67"/>
        <v>66.052800000000005</v>
      </c>
      <c r="M1412">
        <v>1</v>
      </c>
      <c r="N1412" t="str">
        <f t="shared" si="68"/>
        <v>New</v>
      </c>
    </row>
    <row r="1413" spans="1:14" x14ac:dyDescent="0.35">
      <c r="A1413">
        <v>1412</v>
      </c>
      <c r="B1413">
        <v>47</v>
      </c>
      <c r="C1413" t="str">
        <f t="shared" si="66"/>
        <v>Adult</v>
      </c>
      <c r="D1413" t="s">
        <v>11</v>
      </c>
      <c r="E1413" t="s">
        <v>29</v>
      </c>
      <c r="F1413" t="s">
        <v>55</v>
      </c>
      <c r="G1413">
        <v>42.38</v>
      </c>
      <c r="H1413" t="s">
        <v>31</v>
      </c>
      <c r="I1413" t="s">
        <v>37</v>
      </c>
      <c r="J1413">
        <v>3.4</v>
      </c>
      <c r="K1413">
        <v>17</v>
      </c>
      <c r="L1413">
        <f t="shared" si="67"/>
        <v>35.175400000000003</v>
      </c>
      <c r="M1413">
        <v>6</v>
      </c>
      <c r="N1413" t="str">
        <f t="shared" si="68"/>
        <v>Regular</v>
      </c>
    </row>
    <row r="1414" spans="1:14" x14ac:dyDescent="0.35">
      <c r="A1414">
        <v>1413</v>
      </c>
      <c r="B1414">
        <v>52</v>
      </c>
      <c r="C1414" t="str">
        <f t="shared" si="66"/>
        <v>Adult</v>
      </c>
      <c r="D1414" t="s">
        <v>11</v>
      </c>
      <c r="E1414" t="s">
        <v>29</v>
      </c>
      <c r="F1414" t="s">
        <v>55</v>
      </c>
      <c r="G1414">
        <v>134.53</v>
      </c>
      <c r="H1414" t="s">
        <v>14</v>
      </c>
      <c r="I1414" t="s">
        <v>15</v>
      </c>
      <c r="J1414">
        <v>3.8</v>
      </c>
      <c r="K1414">
        <v>26</v>
      </c>
      <c r="L1414">
        <f t="shared" si="67"/>
        <v>99.552199999999999</v>
      </c>
      <c r="M1414">
        <v>8</v>
      </c>
      <c r="N1414" t="str">
        <f t="shared" si="68"/>
        <v>Loyal</v>
      </c>
    </row>
    <row r="1415" spans="1:14" x14ac:dyDescent="0.35">
      <c r="A1415">
        <v>1414</v>
      </c>
      <c r="B1415">
        <v>23</v>
      </c>
      <c r="C1415" t="str">
        <f t="shared" si="66"/>
        <v>Youth</v>
      </c>
      <c r="D1415" t="s">
        <v>16</v>
      </c>
      <c r="E1415" t="s">
        <v>33</v>
      </c>
      <c r="F1415" t="s">
        <v>34</v>
      </c>
      <c r="G1415">
        <v>214.52</v>
      </c>
      <c r="H1415" t="s">
        <v>31</v>
      </c>
      <c r="I1415" t="s">
        <v>15</v>
      </c>
      <c r="J1415">
        <v>2.6</v>
      </c>
      <c r="K1415">
        <v>4</v>
      </c>
      <c r="L1415">
        <f t="shared" si="67"/>
        <v>205.9392</v>
      </c>
      <c r="M1415">
        <v>2</v>
      </c>
      <c r="N1415" t="str">
        <f t="shared" si="68"/>
        <v>New</v>
      </c>
    </row>
    <row r="1416" spans="1:14" x14ac:dyDescent="0.35">
      <c r="A1416">
        <v>1415</v>
      </c>
      <c r="B1416">
        <v>24</v>
      </c>
      <c r="C1416" t="str">
        <f t="shared" si="66"/>
        <v>Youth</v>
      </c>
      <c r="D1416" t="s">
        <v>11</v>
      </c>
      <c r="E1416" t="s">
        <v>29</v>
      </c>
      <c r="F1416" t="s">
        <v>55</v>
      </c>
      <c r="G1416">
        <v>42.87</v>
      </c>
      <c r="H1416" t="s">
        <v>19</v>
      </c>
      <c r="I1416" t="s">
        <v>15</v>
      </c>
      <c r="J1416">
        <v>3.6</v>
      </c>
      <c r="K1416">
        <v>15</v>
      </c>
      <c r="L1416">
        <f t="shared" si="67"/>
        <v>36.439499999999995</v>
      </c>
      <c r="M1416">
        <v>5</v>
      </c>
      <c r="N1416" t="str">
        <f t="shared" si="68"/>
        <v>Regular</v>
      </c>
    </row>
    <row r="1417" spans="1:14" x14ac:dyDescent="0.35">
      <c r="A1417">
        <v>1416</v>
      </c>
      <c r="B1417">
        <v>22</v>
      </c>
      <c r="C1417" t="str">
        <f t="shared" si="66"/>
        <v>Youth</v>
      </c>
      <c r="D1417" t="s">
        <v>16</v>
      </c>
      <c r="E1417" t="s">
        <v>20</v>
      </c>
      <c r="F1417" t="s">
        <v>21</v>
      </c>
      <c r="G1417">
        <v>180.61</v>
      </c>
      <c r="H1417" t="s">
        <v>19</v>
      </c>
      <c r="I1417" t="s">
        <v>15</v>
      </c>
      <c r="J1417">
        <v>3</v>
      </c>
      <c r="K1417">
        <v>15</v>
      </c>
      <c r="L1417">
        <f t="shared" si="67"/>
        <v>153.51850000000002</v>
      </c>
      <c r="M1417">
        <v>5</v>
      </c>
      <c r="N1417" t="str">
        <f t="shared" si="68"/>
        <v>Regular</v>
      </c>
    </row>
    <row r="1418" spans="1:14" x14ac:dyDescent="0.35">
      <c r="A1418">
        <v>1417</v>
      </c>
      <c r="B1418">
        <v>52</v>
      </c>
      <c r="C1418" t="str">
        <f t="shared" si="66"/>
        <v>Adult</v>
      </c>
      <c r="D1418" t="s">
        <v>16</v>
      </c>
      <c r="E1418" t="s">
        <v>33</v>
      </c>
      <c r="F1418" t="s">
        <v>38</v>
      </c>
      <c r="G1418">
        <v>161.19999999999999</v>
      </c>
      <c r="H1418" t="s">
        <v>24</v>
      </c>
      <c r="I1418" t="s">
        <v>15</v>
      </c>
      <c r="J1418">
        <v>3.1</v>
      </c>
      <c r="K1418">
        <v>4</v>
      </c>
      <c r="L1418">
        <f t="shared" si="67"/>
        <v>154.75199999999998</v>
      </c>
      <c r="M1418">
        <v>2</v>
      </c>
      <c r="N1418" t="str">
        <f t="shared" si="68"/>
        <v>New</v>
      </c>
    </row>
    <row r="1419" spans="1:14" x14ac:dyDescent="0.35">
      <c r="A1419">
        <v>1418</v>
      </c>
      <c r="B1419">
        <v>49</v>
      </c>
      <c r="C1419" t="str">
        <f t="shared" si="66"/>
        <v>Adult</v>
      </c>
      <c r="D1419" t="s">
        <v>11</v>
      </c>
      <c r="E1419" t="s">
        <v>20</v>
      </c>
      <c r="F1419" t="s">
        <v>39</v>
      </c>
      <c r="G1419">
        <v>166.73</v>
      </c>
      <c r="H1419" t="s">
        <v>19</v>
      </c>
      <c r="I1419" t="s">
        <v>15</v>
      </c>
      <c r="J1419">
        <v>2.2999999999999998</v>
      </c>
      <c r="K1419">
        <v>15</v>
      </c>
      <c r="L1419">
        <f t="shared" si="67"/>
        <v>141.72049999999999</v>
      </c>
      <c r="M1419">
        <v>5</v>
      </c>
      <c r="N1419" t="str">
        <f t="shared" si="68"/>
        <v>Regular</v>
      </c>
    </row>
    <row r="1420" spans="1:14" x14ac:dyDescent="0.35">
      <c r="A1420">
        <v>1419</v>
      </c>
      <c r="B1420">
        <v>29</v>
      </c>
      <c r="C1420" t="str">
        <f t="shared" si="66"/>
        <v>Youth</v>
      </c>
      <c r="D1420" t="s">
        <v>11</v>
      </c>
      <c r="E1420" t="s">
        <v>33</v>
      </c>
      <c r="F1420" t="s">
        <v>38</v>
      </c>
      <c r="G1420">
        <v>102.67</v>
      </c>
      <c r="H1420" t="s">
        <v>19</v>
      </c>
      <c r="I1420" t="s">
        <v>15</v>
      </c>
      <c r="J1420">
        <v>3</v>
      </c>
      <c r="K1420">
        <v>6</v>
      </c>
      <c r="L1420">
        <f t="shared" si="67"/>
        <v>96.509799999999998</v>
      </c>
      <c r="M1420">
        <v>3</v>
      </c>
      <c r="N1420" t="str">
        <f t="shared" si="68"/>
        <v>New</v>
      </c>
    </row>
    <row r="1421" spans="1:14" x14ac:dyDescent="0.35">
      <c r="A1421">
        <v>1420</v>
      </c>
      <c r="B1421">
        <v>54</v>
      </c>
      <c r="C1421" t="str">
        <f t="shared" si="66"/>
        <v>Adult</v>
      </c>
      <c r="D1421" t="s">
        <v>16</v>
      </c>
      <c r="E1421" t="s">
        <v>27</v>
      </c>
      <c r="F1421" t="s">
        <v>49</v>
      </c>
      <c r="G1421">
        <v>999.76</v>
      </c>
      <c r="H1421" t="s">
        <v>24</v>
      </c>
      <c r="I1421" t="s">
        <v>15</v>
      </c>
      <c r="J1421">
        <v>4</v>
      </c>
      <c r="K1421">
        <v>8</v>
      </c>
      <c r="L1421">
        <f t="shared" si="67"/>
        <v>919.77920000000006</v>
      </c>
      <c r="M1421">
        <v>4</v>
      </c>
      <c r="N1421" t="str">
        <f t="shared" si="68"/>
        <v>Regular</v>
      </c>
    </row>
    <row r="1422" spans="1:14" x14ac:dyDescent="0.35">
      <c r="A1422">
        <v>1421</v>
      </c>
      <c r="B1422">
        <v>31</v>
      </c>
      <c r="C1422" t="str">
        <f t="shared" si="66"/>
        <v>Adult</v>
      </c>
      <c r="D1422" t="s">
        <v>16</v>
      </c>
      <c r="E1422" t="s">
        <v>20</v>
      </c>
      <c r="F1422" t="s">
        <v>21</v>
      </c>
      <c r="G1422">
        <v>112.39</v>
      </c>
      <c r="H1422" t="s">
        <v>19</v>
      </c>
      <c r="I1422" t="s">
        <v>15</v>
      </c>
      <c r="J1422">
        <v>4.7</v>
      </c>
      <c r="K1422">
        <v>26</v>
      </c>
      <c r="L1422">
        <f t="shared" si="67"/>
        <v>83.168599999999998</v>
      </c>
      <c r="M1422">
        <v>8</v>
      </c>
      <c r="N1422" t="str">
        <f t="shared" si="68"/>
        <v>Loyal</v>
      </c>
    </row>
    <row r="1423" spans="1:14" x14ac:dyDescent="0.35">
      <c r="A1423">
        <v>1422</v>
      </c>
      <c r="B1423">
        <v>54</v>
      </c>
      <c r="C1423" t="str">
        <f t="shared" si="66"/>
        <v>Adult</v>
      </c>
      <c r="D1423" t="s">
        <v>16</v>
      </c>
      <c r="E1423" t="s">
        <v>17</v>
      </c>
      <c r="F1423" t="s">
        <v>48</v>
      </c>
      <c r="G1423">
        <v>161.28</v>
      </c>
      <c r="H1423" t="s">
        <v>24</v>
      </c>
      <c r="I1423" t="s">
        <v>15</v>
      </c>
      <c r="J1423">
        <v>3.4</v>
      </c>
      <c r="K1423">
        <v>16</v>
      </c>
      <c r="L1423">
        <f t="shared" si="67"/>
        <v>135.4752</v>
      </c>
      <c r="M1423">
        <v>3</v>
      </c>
      <c r="N1423" t="str">
        <f t="shared" si="68"/>
        <v>New</v>
      </c>
    </row>
    <row r="1424" spans="1:14" x14ac:dyDescent="0.35">
      <c r="A1424">
        <v>1423</v>
      </c>
      <c r="B1424">
        <v>32</v>
      </c>
      <c r="C1424" t="str">
        <f t="shared" si="66"/>
        <v>Adult</v>
      </c>
      <c r="D1424" t="s">
        <v>16</v>
      </c>
      <c r="E1424" t="s">
        <v>25</v>
      </c>
      <c r="F1424" t="s">
        <v>26</v>
      </c>
      <c r="G1424">
        <v>31.93</v>
      </c>
      <c r="H1424" t="s">
        <v>24</v>
      </c>
      <c r="I1424" t="s">
        <v>37</v>
      </c>
      <c r="J1424">
        <v>4.3</v>
      </c>
      <c r="K1424">
        <v>9</v>
      </c>
      <c r="L1424">
        <f t="shared" si="67"/>
        <v>29.0563</v>
      </c>
      <c r="M1424">
        <v>2</v>
      </c>
      <c r="N1424" t="str">
        <f t="shared" si="68"/>
        <v>New</v>
      </c>
    </row>
    <row r="1425" spans="1:14" x14ac:dyDescent="0.35">
      <c r="A1425">
        <v>1424</v>
      </c>
      <c r="B1425">
        <v>26</v>
      </c>
      <c r="C1425" t="str">
        <f t="shared" si="66"/>
        <v>Youth</v>
      </c>
      <c r="D1425" t="s">
        <v>11</v>
      </c>
      <c r="E1425" t="s">
        <v>41</v>
      </c>
      <c r="F1425" t="s">
        <v>45</v>
      </c>
      <c r="G1425">
        <v>53</v>
      </c>
      <c r="H1425" t="s">
        <v>19</v>
      </c>
      <c r="I1425" t="s">
        <v>37</v>
      </c>
      <c r="J1425">
        <v>4.4000000000000004</v>
      </c>
      <c r="K1425">
        <v>12</v>
      </c>
      <c r="L1425">
        <f t="shared" si="67"/>
        <v>46.64</v>
      </c>
      <c r="M1425">
        <v>6</v>
      </c>
      <c r="N1425" t="str">
        <f t="shared" si="68"/>
        <v>Regular</v>
      </c>
    </row>
    <row r="1426" spans="1:14" x14ac:dyDescent="0.35">
      <c r="A1426">
        <v>1425</v>
      </c>
      <c r="B1426">
        <v>22</v>
      </c>
      <c r="C1426" t="str">
        <f t="shared" si="66"/>
        <v>Youth</v>
      </c>
      <c r="D1426" t="s">
        <v>11</v>
      </c>
      <c r="E1426" t="s">
        <v>41</v>
      </c>
      <c r="F1426" t="s">
        <v>45</v>
      </c>
      <c r="G1426">
        <v>64.8</v>
      </c>
      <c r="H1426" t="s">
        <v>14</v>
      </c>
      <c r="I1426" t="s">
        <v>37</v>
      </c>
      <c r="J1426">
        <v>2.7</v>
      </c>
      <c r="K1426">
        <v>19</v>
      </c>
      <c r="L1426">
        <f t="shared" si="67"/>
        <v>52.488</v>
      </c>
      <c r="M1426">
        <v>7</v>
      </c>
      <c r="N1426" t="str">
        <f t="shared" si="68"/>
        <v>Regular</v>
      </c>
    </row>
    <row r="1427" spans="1:14" x14ac:dyDescent="0.35">
      <c r="A1427">
        <v>1426</v>
      </c>
      <c r="B1427">
        <v>61</v>
      </c>
      <c r="C1427" t="str">
        <f t="shared" si="66"/>
        <v>Senior</v>
      </c>
      <c r="D1427" t="s">
        <v>11</v>
      </c>
      <c r="E1427" t="s">
        <v>22</v>
      </c>
      <c r="F1427" t="s">
        <v>52</v>
      </c>
      <c r="G1427">
        <v>74.16</v>
      </c>
      <c r="H1427" t="s">
        <v>31</v>
      </c>
      <c r="I1427" t="s">
        <v>37</v>
      </c>
      <c r="J1427">
        <v>4.8</v>
      </c>
      <c r="K1427">
        <v>18</v>
      </c>
      <c r="L1427">
        <f t="shared" si="67"/>
        <v>60.811199999999999</v>
      </c>
      <c r="M1427">
        <v>4</v>
      </c>
      <c r="N1427" t="str">
        <f t="shared" si="68"/>
        <v>Regular</v>
      </c>
    </row>
    <row r="1428" spans="1:14" x14ac:dyDescent="0.35">
      <c r="A1428">
        <v>1427</v>
      </c>
      <c r="B1428">
        <v>67</v>
      </c>
      <c r="C1428" t="str">
        <f t="shared" si="66"/>
        <v>Senior</v>
      </c>
      <c r="D1428" t="s">
        <v>16</v>
      </c>
      <c r="E1428" t="s">
        <v>20</v>
      </c>
      <c r="F1428" t="s">
        <v>39</v>
      </c>
      <c r="G1428">
        <v>238.74</v>
      </c>
      <c r="H1428" t="s">
        <v>24</v>
      </c>
      <c r="I1428" t="s">
        <v>15</v>
      </c>
      <c r="J1428">
        <v>3.4</v>
      </c>
      <c r="K1428">
        <v>26</v>
      </c>
      <c r="L1428">
        <f t="shared" si="67"/>
        <v>176.66759999999999</v>
      </c>
      <c r="M1428">
        <v>8</v>
      </c>
      <c r="N1428" t="str">
        <f t="shared" si="68"/>
        <v>Loyal</v>
      </c>
    </row>
    <row r="1429" spans="1:14" x14ac:dyDescent="0.35">
      <c r="A1429">
        <v>1428</v>
      </c>
      <c r="B1429">
        <v>28</v>
      </c>
      <c r="C1429" t="str">
        <f t="shared" si="66"/>
        <v>Youth</v>
      </c>
      <c r="D1429" t="s">
        <v>16</v>
      </c>
      <c r="E1429" t="s">
        <v>17</v>
      </c>
      <c r="F1429" t="s">
        <v>48</v>
      </c>
      <c r="G1429">
        <v>30.21</v>
      </c>
      <c r="H1429" t="s">
        <v>24</v>
      </c>
      <c r="I1429" t="s">
        <v>15</v>
      </c>
      <c r="J1429">
        <v>3.7</v>
      </c>
      <c r="K1429">
        <v>14</v>
      </c>
      <c r="L1429">
        <f t="shared" si="67"/>
        <v>25.980599999999999</v>
      </c>
      <c r="M1429">
        <v>2</v>
      </c>
      <c r="N1429" t="str">
        <f t="shared" si="68"/>
        <v>New</v>
      </c>
    </row>
    <row r="1430" spans="1:14" x14ac:dyDescent="0.35">
      <c r="A1430">
        <v>1429</v>
      </c>
      <c r="B1430">
        <v>20</v>
      </c>
      <c r="C1430" t="str">
        <f t="shared" si="66"/>
        <v>Youth</v>
      </c>
      <c r="D1430" t="s">
        <v>11</v>
      </c>
      <c r="E1430" t="s">
        <v>33</v>
      </c>
      <c r="F1430" t="s">
        <v>34</v>
      </c>
      <c r="G1430">
        <v>200.62</v>
      </c>
      <c r="H1430" t="s">
        <v>14</v>
      </c>
      <c r="I1430" t="s">
        <v>15</v>
      </c>
      <c r="J1430">
        <v>4.5999999999999996</v>
      </c>
      <c r="K1430">
        <v>12</v>
      </c>
      <c r="L1430">
        <f t="shared" si="67"/>
        <v>176.54560000000001</v>
      </c>
      <c r="M1430">
        <v>6</v>
      </c>
      <c r="N1430" t="str">
        <f t="shared" si="68"/>
        <v>Regular</v>
      </c>
    </row>
    <row r="1431" spans="1:14" x14ac:dyDescent="0.35">
      <c r="A1431">
        <v>1430</v>
      </c>
      <c r="B1431">
        <v>25</v>
      </c>
      <c r="C1431" t="str">
        <f t="shared" si="66"/>
        <v>Youth</v>
      </c>
      <c r="D1431" t="s">
        <v>16</v>
      </c>
      <c r="E1431" t="s">
        <v>20</v>
      </c>
      <c r="F1431" t="s">
        <v>39</v>
      </c>
      <c r="G1431">
        <v>238.55</v>
      </c>
      <c r="H1431" t="s">
        <v>19</v>
      </c>
      <c r="I1431" t="s">
        <v>15</v>
      </c>
      <c r="J1431">
        <v>4</v>
      </c>
      <c r="K1431">
        <v>12</v>
      </c>
      <c r="L1431">
        <f t="shared" si="67"/>
        <v>209.92400000000001</v>
      </c>
      <c r="M1431">
        <v>6</v>
      </c>
      <c r="N1431" t="str">
        <f t="shared" si="68"/>
        <v>Regular</v>
      </c>
    </row>
    <row r="1432" spans="1:14" x14ac:dyDescent="0.35">
      <c r="A1432">
        <v>1431</v>
      </c>
      <c r="B1432">
        <v>28</v>
      </c>
      <c r="C1432" t="str">
        <f t="shared" si="66"/>
        <v>Youth</v>
      </c>
      <c r="D1432" t="s">
        <v>11</v>
      </c>
      <c r="E1432" t="s">
        <v>41</v>
      </c>
      <c r="F1432" t="s">
        <v>46</v>
      </c>
      <c r="G1432">
        <v>159.04</v>
      </c>
      <c r="H1432" t="s">
        <v>19</v>
      </c>
      <c r="I1432" t="s">
        <v>15</v>
      </c>
      <c r="J1432">
        <v>4.8</v>
      </c>
      <c r="K1432">
        <v>26</v>
      </c>
      <c r="L1432">
        <f t="shared" si="67"/>
        <v>117.6896</v>
      </c>
      <c r="M1432">
        <v>8</v>
      </c>
      <c r="N1432" t="str">
        <f t="shared" si="68"/>
        <v>Loyal</v>
      </c>
    </row>
    <row r="1433" spans="1:14" x14ac:dyDescent="0.35">
      <c r="A1433">
        <v>1432</v>
      </c>
      <c r="B1433">
        <v>21</v>
      </c>
      <c r="C1433" t="str">
        <f t="shared" si="66"/>
        <v>Youth</v>
      </c>
      <c r="D1433" t="s">
        <v>16</v>
      </c>
      <c r="E1433" t="s">
        <v>25</v>
      </c>
      <c r="F1433" t="s">
        <v>47</v>
      </c>
      <c r="G1433">
        <v>63.05</v>
      </c>
      <c r="H1433" t="s">
        <v>14</v>
      </c>
      <c r="I1433" t="s">
        <v>37</v>
      </c>
      <c r="J1433">
        <v>4.3</v>
      </c>
      <c r="K1433">
        <v>21</v>
      </c>
      <c r="L1433">
        <f t="shared" si="67"/>
        <v>49.8095</v>
      </c>
      <c r="M1433">
        <v>8</v>
      </c>
      <c r="N1433" t="str">
        <f t="shared" si="68"/>
        <v>Loyal</v>
      </c>
    </row>
    <row r="1434" spans="1:14" x14ac:dyDescent="0.35">
      <c r="A1434">
        <v>1433</v>
      </c>
      <c r="B1434">
        <v>35</v>
      </c>
      <c r="C1434" t="str">
        <f t="shared" si="66"/>
        <v>Adult</v>
      </c>
      <c r="D1434" t="s">
        <v>16</v>
      </c>
      <c r="E1434" t="s">
        <v>27</v>
      </c>
      <c r="F1434" t="s">
        <v>32</v>
      </c>
      <c r="G1434">
        <v>2360.5</v>
      </c>
      <c r="H1434" t="s">
        <v>31</v>
      </c>
      <c r="I1434" t="s">
        <v>15</v>
      </c>
      <c r="J1434">
        <v>4.4000000000000004</v>
      </c>
      <c r="K1434">
        <v>12</v>
      </c>
      <c r="L1434">
        <f t="shared" si="67"/>
        <v>2077.2400000000002</v>
      </c>
      <c r="M1434">
        <v>6</v>
      </c>
      <c r="N1434" t="str">
        <f t="shared" si="68"/>
        <v>Regular</v>
      </c>
    </row>
    <row r="1435" spans="1:14" x14ac:dyDescent="0.35">
      <c r="A1435">
        <v>1434</v>
      </c>
      <c r="B1435">
        <v>23</v>
      </c>
      <c r="C1435" t="str">
        <f t="shared" si="66"/>
        <v>Youth</v>
      </c>
      <c r="D1435" t="s">
        <v>11</v>
      </c>
      <c r="E1435" t="s">
        <v>41</v>
      </c>
      <c r="F1435" t="s">
        <v>45</v>
      </c>
      <c r="G1435">
        <v>104.09</v>
      </c>
      <c r="H1435" t="s">
        <v>19</v>
      </c>
      <c r="I1435" t="s">
        <v>15</v>
      </c>
      <c r="J1435">
        <v>3.8</v>
      </c>
      <c r="K1435">
        <v>16</v>
      </c>
      <c r="L1435">
        <f t="shared" si="67"/>
        <v>87.435599999999994</v>
      </c>
      <c r="M1435">
        <v>8</v>
      </c>
      <c r="N1435" t="str">
        <f t="shared" si="68"/>
        <v>Loyal</v>
      </c>
    </row>
    <row r="1436" spans="1:14" x14ac:dyDescent="0.35">
      <c r="A1436">
        <v>1435</v>
      </c>
      <c r="B1436">
        <v>52</v>
      </c>
      <c r="C1436" t="str">
        <f t="shared" si="66"/>
        <v>Adult</v>
      </c>
      <c r="D1436" t="s">
        <v>11</v>
      </c>
      <c r="E1436" t="s">
        <v>20</v>
      </c>
      <c r="F1436" t="s">
        <v>21</v>
      </c>
      <c r="G1436">
        <v>245.46</v>
      </c>
      <c r="H1436" t="s">
        <v>19</v>
      </c>
      <c r="I1436" t="s">
        <v>15</v>
      </c>
      <c r="J1436">
        <v>5</v>
      </c>
      <c r="K1436">
        <v>19</v>
      </c>
      <c r="L1436">
        <f t="shared" si="67"/>
        <v>198.82260000000002</v>
      </c>
      <c r="M1436">
        <v>7</v>
      </c>
      <c r="N1436" t="str">
        <f t="shared" si="68"/>
        <v>Regular</v>
      </c>
    </row>
    <row r="1437" spans="1:14" x14ac:dyDescent="0.35">
      <c r="A1437">
        <v>1436</v>
      </c>
      <c r="B1437">
        <v>68</v>
      </c>
      <c r="C1437" t="str">
        <f t="shared" si="66"/>
        <v>Senior</v>
      </c>
      <c r="D1437" t="s">
        <v>16</v>
      </c>
      <c r="E1437" t="s">
        <v>17</v>
      </c>
      <c r="F1437" t="s">
        <v>42</v>
      </c>
      <c r="G1437">
        <v>175.43</v>
      </c>
      <c r="H1437" t="s">
        <v>31</v>
      </c>
      <c r="I1437" t="s">
        <v>15</v>
      </c>
      <c r="J1437">
        <v>3.7</v>
      </c>
      <c r="K1437">
        <v>10</v>
      </c>
      <c r="L1437">
        <f t="shared" si="67"/>
        <v>157.887</v>
      </c>
      <c r="M1437">
        <v>5</v>
      </c>
      <c r="N1437" t="str">
        <f t="shared" si="68"/>
        <v>Regular</v>
      </c>
    </row>
    <row r="1438" spans="1:14" x14ac:dyDescent="0.35">
      <c r="A1438">
        <v>1437</v>
      </c>
      <c r="B1438">
        <v>55</v>
      </c>
      <c r="C1438" t="str">
        <f t="shared" si="66"/>
        <v>Adult</v>
      </c>
      <c r="D1438" t="s">
        <v>11</v>
      </c>
      <c r="E1438" t="s">
        <v>12</v>
      </c>
      <c r="F1438" t="s">
        <v>50</v>
      </c>
      <c r="G1438">
        <v>169.49</v>
      </c>
      <c r="H1438" t="s">
        <v>24</v>
      </c>
      <c r="I1438" t="s">
        <v>15</v>
      </c>
      <c r="J1438">
        <v>3.6</v>
      </c>
      <c r="K1438">
        <v>18</v>
      </c>
      <c r="L1438">
        <f t="shared" si="67"/>
        <v>138.98180000000002</v>
      </c>
      <c r="M1438">
        <v>4</v>
      </c>
      <c r="N1438" t="str">
        <f t="shared" si="68"/>
        <v>Regular</v>
      </c>
    </row>
    <row r="1439" spans="1:14" x14ac:dyDescent="0.35">
      <c r="A1439">
        <v>1438</v>
      </c>
      <c r="B1439">
        <v>59</v>
      </c>
      <c r="C1439" t="str">
        <f t="shared" si="66"/>
        <v>Adult</v>
      </c>
      <c r="D1439" t="s">
        <v>11</v>
      </c>
      <c r="E1439" t="s">
        <v>29</v>
      </c>
      <c r="F1439" t="s">
        <v>55</v>
      </c>
      <c r="G1439">
        <v>101.48</v>
      </c>
      <c r="H1439" t="s">
        <v>24</v>
      </c>
      <c r="I1439" t="s">
        <v>15</v>
      </c>
      <c r="J1439">
        <v>4.3</v>
      </c>
      <c r="K1439">
        <v>4</v>
      </c>
      <c r="L1439">
        <f t="shared" si="67"/>
        <v>97.4208</v>
      </c>
      <c r="M1439">
        <v>2</v>
      </c>
      <c r="N1439" t="str">
        <f t="shared" si="68"/>
        <v>New</v>
      </c>
    </row>
    <row r="1440" spans="1:14" x14ac:dyDescent="0.35">
      <c r="A1440">
        <v>1439</v>
      </c>
      <c r="B1440">
        <v>22</v>
      </c>
      <c r="C1440" t="str">
        <f t="shared" si="66"/>
        <v>Youth</v>
      </c>
      <c r="D1440" t="s">
        <v>16</v>
      </c>
      <c r="E1440" t="s">
        <v>27</v>
      </c>
      <c r="F1440" t="s">
        <v>49</v>
      </c>
      <c r="G1440">
        <v>2140.58</v>
      </c>
      <c r="H1440" t="s">
        <v>24</v>
      </c>
      <c r="I1440" t="s">
        <v>15</v>
      </c>
      <c r="J1440">
        <v>3.5</v>
      </c>
      <c r="K1440">
        <v>18</v>
      </c>
      <c r="L1440">
        <f t="shared" si="67"/>
        <v>1755.2756000000002</v>
      </c>
      <c r="M1440">
        <v>4</v>
      </c>
      <c r="N1440" t="str">
        <f t="shared" si="68"/>
        <v>Regular</v>
      </c>
    </row>
    <row r="1441" spans="1:14" x14ac:dyDescent="0.35">
      <c r="A1441">
        <v>1440</v>
      </c>
      <c r="B1441">
        <v>47</v>
      </c>
      <c r="C1441" t="str">
        <f t="shared" si="66"/>
        <v>Adult</v>
      </c>
      <c r="D1441" t="s">
        <v>16</v>
      </c>
      <c r="E1441" t="s">
        <v>20</v>
      </c>
      <c r="F1441" t="s">
        <v>21</v>
      </c>
      <c r="G1441">
        <v>203.57</v>
      </c>
      <c r="H1441" t="s">
        <v>14</v>
      </c>
      <c r="I1441" t="s">
        <v>15</v>
      </c>
      <c r="J1441">
        <v>3.7</v>
      </c>
      <c r="K1441">
        <v>16</v>
      </c>
      <c r="L1441">
        <f t="shared" si="67"/>
        <v>170.99879999999999</v>
      </c>
      <c r="M1441">
        <v>3</v>
      </c>
      <c r="N1441" t="str">
        <f t="shared" si="68"/>
        <v>New</v>
      </c>
    </row>
    <row r="1442" spans="1:14" x14ac:dyDescent="0.35">
      <c r="A1442">
        <v>1441</v>
      </c>
      <c r="B1442">
        <v>40</v>
      </c>
      <c r="C1442" t="str">
        <f t="shared" si="66"/>
        <v>Adult</v>
      </c>
      <c r="D1442" t="s">
        <v>11</v>
      </c>
      <c r="E1442" t="s">
        <v>41</v>
      </c>
      <c r="F1442" t="s">
        <v>45</v>
      </c>
      <c r="G1442">
        <v>139.26</v>
      </c>
      <c r="H1442" t="s">
        <v>19</v>
      </c>
      <c r="I1442" t="s">
        <v>15</v>
      </c>
      <c r="J1442">
        <v>3.3</v>
      </c>
      <c r="K1442">
        <v>24</v>
      </c>
      <c r="L1442">
        <f t="shared" si="67"/>
        <v>105.83759999999999</v>
      </c>
      <c r="M1442">
        <v>7</v>
      </c>
      <c r="N1442" t="str">
        <f t="shared" si="68"/>
        <v>Regular</v>
      </c>
    </row>
    <row r="1443" spans="1:14" x14ac:dyDescent="0.35">
      <c r="A1443">
        <v>1442</v>
      </c>
      <c r="B1443">
        <v>67</v>
      </c>
      <c r="C1443" t="str">
        <f t="shared" si="66"/>
        <v>Senior</v>
      </c>
      <c r="D1443" t="s">
        <v>11</v>
      </c>
      <c r="E1443" t="s">
        <v>41</v>
      </c>
      <c r="F1443" t="s">
        <v>45</v>
      </c>
      <c r="G1443">
        <v>67.400000000000006</v>
      </c>
      <c r="H1443" t="s">
        <v>19</v>
      </c>
      <c r="I1443" t="s">
        <v>37</v>
      </c>
      <c r="J1443">
        <v>3.3</v>
      </c>
      <c r="K1443">
        <v>22</v>
      </c>
      <c r="L1443">
        <f t="shared" si="67"/>
        <v>52.572000000000003</v>
      </c>
      <c r="M1443">
        <v>6</v>
      </c>
      <c r="N1443" t="str">
        <f t="shared" si="68"/>
        <v>Regular</v>
      </c>
    </row>
    <row r="1444" spans="1:14" x14ac:dyDescent="0.35">
      <c r="A1444">
        <v>1443</v>
      </c>
      <c r="B1444">
        <v>34</v>
      </c>
      <c r="C1444" t="str">
        <f t="shared" si="66"/>
        <v>Adult</v>
      </c>
      <c r="D1444" t="s">
        <v>11</v>
      </c>
      <c r="E1444" t="s">
        <v>29</v>
      </c>
      <c r="F1444" t="s">
        <v>51</v>
      </c>
      <c r="G1444">
        <v>116.44</v>
      </c>
      <c r="H1444" t="s">
        <v>31</v>
      </c>
      <c r="I1444" t="s">
        <v>15</v>
      </c>
      <c r="J1444">
        <v>4</v>
      </c>
      <c r="K1444">
        <v>25</v>
      </c>
      <c r="L1444">
        <f t="shared" si="67"/>
        <v>87.33</v>
      </c>
      <c r="M1444">
        <v>10</v>
      </c>
      <c r="N1444" t="str">
        <f t="shared" si="68"/>
        <v>Loyal</v>
      </c>
    </row>
    <row r="1445" spans="1:14" x14ac:dyDescent="0.35">
      <c r="A1445">
        <v>1444</v>
      </c>
      <c r="B1445">
        <v>50</v>
      </c>
      <c r="C1445" t="str">
        <f t="shared" si="66"/>
        <v>Adult</v>
      </c>
      <c r="D1445" t="s">
        <v>16</v>
      </c>
      <c r="E1445" t="s">
        <v>20</v>
      </c>
      <c r="F1445" t="s">
        <v>36</v>
      </c>
      <c r="G1445">
        <v>184.94</v>
      </c>
      <c r="H1445" t="s">
        <v>31</v>
      </c>
      <c r="I1445" t="s">
        <v>15</v>
      </c>
      <c r="J1445">
        <v>2.5</v>
      </c>
      <c r="K1445">
        <v>8</v>
      </c>
      <c r="L1445">
        <f t="shared" si="67"/>
        <v>170.1448</v>
      </c>
      <c r="M1445">
        <v>4</v>
      </c>
      <c r="N1445" t="str">
        <f t="shared" si="68"/>
        <v>Regular</v>
      </c>
    </row>
    <row r="1446" spans="1:14" x14ac:dyDescent="0.35">
      <c r="A1446">
        <v>1445</v>
      </c>
      <c r="B1446">
        <v>70</v>
      </c>
      <c r="C1446" t="str">
        <f t="shared" si="66"/>
        <v>Senior</v>
      </c>
      <c r="D1446" t="s">
        <v>11</v>
      </c>
      <c r="E1446" t="s">
        <v>12</v>
      </c>
      <c r="F1446" t="s">
        <v>56</v>
      </c>
      <c r="G1446">
        <v>103.96</v>
      </c>
      <c r="H1446" t="s">
        <v>24</v>
      </c>
      <c r="I1446" t="s">
        <v>15</v>
      </c>
      <c r="J1446">
        <v>5</v>
      </c>
      <c r="K1446">
        <v>2</v>
      </c>
      <c r="L1446">
        <f t="shared" si="67"/>
        <v>101.88079999999999</v>
      </c>
      <c r="M1446">
        <v>1</v>
      </c>
      <c r="N1446" t="str">
        <f t="shared" si="68"/>
        <v>New</v>
      </c>
    </row>
    <row r="1447" spans="1:14" x14ac:dyDescent="0.35">
      <c r="A1447">
        <v>1446</v>
      </c>
      <c r="B1447">
        <v>49</v>
      </c>
      <c r="C1447" t="str">
        <f t="shared" si="66"/>
        <v>Adult</v>
      </c>
      <c r="D1447" t="s">
        <v>16</v>
      </c>
      <c r="E1447" t="s">
        <v>17</v>
      </c>
      <c r="F1447" t="s">
        <v>18</v>
      </c>
      <c r="G1447">
        <v>181.17</v>
      </c>
      <c r="H1447" t="s">
        <v>19</v>
      </c>
      <c r="I1447" t="s">
        <v>15</v>
      </c>
      <c r="J1447">
        <v>4.4000000000000004</v>
      </c>
      <c r="K1447">
        <v>18</v>
      </c>
      <c r="L1447">
        <f t="shared" si="67"/>
        <v>148.55940000000001</v>
      </c>
      <c r="M1447">
        <v>4</v>
      </c>
      <c r="N1447" t="str">
        <f t="shared" si="68"/>
        <v>Regular</v>
      </c>
    </row>
    <row r="1448" spans="1:14" x14ac:dyDescent="0.35">
      <c r="A1448">
        <v>1447</v>
      </c>
      <c r="B1448">
        <v>30</v>
      </c>
      <c r="C1448" t="str">
        <f t="shared" si="66"/>
        <v>Youth</v>
      </c>
      <c r="D1448" t="s">
        <v>11</v>
      </c>
      <c r="E1448" t="s">
        <v>29</v>
      </c>
      <c r="F1448" t="s">
        <v>55</v>
      </c>
      <c r="G1448">
        <v>68.95</v>
      </c>
      <c r="H1448" t="s">
        <v>31</v>
      </c>
      <c r="I1448" t="s">
        <v>15</v>
      </c>
      <c r="J1448">
        <v>4.4000000000000004</v>
      </c>
      <c r="K1448">
        <v>22</v>
      </c>
      <c r="L1448">
        <f t="shared" si="67"/>
        <v>53.781000000000006</v>
      </c>
      <c r="M1448">
        <v>6</v>
      </c>
      <c r="N1448" t="str">
        <f t="shared" si="68"/>
        <v>Regular</v>
      </c>
    </row>
    <row r="1449" spans="1:14" x14ac:dyDescent="0.35">
      <c r="A1449">
        <v>1448</v>
      </c>
      <c r="B1449">
        <v>66</v>
      </c>
      <c r="C1449" t="str">
        <f t="shared" si="66"/>
        <v>Senior</v>
      </c>
      <c r="D1449" t="s">
        <v>16</v>
      </c>
      <c r="E1449" t="s">
        <v>33</v>
      </c>
      <c r="F1449" t="s">
        <v>40</v>
      </c>
      <c r="G1449">
        <v>111.46</v>
      </c>
      <c r="H1449" t="s">
        <v>14</v>
      </c>
      <c r="I1449" t="s">
        <v>15</v>
      </c>
      <c r="J1449">
        <v>2.2999999999999998</v>
      </c>
      <c r="K1449">
        <v>10</v>
      </c>
      <c r="L1449">
        <f t="shared" si="67"/>
        <v>100.31399999999999</v>
      </c>
      <c r="M1449">
        <v>0</v>
      </c>
      <c r="N1449" t="str">
        <f t="shared" si="68"/>
        <v>New</v>
      </c>
    </row>
    <row r="1450" spans="1:14" x14ac:dyDescent="0.35">
      <c r="A1450">
        <v>1449</v>
      </c>
      <c r="B1450">
        <v>46</v>
      </c>
      <c r="C1450" t="str">
        <f t="shared" si="66"/>
        <v>Adult</v>
      </c>
      <c r="D1450" t="s">
        <v>11</v>
      </c>
      <c r="E1450" t="s">
        <v>41</v>
      </c>
      <c r="F1450" t="s">
        <v>45</v>
      </c>
      <c r="G1450">
        <v>145.36000000000001</v>
      </c>
      <c r="H1450" t="s">
        <v>31</v>
      </c>
      <c r="I1450" t="s">
        <v>15</v>
      </c>
      <c r="J1450">
        <v>4.3</v>
      </c>
      <c r="K1450">
        <v>22</v>
      </c>
      <c r="L1450">
        <f t="shared" si="67"/>
        <v>113.38080000000001</v>
      </c>
      <c r="M1450">
        <v>6</v>
      </c>
      <c r="N1450" t="str">
        <f t="shared" si="68"/>
        <v>Regular</v>
      </c>
    </row>
    <row r="1451" spans="1:14" x14ac:dyDescent="0.35">
      <c r="A1451">
        <v>1450</v>
      </c>
      <c r="B1451">
        <v>40</v>
      </c>
      <c r="C1451" t="str">
        <f t="shared" si="66"/>
        <v>Adult</v>
      </c>
      <c r="D1451" t="s">
        <v>11</v>
      </c>
      <c r="E1451" t="s">
        <v>29</v>
      </c>
      <c r="F1451" t="s">
        <v>30</v>
      </c>
      <c r="G1451">
        <v>46.27</v>
      </c>
      <c r="H1451" t="s">
        <v>19</v>
      </c>
      <c r="I1451" t="s">
        <v>15</v>
      </c>
      <c r="J1451">
        <v>4.5</v>
      </c>
      <c r="K1451">
        <v>18</v>
      </c>
      <c r="L1451">
        <f t="shared" si="67"/>
        <v>37.941400000000009</v>
      </c>
      <c r="M1451">
        <v>4</v>
      </c>
      <c r="N1451" t="str">
        <f t="shared" si="68"/>
        <v>Regular</v>
      </c>
    </row>
    <row r="1452" spans="1:14" x14ac:dyDescent="0.35">
      <c r="A1452">
        <v>1451</v>
      </c>
      <c r="B1452">
        <v>38</v>
      </c>
      <c r="C1452" t="str">
        <f t="shared" si="66"/>
        <v>Adult</v>
      </c>
      <c r="D1452" t="s">
        <v>16</v>
      </c>
      <c r="E1452" t="s">
        <v>17</v>
      </c>
      <c r="F1452" t="s">
        <v>18</v>
      </c>
      <c r="G1452">
        <v>57.51</v>
      </c>
      <c r="H1452" t="s">
        <v>24</v>
      </c>
      <c r="I1452" t="s">
        <v>37</v>
      </c>
      <c r="J1452">
        <v>3.9</v>
      </c>
      <c r="K1452">
        <v>9</v>
      </c>
      <c r="L1452">
        <f t="shared" si="67"/>
        <v>52.334099999999999</v>
      </c>
      <c r="M1452">
        <v>2</v>
      </c>
      <c r="N1452" t="str">
        <f t="shared" si="68"/>
        <v>New</v>
      </c>
    </row>
    <row r="1453" spans="1:14" x14ac:dyDescent="0.35">
      <c r="A1453">
        <v>1452</v>
      </c>
      <c r="B1453">
        <v>55</v>
      </c>
      <c r="C1453" t="str">
        <f t="shared" si="66"/>
        <v>Adult</v>
      </c>
      <c r="D1453" t="s">
        <v>11</v>
      </c>
      <c r="E1453" t="s">
        <v>41</v>
      </c>
      <c r="F1453" t="s">
        <v>42</v>
      </c>
      <c r="G1453">
        <v>138.96</v>
      </c>
      <c r="H1453" t="s">
        <v>14</v>
      </c>
      <c r="I1453" t="s">
        <v>15</v>
      </c>
      <c r="J1453">
        <v>4.7</v>
      </c>
      <c r="K1453">
        <v>25</v>
      </c>
      <c r="L1453">
        <f t="shared" si="67"/>
        <v>104.22</v>
      </c>
      <c r="M1453">
        <v>10</v>
      </c>
      <c r="N1453" t="str">
        <f t="shared" si="68"/>
        <v>Loyal</v>
      </c>
    </row>
    <row r="1454" spans="1:14" x14ac:dyDescent="0.35">
      <c r="A1454">
        <v>1453</v>
      </c>
      <c r="B1454">
        <v>63</v>
      </c>
      <c r="C1454" t="str">
        <f t="shared" si="66"/>
        <v>Senior</v>
      </c>
      <c r="D1454" t="s">
        <v>16</v>
      </c>
      <c r="E1454" t="s">
        <v>17</v>
      </c>
      <c r="F1454" t="s">
        <v>35</v>
      </c>
      <c r="G1454">
        <v>47.65</v>
      </c>
      <c r="H1454" t="s">
        <v>24</v>
      </c>
      <c r="I1454" t="s">
        <v>15</v>
      </c>
      <c r="J1454">
        <v>4.4000000000000004</v>
      </c>
      <c r="K1454">
        <v>19</v>
      </c>
      <c r="L1454">
        <f t="shared" si="67"/>
        <v>38.596499999999999</v>
      </c>
      <c r="M1454">
        <v>7</v>
      </c>
      <c r="N1454" t="str">
        <f t="shared" si="68"/>
        <v>Regular</v>
      </c>
    </row>
    <row r="1455" spans="1:14" x14ac:dyDescent="0.35">
      <c r="A1455">
        <v>1454</v>
      </c>
      <c r="B1455">
        <v>44</v>
      </c>
      <c r="C1455" t="str">
        <f t="shared" si="66"/>
        <v>Adult</v>
      </c>
      <c r="D1455" t="s">
        <v>11</v>
      </c>
      <c r="E1455" t="s">
        <v>12</v>
      </c>
      <c r="F1455" t="s">
        <v>13</v>
      </c>
      <c r="G1455">
        <v>154.97999999999999</v>
      </c>
      <c r="H1455" t="s">
        <v>19</v>
      </c>
      <c r="I1455" t="s">
        <v>15</v>
      </c>
      <c r="J1455">
        <v>3.8</v>
      </c>
      <c r="K1455">
        <v>26</v>
      </c>
      <c r="L1455">
        <f t="shared" si="67"/>
        <v>114.68519999999999</v>
      </c>
      <c r="M1455">
        <v>8</v>
      </c>
      <c r="N1455" t="str">
        <f t="shared" si="68"/>
        <v>Loyal</v>
      </c>
    </row>
    <row r="1456" spans="1:14" x14ac:dyDescent="0.35">
      <c r="A1456">
        <v>1455</v>
      </c>
      <c r="B1456">
        <v>58</v>
      </c>
      <c r="C1456" t="str">
        <f t="shared" si="66"/>
        <v>Adult</v>
      </c>
      <c r="D1456" t="s">
        <v>16</v>
      </c>
      <c r="E1456" t="s">
        <v>25</v>
      </c>
      <c r="F1456" t="s">
        <v>26</v>
      </c>
      <c r="G1456">
        <v>60.75</v>
      </c>
      <c r="H1456" t="s">
        <v>14</v>
      </c>
      <c r="I1456" t="s">
        <v>37</v>
      </c>
      <c r="J1456">
        <v>4.5</v>
      </c>
      <c r="K1456">
        <v>25</v>
      </c>
      <c r="L1456">
        <f t="shared" si="67"/>
        <v>45.5625</v>
      </c>
      <c r="M1456">
        <v>10</v>
      </c>
      <c r="N1456" t="str">
        <f t="shared" si="68"/>
        <v>Loyal</v>
      </c>
    </row>
    <row r="1457" spans="1:14" x14ac:dyDescent="0.35">
      <c r="A1457">
        <v>1456</v>
      </c>
      <c r="B1457">
        <v>51</v>
      </c>
      <c r="C1457" t="str">
        <f t="shared" si="66"/>
        <v>Adult</v>
      </c>
      <c r="D1457" t="s">
        <v>11</v>
      </c>
      <c r="E1457" t="s">
        <v>41</v>
      </c>
      <c r="F1457" t="s">
        <v>44</v>
      </c>
      <c r="G1457">
        <v>102.64</v>
      </c>
      <c r="H1457" t="s">
        <v>19</v>
      </c>
      <c r="I1457" t="s">
        <v>15</v>
      </c>
      <c r="J1457">
        <v>3.9</v>
      </c>
      <c r="K1457">
        <v>10</v>
      </c>
      <c r="L1457">
        <f t="shared" si="67"/>
        <v>92.376000000000005</v>
      </c>
      <c r="M1457">
        <v>5</v>
      </c>
      <c r="N1457" t="str">
        <f t="shared" si="68"/>
        <v>Regular</v>
      </c>
    </row>
    <row r="1458" spans="1:14" x14ac:dyDescent="0.35">
      <c r="A1458">
        <v>1457</v>
      </c>
      <c r="B1458">
        <v>21</v>
      </c>
      <c r="C1458" t="str">
        <f t="shared" si="66"/>
        <v>Youth</v>
      </c>
      <c r="D1458" t="s">
        <v>11</v>
      </c>
      <c r="E1458" t="s">
        <v>12</v>
      </c>
      <c r="F1458" t="s">
        <v>56</v>
      </c>
      <c r="G1458">
        <v>98.79</v>
      </c>
      <c r="H1458" t="s">
        <v>14</v>
      </c>
      <c r="I1458" t="s">
        <v>15</v>
      </c>
      <c r="J1458">
        <v>3.3</v>
      </c>
      <c r="K1458">
        <v>4</v>
      </c>
      <c r="L1458">
        <f t="shared" si="67"/>
        <v>94.838400000000007</v>
      </c>
      <c r="M1458">
        <v>2</v>
      </c>
      <c r="N1458" t="str">
        <f t="shared" si="68"/>
        <v>New</v>
      </c>
    </row>
    <row r="1459" spans="1:14" x14ac:dyDescent="0.35">
      <c r="A1459">
        <v>1458</v>
      </c>
      <c r="B1459">
        <v>33</v>
      </c>
      <c r="C1459" t="str">
        <f t="shared" si="66"/>
        <v>Adult</v>
      </c>
      <c r="D1459" t="s">
        <v>16</v>
      </c>
      <c r="E1459" t="s">
        <v>27</v>
      </c>
      <c r="F1459" t="s">
        <v>49</v>
      </c>
      <c r="G1459">
        <v>2572.06</v>
      </c>
      <c r="H1459" t="s">
        <v>14</v>
      </c>
      <c r="I1459" t="s">
        <v>15</v>
      </c>
      <c r="J1459">
        <v>2.7</v>
      </c>
      <c r="K1459">
        <v>21</v>
      </c>
      <c r="L1459">
        <f t="shared" si="67"/>
        <v>2031.9274</v>
      </c>
      <c r="M1459">
        <v>8</v>
      </c>
      <c r="N1459" t="str">
        <f t="shared" si="68"/>
        <v>Loyal</v>
      </c>
    </row>
    <row r="1460" spans="1:14" x14ac:dyDescent="0.35">
      <c r="A1460">
        <v>1459</v>
      </c>
      <c r="B1460">
        <v>26</v>
      </c>
      <c r="C1460" t="str">
        <f t="shared" si="66"/>
        <v>Youth</v>
      </c>
      <c r="D1460" t="s">
        <v>11</v>
      </c>
      <c r="E1460" t="s">
        <v>33</v>
      </c>
      <c r="F1460" t="s">
        <v>38</v>
      </c>
      <c r="G1460">
        <v>240.32</v>
      </c>
      <c r="H1460" t="s">
        <v>14</v>
      </c>
      <c r="I1460" t="s">
        <v>15</v>
      </c>
      <c r="J1460">
        <v>4.2</v>
      </c>
      <c r="K1460">
        <v>18</v>
      </c>
      <c r="L1460">
        <f t="shared" si="67"/>
        <v>197.0624</v>
      </c>
      <c r="M1460">
        <v>9</v>
      </c>
      <c r="N1460" t="str">
        <f t="shared" si="68"/>
        <v>Loyal</v>
      </c>
    </row>
    <row r="1461" spans="1:14" x14ac:dyDescent="0.35">
      <c r="A1461">
        <v>1460</v>
      </c>
      <c r="B1461">
        <v>30</v>
      </c>
      <c r="C1461" t="str">
        <f t="shared" si="66"/>
        <v>Youth</v>
      </c>
      <c r="D1461" t="s">
        <v>11</v>
      </c>
      <c r="E1461" t="s">
        <v>20</v>
      </c>
      <c r="F1461" t="s">
        <v>36</v>
      </c>
      <c r="G1461">
        <v>238.27</v>
      </c>
      <c r="H1461" t="s">
        <v>31</v>
      </c>
      <c r="I1461" t="s">
        <v>15</v>
      </c>
      <c r="J1461">
        <v>2.7</v>
      </c>
      <c r="K1461">
        <v>13</v>
      </c>
      <c r="L1461">
        <f t="shared" si="67"/>
        <v>207.29490000000001</v>
      </c>
      <c r="M1461">
        <v>4</v>
      </c>
      <c r="N1461" t="str">
        <f t="shared" si="68"/>
        <v>Regular</v>
      </c>
    </row>
    <row r="1462" spans="1:14" x14ac:dyDescent="0.35">
      <c r="A1462">
        <v>1461</v>
      </c>
      <c r="B1462">
        <v>23</v>
      </c>
      <c r="C1462" t="str">
        <f t="shared" si="66"/>
        <v>Youth</v>
      </c>
      <c r="D1462" t="s">
        <v>11</v>
      </c>
      <c r="E1462" t="s">
        <v>20</v>
      </c>
      <c r="F1462" t="s">
        <v>36</v>
      </c>
      <c r="G1462">
        <v>115.62</v>
      </c>
      <c r="H1462" t="s">
        <v>19</v>
      </c>
      <c r="I1462" t="s">
        <v>15</v>
      </c>
      <c r="J1462">
        <v>5</v>
      </c>
      <c r="K1462">
        <v>13</v>
      </c>
      <c r="L1462">
        <f t="shared" si="67"/>
        <v>100.5894</v>
      </c>
      <c r="M1462">
        <v>4</v>
      </c>
      <c r="N1462" t="str">
        <f t="shared" si="68"/>
        <v>Regular</v>
      </c>
    </row>
    <row r="1463" spans="1:14" x14ac:dyDescent="0.35">
      <c r="A1463">
        <v>1462</v>
      </c>
      <c r="B1463">
        <v>26</v>
      </c>
      <c r="C1463" t="str">
        <f t="shared" si="66"/>
        <v>Youth</v>
      </c>
      <c r="D1463" t="s">
        <v>11</v>
      </c>
      <c r="E1463" t="s">
        <v>41</v>
      </c>
      <c r="F1463" t="s">
        <v>45</v>
      </c>
      <c r="G1463">
        <v>73.14</v>
      </c>
      <c r="H1463" t="s">
        <v>19</v>
      </c>
      <c r="I1463" t="s">
        <v>15</v>
      </c>
      <c r="J1463">
        <v>2.9</v>
      </c>
      <c r="K1463">
        <v>11</v>
      </c>
      <c r="L1463">
        <f t="shared" si="67"/>
        <v>65.0946</v>
      </c>
      <c r="M1463">
        <v>3</v>
      </c>
      <c r="N1463" t="str">
        <f t="shared" si="68"/>
        <v>New</v>
      </c>
    </row>
    <row r="1464" spans="1:14" x14ac:dyDescent="0.35">
      <c r="A1464">
        <v>1463</v>
      </c>
      <c r="B1464">
        <v>68</v>
      </c>
      <c r="C1464" t="str">
        <f t="shared" si="66"/>
        <v>Senior</v>
      </c>
      <c r="D1464" t="s">
        <v>16</v>
      </c>
      <c r="E1464" t="s">
        <v>33</v>
      </c>
      <c r="F1464" t="s">
        <v>34</v>
      </c>
      <c r="G1464">
        <v>161.34</v>
      </c>
      <c r="H1464" t="s">
        <v>19</v>
      </c>
      <c r="I1464" t="s">
        <v>15</v>
      </c>
      <c r="J1464">
        <v>4.0999999999999996</v>
      </c>
      <c r="K1464">
        <v>10</v>
      </c>
      <c r="L1464">
        <f t="shared" si="67"/>
        <v>145.20600000000002</v>
      </c>
      <c r="M1464">
        <v>5</v>
      </c>
      <c r="N1464" t="str">
        <f t="shared" si="68"/>
        <v>Regular</v>
      </c>
    </row>
    <row r="1465" spans="1:14" x14ac:dyDescent="0.35">
      <c r="A1465">
        <v>1464</v>
      </c>
      <c r="B1465">
        <v>64</v>
      </c>
      <c r="C1465" t="str">
        <f t="shared" si="66"/>
        <v>Senior</v>
      </c>
      <c r="D1465" t="s">
        <v>16</v>
      </c>
      <c r="E1465" t="s">
        <v>17</v>
      </c>
      <c r="F1465" t="s">
        <v>18</v>
      </c>
      <c r="G1465">
        <v>199.98</v>
      </c>
      <c r="H1465" t="s">
        <v>24</v>
      </c>
      <c r="I1465" t="s">
        <v>15</v>
      </c>
      <c r="J1465">
        <v>3.6</v>
      </c>
      <c r="K1465">
        <v>26</v>
      </c>
      <c r="L1465">
        <f t="shared" si="67"/>
        <v>147.98519999999999</v>
      </c>
      <c r="M1465">
        <v>8</v>
      </c>
      <c r="N1465" t="str">
        <f t="shared" si="68"/>
        <v>Loyal</v>
      </c>
    </row>
    <row r="1466" spans="1:14" x14ac:dyDescent="0.35">
      <c r="A1466">
        <v>1465</v>
      </c>
      <c r="B1466">
        <v>65</v>
      </c>
      <c r="C1466" t="str">
        <f t="shared" si="66"/>
        <v>Senior</v>
      </c>
      <c r="D1466" t="s">
        <v>11</v>
      </c>
      <c r="E1466" t="s">
        <v>12</v>
      </c>
      <c r="F1466" t="s">
        <v>50</v>
      </c>
      <c r="G1466">
        <v>138.32</v>
      </c>
      <c r="H1466" t="s">
        <v>31</v>
      </c>
      <c r="I1466" t="s">
        <v>15</v>
      </c>
      <c r="J1466">
        <v>4.9000000000000004</v>
      </c>
      <c r="K1466">
        <v>6</v>
      </c>
      <c r="L1466">
        <f t="shared" si="67"/>
        <v>130.02079999999998</v>
      </c>
      <c r="M1466">
        <v>3</v>
      </c>
      <c r="N1466" t="str">
        <f t="shared" si="68"/>
        <v>New</v>
      </c>
    </row>
    <row r="1467" spans="1:14" x14ac:dyDescent="0.35">
      <c r="A1467">
        <v>1466</v>
      </c>
      <c r="B1467">
        <v>68</v>
      </c>
      <c r="C1467" t="str">
        <f t="shared" si="66"/>
        <v>Senior</v>
      </c>
      <c r="D1467" t="s">
        <v>16</v>
      </c>
      <c r="E1467" t="s">
        <v>17</v>
      </c>
      <c r="F1467" t="s">
        <v>42</v>
      </c>
      <c r="G1467">
        <v>173.95</v>
      </c>
      <c r="H1467" t="s">
        <v>14</v>
      </c>
      <c r="I1467" t="s">
        <v>15</v>
      </c>
      <c r="J1467">
        <v>3.8</v>
      </c>
      <c r="K1467">
        <v>13</v>
      </c>
      <c r="L1467">
        <f t="shared" si="67"/>
        <v>151.3365</v>
      </c>
      <c r="M1467">
        <v>4</v>
      </c>
      <c r="N1467" t="str">
        <f t="shared" si="68"/>
        <v>Regular</v>
      </c>
    </row>
    <row r="1468" spans="1:14" x14ac:dyDescent="0.35">
      <c r="A1468">
        <v>1467</v>
      </c>
      <c r="B1468">
        <v>51</v>
      </c>
      <c r="C1468" t="str">
        <f t="shared" si="66"/>
        <v>Adult</v>
      </c>
      <c r="D1468" t="s">
        <v>16</v>
      </c>
      <c r="E1468" t="s">
        <v>20</v>
      </c>
      <c r="F1468" t="s">
        <v>39</v>
      </c>
      <c r="G1468">
        <v>155.72999999999999</v>
      </c>
      <c r="H1468" t="s">
        <v>31</v>
      </c>
      <c r="I1468" t="s">
        <v>15</v>
      </c>
      <c r="J1468">
        <v>4.5999999999999996</v>
      </c>
      <c r="K1468">
        <v>19</v>
      </c>
      <c r="L1468">
        <f t="shared" si="67"/>
        <v>126.1413</v>
      </c>
      <c r="M1468">
        <v>7</v>
      </c>
      <c r="N1468" t="str">
        <f t="shared" si="68"/>
        <v>Regular</v>
      </c>
    </row>
    <row r="1469" spans="1:14" x14ac:dyDescent="0.35">
      <c r="A1469">
        <v>1468</v>
      </c>
      <c r="B1469">
        <v>43</v>
      </c>
      <c r="C1469" t="str">
        <f t="shared" si="66"/>
        <v>Adult</v>
      </c>
      <c r="D1469" t="s">
        <v>16</v>
      </c>
      <c r="E1469" t="s">
        <v>27</v>
      </c>
      <c r="F1469" t="s">
        <v>32</v>
      </c>
      <c r="G1469">
        <v>1286.3599999999999</v>
      </c>
      <c r="H1469" t="s">
        <v>14</v>
      </c>
      <c r="I1469" t="s">
        <v>15</v>
      </c>
      <c r="J1469">
        <v>3.3</v>
      </c>
      <c r="K1469">
        <v>4</v>
      </c>
      <c r="L1469">
        <f t="shared" si="67"/>
        <v>1234.9055999999998</v>
      </c>
      <c r="M1469">
        <v>2</v>
      </c>
      <c r="N1469" t="str">
        <f t="shared" si="68"/>
        <v>New</v>
      </c>
    </row>
    <row r="1470" spans="1:14" x14ac:dyDescent="0.35">
      <c r="A1470">
        <v>1469</v>
      </c>
      <c r="B1470">
        <v>39</v>
      </c>
      <c r="C1470" t="str">
        <f t="shared" si="66"/>
        <v>Adult</v>
      </c>
      <c r="D1470" t="s">
        <v>16</v>
      </c>
      <c r="E1470" t="s">
        <v>33</v>
      </c>
      <c r="F1470" t="s">
        <v>38</v>
      </c>
      <c r="G1470">
        <v>178.64</v>
      </c>
      <c r="H1470" t="s">
        <v>31</v>
      </c>
      <c r="I1470" t="s">
        <v>15</v>
      </c>
      <c r="J1470">
        <v>3.8</v>
      </c>
      <c r="K1470">
        <v>20</v>
      </c>
      <c r="L1470">
        <f t="shared" si="67"/>
        <v>142.91200000000001</v>
      </c>
      <c r="M1470">
        <v>5</v>
      </c>
      <c r="N1470" t="str">
        <f t="shared" si="68"/>
        <v>Regular</v>
      </c>
    </row>
    <row r="1471" spans="1:14" x14ac:dyDescent="0.35">
      <c r="A1471">
        <v>1470</v>
      </c>
      <c r="B1471">
        <v>56</v>
      </c>
      <c r="C1471" t="str">
        <f t="shared" si="66"/>
        <v>Adult</v>
      </c>
      <c r="D1471" t="s">
        <v>11</v>
      </c>
      <c r="E1471" t="s">
        <v>29</v>
      </c>
      <c r="F1471" t="s">
        <v>55</v>
      </c>
      <c r="G1471">
        <v>48.87</v>
      </c>
      <c r="H1471" t="s">
        <v>24</v>
      </c>
      <c r="I1471" t="s">
        <v>15</v>
      </c>
      <c r="J1471">
        <v>3.9</v>
      </c>
      <c r="K1471">
        <v>16</v>
      </c>
      <c r="L1471">
        <f t="shared" si="67"/>
        <v>41.050799999999995</v>
      </c>
      <c r="M1471">
        <v>3</v>
      </c>
      <c r="N1471" t="str">
        <f t="shared" si="68"/>
        <v>New</v>
      </c>
    </row>
    <row r="1472" spans="1:14" x14ac:dyDescent="0.35">
      <c r="A1472">
        <v>1471</v>
      </c>
      <c r="B1472">
        <v>53</v>
      </c>
      <c r="C1472" t="str">
        <f t="shared" si="66"/>
        <v>Adult</v>
      </c>
      <c r="D1472" t="s">
        <v>11</v>
      </c>
      <c r="E1472" t="s">
        <v>12</v>
      </c>
      <c r="F1472" t="s">
        <v>56</v>
      </c>
      <c r="G1472">
        <v>56.39</v>
      </c>
      <c r="H1472" t="s">
        <v>14</v>
      </c>
      <c r="I1472" t="s">
        <v>15</v>
      </c>
      <c r="J1472">
        <v>3.1</v>
      </c>
      <c r="K1472">
        <v>18</v>
      </c>
      <c r="L1472">
        <f t="shared" si="67"/>
        <v>46.239800000000002</v>
      </c>
      <c r="M1472">
        <v>4</v>
      </c>
      <c r="N1472" t="str">
        <f t="shared" si="68"/>
        <v>Regular</v>
      </c>
    </row>
    <row r="1473" spans="1:14" x14ac:dyDescent="0.35">
      <c r="A1473">
        <v>1472</v>
      </c>
      <c r="B1473">
        <v>46</v>
      </c>
      <c r="C1473" t="str">
        <f t="shared" si="66"/>
        <v>Adult</v>
      </c>
      <c r="D1473" t="s">
        <v>16</v>
      </c>
      <c r="E1473" t="s">
        <v>25</v>
      </c>
      <c r="F1473" t="s">
        <v>54</v>
      </c>
      <c r="G1473">
        <v>53.3</v>
      </c>
      <c r="H1473" t="s">
        <v>14</v>
      </c>
      <c r="I1473" t="s">
        <v>15</v>
      </c>
      <c r="J1473">
        <v>2.9</v>
      </c>
      <c r="K1473">
        <v>13</v>
      </c>
      <c r="L1473">
        <f t="shared" si="67"/>
        <v>46.370999999999995</v>
      </c>
      <c r="M1473">
        <v>4</v>
      </c>
      <c r="N1473" t="str">
        <f t="shared" si="68"/>
        <v>Regular</v>
      </c>
    </row>
    <row r="1474" spans="1:14" x14ac:dyDescent="0.35">
      <c r="A1474">
        <v>1473</v>
      </c>
      <c r="B1474">
        <v>67</v>
      </c>
      <c r="C1474" t="str">
        <f t="shared" si="66"/>
        <v>Senior</v>
      </c>
      <c r="D1474" t="s">
        <v>16</v>
      </c>
      <c r="E1474" t="s">
        <v>17</v>
      </c>
      <c r="F1474" t="s">
        <v>35</v>
      </c>
      <c r="G1474">
        <v>62.98</v>
      </c>
      <c r="H1474" t="s">
        <v>31</v>
      </c>
      <c r="I1474" t="s">
        <v>37</v>
      </c>
      <c r="J1474">
        <v>4.2</v>
      </c>
      <c r="K1474">
        <v>6</v>
      </c>
      <c r="L1474">
        <f t="shared" si="67"/>
        <v>59.201199999999993</v>
      </c>
      <c r="M1474">
        <v>3</v>
      </c>
      <c r="N1474" t="str">
        <f t="shared" si="68"/>
        <v>New</v>
      </c>
    </row>
    <row r="1475" spans="1:14" x14ac:dyDescent="0.35">
      <c r="A1475">
        <v>1474</v>
      </c>
      <c r="B1475">
        <v>59</v>
      </c>
      <c r="C1475" t="str">
        <f t="shared" ref="C1475:C1538" si="69">IF(B1475&lt;=30,"Youth",IF(B1475&lt;=45,"Adult",IF(B1475&lt;=60,"Adult","Senior")))</f>
        <v>Adult</v>
      </c>
      <c r="D1475" t="s">
        <v>16</v>
      </c>
      <c r="E1475" t="s">
        <v>20</v>
      </c>
      <c r="F1475" t="s">
        <v>21</v>
      </c>
      <c r="G1475">
        <v>152.31</v>
      </c>
      <c r="H1475" t="s">
        <v>14</v>
      </c>
      <c r="I1475" t="s">
        <v>15</v>
      </c>
      <c r="J1475">
        <v>3.9</v>
      </c>
      <c r="K1475">
        <v>16</v>
      </c>
      <c r="L1475">
        <f t="shared" ref="L1475:L1538" si="70">G1475*(1-K1475/100)</f>
        <v>127.9404</v>
      </c>
      <c r="M1475">
        <v>3</v>
      </c>
      <c r="N1475" t="str">
        <f t="shared" ref="N1475:N1538" si="71">IF(M1475&lt;=3,"New",IF(M1475&lt;=7,"Regular","Loyal"))</f>
        <v>New</v>
      </c>
    </row>
    <row r="1476" spans="1:14" x14ac:dyDescent="0.35">
      <c r="A1476">
        <v>1475</v>
      </c>
      <c r="B1476">
        <v>51</v>
      </c>
      <c r="C1476" t="str">
        <f t="shared" si="69"/>
        <v>Adult</v>
      </c>
      <c r="D1476" t="s">
        <v>11</v>
      </c>
      <c r="E1476" t="s">
        <v>29</v>
      </c>
      <c r="F1476" t="s">
        <v>55</v>
      </c>
      <c r="G1476">
        <v>46.25</v>
      </c>
      <c r="H1476" t="s">
        <v>24</v>
      </c>
      <c r="I1476" t="s">
        <v>15</v>
      </c>
      <c r="J1476">
        <v>3.9</v>
      </c>
      <c r="K1476">
        <v>18</v>
      </c>
      <c r="L1476">
        <f t="shared" si="70"/>
        <v>37.925000000000004</v>
      </c>
      <c r="M1476">
        <v>4</v>
      </c>
      <c r="N1476" t="str">
        <f t="shared" si="71"/>
        <v>Regular</v>
      </c>
    </row>
    <row r="1477" spans="1:14" x14ac:dyDescent="0.35">
      <c r="A1477">
        <v>1476</v>
      </c>
      <c r="B1477">
        <v>22</v>
      </c>
      <c r="C1477" t="str">
        <f t="shared" si="69"/>
        <v>Youth</v>
      </c>
      <c r="D1477" t="s">
        <v>11</v>
      </c>
      <c r="E1477" t="s">
        <v>33</v>
      </c>
      <c r="F1477" t="s">
        <v>34</v>
      </c>
      <c r="G1477">
        <v>217.07</v>
      </c>
      <c r="H1477" t="s">
        <v>24</v>
      </c>
      <c r="I1477" t="s">
        <v>15</v>
      </c>
      <c r="J1477">
        <v>3.4</v>
      </c>
      <c r="K1477">
        <v>16</v>
      </c>
      <c r="L1477">
        <f t="shared" si="70"/>
        <v>182.33879999999999</v>
      </c>
      <c r="M1477">
        <v>3</v>
      </c>
      <c r="N1477" t="str">
        <f t="shared" si="71"/>
        <v>New</v>
      </c>
    </row>
    <row r="1478" spans="1:14" x14ac:dyDescent="0.35">
      <c r="A1478">
        <v>1477</v>
      </c>
      <c r="B1478">
        <v>53</v>
      </c>
      <c r="C1478" t="str">
        <f t="shared" si="69"/>
        <v>Adult</v>
      </c>
      <c r="D1478" t="s">
        <v>11</v>
      </c>
      <c r="E1478" t="s">
        <v>12</v>
      </c>
      <c r="F1478" t="s">
        <v>50</v>
      </c>
      <c r="G1478">
        <v>46.68</v>
      </c>
      <c r="H1478" t="s">
        <v>14</v>
      </c>
      <c r="I1478" t="s">
        <v>37</v>
      </c>
      <c r="J1478">
        <v>4.4000000000000004</v>
      </c>
      <c r="K1478">
        <v>12</v>
      </c>
      <c r="L1478">
        <f t="shared" si="70"/>
        <v>41.078400000000002</v>
      </c>
      <c r="M1478">
        <v>6</v>
      </c>
      <c r="N1478" t="str">
        <f t="shared" si="71"/>
        <v>Regular</v>
      </c>
    </row>
    <row r="1479" spans="1:14" x14ac:dyDescent="0.35">
      <c r="A1479">
        <v>1478</v>
      </c>
      <c r="B1479">
        <v>70</v>
      </c>
      <c r="C1479" t="str">
        <f t="shared" si="69"/>
        <v>Senior</v>
      </c>
      <c r="D1479" t="s">
        <v>11</v>
      </c>
      <c r="E1479" t="s">
        <v>41</v>
      </c>
      <c r="F1479" t="s">
        <v>45</v>
      </c>
      <c r="G1479">
        <v>186.33</v>
      </c>
      <c r="H1479" t="s">
        <v>19</v>
      </c>
      <c r="I1479" t="s">
        <v>15</v>
      </c>
      <c r="J1479">
        <v>4.5999999999999996</v>
      </c>
      <c r="K1479">
        <v>10</v>
      </c>
      <c r="L1479">
        <f t="shared" si="70"/>
        <v>167.697</v>
      </c>
      <c r="M1479">
        <v>5</v>
      </c>
      <c r="N1479" t="str">
        <f t="shared" si="71"/>
        <v>Regular</v>
      </c>
    </row>
    <row r="1480" spans="1:14" x14ac:dyDescent="0.35">
      <c r="A1480">
        <v>1479</v>
      </c>
      <c r="B1480">
        <v>44</v>
      </c>
      <c r="C1480" t="str">
        <f t="shared" si="69"/>
        <v>Adult</v>
      </c>
      <c r="D1480" t="s">
        <v>11</v>
      </c>
      <c r="E1480" t="s">
        <v>29</v>
      </c>
      <c r="F1480" t="s">
        <v>30</v>
      </c>
      <c r="G1480">
        <v>34.06</v>
      </c>
      <c r="H1480" t="s">
        <v>14</v>
      </c>
      <c r="I1480" t="s">
        <v>15</v>
      </c>
      <c r="J1480">
        <v>2.8</v>
      </c>
      <c r="K1480">
        <v>17</v>
      </c>
      <c r="L1480">
        <f t="shared" si="70"/>
        <v>28.2698</v>
      </c>
      <c r="M1480">
        <v>6</v>
      </c>
      <c r="N1480" t="str">
        <f t="shared" si="71"/>
        <v>Regular</v>
      </c>
    </row>
    <row r="1481" spans="1:14" x14ac:dyDescent="0.35">
      <c r="A1481">
        <v>1480</v>
      </c>
      <c r="B1481">
        <v>47</v>
      </c>
      <c r="C1481" t="str">
        <f t="shared" si="69"/>
        <v>Adult</v>
      </c>
      <c r="D1481" t="s">
        <v>16</v>
      </c>
      <c r="E1481" t="s">
        <v>33</v>
      </c>
      <c r="F1481" t="s">
        <v>38</v>
      </c>
      <c r="G1481">
        <v>119.82</v>
      </c>
      <c r="H1481" t="s">
        <v>14</v>
      </c>
      <c r="I1481" t="s">
        <v>15</v>
      </c>
      <c r="J1481">
        <v>3.5</v>
      </c>
      <c r="K1481">
        <v>13</v>
      </c>
      <c r="L1481">
        <f t="shared" si="70"/>
        <v>104.24339999999999</v>
      </c>
      <c r="M1481">
        <v>4</v>
      </c>
      <c r="N1481" t="str">
        <f t="shared" si="71"/>
        <v>Regular</v>
      </c>
    </row>
    <row r="1482" spans="1:14" x14ac:dyDescent="0.35">
      <c r="A1482">
        <v>1481</v>
      </c>
      <c r="B1482">
        <v>38</v>
      </c>
      <c r="C1482" t="str">
        <f t="shared" si="69"/>
        <v>Adult</v>
      </c>
      <c r="D1482" t="s">
        <v>11</v>
      </c>
      <c r="E1482" t="s">
        <v>22</v>
      </c>
      <c r="F1482" t="s">
        <v>43</v>
      </c>
      <c r="G1482">
        <v>294.52</v>
      </c>
      <c r="H1482" t="s">
        <v>14</v>
      </c>
      <c r="I1482" t="s">
        <v>15</v>
      </c>
      <c r="J1482">
        <v>3.8</v>
      </c>
      <c r="K1482">
        <v>16</v>
      </c>
      <c r="L1482">
        <f t="shared" si="70"/>
        <v>247.39679999999998</v>
      </c>
      <c r="M1482">
        <v>8</v>
      </c>
      <c r="N1482" t="str">
        <f t="shared" si="71"/>
        <v>Loyal</v>
      </c>
    </row>
    <row r="1483" spans="1:14" x14ac:dyDescent="0.35">
      <c r="A1483">
        <v>1482</v>
      </c>
      <c r="B1483">
        <v>46</v>
      </c>
      <c r="C1483" t="str">
        <f t="shared" si="69"/>
        <v>Adult</v>
      </c>
      <c r="D1483" t="s">
        <v>16</v>
      </c>
      <c r="E1483" t="s">
        <v>25</v>
      </c>
      <c r="F1483" t="s">
        <v>47</v>
      </c>
      <c r="G1483">
        <v>71.239999999999995</v>
      </c>
      <c r="H1483" t="s">
        <v>31</v>
      </c>
      <c r="I1483" t="s">
        <v>15</v>
      </c>
      <c r="J1483">
        <v>4.3</v>
      </c>
      <c r="K1483">
        <v>15</v>
      </c>
      <c r="L1483">
        <f t="shared" si="70"/>
        <v>60.553999999999995</v>
      </c>
      <c r="M1483">
        <v>5</v>
      </c>
      <c r="N1483" t="str">
        <f t="shared" si="71"/>
        <v>Regular</v>
      </c>
    </row>
    <row r="1484" spans="1:14" x14ac:dyDescent="0.35">
      <c r="A1484">
        <v>1483</v>
      </c>
      <c r="B1484">
        <v>30</v>
      </c>
      <c r="C1484" t="str">
        <f t="shared" si="69"/>
        <v>Youth</v>
      </c>
      <c r="D1484" t="s">
        <v>11</v>
      </c>
      <c r="E1484" t="s">
        <v>41</v>
      </c>
      <c r="F1484" t="s">
        <v>42</v>
      </c>
      <c r="G1484">
        <v>151.65</v>
      </c>
      <c r="H1484" t="s">
        <v>31</v>
      </c>
      <c r="I1484" t="s">
        <v>15</v>
      </c>
      <c r="J1484">
        <v>3.5</v>
      </c>
      <c r="K1484">
        <v>18</v>
      </c>
      <c r="L1484">
        <f t="shared" si="70"/>
        <v>124.35300000000001</v>
      </c>
      <c r="M1484">
        <v>4</v>
      </c>
      <c r="N1484" t="str">
        <f t="shared" si="71"/>
        <v>Regular</v>
      </c>
    </row>
    <row r="1485" spans="1:14" x14ac:dyDescent="0.35">
      <c r="A1485">
        <v>1484</v>
      </c>
      <c r="B1485">
        <v>36</v>
      </c>
      <c r="C1485" t="str">
        <f t="shared" si="69"/>
        <v>Adult</v>
      </c>
      <c r="D1485" t="s">
        <v>16</v>
      </c>
      <c r="E1485" t="s">
        <v>20</v>
      </c>
      <c r="F1485" t="s">
        <v>39</v>
      </c>
      <c r="G1485">
        <v>80.95</v>
      </c>
      <c r="H1485" t="s">
        <v>31</v>
      </c>
      <c r="I1485" t="s">
        <v>15</v>
      </c>
      <c r="J1485">
        <v>4</v>
      </c>
      <c r="K1485">
        <v>17</v>
      </c>
      <c r="L1485">
        <f t="shared" si="70"/>
        <v>67.188500000000005</v>
      </c>
      <c r="M1485">
        <v>6</v>
      </c>
      <c r="N1485" t="str">
        <f t="shared" si="71"/>
        <v>Regular</v>
      </c>
    </row>
    <row r="1486" spans="1:14" x14ac:dyDescent="0.35">
      <c r="A1486">
        <v>1485</v>
      </c>
      <c r="B1486">
        <v>67</v>
      </c>
      <c r="C1486" t="str">
        <f t="shared" si="69"/>
        <v>Senior</v>
      </c>
      <c r="D1486" t="s">
        <v>16</v>
      </c>
      <c r="E1486" t="s">
        <v>20</v>
      </c>
      <c r="F1486" t="s">
        <v>21</v>
      </c>
      <c r="G1486">
        <v>185.85</v>
      </c>
      <c r="H1486" t="s">
        <v>31</v>
      </c>
      <c r="I1486" t="s">
        <v>15</v>
      </c>
      <c r="J1486">
        <v>5</v>
      </c>
      <c r="K1486">
        <v>20</v>
      </c>
      <c r="L1486">
        <f t="shared" si="70"/>
        <v>148.68</v>
      </c>
      <c r="M1486">
        <v>10</v>
      </c>
      <c r="N1486" t="str">
        <f t="shared" si="71"/>
        <v>Loyal</v>
      </c>
    </row>
    <row r="1487" spans="1:14" x14ac:dyDescent="0.35">
      <c r="A1487">
        <v>1486</v>
      </c>
      <c r="B1487">
        <v>32</v>
      </c>
      <c r="C1487" t="str">
        <f t="shared" si="69"/>
        <v>Adult</v>
      </c>
      <c r="D1487" t="s">
        <v>16</v>
      </c>
      <c r="E1487" t="s">
        <v>33</v>
      </c>
      <c r="F1487" t="s">
        <v>34</v>
      </c>
      <c r="G1487">
        <v>77.209999999999994</v>
      </c>
      <c r="H1487" t="s">
        <v>14</v>
      </c>
      <c r="I1487" t="s">
        <v>15</v>
      </c>
      <c r="J1487">
        <v>4.0999999999999996</v>
      </c>
      <c r="K1487">
        <v>16</v>
      </c>
      <c r="L1487">
        <f t="shared" si="70"/>
        <v>64.856399999999994</v>
      </c>
      <c r="M1487">
        <v>3</v>
      </c>
      <c r="N1487" t="str">
        <f t="shared" si="71"/>
        <v>New</v>
      </c>
    </row>
    <row r="1488" spans="1:14" x14ac:dyDescent="0.35">
      <c r="A1488">
        <v>1487</v>
      </c>
      <c r="B1488">
        <v>66</v>
      </c>
      <c r="C1488" t="str">
        <f t="shared" si="69"/>
        <v>Senior</v>
      </c>
      <c r="D1488" t="s">
        <v>11</v>
      </c>
      <c r="E1488" t="s">
        <v>41</v>
      </c>
      <c r="F1488" t="s">
        <v>44</v>
      </c>
      <c r="G1488">
        <v>192.04</v>
      </c>
      <c r="H1488" t="s">
        <v>24</v>
      </c>
      <c r="I1488" t="s">
        <v>15</v>
      </c>
      <c r="J1488">
        <v>3.9</v>
      </c>
      <c r="K1488">
        <v>15</v>
      </c>
      <c r="L1488">
        <f t="shared" si="70"/>
        <v>163.23399999999998</v>
      </c>
      <c r="M1488">
        <v>5</v>
      </c>
      <c r="N1488" t="str">
        <f t="shared" si="71"/>
        <v>Regular</v>
      </c>
    </row>
    <row r="1489" spans="1:14" x14ac:dyDescent="0.35">
      <c r="A1489">
        <v>1488</v>
      </c>
      <c r="B1489">
        <v>60</v>
      </c>
      <c r="C1489" t="str">
        <f t="shared" si="69"/>
        <v>Adult</v>
      </c>
      <c r="D1489" t="s">
        <v>11</v>
      </c>
      <c r="E1489" t="s">
        <v>33</v>
      </c>
      <c r="F1489" t="s">
        <v>40</v>
      </c>
      <c r="G1489">
        <v>73.34</v>
      </c>
      <c r="H1489" t="s">
        <v>31</v>
      </c>
      <c r="I1489" t="s">
        <v>37</v>
      </c>
      <c r="J1489">
        <v>4.8</v>
      </c>
      <c r="K1489">
        <v>17</v>
      </c>
      <c r="L1489">
        <f t="shared" si="70"/>
        <v>60.872199999999999</v>
      </c>
      <c r="M1489">
        <v>6</v>
      </c>
      <c r="N1489" t="str">
        <f t="shared" si="71"/>
        <v>Regular</v>
      </c>
    </row>
    <row r="1490" spans="1:14" x14ac:dyDescent="0.35">
      <c r="A1490">
        <v>1489</v>
      </c>
      <c r="B1490">
        <v>35</v>
      </c>
      <c r="C1490" t="str">
        <f t="shared" si="69"/>
        <v>Adult</v>
      </c>
      <c r="D1490" t="s">
        <v>11</v>
      </c>
      <c r="E1490" t="s">
        <v>33</v>
      </c>
      <c r="F1490" t="s">
        <v>34</v>
      </c>
      <c r="G1490">
        <v>239.36</v>
      </c>
      <c r="H1490" t="s">
        <v>31</v>
      </c>
      <c r="I1490" t="s">
        <v>15</v>
      </c>
      <c r="J1490">
        <v>4.3</v>
      </c>
      <c r="K1490">
        <v>20</v>
      </c>
      <c r="L1490">
        <f t="shared" si="70"/>
        <v>191.48800000000003</v>
      </c>
      <c r="M1490">
        <v>5</v>
      </c>
      <c r="N1490" t="str">
        <f t="shared" si="71"/>
        <v>Regular</v>
      </c>
    </row>
    <row r="1491" spans="1:14" x14ac:dyDescent="0.35">
      <c r="A1491">
        <v>1490</v>
      </c>
      <c r="B1491">
        <v>26</v>
      </c>
      <c r="C1491" t="str">
        <f t="shared" si="69"/>
        <v>Youth</v>
      </c>
      <c r="D1491" t="s">
        <v>11</v>
      </c>
      <c r="E1491" t="s">
        <v>41</v>
      </c>
      <c r="F1491" t="s">
        <v>42</v>
      </c>
      <c r="G1491">
        <v>175.79</v>
      </c>
      <c r="H1491" t="s">
        <v>24</v>
      </c>
      <c r="I1491" t="s">
        <v>15</v>
      </c>
      <c r="J1491">
        <v>3</v>
      </c>
      <c r="K1491">
        <v>15</v>
      </c>
      <c r="L1491">
        <f t="shared" si="70"/>
        <v>149.42149999999998</v>
      </c>
      <c r="M1491">
        <v>5</v>
      </c>
      <c r="N1491" t="str">
        <f t="shared" si="71"/>
        <v>Regular</v>
      </c>
    </row>
    <row r="1492" spans="1:14" x14ac:dyDescent="0.35">
      <c r="A1492">
        <v>1491</v>
      </c>
      <c r="B1492">
        <v>57</v>
      </c>
      <c r="C1492" t="str">
        <f t="shared" si="69"/>
        <v>Adult</v>
      </c>
      <c r="D1492" t="s">
        <v>11</v>
      </c>
      <c r="E1492" t="s">
        <v>29</v>
      </c>
      <c r="F1492" t="s">
        <v>55</v>
      </c>
      <c r="G1492">
        <v>24.93</v>
      </c>
      <c r="H1492" t="s">
        <v>24</v>
      </c>
      <c r="I1492" t="s">
        <v>15</v>
      </c>
      <c r="J1492">
        <v>4.7</v>
      </c>
      <c r="K1492">
        <v>18</v>
      </c>
      <c r="L1492">
        <f t="shared" si="70"/>
        <v>20.442600000000002</v>
      </c>
      <c r="M1492">
        <v>4</v>
      </c>
      <c r="N1492" t="str">
        <f t="shared" si="71"/>
        <v>Regular</v>
      </c>
    </row>
    <row r="1493" spans="1:14" x14ac:dyDescent="0.35">
      <c r="A1493">
        <v>1492</v>
      </c>
      <c r="B1493">
        <v>47</v>
      </c>
      <c r="C1493" t="str">
        <f t="shared" si="69"/>
        <v>Adult</v>
      </c>
      <c r="D1493" t="s">
        <v>11</v>
      </c>
      <c r="E1493" t="s">
        <v>25</v>
      </c>
      <c r="F1493" t="s">
        <v>57</v>
      </c>
      <c r="G1493">
        <v>34.74</v>
      </c>
      <c r="H1493" t="s">
        <v>19</v>
      </c>
      <c r="I1493" t="s">
        <v>37</v>
      </c>
      <c r="J1493">
        <v>4.3</v>
      </c>
      <c r="K1493">
        <v>18</v>
      </c>
      <c r="L1493">
        <f t="shared" si="70"/>
        <v>28.486800000000002</v>
      </c>
      <c r="M1493">
        <v>4</v>
      </c>
      <c r="N1493" t="str">
        <f t="shared" si="71"/>
        <v>Regular</v>
      </c>
    </row>
    <row r="1494" spans="1:14" x14ac:dyDescent="0.35">
      <c r="A1494">
        <v>1493</v>
      </c>
      <c r="B1494">
        <v>46</v>
      </c>
      <c r="C1494" t="str">
        <f t="shared" si="69"/>
        <v>Adult</v>
      </c>
      <c r="D1494" t="s">
        <v>16</v>
      </c>
      <c r="E1494" t="s">
        <v>25</v>
      </c>
      <c r="F1494" t="s">
        <v>47</v>
      </c>
      <c r="G1494">
        <v>36.61</v>
      </c>
      <c r="H1494" t="s">
        <v>31</v>
      </c>
      <c r="I1494" t="s">
        <v>15</v>
      </c>
      <c r="J1494">
        <v>4</v>
      </c>
      <c r="K1494">
        <v>24</v>
      </c>
      <c r="L1494">
        <f t="shared" si="70"/>
        <v>27.823599999999999</v>
      </c>
      <c r="M1494">
        <v>7</v>
      </c>
      <c r="N1494" t="str">
        <f t="shared" si="71"/>
        <v>Regular</v>
      </c>
    </row>
    <row r="1495" spans="1:14" x14ac:dyDescent="0.35">
      <c r="A1495">
        <v>1494</v>
      </c>
      <c r="B1495">
        <v>29</v>
      </c>
      <c r="C1495" t="str">
        <f t="shared" si="69"/>
        <v>Youth</v>
      </c>
      <c r="D1495" t="s">
        <v>16</v>
      </c>
      <c r="E1495" t="s">
        <v>27</v>
      </c>
      <c r="F1495" t="s">
        <v>28</v>
      </c>
      <c r="G1495">
        <v>2302.21</v>
      </c>
      <c r="H1495" t="s">
        <v>24</v>
      </c>
      <c r="I1495" t="s">
        <v>15</v>
      </c>
      <c r="J1495">
        <v>3.1</v>
      </c>
      <c r="K1495">
        <v>20</v>
      </c>
      <c r="L1495">
        <f t="shared" si="70"/>
        <v>1841.768</v>
      </c>
      <c r="M1495">
        <v>5</v>
      </c>
      <c r="N1495" t="str">
        <f t="shared" si="71"/>
        <v>Regular</v>
      </c>
    </row>
    <row r="1496" spans="1:14" x14ac:dyDescent="0.35">
      <c r="A1496">
        <v>1495</v>
      </c>
      <c r="B1496">
        <v>33</v>
      </c>
      <c r="C1496" t="str">
        <f t="shared" si="69"/>
        <v>Adult</v>
      </c>
      <c r="D1496" t="s">
        <v>11</v>
      </c>
      <c r="E1496" t="s">
        <v>29</v>
      </c>
      <c r="F1496" t="s">
        <v>55</v>
      </c>
      <c r="G1496">
        <v>48.6</v>
      </c>
      <c r="H1496" t="s">
        <v>31</v>
      </c>
      <c r="I1496" t="s">
        <v>37</v>
      </c>
      <c r="J1496">
        <v>4.0999999999999996</v>
      </c>
      <c r="K1496">
        <v>11</v>
      </c>
      <c r="L1496">
        <f t="shared" si="70"/>
        <v>43.254000000000005</v>
      </c>
      <c r="M1496">
        <v>3</v>
      </c>
      <c r="N1496" t="str">
        <f t="shared" si="71"/>
        <v>New</v>
      </c>
    </row>
    <row r="1497" spans="1:14" x14ac:dyDescent="0.35">
      <c r="A1497">
        <v>1496</v>
      </c>
      <c r="B1497">
        <v>26</v>
      </c>
      <c r="C1497" t="str">
        <f t="shared" si="69"/>
        <v>Youth</v>
      </c>
      <c r="D1497" t="s">
        <v>16</v>
      </c>
      <c r="E1497" t="s">
        <v>27</v>
      </c>
      <c r="F1497" t="s">
        <v>49</v>
      </c>
      <c r="G1497">
        <v>534.41</v>
      </c>
      <c r="H1497" t="s">
        <v>14</v>
      </c>
      <c r="I1497" t="s">
        <v>15</v>
      </c>
      <c r="J1497">
        <v>3.6</v>
      </c>
      <c r="K1497">
        <v>6</v>
      </c>
      <c r="L1497">
        <f t="shared" si="70"/>
        <v>502.34539999999993</v>
      </c>
      <c r="M1497">
        <v>3</v>
      </c>
      <c r="N1497" t="str">
        <f t="shared" si="71"/>
        <v>New</v>
      </c>
    </row>
    <row r="1498" spans="1:14" x14ac:dyDescent="0.35">
      <c r="A1498">
        <v>1497</v>
      </c>
      <c r="B1498">
        <v>67</v>
      </c>
      <c r="C1498" t="str">
        <f t="shared" si="69"/>
        <v>Senior</v>
      </c>
      <c r="D1498" t="s">
        <v>11</v>
      </c>
      <c r="E1498" t="s">
        <v>12</v>
      </c>
      <c r="F1498" t="s">
        <v>13</v>
      </c>
      <c r="G1498">
        <v>175.36</v>
      </c>
      <c r="H1498" t="s">
        <v>31</v>
      </c>
      <c r="I1498" t="s">
        <v>15</v>
      </c>
      <c r="J1498">
        <v>4.0999999999999996</v>
      </c>
      <c r="K1498">
        <v>26</v>
      </c>
      <c r="L1498">
        <f t="shared" si="70"/>
        <v>129.7664</v>
      </c>
      <c r="M1498">
        <v>8</v>
      </c>
      <c r="N1498" t="str">
        <f t="shared" si="71"/>
        <v>Loyal</v>
      </c>
    </row>
    <row r="1499" spans="1:14" x14ac:dyDescent="0.35">
      <c r="A1499">
        <v>1498</v>
      </c>
      <c r="B1499">
        <v>21</v>
      </c>
      <c r="C1499" t="str">
        <f t="shared" si="69"/>
        <v>Youth</v>
      </c>
      <c r="D1499" t="s">
        <v>11</v>
      </c>
      <c r="E1499" t="s">
        <v>12</v>
      </c>
      <c r="F1499" t="s">
        <v>13</v>
      </c>
      <c r="G1499">
        <v>34.6</v>
      </c>
      <c r="H1499" t="s">
        <v>31</v>
      </c>
      <c r="I1499" t="s">
        <v>37</v>
      </c>
      <c r="J1499">
        <v>3.1</v>
      </c>
      <c r="K1499">
        <v>22</v>
      </c>
      <c r="L1499">
        <f t="shared" si="70"/>
        <v>26.988000000000003</v>
      </c>
      <c r="M1499">
        <v>6</v>
      </c>
      <c r="N1499" t="str">
        <f t="shared" si="71"/>
        <v>Regular</v>
      </c>
    </row>
    <row r="1500" spans="1:14" x14ac:dyDescent="0.35">
      <c r="A1500">
        <v>1499</v>
      </c>
      <c r="B1500">
        <v>26</v>
      </c>
      <c r="C1500" t="str">
        <f t="shared" si="69"/>
        <v>Youth</v>
      </c>
      <c r="D1500" t="s">
        <v>16</v>
      </c>
      <c r="E1500" t="s">
        <v>20</v>
      </c>
      <c r="F1500" t="s">
        <v>36</v>
      </c>
      <c r="G1500">
        <v>118.37</v>
      </c>
      <c r="H1500" t="s">
        <v>31</v>
      </c>
      <c r="I1500" t="s">
        <v>15</v>
      </c>
      <c r="J1500">
        <v>3.1</v>
      </c>
      <c r="K1500">
        <v>2</v>
      </c>
      <c r="L1500">
        <f t="shared" si="70"/>
        <v>116.0026</v>
      </c>
      <c r="M1500">
        <v>1</v>
      </c>
      <c r="N1500" t="str">
        <f t="shared" si="71"/>
        <v>New</v>
      </c>
    </row>
    <row r="1501" spans="1:14" x14ac:dyDescent="0.35">
      <c r="A1501">
        <v>1500</v>
      </c>
      <c r="B1501">
        <v>55</v>
      </c>
      <c r="C1501" t="str">
        <f t="shared" si="69"/>
        <v>Adult</v>
      </c>
      <c r="D1501" t="s">
        <v>16</v>
      </c>
      <c r="E1501" t="s">
        <v>33</v>
      </c>
      <c r="F1501" t="s">
        <v>34</v>
      </c>
      <c r="G1501">
        <v>203.25</v>
      </c>
      <c r="H1501" t="s">
        <v>19</v>
      </c>
      <c r="I1501" t="s">
        <v>15</v>
      </c>
      <c r="J1501">
        <v>4.3</v>
      </c>
      <c r="K1501">
        <v>18</v>
      </c>
      <c r="L1501">
        <f t="shared" si="70"/>
        <v>166.66500000000002</v>
      </c>
      <c r="M1501">
        <v>4</v>
      </c>
      <c r="N1501" t="str">
        <f t="shared" si="71"/>
        <v>Regular</v>
      </c>
    </row>
    <row r="1502" spans="1:14" x14ac:dyDescent="0.35">
      <c r="A1502">
        <v>1501</v>
      </c>
      <c r="B1502">
        <v>23</v>
      </c>
      <c r="C1502" t="str">
        <f t="shared" si="69"/>
        <v>Youth</v>
      </c>
      <c r="D1502" t="s">
        <v>11</v>
      </c>
      <c r="E1502" t="s">
        <v>33</v>
      </c>
      <c r="F1502" t="s">
        <v>34</v>
      </c>
      <c r="G1502">
        <v>133.44</v>
      </c>
      <c r="H1502" t="s">
        <v>31</v>
      </c>
      <c r="I1502" t="s">
        <v>15</v>
      </c>
      <c r="J1502">
        <v>4.7</v>
      </c>
      <c r="K1502">
        <v>12</v>
      </c>
      <c r="L1502">
        <f t="shared" si="70"/>
        <v>117.4272</v>
      </c>
      <c r="M1502">
        <v>6</v>
      </c>
      <c r="N1502" t="str">
        <f t="shared" si="71"/>
        <v>Regular</v>
      </c>
    </row>
    <row r="1503" spans="1:14" x14ac:dyDescent="0.35">
      <c r="A1503">
        <v>1502</v>
      </c>
      <c r="B1503">
        <v>21</v>
      </c>
      <c r="C1503" t="str">
        <f t="shared" si="69"/>
        <v>Youth</v>
      </c>
      <c r="D1503" t="s">
        <v>11</v>
      </c>
      <c r="E1503" t="s">
        <v>12</v>
      </c>
      <c r="F1503" t="s">
        <v>13</v>
      </c>
      <c r="G1503">
        <v>100</v>
      </c>
      <c r="H1503" t="s">
        <v>19</v>
      </c>
      <c r="I1503" t="s">
        <v>37</v>
      </c>
      <c r="J1503">
        <v>4.0999999999999996</v>
      </c>
      <c r="K1503">
        <v>15</v>
      </c>
      <c r="L1503">
        <f t="shared" si="70"/>
        <v>85</v>
      </c>
      <c r="M1503">
        <v>5</v>
      </c>
      <c r="N1503" t="str">
        <f t="shared" si="71"/>
        <v>Regular</v>
      </c>
    </row>
    <row r="1504" spans="1:14" x14ac:dyDescent="0.35">
      <c r="A1504">
        <v>1503</v>
      </c>
      <c r="B1504">
        <v>23</v>
      </c>
      <c r="C1504" t="str">
        <f t="shared" si="69"/>
        <v>Youth</v>
      </c>
      <c r="D1504" t="s">
        <v>11</v>
      </c>
      <c r="E1504" t="s">
        <v>22</v>
      </c>
      <c r="F1504" t="s">
        <v>52</v>
      </c>
      <c r="G1504">
        <v>55.34</v>
      </c>
      <c r="H1504" t="s">
        <v>24</v>
      </c>
      <c r="I1504" t="s">
        <v>15</v>
      </c>
      <c r="J1504">
        <v>4.2</v>
      </c>
      <c r="K1504">
        <v>17</v>
      </c>
      <c r="L1504">
        <f t="shared" si="70"/>
        <v>45.932200000000002</v>
      </c>
      <c r="M1504">
        <v>6</v>
      </c>
      <c r="N1504" t="str">
        <f t="shared" si="71"/>
        <v>Regular</v>
      </c>
    </row>
    <row r="1505" spans="1:14" x14ac:dyDescent="0.35">
      <c r="A1505">
        <v>1504</v>
      </c>
      <c r="B1505">
        <v>36</v>
      </c>
      <c r="C1505" t="str">
        <f t="shared" si="69"/>
        <v>Adult</v>
      </c>
      <c r="D1505" t="s">
        <v>11</v>
      </c>
      <c r="E1505" t="s">
        <v>33</v>
      </c>
      <c r="F1505" t="s">
        <v>34</v>
      </c>
      <c r="G1505">
        <v>136.43</v>
      </c>
      <c r="H1505" t="s">
        <v>19</v>
      </c>
      <c r="I1505" t="s">
        <v>15</v>
      </c>
      <c r="J1505">
        <v>4</v>
      </c>
      <c r="K1505">
        <v>12</v>
      </c>
      <c r="L1505">
        <f t="shared" si="70"/>
        <v>120.05840000000001</v>
      </c>
      <c r="M1505">
        <v>6</v>
      </c>
      <c r="N1505" t="str">
        <f t="shared" si="71"/>
        <v>Regular</v>
      </c>
    </row>
    <row r="1506" spans="1:14" x14ac:dyDescent="0.35">
      <c r="A1506">
        <v>1505</v>
      </c>
      <c r="B1506">
        <v>35</v>
      </c>
      <c r="C1506" t="str">
        <f t="shared" si="69"/>
        <v>Adult</v>
      </c>
      <c r="D1506" t="s">
        <v>11</v>
      </c>
      <c r="E1506" t="s">
        <v>41</v>
      </c>
      <c r="F1506" t="s">
        <v>45</v>
      </c>
      <c r="G1506">
        <v>67.510000000000005</v>
      </c>
      <c r="H1506" t="s">
        <v>19</v>
      </c>
      <c r="I1506" t="s">
        <v>15</v>
      </c>
      <c r="J1506">
        <v>4.0999999999999996</v>
      </c>
      <c r="K1506">
        <v>10</v>
      </c>
      <c r="L1506">
        <f t="shared" si="70"/>
        <v>60.759000000000007</v>
      </c>
      <c r="M1506">
        <v>5</v>
      </c>
      <c r="N1506" t="str">
        <f t="shared" si="71"/>
        <v>Regular</v>
      </c>
    </row>
    <row r="1507" spans="1:14" x14ac:dyDescent="0.35">
      <c r="A1507">
        <v>1506</v>
      </c>
      <c r="B1507">
        <v>29</v>
      </c>
      <c r="C1507" t="str">
        <f t="shared" si="69"/>
        <v>Youth</v>
      </c>
      <c r="D1507" t="s">
        <v>16</v>
      </c>
      <c r="E1507" t="s">
        <v>33</v>
      </c>
      <c r="F1507" t="s">
        <v>40</v>
      </c>
      <c r="G1507">
        <v>245.39</v>
      </c>
      <c r="H1507" t="s">
        <v>24</v>
      </c>
      <c r="I1507" t="s">
        <v>15</v>
      </c>
      <c r="J1507">
        <v>4.5</v>
      </c>
      <c r="K1507">
        <v>15</v>
      </c>
      <c r="L1507">
        <f t="shared" si="70"/>
        <v>208.58149999999998</v>
      </c>
      <c r="M1507">
        <v>5</v>
      </c>
      <c r="N1507" t="str">
        <f t="shared" si="71"/>
        <v>Regular</v>
      </c>
    </row>
    <row r="1508" spans="1:14" x14ac:dyDescent="0.35">
      <c r="A1508">
        <v>1507</v>
      </c>
      <c r="B1508">
        <v>20</v>
      </c>
      <c r="C1508" t="str">
        <f t="shared" si="69"/>
        <v>Youth</v>
      </c>
      <c r="D1508" t="s">
        <v>16</v>
      </c>
      <c r="E1508" t="s">
        <v>33</v>
      </c>
      <c r="F1508" t="s">
        <v>34</v>
      </c>
      <c r="G1508">
        <v>113.11</v>
      </c>
      <c r="H1508" t="s">
        <v>31</v>
      </c>
      <c r="I1508" t="s">
        <v>15</v>
      </c>
      <c r="J1508">
        <v>3.4</v>
      </c>
      <c r="K1508">
        <v>8</v>
      </c>
      <c r="L1508">
        <f t="shared" si="70"/>
        <v>104.0612</v>
      </c>
      <c r="M1508">
        <v>4</v>
      </c>
      <c r="N1508" t="str">
        <f t="shared" si="71"/>
        <v>Regular</v>
      </c>
    </row>
    <row r="1509" spans="1:14" x14ac:dyDescent="0.35">
      <c r="A1509">
        <v>1508</v>
      </c>
      <c r="B1509">
        <v>64</v>
      </c>
      <c r="C1509" t="str">
        <f t="shared" si="69"/>
        <v>Senior</v>
      </c>
      <c r="D1509" t="s">
        <v>11</v>
      </c>
      <c r="E1509" t="s">
        <v>33</v>
      </c>
      <c r="F1509" t="s">
        <v>38</v>
      </c>
      <c r="G1509">
        <v>80.180000000000007</v>
      </c>
      <c r="H1509" t="s">
        <v>19</v>
      </c>
      <c r="I1509" t="s">
        <v>15</v>
      </c>
      <c r="J1509">
        <v>4.4000000000000004</v>
      </c>
      <c r="K1509">
        <v>13</v>
      </c>
      <c r="L1509">
        <f t="shared" si="70"/>
        <v>69.756600000000006</v>
      </c>
      <c r="M1509">
        <v>4</v>
      </c>
      <c r="N1509" t="str">
        <f t="shared" si="71"/>
        <v>Regular</v>
      </c>
    </row>
    <row r="1510" spans="1:14" x14ac:dyDescent="0.35">
      <c r="A1510">
        <v>1509</v>
      </c>
      <c r="B1510">
        <v>67</v>
      </c>
      <c r="C1510" t="str">
        <f t="shared" si="69"/>
        <v>Senior</v>
      </c>
      <c r="D1510" t="s">
        <v>16</v>
      </c>
      <c r="E1510" t="s">
        <v>27</v>
      </c>
      <c r="F1510" t="s">
        <v>28</v>
      </c>
      <c r="G1510">
        <v>1105.76</v>
      </c>
      <c r="H1510" t="s">
        <v>24</v>
      </c>
      <c r="I1510" t="s">
        <v>15</v>
      </c>
      <c r="J1510">
        <v>3.8</v>
      </c>
      <c r="K1510">
        <v>19</v>
      </c>
      <c r="L1510">
        <f t="shared" si="70"/>
        <v>895.66560000000004</v>
      </c>
      <c r="M1510">
        <v>7</v>
      </c>
      <c r="N1510" t="str">
        <f t="shared" si="71"/>
        <v>Regular</v>
      </c>
    </row>
    <row r="1511" spans="1:14" x14ac:dyDescent="0.35">
      <c r="A1511">
        <v>1510</v>
      </c>
      <c r="B1511">
        <v>26</v>
      </c>
      <c r="C1511" t="str">
        <f t="shared" si="69"/>
        <v>Youth</v>
      </c>
      <c r="D1511" t="s">
        <v>11</v>
      </c>
      <c r="E1511" t="s">
        <v>33</v>
      </c>
      <c r="F1511" t="s">
        <v>34</v>
      </c>
      <c r="G1511">
        <v>96.55</v>
      </c>
      <c r="H1511" t="s">
        <v>24</v>
      </c>
      <c r="I1511" t="s">
        <v>37</v>
      </c>
      <c r="J1511">
        <v>4.5</v>
      </c>
      <c r="K1511">
        <v>10</v>
      </c>
      <c r="L1511">
        <f t="shared" si="70"/>
        <v>86.894999999999996</v>
      </c>
      <c r="M1511">
        <v>5</v>
      </c>
      <c r="N1511" t="str">
        <f t="shared" si="71"/>
        <v>Regular</v>
      </c>
    </row>
    <row r="1512" spans="1:14" x14ac:dyDescent="0.35">
      <c r="A1512">
        <v>1511</v>
      </c>
      <c r="B1512">
        <v>54</v>
      </c>
      <c r="C1512" t="str">
        <f t="shared" si="69"/>
        <v>Adult</v>
      </c>
      <c r="D1512" t="s">
        <v>16</v>
      </c>
      <c r="E1512" t="s">
        <v>20</v>
      </c>
      <c r="F1512" t="s">
        <v>39</v>
      </c>
      <c r="G1512">
        <v>106.35</v>
      </c>
      <c r="H1512" t="s">
        <v>19</v>
      </c>
      <c r="I1512" t="s">
        <v>15</v>
      </c>
      <c r="J1512">
        <v>4.8</v>
      </c>
      <c r="K1512">
        <v>16</v>
      </c>
      <c r="L1512">
        <f t="shared" si="70"/>
        <v>89.333999999999989</v>
      </c>
      <c r="M1512">
        <v>8</v>
      </c>
      <c r="N1512" t="str">
        <f t="shared" si="71"/>
        <v>Loyal</v>
      </c>
    </row>
    <row r="1513" spans="1:14" x14ac:dyDescent="0.35">
      <c r="A1513">
        <v>1512</v>
      </c>
      <c r="B1513">
        <v>28</v>
      </c>
      <c r="C1513" t="str">
        <f t="shared" si="69"/>
        <v>Youth</v>
      </c>
      <c r="D1513" t="s">
        <v>11</v>
      </c>
      <c r="E1513" t="s">
        <v>25</v>
      </c>
      <c r="F1513" t="s">
        <v>26</v>
      </c>
      <c r="G1513">
        <v>13.26</v>
      </c>
      <c r="H1513" t="s">
        <v>19</v>
      </c>
      <c r="I1513" t="s">
        <v>37</v>
      </c>
      <c r="J1513">
        <v>4.4000000000000004</v>
      </c>
      <c r="K1513">
        <v>14</v>
      </c>
      <c r="L1513">
        <f t="shared" si="70"/>
        <v>11.403599999999999</v>
      </c>
      <c r="M1513">
        <v>2</v>
      </c>
      <c r="N1513" t="str">
        <f t="shared" si="71"/>
        <v>New</v>
      </c>
    </row>
    <row r="1514" spans="1:14" x14ac:dyDescent="0.35">
      <c r="A1514">
        <v>1513</v>
      </c>
      <c r="B1514">
        <v>64</v>
      </c>
      <c r="C1514" t="str">
        <f t="shared" si="69"/>
        <v>Senior</v>
      </c>
      <c r="D1514" t="s">
        <v>11</v>
      </c>
      <c r="E1514" t="s">
        <v>41</v>
      </c>
      <c r="F1514" t="s">
        <v>45</v>
      </c>
      <c r="G1514">
        <v>180.55</v>
      </c>
      <c r="H1514" t="s">
        <v>19</v>
      </c>
      <c r="I1514" t="s">
        <v>15</v>
      </c>
      <c r="J1514">
        <v>3.9</v>
      </c>
      <c r="K1514">
        <v>4</v>
      </c>
      <c r="L1514">
        <f t="shared" si="70"/>
        <v>173.328</v>
      </c>
      <c r="M1514">
        <v>2</v>
      </c>
      <c r="N1514" t="str">
        <f t="shared" si="71"/>
        <v>New</v>
      </c>
    </row>
    <row r="1515" spans="1:14" x14ac:dyDescent="0.35">
      <c r="A1515">
        <v>1514</v>
      </c>
      <c r="B1515">
        <v>32</v>
      </c>
      <c r="C1515" t="str">
        <f t="shared" si="69"/>
        <v>Adult</v>
      </c>
      <c r="D1515" t="s">
        <v>11</v>
      </c>
      <c r="E1515" t="s">
        <v>41</v>
      </c>
      <c r="F1515" t="s">
        <v>44</v>
      </c>
      <c r="G1515">
        <v>156.68</v>
      </c>
      <c r="H1515" t="s">
        <v>14</v>
      </c>
      <c r="I1515" t="s">
        <v>15</v>
      </c>
      <c r="J1515">
        <v>4.3</v>
      </c>
      <c r="K1515">
        <v>6</v>
      </c>
      <c r="L1515">
        <f t="shared" si="70"/>
        <v>147.2792</v>
      </c>
      <c r="M1515">
        <v>3</v>
      </c>
      <c r="N1515" t="str">
        <f t="shared" si="71"/>
        <v>New</v>
      </c>
    </row>
    <row r="1516" spans="1:14" x14ac:dyDescent="0.35">
      <c r="A1516">
        <v>1515</v>
      </c>
      <c r="B1516">
        <v>44</v>
      </c>
      <c r="C1516" t="str">
        <f t="shared" si="69"/>
        <v>Adult</v>
      </c>
      <c r="D1516" t="s">
        <v>16</v>
      </c>
      <c r="E1516" t="s">
        <v>20</v>
      </c>
      <c r="F1516" t="s">
        <v>36</v>
      </c>
      <c r="G1516">
        <v>187.98</v>
      </c>
      <c r="H1516" t="s">
        <v>24</v>
      </c>
      <c r="I1516" t="s">
        <v>15</v>
      </c>
      <c r="J1516">
        <v>3.6</v>
      </c>
      <c r="K1516">
        <v>19</v>
      </c>
      <c r="L1516">
        <f t="shared" si="70"/>
        <v>152.2638</v>
      </c>
      <c r="M1516">
        <v>7</v>
      </c>
      <c r="N1516" t="str">
        <f t="shared" si="71"/>
        <v>Regular</v>
      </c>
    </row>
    <row r="1517" spans="1:14" x14ac:dyDescent="0.35">
      <c r="A1517">
        <v>1516</v>
      </c>
      <c r="B1517">
        <v>31</v>
      </c>
      <c r="C1517" t="str">
        <f t="shared" si="69"/>
        <v>Adult</v>
      </c>
      <c r="D1517" t="s">
        <v>11</v>
      </c>
      <c r="E1517" t="s">
        <v>29</v>
      </c>
      <c r="F1517" t="s">
        <v>30</v>
      </c>
      <c r="G1517">
        <v>117.64</v>
      </c>
      <c r="H1517" t="s">
        <v>24</v>
      </c>
      <c r="I1517" t="s">
        <v>15</v>
      </c>
      <c r="J1517">
        <v>3.8</v>
      </c>
      <c r="K1517">
        <v>21</v>
      </c>
      <c r="L1517">
        <f t="shared" si="70"/>
        <v>92.935600000000008</v>
      </c>
      <c r="M1517">
        <v>8</v>
      </c>
      <c r="N1517" t="str">
        <f t="shared" si="71"/>
        <v>Loyal</v>
      </c>
    </row>
    <row r="1518" spans="1:14" x14ac:dyDescent="0.35">
      <c r="A1518">
        <v>1517</v>
      </c>
      <c r="B1518">
        <v>46</v>
      </c>
      <c r="C1518" t="str">
        <f t="shared" si="69"/>
        <v>Adult</v>
      </c>
      <c r="D1518" t="s">
        <v>16</v>
      </c>
      <c r="E1518" t="s">
        <v>20</v>
      </c>
      <c r="F1518" t="s">
        <v>39</v>
      </c>
      <c r="G1518">
        <v>153.87</v>
      </c>
      <c r="H1518" t="s">
        <v>24</v>
      </c>
      <c r="I1518" t="s">
        <v>15</v>
      </c>
      <c r="J1518">
        <v>4.3</v>
      </c>
      <c r="K1518">
        <v>12</v>
      </c>
      <c r="L1518">
        <f t="shared" si="70"/>
        <v>135.40559999999999</v>
      </c>
      <c r="M1518">
        <v>6</v>
      </c>
      <c r="N1518" t="str">
        <f t="shared" si="71"/>
        <v>Regular</v>
      </c>
    </row>
    <row r="1519" spans="1:14" x14ac:dyDescent="0.35">
      <c r="A1519">
        <v>1518</v>
      </c>
      <c r="B1519">
        <v>23</v>
      </c>
      <c r="C1519" t="str">
        <f t="shared" si="69"/>
        <v>Youth</v>
      </c>
      <c r="D1519" t="s">
        <v>11</v>
      </c>
      <c r="E1519" t="s">
        <v>20</v>
      </c>
      <c r="F1519" t="s">
        <v>39</v>
      </c>
      <c r="G1519">
        <v>42.64</v>
      </c>
      <c r="H1519" t="s">
        <v>19</v>
      </c>
      <c r="I1519" t="s">
        <v>15</v>
      </c>
      <c r="J1519">
        <v>3.4</v>
      </c>
      <c r="K1519">
        <v>4</v>
      </c>
      <c r="L1519">
        <f t="shared" si="70"/>
        <v>40.934399999999997</v>
      </c>
      <c r="M1519">
        <v>2</v>
      </c>
      <c r="N1519" t="str">
        <f t="shared" si="71"/>
        <v>New</v>
      </c>
    </row>
    <row r="1520" spans="1:14" x14ac:dyDescent="0.35">
      <c r="A1520">
        <v>1519</v>
      </c>
      <c r="B1520">
        <v>31</v>
      </c>
      <c r="C1520" t="str">
        <f t="shared" si="69"/>
        <v>Adult</v>
      </c>
      <c r="D1520" t="s">
        <v>16</v>
      </c>
      <c r="E1520" t="s">
        <v>27</v>
      </c>
      <c r="F1520" t="s">
        <v>32</v>
      </c>
      <c r="G1520">
        <v>2438.54</v>
      </c>
      <c r="H1520" t="s">
        <v>31</v>
      </c>
      <c r="I1520" t="s">
        <v>15</v>
      </c>
      <c r="J1520">
        <v>4.5</v>
      </c>
      <c r="K1520">
        <v>8</v>
      </c>
      <c r="L1520">
        <f t="shared" si="70"/>
        <v>2243.4567999999999</v>
      </c>
      <c r="M1520">
        <v>4</v>
      </c>
      <c r="N1520" t="str">
        <f t="shared" si="71"/>
        <v>Regular</v>
      </c>
    </row>
    <row r="1521" spans="1:14" x14ac:dyDescent="0.35">
      <c r="A1521">
        <v>1520</v>
      </c>
      <c r="B1521">
        <v>47</v>
      </c>
      <c r="C1521" t="str">
        <f t="shared" si="69"/>
        <v>Adult</v>
      </c>
      <c r="D1521" t="s">
        <v>16</v>
      </c>
      <c r="E1521" t="s">
        <v>33</v>
      </c>
      <c r="F1521" t="s">
        <v>38</v>
      </c>
      <c r="G1521">
        <v>135.83000000000001</v>
      </c>
      <c r="H1521" t="s">
        <v>24</v>
      </c>
      <c r="I1521" t="s">
        <v>15</v>
      </c>
      <c r="J1521">
        <v>4.5999999999999996</v>
      </c>
      <c r="K1521">
        <v>17</v>
      </c>
      <c r="L1521">
        <f t="shared" si="70"/>
        <v>112.7389</v>
      </c>
      <c r="M1521">
        <v>6</v>
      </c>
      <c r="N1521" t="str">
        <f t="shared" si="71"/>
        <v>Regular</v>
      </c>
    </row>
    <row r="1522" spans="1:14" x14ac:dyDescent="0.35">
      <c r="A1522">
        <v>1521</v>
      </c>
      <c r="B1522">
        <v>43</v>
      </c>
      <c r="C1522" t="str">
        <f t="shared" si="69"/>
        <v>Adult</v>
      </c>
      <c r="D1522" t="s">
        <v>16</v>
      </c>
      <c r="E1522" t="s">
        <v>33</v>
      </c>
      <c r="F1522" t="s">
        <v>38</v>
      </c>
      <c r="G1522">
        <v>160.25</v>
      </c>
      <c r="H1522" t="s">
        <v>24</v>
      </c>
      <c r="I1522" t="s">
        <v>15</v>
      </c>
      <c r="J1522">
        <v>4.8</v>
      </c>
      <c r="K1522">
        <v>28</v>
      </c>
      <c r="L1522">
        <f t="shared" si="70"/>
        <v>115.38</v>
      </c>
      <c r="M1522">
        <v>9</v>
      </c>
      <c r="N1522" t="str">
        <f t="shared" si="71"/>
        <v>Loyal</v>
      </c>
    </row>
    <row r="1523" spans="1:14" x14ac:dyDescent="0.35">
      <c r="A1523">
        <v>1522</v>
      </c>
      <c r="B1523">
        <v>27</v>
      </c>
      <c r="C1523" t="str">
        <f t="shared" si="69"/>
        <v>Youth</v>
      </c>
      <c r="D1523" t="s">
        <v>11</v>
      </c>
      <c r="E1523" t="s">
        <v>29</v>
      </c>
      <c r="F1523" t="s">
        <v>51</v>
      </c>
      <c r="G1523">
        <v>68.53</v>
      </c>
      <c r="H1523" t="s">
        <v>19</v>
      </c>
      <c r="I1523" t="s">
        <v>15</v>
      </c>
      <c r="J1523">
        <v>3.7</v>
      </c>
      <c r="K1523">
        <v>17</v>
      </c>
      <c r="L1523">
        <f t="shared" si="70"/>
        <v>56.879899999999999</v>
      </c>
      <c r="M1523">
        <v>6</v>
      </c>
      <c r="N1523" t="str">
        <f t="shared" si="71"/>
        <v>Regular</v>
      </c>
    </row>
    <row r="1524" spans="1:14" x14ac:dyDescent="0.35">
      <c r="A1524">
        <v>1523</v>
      </c>
      <c r="B1524">
        <v>37</v>
      </c>
      <c r="C1524" t="str">
        <f t="shared" si="69"/>
        <v>Adult</v>
      </c>
      <c r="D1524" t="s">
        <v>11</v>
      </c>
      <c r="E1524" t="s">
        <v>41</v>
      </c>
      <c r="F1524" t="s">
        <v>44</v>
      </c>
      <c r="G1524">
        <v>64.5</v>
      </c>
      <c r="H1524" t="s">
        <v>14</v>
      </c>
      <c r="I1524" t="s">
        <v>37</v>
      </c>
      <c r="J1524">
        <v>4</v>
      </c>
      <c r="K1524">
        <v>6</v>
      </c>
      <c r="L1524">
        <f t="shared" si="70"/>
        <v>60.629999999999995</v>
      </c>
      <c r="M1524">
        <v>3</v>
      </c>
      <c r="N1524" t="str">
        <f t="shared" si="71"/>
        <v>New</v>
      </c>
    </row>
    <row r="1525" spans="1:14" x14ac:dyDescent="0.35">
      <c r="A1525">
        <v>1524</v>
      </c>
      <c r="B1525">
        <v>57</v>
      </c>
      <c r="C1525" t="str">
        <f t="shared" si="69"/>
        <v>Adult</v>
      </c>
      <c r="D1525" t="s">
        <v>11</v>
      </c>
      <c r="E1525" t="s">
        <v>20</v>
      </c>
      <c r="F1525" t="s">
        <v>39</v>
      </c>
      <c r="G1525">
        <v>213.01</v>
      </c>
      <c r="H1525" t="s">
        <v>24</v>
      </c>
      <c r="I1525" t="s">
        <v>15</v>
      </c>
      <c r="J1525">
        <v>4.3</v>
      </c>
      <c r="K1525">
        <v>9</v>
      </c>
      <c r="L1525">
        <f t="shared" si="70"/>
        <v>193.8391</v>
      </c>
      <c r="M1525">
        <v>2</v>
      </c>
      <c r="N1525" t="str">
        <f t="shared" si="71"/>
        <v>New</v>
      </c>
    </row>
    <row r="1526" spans="1:14" x14ac:dyDescent="0.35">
      <c r="A1526">
        <v>1525</v>
      </c>
      <c r="B1526">
        <v>44</v>
      </c>
      <c r="C1526" t="str">
        <f t="shared" si="69"/>
        <v>Adult</v>
      </c>
      <c r="D1526" t="s">
        <v>16</v>
      </c>
      <c r="E1526" t="s">
        <v>33</v>
      </c>
      <c r="F1526" t="s">
        <v>40</v>
      </c>
      <c r="G1526">
        <v>175.76</v>
      </c>
      <c r="H1526" t="s">
        <v>19</v>
      </c>
      <c r="I1526" t="s">
        <v>15</v>
      </c>
      <c r="J1526">
        <v>4.7</v>
      </c>
      <c r="K1526">
        <v>21</v>
      </c>
      <c r="L1526">
        <f t="shared" si="70"/>
        <v>138.85040000000001</v>
      </c>
      <c r="M1526">
        <v>8</v>
      </c>
      <c r="N1526" t="str">
        <f t="shared" si="71"/>
        <v>Loyal</v>
      </c>
    </row>
    <row r="1527" spans="1:14" x14ac:dyDescent="0.35">
      <c r="A1527">
        <v>1526</v>
      </c>
      <c r="B1527">
        <v>51</v>
      </c>
      <c r="C1527" t="str">
        <f t="shared" si="69"/>
        <v>Adult</v>
      </c>
      <c r="D1527" t="s">
        <v>16</v>
      </c>
      <c r="E1527" t="s">
        <v>33</v>
      </c>
      <c r="F1527" t="s">
        <v>34</v>
      </c>
      <c r="G1527">
        <v>136.07</v>
      </c>
      <c r="H1527" t="s">
        <v>19</v>
      </c>
      <c r="I1527" t="s">
        <v>15</v>
      </c>
      <c r="J1527">
        <v>4.3</v>
      </c>
      <c r="K1527">
        <v>26</v>
      </c>
      <c r="L1527">
        <f t="shared" si="70"/>
        <v>100.6918</v>
      </c>
      <c r="M1527">
        <v>8</v>
      </c>
      <c r="N1527" t="str">
        <f t="shared" si="71"/>
        <v>Loyal</v>
      </c>
    </row>
    <row r="1528" spans="1:14" x14ac:dyDescent="0.35">
      <c r="A1528">
        <v>1527</v>
      </c>
      <c r="B1528">
        <v>66</v>
      </c>
      <c r="C1528" t="str">
        <f t="shared" si="69"/>
        <v>Senior</v>
      </c>
      <c r="D1528" t="s">
        <v>16</v>
      </c>
      <c r="E1528" t="s">
        <v>27</v>
      </c>
      <c r="F1528" t="s">
        <v>53</v>
      </c>
      <c r="G1528">
        <v>632.67999999999995</v>
      </c>
      <c r="H1528" t="s">
        <v>24</v>
      </c>
      <c r="I1528" t="s">
        <v>15</v>
      </c>
      <c r="J1528">
        <v>5</v>
      </c>
      <c r="K1528">
        <v>24</v>
      </c>
      <c r="L1528">
        <f t="shared" si="70"/>
        <v>480.83679999999998</v>
      </c>
      <c r="M1528">
        <v>7</v>
      </c>
      <c r="N1528" t="str">
        <f t="shared" si="71"/>
        <v>Regular</v>
      </c>
    </row>
    <row r="1529" spans="1:14" x14ac:dyDescent="0.35">
      <c r="A1529">
        <v>1528</v>
      </c>
      <c r="B1529">
        <v>68</v>
      </c>
      <c r="C1529" t="str">
        <f t="shared" si="69"/>
        <v>Senior</v>
      </c>
      <c r="D1529" t="s">
        <v>16</v>
      </c>
      <c r="E1529" t="s">
        <v>20</v>
      </c>
      <c r="F1529" t="s">
        <v>21</v>
      </c>
      <c r="G1529">
        <v>213.91</v>
      </c>
      <c r="H1529" t="s">
        <v>31</v>
      </c>
      <c r="I1529" t="s">
        <v>15</v>
      </c>
      <c r="J1529">
        <v>3.3</v>
      </c>
      <c r="K1529">
        <v>4</v>
      </c>
      <c r="L1529">
        <f t="shared" si="70"/>
        <v>205.3536</v>
      </c>
      <c r="M1529">
        <v>2</v>
      </c>
      <c r="N1529" t="str">
        <f t="shared" si="71"/>
        <v>New</v>
      </c>
    </row>
    <row r="1530" spans="1:14" x14ac:dyDescent="0.35">
      <c r="A1530">
        <v>1529</v>
      </c>
      <c r="B1530">
        <v>52</v>
      </c>
      <c r="C1530" t="str">
        <f t="shared" si="69"/>
        <v>Adult</v>
      </c>
      <c r="D1530" t="s">
        <v>16</v>
      </c>
      <c r="E1530" t="s">
        <v>27</v>
      </c>
      <c r="F1530" t="s">
        <v>28</v>
      </c>
      <c r="G1530">
        <v>631.19000000000005</v>
      </c>
      <c r="H1530" t="s">
        <v>31</v>
      </c>
      <c r="I1530" t="s">
        <v>15</v>
      </c>
      <c r="J1530">
        <v>4.7</v>
      </c>
      <c r="K1530">
        <v>17</v>
      </c>
      <c r="L1530">
        <f t="shared" si="70"/>
        <v>523.8877</v>
      </c>
      <c r="M1530">
        <v>6</v>
      </c>
      <c r="N1530" t="str">
        <f t="shared" si="71"/>
        <v>Regular</v>
      </c>
    </row>
    <row r="1531" spans="1:14" x14ac:dyDescent="0.35">
      <c r="A1531">
        <v>1530</v>
      </c>
      <c r="B1531">
        <v>30</v>
      </c>
      <c r="C1531" t="str">
        <f t="shared" si="69"/>
        <v>Youth</v>
      </c>
      <c r="D1531" t="s">
        <v>11</v>
      </c>
      <c r="E1531" t="s">
        <v>33</v>
      </c>
      <c r="F1531" t="s">
        <v>38</v>
      </c>
      <c r="G1531">
        <v>122.86</v>
      </c>
      <c r="H1531" t="s">
        <v>24</v>
      </c>
      <c r="I1531" t="s">
        <v>15</v>
      </c>
      <c r="J1531">
        <v>2.9</v>
      </c>
      <c r="K1531">
        <v>10</v>
      </c>
      <c r="L1531">
        <f t="shared" si="70"/>
        <v>110.574</v>
      </c>
      <c r="M1531">
        <v>5</v>
      </c>
      <c r="N1531" t="str">
        <f t="shared" si="71"/>
        <v>Regular</v>
      </c>
    </row>
    <row r="1532" spans="1:14" x14ac:dyDescent="0.35">
      <c r="A1532">
        <v>1531</v>
      </c>
      <c r="B1532">
        <v>50</v>
      </c>
      <c r="C1532" t="str">
        <f t="shared" si="69"/>
        <v>Adult</v>
      </c>
      <c r="D1532" t="s">
        <v>11</v>
      </c>
      <c r="E1532" t="s">
        <v>41</v>
      </c>
      <c r="F1532" t="s">
        <v>44</v>
      </c>
      <c r="G1532">
        <v>146.57</v>
      </c>
      <c r="H1532" t="s">
        <v>14</v>
      </c>
      <c r="I1532" t="s">
        <v>15</v>
      </c>
      <c r="J1532">
        <v>3.3</v>
      </c>
      <c r="K1532">
        <v>17</v>
      </c>
      <c r="L1532">
        <f t="shared" si="70"/>
        <v>121.65309999999999</v>
      </c>
      <c r="M1532">
        <v>6</v>
      </c>
      <c r="N1532" t="str">
        <f t="shared" si="71"/>
        <v>Regular</v>
      </c>
    </row>
    <row r="1533" spans="1:14" x14ac:dyDescent="0.35">
      <c r="A1533">
        <v>1532</v>
      </c>
      <c r="B1533">
        <v>58</v>
      </c>
      <c r="C1533" t="str">
        <f t="shared" si="69"/>
        <v>Adult</v>
      </c>
      <c r="D1533" t="s">
        <v>16</v>
      </c>
      <c r="E1533" t="s">
        <v>22</v>
      </c>
      <c r="F1533" t="s">
        <v>43</v>
      </c>
      <c r="G1533">
        <v>171.7</v>
      </c>
      <c r="H1533" t="s">
        <v>24</v>
      </c>
      <c r="I1533" t="s">
        <v>15</v>
      </c>
      <c r="J1533">
        <v>3.7</v>
      </c>
      <c r="K1533">
        <v>12</v>
      </c>
      <c r="L1533">
        <f t="shared" si="70"/>
        <v>151.096</v>
      </c>
      <c r="M1533">
        <v>6</v>
      </c>
      <c r="N1533" t="str">
        <f t="shared" si="71"/>
        <v>Regular</v>
      </c>
    </row>
    <row r="1534" spans="1:14" x14ac:dyDescent="0.35">
      <c r="A1534">
        <v>1533</v>
      </c>
      <c r="B1534">
        <v>36</v>
      </c>
      <c r="C1534" t="str">
        <f t="shared" si="69"/>
        <v>Adult</v>
      </c>
      <c r="D1534" t="s">
        <v>16</v>
      </c>
      <c r="E1534" t="s">
        <v>27</v>
      </c>
      <c r="F1534" t="s">
        <v>32</v>
      </c>
      <c r="G1534">
        <v>1385.6</v>
      </c>
      <c r="H1534" t="s">
        <v>19</v>
      </c>
      <c r="I1534" t="s">
        <v>15</v>
      </c>
      <c r="J1534">
        <v>3.4</v>
      </c>
      <c r="K1534">
        <v>8</v>
      </c>
      <c r="L1534">
        <f t="shared" si="70"/>
        <v>1274.752</v>
      </c>
      <c r="M1534">
        <v>4</v>
      </c>
      <c r="N1534" t="str">
        <f t="shared" si="71"/>
        <v>Regular</v>
      </c>
    </row>
    <row r="1535" spans="1:14" x14ac:dyDescent="0.35">
      <c r="A1535">
        <v>1534</v>
      </c>
      <c r="B1535">
        <v>38</v>
      </c>
      <c r="C1535" t="str">
        <f t="shared" si="69"/>
        <v>Adult</v>
      </c>
      <c r="D1535" t="s">
        <v>16</v>
      </c>
      <c r="E1535" t="s">
        <v>17</v>
      </c>
      <c r="F1535" t="s">
        <v>42</v>
      </c>
      <c r="G1535">
        <v>91</v>
      </c>
      <c r="H1535" t="s">
        <v>19</v>
      </c>
      <c r="I1535" t="s">
        <v>37</v>
      </c>
      <c r="J1535">
        <v>4.2</v>
      </c>
      <c r="K1535">
        <v>14</v>
      </c>
      <c r="L1535">
        <f t="shared" si="70"/>
        <v>78.260000000000005</v>
      </c>
      <c r="M1535">
        <v>7</v>
      </c>
      <c r="N1535" t="str">
        <f t="shared" si="71"/>
        <v>Regular</v>
      </c>
    </row>
    <row r="1536" spans="1:14" x14ac:dyDescent="0.35">
      <c r="A1536">
        <v>1535</v>
      </c>
      <c r="B1536">
        <v>23</v>
      </c>
      <c r="C1536" t="str">
        <f t="shared" si="69"/>
        <v>Youth</v>
      </c>
      <c r="D1536" t="s">
        <v>16</v>
      </c>
      <c r="E1536" t="s">
        <v>33</v>
      </c>
      <c r="F1536" t="s">
        <v>40</v>
      </c>
      <c r="G1536">
        <v>191.42</v>
      </c>
      <c r="H1536" t="s">
        <v>24</v>
      </c>
      <c r="I1536" t="s">
        <v>15</v>
      </c>
      <c r="J1536">
        <v>3.9</v>
      </c>
      <c r="K1536">
        <v>18</v>
      </c>
      <c r="L1536">
        <f t="shared" si="70"/>
        <v>156.96440000000001</v>
      </c>
      <c r="M1536">
        <v>4</v>
      </c>
      <c r="N1536" t="str">
        <f t="shared" si="71"/>
        <v>Regular</v>
      </c>
    </row>
    <row r="1537" spans="1:14" x14ac:dyDescent="0.35">
      <c r="A1537">
        <v>1536</v>
      </c>
      <c r="B1537">
        <v>56</v>
      </c>
      <c r="C1537" t="str">
        <f t="shared" si="69"/>
        <v>Adult</v>
      </c>
      <c r="D1537" t="s">
        <v>11</v>
      </c>
      <c r="E1537" t="s">
        <v>12</v>
      </c>
      <c r="F1537" t="s">
        <v>13</v>
      </c>
      <c r="G1537">
        <v>114.28</v>
      </c>
      <c r="H1537" t="s">
        <v>31</v>
      </c>
      <c r="I1537" t="s">
        <v>15</v>
      </c>
      <c r="J1537">
        <v>4</v>
      </c>
      <c r="K1537">
        <v>20</v>
      </c>
      <c r="L1537">
        <f t="shared" si="70"/>
        <v>91.424000000000007</v>
      </c>
      <c r="M1537">
        <v>5</v>
      </c>
      <c r="N1537" t="str">
        <f t="shared" si="71"/>
        <v>Regular</v>
      </c>
    </row>
    <row r="1538" spans="1:14" x14ac:dyDescent="0.35">
      <c r="A1538">
        <v>1537</v>
      </c>
      <c r="B1538">
        <v>46</v>
      </c>
      <c r="C1538" t="str">
        <f t="shared" si="69"/>
        <v>Adult</v>
      </c>
      <c r="D1538" t="s">
        <v>16</v>
      </c>
      <c r="E1538" t="s">
        <v>25</v>
      </c>
      <c r="F1538" t="s">
        <v>26</v>
      </c>
      <c r="G1538">
        <v>48.42</v>
      </c>
      <c r="H1538" t="s">
        <v>31</v>
      </c>
      <c r="I1538" t="s">
        <v>15</v>
      </c>
      <c r="J1538">
        <v>3.7</v>
      </c>
      <c r="K1538">
        <v>19</v>
      </c>
      <c r="L1538">
        <f t="shared" si="70"/>
        <v>39.220200000000006</v>
      </c>
      <c r="M1538">
        <v>7</v>
      </c>
      <c r="N1538" t="str">
        <f t="shared" si="71"/>
        <v>Regular</v>
      </c>
    </row>
    <row r="1539" spans="1:14" x14ac:dyDescent="0.35">
      <c r="A1539">
        <v>1538</v>
      </c>
      <c r="B1539">
        <v>48</v>
      </c>
      <c r="C1539" t="str">
        <f t="shared" ref="C1539:C1602" si="72">IF(B1539&lt;=30,"Youth",IF(B1539&lt;=45,"Adult",IF(B1539&lt;=60,"Adult","Senior")))</f>
        <v>Adult</v>
      </c>
      <c r="D1539" t="s">
        <v>16</v>
      </c>
      <c r="E1539" t="s">
        <v>33</v>
      </c>
      <c r="F1539" t="s">
        <v>40</v>
      </c>
      <c r="G1539">
        <v>84.31</v>
      </c>
      <c r="H1539" t="s">
        <v>19</v>
      </c>
      <c r="I1539" t="s">
        <v>37</v>
      </c>
      <c r="J1539">
        <v>4.5</v>
      </c>
      <c r="K1539">
        <v>10</v>
      </c>
      <c r="L1539">
        <f t="shared" ref="L1539:L1602" si="73">G1539*(1-K1539/100)</f>
        <v>75.879000000000005</v>
      </c>
      <c r="M1539">
        <v>0</v>
      </c>
      <c r="N1539" t="str">
        <f t="shared" ref="N1539:N1602" si="74">IF(M1539&lt;=3,"New",IF(M1539&lt;=7,"Regular","Loyal"))</f>
        <v>New</v>
      </c>
    </row>
    <row r="1540" spans="1:14" x14ac:dyDescent="0.35">
      <c r="A1540">
        <v>1539</v>
      </c>
      <c r="B1540">
        <v>40</v>
      </c>
      <c r="C1540" t="str">
        <f t="shared" si="72"/>
        <v>Adult</v>
      </c>
      <c r="D1540" t="s">
        <v>16</v>
      </c>
      <c r="E1540" t="s">
        <v>33</v>
      </c>
      <c r="F1540" t="s">
        <v>38</v>
      </c>
      <c r="G1540">
        <v>73.92</v>
      </c>
      <c r="H1540" t="s">
        <v>19</v>
      </c>
      <c r="I1540" t="s">
        <v>15</v>
      </c>
      <c r="J1540">
        <v>3.4</v>
      </c>
      <c r="K1540">
        <v>24</v>
      </c>
      <c r="L1540">
        <f t="shared" si="73"/>
        <v>56.179200000000002</v>
      </c>
      <c r="M1540">
        <v>7</v>
      </c>
      <c r="N1540" t="str">
        <f t="shared" si="74"/>
        <v>Regular</v>
      </c>
    </row>
    <row r="1541" spans="1:14" x14ac:dyDescent="0.35">
      <c r="A1541">
        <v>1540</v>
      </c>
      <c r="B1541">
        <v>47</v>
      </c>
      <c r="C1541" t="str">
        <f t="shared" si="72"/>
        <v>Adult</v>
      </c>
      <c r="D1541" t="s">
        <v>16</v>
      </c>
      <c r="E1541" t="s">
        <v>33</v>
      </c>
      <c r="F1541" t="s">
        <v>38</v>
      </c>
      <c r="G1541">
        <v>67.400000000000006</v>
      </c>
      <c r="H1541" t="s">
        <v>31</v>
      </c>
      <c r="I1541" t="s">
        <v>37</v>
      </c>
      <c r="J1541">
        <v>4.3</v>
      </c>
      <c r="K1541">
        <v>7</v>
      </c>
      <c r="L1541">
        <f t="shared" si="73"/>
        <v>62.682000000000002</v>
      </c>
      <c r="M1541">
        <v>1</v>
      </c>
      <c r="N1541" t="str">
        <f t="shared" si="74"/>
        <v>New</v>
      </c>
    </row>
    <row r="1542" spans="1:14" x14ac:dyDescent="0.35">
      <c r="A1542">
        <v>1541</v>
      </c>
      <c r="B1542">
        <v>67</v>
      </c>
      <c r="C1542" t="str">
        <f t="shared" si="72"/>
        <v>Senior</v>
      </c>
      <c r="D1542" t="s">
        <v>16</v>
      </c>
      <c r="E1542" t="s">
        <v>22</v>
      </c>
      <c r="F1542" t="s">
        <v>52</v>
      </c>
      <c r="G1542">
        <v>295.08999999999997</v>
      </c>
      <c r="H1542" t="s">
        <v>14</v>
      </c>
      <c r="I1542" t="s">
        <v>15</v>
      </c>
      <c r="J1542">
        <v>3.6</v>
      </c>
      <c r="K1542">
        <v>4</v>
      </c>
      <c r="L1542">
        <f t="shared" si="73"/>
        <v>283.28639999999996</v>
      </c>
      <c r="M1542">
        <v>2</v>
      </c>
      <c r="N1542" t="str">
        <f t="shared" si="74"/>
        <v>New</v>
      </c>
    </row>
    <row r="1543" spans="1:14" x14ac:dyDescent="0.35">
      <c r="A1543">
        <v>1542</v>
      </c>
      <c r="B1543">
        <v>30</v>
      </c>
      <c r="C1543" t="str">
        <f t="shared" si="72"/>
        <v>Youth</v>
      </c>
      <c r="D1543" t="s">
        <v>11</v>
      </c>
      <c r="E1543" t="s">
        <v>33</v>
      </c>
      <c r="F1543" t="s">
        <v>40</v>
      </c>
      <c r="G1543">
        <v>121.3</v>
      </c>
      <c r="H1543" t="s">
        <v>19</v>
      </c>
      <c r="I1543" t="s">
        <v>15</v>
      </c>
      <c r="J1543">
        <v>3.1</v>
      </c>
      <c r="K1543">
        <v>10</v>
      </c>
      <c r="L1543">
        <f t="shared" si="73"/>
        <v>109.17</v>
      </c>
      <c r="M1543">
        <v>5</v>
      </c>
      <c r="N1543" t="str">
        <f t="shared" si="74"/>
        <v>Regular</v>
      </c>
    </row>
    <row r="1544" spans="1:14" x14ac:dyDescent="0.35">
      <c r="A1544">
        <v>1543</v>
      </c>
      <c r="B1544">
        <v>46</v>
      </c>
      <c r="C1544" t="str">
        <f t="shared" si="72"/>
        <v>Adult</v>
      </c>
      <c r="D1544" t="s">
        <v>16</v>
      </c>
      <c r="E1544" t="s">
        <v>27</v>
      </c>
      <c r="F1544" t="s">
        <v>53</v>
      </c>
      <c r="G1544">
        <v>2344.0300000000002</v>
      </c>
      <c r="H1544" t="s">
        <v>14</v>
      </c>
      <c r="I1544" t="s">
        <v>15</v>
      </c>
      <c r="J1544">
        <v>4.8</v>
      </c>
      <c r="K1544">
        <v>17</v>
      </c>
      <c r="L1544">
        <f t="shared" si="73"/>
        <v>1945.5449000000001</v>
      </c>
      <c r="M1544">
        <v>6</v>
      </c>
      <c r="N1544" t="str">
        <f t="shared" si="74"/>
        <v>Regular</v>
      </c>
    </row>
    <row r="1545" spans="1:14" x14ac:dyDescent="0.35">
      <c r="A1545">
        <v>1544</v>
      </c>
      <c r="B1545">
        <v>64</v>
      </c>
      <c r="C1545" t="str">
        <f t="shared" si="72"/>
        <v>Senior</v>
      </c>
      <c r="D1545" t="s">
        <v>11</v>
      </c>
      <c r="E1545" t="s">
        <v>29</v>
      </c>
      <c r="F1545" t="s">
        <v>51</v>
      </c>
      <c r="G1545">
        <v>87.85</v>
      </c>
      <c r="H1545" t="s">
        <v>19</v>
      </c>
      <c r="I1545" t="s">
        <v>37</v>
      </c>
      <c r="J1545">
        <v>2.1</v>
      </c>
      <c r="K1545">
        <v>16</v>
      </c>
      <c r="L1545">
        <f t="shared" si="73"/>
        <v>73.793999999999997</v>
      </c>
      <c r="M1545">
        <v>8</v>
      </c>
      <c r="N1545" t="str">
        <f t="shared" si="74"/>
        <v>Loyal</v>
      </c>
    </row>
    <row r="1546" spans="1:14" x14ac:dyDescent="0.35">
      <c r="A1546">
        <v>1545</v>
      </c>
      <c r="B1546">
        <v>50</v>
      </c>
      <c r="C1546" t="str">
        <f t="shared" si="72"/>
        <v>Adult</v>
      </c>
      <c r="D1546" t="s">
        <v>11</v>
      </c>
      <c r="E1546" t="s">
        <v>29</v>
      </c>
      <c r="F1546" t="s">
        <v>51</v>
      </c>
      <c r="G1546">
        <v>31.22</v>
      </c>
      <c r="H1546" t="s">
        <v>19</v>
      </c>
      <c r="I1546" t="s">
        <v>15</v>
      </c>
      <c r="J1546">
        <v>3.8</v>
      </c>
      <c r="K1546">
        <v>20</v>
      </c>
      <c r="L1546">
        <f t="shared" si="73"/>
        <v>24.975999999999999</v>
      </c>
      <c r="M1546">
        <v>10</v>
      </c>
      <c r="N1546" t="str">
        <f t="shared" si="74"/>
        <v>Loyal</v>
      </c>
    </row>
    <row r="1547" spans="1:14" x14ac:dyDescent="0.35">
      <c r="A1547">
        <v>1546</v>
      </c>
      <c r="B1547">
        <v>60</v>
      </c>
      <c r="C1547" t="str">
        <f t="shared" si="72"/>
        <v>Adult</v>
      </c>
      <c r="D1547" t="s">
        <v>11</v>
      </c>
      <c r="E1547" t="s">
        <v>12</v>
      </c>
      <c r="F1547" t="s">
        <v>56</v>
      </c>
      <c r="G1547">
        <v>74.33</v>
      </c>
      <c r="H1547" t="s">
        <v>24</v>
      </c>
      <c r="I1547" t="s">
        <v>15</v>
      </c>
      <c r="J1547">
        <v>3.8</v>
      </c>
      <c r="K1547">
        <v>24</v>
      </c>
      <c r="L1547">
        <f t="shared" si="73"/>
        <v>56.4908</v>
      </c>
      <c r="M1547">
        <v>7</v>
      </c>
      <c r="N1547" t="str">
        <f t="shared" si="74"/>
        <v>Regular</v>
      </c>
    </row>
    <row r="1548" spans="1:14" x14ac:dyDescent="0.35">
      <c r="A1548">
        <v>1547</v>
      </c>
      <c r="B1548">
        <v>36</v>
      </c>
      <c r="C1548" t="str">
        <f t="shared" si="72"/>
        <v>Adult</v>
      </c>
      <c r="D1548" t="s">
        <v>11</v>
      </c>
      <c r="E1548" t="s">
        <v>20</v>
      </c>
      <c r="F1548" t="s">
        <v>39</v>
      </c>
      <c r="G1548">
        <v>142.80000000000001</v>
      </c>
      <c r="H1548" t="s">
        <v>24</v>
      </c>
      <c r="I1548" t="s">
        <v>15</v>
      </c>
      <c r="J1548">
        <v>5</v>
      </c>
      <c r="K1548">
        <v>18</v>
      </c>
      <c r="L1548">
        <f t="shared" si="73"/>
        <v>117.09600000000002</v>
      </c>
      <c r="M1548">
        <v>4</v>
      </c>
      <c r="N1548" t="str">
        <f t="shared" si="74"/>
        <v>Regular</v>
      </c>
    </row>
    <row r="1549" spans="1:14" x14ac:dyDescent="0.35">
      <c r="A1549">
        <v>1548</v>
      </c>
      <c r="B1549">
        <v>25</v>
      </c>
      <c r="C1549" t="str">
        <f t="shared" si="72"/>
        <v>Youth</v>
      </c>
      <c r="D1549" t="s">
        <v>16</v>
      </c>
      <c r="E1549" t="s">
        <v>20</v>
      </c>
      <c r="F1549" t="s">
        <v>21</v>
      </c>
      <c r="G1549">
        <v>76.08</v>
      </c>
      <c r="H1549" t="s">
        <v>31</v>
      </c>
      <c r="I1549" t="s">
        <v>15</v>
      </c>
      <c r="J1549">
        <v>3.7</v>
      </c>
      <c r="K1549">
        <v>16</v>
      </c>
      <c r="L1549">
        <f t="shared" si="73"/>
        <v>63.907199999999996</v>
      </c>
      <c r="M1549">
        <v>3</v>
      </c>
      <c r="N1549" t="str">
        <f t="shared" si="74"/>
        <v>New</v>
      </c>
    </row>
    <row r="1550" spans="1:14" x14ac:dyDescent="0.35">
      <c r="A1550">
        <v>1549</v>
      </c>
      <c r="B1550">
        <v>59</v>
      </c>
      <c r="C1550" t="str">
        <f t="shared" si="72"/>
        <v>Adult</v>
      </c>
      <c r="D1550" t="s">
        <v>16</v>
      </c>
      <c r="E1550" t="s">
        <v>17</v>
      </c>
      <c r="F1550" t="s">
        <v>18</v>
      </c>
      <c r="G1550">
        <v>71.09</v>
      </c>
      <c r="H1550" t="s">
        <v>19</v>
      </c>
      <c r="I1550" t="s">
        <v>37</v>
      </c>
      <c r="J1550">
        <v>3.8</v>
      </c>
      <c r="K1550">
        <v>10</v>
      </c>
      <c r="L1550">
        <f t="shared" si="73"/>
        <v>63.981000000000002</v>
      </c>
      <c r="M1550">
        <v>5</v>
      </c>
      <c r="N1550" t="str">
        <f t="shared" si="74"/>
        <v>Regular</v>
      </c>
    </row>
    <row r="1551" spans="1:14" x14ac:dyDescent="0.35">
      <c r="A1551">
        <v>1550</v>
      </c>
      <c r="B1551">
        <v>21</v>
      </c>
      <c r="C1551" t="str">
        <f t="shared" si="72"/>
        <v>Youth</v>
      </c>
      <c r="D1551" t="s">
        <v>16</v>
      </c>
      <c r="E1551" t="s">
        <v>33</v>
      </c>
      <c r="F1551" t="s">
        <v>40</v>
      </c>
      <c r="G1551">
        <v>210.67</v>
      </c>
      <c r="H1551" t="s">
        <v>24</v>
      </c>
      <c r="I1551" t="s">
        <v>15</v>
      </c>
      <c r="J1551">
        <v>3.4</v>
      </c>
      <c r="K1551">
        <v>6</v>
      </c>
      <c r="L1551">
        <f t="shared" si="73"/>
        <v>198.02979999999997</v>
      </c>
      <c r="M1551">
        <v>3</v>
      </c>
      <c r="N1551" t="str">
        <f t="shared" si="74"/>
        <v>New</v>
      </c>
    </row>
    <row r="1552" spans="1:14" x14ac:dyDescent="0.35">
      <c r="A1552">
        <v>1551</v>
      </c>
      <c r="B1552">
        <v>21</v>
      </c>
      <c r="C1552" t="str">
        <f t="shared" si="72"/>
        <v>Youth</v>
      </c>
      <c r="D1552" t="s">
        <v>11</v>
      </c>
      <c r="E1552" t="s">
        <v>29</v>
      </c>
      <c r="F1552" t="s">
        <v>30</v>
      </c>
      <c r="G1552">
        <v>131.55000000000001</v>
      </c>
      <c r="H1552" t="s">
        <v>31</v>
      </c>
      <c r="I1552" t="s">
        <v>15</v>
      </c>
      <c r="J1552">
        <v>4.3</v>
      </c>
      <c r="K1552">
        <v>13</v>
      </c>
      <c r="L1552">
        <f t="shared" si="73"/>
        <v>114.44850000000001</v>
      </c>
      <c r="M1552">
        <v>4</v>
      </c>
      <c r="N1552" t="str">
        <f t="shared" si="74"/>
        <v>Regular</v>
      </c>
    </row>
    <row r="1553" spans="1:14" x14ac:dyDescent="0.35">
      <c r="A1553">
        <v>1552</v>
      </c>
      <c r="B1553">
        <v>28</v>
      </c>
      <c r="C1553" t="str">
        <f t="shared" si="72"/>
        <v>Youth</v>
      </c>
      <c r="D1553" t="s">
        <v>16</v>
      </c>
      <c r="E1553" t="s">
        <v>20</v>
      </c>
      <c r="F1553" t="s">
        <v>39</v>
      </c>
      <c r="G1553">
        <v>123.55</v>
      </c>
      <c r="H1553" t="s">
        <v>31</v>
      </c>
      <c r="I1553" t="s">
        <v>15</v>
      </c>
      <c r="J1553">
        <v>4.0999999999999996</v>
      </c>
      <c r="K1553">
        <v>21</v>
      </c>
      <c r="L1553">
        <f t="shared" si="73"/>
        <v>97.604500000000002</v>
      </c>
      <c r="M1553">
        <v>8</v>
      </c>
      <c r="N1553" t="str">
        <f t="shared" si="74"/>
        <v>Loyal</v>
      </c>
    </row>
    <row r="1554" spans="1:14" x14ac:dyDescent="0.35">
      <c r="A1554">
        <v>1553</v>
      </c>
      <c r="B1554">
        <v>21</v>
      </c>
      <c r="C1554" t="str">
        <f t="shared" si="72"/>
        <v>Youth</v>
      </c>
      <c r="D1554" t="s">
        <v>11</v>
      </c>
      <c r="E1554" t="s">
        <v>12</v>
      </c>
      <c r="F1554" t="s">
        <v>13</v>
      </c>
      <c r="G1554">
        <v>130.77000000000001</v>
      </c>
      <c r="H1554" t="s">
        <v>24</v>
      </c>
      <c r="I1554" t="s">
        <v>15</v>
      </c>
      <c r="J1554">
        <v>4.8</v>
      </c>
      <c r="K1554">
        <v>4</v>
      </c>
      <c r="L1554">
        <f t="shared" si="73"/>
        <v>125.53920000000001</v>
      </c>
      <c r="M1554">
        <v>2</v>
      </c>
      <c r="N1554" t="str">
        <f t="shared" si="74"/>
        <v>New</v>
      </c>
    </row>
    <row r="1555" spans="1:14" x14ac:dyDescent="0.35">
      <c r="A1555">
        <v>1554</v>
      </c>
      <c r="B1555">
        <v>56</v>
      </c>
      <c r="C1555" t="str">
        <f t="shared" si="72"/>
        <v>Adult</v>
      </c>
      <c r="D1555" t="s">
        <v>16</v>
      </c>
      <c r="E1555" t="s">
        <v>17</v>
      </c>
      <c r="F1555" t="s">
        <v>48</v>
      </c>
      <c r="G1555">
        <v>110.31</v>
      </c>
      <c r="H1555" t="s">
        <v>31</v>
      </c>
      <c r="I1555" t="s">
        <v>15</v>
      </c>
      <c r="J1555">
        <v>3</v>
      </c>
      <c r="K1555">
        <v>2</v>
      </c>
      <c r="L1555">
        <f t="shared" si="73"/>
        <v>108.10380000000001</v>
      </c>
      <c r="M1555">
        <v>1</v>
      </c>
      <c r="N1555" t="str">
        <f t="shared" si="74"/>
        <v>New</v>
      </c>
    </row>
    <row r="1556" spans="1:14" x14ac:dyDescent="0.35">
      <c r="A1556">
        <v>1555</v>
      </c>
      <c r="B1556">
        <v>29</v>
      </c>
      <c r="C1556" t="str">
        <f t="shared" si="72"/>
        <v>Youth</v>
      </c>
      <c r="D1556" t="s">
        <v>16</v>
      </c>
      <c r="E1556" t="s">
        <v>20</v>
      </c>
      <c r="F1556" t="s">
        <v>36</v>
      </c>
      <c r="G1556">
        <v>238.27</v>
      </c>
      <c r="H1556" t="s">
        <v>24</v>
      </c>
      <c r="I1556" t="s">
        <v>15</v>
      </c>
      <c r="J1556">
        <v>5</v>
      </c>
      <c r="K1556">
        <v>14</v>
      </c>
      <c r="L1556">
        <f t="shared" si="73"/>
        <v>204.91220000000001</v>
      </c>
      <c r="M1556">
        <v>2</v>
      </c>
      <c r="N1556" t="str">
        <f t="shared" si="74"/>
        <v>New</v>
      </c>
    </row>
    <row r="1557" spans="1:14" x14ac:dyDescent="0.35">
      <c r="A1557">
        <v>1556</v>
      </c>
      <c r="B1557">
        <v>20</v>
      </c>
      <c r="C1557" t="str">
        <f t="shared" si="72"/>
        <v>Youth</v>
      </c>
      <c r="D1557" t="s">
        <v>16</v>
      </c>
      <c r="E1557" t="s">
        <v>22</v>
      </c>
      <c r="F1557" t="s">
        <v>52</v>
      </c>
      <c r="G1557">
        <v>201.69</v>
      </c>
      <c r="H1557" t="s">
        <v>14</v>
      </c>
      <c r="I1557" t="s">
        <v>15</v>
      </c>
      <c r="J1557">
        <v>2.9</v>
      </c>
      <c r="K1557">
        <v>23</v>
      </c>
      <c r="L1557">
        <f t="shared" si="73"/>
        <v>155.3013</v>
      </c>
      <c r="M1557">
        <v>9</v>
      </c>
      <c r="N1557" t="str">
        <f t="shared" si="74"/>
        <v>Loyal</v>
      </c>
    </row>
    <row r="1558" spans="1:14" x14ac:dyDescent="0.35">
      <c r="A1558">
        <v>1557</v>
      </c>
      <c r="B1558">
        <v>49</v>
      </c>
      <c r="C1558" t="str">
        <f t="shared" si="72"/>
        <v>Adult</v>
      </c>
      <c r="D1558" t="s">
        <v>11</v>
      </c>
      <c r="E1558" t="s">
        <v>20</v>
      </c>
      <c r="F1558" t="s">
        <v>39</v>
      </c>
      <c r="G1558">
        <v>199.72</v>
      </c>
      <c r="H1558" t="s">
        <v>14</v>
      </c>
      <c r="I1558" t="s">
        <v>15</v>
      </c>
      <c r="J1558">
        <v>3.9</v>
      </c>
      <c r="K1558">
        <v>24</v>
      </c>
      <c r="L1558">
        <f t="shared" si="73"/>
        <v>151.78720000000001</v>
      </c>
      <c r="M1558">
        <v>7</v>
      </c>
      <c r="N1558" t="str">
        <f t="shared" si="74"/>
        <v>Regular</v>
      </c>
    </row>
    <row r="1559" spans="1:14" x14ac:dyDescent="0.35">
      <c r="A1559">
        <v>1558</v>
      </c>
      <c r="B1559">
        <v>48</v>
      </c>
      <c r="C1559" t="str">
        <f t="shared" si="72"/>
        <v>Adult</v>
      </c>
      <c r="D1559" t="s">
        <v>16</v>
      </c>
      <c r="E1559" t="s">
        <v>22</v>
      </c>
      <c r="F1559" t="s">
        <v>43</v>
      </c>
      <c r="G1559">
        <v>113.79</v>
      </c>
      <c r="H1559" t="s">
        <v>24</v>
      </c>
      <c r="I1559" t="s">
        <v>15</v>
      </c>
      <c r="J1559">
        <v>3.3</v>
      </c>
      <c r="K1559">
        <v>2</v>
      </c>
      <c r="L1559">
        <f t="shared" si="73"/>
        <v>111.5142</v>
      </c>
      <c r="M1559">
        <v>1</v>
      </c>
      <c r="N1559" t="str">
        <f t="shared" si="74"/>
        <v>New</v>
      </c>
    </row>
    <row r="1560" spans="1:14" x14ac:dyDescent="0.35">
      <c r="A1560">
        <v>1559</v>
      </c>
      <c r="B1560">
        <v>42</v>
      </c>
      <c r="C1560" t="str">
        <f t="shared" si="72"/>
        <v>Adult</v>
      </c>
      <c r="D1560" t="s">
        <v>16</v>
      </c>
      <c r="E1560" t="s">
        <v>20</v>
      </c>
      <c r="F1560" t="s">
        <v>21</v>
      </c>
      <c r="G1560">
        <v>216.19</v>
      </c>
      <c r="H1560" t="s">
        <v>24</v>
      </c>
      <c r="I1560" t="s">
        <v>15</v>
      </c>
      <c r="J1560">
        <v>4.5</v>
      </c>
      <c r="K1560">
        <v>13</v>
      </c>
      <c r="L1560">
        <f t="shared" si="73"/>
        <v>188.08529999999999</v>
      </c>
      <c r="M1560">
        <v>4</v>
      </c>
      <c r="N1560" t="str">
        <f t="shared" si="74"/>
        <v>Regular</v>
      </c>
    </row>
    <row r="1561" spans="1:14" x14ac:dyDescent="0.35">
      <c r="A1561">
        <v>1560</v>
      </c>
      <c r="B1561">
        <v>35</v>
      </c>
      <c r="C1561" t="str">
        <f t="shared" si="72"/>
        <v>Adult</v>
      </c>
      <c r="D1561" t="s">
        <v>11</v>
      </c>
      <c r="E1561" t="s">
        <v>12</v>
      </c>
      <c r="F1561" t="s">
        <v>56</v>
      </c>
      <c r="G1561">
        <v>157.94999999999999</v>
      </c>
      <c r="H1561" t="s">
        <v>19</v>
      </c>
      <c r="I1561" t="s">
        <v>15</v>
      </c>
      <c r="J1561">
        <v>3.8</v>
      </c>
      <c r="K1561">
        <v>14</v>
      </c>
      <c r="L1561">
        <f t="shared" si="73"/>
        <v>135.83699999999999</v>
      </c>
      <c r="M1561">
        <v>2</v>
      </c>
      <c r="N1561" t="str">
        <f t="shared" si="74"/>
        <v>New</v>
      </c>
    </row>
    <row r="1562" spans="1:14" x14ac:dyDescent="0.35">
      <c r="A1562">
        <v>1561</v>
      </c>
      <c r="B1562">
        <v>61</v>
      </c>
      <c r="C1562" t="str">
        <f t="shared" si="72"/>
        <v>Senior</v>
      </c>
      <c r="D1562" t="s">
        <v>11</v>
      </c>
      <c r="E1562" t="s">
        <v>41</v>
      </c>
      <c r="F1562" t="s">
        <v>44</v>
      </c>
      <c r="G1562">
        <v>144.71</v>
      </c>
      <c r="H1562" t="s">
        <v>19</v>
      </c>
      <c r="I1562" t="s">
        <v>15</v>
      </c>
      <c r="J1562">
        <v>5</v>
      </c>
      <c r="K1562">
        <v>16</v>
      </c>
      <c r="L1562">
        <f t="shared" si="73"/>
        <v>121.5564</v>
      </c>
      <c r="M1562">
        <v>8</v>
      </c>
      <c r="N1562" t="str">
        <f t="shared" si="74"/>
        <v>Loyal</v>
      </c>
    </row>
    <row r="1563" spans="1:14" x14ac:dyDescent="0.35">
      <c r="A1563">
        <v>1562</v>
      </c>
      <c r="B1563">
        <v>27</v>
      </c>
      <c r="C1563" t="str">
        <f t="shared" si="72"/>
        <v>Youth</v>
      </c>
      <c r="D1563" t="s">
        <v>16</v>
      </c>
      <c r="E1563" t="s">
        <v>20</v>
      </c>
      <c r="F1563" t="s">
        <v>36</v>
      </c>
      <c r="G1563">
        <v>123.19</v>
      </c>
      <c r="H1563" t="s">
        <v>24</v>
      </c>
      <c r="I1563" t="s">
        <v>15</v>
      </c>
      <c r="J1563">
        <v>5</v>
      </c>
      <c r="K1563">
        <v>12</v>
      </c>
      <c r="L1563">
        <f t="shared" si="73"/>
        <v>108.4072</v>
      </c>
      <c r="M1563">
        <v>6</v>
      </c>
      <c r="N1563" t="str">
        <f t="shared" si="74"/>
        <v>Regular</v>
      </c>
    </row>
    <row r="1564" spans="1:14" x14ac:dyDescent="0.35">
      <c r="A1564">
        <v>1563</v>
      </c>
      <c r="B1564">
        <v>56</v>
      </c>
      <c r="C1564" t="str">
        <f t="shared" si="72"/>
        <v>Adult</v>
      </c>
      <c r="D1564" t="s">
        <v>16</v>
      </c>
      <c r="E1564" t="s">
        <v>20</v>
      </c>
      <c r="F1564" t="s">
        <v>39</v>
      </c>
      <c r="G1564">
        <v>174.68</v>
      </c>
      <c r="H1564" t="s">
        <v>14</v>
      </c>
      <c r="I1564" t="s">
        <v>15</v>
      </c>
      <c r="J1564">
        <v>3.1</v>
      </c>
      <c r="K1564">
        <v>22</v>
      </c>
      <c r="L1564">
        <f t="shared" si="73"/>
        <v>136.25040000000001</v>
      </c>
      <c r="M1564">
        <v>6</v>
      </c>
      <c r="N1564" t="str">
        <f t="shared" si="74"/>
        <v>Regular</v>
      </c>
    </row>
    <row r="1565" spans="1:14" x14ac:dyDescent="0.35">
      <c r="A1565">
        <v>1564</v>
      </c>
      <c r="B1565">
        <v>54</v>
      </c>
      <c r="C1565" t="str">
        <f t="shared" si="72"/>
        <v>Adult</v>
      </c>
      <c r="D1565" t="s">
        <v>16</v>
      </c>
      <c r="E1565" t="s">
        <v>33</v>
      </c>
      <c r="F1565" t="s">
        <v>38</v>
      </c>
      <c r="G1565">
        <v>80.349999999999994</v>
      </c>
      <c r="H1565" t="s">
        <v>14</v>
      </c>
      <c r="I1565" t="s">
        <v>37</v>
      </c>
      <c r="J1565">
        <v>3.8</v>
      </c>
      <c r="K1565">
        <v>14</v>
      </c>
      <c r="L1565">
        <f t="shared" si="73"/>
        <v>69.100999999999999</v>
      </c>
      <c r="M1565">
        <v>2</v>
      </c>
      <c r="N1565" t="str">
        <f t="shared" si="74"/>
        <v>New</v>
      </c>
    </row>
    <row r="1566" spans="1:14" x14ac:dyDescent="0.35">
      <c r="A1566">
        <v>1565</v>
      </c>
      <c r="B1566">
        <v>46</v>
      </c>
      <c r="C1566" t="str">
        <f t="shared" si="72"/>
        <v>Adult</v>
      </c>
      <c r="D1566" t="s">
        <v>11</v>
      </c>
      <c r="E1566" t="s">
        <v>22</v>
      </c>
      <c r="F1566" t="s">
        <v>23</v>
      </c>
      <c r="G1566">
        <v>196.05</v>
      </c>
      <c r="H1566" t="s">
        <v>14</v>
      </c>
      <c r="I1566" t="s">
        <v>15</v>
      </c>
      <c r="J1566">
        <v>4.5999999999999996</v>
      </c>
      <c r="K1566">
        <v>12</v>
      </c>
      <c r="L1566">
        <f t="shared" si="73"/>
        <v>172.524</v>
      </c>
      <c r="M1566">
        <v>1</v>
      </c>
      <c r="N1566" t="str">
        <f t="shared" si="74"/>
        <v>New</v>
      </c>
    </row>
    <row r="1567" spans="1:14" x14ac:dyDescent="0.35">
      <c r="A1567">
        <v>1566</v>
      </c>
      <c r="B1567">
        <v>55</v>
      </c>
      <c r="C1567" t="str">
        <f t="shared" si="72"/>
        <v>Adult</v>
      </c>
      <c r="D1567" t="s">
        <v>11</v>
      </c>
      <c r="E1567" t="s">
        <v>29</v>
      </c>
      <c r="F1567" t="s">
        <v>51</v>
      </c>
      <c r="G1567">
        <v>127.11</v>
      </c>
      <c r="H1567" t="s">
        <v>19</v>
      </c>
      <c r="I1567" t="s">
        <v>15</v>
      </c>
      <c r="J1567">
        <v>4.0999999999999996</v>
      </c>
      <c r="K1567">
        <v>15</v>
      </c>
      <c r="L1567">
        <f t="shared" si="73"/>
        <v>108.04349999999999</v>
      </c>
      <c r="M1567">
        <v>5</v>
      </c>
      <c r="N1567" t="str">
        <f t="shared" si="74"/>
        <v>Regular</v>
      </c>
    </row>
    <row r="1568" spans="1:14" x14ac:dyDescent="0.35">
      <c r="A1568">
        <v>1567</v>
      </c>
      <c r="B1568">
        <v>30</v>
      </c>
      <c r="C1568" t="str">
        <f t="shared" si="72"/>
        <v>Youth</v>
      </c>
      <c r="D1568" t="s">
        <v>11</v>
      </c>
      <c r="E1568" t="s">
        <v>29</v>
      </c>
      <c r="F1568" t="s">
        <v>30</v>
      </c>
      <c r="G1568">
        <v>69.8</v>
      </c>
      <c r="H1568" t="s">
        <v>24</v>
      </c>
      <c r="I1568" t="s">
        <v>37</v>
      </c>
      <c r="J1568">
        <v>2.8</v>
      </c>
      <c r="K1568">
        <v>18</v>
      </c>
      <c r="L1568">
        <f t="shared" si="73"/>
        <v>57.236000000000004</v>
      </c>
      <c r="M1568">
        <v>4</v>
      </c>
      <c r="N1568" t="str">
        <f t="shared" si="74"/>
        <v>Regular</v>
      </c>
    </row>
    <row r="1569" spans="1:14" x14ac:dyDescent="0.35">
      <c r="A1569">
        <v>1568</v>
      </c>
      <c r="B1569">
        <v>27</v>
      </c>
      <c r="C1569" t="str">
        <f t="shared" si="72"/>
        <v>Youth</v>
      </c>
      <c r="D1569" t="s">
        <v>16</v>
      </c>
      <c r="E1569" t="s">
        <v>20</v>
      </c>
      <c r="F1569" t="s">
        <v>36</v>
      </c>
      <c r="G1569">
        <v>210.43</v>
      </c>
      <c r="H1569" t="s">
        <v>14</v>
      </c>
      <c r="I1569" t="s">
        <v>15</v>
      </c>
      <c r="J1569">
        <v>3.9</v>
      </c>
      <c r="K1569">
        <v>16</v>
      </c>
      <c r="L1569">
        <f t="shared" si="73"/>
        <v>176.7612</v>
      </c>
      <c r="M1569">
        <v>3</v>
      </c>
      <c r="N1569" t="str">
        <f t="shared" si="74"/>
        <v>New</v>
      </c>
    </row>
    <row r="1570" spans="1:14" x14ac:dyDescent="0.35">
      <c r="A1570">
        <v>1569</v>
      </c>
      <c r="B1570">
        <v>56</v>
      </c>
      <c r="C1570" t="str">
        <f t="shared" si="72"/>
        <v>Adult</v>
      </c>
      <c r="D1570" t="s">
        <v>16</v>
      </c>
      <c r="E1570" t="s">
        <v>20</v>
      </c>
      <c r="F1570" t="s">
        <v>36</v>
      </c>
      <c r="G1570">
        <v>219.8</v>
      </c>
      <c r="H1570" t="s">
        <v>24</v>
      </c>
      <c r="I1570" t="s">
        <v>15</v>
      </c>
      <c r="J1570">
        <v>3.9</v>
      </c>
      <c r="K1570">
        <v>6</v>
      </c>
      <c r="L1570">
        <f t="shared" si="73"/>
        <v>206.61199999999999</v>
      </c>
      <c r="M1570">
        <v>3</v>
      </c>
      <c r="N1570" t="str">
        <f t="shared" si="74"/>
        <v>New</v>
      </c>
    </row>
    <row r="1571" spans="1:14" x14ac:dyDescent="0.35">
      <c r="A1571">
        <v>1570</v>
      </c>
      <c r="B1571">
        <v>42</v>
      </c>
      <c r="C1571" t="str">
        <f t="shared" si="72"/>
        <v>Adult</v>
      </c>
      <c r="D1571" t="s">
        <v>11</v>
      </c>
      <c r="E1571" t="s">
        <v>33</v>
      </c>
      <c r="F1571" t="s">
        <v>38</v>
      </c>
      <c r="G1571">
        <v>74.97</v>
      </c>
      <c r="H1571" t="s">
        <v>31</v>
      </c>
      <c r="I1571" t="s">
        <v>37</v>
      </c>
      <c r="J1571">
        <v>2.2000000000000002</v>
      </c>
      <c r="K1571">
        <v>6</v>
      </c>
      <c r="L1571">
        <f t="shared" si="73"/>
        <v>70.471800000000002</v>
      </c>
      <c r="M1571">
        <v>3</v>
      </c>
      <c r="N1571" t="str">
        <f t="shared" si="74"/>
        <v>New</v>
      </c>
    </row>
    <row r="1572" spans="1:14" x14ac:dyDescent="0.35">
      <c r="A1572">
        <v>1571</v>
      </c>
      <c r="B1572">
        <v>34</v>
      </c>
      <c r="C1572" t="str">
        <f t="shared" si="72"/>
        <v>Adult</v>
      </c>
      <c r="D1572" t="s">
        <v>11</v>
      </c>
      <c r="E1572" t="s">
        <v>29</v>
      </c>
      <c r="F1572" t="s">
        <v>51</v>
      </c>
      <c r="G1572">
        <v>103.19</v>
      </c>
      <c r="H1572" t="s">
        <v>31</v>
      </c>
      <c r="I1572" t="s">
        <v>15</v>
      </c>
      <c r="J1572">
        <v>4</v>
      </c>
      <c r="K1572">
        <v>10</v>
      </c>
      <c r="L1572">
        <f t="shared" si="73"/>
        <v>92.870999999999995</v>
      </c>
      <c r="M1572">
        <v>5</v>
      </c>
      <c r="N1572" t="str">
        <f t="shared" si="74"/>
        <v>Regular</v>
      </c>
    </row>
    <row r="1573" spans="1:14" x14ac:dyDescent="0.35">
      <c r="A1573">
        <v>1572</v>
      </c>
      <c r="B1573">
        <v>21</v>
      </c>
      <c r="C1573" t="str">
        <f t="shared" si="72"/>
        <v>Youth</v>
      </c>
      <c r="D1573" t="s">
        <v>11</v>
      </c>
      <c r="E1573" t="s">
        <v>29</v>
      </c>
      <c r="F1573" t="s">
        <v>55</v>
      </c>
      <c r="G1573">
        <v>138.69</v>
      </c>
      <c r="H1573" t="s">
        <v>24</v>
      </c>
      <c r="I1573" t="s">
        <v>15</v>
      </c>
      <c r="J1573">
        <v>4.5</v>
      </c>
      <c r="K1573">
        <v>16</v>
      </c>
      <c r="L1573">
        <f t="shared" si="73"/>
        <v>116.49959999999999</v>
      </c>
      <c r="M1573">
        <v>3</v>
      </c>
      <c r="N1573" t="str">
        <f t="shared" si="74"/>
        <v>New</v>
      </c>
    </row>
    <row r="1574" spans="1:14" x14ac:dyDescent="0.35">
      <c r="A1574">
        <v>1573</v>
      </c>
      <c r="B1574">
        <v>49</v>
      </c>
      <c r="C1574" t="str">
        <f t="shared" si="72"/>
        <v>Adult</v>
      </c>
      <c r="D1574" t="s">
        <v>16</v>
      </c>
      <c r="E1574" t="s">
        <v>20</v>
      </c>
      <c r="F1574" t="s">
        <v>36</v>
      </c>
      <c r="G1574">
        <v>164.76</v>
      </c>
      <c r="H1574" t="s">
        <v>31</v>
      </c>
      <c r="I1574" t="s">
        <v>15</v>
      </c>
      <c r="J1574">
        <v>3.5</v>
      </c>
      <c r="K1574">
        <v>26</v>
      </c>
      <c r="L1574">
        <f t="shared" si="73"/>
        <v>121.9224</v>
      </c>
      <c r="M1574">
        <v>8</v>
      </c>
      <c r="N1574" t="str">
        <f t="shared" si="74"/>
        <v>Loyal</v>
      </c>
    </row>
    <row r="1575" spans="1:14" x14ac:dyDescent="0.35">
      <c r="A1575">
        <v>1574</v>
      </c>
      <c r="B1575">
        <v>25</v>
      </c>
      <c r="C1575" t="str">
        <f t="shared" si="72"/>
        <v>Youth</v>
      </c>
      <c r="D1575" t="s">
        <v>16</v>
      </c>
      <c r="E1575" t="s">
        <v>20</v>
      </c>
      <c r="F1575" t="s">
        <v>36</v>
      </c>
      <c r="G1575">
        <v>182.09</v>
      </c>
      <c r="H1575" t="s">
        <v>24</v>
      </c>
      <c r="I1575" t="s">
        <v>15</v>
      </c>
      <c r="J1575">
        <v>3.9</v>
      </c>
      <c r="K1575">
        <v>8</v>
      </c>
      <c r="L1575">
        <f t="shared" si="73"/>
        <v>167.52280000000002</v>
      </c>
      <c r="M1575">
        <v>4</v>
      </c>
      <c r="N1575" t="str">
        <f t="shared" si="74"/>
        <v>Regular</v>
      </c>
    </row>
    <row r="1576" spans="1:14" x14ac:dyDescent="0.35">
      <c r="A1576">
        <v>1575</v>
      </c>
      <c r="B1576">
        <v>50</v>
      </c>
      <c r="C1576" t="str">
        <f t="shared" si="72"/>
        <v>Adult</v>
      </c>
      <c r="D1576" t="s">
        <v>16</v>
      </c>
      <c r="E1576" t="s">
        <v>33</v>
      </c>
      <c r="F1576" t="s">
        <v>38</v>
      </c>
      <c r="G1576">
        <v>180.26</v>
      </c>
      <c r="H1576" t="s">
        <v>19</v>
      </c>
      <c r="I1576" t="s">
        <v>15</v>
      </c>
      <c r="J1576">
        <v>3.9</v>
      </c>
      <c r="K1576">
        <v>2</v>
      </c>
      <c r="L1576">
        <f t="shared" si="73"/>
        <v>176.65479999999999</v>
      </c>
      <c r="M1576">
        <v>1</v>
      </c>
      <c r="N1576" t="str">
        <f t="shared" si="74"/>
        <v>New</v>
      </c>
    </row>
    <row r="1577" spans="1:14" x14ac:dyDescent="0.35">
      <c r="A1577">
        <v>1576</v>
      </c>
      <c r="B1577">
        <v>45</v>
      </c>
      <c r="C1577" t="str">
        <f t="shared" si="72"/>
        <v>Adult</v>
      </c>
      <c r="D1577" t="s">
        <v>11</v>
      </c>
      <c r="E1577" t="s">
        <v>12</v>
      </c>
      <c r="F1577" t="s">
        <v>50</v>
      </c>
      <c r="G1577">
        <v>159.72999999999999</v>
      </c>
      <c r="H1577" t="s">
        <v>19</v>
      </c>
      <c r="I1577" t="s">
        <v>15</v>
      </c>
      <c r="J1577">
        <v>3.7</v>
      </c>
      <c r="K1577">
        <v>10</v>
      </c>
      <c r="L1577">
        <f t="shared" si="73"/>
        <v>143.75700000000001</v>
      </c>
      <c r="M1577">
        <v>5</v>
      </c>
      <c r="N1577" t="str">
        <f t="shared" si="74"/>
        <v>Regular</v>
      </c>
    </row>
    <row r="1578" spans="1:14" x14ac:dyDescent="0.35">
      <c r="A1578">
        <v>1577</v>
      </c>
      <c r="B1578">
        <v>36</v>
      </c>
      <c r="C1578" t="str">
        <f t="shared" si="72"/>
        <v>Adult</v>
      </c>
      <c r="D1578" t="s">
        <v>11</v>
      </c>
      <c r="E1578" t="s">
        <v>41</v>
      </c>
      <c r="F1578" t="s">
        <v>45</v>
      </c>
      <c r="G1578">
        <v>178.61</v>
      </c>
      <c r="H1578" t="s">
        <v>19</v>
      </c>
      <c r="I1578" t="s">
        <v>15</v>
      </c>
      <c r="J1578">
        <v>3.7</v>
      </c>
      <c r="K1578">
        <v>16</v>
      </c>
      <c r="L1578">
        <f t="shared" si="73"/>
        <v>150.0324</v>
      </c>
      <c r="M1578">
        <v>3</v>
      </c>
      <c r="N1578" t="str">
        <f t="shared" si="74"/>
        <v>New</v>
      </c>
    </row>
    <row r="1579" spans="1:14" x14ac:dyDescent="0.35">
      <c r="A1579">
        <v>1578</v>
      </c>
      <c r="B1579">
        <v>55</v>
      </c>
      <c r="C1579" t="str">
        <f t="shared" si="72"/>
        <v>Adult</v>
      </c>
      <c r="D1579" t="s">
        <v>11</v>
      </c>
      <c r="E1579" t="s">
        <v>41</v>
      </c>
      <c r="F1579" t="s">
        <v>44</v>
      </c>
      <c r="G1579">
        <v>100.75</v>
      </c>
      <c r="H1579" t="s">
        <v>14</v>
      </c>
      <c r="I1579" t="s">
        <v>15</v>
      </c>
      <c r="J1579">
        <v>4.2</v>
      </c>
      <c r="K1579">
        <v>26</v>
      </c>
      <c r="L1579">
        <f t="shared" si="73"/>
        <v>74.554999999999993</v>
      </c>
      <c r="M1579">
        <v>8</v>
      </c>
      <c r="N1579" t="str">
        <f t="shared" si="74"/>
        <v>Loyal</v>
      </c>
    </row>
    <row r="1580" spans="1:14" x14ac:dyDescent="0.35">
      <c r="A1580">
        <v>1579</v>
      </c>
      <c r="B1580">
        <v>67</v>
      </c>
      <c r="C1580" t="str">
        <f t="shared" si="72"/>
        <v>Senior</v>
      </c>
      <c r="D1580" t="s">
        <v>11</v>
      </c>
      <c r="E1580" t="s">
        <v>20</v>
      </c>
      <c r="F1580" t="s">
        <v>36</v>
      </c>
      <c r="G1580">
        <v>65.25</v>
      </c>
      <c r="H1580" t="s">
        <v>24</v>
      </c>
      <c r="I1580" t="s">
        <v>15</v>
      </c>
      <c r="J1580">
        <v>3.8</v>
      </c>
      <c r="K1580">
        <v>17</v>
      </c>
      <c r="L1580">
        <f t="shared" si="73"/>
        <v>54.157499999999999</v>
      </c>
      <c r="M1580">
        <v>6</v>
      </c>
      <c r="N1580" t="str">
        <f t="shared" si="74"/>
        <v>Regular</v>
      </c>
    </row>
    <row r="1581" spans="1:14" x14ac:dyDescent="0.35">
      <c r="A1581">
        <v>1580</v>
      </c>
      <c r="B1581">
        <v>31</v>
      </c>
      <c r="C1581" t="str">
        <f t="shared" si="72"/>
        <v>Adult</v>
      </c>
      <c r="D1581" t="s">
        <v>16</v>
      </c>
      <c r="E1581" t="s">
        <v>17</v>
      </c>
      <c r="F1581" t="s">
        <v>18</v>
      </c>
      <c r="G1581">
        <v>191.96</v>
      </c>
      <c r="H1581" t="s">
        <v>31</v>
      </c>
      <c r="I1581" t="s">
        <v>15</v>
      </c>
      <c r="J1581">
        <v>3.7</v>
      </c>
      <c r="K1581">
        <v>13</v>
      </c>
      <c r="L1581">
        <f t="shared" si="73"/>
        <v>167.0052</v>
      </c>
      <c r="M1581">
        <v>4</v>
      </c>
      <c r="N1581" t="str">
        <f t="shared" si="74"/>
        <v>Regular</v>
      </c>
    </row>
    <row r="1582" spans="1:14" x14ac:dyDescent="0.35">
      <c r="A1582">
        <v>1581</v>
      </c>
      <c r="B1582">
        <v>42</v>
      </c>
      <c r="C1582" t="str">
        <f t="shared" si="72"/>
        <v>Adult</v>
      </c>
      <c r="D1582" t="s">
        <v>11</v>
      </c>
      <c r="E1582" t="s">
        <v>41</v>
      </c>
      <c r="F1582" t="s">
        <v>46</v>
      </c>
      <c r="G1582">
        <v>152.61000000000001</v>
      </c>
      <c r="H1582" t="s">
        <v>31</v>
      </c>
      <c r="I1582" t="s">
        <v>15</v>
      </c>
      <c r="J1582">
        <v>3.2</v>
      </c>
      <c r="K1582">
        <v>18</v>
      </c>
      <c r="L1582">
        <f t="shared" si="73"/>
        <v>125.14020000000002</v>
      </c>
      <c r="M1582">
        <v>4</v>
      </c>
      <c r="N1582" t="str">
        <f t="shared" si="74"/>
        <v>Regular</v>
      </c>
    </row>
    <row r="1583" spans="1:14" x14ac:dyDescent="0.35">
      <c r="A1583">
        <v>1582</v>
      </c>
      <c r="B1583">
        <v>37</v>
      </c>
      <c r="C1583" t="str">
        <f t="shared" si="72"/>
        <v>Adult</v>
      </c>
      <c r="D1583" t="s">
        <v>16</v>
      </c>
      <c r="E1583" t="s">
        <v>20</v>
      </c>
      <c r="F1583" t="s">
        <v>36</v>
      </c>
      <c r="G1583">
        <v>118.07</v>
      </c>
      <c r="H1583" t="s">
        <v>24</v>
      </c>
      <c r="I1583" t="s">
        <v>15</v>
      </c>
      <c r="J1583">
        <v>2.8</v>
      </c>
      <c r="K1583">
        <v>22</v>
      </c>
      <c r="L1583">
        <f t="shared" si="73"/>
        <v>92.0946</v>
      </c>
      <c r="M1583">
        <v>6</v>
      </c>
      <c r="N1583" t="str">
        <f t="shared" si="74"/>
        <v>Regular</v>
      </c>
    </row>
    <row r="1584" spans="1:14" x14ac:dyDescent="0.35">
      <c r="A1584">
        <v>1583</v>
      </c>
      <c r="B1584">
        <v>39</v>
      </c>
      <c r="C1584" t="str">
        <f t="shared" si="72"/>
        <v>Adult</v>
      </c>
      <c r="D1584" t="s">
        <v>11</v>
      </c>
      <c r="E1584" t="s">
        <v>29</v>
      </c>
      <c r="F1584" t="s">
        <v>51</v>
      </c>
      <c r="G1584">
        <v>100.38</v>
      </c>
      <c r="H1584" t="s">
        <v>14</v>
      </c>
      <c r="I1584" t="s">
        <v>15</v>
      </c>
      <c r="J1584">
        <v>4.3</v>
      </c>
      <c r="K1584">
        <v>10</v>
      </c>
      <c r="L1584">
        <f t="shared" si="73"/>
        <v>90.341999999999999</v>
      </c>
      <c r="M1584">
        <v>5</v>
      </c>
      <c r="N1584" t="str">
        <f t="shared" si="74"/>
        <v>Regular</v>
      </c>
    </row>
    <row r="1585" spans="1:14" x14ac:dyDescent="0.35">
      <c r="A1585">
        <v>1584</v>
      </c>
      <c r="B1585">
        <v>53</v>
      </c>
      <c r="C1585" t="str">
        <f t="shared" si="72"/>
        <v>Adult</v>
      </c>
      <c r="D1585" t="s">
        <v>11</v>
      </c>
      <c r="E1585" t="s">
        <v>22</v>
      </c>
      <c r="F1585" t="s">
        <v>52</v>
      </c>
      <c r="G1585">
        <v>198.76</v>
      </c>
      <c r="H1585" t="s">
        <v>19</v>
      </c>
      <c r="I1585" t="s">
        <v>15</v>
      </c>
      <c r="J1585">
        <v>3.8</v>
      </c>
      <c r="K1585">
        <v>15</v>
      </c>
      <c r="L1585">
        <f t="shared" si="73"/>
        <v>168.946</v>
      </c>
      <c r="M1585">
        <v>5</v>
      </c>
      <c r="N1585" t="str">
        <f t="shared" si="74"/>
        <v>Regular</v>
      </c>
    </row>
    <row r="1586" spans="1:14" x14ac:dyDescent="0.35">
      <c r="A1586">
        <v>1585</v>
      </c>
      <c r="B1586">
        <v>48</v>
      </c>
      <c r="C1586" t="str">
        <f t="shared" si="72"/>
        <v>Adult</v>
      </c>
      <c r="D1586" t="s">
        <v>16</v>
      </c>
      <c r="E1586" t="s">
        <v>20</v>
      </c>
      <c r="F1586" t="s">
        <v>21</v>
      </c>
      <c r="G1586">
        <v>33.840000000000003</v>
      </c>
      <c r="H1586" t="s">
        <v>14</v>
      </c>
      <c r="I1586" t="s">
        <v>15</v>
      </c>
      <c r="J1586">
        <v>4.0999999999999996</v>
      </c>
      <c r="K1586">
        <v>13</v>
      </c>
      <c r="L1586">
        <f t="shared" si="73"/>
        <v>29.440800000000003</v>
      </c>
      <c r="M1586">
        <v>4</v>
      </c>
      <c r="N1586" t="str">
        <f t="shared" si="74"/>
        <v>Regular</v>
      </c>
    </row>
    <row r="1587" spans="1:14" x14ac:dyDescent="0.35">
      <c r="A1587">
        <v>1586</v>
      </c>
      <c r="B1587">
        <v>30</v>
      </c>
      <c r="C1587" t="str">
        <f t="shared" si="72"/>
        <v>Youth</v>
      </c>
      <c r="D1587" t="s">
        <v>16</v>
      </c>
      <c r="E1587" t="s">
        <v>33</v>
      </c>
      <c r="F1587" t="s">
        <v>34</v>
      </c>
      <c r="G1587">
        <v>106.05</v>
      </c>
      <c r="H1587" t="s">
        <v>14</v>
      </c>
      <c r="I1587" t="s">
        <v>15</v>
      </c>
      <c r="J1587">
        <v>4.4000000000000004</v>
      </c>
      <c r="K1587">
        <v>13</v>
      </c>
      <c r="L1587">
        <f t="shared" si="73"/>
        <v>92.263499999999993</v>
      </c>
      <c r="M1587">
        <v>4</v>
      </c>
      <c r="N1587" t="str">
        <f t="shared" si="74"/>
        <v>Regular</v>
      </c>
    </row>
    <row r="1588" spans="1:14" x14ac:dyDescent="0.35">
      <c r="A1588">
        <v>1587</v>
      </c>
      <c r="B1588">
        <v>40</v>
      </c>
      <c r="C1588" t="str">
        <f t="shared" si="72"/>
        <v>Adult</v>
      </c>
      <c r="D1588" t="s">
        <v>11</v>
      </c>
      <c r="E1588" t="s">
        <v>33</v>
      </c>
      <c r="F1588" t="s">
        <v>34</v>
      </c>
      <c r="G1588">
        <v>54.39</v>
      </c>
      <c r="H1588" t="s">
        <v>14</v>
      </c>
      <c r="I1588" t="s">
        <v>15</v>
      </c>
      <c r="J1588">
        <v>3.9</v>
      </c>
      <c r="K1588">
        <v>8</v>
      </c>
      <c r="L1588">
        <f t="shared" si="73"/>
        <v>50.038800000000002</v>
      </c>
      <c r="M1588">
        <v>4</v>
      </c>
      <c r="N1588" t="str">
        <f t="shared" si="74"/>
        <v>Regular</v>
      </c>
    </row>
    <row r="1589" spans="1:14" x14ac:dyDescent="0.35">
      <c r="A1589">
        <v>1588</v>
      </c>
      <c r="B1589">
        <v>52</v>
      </c>
      <c r="C1589" t="str">
        <f t="shared" si="72"/>
        <v>Adult</v>
      </c>
      <c r="D1589" t="s">
        <v>11</v>
      </c>
      <c r="E1589" t="s">
        <v>25</v>
      </c>
      <c r="F1589" t="s">
        <v>57</v>
      </c>
      <c r="G1589">
        <v>11.01</v>
      </c>
      <c r="H1589" t="s">
        <v>24</v>
      </c>
      <c r="I1589" t="s">
        <v>37</v>
      </c>
      <c r="J1589">
        <v>4.0999999999999996</v>
      </c>
      <c r="K1589">
        <v>8</v>
      </c>
      <c r="L1589">
        <f t="shared" si="73"/>
        <v>10.129200000000001</v>
      </c>
      <c r="M1589">
        <v>4</v>
      </c>
      <c r="N1589" t="str">
        <f t="shared" si="74"/>
        <v>Regular</v>
      </c>
    </row>
    <row r="1590" spans="1:14" x14ac:dyDescent="0.35">
      <c r="A1590">
        <v>1589</v>
      </c>
      <c r="B1590">
        <v>67</v>
      </c>
      <c r="C1590" t="str">
        <f t="shared" si="72"/>
        <v>Senior</v>
      </c>
      <c r="D1590" t="s">
        <v>11</v>
      </c>
      <c r="E1590" t="s">
        <v>33</v>
      </c>
      <c r="F1590" t="s">
        <v>34</v>
      </c>
      <c r="G1590">
        <v>126.08</v>
      </c>
      <c r="H1590" t="s">
        <v>31</v>
      </c>
      <c r="I1590" t="s">
        <v>15</v>
      </c>
      <c r="J1590">
        <v>3.8</v>
      </c>
      <c r="K1590">
        <v>22</v>
      </c>
      <c r="L1590">
        <f t="shared" si="73"/>
        <v>98.342399999999998</v>
      </c>
      <c r="M1590">
        <v>6</v>
      </c>
      <c r="N1590" t="str">
        <f t="shared" si="74"/>
        <v>Regular</v>
      </c>
    </row>
    <row r="1591" spans="1:14" x14ac:dyDescent="0.35">
      <c r="A1591">
        <v>1590</v>
      </c>
      <c r="B1591">
        <v>43</v>
      </c>
      <c r="C1591" t="str">
        <f t="shared" si="72"/>
        <v>Adult</v>
      </c>
      <c r="D1591" t="s">
        <v>16</v>
      </c>
      <c r="E1591" t="s">
        <v>17</v>
      </c>
      <c r="F1591" t="s">
        <v>35</v>
      </c>
      <c r="G1591">
        <v>114.33</v>
      </c>
      <c r="H1591" t="s">
        <v>31</v>
      </c>
      <c r="I1591" t="s">
        <v>15</v>
      </c>
      <c r="J1591">
        <v>3.9</v>
      </c>
      <c r="K1591">
        <v>13</v>
      </c>
      <c r="L1591">
        <f t="shared" si="73"/>
        <v>99.467100000000002</v>
      </c>
      <c r="M1591">
        <v>4</v>
      </c>
      <c r="N1591" t="str">
        <f t="shared" si="74"/>
        <v>Regular</v>
      </c>
    </row>
    <row r="1592" spans="1:14" x14ac:dyDescent="0.35">
      <c r="A1592">
        <v>1591</v>
      </c>
      <c r="B1592">
        <v>52</v>
      </c>
      <c r="C1592" t="str">
        <f t="shared" si="72"/>
        <v>Adult</v>
      </c>
      <c r="D1592" t="s">
        <v>16</v>
      </c>
      <c r="E1592" t="s">
        <v>17</v>
      </c>
      <c r="F1592" t="s">
        <v>42</v>
      </c>
      <c r="G1592">
        <v>157.41</v>
      </c>
      <c r="H1592" t="s">
        <v>31</v>
      </c>
      <c r="I1592" t="s">
        <v>15</v>
      </c>
      <c r="J1592">
        <v>4.7</v>
      </c>
      <c r="K1592">
        <v>16</v>
      </c>
      <c r="L1592">
        <f t="shared" si="73"/>
        <v>132.2244</v>
      </c>
      <c r="M1592">
        <v>3</v>
      </c>
      <c r="N1592" t="str">
        <f t="shared" si="74"/>
        <v>New</v>
      </c>
    </row>
    <row r="1593" spans="1:14" x14ac:dyDescent="0.35">
      <c r="A1593">
        <v>1592</v>
      </c>
      <c r="B1593">
        <v>70</v>
      </c>
      <c r="C1593" t="str">
        <f t="shared" si="72"/>
        <v>Senior</v>
      </c>
      <c r="D1593" t="s">
        <v>11</v>
      </c>
      <c r="E1593" t="s">
        <v>33</v>
      </c>
      <c r="F1593" t="s">
        <v>34</v>
      </c>
      <c r="G1593">
        <v>157.88999999999999</v>
      </c>
      <c r="H1593" t="s">
        <v>14</v>
      </c>
      <c r="I1593" t="s">
        <v>15</v>
      </c>
      <c r="J1593">
        <v>4</v>
      </c>
      <c r="K1593">
        <v>16</v>
      </c>
      <c r="L1593">
        <f t="shared" si="73"/>
        <v>132.62759999999997</v>
      </c>
      <c r="M1593">
        <v>3</v>
      </c>
      <c r="N1593" t="str">
        <f t="shared" si="74"/>
        <v>New</v>
      </c>
    </row>
    <row r="1594" spans="1:14" x14ac:dyDescent="0.35">
      <c r="A1594">
        <v>1593</v>
      </c>
      <c r="B1594">
        <v>46</v>
      </c>
      <c r="C1594" t="str">
        <f t="shared" si="72"/>
        <v>Adult</v>
      </c>
      <c r="D1594" t="s">
        <v>11</v>
      </c>
      <c r="E1594" t="s">
        <v>41</v>
      </c>
      <c r="F1594" t="s">
        <v>45</v>
      </c>
      <c r="G1594">
        <v>52.6</v>
      </c>
      <c r="H1594" t="s">
        <v>31</v>
      </c>
      <c r="I1594" t="s">
        <v>15</v>
      </c>
      <c r="J1594">
        <v>4</v>
      </c>
      <c r="K1594">
        <v>7</v>
      </c>
      <c r="L1594">
        <f t="shared" si="73"/>
        <v>48.917999999999999</v>
      </c>
      <c r="M1594">
        <v>1</v>
      </c>
      <c r="N1594" t="str">
        <f t="shared" si="74"/>
        <v>New</v>
      </c>
    </row>
    <row r="1595" spans="1:14" x14ac:dyDescent="0.35">
      <c r="A1595">
        <v>1594</v>
      </c>
      <c r="B1595">
        <v>63</v>
      </c>
      <c r="C1595" t="str">
        <f t="shared" si="72"/>
        <v>Senior</v>
      </c>
      <c r="D1595" t="s">
        <v>16</v>
      </c>
      <c r="E1595" t="s">
        <v>20</v>
      </c>
      <c r="F1595" t="s">
        <v>21</v>
      </c>
      <c r="G1595">
        <v>37.630000000000003</v>
      </c>
      <c r="H1595" t="s">
        <v>19</v>
      </c>
      <c r="I1595" t="s">
        <v>37</v>
      </c>
      <c r="J1595">
        <v>3.6</v>
      </c>
      <c r="K1595">
        <v>13</v>
      </c>
      <c r="L1595">
        <f t="shared" si="73"/>
        <v>32.738100000000003</v>
      </c>
      <c r="M1595">
        <v>4</v>
      </c>
      <c r="N1595" t="str">
        <f t="shared" si="74"/>
        <v>Regular</v>
      </c>
    </row>
    <row r="1596" spans="1:14" x14ac:dyDescent="0.35">
      <c r="A1596">
        <v>1595</v>
      </c>
      <c r="B1596">
        <v>60</v>
      </c>
      <c r="C1596" t="str">
        <f t="shared" si="72"/>
        <v>Adult</v>
      </c>
      <c r="D1596" t="s">
        <v>16</v>
      </c>
      <c r="E1596" t="s">
        <v>27</v>
      </c>
      <c r="F1596" t="s">
        <v>28</v>
      </c>
      <c r="G1596">
        <v>1061.83</v>
      </c>
      <c r="H1596" t="s">
        <v>31</v>
      </c>
      <c r="I1596" t="s">
        <v>15</v>
      </c>
      <c r="J1596">
        <v>4.9000000000000004</v>
      </c>
      <c r="K1596">
        <v>10</v>
      </c>
      <c r="L1596">
        <f t="shared" si="73"/>
        <v>955.64699999999993</v>
      </c>
      <c r="M1596">
        <v>5</v>
      </c>
      <c r="N1596" t="str">
        <f t="shared" si="74"/>
        <v>Regular</v>
      </c>
    </row>
    <row r="1597" spans="1:14" x14ac:dyDescent="0.35">
      <c r="A1597">
        <v>1596</v>
      </c>
      <c r="B1597">
        <v>53</v>
      </c>
      <c r="C1597" t="str">
        <f t="shared" si="72"/>
        <v>Adult</v>
      </c>
      <c r="D1597" t="s">
        <v>16</v>
      </c>
      <c r="E1597" t="s">
        <v>17</v>
      </c>
      <c r="F1597" t="s">
        <v>18</v>
      </c>
      <c r="G1597">
        <v>44.56</v>
      </c>
      <c r="H1597" t="s">
        <v>31</v>
      </c>
      <c r="I1597" t="s">
        <v>15</v>
      </c>
      <c r="J1597">
        <v>3.9</v>
      </c>
      <c r="K1597">
        <v>26</v>
      </c>
      <c r="L1597">
        <f t="shared" si="73"/>
        <v>32.974400000000003</v>
      </c>
      <c r="M1597">
        <v>8</v>
      </c>
      <c r="N1597" t="str">
        <f t="shared" si="74"/>
        <v>Loyal</v>
      </c>
    </row>
    <row r="1598" spans="1:14" x14ac:dyDescent="0.35">
      <c r="A1598">
        <v>1597</v>
      </c>
      <c r="B1598">
        <v>43</v>
      </c>
      <c r="C1598" t="str">
        <f t="shared" si="72"/>
        <v>Adult</v>
      </c>
      <c r="D1598" t="s">
        <v>11</v>
      </c>
      <c r="E1598" t="s">
        <v>41</v>
      </c>
      <c r="F1598" t="s">
        <v>42</v>
      </c>
      <c r="G1598">
        <v>57.06</v>
      </c>
      <c r="H1598" t="s">
        <v>19</v>
      </c>
      <c r="I1598" t="s">
        <v>15</v>
      </c>
      <c r="J1598">
        <v>3.9</v>
      </c>
      <c r="K1598">
        <v>26</v>
      </c>
      <c r="L1598">
        <f t="shared" si="73"/>
        <v>42.224400000000003</v>
      </c>
      <c r="M1598">
        <v>8</v>
      </c>
      <c r="N1598" t="str">
        <f t="shared" si="74"/>
        <v>Loyal</v>
      </c>
    </row>
    <row r="1599" spans="1:14" x14ac:dyDescent="0.35">
      <c r="A1599">
        <v>1598</v>
      </c>
      <c r="B1599">
        <v>44</v>
      </c>
      <c r="C1599" t="str">
        <f t="shared" si="72"/>
        <v>Adult</v>
      </c>
      <c r="D1599" t="s">
        <v>11</v>
      </c>
      <c r="E1599" t="s">
        <v>41</v>
      </c>
      <c r="F1599" t="s">
        <v>46</v>
      </c>
      <c r="G1599">
        <v>34.94</v>
      </c>
      <c r="H1599" t="s">
        <v>14</v>
      </c>
      <c r="I1599" t="s">
        <v>37</v>
      </c>
      <c r="J1599">
        <v>1.6</v>
      </c>
      <c r="K1599">
        <v>22</v>
      </c>
      <c r="L1599">
        <f t="shared" si="73"/>
        <v>27.2532</v>
      </c>
      <c r="M1599">
        <v>11</v>
      </c>
      <c r="N1599" t="str">
        <f t="shared" si="74"/>
        <v>Loyal</v>
      </c>
    </row>
    <row r="1600" spans="1:14" x14ac:dyDescent="0.35">
      <c r="A1600">
        <v>1599</v>
      </c>
      <c r="B1600">
        <v>32</v>
      </c>
      <c r="C1600" t="str">
        <f t="shared" si="72"/>
        <v>Adult</v>
      </c>
      <c r="D1600" t="s">
        <v>16</v>
      </c>
      <c r="E1600" t="s">
        <v>25</v>
      </c>
      <c r="F1600" t="s">
        <v>47</v>
      </c>
      <c r="G1600">
        <v>12.13</v>
      </c>
      <c r="H1600" t="s">
        <v>24</v>
      </c>
      <c r="I1600" t="s">
        <v>15</v>
      </c>
      <c r="J1600">
        <v>4.9000000000000004</v>
      </c>
      <c r="K1600">
        <v>16</v>
      </c>
      <c r="L1600">
        <f t="shared" si="73"/>
        <v>10.1892</v>
      </c>
      <c r="M1600">
        <v>3</v>
      </c>
      <c r="N1600" t="str">
        <f t="shared" si="74"/>
        <v>New</v>
      </c>
    </row>
    <row r="1601" spans="1:14" x14ac:dyDescent="0.35">
      <c r="A1601">
        <v>1600</v>
      </c>
      <c r="B1601">
        <v>53</v>
      </c>
      <c r="C1601" t="str">
        <f t="shared" si="72"/>
        <v>Adult</v>
      </c>
      <c r="D1601" t="s">
        <v>16</v>
      </c>
      <c r="E1601" t="s">
        <v>27</v>
      </c>
      <c r="F1601" t="s">
        <v>28</v>
      </c>
      <c r="G1601">
        <v>930.34</v>
      </c>
      <c r="H1601" t="s">
        <v>31</v>
      </c>
      <c r="I1601" t="s">
        <v>15</v>
      </c>
      <c r="J1601">
        <v>4.5999999999999996</v>
      </c>
      <c r="K1601">
        <v>10</v>
      </c>
      <c r="L1601">
        <f t="shared" si="73"/>
        <v>837.30600000000004</v>
      </c>
      <c r="M1601">
        <v>5</v>
      </c>
      <c r="N1601" t="str">
        <f t="shared" si="74"/>
        <v>Regular</v>
      </c>
    </row>
    <row r="1602" spans="1:14" x14ac:dyDescent="0.35">
      <c r="A1602">
        <v>1601</v>
      </c>
      <c r="B1602">
        <v>24</v>
      </c>
      <c r="C1602" t="str">
        <f t="shared" si="72"/>
        <v>Youth</v>
      </c>
      <c r="D1602" t="s">
        <v>16</v>
      </c>
      <c r="E1602" t="s">
        <v>27</v>
      </c>
      <c r="F1602" t="s">
        <v>28</v>
      </c>
      <c r="G1602">
        <v>2059.52</v>
      </c>
      <c r="H1602" t="s">
        <v>24</v>
      </c>
      <c r="I1602" t="s">
        <v>15</v>
      </c>
      <c r="J1602">
        <v>3.4</v>
      </c>
      <c r="K1602">
        <v>18</v>
      </c>
      <c r="L1602">
        <f t="shared" si="73"/>
        <v>1688.8064000000002</v>
      </c>
      <c r="M1602">
        <v>4</v>
      </c>
      <c r="N1602" t="str">
        <f t="shared" si="74"/>
        <v>Regular</v>
      </c>
    </row>
    <row r="1603" spans="1:14" x14ac:dyDescent="0.35">
      <c r="A1603">
        <v>1602</v>
      </c>
      <c r="B1603">
        <v>36</v>
      </c>
      <c r="C1603" t="str">
        <f t="shared" ref="C1603:C1666" si="75">IF(B1603&lt;=30,"Youth",IF(B1603&lt;=45,"Adult",IF(B1603&lt;=60,"Adult","Senior")))</f>
        <v>Adult</v>
      </c>
      <c r="D1603" t="s">
        <v>16</v>
      </c>
      <c r="E1603" t="s">
        <v>33</v>
      </c>
      <c r="F1603" t="s">
        <v>40</v>
      </c>
      <c r="G1603">
        <v>160.32</v>
      </c>
      <c r="H1603" t="s">
        <v>14</v>
      </c>
      <c r="I1603" t="s">
        <v>15</v>
      </c>
      <c r="J1603">
        <v>3.9</v>
      </c>
      <c r="K1603">
        <v>16</v>
      </c>
      <c r="L1603">
        <f t="shared" ref="L1603:L1666" si="76">G1603*(1-K1603/100)</f>
        <v>134.66879999999998</v>
      </c>
      <c r="M1603">
        <v>8</v>
      </c>
      <c r="N1603" t="str">
        <f t="shared" ref="N1603:N1666" si="77">IF(M1603&lt;=3,"New",IF(M1603&lt;=7,"Regular","Loyal"))</f>
        <v>Loyal</v>
      </c>
    </row>
    <row r="1604" spans="1:14" x14ac:dyDescent="0.35">
      <c r="A1604">
        <v>1603</v>
      </c>
      <c r="B1604">
        <v>57</v>
      </c>
      <c r="C1604" t="str">
        <f t="shared" si="75"/>
        <v>Adult</v>
      </c>
      <c r="D1604" t="s">
        <v>11</v>
      </c>
      <c r="E1604" t="s">
        <v>12</v>
      </c>
      <c r="F1604" t="s">
        <v>13</v>
      </c>
      <c r="G1604">
        <v>28.73</v>
      </c>
      <c r="H1604" t="s">
        <v>24</v>
      </c>
      <c r="I1604" t="s">
        <v>15</v>
      </c>
      <c r="J1604">
        <v>3.8</v>
      </c>
      <c r="K1604">
        <v>10</v>
      </c>
      <c r="L1604">
        <f t="shared" si="76"/>
        <v>25.856999999999999</v>
      </c>
      <c r="M1604">
        <v>5</v>
      </c>
      <c r="N1604" t="str">
        <f t="shared" si="77"/>
        <v>Regular</v>
      </c>
    </row>
    <row r="1605" spans="1:14" x14ac:dyDescent="0.35">
      <c r="A1605">
        <v>1604</v>
      </c>
      <c r="B1605">
        <v>67</v>
      </c>
      <c r="C1605" t="str">
        <f t="shared" si="75"/>
        <v>Senior</v>
      </c>
      <c r="D1605" t="s">
        <v>16</v>
      </c>
      <c r="E1605" t="s">
        <v>33</v>
      </c>
      <c r="F1605" t="s">
        <v>34</v>
      </c>
      <c r="G1605">
        <v>229.11</v>
      </c>
      <c r="H1605" t="s">
        <v>31</v>
      </c>
      <c r="I1605" t="s">
        <v>15</v>
      </c>
      <c r="J1605">
        <v>4</v>
      </c>
      <c r="K1605">
        <v>13</v>
      </c>
      <c r="L1605">
        <f t="shared" si="76"/>
        <v>199.32570000000001</v>
      </c>
      <c r="M1605">
        <v>4</v>
      </c>
      <c r="N1605" t="str">
        <f t="shared" si="77"/>
        <v>Regular</v>
      </c>
    </row>
    <row r="1606" spans="1:14" x14ac:dyDescent="0.35">
      <c r="A1606">
        <v>1605</v>
      </c>
      <c r="B1606">
        <v>38</v>
      </c>
      <c r="C1606" t="str">
        <f t="shared" si="75"/>
        <v>Adult</v>
      </c>
      <c r="D1606" t="s">
        <v>16</v>
      </c>
      <c r="E1606" t="s">
        <v>20</v>
      </c>
      <c r="F1606" t="s">
        <v>36</v>
      </c>
      <c r="G1606">
        <v>163.57</v>
      </c>
      <c r="H1606" t="s">
        <v>19</v>
      </c>
      <c r="I1606" t="s">
        <v>15</v>
      </c>
      <c r="J1606">
        <v>4</v>
      </c>
      <c r="K1606">
        <v>11</v>
      </c>
      <c r="L1606">
        <f t="shared" si="76"/>
        <v>145.57730000000001</v>
      </c>
      <c r="M1606">
        <v>3</v>
      </c>
      <c r="N1606" t="str">
        <f t="shared" si="77"/>
        <v>New</v>
      </c>
    </row>
    <row r="1607" spans="1:14" x14ac:dyDescent="0.35">
      <c r="A1607">
        <v>1606</v>
      </c>
      <c r="B1607">
        <v>48</v>
      </c>
      <c r="C1607" t="str">
        <f t="shared" si="75"/>
        <v>Adult</v>
      </c>
      <c r="D1607" t="s">
        <v>16</v>
      </c>
      <c r="E1607" t="s">
        <v>20</v>
      </c>
      <c r="F1607" t="s">
        <v>21</v>
      </c>
      <c r="G1607">
        <v>149.97999999999999</v>
      </c>
      <c r="H1607" t="s">
        <v>24</v>
      </c>
      <c r="I1607" t="s">
        <v>15</v>
      </c>
      <c r="J1607">
        <v>4.0999999999999996</v>
      </c>
      <c r="K1607">
        <v>9</v>
      </c>
      <c r="L1607">
        <f t="shared" si="76"/>
        <v>136.48179999999999</v>
      </c>
      <c r="M1607">
        <v>2</v>
      </c>
      <c r="N1607" t="str">
        <f t="shared" si="77"/>
        <v>New</v>
      </c>
    </row>
    <row r="1608" spans="1:14" x14ac:dyDescent="0.35">
      <c r="A1608">
        <v>1607</v>
      </c>
      <c r="B1608">
        <v>47</v>
      </c>
      <c r="C1608" t="str">
        <f t="shared" si="75"/>
        <v>Adult</v>
      </c>
      <c r="D1608" t="s">
        <v>16</v>
      </c>
      <c r="E1608" t="s">
        <v>17</v>
      </c>
      <c r="F1608" t="s">
        <v>42</v>
      </c>
      <c r="G1608">
        <v>32.58</v>
      </c>
      <c r="H1608" t="s">
        <v>24</v>
      </c>
      <c r="I1608" t="s">
        <v>15</v>
      </c>
      <c r="J1608">
        <v>4.5</v>
      </c>
      <c r="K1608">
        <v>14</v>
      </c>
      <c r="L1608">
        <f t="shared" si="76"/>
        <v>28.018799999999999</v>
      </c>
      <c r="M1608">
        <v>7</v>
      </c>
      <c r="N1608" t="str">
        <f t="shared" si="77"/>
        <v>Regular</v>
      </c>
    </row>
    <row r="1609" spans="1:14" x14ac:dyDescent="0.35">
      <c r="A1609">
        <v>1608</v>
      </c>
      <c r="B1609">
        <v>60</v>
      </c>
      <c r="C1609" t="str">
        <f t="shared" si="75"/>
        <v>Adult</v>
      </c>
      <c r="D1609" t="s">
        <v>16</v>
      </c>
      <c r="E1609" t="s">
        <v>20</v>
      </c>
      <c r="F1609" t="s">
        <v>36</v>
      </c>
      <c r="G1609">
        <v>61.48</v>
      </c>
      <c r="H1609" t="s">
        <v>19</v>
      </c>
      <c r="I1609" t="s">
        <v>15</v>
      </c>
      <c r="J1609">
        <v>3.9</v>
      </c>
      <c r="K1609">
        <v>22</v>
      </c>
      <c r="L1609">
        <f t="shared" si="76"/>
        <v>47.9544</v>
      </c>
      <c r="M1609">
        <v>6</v>
      </c>
      <c r="N1609" t="str">
        <f t="shared" si="77"/>
        <v>Regular</v>
      </c>
    </row>
    <row r="1610" spans="1:14" x14ac:dyDescent="0.35">
      <c r="A1610">
        <v>1609</v>
      </c>
      <c r="B1610">
        <v>56</v>
      </c>
      <c r="C1610" t="str">
        <f t="shared" si="75"/>
        <v>Adult</v>
      </c>
      <c r="D1610" t="s">
        <v>11</v>
      </c>
      <c r="E1610" t="s">
        <v>33</v>
      </c>
      <c r="F1610" t="s">
        <v>38</v>
      </c>
      <c r="G1610">
        <v>140.04</v>
      </c>
      <c r="H1610" t="s">
        <v>24</v>
      </c>
      <c r="I1610" t="s">
        <v>15</v>
      </c>
      <c r="J1610">
        <v>3.2</v>
      </c>
      <c r="K1610">
        <v>11</v>
      </c>
      <c r="L1610">
        <f t="shared" si="76"/>
        <v>124.6356</v>
      </c>
      <c r="M1610">
        <v>3</v>
      </c>
      <c r="N1610" t="str">
        <f t="shared" si="77"/>
        <v>New</v>
      </c>
    </row>
    <row r="1611" spans="1:14" x14ac:dyDescent="0.35">
      <c r="A1611">
        <v>1610</v>
      </c>
      <c r="B1611">
        <v>60</v>
      </c>
      <c r="C1611" t="str">
        <f t="shared" si="75"/>
        <v>Adult</v>
      </c>
      <c r="D1611" t="s">
        <v>11</v>
      </c>
      <c r="E1611" t="s">
        <v>12</v>
      </c>
      <c r="F1611" t="s">
        <v>50</v>
      </c>
      <c r="G1611">
        <v>47.05</v>
      </c>
      <c r="H1611" t="s">
        <v>24</v>
      </c>
      <c r="I1611" t="s">
        <v>15</v>
      </c>
      <c r="J1611">
        <v>2.2999999999999998</v>
      </c>
      <c r="K1611">
        <v>15</v>
      </c>
      <c r="L1611">
        <f t="shared" si="76"/>
        <v>39.9925</v>
      </c>
      <c r="M1611">
        <v>5</v>
      </c>
      <c r="N1611" t="str">
        <f t="shared" si="77"/>
        <v>Regular</v>
      </c>
    </row>
    <row r="1612" spans="1:14" x14ac:dyDescent="0.35">
      <c r="A1612">
        <v>1611</v>
      </c>
      <c r="B1612">
        <v>58</v>
      </c>
      <c r="C1612" t="str">
        <f t="shared" si="75"/>
        <v>Adult</v>
      </c>
      <c r="D1612" t="s">
        <v>11</v>
      </c>
      <c r="E1612" t="s">
        <v>20</v>
      </c>
      <c r="F1612" t="s">
        <v>39</v>
      </c>
      <c r="G1612">
        <v>187.21</v>
      </c>
      <c r="H1612" t="s">
        <v>24</v>
      </c>
      <c r="I1612" t="s">
        <v>15</v>
      </c>
      <c r="J1612">
        <v>3.7</v>
      </c>
      <c r="K1612">
        <v>19</v>
      </c>
      <c r="L1612">
        <f t="shared" si="76"/>
        <v>151.64010000000002</v>
      </c>
      <c r="M1612">
        <v>7</v>
      </c>
      <c r="N1612" t="str">
        <f t="shared" si="77"/>
        <v>Regular</v>
      </c>
    </row>
    <row r="1613" spans="1:14" x14ac:dyDescent="0.35">
      <c r="A1613">
        <v>1612</v>
      </c>
      <c r="B1613">
        <v>67</v>
      </c>
      <c r="C1613" t="str">
        <f t="shared" si="75"/>
        <v>Senior</v>
      </c>
      <c r="D1613" t="s">
        <v>11</v>
      </c>
      <c r="E1613" t="s">
        <v>33</v>
      </c>
      <c r="F1613" t="s">
        <v>40</v>
      </c>
      <c r="G1613">
        <v>211.09</v>
      </c>
      <c r="H1613" t="s">
        <v>19</v>
      </c>
      <c r="I1613" t="s">
        <v>15</v>
      </c>
      <c r="J1613">
        <v>3.8</v>
      </c>
      <c r="K1613">
        <v>9</v>
      </c>
      <c r="L1613">
        <f t="shared" si="76"/>
        <v>192.09190000000001</v>
      </c>
      <c r="M1613">
        <v>2</v>
      </c>
      <c r="N1613" t="str">
        <f t="shared" si="77"/>
        <v>New</v>
      </c>
    </row>
    <row r="1614" spans="1:14" x14ac:dyDescent="0.35">
      <c r="A1614">
        <v>1613</v>
      </c>
      <c r="B1614">
        <v>56</v>
      </c>
      <c r="C1614" t="str">
        <f t="shared" si="75"/>
        <v>Adult</v>
      </c>
      <c r="D1614" t="s">
        <v>11</v>
      </c>
      <c r="E1614" t="s">
        <v>33</v>
      </c>
      <c r="F1614" t="s">
        <v>40</v>
      </c>
      <c r="G1614">
        <v>181.83</v>
      </c>
      <c r="H1614" t="s">
        <v>19</v>
      </c>
      <c r="I1614" t="s">
        <v>15</v>
      </c>
      <c r="J1614">
        <v>4</v>
      </c>
      <c r="K1614">
        <v>2</v>
      </c>
      <c r="L1614">
        <f t="shared" si="76"/>
        <v>178.1934</v>
      </c>
      <c r="M1614">
        <v>1</v>
      </c>
      <c r="N1614" t="str">
        <f t="shared" si="77"/>
        <v>New</v>
      </c>
    </row>
    <row r="1615" spans="1:14" x14ac:dyDescent="0.35">
      <c r="A1615">
        <v>1614</v>
      </c>
      <c r="B1615">
        <v>39</v>
      </c>
      <c r="C1615" t="str">
        <f t="shared" si="75"/>
        <v>Adult</v>
      </c>
      <c r="D1615" t="s">
        <v>11</v>
      </c>
      <c r="E1615" t="s">
        <v>29</v>
      </c>
      <c r="F1615" t="s">
        <v>30</v>
      </c>
      <c r="G1615">
        <v>96.55</v>
      </c>
      <c r="H1615" t="s">
        <v>24</v>
      </c>
      <c r="I1615" t="s">
        <v>37</v>
      </c>
      <c r="J1615">
        <v>3.5</v>
      </c>
      <c r="K1615">
        <v>21</v>
      </c>
      <c r="L1615">
        <f t="shared" si="76"/>
        <v>76.274500000000003</v>
      </c>
      <c r="M1615">
        <v>8</v>
      </c>
      <c r="N1615" t="str">
        <f t="shared" si="77"/>
        <v>Loyal</v>
      </c>
    </row>
    <row r="1616" spans="1:14" x14ac:dyDescent="0.35">
      <c r="A1616">
        <v>1615</v>
      </c>
      <c r="B1616">
        <v>53</v>
      </c>
      <c r="C1616" t="str">
        <f t="shared" si="75"/>
        <v>Adult</v>
      </c>
      <c r="D1616" t="s">
        <v>11</v>
      </c>
      <c r="E1616" t="s">
        <v>29</v>
      </c>
      <c r="F1616" t="s">
        <v>55</v>
      </c>
      <c r="G1616">
        <v>105.07</v>
      </c>
      <c r="H1616" t="s">
        <v>19</v>
      </c>
      <c r="I1616" t="s">
        <v>15</v>
      </c>
      <c r="J1616">
        <v>3.2</v>
      </c>
      <c r="K1616">
        <v>24</v>
      </c>
      <c r="L1616">
        <f t="shared" si="76"/>
        <v>79.853200000000001</v>
      </c>
      <c r="M1616">
        <v>7</v>
      </c>
      <c r="N1616" t="str">
        <f t="shared" si="77"/>
        <v>Regular</v>
      </c>
    </row>
    <row r="1617" spans="1:14" x14ac:dyDescent="0.35">
      <c r="A1617">
        <v>1616</v>
      </c>
      <c r="B1617">
        <v>50</v>
      </c>
      <c r="C1617" t="str">
        <f t="shared" si="75"/>
        <v>Adult</v>
      </c>
      <c r="D1617" t="s">
        <v>11</v>
      </c>
      <c r="E1617" t="s">
        <v>29</v>
      </c>
      <c r="F1617" t="s">
        <v>55</v>
      </c>
      <c r="G1617">
        <v>140.66</v>
      </c>
      <c r="H1617" t="s">
        <v>24</v>
      </c>
      <c r="I1617" t="s">
        <v>15</v>
      </c>
      <c r="J1617">
        <v>4.5</v>
      </c>
      <c r="K1617">
        <v>22</v>
      </c>
      <c r="L1617">
        <f t="shared" si="76"/>
        <v>109.7148</v>
      </c>
      <c r="M1617">
        <v>6</v>
      </c>
      <c r="N1617" t="str">
        <f t="shared" si="77"/>
        <v>Regular</v>
      </c>
    </row>
    <row r="1618" spans="1:14" x14ac:dyDescent="0.35">
      <c r="A1618">
        <v>1617</v>
      </c>
      <c r="B1618">
        <v>38</v>
      </c>
      <c r="C1618" t="str">
        <f t="shared" si="75"/>
        <v>Adult</v>
      </c>
      <c r="D1618" t="s">
        <v>11</v>
      </c>
      <c r="E1618" t="s">
        <v>29</v>
      </c>
      <c r="F1618" t="s">
        <v>30</v>
      </c>
      <c r="G1618">
        <v>48.99</v>
      </c>
      <c r="H1618" t="s">
        <v>31</v>
      </c>
      <c r="I1618" t="s">
        <v>37</v>
      </c>
      <c r="J1618">
        <v>4.5999999999999996</v>
      </c>
      <c r="K1618">
        <v>20</v>
      </c>
      <c r="L1618">
        <f t="shared" si="76"/>
        <v>39.192000000000007</v>
      </c>
      <c r="M1618">
        <v>5</v>
      </c>
      <c r="N1618" t="str">
        <f t="shared" si="77"/>
        <v>Regular</v>
      </c>
    </row>
    <row r="1619" spans="1:14" x14ac:dyDescent="0.35">
      <c r="A1619">
        <v>1618</v>
      </c>
      <c r="B1619">
        <v>20</v>
      </c>
      <c r="C1619" t="str">
        <f t="shared" si="75"/>
        <v>Youth</v>
      </c>
      <c r="D1619" t="s">
        <v>11</v>
      </c>
      <c r="E1619" t="s">
        <v>33</v>
      </c>
      <c r="F1619" t="s">
        <v>40</v>
      </c>
      <c r="G1619">
        <v>43.11</v>
      </c>
      <c r="H1619" t="s">
        <v>14</v>
      </c>
      <c r="I1619" t="s">
        <v>37</v>
      </c>
      <c r="J1619">
        <v>2.7</v>
      </c>
      <c r="K1619">
        <v>11</v>
      </c>
      <c r="L1619">
        <f t="shared" si="76"/>
        <v>38.367899999999999</v>
      </c>
      <c r="M1619">
        <v>3</v>
      </c>
      <c r="N1619" t="str">
        <f t="shared" si="77"/>
        <v>New</v>
      </c>
    </row>
    <row r="1620" spans="1:14" x14ac:dyDescent="0.35">
      <c r="A1620">
        <v>1619</v>
      </c>
      <c r="B1620">
        <v>55</v>
      </c>
      <c r="C1620" t="str">
        <f t="shared" si="75"/>
        <v>Adult</v>
      </c>
      <c r="D1620" t="s">
        <v>16</v>
      </c>
      <c r="E1620" t="s">
        <v>17</v>
      </c>
      <c r="F1620" t="s">
        <v>48</v>
      </c>
      <c r="G1620">
        <v>168.41</v>
      </c>
      <c r="H1620" t="s">
        <v>24</v>
      </c>
      <c r="I1620" t="s">
        <v>15</v>
      </c>
      <c r="J1620">
        <v>3.4</v>
      </c>
      <c r="K1620">
        <v>8</v>
      </c>
      <c r="L1620">
        <f t="shared" si="76"/>
        <v>154.93719999999999</v>
      </c>
      <c r="M1620">
        <v>4</v>
      </c>
      <c r="N1620" t="str">
        <f t="shared" si="77"/>
        <v>Regular</v>
      </c>
    </row>
    <row r="1621" spans="1:14" x14ac:dyDescent="0.35">
      <c r="A1621">
        <v>1620</v>
      </c>
      <c r="B1621">
        <v>33</v>
      </c>
      <c r="C1621" t="str">
        <f t="shared" si="75"/>
        <v>Adult</v>
      </c>
      <c r="D1621" t="s">
        <v>16</v>
      </c>
      <c r="E1621" t="s">
        <v>20</v>
      </c>
      <c r="F1621" t="s">
        <v>39</v>
      </c>
      <c r="G1621">
        <v>174.82</v>
      </c>
      <c r="H1621" t="s">
        <v>31</v>
      </c>
      <c r="I1621" t="s">
        <v>15</v>
      </c>
      <c r="J1621">
        <v>3.2</v>
      </c>
      <c r="K1621">
        <v>11</v>
      </c>
      <c r="L1621">
        <f t="shared" si="76"/>
        <v>155.5898</v>
      </c>
      <c r="M1621">
        <v>3</v>
      </c>
      <c r="N1621" t="str">
        <f t="shared" si="77"/>
        <v>New</v>
      </c>
    </row>
    <row r="1622" spans="1:14" x14ac:dyDescent="0.35">
      <c r="A1622">
        <v>1621</v>
      </c>
      <c r="B1622">
        <v>68</v>
      </c>
      <c r="C1622" t="str">
        <f t="shared" si="75"/>
        <v>Senior</v>
      </c>
      <c r="D1622" t="s">
        <v>11</v>
      </c>
      <c r="E1622" t="s">
        <v>29</v>
      </c>
      <c r="F1622" t="s">
        <v>55</v>
      </c>
      <c r="G1622">
        <v>76.84</v>
      </c>
      <c r="H1622" t="s">
        <v>14</v>
      </c>
      <c r="I1622" t="s">
        <v>37</v>
      </c>
      <c r="J1622">
        <v>3.2</v>
      </c>
      <c r="K1622">
        <v>15</v>
      </c>
      <c r="L1622">
        <f t="shared" si="76"/>
        <v>65.314000000000007</v>
      </c>
      <c r="M1622">
        <v>5</v>
      </c>
      <c r="N1622" t="str">
        <f t="shared" si="77"/>
        <v>Regular</v>
      </c>
    </row>
    <row r="1623" spans="1:14" x14ac:dyDescent="0.35">
      <c r="A1623">
        <v>1622</v>
      </c>
      <c r="B1623">
        <v>41</v>
      </c>
      <c r="C1623" t="str">
        <f t="shared" si="75"/>
        <v>Adult</v>
      </c>
      <c r="D1623" t="s">
        <v>11</v>
      </c>
      <c r="E1623" t="s">
        <v>29</v>
      </c>
      <c r="F1623" t="s">
        <v>55</v>
      </c>
      <c r="G1623">
        <v>106.37</v>
      </c>
      <c r="H1623" t="s">
        <v>24</v>
      </c>
      <c r="I1623" t="s">
        <v>15</v>
      </c>
      <c r="J1623">
        <v>2.2999999999999998</v>
      </c>
      <c r="K1623">
        <v>20</v>
      </c>
      <c r="L1623">
        <f t="shared" si="76"/>
        <v>85.096000000000004</v>
      </c>
      <c r="M1623">
        <v>5</v>
      </c>
      <c r="N1623" t="str">
        <f t="shared" si="77"/>
        <v>Regular</v>
      </c>
    </row>
    <row r="1624" spans="1:14" x14ac:dyDescent="0.35">
      <c r="A1624">
        <v>1623</v>
      </c>
      <c r="B1624">
        <v>54</v>
      </c>
      <c r="C1624" t="str">
        <f t="shared" si="75"/>
        <v>Adult</v>
      </c>
      <c r="D1624" t="s">
        <v>16</v>
      </c>
      <c r="E1624" t="s">
        <v>27</v>
      </c>
      <c r="F1624" t="s">
        <v>28</v>
      </c>
      <c r="G1624">
        <v>2164.64</v>
      </c>
      <c r="H1624" t="s">
        <v>19</v>
      </c>
      <c r="I1624" t="s">
        <v>15</v>
      </c>
      <c r="J1624">
        <v>3.9</v>
      </c>
      <c r="K1624">
        <v>10</v>
      </c>
      <c r="L1624">
        <f t="shared" si="76"/>
        <v>1948.1759999999999</v>
      </c>
      <c r="M1624">
        <v>5</v>
      </c>
      <c r="N1624" t="str">
        <f t="shared" si="77"/>
        <v>Regular</v>
      </c>
    </row>
    <row r="1625" spans="1:14" x14ac:dyDescent="0.35">
      <c r="A1625">
        <v>1624</v>
      </c>
      <c r="B1625">
        <v>31</v>
      </c>
      <c r="C1625" t="str">
        <f t="shared" si="75"/>
        <v>Adult</v>
      </c>
      <c r="D1625" t="s">
        <v>11</v>
      </c>
      <c r="E1625" t="s">
        <v>29</v>
      </c>
      <c r="F1625" t="s">
        <v>55</v>
      </c>
      <c r="G1625">
        <v>61.15</v>
      </c>
      <c r="H1625" t="s">
        <v>31</v>
      </c>
      <c r="I1625" t="s">
        <v>15</v>
      </c>
      <c r="J1625">
        <v>3.4</v>
      </c>
      <c r="K1625">
        <v>17</v>
      </c>
      <c r="L1625">
        <f t="shared" si="76"/>
        <v>50.754499999999993</v>
      </c>
      <c r="M1625">
        <v>6</v>
      </c>
      <c r="N1625" t="str">
        <f t="shared" si="77"/>
        <v>Regular</v>
      </c>
    </row>
    <row r="1626" spans="1:14" x14ac:dyDescent="0.35">
      <c r="A1626">
        <v>1625</v>
      </c>
      <c r="B1626">
        <v>31</v>
      </c>
      <c r="C1626" t="str">
        <f t="shared" si="75"/>
        <v>Adult</v>
      </c>
      <c r="D1626" t="s">
        <v>16</v>
      </c>
      <c r="E1626" t="s">
        <v>27</v>
      </c>
      <c r="F1626" t="s">
        <v>53</v>
      </c>
      <c r="G1626">
        <v>1128.3</v>
      </c>
      <c r="H1626" t="s">
        <v>31</v>
      </c>
      <c r="I1626" t="s">
        <v>15</v>
      </c>
      <c r="J1626">
        <v>3.2</v>
      </c>
      <c r="K1626">
        <v>10</v>
      </c>
      <c r="L1626">
        <f t="shared" si="76"/>
        <v>1015.47</v>
      </c>
      <c r="M1626">
        <v>5</v>
      </c>
      <c r="N1626" t="str">
        <f t="shared" si="77"/>
        <v>Regular</v>
      </c>
    </row>
    <row r="1627" spans="1:14" x14ac:dyDescent="0.35">
      <c r="A1627">
        <v>1626</v>
      </c>
      <c r="B1627">
        <v>47</v>
      </c>
      <c r="C1627" t="str">
        <f t="shared" si="75"/>
        <v>Adult</v>
      </c>
      <c r="D1627" t="s">
        <v>16</v>
      </c>
      <c r="E1627" t="s">
        <v>27</v>
      </c>
      <c r="F1627" t="s">
        <v>28</v>
      </c>
      <c r="G1627">
        <v>696.28</v>
      </c>
      <c r="H1627" t="s">
        <v>14</v>
      </c>
      <c r="I1627" t="s">
        <v>15</v>
      </c>
      <c r="J1627">
        <v>3.7</v>
      </c>
      <c r="K1627">
        <v>15</v>
      </c>
      <c r="L1627">
        <f t="shared" si="76"/>
        <v>591.83799999999997</v>
      </c>
      <c r="M1627">
        <v>5</v>
      </c>
      <c r="N1627" t="str">
        <f t="shared" si="77"/>
        <v>Regular</v>
      </c>
    </row>
    <row r="1628" spans="1:14" x14ac:dyDescent="0.35">
      <c r="A1628">
        <v>1627</v>
      </c>
      <c r="B1628">
        <v>55</v>
      </c>
      <c r="C1628" t="str">
        <f t="shared" si="75"/>
        <v>Adult</v>
      </c>
      <c r="D1628" t="s">
        <v>16</v>
      </c>
      <c r="E1628" t="s">
        <v>33</v>
      </c>
      <c r="F1628" t="s">
        <v>34</v>
      </c>
      <c r="G1628">
        <v>212.95</v>
      </c>
      <c r="H1628" t="s">
        <v>24</v>
      </c>
      <c r="I1628" t="s">
        <v>15</v>
      </c>
      <c r="J1628">
        <v>3.4</v>
      </c>
      <c r="K1628">
        <v>12</v>
      </c>
      <c r="L1628">
        <f t="shared" si="76"/>
        <v>187.39599999999999</v>
      </c>
      <c r="M1628">
        <v>6</v>
      </c>
      <c r="N1628" t="str">
        <f t="shared" si="77"/>
        <v>Regular</v>
      </c>
    </row>
    <row r="1629" spans="1:14" x14ac:dyDescent="0.35">
      <c r="A1629">
        <v>1628</v>
      </c>
      <c r="B1629">
        <v>56</v>
      </c>
      <c r="C1629" t="str">
        <f t="shared" si="75"/>
        <v>Adult</v>
      </c>
      <c r="D1629" t="s">
        <v>11</v>
      </c>
      <c r="E1629" t="s">
        <v>33</v>
      </c>
      <c r="F1629" t="s">
        <v>40</v>
      </c>
      <c r="G1629">
        <v>213.37</v>
      </c>
      <c r="H1629" t="s">
        <v>24</v>
      </c>
      <c r="I1629" t="s">
        <v>15</v>
      </c>
      <c r="J1629">
        <v>2.9</v>
      </c>
      <c r="K1629">
        <v>4</v>
      </c>
      <c r="L1629">
        <f t="shared" si="76"/>
        <v>204.83519999999999</v>
      </c>
      <c r="M1629">
        <v>2</v>
      </c>
      <c r="N1629" t="str">
        <f t="shared" si="77"/>
        <v>New</v>
      </c>
    </row>
    <row r="1630" spans="1:14" x14ac:dyDescent="0.35">
      <c r="A1630">
        <v>1629</v>
      </c>
      <c r="B1630">
        <v>57</v>
      </c>
      <c r="C1630" t="str">
        <f t="shared" si="75"/>
        <v>Adult</v>
      </c>
      <c r="D1630" t="s">
        <v>11</v>
      </c>
      <c r="E1630" t="s">
        <v>25</v>
      </c>
      <c r="F1630" t="s">
        <v>47</v>
      </c>
      <c r="G1630">
        <v>30.58</v>
      </c>
      <c r="H1630" t="s">
        <v>31</v>
      </c>
      <c r="I1630" t="s">
        <v>15</v>
      </c>
      <c r="J1630">
        <v>4.4000000000000004</v>
      </c>
      <c r="K1630">
        <v>14</v>
      </c>
      <c r="L1630">
        <f t="shared" si="76"/>
        <v>26.298799999999996</v>
      </c>
      <c r="M1630">
        <v>7</v>
      </c>
      <c r="N1630" t="str">
        <f t="shared" si="77"/>
        <v>Regular</v>
      </c>
    </row>
    <row r="1631" spans="1:14" x14ac:dyDescent="0.35">
      <c r="A1631">
        <v>1630</v>
      </c>
      <c r="B1631">
        <v>54</v>
      </c>
      <c r="C1631" t="str">
        <f t="shared" si="75"/>
        <v>Adult</v>
      </c>
      <c r="D1631" t="s">
        <v>11</v>
      </c>
      <c r="E1631" t="s">
        <v>33</v>
      </c>
      <c r="F1631" t="s">
        <v>34</v>
      </c>
      <c r="G1631">
        <v>146.74</v>
      </c>
      <c r="H1631" t="s">
        <v>31</v>
      </c>
      <c r="I1631" t="s">
        <v>15</v>
      </c>
      <c r="J1631">
        <v>3.7</v>
      </c>
      <c r="K1631">
        <v>28</v>
      </c>
      <c r="L1631">
        <f t="shared" si="76"/>
        <v>105.6528</v>
      </c>
      <c r="M1631">
        <v>9</v>
      </c>
      <c r="N1631" t="str">
        <f t="shared" si="77"/>
        <v>Loyal</v>
      </c>
    </row>
    <row r="1632" spans="1:14" x14ac:dyDescent="0.35">
      <c r="A1632">
        <v>1631</v>
      </c>
      <c r="B1632">
        <v>44</v>
      </c>
      <c r="C1632" t="str">
        <f t="shared" si="75"/>
        <v>Adult</v>
      </c>
      <c r="D1632" t="s">
        <v>11</v>
      </c>
      <c r="E1632" t="s">
        <v>25</v>
      </c>
      <c r="F1632" t="s">
        <v>26</v>
      </c>
      <c r="G1632">
        <v>14.22</v>
      </c>
      <c r="H1632" t="s">
        <v>19</v>
      </c>
      <c r="I1632" t="s">
        <v>37</v>
      </c>
      <c r="J1632">
        <v>2.5</v>
      </c>
      <c r="K1632">
        <v>14</v>
      </c>
      <c r="L1632">
        <f t="shared" si="76"/>
        <v>12.229200000000001</v>
      </c>
      <c r="M1632">
        <v>7</v>
      </c>
      <c r="N1632" t="str">
        <f t="shared" si="77"/>
        <v>Regular</v>
      </c>
    </row>
    <row r="1633" spans="1:14" x14ac:dyDescent="0.35">
      <c r="A1633">
        <v>1632</v>
      </c>
      <c r="B1633">
        <v>44</v>
      </c>
      <c r="C1633" t="str">
        <f t="shared" si="75"/>
        <v>Adult</v>
      </c>
      <c r="D1633" t="s">
        <v>16</v>
      </c>
      <c r="E1633" t="s">
        <v>20</v>
      </c>
      <c r="F1633" t="s">
        <v>21</v>
      </c>
      <c r="G1633">
        <v>87.41</v>
      </c>
      <c r="H1633" t="s">
        <v>14</v>
      </c>
      <c r="I1633" t="s">
        <v>37</v>
      </c>
      <c r="J1633">
        <v>3.4</v>
      </c>
      <c r="K1633">
        <v>4</v>
      </c>
      <c r="L1633">
        <f t="shared" si="76"/>
        <v>83.913599999999988</v>
      </c>
      <c r="M1633">
        <v>2</v>
      </c>
      <c r="N1633" t="str">
        <f t="shared" si="77"/>
        <v>New</v>
      </c>
    </row>
    <row r="1634" spans="1:14" x14ac:dyDescent="0.35">
      <c r="A1634">
        <v>1633</v>
      </c>
      <c r="B1634">
        <v>23</v>
      </c>
      <c r="C1634" t="str">
        <f t="shared" si="75"/>
        <v>Youth</v>
      </c>
      <c r="D1634" t="s">
        <v>11</v>
      </c>
      <c r="E1634" t="s">
        <v>25</v>
      </c>
      <c r="F1634" t="s">
        <v>47</v>
      </c>
      <c r="G1634">
        <v>78.14</v>
      </c>
      <c r="H1634" t="s">
        <v>24</v>
      </c>
      <c r="I1634" t="s">
        <v>15</v>
      </c>
      <c r="J1634">
        <v>3.7</v>
      </c>
      <c r="K1634">
        <v>14</v>
      </c>
      <c r="L1634">
        <f t="shared" si="76"/>
        <v>67.200400000000002</v>
      </c>
      <c r="M1634">
        <v>7</v>
      </c>
      <c r="N1634" t="str">
        <f t="shared" si="77"/>
        <v>Regular</v>
      </c>
    </row>
    <row r="1635" spans="1:14" x14ac:dyDescent="0.35">
      <c r="A1635">
        <v>1634</v>
      </c>
      <c r="B1635">
        <v>64</v>
      </c>
      <c r="C1635" t="str">
        <f t="shared" si="75"/>
        <v>Senior</v>
      </c>
      <c r="D1635" t="s">
        <v>11</v>
      </c>
      <c r="E1635" t="s">
        <v>25</v>
      </c>
      <c r="F1635" t="s">
        <v>54</v>
      </c>
      <c r="G1635">
        <v>40.22</v>
      </c>
      <c r="H1635" t="s">
        <v>19</v>
      </c>
      <c r="I1635" t="s">
        <v>37</v>
      </c>
      <c r="J1635">
        <v>4.5</v>
      </c>
      <c r="K1635">
        <v>11</v>
      </c>
      <c r="L1635">
        <f t="shared" si="76"/>
        <v>35.7958</v>
      </c>
      <c r="M1635">
        <v>3</v>
      </c>
      <c r="N1635" t="str">
        <f t="shared" si="77"/>
        <v>New</v>
      </c>
    </row>
    <row r="1636" spans="1:14" x14ac:dyDescent="0.35">
      <c r="A1636">
        <v>1635</v>
      </c>
      <c r="B1636">
        <v>39</v>
      </c>
      <c r="C1636" t="str">
        <f t="shared" si="75"/>
        <v>Adult</v>
      </c>
      <c r="D1636" t="s">
        <v>16</v>
      </c>
      <c r="E1636" t="s">
        <v>22</v>
      </c>
      <c r="F1636" t="s">
        <v>23</v>
      </c>
      <c r="G1636">
        <v>199.12</v>
      </c>
      <c r="H1636" t="s">
        <v>31</v>
      </c>
      <c r="I1636" t="s">
        <v>15</v>
      </c>
      <c r="J1636">
        <v>3.7</v>
      </c>
      <c r="K1636">
        <v>19</v>
      </c>
      <c r="L1636">
        <f t="shared" si="76"/>
        <v>161.28720000000001</v>
      </c>
      <c r="M1636">
        <v>7</v>
      </c>
      <c r="N1636" t="str">
        <f t="shared" si="77"/>
        <v>Regular</v>
      </c>
    </row>
    <row r="1637" spans="1:14" x14ac:dyDescent="0.35">
      <c r="A1637">
        <v>1636</v>
      </c>
      <c r="B1637">
        <v>40</v>
      </c>
      <c r="C1637" t="str">
        <f t="shared" si="75"/>
        <v>Adult</v>
      </c>
      <c r="D1637" t="s">
        <v>11</v>
      </c>
      <c r="E1637" t="s">
        <v>20</v>
      </c>
      <c r="F1637" t="s">
        <v>39</v>
      </c>
      <c r="G1637">
        <v>204.66</v>
      </c>
      <c r="H1637" t="s">
        <v>24</v>
      </c>
      <c r="I1637" t="s">
        <v>15</v>
      </c>
      <c r="J1637">
        <v>3</v>
      </c>
      <c r="K1637">
        <v>16</v>
      </c>
      <c r="L1637">
        <f t="shared" si="76"/>
        <v>171.9144</v>
      </c>
      <c r="M1637">
        <v>3</v>
      </c>
      <c r="N1637" t="str">
        <f t="shared" si="77"/>
        <v>New</v>
      </c>
    </row>
    <row r="1638" spans="1:14" x14ac:dyDescent="0.35">
      <c r="A1638">
        <v>1637</v>
      </c>
      <c r="B1638">
        <v>21</v>
      </c>
      <c r="C1638" t="str">
        <f t="shared" si="75"/>
        <v>Youth</v>
      </c>
      <c r="D1638" t="s">
        <v>11</v>
      </c>
      <c r="E1638" t="s">
        <v>33</v>
      </c>
      <c r="F1638" t="s">
        <v>38</v>
      </c>
      <c r="G1638">
        <v>121.27</v>
      </c>
      <c r="H1638" t="s">
        <v>31</v>
      </c>
      <c r="I1638" t="s">
        <v>15</v>
      </c>
      <c r="J1638">
        <v>5</v>
      </c>
      <c r="K1638">
        <v>22</v>
      </c>
      <c r="L1638">
        <f t="shared" si="76"/>
        <v>94.590599999999995</v>
      </c>
      <c r="M1638">
        <v>6</v>
      </c>
      <c r="N1638" t="str">
        <f t="shared" si="77"/>
        <v>Regular</v>
      </c>
    </row>
    <row r="1639" spans="1:14" x14ac:dyDescent="0.35">
      <c r="A1639">
        <v>1638</v>
      </c>
      <c r="B1639">
        <v>28</v>
      </c>
      <c r="C1639" t="str">
        <f t="shared" si="75"/>
        <v>Youth</v>
      </c>
      <c r="D1639" t="s">
        <v>11</v>
      </c>
      <c r="E1639" t="s">
        <v>12</v>
      </c>
      <c r="F1639" t="s">
        <v>50</v>
      </c>
      <c r="G1639">
        <v>63.38</v>
      </c>
      <c r="H1639" t="s">
        <v>31</v>
      </c>
      <c r="I1639" t="s">
        <v>37</v>
      </c>
      <c r="J1639">
        <v>4.9000000000000004</v>
      </c>
      <c r="K1639">
        <v>23</v>
      </c>
      <c r="L1639">
        <f t="shared" si="76"/>
        <v>48.802600000000005</v>
      </c>
      <c r="M1639">
        <v>9</v>
      </c>
      <c r="N1639" t="str">
        <f t="shared" si="77"/>
        <v>Loyal</v>
      </c>
    </row>
    <row r="1640" spans="1:14" x14ac:dyDescent="0.35">
      <c r="A1640">
        <v>1639</v>
      </c>
      <c r="B1640">
        <v>34</v>
      </c>
      <c r="C1640" t="str">
        <f t="shared" si="75"/>
        <v>Adult</v>
      </c>
      <c r="D1640" t="s">
        <v>16</v>
      </c>
      <c r="E1640" t="s">
        <v>27</v>
      </c>
      <c r="F1640" t="s">
        <v>53</v>
      </c>
      <c r="G1640">
        <v>1458.59</v>
      </c>
      <c r="H1640" t="s">
        <v>19</v>
      </c>
      <c r="I1640" t="s">
        <v>15</v>
      </c>
      <c r="J1640">
        <v>3.8</v>
      </c>
      <c r="K1640">
        <v>15</v>
      </c>
      <c r="L1640">
        <f t="shared" si="76"/>
        <v>1239.8014999999998</v>
      </c>
      <c r="M1640">
        <v>5</v>
      </c>
      <c r="N1640" t="str">
        <f t="shared" si="77"/>
        <v>Regular</v>
      </c>
    </row>
    <row r="1641" spans="1:14" x14ac:dyDescent="0.35">
      <c r="A1641">
        <v>1640</v>
      </c>
      <c r="B1641">
        <v>47</v>
      </c>
      <c r="C1641" t="str">
        <f t="shared" si="75"/>
        <v>Adult</v>
      </c>
      <c r="D1641" t="s">
        <v>11</v>
      </c>
      <c r="E1641" t="s">
        <v>41</v>
      </c>
      <c r="F1641" t="s">
        <v>42</v>
      </c>
      <c r="G1641">
        <v>115.9</v>
      </c>
      <c r="H1641" t="s">
        <v>24</v>
      </c>
      <c r="I1641" t="s">
        <v>15</v>
      </c>
      <c r="J1641">
        <v>4</v>
      </c>
      <c r="K1641">
        <v>24</v>
      </c>
      <c r="L1641">
        <f t="shared" si="76"/>
        <v>88.084000000000003</v>
      </c>
      <c r="M1641">
        <v>12</v>
      </c>
      <c r="N1641" t="str">
        <f t="shared" si="77"/>
        <v>Loyal</v>
      </c>
    </row>
    <row r="1642" spans="1:14" x14ac:dyDescent="0.35">
      <c r="A1642">
        <v>1641</v>
      </c>
      <c r="B1642">
        <v>30</v>
      </c>
      <c r="C1642" t="str">
        <f t="shared" si="75"/>
        <v>Youth</v>
      </c>
      <c r="D1642" t="s">
        <v>11</v>
      </c>
      <c r="E1642" t="s">
        <v>12</v>
      </c>
      <c r="F1642" t="s">
        <v>50</v>
      </c>
      <c r="G1642">
        <v>45.95</v>
      </c>
      <c r="H1642" t="s">
        <v>24</v>
      </c>
      <c r="I1642" t="s">
        <v>37</v>
      </c>
      <c r="J1642">
        <v>3.8</v>
      </c>
      <c r="K1642">
        <v>14</v>
      </c>
      <c r="L1642">
        <f t="shared" si="76"/>
        <v>39.517000000000003</v>
      </c>
      <c r="M1642">
        <v>2</v>
      </c>
      <c r="N1642" t="str">
        <f t="shared" si="77"/>
        <v>New</v>
      </c>
    </row>
    <row r="1643" spans="1:14" x14ac:dyDescent="0.35">
      <c r="A1643">
        <v>1642</v>
      </c>
      <c r="B1643">
        <v>53</v>
      </c>
      <c r="C1643" t="str">
        <f t="shared" si="75"/>
        <v>Adult</v>
      </c>
      <c r="D1643" t="s">
        <v>16</v>
      </c>
      <c r="E1643" t="s">
        <v>27</v>
      </c>
      <c r="F1643" t="s">
        <v>53</v>
      </c>
      <c r="G1643">
        <v>2248.9899999999998</v>
      </c>
      <c r="H1643" t="s">
        <v>19</v>
      </c>
      <c r="I1643" t="s">
        <v>15</v>
      </c>
      <c r="J1643">
        <v>3.6</v>
      </c>
      <c r="K1643">
        <v>14</v>
      </c>
      <c r="L1643">
        <f t="shared" si="76"/>
        <v>1934.1313999999998</v>
      </c>
      <c r="M1643">
        <v>2</v>
      </c>
      <c r="N1643" t="str">
        <f t="shared" si="77"/>
        <v>New</v>
      </c>
    </row>
    <row r="1644" spans="1:14" x14ac:dyDescent="0.35">
      <c r="A1644">
        <v>1643</v>
      </c>
      <c r="B1644">
        <v>33</v>
      </c>
      <c r="C1644" t="str">
        <f t="shared" si="75"/>
        <v>Adult</v>
      </c>
      <c r="D1644" t="s">
        <v>11</v>
      </c>
      <c r="E1644" t="s">
        <v>33</v>
      </c>
      <c r="F1644" t="s">
        <v>38</v>
      </c>
      <c r="G1644">
        <v>168.21</v>
      </c>
      <c r="H1644" t="s">
        <v>24</v>
      </c>
      <c r="I1644" t="s">
        <v>15</v>
      </c>
      <c r="J1644">
        <v>3.1</v>
      </c>
      <c r="K1644">
        <v>18</v>
      </c>
      <c r="L1644">
        <f t="shared" si="76"/>
        <v>137.93220000000002</v>
      </c>
      <c r="M1644">
        <v>9</v>
      </c>
      <c r="N1644" t="str">
        <f t="shared" si="77"/>
        <v>Loyal</v>
      </c>
    </row>
    <row r="1645" spans="1:14" x14ac:dyDescent="0.35">
      <c r="A1645">
        <v>1644</v>
      </c>
      <c r="B1645">
        <v>28</v>
      </c>
      <c r="C1645" t="str">
        <f t="shared" si="75"/>
        <v>Youth</v>
      </c>
      <c r="D1645" t="s">
        <v>16</v>
      </c>
      <c r="E1645" t="s">
        <v>20</v>
      </c>
      <c r="F1645" t="s">
        <v>39</v>
      </c>
      <c r="G1645">
        <v>38.31</v>
      </c>
      <c r="H1645" t="s">
        <v>19</v>
      </c>
      <c r="I1645" t="s">
        <v>15</v>
      </c>
      <c r="J1645">
        <v>3.7</v>
      </c>
      <c r="K1645">
        <v>17</v>
      </c>
      <c r="L1645">
        <f t="shared" si="76"/>
        <v>31.7973</v>
      </c>
      <c r="M1645">
        <v>6</v>
      </c>
      <c r="N1645" t="str">
        <f t="shared" si="77"/>
        <v>Regular</v>
      </c>
    </row>
    <row r="1646" spans="1:14" x14ac:dyDescent="0.35">
      <c r="A1646">
        <v>1645</v>
      </c>
      <c r="B1646">
        <v>58</v>
      </c>
      <c r="C1646" t="str">
        <f t="shared" si="75"/>
        <v>Adult</v>
      </c>
      <c r="D1646" t="s">
        <v>16</v>
      </c>
      <c r="E1646" t="s">
        <v>20</v>
      </c>
      <c r="F1646" t="s">
        <v>39</v>
      </c>
      <c r="G1646">
        <v>137.26</v>
      </c>
      <c r="H1646" t="s">
        <v>24</v>
      </c>
      <c r="I1646" t="s">
        <v>15</v>
      </c>
      <c r="J1646">
        <v>4.4000000000000004</v>
      </c>
      <c r="K1646">
        <v>13</v>
      </c>
      <c r="L1646">
        <f t="shared" si="76"/>
        <v>119.41619999999999</v>
      </c>
      <c r="M1646">
        <v>4</v>
      </c>
      <c r="N1646" t="str">
        <f t="shared" si="77"/>
        <v>Regular</v>
      </c>
    </row>
    <row r="1647" spans="1:14" x14ac:dyDescent="0.35">
      <c r="A1647">
        <v>1646</v>
      </c>
      <c r="B1647">
        <v>59</v>
      </c>
      <c r="C1647" t="str">
        <f t="shared" si="75"/>
        <v>Adult</v>
      </c>
      <c r="D1647" t="s">
        <v>16</v>
      </c>
      <c r="E1647" t="s">
        <v>33</v>
      </c>
      <c r="F1647" t="s">
        <v>40</v>
      </c>
      <c r="G1647">
        <v>115.57</v>
      </c>
      <c r="H1647" t="s">
        <v>24</v>
      </c>
      <c r="I1647" t="s">
        <v>15</v>
      </c>
      <c r="J1647">
        <v>2.5</v>
      </c>
      <c r="K1647">
        <v>13</v>
      </c>
      <c r="L1647">
        <f t="shared" si="76"/>
        <v>100.54589999999999</v>
      </c>
      <c r="M1647">
        <v>4</v>
      </c>
      <c r="N1647" t="str">
        <f t="shared" si="77"/>
        <v>Regular</v>
      </c>
    </row>
    <row r="1648" spans="1:14" x14ac:dyDescent="0.35">
      <c r="A1648">
        <v>1647</v>
      </c>
      <c r="B1648">
        <v>54</v>
      </c>
      <c r="C1648" t="str">
        <f t="shared" si="75"/>
        <v>Adult</v>
      </c>
      <c r="D1648" t="s">
        <v>16</v>
      </c>
      <c r="E1648" t="s">
        <v>33</v>
      </c>
      <c r="F1648" t="s">
        <v>40</v>
      </c>
      <c r="G1648">
        <v>189.63</v>
      </c>
      <c r="H1648" t="s">
        <v>31</v>
      </c>
      <c r="I1648" t="s">
        <v>15</v>
      </c>
      <c r="J1648">
        <v>4.4000000000000004</v>
      </c>
      <c r="K1648">
        <v>14</v>
      </c>
      <c r="L1648">
        <f t="shared" si="76"/>
        <v>163.08179999999999</v>
      </c>
      <c r="M1648">
        <v>7</v>
      </c>
      <c r="N1648" t="str">
        <f t="shared" si="77"/>
        <v>Regular</v>
      </c>
    </row>
    <row r="1649" spans="1:14" x14ac:dyDescent="0.35">
      <c r="A1649">
        <v>1648</v>
      </c>
      <c r="B1649">
        <v>67</v>
      </c>
      <c r="C1649" t="str">
        <f t="shared" si="75"/>
        <v>Senior</v>
      </c>
      <c r="D1649" t="s">
        <v>11</v>
      </c>
      <c r="E1649" t="s">
        <v>29</v>
      </c>
      <c r="F1649" t="s">
        <v>30</v>
      </c>
      <c r="G1649">
        <v>58.44</v>
      </c>
      <c r="H1649" t="s">
        <v>24</v>
      </c>
      <c r="I1649" t="s">
        <v>15</v>
      </c>
      <c r="J1649">
        <v>3.4</v>
      </c>
      <c r="K1649">
        <v>18</v>
      </c>
      <c r="L1649">
        <f t="shared" si="76"/>
        <v>47.9208</v>
      </c>
      <c r="M1649">
        <v>4</v>
      </c>
      <c r="N1649" t="str">
        <f t="shared" si="77"/>
        <v>Regular</v>
      </c>
    </row>
    <row r="1650" spans="1:14" x14ac:dyDescent="0.35">
      <c r="A1650">
        <v>1649</v>
      </c>
      <c r="B1650">
        <v>32</v>
      </c>
      <c r="C1650" t="str">
        <f t="shared" si="75"/>
        <v>Adult</v>
      </c>
      <c r="D1650" t="s">
        <v>16</v>
      </c>
      <c r="E1650" t="s">
        <v>27</v>
      </c>
      <c r="F1650" t="s">
        <v>32</v>
      </c>
      <c r="G1650">
        <v>1800.7</v>
      </c>
      <c r="H1650" t="s">
        <v>31</v>
      </c>
      <c r="I1650" t="s">
        <v>15</v>
      </c>
      <c r="J1650">
        <v>3.6</v>
      </c>
      <c r="K1650">
        <v>10</v>
      </c>
      <c r="L1650">
        <f t="shared" si="76"/>
        <v>1620.63</v>
      </c>
      <c r="M1650">
        <v>5</v>
      </c>
      <c r="N1650" t="str">
        <f t="shared" si="77"/>
        <v>Regular</v>
      </c>
    </row>
    <row r="1651" spans="1:14" x14ac:dyDescent="0.35">
      <c r="A1651">
        <v>1650</v>
      </c>
      <c r="B1651">
        <v>23</v>
      </c>
      <c r="C1651" t="str">
        <f t="shared" si="75"/>
        <v>Youth</v>
      </c>
      <c r="D1651" t="s">
        <v>16</v>
      </c>
      <c r="E1651" t="s">
        <v>25</v>
      </c>
      <c r="F1651" t="s">
        <v>57</v>
      </c>
      <c r="G1651">
        <v>8.34</v>
      </c>
      <c r="H1651" t="s">
        <v>14</v>
      </c>
      <c r="I1651" t="s">
        <v>15</v>
      </c>
      <c r="J1651">
        <v>4.0999999999999996</v>
      </c>
      <c r="K1651">
        <v>25</v>
      </c>
      <c r="L1651">
        <f t="shared" si="76"/>
        <v>6.2549999999999999</v>
      </c>
      <c r="M1651">
        <v>10</v>
      </c>
      <c r="N1651" t="str">
        <f t="shared" si="77"/>
        <v>Loyal</v>
      </c>
    </row>
    <row r="1652" spans="1:14" x14ac:dyDescent="0.35">
      <c r="A1652">
        <v>1651</v>
      </c>
      <c r="B1652">
        <v>56</v>
      </c>
      <c r="C1652" t="str">
        <f t="shared" si="75"/>
        <v>Adult</v>
      </c>
      <c r="D1652" t="s">
        <v>11</v>
      </c>
      <c r="E1652" t="s">
        <v>12</v>
      </c>
      <c r="F1652" t="s">
        <v>50</v>
      </c>
      <c r="G1652">
        <v>83.07</v>
      </c>
      <c r="H1652" t="s">
        <v>31</v>
      </c>
      <c r="I1652" t="s">
        <v>15</v>
      </c>
      <c r="J1652">
        <v>3.8</v>
      </c>
      <c r="K1652">
        <v>13</v>
      </c>
      <c r="L1652">
        <f t="shared" si="76"/>
        <v>72.270899999999997</v>
      </c>
      <c r="M1652">
        <v>4</v>
      </c>
      <c r="N1652" t="str">
        <f t="shared" si="77"/>
        <v>Regular</v>
      </c>
    </row>
    <row r="1653" spans="1:14" x14ac:dyDescent="0.35">
      <c r="A1653">
        <v>1652</v>
      </c>
      <c r="B1653">
        <v>65</v>
      </c>
      <c r="C1653" t="str">
        <f t="shared" si="75"/>
        <v>Senior</v>
      </c>
      <c r="D1653" t="s">
        <v>16</v>
      </c>
      <c r="E1653" t="s">
        <v>22</v>
      </c>
      <c r="F1653" t="s">
        <v>52</v>
      </c>
      <c r="G1653">
        <v>173.82</v>
      </c>
      <c r="H1653" t="s">
        <v>14</v>
      </c>
      <c r="I1653" t="s">
        <v>15</v>
      </c>
      <c r="J1653">
        <v>5</v>
      </c>
      <c r="K1653">
        <v>22</v>
      </c>
      <c r="L1653">
        <f t="shared" si="76"/>
        <v>135.5796</v>
      </c>
      <c r="M1653">
        <v>6</v>
      </c>
      <c r="N1653" t="str">
        <f t="shared" si="77"/>
        <v>Regular</v>
      </c>
    </row>
    <row r="1654" spans="1:14" x14ac:dyDescent="0.35">
      <c r="A1654">
        <v>1653</v>
      </c>
      <c r="B1654">
        <v>47</v>
      </c>
      <c r="C1654" t="str">
        <f t="shared" si="75"/>
        <v>Adult</v>
      </c>
      <c r="D1654" t="s">
        <v>11</v>
      </c>
      <c r="E1654" t="s">
        <v>41</v>
      </c>
      <c r="F1654" t="s">
        <v>42</v>
      </c>
      <c r="G1654">
        <v>145.85</v>
      </c>
      <c r="H1654" t="s">
        <v>19</v>
      </c>
      <c r="I1654" t="s">
        <v>15</v>
      </c>
      <c r="J1654">
        <v>3</v>
      </c>
      <c r="K1654">
        <v>8</v>
      </c>
      <c r="L1654">
        <f t="shared" si="76"/>
        <v>134.18199999999999</v>
      </c>
      <c r="M1654">
        <v>4</v>
      </c>
      <c r="N1654" t="str">
        <f t="shared" si="77"/>
        <v>Regular</v>
      </c>
    </row>
    <row r="1655" spans="1:14" x14ac:dyDescent="0.35">
      <c r="A1655">
        <v>1654</v>
      </c>
      <c r="B1655">
        <v>22</v>
      </c>
      <c r="C1655" t="str">
        <f t="shared" si="75"/>
        <v>Youth</v>
      </c>
      <c r="D1655" t="s">
        <v>11</v>
      </c>
      <c r="E1655" t="s">
        <v>41</v>
      </c>
      <c r="F1655" t="s">
        <v>42</v>
      </c>
      <c r="G1655">
        <v>79.34</v>
      </c>
      <c r="H1655" t="s">
        <v>24</v>
      </c>
      <c r="I1655" t="s">
        <v>37</v>
      </c>
      <c r="J1655">
        <v>3.5</v>
      </c>
      <c r="K1655">
        <v>24</v>
      </c>
      <c r="L1655">
        <f t="shared" si="76"/>
        <v>60.298400000000001</v>
      </c>
      <c r="M1655">
        <v>7</v>
      </c>
      <c r="N1655" t="str">
        <f t="shared" si="77"/>
        <v>Regular</v>
      </c>
    </row>
    <row r="1656" spans="1:14" x14ac:dyDescent="0.35">
      <c r="A1656">
        <v>1655</v>
      </c>
      <c r="B1656">
        <v>38</v>
      </c>
      <c r="C1656" t="str">
        <f t="shared" si="75"/>
        <v>Adult</v>
      </c>
      <c r="D1656" t="s">
        <v>11</v>
      </c>
      <c r="E1656" t="s">
        <v>41</v>
      </c>
      <c r="F1656" t="s">
        <v>46</v>
      </c>
      <c r="G1656">
        <v>140</v>
      </c>
      <c r="H1656" t="s">
        <v>24</v>
      </c>
      <c r="I1656" t="s">
        <v>15</v>
      </c>
      <c r="J1656">
        <v>3.8</v>
      </c>
      <c r="K1656">
        <v>11</v>
      </c>
      <c r="L1656">
        <f t="shared" si="76"/>
        <v>124.60000000000001</v>
      </c>
      <c r="M1656">
        <v>3</v>
      </c>
      <c r="N1656" t="str">
        <f t="shared" si="77"/>
        <v>New</v>
      </c>
    </row>
    <row r="1657" spans="1:14" x14ac:dyDescent="0.35">
      <c r="A1657">
        <v>1656</v>
      </c>
      <c r="B1657">
        <v>48</v>
      </c>
      <c r="C1657" t="str">
        <f t="shared" si="75"/>
        <v>Adult</v>
      </c>
      <c r="D1657" t="s">
        <v>16</v>
      </c>
      <c r="E1657" t="s">
        <v>27</v>
      </c>
      <c r="F1657" t="s">
        <v>28</v>
      </c>
      <c r="G1657">
        <v>532.67999999999995</v>
      </c>
      <c r="H1657" t="s">
        <v>31</v>
      </c>
      <c r="I1657" t="s">
        <v>15</v>
      </c>
      <c r="J1657">
        <v>3</v>
      </c>
      <c r="K1657">
        <v>6</v>
      </c>
      <c r="L1657">
        <f t="shared" si="76"/>
        <v>500.71919999999994</v>
      </c>
      <c r="M1657">
        <v>3</v>
      </c>
      <c r="N1657" t="str">
        <f t="shared" si="77"/>
        <v>New</v>
      </c>
    </row>
    <row r="1658" spans="1:14" x14ac:dyDescent="0.35">
      <c r="A1658">
        <v>1657</v>
      </c>
      <c r="B1658">
        <v>26</v>
      </c>
      <c r="C1658" t="str">
        <f t="shared" si="75"/>
        <v>Youth</v>
      </c>
      <c r="D1658" t="s">
        <v>16</v>
      </c>
      <c r="E1658" t="s">
        <v>20</v>
      </c>
      <c r="F1658" t="s">
        <v>39</v>
      </c>
      <c r="G1658">
        <v>168.47</v>
      </c>
      <c r="H1658" t="s">
        <v>24</v>
      </c>
      <c r="I1658" t="s">
        <v>15</v>
      </c>
      <c r="J1658">
        <v>3.7</v>
      </c>
      <c r="K1658">
        <v>22</v>
      </c>
      <c r="L1658">
        <f t="shared" si="76"/>
        <v>131.4066</v>
      </c>
      <c r="M1658">
        <v>11</v>
      </c>
      <c r="N1658" t="str">
        <f t="shared" si="77"/>
        <v>Loyal</v>
      </c>
    </row>
    <row r="1659" spans="1:14" x14ac:dyDescent="0.35">
      <c r="A1659">
        <v>1658</v>
      </c>
      <c r="B1659">
        <v>65</v>
      </c>
      <c r="C1659" t="str">
        <f t="shared" si="75"/>
        <v>Senior</v>
      </c>
      <c r="D1659" t="s">
        <v>11</v>
      </c>
      <c r="E1659" t="s">
        <v>41</v>
      </c>
      <c r="F1659" t="s">
        <v>46</v>
      </c>
      <c r="G1659">
        <v>93.8</v>
      </c>
      <c r="H1659" t="s">
        <v>24</v>
      </c>
      <c r="I1659" t="s">
        <v>37</v>
      </c>
      <c r="J1659">
        <v>4.3</v>
      </c>
      <c r="K1659">
        <v>16</v>
      </c>
      <c r="L1659">
        <f t="shared" si="76"/>
        <v>78.792000000000002</v>
      </c>
      <c r="M1659">
        <v>3</v>
      </c>
      <c r="N1659" t="str">
        <f t="shared" si="77"/>
        <v>New</v>
      </c>
    </row>
    <row r="1660" spans="1:14" x14ac:dyDescent="0.35">
      <c r="A1660">
        <v>1659</v>
      </c>
      <c r="B1660">
        <v>68</v>
      </c>
      <c r="C1660" t="str">
        <f t="shared" si="75"/>
        <v>Senior</v>
      </c>
      <c r="D1660" t="s">
        <v>16</v>
      </c>
      <c r="E1660" t="s">
        <v>17</v>
      </c>
      <c r="F1660" t="s">
        <v>18</v>
      </c>
      <c r="G1660">
        <v>162.35</v>
      </c>
      <c r="H1660" t="s">
        <v>31</v>
      </c>
      <c r="I1660" t="s">
        <v>15</v>
      </c>
      <c r="J1660">
        <v>4.4000000000000004</v>
      </c>
      <c r="K1660">
        <v>17</v>
      </c>
      <c r="L1660">
        <f t="shared" si="76"/>
        <v>134.75049999999999</v>
      </c>
      <c r="M1660">
        <v>6</v>
      </c>
      <c r="N1660" t="str">
        <f t="shared" si="77"/>
        <v>Regular</v>
      </c>
    </row>
    <row r="1661" spans="1:14" x14ac:dyDescent="0.35">
      <c r="A1661">
        <v>1660</v>
      </c>
      <c r="B1661">
        <v>58</v>
      </c>
      <c r="C1661" t="str">
        <f t="shared" si="75"/>
        <v>Adult</v>
      </c>
      <c r="D1661" t="s">
        <v>16</v>
      </c>
      <c r="E1661" t="s">
        <v>17</v>
      </c>
      <c r="F1661" t="s">
        <v>35</v>
      </c>
      <c r="G1661">
        <v>62.32</v>
      </c>
      <c r="H1661" t="s">
        <v>19</v>
      </c>
      <c r="I1661" t="s">
        <v>15</v>
      </c>
      <c r="J1661">
        <v>3.9</v>
      </c>
      <c r="K1661">
        <v>13</v>
      </c>
      <c r="L1661">
        <f t="shared" si="76"/>
        <v>54.218400000000003</v>
      </c>
      <c r="M1661">
        <v>4</v>
      </c>
      <c r="N1661" t="str">
        <f t="shared" si="77"/>
        <v>Regular</v>
      </c>
    </row>
    <row r="1662" spans="1:14" x14ac:dyDescent="0.35">
      <c r="A1662">
        <v>1661</v>
      </c>
      <c r="B1662">
        <v>48</v>
      </c>
      <c r="C1662" t="str">
        <f t="shared" si="75"/>
        <v>Adult</v>
      </c>
      <c r="D1662" t="s">
        <v>11</v>
      </c>
      <c r="E1662" t="s">
        <v>29</v>
      </c>
      <c r="F1662" t="s">
        <v>51</v>
      </c>
      <c r="G1662">
        <v>134.47999999999999</v>
      </c>
      <c r="H1662" t="s">
        <v>24</v>
      </c>
      <c r="I1662" t="s">
        <v>15</v>
      </c>
      <c r="J1662">
        <v>3.9</v>
      </c>
      <c r="K1662">
        <v>18</v>
      </c>
      <c r="L1662">
        <f t="shared" si="76"/>
        <v>110.2736</v>
      </c>
      <c r="M1662">
        <v>4</v>
      </c>
      <c r="N1662" t="str">
        <f t="shared" si="77"/>
        <v>Regular</v>
      </c>
    </row>
    <row r="1663" spans="1:14" x14ac:dyDescent="0.35">
      <c r="A1663">
        <v>1662</v>
      </c>
      <c r="B1663">
        <v>37</v>
      </c>
      <c r="C1663" t="str">
        <f t="shared" si="75"/>
        <v>Adult</v>
      </c>
      <c r="D1663" t="s">
        <v>16</v>
      </c>
      <c r="E1663" t="s">
        <v>33</v>
      </c>
      <c r="F1663" t="s">
        <v>40</v>
      </c>
      <c r="G1663">
        <v>200.91</v>
      </c>
      <c r="H1663" t="s">
        <v>19</v>
      </c>
      <c r="I1663" t="s">
        <v>15</v>
      </c>
      <c r="J1663">
        <v>2.8</v>
      </c>
      <c r="K1663">
        <v>16</v>
      </c>
      <c r="L1663">
        <f t="shared" si="76"/>
        <v>168.76439999999999</v>
      </c>
      <c r="M1663">
        <v>3</v>
      </c>
      <c r="N1663" t="str">
        <f t="shared" si="77"/>
        <v>New</v>
      </c>
    </row>
    <row r="1664" spans="1:14" x14ac:dyDescent="0.35">
      <c r="A1664">
        <v>1663</v>
      </c>
      <c r="B1664">
        <v>31</v>
      </c>
      <c r="C1664" t="str">
        <f t="shared" si="75"/>
        <v>Adult</v>
      </c>
      <c r="D1664" t="s">
        <v>11</v>
      </c>
      <c r="E1664" t="s">
        <v>29</v>
      </c>
      <c r="F1664" t="s">
        <v>55</v>
      </c>
      <c r="G1664">
        <v>137.99</v>
      </c>
      <c r="H1664" t="s">
        <v>24</v>
      </c>
      <c r="I1664" t="s">
        <v>15</v>
      </c>
      <c r="J1664">
        <v>3.8</v>
      </c>
      <c r="K1664">
        <v>10</v>
      </c>
      <c r="L1664">
        <f t="shared" si="76"/>
        <v>124.19100000000002</v>
      </c>
      <c r="M1664">
        <v>5</v>
      </c>
      <c r="N1664" t="str">
        <f t="shared" si="77"/>
        <v>Regular</v>
      </c>
    </row>
    <row r="1665" spans="1:14" x14ac:dyDescent="0.35">
      <c r="A1665">
        <v>1664</v>
      </c>
      <c r="B1665">
        <v>62</v>
      </c>
      <c r="C1665" t="str">
        <f t="shared" si="75"/>
        <v>Senior</v>
      </c>
      <c r="D1665" t="s">
        <v>11</v>
      </c>
      <c r="E1665" t="s">
        <v>33</v>
      </c>
      <c r="F1665" t="s">
        <v>34</v>
      </c>
      <c r="G1665">
        <v>51.08</v>
      </c>
      <c r="H1665" t="s">
        <v>24</v>
      </c>
      <c r="I1665" t="s">
        <v>37</v>
      </c>
      <c r="J1665">
        <v>3.1</v>
      </c>
      <c r="K1665">
        <v>21</v>
      </c>
      <c r="L1665">
        <f t="shared" si="76"/>
        <v>40.353200000000001</v>
      </c>
      <c r="M1665">
        <v>8</v>
      </c>
      <c r="N1665" t="str">
        <f t="shared" si="77"/>
        <v>Loyal</v>
      </c>
    </row>
    <row r="1666" spans="1:14" x14ac:dyDescent="0.35">
      <c r="A1666">
        <v>1665</v>
      </c>
      <c r="B1666">
        <v>56</v>
      </c>
      <c r="C1666" t="str">
        <f t="shared" si="75"/>
        <v>Adult</v>
      </c>
      <c r="D1666" t="s">
        <v>16</v>
      </c>
      <c r="E1666" t="s">
        <v>20</v>
      </c>
      <c r="F1666" t="s">
        <v>21</v>
      </c>
      <c r="G1666">
        <v>211</v>
      </c>
      <c r="H1666" t="s">
        <v>14</v>
      </c>
      <c r="I1666" t="s">
        <v>15</v>
      </c>
      <c r="J1666">
        <v>1.3</v>
      </c>
      <c r="K1666">
        <v>5</v>
      </c>
      <c r="L1666">
        <f t="shared" si="76"/>
        <v>200.45</v>
      </c>
      <c r="M1666">
        <v>0</v>
      </c>
      <c r="N1666" t="str">
        <f t="shared" si="77"/>
        <v>New</v>
      </c>
    </row>
    <row r="1667" spans="1:14" x14ac:dyDescent="0.35">
      <c r="A1667">
        <v>1666</v>
      </c>
      <c r="B1667">
        <v>28</v>
      </c>
      <c r="C1667" t="str">
        <f t="shared" ref="C1667:C1730" si="78">IF(B1667&lt;=30,"Youth",IF(B1667&lt;=45,"Adult",IF(B1667&lt;=60,"Adult","Senior")))</f>
        <v>Youth</v>
      </c>
      <c r="D1667" t="s">
        <v>11</v>
      </c>
      <c r="E1667" t="s">
        <v>41</v>
      </c>
      <c r="F1667" t="s">
        <v>46</v>
      </c>
      <c r="G1667">
        <v>40.1</v>
      </c>
      <c r="H1667" t="s">
        <v>14</v>
      </c>
      <c r="I1667" t="s">
        <v>15</v>
      </c>
      <c r="J1667">
        <v>3.5</v>
      </c>
      <c r="K1667">
        <v>20</v>
      </c>
      <c r="L1667">
        <f t="shared" ref="L1667:L1730" si="79">G1667*(1-K1667/100)</f>
        <v>32.080000000000005</v>
      </c>
      <c r="M1667">
        <v>5</v>
      </c>
      <c r="N1667" t="str">
        <f t="shared" ref="N1667:N1730" si="80">IF(M1667&lt;=3,"New",IF(M1667&lt;=7,"Regular","Loyal"))</f>
        <v>Regular</v>
      </c>
    </row>
    <row r="1668" spans="1:14" x14ac:dyDescent="0.35">
      <c r="A1668">
        <v>1667</v>
      </c>
      <c r="B1668">
        <v>27</v>
      </c>
      <c r="C1668" t="str">
        <f t="shared" si="78"/>
        <v>Youth</v>
      </c>
      <c r="D1668" t="s">
        <v>16</v>
      </c>
      <c r="E1668" t="s">
        <v>25</v>
      </c>
      <c r="F1668" t="s">
        <v>54</v>
      </c>
      <c r="G1668">
        <v>19.89</v>
      </c>
      <c r="H1668" t="s">
        <v>31</v>
      </c>
      <c r="I1668" t="s">
        <v>15</v>
      </c>
      <c r="J1668">
        <v>4.0999999999999996</v>
      </c>
      <c r="K1668">
        <v>9</v>
      </c>
      <c r="L1668">
        <f t="shared" si="79"/>
        <v>18.099900000000002</v>
      </c>
      <c r="M1668">
        <v>2</v>
      </c>
      <c r="N1668" t="str">
        <f t="shared" si="80"/>
        <v>New</v>
      </c>
    </row>
    <row r="1669" spans="1:14" x14ac:dyDescent="0.35">
      <c r="A1669">
        <v>1668</v>
      </c>
      <c r="B1669">
        <v>61</v>
      </c>
      <c r="C1669" t="str">
        <f t="shared" si="78"/>
        <v>Senior</v>
      </c>
      <c r="D1669" t="s">
        <v>16</v>
      </c>
      <c r="E1669" t="s">
        <v>20</v>
      </c>
      <c r="F1669" t="s">
        <v>36</v>
      </c>
      <c r="G1669">
        <v>135.32</v>
      </c>
      <c r="H1669" t="s">
        <v>14</v>
      </c>
      <c r="I1669" t="s">
        <v>15</v>
      </c>
      <c r="J1669">
        <v>3</v>
      </c>
      <c r="K1669">
        <v>14</v>
      </c>
      <c r="L1669">
        <f t="shared" si="79"/>
        <v>116.37519999999999</v>
      </c>
      <c r="M1669">
        <v>7</v>
      </c>
      <c r="N1669" t="str">
        <f t="shared" si="80"/>
        <v>Regular</v>
      </c>
    </row>
    <row r="1670" spans="1:14" x14ac:dyDescent="0.35">
      <c r="A1670">
        <v>1669</v>
      </c>
      <c r="B1670">
        <v>23</v>
      </c>
      <c r="C1670" t="str">
        <f t="shared" si="78"/>
        <v>Youth</v>
      </c>
      <c r="D1670" t="s">
        <v>11</v>
      </c>
      <c r="E1670" t="s">
        <v>12</v>
      </c>
      <c r="F1670" t="s">
        <v>56</v>
      </c>
      <c r="G1670">
        <v>101.21</v>
      </c>
      <c r="H1670" t="s">
        <v>24</v>
      </c>
      <c r="I1670" t="s">
        <v>15</v>
      </c>
      <c r="J1670">
        <v>3.6</v>
      </c>
      <c r="K1670">
        <v>28</v>
      </c>
      <c r="L1670">
        <f t="shared" si="79"/>
        <v>72.871199999999988</v>
      </c>
      <c r="M1670">
        <v>9</v>
      </c>
      <c r="N1670" t="str">
        <f t="shared" si="80"/>
        <v>Loyal</v>
      </c>
    </row>
    <row r="1671" spans="1:14" x14ac:dyDescent="0.35">
      <c r="A1671">
        <v>1670</v>
      </c>
      <c r="B1671">
        <v>60</v>
      </c>
      <c r="C1671" t="str">
        <f t="shared" si="78"/>
        <v>Adult</v>
      </c>
      <c r="D1671" t="s">
        <v>11</v>
      </c>
      <c r="E1671" t="s">
        <v>20</v>
      </c>
      <c r="F1671" t="s">
        <v>36</v>
      </c>
      <c r="G1671">
        <v>163.92</v>
      </c>
      <c r="H1671" t="s">
        <v>19</v>
      </c>
      <c r="I1671" t="s">
        <v>15</v>
      </c>
      <c r="J1671">
        <v>3.1</v>
      </c>
      <c r="K1671">
        <v>15</v>
      </c>
      <c r="L1671">
        <f t="shared" si="79"/>
        <v>139.33199999999999</v>
      </c>
      <c r="M1671">
        <v>5</v>
      </c>
      <c r="N1671" t="str">
        <f t="shared" si="80"/>
        <v>Regular</v>
      </c>
    </row>
    <row r="1672" spans="1:14" x14ac:dyDescent="0.35">
      <c r="A1672">
        <v>1671</v>
      </c>
      <c r="B1672">
        <v>54</v>
      </c>
      <c r="C1672" t="str">
        <f t="shared" si="78"/>
        <v>Adult</v>
      </c>
      <c r="D1672" t="s">
        <v>16</v>
      </c>
      <c r="E1672" t="s">
        <v>33</v>
      </c>
      <c r="F1672" t="s">
        <v>40</v>
      </c>
      <c r="G1672">
        <v>138.78</v>
      </c>
      <c r="H1672" t="s">
        <v>31</v>
      </c>
      <c r="I1672" t="s">
        <v>15</v>
      </c>
      <c r="J1672">
        <v>3.7</v>
      </c>
      <c r="K1672">
        <v>15</v>
      </c>
      <c r="L1672">
        <f t="shared" si="79"/>
        <v>117.96299999999999</v>
      </c>
      <c r="M1672">
        <v>5</v>
      </c>
      <c r="N1672" t="str">
        <f t="shared" si="80"/>
        <v>Regular</v>
      </c>
    </row>
    <row r="1673" spans="1:14" x14ac:dyDescent="0.35">
      <c r="A1673">
        <v>1672</v>
      </c>
      <c r="B1673">
        <v>37</v>
      </c>
      <c r="C1673" t="str">
        <f t="shared" si="78"/>
        <v>Adult</v>
      </c>
      <c r="D1673" t="s">
        <v>16</v>
      </c>
      <c r="E1673" t="s">
        <v>17</v>
      </c>
      <c r="F1673" t="s">
        <v>35</v>
      </c>
      <c r="G1673">
        <v>168.61</v>
      </c>
      <c r="H1673" t="s">
        <v>14</v>
      </c>
      <c r="I1673" t="s">
        <v>15</v>
      </c>
      <c r="J1673">
        <v>4.5999999999999996</v>
      </c>
      <c r="K1673">
        <v>15</v>
      </c>
      <c r="L1673">
        <f t="shared" si="79"/>
        <v>143.3185</v>
      </c>
      <c r="M1673">
        <v>5</v>
      </c>
      <c r="N1673" t="str">
        <f t="shared" si="80"/>
        <v>Regular</v>
      </c>
    </row>
    <row r="1674" spans="1:14" x14ac:dyDescent="0.35">
      <c r="A1674">
        <v>1673</v>
      </c>
      <c r="B1674">
        <v>60</v>
      </c>
      <c r="C1674" t="str">
        <f t="shared" si="78"/>
        <v>Adult</v>
      </c>
      <c r="D1674" t="s">
        <v>11</v>
      </c>
      <c r="E1674" t="s">
        <v>41</v>
      </c>
      <c r="F1674" t="s">
        <v>44</v>
      </c>
      <c r="G1674">
        <v>177.44</v>
      </c>
      <c r="H1674" t="s">
        <v>14</v>
      </c>
      <c r="I1674" t="s">
        <v>15</v>
      </c>
      <c r="J1674">
        <v>3.8</v>
      </c>
      <c r="K1674">
        <v>9</v>
      </c>
      <c r="L1674">
        <f t="shared" si="79"/>
        <v>161.47040000000001</v>
      </c>
      <c r="M1674">
        <v>2</v>
      </c>
      <c r="N1674" t="str">
        <f t="shared" si="80"/>
        <v>New</v>
      </c>
    </row>
    <row r="1675" spans="1:14" x14ac:dyDescent="0.35">
      <c r="A1675">
        <v>1674</v>
      </c>
      <c r="B1675">
        <v>42</v>
      </c>
      <c r="C1675" t="str">
        <f t="shared" si="78"/>
        <v>Adult</v>
      </c>
      <c r="D1675" t="s">
        <v>16</v>
      </c>
      <c r="E1675" t="s">
        <v>33</v>
      </c>
      <c r="F1675" t="s">
        <v>40</v>
      </c>
      <c r="G1675">
        <v>58.43</v>
      </c>
      <c r="H1675" t="s">
        <v>31</v>
      </c>
      <c r="I1675" t="s">
        <v>15</v>
      </c>
      <c r="J1675">
        <v>3.9</v>
      </c>
      <c r="K1675">
        <v>13</v>
      </c>
      <c r="L1675">
        <f t="shared" si="79"/>
        <v>50.834099999999999</v>
      </c>
      <c r="M1675">
        <v>4</v>
      </c>
      <c r="N1675" t="str">
        <f t="shared" si="80"/>
        <v>Regular</v>
      </c>
    </row>
    <row r="1676" spans="1:14" x14ac:dyDescent="0.35">
      <c r="A1676">
        <v>1675</v>
      </c>
      <c r="B1676">
        <v>27</v>
      </c>
      <c r="C1676" t="str">
        <f t="shared" si="78"/>
        <v>Youth</v>
      </c>
      <c r="D1676" t="s">
        <v>16</v>
      </c>
      <c r="E1676" t="s">
        <v>22</v>
      </c>
      <c r="F1676" t="s">
        <v>43</v>
      </c>
      <c r="G1676">
        <v>184.18</v>
      </c>
      <c r="H1676" t="s">
        <v>24</v>
      </c>
      <c r="I1676" t="s">
        <v>15</v>
      </c>
      <c r="J1676">
        <v>4.2</v>
      </c>
      <c r="K1676">
        <v>23</v>
      </c>
      <c r="L1676">
        <f t="shared" si="79"/>
        <v>141.8186</v>
      </c>
      <c r="M1676">
        <v>9</v>
      </c>
      <c r="N1676" t="str">
        <f t="shared" si="80"/>
        <v>Loyal</v>
      </c>
    </row>
    <row r="1677" spans="1:14" x14ac:dyDescent="0.35">
      <c r="A1677">
        <v>1676</v>
      </c>
      <c r="B1677">
        <v>54</v>
      </c>
      <c r="C1677" t="str">
        <f t="shared" si="78"/>
        <v>Adult</v>
      </c>
      <c r="D1677" t="s">
        <v>11</v>
      </c>
      <c r="E1677" t="s">
        <v>33</v>
      </c>
      <c r="F1677" t="s">
        <v>34</v>
      </c>
      <c r="G1677">
        <v>180.54</v>
      </c>
      <c r="H1677" t="s">
        <v>14</v>
      </c>
      <c r="I1677" t="s">
        <v>15</v>
      </c>
      <c r="J1677">
        <v>3.9</v>
      </c>
      <c r="K1677">
        <v>15</v>
      </c>
      <c r="L1677">
        <f t="shared" si="79"/>
        <v>153.459</v>
      </c>
      <c r="M1677">
        <v>5</v>
      </c>
      <c r="N1677" t="str">
        <f t="shared" si="80"/>
        <v>Regular</v>
      </c>
    </row>
    <row r="1678" spans="1:14" x14ac:dyDescent="0.35">
      <c r="A1678">
        <v>1677</v>
      </c>
      <c r="B1678">
        <v>56</v>
      </c>
      <c r="C1678" t="str">
        <f t="shared" si="78"/>
        <v>Adult</v>
      </c>
      <c r="D1678" t="s">
        <v>16</v>
      </c>
      <c r="E1678" t="s">
        <v>17</v>
      </c>
      <c r="F1678" t="s">
        <v>42</v>
      </c>
      <c r="G1678">
        <v>135.91</v>
      </c>
      <c r="H1678" t="s">
        <v>24</v>
      </c>
      <c r="I1678" t="s">
        <v>15</v>
      </c>
      <c r="J1678">
        <v>3.6</v>
      </c>
      <c r="K1678">
        <v>22</v>
      </c>
      <c r="L1678">
        <f t="shared" si="79"/>
        <v>106.0098</v>
      </c>
      <c r="M1678">
        <v>6</v>
      </c>
      <c r="N1678" t="str">
        <f t="shared" si="80"/>
        <v>Regular</v>
      </c>
    </row>
    <row r="1679" spans="1:14" x14ac:dyDescent="0.35">
      <c r="A1679">
        <v>1678</v>
      </c>
      <c r="B1679">
        <v>44</v>
      </c>
      <c r="C1679" t="str">
        <f t="shared" si="78"/>
        <v>Adult</v>
      </c>
      <c r="D1679" t="s">
        <v>11</v>
      </c>
      <c r="E1679" t="s">
        <v>41</v>
      </c>
      <c r="F1679" t="s">
        <v>46</v>
      </c>
      <c r="G1679">
        <v>183.99</v>
      </c>
      <c r="H1679" t="s">
        <v>14</v>
      </c>
      <c r="I1679" t="s">
        <v>15</v>
      </c>
      <c r="J1679">
        <v>3.1</v>
      </c>
      <c r="K1679">
        <v>16</v>
      </c>
      <c r="L1679">
        <f t="shared" si="79"/>
        <v>154.55160000000001</v>
      </c>
      <c r="M1679">
        <v>8</v>
      </c>
      <c r="N1679" t="str">
        <f t="shared" si="80"/>
        <v>Loyal</v>
      </c>
    </row>
    <row r="1680" spans="1:14" x14ac:dyDescent="0.35">
      <c r="A1680">
        <v>1679</v>
      </c>
      <c r="B1680">
        <v>32</v>
      </c>
      <c r="C1680" t="str">
        <f t="shared" si="78"/>
        <v>Adult</v>
      </c>
      <c r="D1680" t="s">
        <v>11</v>
      </c>
      <c r="E1680" t="s">
        <v>33</v>
      </c>
      <c r="F1680" t="s">
        <v>40</v>
      </c>
      <c r="G1680">
        <v>188.12</v>
      </c>
      <c r="H1680" t="s">
        <v>24</v>
      </c>
      <c r="I1680" t="s">
        <v>15</v>
      </c>
      <c r="J1680">
        <v>2.7</v>
      </c>
      <c r="K1680">
        <v>6</v>
      </c>
      <c r="L1680">
        <f t="shared" si="79"/>
        <v>176.83279999999999</v>
      </c>
      <c r="M1680">
        <v>3</v>
      </c>
      <c r="N1680" t="str">
        <f t="shared" si="80"/>
        <v>New</v>
      </c>
    </row>
    <row r="1681" spans="1:14" x14ac:dyDescent="0.35">
      <c r="A1681">
        <v>1680</v>
      </c>
      <c r="B1681">
        <v>60</v>
      </c>
      <c r="C1681" t="str">
        <f t="shared" si="78"/>
        <v>Adult</v>
      </c>
      <c r="D1681" t="s">
        <v>11</v>
      </c>
      <c r="E1681" t="s">
        <v>33</v>
      </c>
      <c r="F1681" t="s">
        <v>40</v>
      </c>
      <c r="G1681">
        <v>81.88</v>
      </c>
      <c r="H1681" t="s">
        <v>24</v>
      </c>
      <c r="I1681" t="s">
        <v>37</v>
      </c>
      <c r="J1681">
        <v>4.5</v>
      </c>
      <c r="K1681">
        <v>14</v>
      </c>
      <c r="L1681">
        <f t="shared" si="79"/>
        <v>70.416799999999995</v>
      </c>
      <c r="M1681">
        <v>7</v>
      </c>
      <c r="N1681" t="str">
        <f t="shared" si="80"/>
        <v>Regular</v>
      </c>
    </row>
    <row r="1682" spans="1:14" x14ac:dyDescent="0.35">
      <c r="A1682">
        <v>1681</v>
      </c>
      <c r="B1682">
        <v>55</v>
      </c>
      <c r="C1682" t="str">
        <f t="shared" si="78"/>
        <v>Adult</v>
      </c>
      <c r="D1682" t="s">
        <v>11</v>
      </c>
      <c r="E1682" t="s">
        <v>33</v>
      </c>
      <c r="F1682" t="s">
        <v>40</v>
      </c>
      <c r="G1682">
        <v>134.88</v>
      </c>
      <c r="H1682" t="s">
        <v>24</v>
      </c>
      <c r="I1682" t="s">
        <v>15</v>
      </c>
      <c r="J1682">
        <v>4.0999999999999996</v>
      </c>
      <c r="K1682">
        <v>11</v>
      </c>
      <c r="L1682">
        <f t="shared" si="79"/>
        <v>120.0432</v>
      </c>
      <c r="M1682">
        <v>3</v>
      </c>
      <c r="N1682" t="str">
        <f t="shared" si="80"/>
        <v>New</v>
      </c>
    </row>
    <row r="1683" spans="1:14" x14ac:dyDescent="0.35">
      <c r="A1683">
        <v>1682</v>
      </c>
      <c r="B1683">
        <v>60</v>
      </c>
      <c r="C1683" t="str">
        <f t="shared" si="78"/>
        <v>Adult</v>
      </c>
      <c r="D1683" t="s">
        <v>11</v>
      </c>
      <c r="E1683" t="s">
        <v>33</v>
      </c>
      <c r="F1683" t="s">
        <v>40</v>
      </c>
      <c r="G1683">
        <v>76.8</v>
      </c>
      <c r="H1683" t="s">
        <v>24</v>
      </c>
      <c r="I1683" t="s">
        <v>15</v>
      </c>
      <c r="J1683">
        <v>3.3</v>
      </c>
      <c r="K1683">
        <v>17</v>
      </c>
      <c r="L1683">
        <f t="shared" si="79"/>
        <v>63.743999999999993</v>
      </c>
      <c r="M1683">
        <v>6</v>
      </c>
      <c r="N1683" t="str">
        <f t="shared" si="80"/>
        <v>Regular</v>
      </c>
    </row>
    <row r="1684" spans="1:14" x14ac:dyDescent="0.35">
      <c r="A1684">
        <v>1683</v>
      </c>
      <c r="B1684">
        <v>54</v>
      </c>
      <c r="C1684" t="str">
        <f t="shared" si="78"/>
        <v>Adult</v>
      </c>
      <c r="D1684" t="s">
        <v>11</v>
      </c>
      <c r="E1684" t="s">
        <v>29</v>
      </c>
      <c r="F1684" t="s">
        <v>30</v>
      </c>
      <c r="G1684">
        <v>54.63</v>
      </c>
      <c r="H1684" t="s">
        <v>24</v>
      </c>
      <c r="I1684" t="s">
        <v>37</v>
      </c>
      <c r="J1684">
        <v>4.5</v>
      </c>
      <c r="K1684">
        <v>10</v>
      </c>
      <c r="L1684">
        <f t="shared" si="79"/>
        <v>49.167000000000002</v>
      </c>
      <c r="M1684">
        <v>5</v>
      </c>
      <c r="N1684" t="str">
        <f t="shared" si="80"/>
        <v>Regular</v>
      </c>
    </row>
    <row r="1685" spans="1:14" x14ac:dyDescent="0.35">
      <c r="A1685">
        <v>1684</v>
      </c>
      <c r="B1685">
        <v>39</v>
      </c>
      <c r="C1685" t="str">
        <f t="shared" si="78"/>
        <v>Adult</v>
      </c>
      <c r="D1685" t="s">
        <v>16</v>
      </c>
      <c r="E1685" t="s">
        <v>17</v>
      </c>
      <c r="F1685" t="s">
        <v>42</v>
      </c>
      <c r="G1685">
        <v>47.56</v>
      </c>
      <c r="H1685" t="s">
        <v>19</v>
      </c>
      <c r="I1685" t="s">
        <v>37</v>
      </c>
      <c r="J1685">
        <v>2.1</v>
      </c>
      <c r="K1685">
        <v>6</v>
      </c>
      <c r="L1685">
        <f t="shared" si="79"/>
        <v>44.706400000000002</v>
      </c>
      <c r="M1685">
        <v>3</v>
      </c>
      <c r="N1685" t="str">
        <f t="shared" si="80"/>
        <v>New</v>
      </c>
    </row>
    <row r="1686" spans="1:14" x14ac:dyDescent="0.35">
      <c r="A1686">
        <v>1685</v>
      </c>
      <c r="B1686">
        <v>20</v>
      </c>
      <c r="C1686" t="str">
        <f t="shared" si="78"/>
        <v>Youth</v>
      </c>
      <c r="D1686" t="s">
        <v>16</v>
      </c>
      <c r="E1686" t="s">
        <v>33</v>
      </c>
      <c r="F1686" t="s">
        <v>40</v>
      </c>
      <c r="G1686">
        <v>53.28</v>
      </c>
      <c r="H1686" t="s">
        <v>31</v>
      </c>
      <c r="I1686" t="s">
        <v>15</v>
      </c>
      <c r="J1686">
        <v>3</v>
      </c>
      <c r="K1686">
        <v>23</v>
      </c>
      <c r="L1686">
        <f t="shared" si="79"/>
        <v>41.025600000000004</v>
      </c>
      <c r="M1686">
        <v>9</v>
      </c>
      <c r="N1686" t="str">
        <f t="shared" si="80"/>
        <v>Loyal</v>
      </c>
    </row>
    <row r="1687" spans="1:14" x14ac:dyDescent="0.35">
      <c r="A1687">
        <v>1686</v>
      </c>
      <c r="B1687">
        <v>31</v>
      </c>
      <c r="C1687" t="str">
        <f t="shared" si="78"/>
        <v>Adult</v>
      </c>
      <c r="D1687" t="s">
        <v>11</v>
      </c>
      <c r="E1687" t="s">
        <v>25</v>
      </c>
      <c r="F1687" t="s">
        <v>47</v>
      </c>
      <c r="G1687">
        <v>78.790000000000006</v>
      </c>
      <c r="H1687" t="s">
        <v>24</v>
      </c>
      <c r="I1687" t="s">
        <v>37</v>
      </c>
      <c r="J1687">
        <v>4.8</v>
      </c>
      <c r="K1687">
        <v>14</v>
      </c>
      <c r="L1687">
        <f t="shared" si="79"/>
        <v>67.759399999999999</v>
      </c>
      <c r="M1687">
        <v>2</v>
      </c>
      <c r="N1687" t="str">
        <f t="shared" si="80"/>
        <v>New</v>
      </c>
    </row>
    <row r="1688" spans="1:14" x14ac:dyDescent="0.35">
      <c r="A1688">
        <v>1687</v>
      </c>
      <c r="B1688">
        <v>45</v>
      </c>
      <c r="C1688" t="str">
        <f t="shared" si="78"/>
        <v>Adult</v>
      </c>
      <c r="D1688" t="s">
        <v>11</v>
      </c>
      <c r="E1688" t="s">
        <v>29</v>
      </c>
      <c r="F1688" t="s">
        <v>30</v>
      </c>
      <c r="G1688">
        <v>52.81</v>
      </c>
      <c r="H1688" t="s">
        <v>24</v>
      </c>
      <c r="I1688" t="s">
        <v>15</v>
      </c>
      <c r="J1688">
        <v>4.5999999999999996</v>
      </c>
      <c r="K1688">
        <v>24</v>
      </c>
      <c r="L1688">
        <f t="shared" si="79"/>
        <v>40.135600000000004</v>
      </c>
      <c r="M1688">
        <v>7</v>
      </c>
      <c r="N1688" t="str">
        <f t="shared" si="80"/>
        <v>Regular</v>
      </c>
    </row>
    <row r="1689" spans="1:14" x14ac:dyDescent="0.35">
      <c r="A1689">
        <v>1688</v>
      </c>
      <c r="B1689">
        <v>38</v>
      </c>
      <c r="C1689" t="str">
        <f t="shared" si="78"/>
        <v>Adult</v>
      </c>
      <c r="D1689" t="s">
        <v>16</v>
      </c>
      <c r="E1689" t="s">
        <v>27</v>
      </c>
      <c r="F1689" t="s">
        <v>32</v>
      </c>
      <c r="G1689">
        <v>2403.13</v>
      </c>
      <c r="H1689" t="s">
        <v>31</v>
      </c>
      <c r="I1689" t="s">
        <v>15</v>
      </c>
      <c r="J1689">
        <v>4.9000000000000004</v>
      </c>
      <c r="K1689">
        <v>8</v>
      </c>
      <c r="L1689">
        <f t="shared" si="79"/>
        <v>2210.8796000000002</v>
      </c>
      <c r="M1689">
        <v>4</v>
      </c>
      <c r="N1689" t="str">
        <f t="shared" si="80"/>
        <v>Regular</v>
      </c>
    </row>
    <row r="1690" spans="1:14" x14ac:dyDescent="0.35">
      <c r="A1690">
        <v>1689</v>
      </c>
      <c r="B1690">
        <v>61</v>
      </c>
      <c r="C1690" t="str">
        <f t="shared" si="78"/>
        <v>Senior</v>
      </c>
      <c r="D1690" t="s">
        <v>11</v>
      </c>
      <c r="E1690" t="s">
        <v>12</v>
      </c>
      <c r="F1690" t="s">
        <v>50</v>
      </c>
      <c r="G1690">
        <v>117</v>
      </c>
      <c r="H1690" t="s">
        <v>31</v>
      </c>
      <c r="I1690" t="s">
        <v>15</v>
      </c>
      <c r="J1690">
        <v>3.4</v>
      </c>
      <c r="K1690">
        <v>15</v>
      </c>
      <c r="L1690">
        <f t="shared" si="79"/>
        <v>99.45</v>
      </c>
      <c r="M1690">
        <v>5</v>
      </c>
      <c r="N1690" t="str">
        <f t="shared" si="80"/>
        <v>Regular</v>
      </c>
    </row>
    <row r="1691" spans="1:14" x14ac:dyDescent="0.35">
      <c r="A1691">
        <v>1690</v>
      </c>
      <c r="B1691">
        <v>51</v>
      </c>
      <c r="C1691" t="str">
        <f t="shared" si="78"/>
        <v>Adult</v>
      </c>
      <c r="D1691" t="s">
        <v>16</v>
      </c>
      <c r="E1691" t="s">
        <v>33</v>
      </c>
      <c r="F1691" t="s">
        <v>40</v>
      </c>
      <c r="G1691">
        <v>94.71</v>
      </c>
      <c r="H1691" t="s">
        <v>31</v>
      </c>
      <c r="I1691" t="s">
        <v>15</v>
      </c>
      <c r="J1691">
        <v>3.6</v>
      </c>
      <c r="K1691">
        <v>13</v>
      </c>
      <c r="L1691">
        <f t="shared" si="79"/>
        <v>82.3977</v>
      </c>
      <c r="M1691">
        <v>4</v>
      </c>
      <c r="N1691" t="str">
        <f t="shared" si="80"/>
        <v>Regular</v>
      </c>
    </row>
    <row r="1692" spans="1:14" x14ac:dyDescent="0.35">
      <c r="A1692">
        <v>1691</v>
      </c>
      <c r="B1692">
        <v>54</v>
      </c>
      <c r="C1692" t="str">
        <f t="shared" si="78"/>
        <v>Adult</v>
      </c>
      <c r="D1692" t="s">
        <v>11</v>
      </c>
      <c r="E1692" t="s">
        <v>33</v>
      </c>
      <c r="F1692" t="s">
        <v>38</v>
      </c>
      <c r="G1692">
        <v>121.85</v>
      </c>
      <c r="H1692" t="s">
        <v>14</v>
      </c>
      <c r="I1692" t="s">
        <v>15</v>
      </c>
      <c r="J1692">
        <v>4.0999999999999996</v>
      </c>
      <c r="K1692">
        <v>24</v>
      </c>
      <c r="L1692">
        <f t="shared" si="79"/>
        <v>92.605999999999995</v>
      </c>
      <c r="M1692">
        <v>7</v>
      </c>
      <c r="N1692" t="str">
        <f t="shared" si="80"/>
        <v>Regular</v>
      </c>
    </row>
    <row r="1693" spans="1:14" x14ac:dyDescent="0.35">
      <c r="A1693">
        <v>1692</v>
      </c>
      <c r="B1693">
        <v>49</v>
      </c>
      <c r="C1693" t="str">
        <f t="shared" si="78"/>
        <v>Adult</v>
      </c>
      <c r="D1693" t="s">
        <v>16</v>
      </c>
      <c r="E1693" t="s">
        <v>25</v>
      </c>
      <c r="F1693" t="s">
        <v>57</v>
      </c>
      <c r="G1693">
        <v>72.209999999999994</v>
      </c>
      <c r="H1693" t="s">
        <v>14</v>
      </c>
      <c r="I1693" t="s">
        <v>37</v>
      </c>
      <c r="J1693">
        <v>3.8</v>
      </c>
      <c r="K1693">
        <v>16</v>
      </c>
      <c r="L1693">
        <f t="shared" si="79"/>
        <v>60.656399999999991</v>
      </c>
      <c r="M1693">
        <v>3</v>
      </c>
      <c r="N1693" t="str">
        <f t="shared" si="80"/>
        <v>New</v>
      </c>
    </row>
    <row r="1694" spans="1:14" x14ac:dyDescent="0.35">
      <c r="A1694">
        <v>1693</v>
      </c>
      <c r="B1694">
        <v>69</v>
      </c>
      <c r="C1694" t="str">
        <f t="shared" si="78"/>
        <v>Senior</v>
      </c>
      <c r="D1694" t="s">
        <v>11</v>
      </c>
      <c r="E1694" t="s">
        <v>12</v>
      </c>
      <c r="F1694" t="s">
        <v>56</v>
      </c>
      <c r="G1694">
        <v>166.88</v>
      </c>
      <c r="H1694" t="s">
        <v>31</v>
      </c>
      <c r="I1694" t="s">
        <v>15</v>
      </c>
      <c r="J1694">
        <v>4.0999999999999996</v>
      </c>
      <c r="K1694">
        <v>8</v>
      </c>
      <c r="L1694">
        <f t="shared" si="79"/>
        <v>153.52960000000002</v>
      </c>
      <c r="M1694">
        <v>4</v>
      </c>
      <c r="N1694" t="str">
        <f t="shared" si="80"/>
        <v>Regular</v>
      </c>
    </row>
    <row r="1695" spans="1:14" x14ac:dyDescent="0.35">
      <c r="A1695">
        <v>1694</v>
      </c>
      <c r="B1695">
        <v>46</v>
      </c>
      <c r="C1695" t="str">
        <f t="shared" si="78"/>
        <v>Adult</v>
      </c>
      <c r="D1695" t="s">
        <v>11</v>
      </c>
      <c r="E1695" t="s">
        <v>29</v>
      </c>
      <c r="F1695" t="s">
        <v>55</v>
      </c>
      <c r="G1695">
        <v>75.22</v>
      </c>
      <c r="H1695" t="s">
        <v>14</v>
      </c>
      <c r="I1695" t="s">
        <v>37</v>
      </c>
      <c r="J1695">
        <v>4.0999999999999996</v>
      </c>
      <c r="K1695">
        <v>10</v>
      </c>
      <c r="L1695">
        <f t="shared" si="79"/>
        <v>67.698000000000008</v>
      </c>
      <c r="M1695">
        <v>5</v>
      </c>
      <c r="N1695" t="str">
        <f t="shared" si="80"/>
        <v>Regular</v>
      </c>
    </row>
    <row r="1696" spans="1:14" x14ac:dyDescent="0.35">
      <c r="A1696">
        <v>1695</v>
      </c>
      <c r="B1696">
        <v>48</v>
      </c>
      <c r="C1696" t="str">
        <f t="shared" si="78"/>
        <v>Adult</v>
      </c>
      <c r="D1696" t="s">
        <v>16</v>
      </c>
      <c r="E1696" t="s">
        <v>33</v>
      </c>
      <c r="F1696" t="s">
        <v>40</v>
      </c>
      <c r="G1696">
        <v>77.91</v>
      </c>
      <c r="H1696" t="s">
        <v>19</v>
      </c>
      <c r="I1696" t="s">
        <v>15</v>
      </c>
      <c r="J1696">
        <v>3.9</v>
      </c>
      <c r="K1696">
        <v>17</v>
      </c>
      <c r="L1696">
        <f t="shared" si="79"/>
        <v>64.665299999999988</v>
      </c>
      <c r="M1696">
        <v>6</v>
      </c>
      <c r="N1696" t="str">
        <f t="shared" si="80"/>
        <v>Regular</v>
      </c>
    </row>
    <row r="1697" spans="1:14" x14ac:dyDescent="0.35">
      <c r="A1697">
        <v>1696</v>
      </c>
      <c r="B1697">
        <v>58</v>
      </c>
      <c r="C1697" t="str">
        <f t="shared" si="78"/>
        <v>Adult</v>
      </c>
      <c r="D1697" t="s">
        <v>16</v>
      </c>
      <c r="E1697" t="s">
        <v>20</v>
      </c>
      <c r="F1697" t="s">
        <v>36</v>
      </c>
      <c r="G1697">
        <v>65.28</v>
      </c>
      <c r="H1697" t="s">
        <v>24</v>
      </c>
      <c r="I1697" t="s">
        <v>15</v>
      </c>
      <c r="J1697">
        <v>4.5999999999999996</v>
      </c>
      <c r="K1697">
        <v>12</v>
      </c>
      <c r="L1697">
        <f t="shared" si="79"/>
        <v>57.446400000000004</v>
      </c>
      <c r="M1697">
        <v>6</v>
      </c>
      <c r="N1697" t="str">
        <f t="shared" si="80"/>
        <v>Regular</v>
      </c>
    </row>
    <row r="1698" spans="1:14" x14ac:dyDescent="0.35">
      <c r="A1698">
        <v>1697</v>
      </c>
      <c r="B1698">
        <v>47</v>
      </c>
      <c r="C1698" t="str">
        <f t="shared" si="78"/>
        <v>Adult</v>
      </c>
      <c r="D1698" t="s">
        <v>11</v>
      </c>
      <c r="E1698" t="s">
        <v>33</v>
      </c>
      <c r="F1698" t="s">
        <v>38</v>
      </c>
      <c r="G1698">
        <v>132.81</v>
      </c>
      <c r="H1698" t="s">
        <v>19</v>
      </c>
      <c r="I1698" t="s">
        <v>15</v>
      </c>
      <c r="J1698">
        <v>4.0999999999999996</v>
      </c>
      <c r="K1698">
        <v>6</v>
      </c>
      <c r="L1698">
        <f t="shared" si="79"/>
        <v>124.84139999999999</v>
      </c>
      <c r="M1698">
        <v>3</v>
      </c>
      <c r="N1698" t="str">
        <f t="shared" si="80"/>
        <v>New</v>
      </c>
    </row>
    <row r="1699" spans="1:14" x14ac:dyDescent="0.35">
      <c r="A1699">
        <v>1698</v>
      </c>
      <c r="B1699">
        <v>33</v>
      </c>
      <c r="C1699" t="str">
        <f t="shared" si="78"/>
        <v>Adult</v>
      </c>
      <c r="D1699" t="s">
        <v>16</v>
      </c>
      <c r="E1699" t="s">
        <v>27</v>
      </c>
      <c r="F1699" t="s">
        <v>32</v>
      </c>
      <c r="G1699">
        <v>2290.9699999999998</v>
      </c>
      <c r="H1699" t="s">
        <v>31</v>
      </c>
      <c r="I1699" t="s">
        <v>15</v>
      </c>
      <c r="J1699">
        <v>4.2</v>
      </c>
      <c r="K1699">
        <v>12</v>
      </c>
      <c r="L1699">
        <f t="shared" si="79"/>
        <v>2016.0535999999997</v>
      </c>
      <c r="M1699">
        <v>1</v>
      </c>
      <c r="N1699" t="str">
        <f t="shared" si="80"/>
        <v>New</v>
      </c>
    </row>
    <row r="1700" spans="1:14" x14ac:dyDescent="0.35">
      <c r="A1700">
        <v>1699</v>
      </c>
      <c r="B1700">
        <v>34</v>
      </c>
      <c r="C1700" t="str">
        <f t="shared" si="78"/>
        <v>Adult</v>
      </c>
      <c r="D1700" t="s">
        <v>11</v>
      </c>
      <c r="E1700" t="s">
        <v>29</v>
      </c>
      <c r="F1700" t="s">
        <v>55</v>
      </c>
      <c r="G1700">
        <v>31.61</v>
      </c>
      <c r="H1700" t="s">
        <v>14</v>
      </c>
      <c r="I1700" t="s">
        <v>15</v>
      </c>
      <c r="J1700">
        <v>5</v>
      </c>
      <c r="K1700">
        <v>19</v>
      </c>
      <c r="L1700">
        <f t="shared" si="79"/>
        <v>25.604100000000003</v>
      </c>
      <c r="M1700">
        <v>7</v>
      </c>
      <c r="N1700" t="str">
        <f t="shared" si="80"/>
        <v>Regular</v>
      </c>
    </row>
    <row r="1701" spans="1:14" x14ac:dyDescent="0.35">
      <c r="A1701">
        <v>1700</v>
      </c>
      <c r="B1701">
        <v>43</v>
      </c>
      <c r="C1701" t="str">
        <f t="shared" si="78"/>
        <v>Adult</v>
      </c>
      <c r="D1701" t="s">
        <v>16</v>
      </c>
      <c r="E1701" t="s">
        <v>17</v>
      </c>
      <c r="F1701" t="s">
        <v>18</v>
      </c>
      <c r="G1701">
        <v>184.32</v>
      </c>
      <c r="H1701" t="s">
        <v>19</v>
      </c>
      <c r="I1701" t="s">
        <v>15</v>
      </c>
      <c r="J1701">
        <v>4.5999999999999996</v>
      </c>
      <c r="K1701">
        <v>22</v>
      </c>
      <c r="L1701">
        <f t="shared" si="79"/>
        <v>143.7696</v>
      </c>
      <c r="M1701">
        <v>6</v>
      </c>
      <c r="N1701" t="str">
        <f t="shared" si="80"/>
        <v>Regular</v>
      </c>
    </row>
    <row r="1702" spans="1:14" x14ac:dyDescent="0.35">
      <c r="A1702">
        <v>1701</v>
      </c>
      <c r="B1702">
        <v>58</v>
      </c>
      <c r="C1702" t="str">
        <f t="shared" si="78"/>
        <v>Adult</v>
      </c>
      <c r="D1702" t="s">
        <v>16</v>
      </c>
      <c r="E1702" t="s">
        <v>33</v>
      </c>
      <c r="F1702" t="s">
        <v>34</v>
      </c>
      <c r="G1702">
        <v>135.47</v>
      </c>
      <c r="H1702" t="s">
        <v>19</v>
      </c>
      <c r="I1702" t="s">
        <v>15</v>
      </c>
      <c r="J1702">
        <v>4.9000000000000004</v>
      </c>
      <c r="K1702">
        <v>30</v>
      </c>
      <c r="L1702">
        <f t="shared" si="79"/>
        <v>94.828999999999994</v>
      </c>
      <c r="M1702">
        <v>10</v>
      </c>
      <c r="N1702" t="str">
        <f t="shared" si="80"/>
        <v>Loyal</v>
      </c>
    </row>
    <row r="1703" spans="1:14" x14ac:dyDescent="0.35">
      <c r="A1703">
        <v>1702</v>
      </c>
      <c r="B1703">
        <v>58</v>
      </c>
      <c r="C1703" t="str">
        <f t="shared" si="78"/>
        <v>Adult</v>
      </c>
      <c r="D1703" t="s">
        <v>11</v>
      </c>
      <c r="E1703" t="s">
        <v>33</v>
      </c>
      <c r="F1703" t="s">
        <v>40</v>
      </c>
      <c r="G1703">
        <v>101.31</v>
      </c>
      <c r="H1703" t="s">
        <v>14</v>
      </c>
      <c r="I1703" t="s">
        <v>15</v>
      </c>
      <c r="J1703">
        <v>3.9</v>
      </c>
      <c r="K1703">
        <v>26</v>
      </c>
      <c r="L1703">
        <f t="shared" si="79"/>
        <v>74.969400000000007</v>
      </c>
      <c r="M1703">
        <v>8</v>
      </c>
      <c r="N1703" t="str">
        <f t="shared" si="80"/>
        <v>Loyal</v>
      </c>
    </row>
    <row r="1704" spans="1:14" x14ac:dyDescent="0.35">
      <c r="A1704">
        <v>1703</v>
      </c>
      <c r="B1704">
        <v>41</v>
      </c>
      <c r="C1704" t="str">
        <f t="shared" si="78"/>
        <v>Adult</v>
      </c>
      <c r="D1704" t="s">
        <v>11</v>
      </c>
      <c r="E1704" t="s">
        <v>41</v>
      </c>
      <c r="F1704" t="s">
        <v>46</v>
      </c>
      <c r="G1704">
        <v>162.41</v>
      </c>
      <c r="H1704" t="s">
        <v>24</v>
      </c>
      <c r="I1704" t="s">
        <v>15</v>
      </c>
      <c r="J1704">
        <v>4</v>
      </c>
      <c r="K1704">
        <v>4</v>
      </c>
      <c r="L1704">
        <f t="shared" si="79"/>
        <v>155.9136</v>
      </c>
      <c r="M1704">
        <v>2</v>
      </c>
      <c r="N1704" t="str">
        <f t="shared" si="80"/>
        <v>New</v>
      </c>
    </row>
    <row r="1705" spans="1:14" x14ac:dyDescent="0.35">
      <c r="A1705">
        <v>1704</v>
      </c>
      <c r="B1705">
        <v>70</v>
      </c>
      <c r="C1705" t="str">
        <f t="shared" si="78"/>
        <v>Senior</v>
      </c>
      <c r="D1705" t="s">
        <v>11</v>
      </c>
      <c r="E1705" t="s">
        <v>33</v>
      </c>
      <c r="F1705" t="s">
        <v>40</v>
      </c>
      <c r="G1705">
        <v>207.96</v>
      </c>
      <c r="H1705" t="s">
        <v>19</v>
      </c>
      <c r="I1705" t="s">
        <v>15</v>
      </c>
      <c r="J1705">
        <v>4.0999999999999996</v>
      </c>
      <c r="K1705">
        <v>13</v>
      </c>
      <c r="L1705">
        <f t="shared" si="79"/>
        <v>180.92520000000002</v>
      </c>
      <c r="M1705">
        <v>4</v>
      </c>
      <c r="N1705" t="str">
        <f t="shared" si="80"/>
        <v>Regular</v>
      </c>
    </row>
    <row r="1706" spans="1:14" x14ac:dyDescent="0.35">
      <c r="A1706">
        <v>1705</v>
      </c>
      <c r="B1706">
        <v>35</v>
      </c>
      <c r="C1706" t="str">
        <f t="shared" si="78"/>
        <v>Adult</v>
      </c>
      <c r="D1706" t="s">
        <v>11</v>
      </c>
      <c r="E1706" t="s">
        <v>12</v>
      </c>
      <c r="F1706" t="s">
        <v>50</v>
      </c>
      <c r="G1706">
        <v>63.49</v>
      </c>
      <c r="H1706" t="s">
        <v>24</v>
      </c>
      <c r="I1706" t="s">
        <v>15</v>
      </c>
      <c r="J1706">
        <v>2.2000000000000002</v>
      </c>
      <c r="K1706">
        <v>10</v>
      </c>
      <c r="L1706">
        <f t="shared" si="79"/>
        <v>57.141000000000005</v>
      </c>
      <c r="M1706">
        <v>5</v>
      </c>
      <c r="N1706" t="str">
        <f t="shared" si="80"/>
        <v>Regular</v>
      </c>
    </row>
    <row r="1707" spans="1:14" x14ac:dyDescent="0.35">
      <c r="A1707">
        <v>1706</v>
      </c>
      <c r="B1707">
        <v>63</v>
      </c>
      <c r="C1707" t="str">
        <f t="shared" si="78"/>
        <v>Senior</v>
      </c>
      <c r="D1707" t="s">
        <v>11</v>
      </c>
      <c r="E1707" t="s">
        <v>33</v>
      </c>
      <c r="F1707" t="s">
        <v>40</v>
      </c>
      <c r="G1707">
        <v>139.55000000000001</v>
      </c>
      <c r="H1707" t="s">
        <v>19</v>
      </c>
      <c r="I1707" t="s">
        <v>15</v>
      </c>
      <c r="J1707">
        <v>4.3</v>
      </c>
      <c r="K1707">
        <v>12</v>
      </c>
      <c r="L1707">
        <f t="shared" si="79"/>
        <v>122.80400000000002</v>
      </c>
      <c r="M1707">
        <v>6</v>
      </c>
      <c r="N1707" t="str">
        <f t="shared" si="80"/>
        <v>Regular</v>
      </c>
    </row>
    <row r="1708" spans="1:14" x14ac:dyDescent="0.35">
      <c r="A1708">
        <v>1707</v>
      </c>
      <c r="B1708">
        <v>38</v>
      </c>
      <c r="C1708" t="str">
        <f t="shared" si="78"/>
        <v>Adult</v>
      </c>
      <c r="D1708" t="s">
        <v>16</v>
      </c>
      <c r="E1708" t="s">
        <v>27</v>
      </c>
      <c r="F1708" t="s">
        <v>49</v>
      </c>
      <c r="G1708">
        <v>2428.09</v>
      </c>
      <c r="H1708" t="s">
        <v>24</v>
      </c>
      <c r="I1708" t="s">
        <v>15</v>
      </c>
      <c r="J1708">
        <v>4.4000000000000004</v>
      </c>
      <c r="K1708">
        <v>22</v>
      </c>
      <c r="L1708">
        <f t="shared" si="79"/>
        <v>1893.9102000000003</v>
      </c>
      <c r="M1708">
        <v>6</v>
      </c>
      <c r="N1708" t="str">
        <f t="shared" si="80"/>
        <v>Regular</v>
      </c>
    </row>
    <row r="1709" spans="1:14" x14ac:dyDescent="0.35">
      <c r="A1709">
        <v>1708</v>
      </c>
      <c r="B1709">
        <v>44</v>
      </c>
      <c r="C1709" t="str">
        <f t="shared" si="78"/>
        <v>Adult</v>
      </c>
      <c r="D1709" t="s">
        <v>11</v>
      </c>
      <c r="E1709" t="s">
        <v>29</v>
      </c>
      <c r="F1709" t="s">
        <v>55</v>
      </c>
      <c r="G1709">
        <v>96.31</v>
      </c>
      <c r="H1709" t="s">
        <v>24</v>
      </c>
      <c r="I1709" t="s">
        <v>15</v>
      </c>
      <c r="J1709">
        <v>3.3</v>
      </c>
      <c r="K1709">
        <v>20</v>
      </c>
      <c r="L1709">
        <f t="shared" si="79"/>
        <v>77.048000000000002</v>
      </c>
      <c r="M1709">
        <v>5</v>
      </c>
      <c r="N1709" t="str">
        <f t="shared" si="80"/>
        <v>Regular</v>
      </c>
    </row>
    <row r="1710" spans="1:14" x14ac:dyDescent="0.35">
      <c r="A1710">
        <v>1709</v>
      </c>
      <c r="B1710">
        <v>67</v>
      </c>
      <c r="C1710" t="str">
        <f t="shared" si="78"/>
        <v>Senior</v>
      </c>
      <c r="D1710" t="s">
        <v>11</v>
      </c>
      <c r="E1710" t="s">
        <v>33</v>
      </c>
      <c r="F1710" t="s">
        <v>34</v>
      </c>
      <c r="G1710">
        <v>161.62</v>
      </c>
      <c r="H1710" t="s">
        <v>14</v>
      </c>
      <c r="I1710" t="s">
        <v>15</v>
      </c>
      <c r="J1710">
        <v>3.6</v>
      </c>
      <c r="K1710">
        <v>18</v>
      </c>
      <c r="L1710">
        <f t="shared" si="79"/>
        <v>132.5284</v>
      </c>
      <c r="M1710">
        <v>4</v>
      </c>
      <c r="N1710" t="str">
        <f t="shared" si="80"/>
        <v>Regular</v>
      </c>
    </row>
    <row r="1711" spans="1:14" x14ac:dyDescent="0.35">
      <c r="A1711">
        <v>1710</v>
      </c>
      <c r="B1711">
        <v>55</v>
      </c>
      <c r="C1711" t="str">
        <f t="shared" si="78"/>
        <v>Adult</v>
      </c>
      <c r="D1711" t="s">
        <v>16</v>
      </c>
      <c r="E1711" t="s">
        <v>17</v>
      </c>
      <c r="F1711" t="s">
        <v>35</v>
      </c>
      <c r="G1711">
        <v>71.430000000000007</v>
      </c>
      <c r="H1711" t="s">
        <v>31</v>
      </c>
      <c r="I1711" t="s">
        <v>37</v>
      </c>
      <c r="J1711">
        <v>4.7</v>
      </c>
      <c r="K1711">
        <v>26</v>
      </c>
      <c r="L1711">
        <f t="shared" si="79"/>
        <v>52.858200000000004</v>
      </c>
      <c r="M1711">
        <v>8</v>
      </c>
      <c r="N1711" t="str">
        <f t="shared" si="80"/>
        <v>Loyal</v>
      </c>
    </row>
    <row r="1712" spans="1:14" x14ac:dyDescent="0.35">
      <c r="A1712">
        <v>1711</v>
      </c>
      <c r="B1712">
        <v>29</v>
      </c>
      <c r="C1712" t="str">
        <f t="shared" si="78"/>
        <v>Youth</v>
      </c>
      <c r="D1712" t="s">
        <v>16</v>
      </c>
      <c r="E1712" t="s">
        <v>33</v>
      </c>
      <c r="F1712" t="s">
        <v>40</v>
      </c>
      <c r="G1712">
        <v>208.05</v>
      </c>
      <c r="H1712" t="s">
        <v>14</v>
      </c>
      <c r="I1712" t="s">
        <v>15</v>
      </c>
      <c r="J1712">
        <v>3.3</v>
      </c>
      <c r="K1712">
        <v>13</v>
      </c>
      <c r="L1712">
        <f t="shared" si="79"/>
        <v>181.0035</v>
      </c>
      <c r="M1712">
        <v>4</v>
      </c>
      <c r="N1712" t="str">
        <f t="shared" si="80"/>
        <v>Regular</v>
      </c>
    </row>
    <row r="1713" spans="1:14" x14ac:dyDescent="0.35">
      <c r="A1713">
        <v>1712</v>
      </c>
      <c r="B1713">
        <v>43</v>
      </c>
      <c r="C1713" t="str">
        <f t="shared" si="78"/>
        <v>Adult</v>
      </c>
      <c r="D1713" t="s">
        <v>16</v>
      </c>
      <c r="E1713" t="s">
        <v>17</v>
      </c>
      <c r="F1713" t="s">
        <v>35</v>
      </c>
      <c r="G1713">
        <v>133.51</v>
      </c>
      <c r="H1713" t="s">
        <v>19</v>
      </c>
      <c r="I1713" t="s">
        <v>15</v>
      </c>
      <c r="J1713">
        <v>3.6</v>
      </c>
      <c r="K1713">
        <v>12</v>
      </c>
      <c r="L1713">
        <f t="shared" si="79"/>
        <v>117.4888</v>
      </c>
      <c r="M1713">
        <v>6</v>
      </c>
      <c r="N1713" t="str">
        <f t="shared" si="80"/>
        <v>Regular</v>
      </c>
    </row>
    <row r="1714" spans="1:14" x14ac:dyDescent="0.35">
      <c r="A1714">
        <v>1713</v>
      </c>
      <c r="B1714">
        <v>68</v>
      </c>
      <c r="C1714" t="str">
        <f t="shared" si="78"/>
        <v>Senior</v>
      </c>
      <c r="D1714" t="s">
        <v>11</v>
      </c>
      <c r="E1714" t="s">
        <v>41</v>
      </c>
      <c r="F1714" t="s">
        <v>46</v>
      </c>
      <c r="G1714">
        <v>64.66</v>
      </c>
      <c r="H1714" t="s">
        <v>24</v>
      </c>
      <c r="I1714" t="s">
        <v>37</v>
      </c>
      <c r="J1714">
        <v>3.6</v>
      </c>
      <c r="K1714">
        <v>4</v>
      </c>
      <c r="L1714">
        <f t="shared" si="79"/>
        <v>62.073599999999992</v>
      </c>
      <c r="M1714">
        <v>2</v>
      </c>
      <c r="N1714" t="str">
        <f t="shared" si="80"/>
        <v>New</v>
      </c>
    </row>
    <row r="1715" spans="1:14" x14ac:dyDescent="0.35">
      <c r="A1715">
        <v>1714</v>
      </c>
      <c r="B1715">
        <v>42</v>
      </c>
      <c r="C1715" t="str">
        <f t="shared" si="78"/>
        <v>Adult</v>
      </c>
      <c r="D1715" t="s">
        <v>11</v>
      </c>
      <c r="E1715" t="s">
        <v>25</v>
      </c>
      <c r="F1715" t="s">
        <v>54</v>
      </c>
      <c r="G1715">
        <v>33.18</v>
      </c>
      <c r="H1715" t="s">
        <v>14</v>
      </c>
      <c r="I1715" t="s">
        <v>37</v>
      </c>
      <c r="J1715">
        <v>4.2</v>
      </c>
      <c r="K1715">
        <v>16</v>
      </c>
      <c r="L1715">
        <f t="shared" si="79"/>
        <v>27.871199999999998</v>
      </c>
      <c r="M1715">
        <v>3</v>
      </c>
      <c r="N1715" t="str">
        <f t="shared" si="80"/>
        <v>New</v>
      </c>
    </row>
    <row r="1716" spans="1:14" x14ac:dyDescent="0.35">
      <c r="A1716">
        <v>1715</v>
      </c>
      <c r="B1716">
        <v>66</v>
      </c>
      <c r="C1716" t="str">
        <f t="shared" si="78"/>
        <v>Senior</v>
      </c>
      <c r="D1716" t="s">
        <v>16</v>
      </c>
      <c r="E1716" t="s">
        <v>20</v>
      </c>
      <c r="F1716" t="s">
        <v>36</v>
      </c>
      <c r="G1716">
        <v>53.42</v>
      </c>
      <c r="H1716" t="s">
        <v>24</v>
      </c>
      <c r="I1716" t="s">
        <v>15</v>
      </c>
      <c r="J1716">
        <v>5</v>
      </c>
      <c r="K1716">
        <v>13</v>
      </c>
      <c r="L1716">
        <f t="shared" si="79"/>
        <v>46.4754</v>
      </c>
      <c r="M1716">
        <v>4</v>
      </c>
      <c r="N1716" t="str">
        <f t="shared" si="80"/>
        <v>Regular</v>
      </c>
    </row>
    <row r="1717" spans="1:14" x14ac:dyDescent="0.35">
      <c r="A1717">
        <v>1716</v>
      </c>
      <c r="B1717">
        <v>40</v>
      </c>
      <c r="C1717" t="str">
        <f t="shared" si="78"/>
        <v>Adult</v>
      </c>
      <c r="D1717" t="s">
        <v>16</v>
      </c>
      <c r="E1717" t="s">
        <v>25</v>
      </c>
      <c r="F1717" t="s">
        <v>57</v>
      </c>
      <c r="G1717">
        <v>34.409999999999997</v>
      </c>
      <c r="H1717" t="s">
        <v>19</v>
      </c>
      <c r="I1717" t="s">
        <v>15</v>
      </c>
      <c r="J1717">
        <v>3.3</v>
      </c>
      <c r="K1717">
        <v>17</v>
      </c>
      <c r="L1717">
        <f t="shared" si="79"/>
        <v>28.560299999999994</v>
      </c>
      <c r="M1717">
        <v>6</v>
      </c>
      <c r="N1717" t="str">
        <f t="shared" si="80"/>
        <v>Regular</v>
      </c>
    </row>
    <row r="1718" spans="1:14" x14ac:dyDescent="0.35">
      <c r="A1718">
        <v>1717</v>
      </c>
      <c r="B1718">
        <v>46</v>
      </c>
      <c r="C1718" t="str">
        <f t="shared" si="78"/>
        <v>Adult</v>
      </c>
      <c r="D1718" t="s">
        <v>16</v>
      </c>
      <c r="E1718" t="s">
        <v>27</v>
      </c>
      <c r="F1718" t="s">
        <v>49</v>
      </c>
      <c r="G1718">
        <v>887.32</v>
      </c>
      <c r="H1718" t="s">
        <v>14</v>
      </c>
      <c r="I1718" t="s">
        <v>15</v>
      </c>
      <c r="J1718">
        <v>3.8</v>
      </c>
      <c r="K1718">
        <v>18</v>
      </c>
      <c r="L1718">
        <f t="shared" si="79"/>
        <v>727.6024000000001</v>
      </c>
      <c r="M1718">
        <v>4</v>
      </c>
      <c r="N1718" t="str">
        <f t="shared" si="80"/>
        <v>Regular</v>
      </c>
    </row>
    <row r="1719" spans="1:14" x14ac:dyDescent="0.35">
      <c r="A1719">
        <v>1718</v>
      </c>
      <c r="B1719">
        <v>40</v>
      </c>
      <c r="C1719" t="str">
        <f t="shared" si="78"/>
        <v>Adult</v>
      </c>
      <c r="D1719" t="s">
        <v>16</v>
      </c>
      <c r="E1719" t="s">
        <v>20</v>
      </c>
      <c r="F1719" t="s">
        <v>21</v>
      </c>
      <c r="G1719">
        <v>225.57</v>
      </c>
      <c r="H1719" t="s">
        <v>24</v>
      </c>
      <c r="I1719" t="s">
        <v>15</v>
      </c>
      <c r="J1719">
        <v>5</v>
      </c>
      <c r="K1719">
        <v>17</v>
      </c>
      <c r="L1719">
        <f t="shared" si="79"/>
        <v>187.22309999999999</v>
      </c>
      <c r="M1719">
        <v>6</v>
      </c>
      <c r="N1719" t="str">
        <f t="shared" si="80"/>
        <v>Regular</v>
      </c>
    </row>
    <row r="1720" spans="1:14" x14ac:dyDescent="0.35">
      <c r="A1720">
        <v>1719</v>
      </c>
      <c r="B1720">
        <v>63</v>
      </c>
      <c r="C1720" t="str">
        <f t="shared" si="78"/>
        <v>Senior</v>
      </c>
      <c r="D1720" t="s">
        <v>16</v>
      </c>
      <c r="E1720" t="s">
        <v>25</v>
      </c>
      <c r="F1720" t="s">
        <v>26</v>
      </c>
      <c r="G1720">
        <v>24.77</v>
      </c>
      <c r="H1720" t="s">
        <v>24</v>
      </c>
      <c r="I1720" t="s">
        <v>37</v>
      </c>
      <c r="J1720">
        <v>4</v>
      </c>
      <c r="K1720">
        <v>13</v>
      </c>
      <c r="L1720">
        <f t="shared" si="79"/>
        <v>21.549900000000001</v>
      </c>
      <c r="M1720">
        <v>4</v>
      </c>
      <c r="N1720" t="str">
        <f t="shared" si="80"/>
        <v>Regular</v>
      </c>
    </row>
    <row r="1721" spans="1:14" x14ac:dyDescent="0.35">
      <c r="A1721">
        <v>1720</v>
      </c>
      <c r="B1721">
        <v>43</v>
      </c>
      <c r="C1721" t="str">
        <f t="shared" si="78"/>
        <v>Adult</v>
      </c>
      <c r="D1721" t="s">
        <v>11</v>
      </c>
      <c r="E1721" t="s">
        <v>29</v>
      </c>
      <c r="F1721" t="s">
        <v>51</v>
      </c>
      <c r="G1721">
        <v>74.94</v>
      </c>
      <c r="H1721" t="s">
        <v>24</v>
      </c>
      <c r="I1721" t="s">
        <v>15</v>
      </c>
      <c r="J1721">
        <v>4.5</v>
      </c>
      <c r="K1721">
        <v>14</v>
      </c>
      <c r="L1721">
        <f t="shared" si="79"/>
        <v>64.448399999999992</v>
      </c>
      <c r="M1721">
        <v>7</v>
      </c>
      <c r="N1721" t="str">
        <f t="shared" si="80"/>
        <v>Regular</v>
      </c>
    </row>
    <row r="1722" spans="1:14" x14ac:dyDescent="0.35">
      <c r="A1722">
        <v>1721</v>
      </c>
      <c r="B1722">
        <v>60</v>
      </c>
      <c r="C1722" t="str">
        <f t="shared" si="78"/>
        <v>Adult</v>
      </c>
      <c r="D1722" t="s">
        <v>11</v>
      </c>
      <c r="E1722" t="s">
        <v>20</v>
      </c>
      <c r="F1722" t="s">
        <v>36</v>
      </c>
      <c r="G1722">
        <v>154.94999999999999</v>
      </c>
      <c r="H1722" t="s">
        <v>31</v>
      </c>
      <c r="I1722" t="s">
        <v>15</v>
      </c>
      <c r="J1722">
        <v>2.8</v>
      </c>
      <c r="K1722">
        <v>15</v>
      </c>
      <c r="L1722">
        <f t="shared" si="79"/>
        <v>131.70749999999998</v>
      </c>
      <c r="M1722">
        <v>5</v>
      </c>
      <c r="N1722" t="str">
        <f t="shared" si="80"/>
        <v>Regular</v>
      </c>
    </row>
    <row r="1723" spans="1:14" x14ac:dyDescent="0.35">
      <c r="A1723">
        <v>1722</v>
      </c>
      <c r="B1723">
        <v>66</v>
      </c>
      <c r="C1723" t="str">
        <f t="shared" si="78"/>
        <v>Senior</v>
      </c>
      <c r="D1723" t="s">
        <v>11</v>
      </c>
      <c r="E1723" t="s">
        <v>41</v>
      </c>
      <c r="F1723" t="s">
        <v>44</v>
      </c>
      <c r="G1723">
        <v>182.06</v>
      </c>
      <c r="H1723" t="s">
        <v>19</v>
      </c>
      <c r="I1723" t="s">
        <v>15</v>
      </c>
      <c r="J1723">
        <v>3.5</v>
      </c>
      <c r="K1723">
        <v>14</v>
      </c>
      <c r="L1723">
        <f t="shared" si="79"/>
        <v>156.57159999999999</v>
      </c>
      <c r="M1723">
        <v>7</v>
      </c>
      <c r="N1723" t="str">
        <f t="shared" si="80"/>
        <v>Regular</v>
      </c>
    </row>
    <row r="1724" spans="1:14" x14ac:dyDescent="0.35">
      <c r="A1724">
        <v>1723</v>
      </c>
      <c r="B1724">
        <v>28</v>
      </c>
      <c r="C1724" t="str">
        <f t="shared" si="78"/>
        <v>Youth</v>
      </c>
      <c r="D1724" t="s">
        <v>11</v>
      </c>
      <c r="E1724" t="s">
        <v>29</v>
      </c>
      <c r="F1724" t="s">
        <v>30</v>
      </c>
      <c r="G1724">
        <v>102.87</v>
      </c>
      <c r="H1724" t="s">
        <v>14</v>
      </c>
      <c r="I1724" t="s">
        <v>15</v>
      </c>
      <c r="J1724">
        <v>3.6</v>
      </c>
      <c r="K1724">
        <v>22</v>
      </c>
      <c r="L1724">
        <f t="shared" si="79"/>
        <v>80.238600000000005</v>
      </c>
      <c r="M1724">
        <v>6</v>
      </c>
      <c r="N1724" t="str">
        <f t="shared" si="80"/>
        <v>Regular</v>
      </c>
    </row>
    <row r="1725" spans="1:14" x14ac:dyDescent="0.35">
      <c r="A1725">
        <v>1724</v>
      </c>
      <c r="B1725">
        <v>68</v>
      </c>
      <c r="C1725" t="str">
        <f t="shared" si="78"/>
        <v>Senior</v>
      </c>
      <c r="D1725" t="s">
        <v>11</v>
      </c>
      <c r="E1725" t="s">
        <v>33</v>
      </c>
      <c r="F1725" t="s">
        <v>38</v>
      </c>
      <c r="G1725">
        <v>246.27</v>
      </c>
      <c r="H1725" t="s">
        <v>24</v>
      </c>
      <c r="I1725" t="s">
        <v>15</v>
      </c>
      <c r="J1725">
        <v>4.7</v>
      </c>
      <c r="K1725">
        <v>17</v>
      </c>
      <c r="L1725">
        <f t="shared" si="79"/>
        <v>204.4041</v>
      </c>
      <c r="M1725">
        <v>6</v>
      </c>
      <c r="N1725" t="str">
        <f t="shared" si="80"/>
        <v>Regular</v>
      </c>
    </row>
    <row r="1726" spans="1:14" x14ac:dyDescent="0.35">
      <c r="A1726">
        <v>1725</v>
      </c>
      <c r="B1726">
        <v>48</v>
      </c>
      <c r="C1726" t="str">
        <f t="shared" si="78"/>
        <v>Adult</v>
      </c>
      <c r="D1726" t="s">
        <v>16</v>
      </c>
      <c r="E1726" t="s">
        <v>17</v>
      </c>
      <c r="F1726" t="s">
        <v>18</v>
      </c>
      <c r="G1726">
        <v>91.82</v>
      </c>
      <c r="H1726" t="s">
        <v>14</v>
      </c>
      <c r="I1726" t="s">
        <v>37</v>
      </c>
      <c r="J1726">
        <v>4.2</v>
      </c>
      <c r="K1726">
        <v>21</v>
      </c>
      <c r="L1726">
        <f t="shared" si="79"/>
        <v>72.537800000000004</v>
      </c>
      <c r="M1726">
        <v>8</v>
      </c>
      <c r="N1726" t="str">
        <f t="shared" si="80"/>
        <v>Loyal</v>
      </c>
    </row>
    <row r="1727" spans="1:14" x14ac:dyDescent="0.35">
      <c r="A1727">
        <v>1726</v>
      </c>
      <c r="B1727">
        <v>21</v>
      </c>
      <c r="C1727" t="str">
        <f t="shared" si="78"/>
        <v>Youth</v>
      </c>
      <c r="D1727" t="s">
        <v>11</v>
      </c>
      <c r="E1727" t="s">
        <v>29</v>
      </c>
      <c r="F1727" t="s">
        <v>51</v>
      </c>
      <c r="G1727">
        <v>34.909999999999997</v>
      </c>
      <c r="H1727" t="s">
        <v>14</v>
      </c>
      <c r="I1727" t="s">
        <v>15</v>
      </c>
      <c r="J1727">
        <v>4.0999999999999996</v>
      </c>
      <c r="K1727">
        <v>16</v>
      </c>
      <c r="L1727">
        <f t="shared" si="79"/>
        <v>29.324399999999997</v>
      </c>
      <c r="M1727">
        <v>3</v>
      </c>
      <c r="N1727" t="str">
        <f t="shared" si="80"/>
        <v>New</v>
      </c>
    </row>
    <row r="1728" spans="1:14" x14ac:dyDescent="0.35">
      <c r="A1728">
        <v>1727</v>
      </c>
      <c r="B1728">
        <v>22</v>
      </c>
      <c r="C1728" t="str">
        <f t="shared" si="78"/>
        <v>Youth</v>
      </c>
      <c r="D1728" t="s">
        <v>16</v>
      </c>
      <c r="E1728" t="s">
        <v>27</v>
      </c>
      <c r="F1728" t="s">
        <v>49</v>
      </c>
      <c r="G1728">
        <v>2921.73</v>
      </c>
      <c r="H1728" t="s">
        <v>19</v>
      </c>
      <c r="I1728" t="s">
        <v>15</v>
      </c>
      <c r="J1728">
        <v>4.4000000000000004</v>
      </c>
      <c r="K1728">
        <v>11</v>
      </c>
      <c r="L1728">
        <f t="shared" si="79"/>
        <v>2600.3397</v>
      </c>
      <c r="M1728">
        <v>3</v>
      </c>
      <c r="N1728" t="str">
        <f t="shared" si="80"/>
        <v>New</v>
      </c>
    </row>
    <row r="1729" spans="1:14" x14ac:dyDescent="0.35">
      <c r="A1729">
        <v>1728</v>
      </c>
      <c r="B1729">
        <v>20</v>
      </c>
      <c r="C1729" t="str">
        <f t="shared" si="78"/>
        <v>Youth</v>
      </c>
      <c r="D1729" t="s">
        <v>11</v>
      </c>
      <c r="E1729" t="s">
        <v>12</v>
      </c>
      <c r="F1729" t="s">
        <v>13</v>
      </c>
      <c r="G1729">
        <v>141.9</v>
      </c>
      <c r="H1729" t="s">
        <v>24</v>
      </c>
      <c r="I1729" t="s">
        <v>15</v>
      </c>
      <c r="J1729">
        <v>3.4</v>
      </c>
      <c r="K1729">
        <v>11</v>
      </c>
      <c r="L1729">
        <f t="shared" si="79"/>
        <v>126.29100000000001</v>
      </c>
      <c r="M1729">
        <v>3</v>
      </c>
      <c r="N1729" t="str">
        <f t="shared" si="80"/>
        <v>New</v>
      </c>
    </row>
    <row r="1730" spans="1:14" x14ac:dyDescent="0.35">
      <c r="A1730">
        <v>1729</v>
      </c>
      <c r="B1730">
        <v>64</v>
      </c>
      <c r="C1730" t="str">
        <f t="shared" si="78"/>
        <v>Senior</v>
      </c>
      <c r="D1730" t="s">
        <v>11</v>
      </c>
      <c r="E1730" t="s">
        <v>12</v>
      </c>
      <c r="F1730" t="s">
        <v>56</v>
      </c>
      <c r="G1730">
        <v>95.27</v>
      </c>
      <c r="H1730" t="s">
        <v>19</v>
      </c>
      <c r="I1730" t="s">
        <v>15</v>
      </c>
      <c r="J1730">
        <v>4.5999999999999996</v>
      </c>
      <c r="K1730">
        <v>24</v>
      </c>
      <c r="L1730">
        <f t="shared" si="79"/>
        <v>72.405199999999994</v>
      </c>
      <c r="M1730">
        <v>7</v>
      </c>
      <c r="N1730" t="str">
        <f t="shared" si="80"/>
        <v>Regular</v>
      </c>
    </row>
    <row r="1731" spans="1:14" x14ac:dyDescent="0.35">
      <c r="A1731">
        <v>1730</v>
      </c>
      <c r="B1731">
        <v>43</v>
      </c>
      <c r="C1731" t="str">
        <f t="shared" ref="C1731:C1794" si="81">IF(B1731&lt;=30,"Youth",IF(B1731&lt;=45,"Adult",IF(B1731&lt;=60,"Adult","Senior")))</f>
        <v>Adult</v>
      </c>
      <c r="D1731" t="s">
        <v>11</v>
      </c>
      <c r="E1731" t="s">
        <v>12</v>
      </c>
      <c r="F1731" t="s">
        <v>56</v>
      </c>
      <c r="G1731">
        <v>26.57</v>
      </c>
      <c r="H1731" t="s">
        <v>31</v>
      </c>
      <c r="I1731" t="s">
        <v>37</v>
      </c>
      <c r="J1731">
        <v>3.8</v>
      </c>
      <c r="K1731">
        <v>22</v>
      </c>
      <c r="L1731">
        <f t="shared" ref="L1731:L1794" si="82">G1731*(1-K1731/100)</f>
        <v>20.724600000000002</v>
      </c>
      <c r="M1731">
        <v>6</v>
      </c>
      <c r="N1731" t="str">
        <f t="shared" ref="N1731:N1794" si="83">IF(M1731&lt;=3,"New",IF(M1731&lt;=7,"Regular","Loyal"))</f>
        <v>Regular</v>
      </c>
    </row>
    <row r="1732" spans="1:14" x14ac:dyDescent="0.35">
      <c r="A1732">
        <v>1731</v>
      </c>
      <c r="B1732">
        <v>41</v>
      </c>
      <c r="C1732" t="str">
        <f t="shared" si="81"/>
        <v>Adult</v>
      </c>
      <c r="D1732" t="s">
        <v>11</v>
      </c>
      <c r="E1732" t="s">
        <v>33</v>
      </c>
      <c r="F1732" t="s">
        <v>40</v>
      </c>
      <c r="G1732">
        <v>232.67</v>
      </c>
      <c r="H1732" t="s">
        <v>24</v>
      </c>
      <c r="I1732" t="s">
        <v>15</v>
      </c>
      <c r="J1732">
        <v>4.3</v>
      </c>
      <c r="K1732">
        <v>20</v>
      </c>
      <c r="L1732">
        <f t="shared" si="82"/>
        <v>186.136</v>
      </c>
      <c r="M1732">
        <v>5</v>
      </c>
      <c r="N1732" t="str">
        <f t="shared" si="83"/>
        <v>Regular</v>
      </c>
    </row>
    <row r="1733" spans="1:14" x14ac:dyDescent="0.35">
      <c r="A1733">
        <v>1732</v>
      </c>
      <c r="B1733">
        <v>37</v>
      </c>
      <c r="C1733" t="str">
        <f t="shared" si="81"/>
        <v>Adult</v>
      </c>
      <c r="D1733" t="s">
        <v>16</v>
      </c>
      <c r="E1733" t="s">
        <v>17</v>
      </c>
      <c r="F1733" t="s">
        <v>48</v>
      </c>
      <c r="G1733">
        <v>144.66999999999999</v>
      </c>
      <c r="H1733" t="s">
        <v>24</v>
      </c>
      <c r="I1733" t="s">
        <v>15</v>
      </c>
      <c r="J1733">
        <v>5</v>
      </c>
      <c r="K1733">
        <v>10</v>
      </c>
      <c r="L1733">
        <f t="shared" si="82"/>
        <v>130.203</v>
      </c>
      <c r="M1733">
        <v>5</v>
      </c>
      <c r="N1733" t="str">
        <f t="shared" si="83"/>
        <v>Regular</v>
      </c>
    </row>
    <row r="1734" spans="1:14" x14ac:dyDescent="0.35">
      <c r="A1734">
        <v>1733</v>
      </c>
      <c r="B1734">
        <v>37</v>
      </c>
      <c r="C1734" t="str">
        <f t="shared" si="81"/>
        <v>Adult</v>
      </c>
      <c r="D1734" t="s">
        <v>16</v>
      </c>
      <c r="E1734" t="s">
        <v>20</v>
      </c>
      <c r="F1734" t="s">
        <v>21</v>
      </c>
      <c r="G1734">
        <v>38.82</v>
      </c>
      <c r="H1734" t="s">
        <v>31</v>
      </c>
      <c r="I1734" t="s">
        <v>37</v>
      </c>
      <c r="J1734">
        <v>3.8</v>
      </c>
      <c r="K1734">
        <v>22</v>
      </c>
      <c r="L1734">
        <f t="shared" si="82"/>
        <v>30.279600000000002</v>
      </c>
      <c r="M1734">
        <v>6</v>
      </c>
      <c r="N1734" t="str">
        <f t="shared" si="83"/>
        <v>Regular</v>
      </c>
    </row>
    <row r="1735" spans="1:14" x14ac:dyDescent="0.35">
      <c r="A1735">
        <v>1734</v>
      </c>
      <c r="B1735">
        <v>52</v>
      </c>
      <c r="C1735" t="str">
        <f t="shared" si="81"/>
        <v>Adult</v>
      </c>
      <c r="D1735" t="s">
        <v>16</v>
      </c>
      <c r="E1735" t="s">
        <v>17</v>
      </c>
      <c r="F1735" t="s">
        <v>48</v>
      </c>
      <c r="G1735">
        <v>165.6</v>
      </c>
      <c r="H1735" t="s">
        <v>19</v>
      </c>
      <c r="I1735" t="s">
        <v>15</v>
      </c>
      <c r="J1735">
        <v>4.2</v>
      </c>
      <c r="K1735">
        <v>8</v>
      </c>
      <c r="L1735">
        <f t="shared" si="82"/>
        <v>152.352</v>
      </c>
      <c r="M1735">
        <v>4</v>
      </c>
      <c r="N1735" t="str">
        <f t="shared" si="83"/>
        <v>Regular</v>
      </c>
    </row>
    <row r="1736" spans="1:14" x14ac:dyDescent="0.35">
      <c r="A1736">
        <v>1735</v>
      </c>
      <c r="B1736">
        <v>29</v>
      </c>
      <c r="C1736" t="str">
        <f t="shared" si="81"/>
        <v>Youth</v>
      </c>
      <c r="D1736" t="s">
        <v>16</v>
      </c>
      <c r="E1736" t="s">
        <v>20</v>
      </c>
      <c r="F1736" t="s">
        <v>36</v>
      </c>
      <c r="G1736">
        <v>89.4</v>
      </c>
      <c r="H1736" t="s">
        <v>19</v>
      </c>
      <c r="I1736" t="s">
        <v>15</v>
      </c>
      <c r="J1736">
        <v>4.8</v>
      </c>
      <c r="K1736">
        <v>15</v>
      </c>
      <c r="L1736">
        <f t="shared" si="82"/>
        <v>75.990000000000009</v>
      </c>
      <c r="M1736">
        <v>5</v>
      </c>
      <c r="N1736" t="str">
        <f t="shared" si="83"/>
        <v>Regular</v>
      </c>
    </row>
    <row r="1737" spans="1:14" x14ac:dyDescent="0.35">
      <c r="A1737">
        <v>1736</v>
      </c>
      <c r="B1737">
        <v>61</v>
      </c>
      <c r="C1737" t="str">
        <f t="shared" si="81"/>
        <v>Senior</v>
      </c>
      <c r="D1737" t="s">
        <v>11</v>
      </c>
      <c r="E1737" t="s">
        <v>41</v>
      </c>
      <c r="F1737" t="s">
        <v>44</v>
      </c>
      <c r="G1737">
        <v>55.18</v>
      </c>
      <c r="H1737" t="s">
        <v>24</v>
      </c>
      <c r="I1737" t="s">
        <v>37</v>
      </c>
      <c r="J1737">
        <v>3.9</v>
      </c>
      <c r="K1737">
        <v>13</v>
      </c>
      <c r="L1737">
        <f t="shared" si="82"/>
        <v>48.006599999999999</v>
      </c>
      <c r="M1737">
        <v>4</v>
      </c>
      <c r="N1737" t="str">
        <f t="shared" si="83"/>
        <v>Regular</v>
      </c>
    </row>
    <row r="1738" spans="1:14" x14ac:dyDescent="0.35">
      <c r="A1738">
        <v>1737</v>
      </c>
      <c r="B1738">
        <v>27</v>
      </c>
      <c r="C1738" t="str">
        <f t="shared" si="81"/>
        <v>Youth</v>
      </c>
      <c r="D1738" t="s">
        <v>16</v>
      </c>
      <c r="E1738" t="s">
        <v>27</v>
      </c>
      <c r="F1738" t="s">
        <v>49</v>
      </c>
      <c r="G1738">
        <v>2194.8200000000002</v>
      </c>
      <c r="H1738" t="s">
        <v>14</v>
      </c>
      <c r="I1738" t="s">
        <v>15</v>
      </c>
      <c r="J1738">
        <v>4.2</v>
      </c>
      <c r="K1738">
        <v>24</v>
      </c>
      <c r="L1738">
        <f t="shared" si="82"/>
        <v>1668.0632000000001</v>
      </c>
      <c r="M1738">
        <v>7</v>
      </c>
      <c r="N1738" t="str">
        <f t="shared" si="83"/>
        <v>Regular</v>
      </c>
    </row>
    <row r="1739" spans="1:14" x14ac:dyDescent="0.35">
      <c r="A1739">
        <v>1738</v>
      </c>
      <c r="B1739">
        <v>69</v>
      </c>
      <c r="C1739" t="str">
        <f t="shared" si="81"/>
        <v>Senior</v>
      </c>
      <c r="D1739" t="s">
        <v>11</v>
      </c>
      <c r="E1739" t="s">
        <v>41</v>
      </c>
      <c r="F1739" t="s">
        <v>45</v>
      </c>
      <c r="G1739">
        <v>149.44</v>
      </c>
      <c r="H1739" t="s">
        <v>14</v>
      </c>
      <c r="I1739" t="s">
        <v>15</v>
      </c>
      <c r="J1739">
        <v>4.0999999999999996</v>
      </c>
      <c r="K1739">
        <v>10</v>
      </c>
      <c r="L1739">
        <f t="shared" si="82"/>
        <v>134.49600000000001</v>
      </c>
      <c r="M1739">
        <v>5</v>
      </c>
      <c r="N1739" t="str">
        <f t="shared" si="83"/>
        <v>Regular</v>
      </c>
    </row>
    <row r="1740" spans="1:14" x14ac:dyDescent="0.35">
      <c r="A1740">
        <v>1739</v>
      </c>
      <c r="B1740">
        <v>53</v>
      </c>
      <c r="C1740" t="str">
        <f t="shared" si="81"/>
        <v>Adult</v>
      </c>
      <c r="D1740" t="s">
        <v>16</v>
      </c>
      <c r="E1740" t="s">
        <v>17</v>
      </c>
      <c r="F1740" t="s">
        <v>48</v>
      </c>
      <c r="G1740">
        <v>181.37</v>
      </c>
      <c r="H1740" t="s">
        <v>14</v>
      </c>
      <c r="I1740" t="s">
        <v>15</v>
      </c>
      <c r="J1740">
        <v>4</v>
      </c>
      <c r="K1740">
        <v>20</v>
      </c>
      <c r="L1740">
        <f t="shared" si="82"/>
        <v>145.096</v>
      </c>
      <c r="M1740">
        <v>5</v>
      </c>
      <c r="N1740" t="str">
        <f t="shared" si="83"/>
        <v>Regular</v>
      </c>
    </row>
    <row r="1741" spans="1:14" x14ac:dyDescent="0.35">
      <c r="A1741">
        <v>1740</v>
      </c>
      <c r="B1741">
        <v>42</v>
      </c>
      <c r="C1741" t="str">
        <f t="shared" si="81"/>
        <v>Adult</v>
      </c>
      <c r="D1741" t="s">
        <v>16</v>
      </c>
      <c r="E1741" t="s">
        <v>20</v>
      </c>
      <c r="F1741" t="s">
        <v>36</v>
      </c>
      <c r="G1741">
        <v>65.55</v>
      </c>
      <c r="H1741" t="s">
        <v>31</v>
      </c>
      <c r="I1741" t="s">
        <v>37</v>
      </c>
      <c r="J1741">
        <v>4</v>
      </c>
      <c r="K1741">
        <v>8</v>
      </c>
      <c r="L1741">
        <f t="shared" si="82"/>
        <v>60.305999999999997</v>
      </c>
      <c r="M1741">
        <v>4</v>
      </c>
      <c r="N1741" t="str">
        <f t="shared" si="83"/>
        <v>Regular</v>
      </c>
    </row>
    <row r="1742" spans="1:14" x14ac:dyDescent="0.35">
      <c r="A1742">
        <v>1741</v>
      </c>
      <c r="B1742">
        <v>40</v>
      </c>
      <c r="C1742" t="str">
        <f t="shared" si="81"/>
        <v>Adult</v>
      </c>
      <c r="D1742" t="s">
        <v>11</v>
      </c>
      <c r="E1742" t="s">
        <v>29</v>
      </c>
      <c r="F1742" t="s">
        <v>30</v>
      </c>
      <c r="G1742">
        <v>60.6</v>
      </c>
      <c r="H1742" t="s">
        <v>24</v>
      </c>
      <c r="I1742" t="s">
        <v>15</v>
      </c>
      <c r="J1742">
        <v>4.5</v>
      </c>
      <c r="K1742">
        <v>15</v>
      </c>
      <c r="L1742">
        <f t="shared" si="82"/>
        <v>51.51</v>
      </c>
      <c r="M1742">
        <v>5</v>
      </c>
      <c r="N1742" t="str">
        <f t="shared" si="83"/>
        <v>Regular</v>
      </c>
    </row>
    <row r="1743" spans="1:14" x14ac:dyDescent="0.35">
      <c r="A1743">
        <v>1742</v>
      </c>
      <c r="B1743">
        <v>45</v>
      </c>
      <c r="C1743" t="str">
        <f t="shared" si="81"/>
        <v>Adult</v>
      </c>
      <c r="D1743" t="s">
        <v>11</v>
      </c>
      <c r="E1743" t="s">
        <v>41</v>
      </c>
      <c r="F1743" t="s">
        <v>45</v>
      </c>
      <c r="G1743">
        <v>87.8</v>
      </c>
      <c r="H1743" t="s">
        <v>14</v>
      </c>
      <c r="I1743" t="s">
        <v>37</v>
      </c>
      <c r="J1743">
        <v>4.7</v>
      </c>
      <c r="K1743">
        <v>21</v>
      </c>
      <c r="L1743">
        <f t="shared" si="82"/>
        <v>69.361999999999995</v>
      </c>
      <c r="M1743">
        <v>8</v>
      </c>
      <c r="N1743" t="str">
        <f t="shared" si="83"/>
        <v>Loyal</v>
      </c>
    </row>
    <row r="1744" spans="1:14" x14ac:dyDescent="0.35">
      <c r="A1744">
        <v>1743</v>
      </c>
      <c r="B1744">
        <v>37</v>
      </c>
      <c r="C1744" t="str">
        <f t="shared" si="81"/>
        <v>Adult</v>
      </c>
      <c r="D1744" t="s">
        <v>16</v>
      </c>
      <c r="E1744" t="s">
        <v>20</v>
      </c>
      <c r="F1744" t="s">
        <v>36</v>
      </c>
      <c r="G1744">
        <v>223.54</v>
      </c>
      <c r="H1744" t="s">
        <v>14</v>
      </c>
      <c r="I1744" t="s">
        <v>15</v>
      </c>
      <c r="J1744">
        <v>3.7</v>
      </c>
      <c r="K1744">
        <v>15</v>
      </c>
      <c r="L1744">
        <f t="shared" si="82"/>
        <v>190.00899999999999</v>
      </c>
      <c r="M1744">
        <v>5</v>
      </c>
      <c r="N1744" t="str">
        <f t="shared" si="83"/>
        <v>Regular</v>
      </c>
    </row>
    <row r="1745" spans="1:14" x14ac:dyDescent="0.35">
      <c r="A1745">
        <v>1744</v>
      </c>
      <c r="B1745">
        <v>27</v>
      </c>
      <c r="C1745" t="str">
        <f t="shared" si="81"/>
        <v>Youth</v>
      </c>
      <c r="D1745" t="s">
        <v>11</v>
      </c>
      <c r="E1745" t="s">
        <v>12</v>
      </c>
      <c r="F1745" t="s">
        <v>50</v>
      </c>
      <c r="G1745">
        <v>113.9</v>
      </c>
      <c r="H1745" t="s">
        <v>19</v>
      </c>
      <c r="I1745" t="s">
        <v>15</v>
      </c>
      <c r="J1745">
        <v>4.5</v>
      </c>
      <c r="K1745">
        <v>8</v>
      </c>
      <c r="L1745">
        <f t="shared" si="82"/>
        <v>104.78800000000001</v>
      </c>
      <c r="M1745">
        <v>4</v>
      </c>
      <c r="N1745" t="str">
        <f t="shared" si="83"/>
        <v>Regular</v>
      </c>
    </row>
    <row r="1746" spans="1:14" x14ac:dyDescent="0.35">
      <c r="A1746">
        <v>1745</v>
      </c>
      <c r="B1746">
        <v>51</v>
      </c>
      <c r="C1746" t="str">
        <f t="shared" si="81"/>
        <v>Adult</v>
      </c>
      <c r="D1746" t="s">
        <v>16</v>
      </c>
      <c r="E1746" t="s">
        <v>25</v>
      </c>
      <c r="F1746" t="s">
        <v>47</v>
      </c>
      <c r="G1746">
        <v>47.16</v>
      </c>
      <c r="H1746" t="s">
        <v>24</v>
      </c>
      <c r="I1746" t="s">
        <v>15</v>
      </c>
      <c r="J1746">
        <v>5</v>
      </c>
      <c r="K1746">
        <v>32</v>
      </c>
      <c r="L1746">
        <f t="shared" si="82"/>
        <v>32.068799999999996</v>
      </c>
      <c r="M1746">
        <v>11</v>
      </c>
      <c r="N1746" t="str">
        <f t="shared" si="83"/>
        <v>Loyal</v>
      </c>
    </row>
    <row r="1747" spans="1:14" x14ac:dyDescent="0.35">
      <c r="A1747">
        <v>1746</v>
      </c>
      <c r="B1747">
        <v>60</v>
      </c>
      <c r="C1747" t="str">
        <f t="shared" si="81"/>
        <v>Adult</v>
      </c>
      <c r="D1747" t="s">
        <v>16</v>
      </c>
      <c r="E1747" t="s">
        <v>27</v>
      </c>
      <c r="F1747" t="s">
        <v>32</v>
      </c>
      <c r="G1747">
        <v>2140.91</v>
      </c>
      <c r="H1747" t="s">
        <v>19</v>
      </c>
      <c r="I1747" t="s">
        <v>15</v>
      </c>
      <c r="J1747">
        <v>3.7</v>
      </c>
      <c r="K1747">
        <v>14</v>
      </c>
      <c r="L1747">
        <f t="shared" si="82"/>
        <v>1841.1825999999999</v>
      </c>
      <c r="M1747">
        <v>7</v>
      </c>
      <c r="N1747" t="str">
        <f t="shared" si="83"/>
        <v>Regular</v>
      </c>
    </row>
    <row r="1748" spans="1:14" x14ac:dyDescent="0.35">
      <c r="A1748">
        <v>1747</v>
      </c>
      <c r="B1748">
        <v>39</v>
      </c>
      <c r="C1748" t="str">
        <f t="shared" si="81"/>
        <v>Adult</v>
      </c>
      <c r="D1748" t="s">
        <v>11</v>
      </c>
      <c r="E1748" t="s">
        <v>29</v>
      </c>
      <c r="F1748" t="s">
        <v>51</v>
      </c>
      <c r="G1748">
        <v>114.5</v>
      </c>
      <c r="H1748" t="s">
        <v>14</v>
      </c>
      <c r="I1748" t="s">
        <v>15</v>
      </c>
      <c r="J1748">
        <v>2.6</v>
      </c>
      <c r="K1748">
        <v>7</v>
      </c>
      <c r="L1748">
        <f t="shared" si="82"/>
        <v>106.485</v>
      </c>
      <c r="M1748">
        <v>1</v>
      </c>
      <c r="N1748" t="str">
        <f t="shared" si="83"/>
        <v>New</v>
      </c>
    </row>
    <row r="1749" spans="1:14" x14ac:dyDescent="0.35">
      <c r="A1749">
        <v>1748</v>
      </c>
      <c r="B1749">
        <v>38</v>
      </c>
      <c r="C1749" t="str">
        <f t="shared" si="81"/>
        <v>Adult</v>
      </c>
      <c r="D1749" t="s">
        <v>16</v>
      </c>
      <c r="E1749" t="s">
        <v>27</v>
      </c>
      <c r="F1749" t="s">
        <v>32</v>
      </c>
      <c r="G1749">
        <v>1304.49</v>
      </c>
      <c r="H1749" t="s">
        <v>24</v>
      </c>
      <c r="I1749" t="s">
        <v>15</v>
      </c>
      <c r="J1749">
        <v>3.5</v>
      </c>
      <c r="K1749">
        <v>12</v>
      </c>
      <c r="L1749">
        <f t="shared" si="82"/>
        <v>1147.9512</v>
      </c>
      <c r="M1749">
        <v>6</v>
      </c>
      <c r="N1749" t="str">
        <f t="shared" si="83"/>
        <v>Regular</v>
      </c>
    </row>
    <row r="1750" spans="1:14" x14ac:dyDescent="0.35">
      <c r="A1750">
        <v>1749</v>
      </c>
      <c r="B1750">
        <v>58</v>
      </c>
      <c r="C1750" t="str">
        <f t="shared" si="81"/>
        <v>Adult</v>
      </c>
      <c r="D1750" t="s">
        <v>16</v>
      </c>
      <c r="E1750" t="s">
        <v>17</v>
      </c>
      <c r="F1750" t="s">
        <v>48</v>
      </c>
      <c r="G1750">
        <v>99.6</v>
      </c>
      <c r="H1750" t="s">
        <v>19</v>
      </c>
      <c r="I1750" t="s">
        <v>37</v>
      </c>
      <c r="J1750">
        <v>4.2</v>
      </c>
      <c r="K1750">
        <v>12</v>
      </c>
      <c r="L1750">
        <f t="shared" si="82"/>
        <v>87.647999999999996</v>
      </c>
      <c r="M1750">
        <v>6</v>
      </c>
      <c r="N1750" t="str">
        <f t="shared" si="83"/>
        <v>Regular</v>
      </c>
    </row>
    <row r="1751" spans="1:14" x14ac:dyDescent="0.35">
      <c r="A1751">
        <v>1750</v>
      </c>
      <c r="B1751">
        <v>24</v>
      </c>
      <c r="C1751" t="str">
        <f t="shared" si="81"/>
        <v>Youth</v>
      </c>
      <c r="D1751" t="s">
        <v>16</v>
      </c>
      <c r="E1751" t="s">
        <v>27</v>
      </c>
      <c r="F1751" t="s">
        <v>53</v>
      </c>
      <c r="G1751">
        <v>1953.51</v>
      </c>
      <c r="H1751" t="s">
        <v>14</v>
      </c>
      <c r="I1751" t="s">
        <v>15</v>
      </c>
      <c r="J1751">
        <v>4.9000000000000004</v>
      </c>
      <c r="K1751">
        <v>16</v>
      </c>
      <c r="L1751">
        <f t="shared" si="82"/>
        <v>1640.9484</v>
      </c>
      <c r="M1751">
        <v>8</v>
      </c>
      <c r="N1751" t="str">
        <f t="shared" si="83"/>
        <v>Loyal</v>
      </c>
    </row>
    <row r="1752" spans="1:14" x14ac:dyDescent="0.35">
      <c r="A1752">
        <v>1751</v>
      </c>
      <c r="B1752">
        <v>22</v>
      </c>
      <c r="C1752" t="str">
        <f t="shared" si="81"/>
        <v>Youth</v>
      </c>
      <c r="D1752" t="s">
        <v>16</v>
      </c>
      <c r="E1752" t="s">
        <v>17</v>
      </c>
      <c r="F1752" t="s">
        <v>35</v>
      </c>
      <c r="G1752">
        <v>143.30000000000001</v>
      </c>
      <c r="H1752" t="s">
        <v>24</v>
      </c>
      <c r="I1752" t="s">
        <v>15</v>
      </c>
      <c r="J1752">
        <v>3.8</v>
      </c>
      <c r="K1752">
        <v>13</v>
      </c>
      <c r="L1752">
        <f t="shared" si="82"/>
        <v>124.67100000000001</v>
      </c>
      <c r="M1752">
        <v>4</v>
      </c>
      <c r="N1752" t="str">
        <f t="shared" si="83"/>
        <v>Regular</v>
      </c>
    </row>
    <row r="1753" spans="1:14" x14ac:dyDescent="0.35">
      <c r="A1753">
        <v>1752</v>
      </c>
      <c r="B1753">
        <v>56</v>
      </c>
      <c r="C1753" t="str">
        <f t="shared" si="81"/>
        <v>Adult</v>
      </c>
      <c r="D1753" t="s">
        <v>11</v>
      </c>
      <c r="E1753" t="s">
        <v>12</v>
      </c>
      <c r="F1753" t="s">
        <v>50</v>
      </c>
      <c r="G1753">
        <v>48.36</v>
      </c>
      <c r="H1753" t="s">
        <v>14</v>
      </c>
      <c r="I1753" t="s">
        <v>15</v>
      </c>
      <c r="J1753">
        <v>3.4</v>
      </c>
      <c r="K1753">
        <v>17</v>
      </c>
      <c r="L1753">
        <f t="shared" si="82"/>
        <v>40.138799999999996</v>
      </c>
      <c r="M1753">
        <v>6</v>
      </c>
      <c r="N1753" t="str">
        <f t="shared" si="83"/>
        <v>Regular</v>
      </c>
    </row>
    <row r="1754" spans="1:14" x14ac:dyDescent="0.35">
      <c r="A1754">
        <v>1753</v>
      </c>
      <c r="B1754">
        <v>68</v>
      </c>
      <c r="C1754" t="str">
        <f t="shared" si="81"/>
        <v>Senior</v>
      </c>
      <c r="D1754" t="s">
        <v>16</v>
      </c>
      <c r="E1754" t="s">
        <v>27</v>
      </c>
      <c r="F1754" t="s">
        <v>49</v>
      </c>
      <c r="G1754">
        <v>566.58000000000004</v>
      </c>
      <c r="H1754" t="s">
        <v>31</v>
      </c>
      <c r="I1754" t="s">
        <v>15</v>
      </c>
      <c r="J1754">
        <v>3.2</v>
      </c>
      <c r="K1754">
        <v>11</v>
      </c>
      <c r="L1754">
        <f t="shared" si="82"/>
        <v>504.25620000000004</v>
      </c>
      <c r="M1754">
        <v>3</v>
      </c>
      <c r="N1754" t="str">
        <f t="shared" si="83"/>
        <v>New</v>
      </c>
    </row>
    <row r="1755" spans="1:14" x14ac:dyDescent="0.35">
      <c r="A1755">
        <v>1754</v>
      </c>
      <c r="B1755">
        <v>70</v>
      </c>
      <c r="C1755" t="str">
        <f t="shared" si="81"/>
        <v>Senior</v>
      </c>
      <c r="D1755" t="s">
        <v>11</v>
      </c>
      <c r="E1755" t="s">
        <v>25</v>
      </c>
      <c r="F1755" t="s">
        <v>54</v>
      </c>
      <c r="G1755">
        <v>39.270000000000003</v>
      </c>
      <c r="H1755" t="s">
        <v>19</v>
      </c>
      <c r="I1755" t="s">
        <v>15</v>
      </c>
      <c r="J1755">
        <v>3.1</v>
      </c>
      <c r="K1755">
        <v>26</v>
      </c>
      <c r="L1755">
        <f t="shared" si="82"/>
        <v>29.059800000000003</v>
      </c>
      <c r="M1755">
        <v>8</v>
      </c>
      <c r="N1755" t="str">
        <f t="shared" si="83"/>
        <v>Loyal</v>
      </c>
    </row>
    <row r="1756" spans="1:14" x14ac:dyDescent="0.35">
      <c r="A1756">
        <v>1755</v>
      </c>
      <c r="B1756">
        <v>22</v>
      </c>
      <c r="C1756" t="str">
        <f t="shared" si="81"/>
        <v>Youth</v>
      </c>
      <c r="D1756" t="s">
        <v>16</v>
      </c>
      <c r="E1756" t="s">
        <v>17</v>
      </c>
      <c r="F1756" t="s">
        <v>18</v>
      </c>
      <c r="G1756">
        <v>98.74</v>
      </c>
      <c r="H1756" t="s">
        <v>31</v>
      </c>
      <c r="I1756" t="s">
        <v>15</v>
      </c>
      <c r="J1756">
        <v>4</v>
      </c>
      <c r="K1756">
        <v>12</v>
      </c>
      <c r="L1756">
        <f t="shared" si="82"/>
        <v>86.891199999999998</v>
      </c>
      <c r="M1756">
        <v>6</v>
      </c>
      <c r="N1756" t="str">
        <f t="shared" si="83"/>
        <v>Regular</v>
      </c>
    </row>
    <row r="1757" spans="1:14" x14ac:dyDescent="0.35">
      <c r="A1757">
        <v>1756</v>
      </c>
      <c r="B1757">
        <v>69</v>
      </c>
      <c r="C1757" t="str">
        <f t="shared" si="81"/>
        <v>Senior</v>
      </c>
      <c r="D1757" t="s">
        <v>11</v>
      </c>
      <c r="E1757" t="s">
        <v>29</v>
      </c>
      <c r="F1757" t="s">
        <v>51</v>
      </c>
      <c r="G1757">
        <v>108.96</v>
      </c>
      <c r="H1757" t="s">
        <v>31</v>
      </c>
      <c r="I1757" t="s">
        <v>15</v>
      </c>
      <c r="J1757">
        <v>4.4000000000000004</v>
      </c>
      <c r="K1757">
        <v>24</v>
      </c>
      <c r="L1757">
        <f t="shared" si="82"/>
        <v>82.809600000000003</v>
      </c>
      <c r="M1757">
        <v>7</v>
      </c>
      <c r="N1757" t="str">
        <f t="shared" si="83"/>
        <v>Regular</v>
      </c>
    </row>
    <row r="1758" spans="1:14" x14ac:dyDescent="0.35">
      <c r="A1758">
        <v>1757</v>
      </c>
      <c r="B1758">
        <v>66</v>
      </c>
      <c r="C1758" t="str">
        <f t="shared" si="81"/>
        <v>Senior</v>
      </c>
      <c r="D1758" t="s">
        <v>16</v>
      </c>
      <c r="E1758" t="s">
        <v>25</v>
      </c>
      <c r="F1758" t="s">
        <v>57</v>
      </c>
      <c r="G1758">
        <v>55.46</v>
      </c>
      <c r="H1758" t="s">
        <v>19</v>
      </c>
      <c r="I1758" t="s">
        <v>15</v>
      </c>
      <c r="J1758">
        <v>3.7</v>
      </c>
      <c r="K1758">
        <v>10</v>
      </c>
      <c r="L1758">
        <f t="shared" si="82"/>
        <v>49.914000000000001</v>
      </c>
      <c r="M1758">
        <v>5</v>
      </c>
      <c r="N1758" t="str">
        <f t="shared" si="83"/>
        <v>Regular</v>
      </c>
    </row>
    <row r="1759" spans="1:14" x14ac:dyDescent="0.35">
      <c r="A1759">
        <v>1758</v>
      </c>
      <c r="B1759">
        <v>43</v>
      </c>
      <c r="C1759" t="str">
        <f t="shared" si="81"/>
        <v>Adult</v>
      </c>
      <c r="D1759" t="s">
        <v>11</v>
      </c>
      <c r="E1759" t="s">
        <v>20</v>
      </c>
      <c r="F1759" t="s">
        <v>21</v>
      </c>
      <c r="G1759">
        <v>80.150000000000006</v>
      </c>
      <c r="H1759" t="s">
        <v>14</v>
      </c>
      <c r="I1759" t="s">
        <v>15</v>
      </c>
      <c r="J1759">
        <v>4.7</v>
      </c>
      <c r="K1759">
        <v>11</v>
      </c>
      <c r="L1759">
        <f t="shared" si="82"/>
        <v>71.333500000000001</v>
      </c>
      <c r="M1759">
        <v>3</v>
      </c>
      <c r="N1759" t="str">
        <f t="shared" si="83"/>
        <v>New</v>
      </c>
    </row>
    <row r="1760" spans="1:14" x14ac:dyDescent="0.35">
      <c r="A1760">
        <v>1759</v>
      </c>
      <c r="B1760">
        <v>63</v>
      </c>
      <c r="C1760" t="str">
        <f t="shared" si="81"/>
        <v>Senior</v>
      </c>
      <c r="D1760" t="s">
        <v>16</v>
      </c>
      <c r="E1760" t="s">
        <v>20</v>
      </c>
      <c r="F1760" t="s">
        <v>36</v>
      </c>
      <c r="G1760">
        <v>202.07</v>
      </c>
      <c r="H1760" t="s">
        <v>31</v>
      </c>
      <c r="I1760" t="s">
        <v>15</v>
      </c>
      <c r="J1760">
        <v>3.7</v>
      </c>
      <c r="K1760">
        <v>16</v>
      </c>
      <c r="L1760">
        <f t="shared" si="82"/>
        <v>169.7388</v>
      </c>
      <c r="M1760">
        <v>3</v>
      </c>
      <c r="N1760" t="str">
        <f t="shared" si="83"/>
        <v>New</v>
      </c>
    </row>
    <row r="1761" spans="1:14" x14ac:dyDescent="0.35">
      <c r="A1761">
        <v>1760</v>
      </c>
      <c r="B1761">
        <v>23</v>
      </c>
      <c r="C1761" t="str">
        <f t="shared" si="81"/>
        <v>Youth</v>
      </c>
      <c r="D1761" t="s">
        <v>16</v>
      </c>
      <c r="E1761" t="s">
        <v>17</v>
      </c>
      <c r="F1761" t="s">
        <v>18</v>
      </c>
      <c r="G1761">
        <v>117.84</v>
      </c>
      <c r="H1761" t="s">
        <v>24</v>
      </c>
      <c r="I1761" t="s">
        <v>15</v>
      </c>
      <c r="J1761">
        <v>3.1</v>
      </c>
      <c r="K1761">
        <v>24</v>
      </c>
      <c r="L1761">
        <f t="shared" si="82"/>
        <v>89.558400000000006</v>
      </c>
      <c r="M1761">
        <v>7</v>
      </c>
      <c r="N1761" t="str">
        <f t="shared" si="83"/>
        <v>Regular</v>
      </c>
    </row>
    <row r="1762" spans="1:14" x14ac:dyDescent="0.35">
      <c r="A1762">
        <v>1761</v>
      </c>
      <c r="B1762">
        <v>44</v>
      </c>
      <c r="C1762" t="str">
        <f t="shared" si="81"/>
        <v>Adult</v>
      </c>
      <c r="D1762" t="s">
        <v>16</v>
      </c>
      <c r="E1762" t="s">
        <v>17</v>
      </c>
      <c r="F1762" t="s">
        <v>18</v>
      </c>
      <c r="G1762">
        <v>194.65</v>
      </c>
      <c r="H1762" t="s">
        <v>19</v>
      </c>
      <c r="I1762" t="s">
        <v>15</v>
      </c>
      <c r="J1762">
        <v>4.2</v>
      </c>
      <c r="K1762">
        <v>22</v>
      </c>
      <c r="L1762">
        <f t="shared" si="82"/>
        <v>151.827</v>
      </c>
      <c r="M1762">
        <v>6</v>
      </c>
      <c r="N1762" t="str">
        <f t="shared" si="83"/>
        <v>Regular</v>
      </c>
    </row>
    <row r="1763" spans="1:14" x14ac:dyDescent="0.35">
      <c r="A1763">
        <v>1762</v>
      </c>
      <c r="B1763">
        <v>68</v>
      </c>
      <c r="C1763" t="str">
        <f t="shared" si="81"/>
        <v>Senior</v>
      </c>
      <c r="D1763" t="s">
        <v>11</v>
      </c>
      <c r="E1763" t="s">
        <v>29</v>
      </c>
      <c r="F1763" t="s">
        <v>51</v>
      </c>
      <c r="G1763">
        <v>107.91</v>
      </c>
      <c r="H1763" t="s">
        <v>19</v>
      </c>
      <c r="I1763" t="s">
        <v>15</v>
      </c>
      <c r="J1763">
        <v>4</v>
      </c>
      <c r="K1763">
        <v>17</v>
      </c>
      <c r="L1763">
        <f t="shared" si="82"/>
        <v>89.565299999999993</v>
      </c>
      <c r="M1763">
        <v>6</v>
      </c>
      <c r="N1763" t="str">
        <f t="shared" si="83"/>
        <v>Regular</v>
      </c>
    </row>
    <row r="1764" spans="1:14" x14ac:dyDescent="0.35">
      <c r="A1764">
        <v>1763</v>
      </c>
      <c r="B1764">
        <v>34</v>
      </c>
      <c r="C1764" t="str">
        <f t="shared" si="81"/>
        <v>Adult</v>
      </c>
      <c r="D1764" t="s">
        <v>16</v>
      </c>
      <c r="E1764" t="s">
        <v>20</v>
      </c>
      <c r="F1764" t="s">
        <v>39</v>
      </c>
      <c r="G1764">
        <v>184.29</v>
      </c>
      <c r="H1764" t="s">
        <v>14</v>
      </c>
      <c r="I1764" t="s">
        <v>15</v>
      </c>
      <c r="J1764">
        <v>5</v>
      </c>
      <c r="K1764">
        <v>11</v>
      </c>
      <c r="L1764">
        <f t="shared" si="82"/>
        <v>164.0181</v>
      </c>
      <c r="M1764">
        <v>3</v>
      </c>
      <c r="N1764" t="str">
        <f t="shared" si="83"/>
        <v>New</v>
      </c>
    </row>
    <row r="1765" spans="1:14" x14ac:dyDescent="0.35">
      <c r="A1765">
        <v>1764</v>
      </c>
      <c r="B1765">
        <v>35</v>
      </c>
      <c r="C1765" t="str">
        <f t="shared" si="81"/>
        <v>Adult</v>
      </c>
      <c r="D1765" t="s">
        <v>11</v>
      </c>
      <c r="E1765" t="s">
        <v>29</v>
      </c>
      <c r="F1765" t="s">
        <v>51</v>
      </c>
      <c r="G1765">
        <v>121.94</v>
      </c>
      <c r="H1765" t="s">
        <v>19</v>
      </c>
      <c r="I1765" t="s">
        <v>15</v>
      </c>
      <c r="J1765">
        <v>3.4</v>
      </c>
      <c r="K1765">
        <v>22</v>
      </c>
      <c r="L1765">
        <f t="shared" si="82"/>
        <v>95.113200000000006</v>
      </c>
      <c r="M1765">
        <v>6</v>
      </c>
      <c r="N1765" t="str">
        <f t="shared" si="83"/>
        <v>Regular</v>
      </c>
    </row>
    <row r="1766" spans="1:14" x14ac:dyDescent="0.35">
      <c r="A1766">
        <v>1765</v>
      </c>
      <c r="B1766">
        <v>51</v>
      </c>
      <c r="C1766" t="str">
        <f t="shared" si="81"/>
        <v>Adult</v>
      </c>
      <c r="D1766" t="s">
        <v>16</v>
      </c>
      <c r="E1766" t="s">
        <v>20</v>
      </c>
      <c r="F1766" t="s">
        <v>21</v>
      </c>
      <c r="G1766">
        <v>218.04</v>
      </c>
      <c r="H1766" t="s">
        <v>31</v>
      </c>
      <c r="I1766" t="s">
        <v>15</v>
      </c>
      <c r="J1766">
        <v>3</v>
      </c>
      <c r="K1766">
        <v>20</v>
      </c>
      <c r="L1766">
        <f t="shared" si="82"/>
        <v>174.43200000000002</v>
      </c>
      <c r="M1766">
        <v>5</v>
      </c>
      <c r="N1766" t="str">
        <f t="shared" si="83"/>
        <v>Regular</v>
      </c>
    </row>
    <row r="1767" spans="1:14" x14ac:dyDescent="0.35">
      <c r="A1767">
        <v>1766</v>
      </c>
      <c r="B1767">
        <v>62</v>
      </c>
      <c r="C1767" t="str">
        <f t="shared" si="81"/>
        <v>Senior</v>
      </c>
      <c r="D1767" t="s">
        <v>11</v>
      </c>
      <c r="E1767" t="s">
        <v>12</v>
      </c>
      <c r="F1767" t="s">
        <v>13</v>
      </c>
      <c r="G1767">
        <v>90.96</v>
      </c>
      <c r="H1767" t="s">
        <v>24</v>
      </c>
      <c r="I1767" t="s">
        <v>15</v>
      </c>
      <c r="J1767">
        <v>3.6</v>
      </c>
      <c r="K1767">
        <v>11</v>
      </c>
      <c r="L1767">
        <f t="shared" si="82"/>
        <v>80.954399999999993</v>
      </c>
      <c r="M1767">
        <v>3</v>
      </c>
      <c r="N1767" t="str">
        <f t="shared" si="83"/>
        <v>New</v>
      </c>
    </row>
    <row r="1768" spans="1:14" x14ac:dyDescent="0.35">
      <c r="A1768">
        <v>1767</v>
      </c>
      <c r="B1768">
        <v>44</v>
      </c>
      <c r="C1768" t="str">
        <f t="shared" si="81"/>
        <v>Adult</v>
      </c>
      <c r="D1768" t="s">
        <v>16</v>
      </c>
      <c r="E1768" t="s">
        <v>27</v>
      </c>
      <c r="F1768" t="s">
        <v>49</v>
      </c>
      <c r="G1768">
        <v>2617.6799999999998</v>
      </c>
      <c r="H1768" t="s">
        <v>14</v>
      </c>
      <c r="I1768" t="s">
        <v>15</v>
      </c>
      <c r="J1768">
        <v>3.7</v>
      </c>
      <c r="K1768">
        <v>12</v>
      </c>
      <c r="L1768">
        <f t="shared" si="82"/>
        <v>2303.5583999999999</v>
      </c>
      <c r="M1768">
        <v>6</v>
      </c>
      <c r="N1768" t="str">
        <f t="shared" si="83"/>
        <v>Regular</v>
      </c>
    </row>
    <row r="1769" spans="1:14" x14ac:dyDescent="0.35">
      <c r="A1769">
        <v>1768</v>
      </c>
      <c r="B1769">
        <v>29</v>
      </c>
      <c r="C1769" t="str">
        <f t="shared" si="81"/>
        <v>Youth</v>
      </c>
      <c r="D1769" t="s">
        <v>16</v>
      </c>
      <c r="E1769" t="s">
        <v>20</v>
      </c>
      <c r="F1769" t="s">
        <v>21</v>
      </c>
      <c r="G1769">
        <v>165.92</v>
      </c>
      <c r="H1769" t="s">
        <v>19</v>
      </c>
      <c r="I1769" t="s">
        <v>15</v>
      </c>
      <c r="J1769">
        <v>3.2</v>
      </c>
      <c r="K1769">
        <v>19</v>
      </c>
      <c r="L1769">
        <f t="shared" si="82"/>
        <v>134.39519999999999</v>
      </c>
      <c r="M1769">
        <v>7</v>
      </c>
      <c r="N1769" t="str">
        <f t="shared" si="83"/>
        <v>Regular</v>
      </c>
    </row>
    <row r="1770" spans="1:14" x14ac:dyDescent="0.35">
      <c r="A1770">
        <v>1769</v>
      </c>
      <c r="B1770">
        <v>67</v>
      </c>
      <c r="C1770" t="str">
        <f t="shared" si="81"/>
        <v>Senior</v>
      </c>
      <c r="D1770" t="s">
        <v>11</v>
      </c>
      <c r="E1770" t="s">
        <v>29</v>
      </c>
      <c r="F1770" t="s">
        <v>55</v>
      </c>
      <c r="G1770">
        <v>120.75</v>
      </c>
      <c r="H1770" t="s">
        <v>14</v>
      </c>
      <c r="I1770" t="s">
        <v>15</v>
      </c>
      <c r="J1770">
        <v>3.4</v>
      </c>
      <c r="K1770">
        <v>13</v>
      </c>
      <c r="L1770">
        <f t="shared" si="82"/>
        <v>105.05249999999999</v>
      </c>
      <c r="M1770">
        <v>4</v>
      </c>
      <c r="N1770" t="str">
        <f t="shared" si="83"/>
        <v>Regular</v>
      </c>
    </row>
    <row r="1771" spans="1:14" x14ac:dyDescent="0.35">
      <c r="A1771">
        <v>1770</v>
      </c>
      <c r="B1771">
        <v>55</v>
      </c>
      <c r="C1771" t="str">
        <f t="shared" si="81"/>
        <v>Adult</v>
      </c>
      <c r="D1771" t="s">
        <v>11</v>
      </c>
      <c r="E1771" t="s">
        <v>33</v>
      </c>
      <c r="F1771" t="s">
        <v>34</v>
      </c>
      <c r="G1771">
        <v>213.52</v>
      </c>
      <c r="H1771" t="s">
        <v>24</v>
      </c>
      <c r="I1771" t="s">
        <v>15</v>
      </c>
      <c r="J1771">
        <v>3.1</v>
      </c>
      <c r="K1771">
        <v>14</v>
      </c>
      <c r="L1771">
        <f t="shared" si="82"/>
        <v>183.62720000000002</v>
      </c>
      <c r="M1771">
        <v>7</v>
      </c>
      <c r="N1771" t="str">
        <f t="shared" si="83"/>
        <v>Regular</v>
      </c>
    </row>
    <row r="1772" spans="1:14" x14ac:dyDescent="0.35">
      <c r="A1772">
        <v>1771</v>
      </c>
      <c r="B1772">
        <v>55</v>
      </c>
      <c r="C1772" t="str">
        <f t="shared" si="81"/>
        <v>Adult</v>
      </c>
      <c r="D1772" t="s">
        <v>16</v>
      </c>
      <c r="E1772" t="s">
        <v>27</v>
      </c>
      <c r="F1772" t="s">
        <v>28</v>
      </c>
      <c r="G1772">
        <v>2217.08</v>
      </c>
      <c r="H1772" t="s">
        <v>24</v>
      </c>
      <c r="I1772" t="s">
        <v>15</v>
      </c>
      <c r="J1772">
        <v>4.2</v>
      </c>
      <c r="K1772">
        <v>21</v>
      </c>
      <c r="L1772">
        <f t="shared" si="82"/>
        <v>1751.4932000000001</v>
      </c>
      <c r="M1772">
        <v>8</v>
      </c>
      <c r="N1772" t="str">
        <f t="shared" si="83"/>
        <v>Loyal</v>
      </c>
    </row>
    <row r="1773" spans="1:14" x14ac:dyDescent="0.35">
      <c r="A1773">
        <v>1772</v>
      </c>
      <c r="B1773">
        <v>45</v>
      </c>
      <c r="C1773" t="str">
        <f t="shared" si="81"/>
        <v>Adult</v>
      </c>
      <c r="D1773" t="s">
        <v>11</v>
      </c>
      <c r="E1773" t="s">
        <v>33</v>
      </c>
      <c r="F1773" t="s">
        <v>38</v>
      </c>
      <c r="G1773">
        <v>101.95</v>
      </c>
      <c r="H1773" t="s">
        <v>24</v>
      </c>
      <c r="I1773" t="s">
        <v>15</v>
      </c>
      <c r="J1773">
        <v>3.5</v>
      </c>
      <c r="K1773">
        <v>12</v>
      </c>
      <c r="L1773">
        <f t="shared" si="82"/>
        <v>89.716000000000008</v>
      </c>
      <c r="M1773">
        <v>1</v>
      </c>
      <c r="N1773" t="str">
        <f t="shared" si="83"/>
        <v>New</v>
      </c>
    </row>
    <row r="1774" spans="1:14" x14ac:dyDescent="0.35">
      <c r="A1774">
        <v>1773</v>
      </c>
      <c r="B1774">
        <v>58</v>
      </c>
      <c r="C1774" t="str">
        <f t="shared" si="81"/>
        <v>Adult</v>
      </c>
      <c r="D1774" t="s">
        <v>11</v>
      </c>
      <c r="E1774" t="s">
        <v>33</v>
      </c>
      <c r="F1774" t="s">
        <v>38</v>
      </c>
      <c r="G1774">
        <v>89.54</v>
      </c>
      <c r="H1774" t="s">
        <v>24</v>
      </c>
      <c r="I1774" t="s">
        <v>37</v>
      </c>
      <c r="J1774">
        <v>4.3</v>
      </c>
      <c r="K1774">
        <v>15</v>
      </c>
      <c r="L1774">
        <f t="shared" si="82"/>
        <v>76.109000000000009</v>
      </c>
      <c r="M1774">
        <v>5</v>
      </c>
      <c r="N1774" t="str">
        <f t="shared" si="83"/>
        <v>Regular</v>
      </c>
    </row>
    <row r="1775" spans="1:14" x14ac:dyDescent="0.35">
      <c r="A1775">
        <v>1774</v>
      </c>
      <c r="B1775">
        <v>25</v>
      </c>
      <c r="C1775" t="str">
        <f t="shared" si="81"/>
        <v>Youth</v>
      </c>
      <c r="D1775" t="s">
        <v>11</v>
      </c>
      <c r="E1775" t="s">
        <v>29</v>
      </c>
      <c r="F1775" t="s">
        <v>51</v>
      </c>
      <c r="G1775">
        <v>53.08</v>
      </c>
      <c r="H1775" t="s">
        <v>31</v>
      </c>
      <c r="I1775" t="s">
        <v>15</v>
      </c>
      <c r="J1775">
        <v>2.9</v>
      </c>
      <c r="K1775">
        <v>8</v>
      </c>
      <c r="L1775">
        <f t="shared" si="82"/>
        <v>48.833599999999997</v>
      </c>
      <c r="M1775">
        <v>4</v>
      </c>
      <c r="N1775" t="str">
        <f t="shared" si="83"/>
        <v>Regular</v>
      </c>
    </row>
    <row r="1776" spans="1:14" x14ac:dyDescent="0.35">
      <c r="A1776">
        <v>1775</v>
      </c>
      <c r="B1776">
        <v>31</v>
      </c>
      <c r="C1776" t="str">
        <f t="shared" si="81"/>
        <v>Adult</v>
      </c>
      <c r="D1776" t="s">
        <v>11</v>
      </c>
      <c r="E1776" t="s">
        <v>25</v>
      </c>
      <c r="F1776" t="s">
        <v>47</v>
      </c>
      <c r="G1776">
        <v>54.74</v>
      </c>
      <c r="H1776" t="s">
        <v>14</v>
      </c>
      <c r="I1776" t="s">
        <v>37</v>
      </c>
      <c r="J1776">
        <v>3.8</v>
      </c>
      <c r="K1776">
        <v>24</v>
      </c>
      <c r="L1776">
        <f t="shared" si="82"/>
        <v>41.602400000000003</v>
      </c>
      <c r="M1776">
        <v>7</v>
      </c>
      <c r="N1776" t="str">
        <f t="shared" si="83"/>
        <v>Regular</v>
      </c>
    </row>
    <row r="1777" spans="1:14" x14ac:dyDescent="0.35">
      <c r="A1777">
        <v>1776</v>
      </c>
      <c r="B1777">
        <v>43</v>
      </c>
      <c r="C1777" t="str">
        <f t="shared" si="81"/>
        <v>Adult</v>
      </c>
      <c r="D1777" t="s">
        <v>11</v>
      </c>
      <c r="E1777" t="s">
        <v>33</v>
      </c>
      <c r="F1777" t="s">
        <v>40</v>
      </c>
      <c r="G1777">
        <v>117.15</v>
      </c>
      <c r="H1777" t="s">
        <v>31</v>
      </c>
      <c r="I1777" t="s">
        <v>15</v>
      </c>
      <c r="J1777">
        <v>3.1</v>
      </c>
      <c r="K1777">
        <v>14</v>
      </c>
      <c r="L1777">
        <f t="shared" si="82"/>
        <v>100.74900000000001</v>
      </c>
      <c r="M1777">
        <v>7</v>
      </c>
      <c r="N1777" t="str">
        <f t="shared" si="83"/>
        <v>Regular</v>
      </c>
    </row>
    <row r="1778" spans="1:14" x14ac:dyDescent="0.35">
      <c r="A1778">
        <v>1777</v>
      </c>
      <c r="B1778">
        <v>63</v>
      </c>
      <c r="C1778" t="str">
        <f t="shared" si="81"/>
        <v>Senior</v>
      </c>
      <c r="D1778" t="s">
        <v>16</v>
      </c>
      <c r="E1778" t="s">
        <v>33</v>
      </c>
      <c r="F1778" t="s">
        <v>40</v>
      </c>
      <c r="G1778">
        <v>92.46</v>
      </c>
      <c r="H1778" t="s">
        <v>19</v>
      </c>
      <c r="I1778" t="s">
        <v>37</v>
      </c>
      <c r="J1778">
        <v>4.3</v>
      </c>
      <c r="K1778">
        <v>13</v>
      </c>
      <c r="L1778">
        <f t="shared" si="82"/>
        <v>80.44019999999999</v>
      </c>
      <c r="M1778">
        <v>4</v>
      </c>
      <c r="N1778" t="str">
        <f t="shared" si="83"/>
        <v>Regular</v>
      </c>
    </row>
    <row r="1779" spans="1:14" x14ac:dyDescent="0.35">
      <c r="A1779">
        <v>1778</v>
      </c>
      <c r="B1779">
        <v>40</v>
      </c>
      <c r="C1779" t="str">
        <f t="shared" si="81"/>
        <v>Adult</v>
      </c>
      <c r="D1779" t="s">
        <v>11</v>
      </c>
      <c r="E1779" t="s">
        <v>25</v>
      </c>
      <c r="F1779" t="s">
        <v>54</v>
      </c>
      <c r="G1779">
        <v>25.19</v>
      </c>
      <c r="H1779" t="s">
        <v>31</v>
      </c>
      <c r="I1779" t="s">
        <v>15</v>
      </c>
      <c r="J1779">
        <v>3.4</v>
      </c>
      <c r="K1779">
        <v>17</v>
      </c>
      <c r="L1779">
        <f t="shared" si="82"/>
        <v>20.907699999999998</v>
      </c>
      <c r="M1779">
        <v>6</v>
      </c>
      <c r="N1779" t="str">
        <f t="shared" si="83"/>
        <v>Regular</v>
      </c>
    </row>
    <row r="1780" spans="1:14" x14ac:dyDescent="0.35">
      <c r="A1780">
        <v>1779</v>
      </c>
      <c r="B1780">
        <v>25</v>
      </c>
      <c r="C1780" t="str">
        <f t="shared" si="81"/>
        <v>Youth</v>
      </c>
      <c r="D1780" t="s">
        <v>16</v>
      </c>
      <c r="E1780" t="s">
        <v>20</v>
      </c>
      <c r="F1780" t="s">
        <v>39</v>
      </c>
      <c r="G1780">
        <v>204.19</v>
      </c>
      <c r="H1780" t="s">
        <v>31</v>
      </c>
      <c r="I1780" t="s">
        <v>15</v>
      </c>
      <c r="J1780">
        <v>3.9</v>
      </c>
      <c r="K1780">
        <v>4</v>
      </c>
      <c r="L1780">
        <f t="shared" si="82"/>
        <v>196.0224</v>
      </c>
      <c r="M1780">
        <v>2</v>
      </c>
      <c r="N1780" t="str">
        <f t="shared" si="83"/>
        <v>New</v>
      </c>
    </row>
    <row r="1781" spans="1:14" x14ac:dyDescent="0.35">
      <c r="A1781">
        <v>1780</v>
      </c>
      <c r="B1781">
        <v>24</v>
      </c>
      <c r="C1781" t="str">
        <f t="shared" si="81"/>
        <v>Youth</v>
      </c>
      <c r="D1781" t="s">
        <v>11</v>
      </c>
      <c r="E1781" t="s">
        <v>25</v>
      </c>
      <c r="F1781" t="s">
        <v>47</v>
      </c>
      <c r="G1781">
        <v>68.44</v>
      </c>
      <c r="H1781" t="s">
        <v>14</v>
      </c>
      <c r="I1781" t="s">
        <v>15</v>
      </c>
      <c r="J1781">
        <v>3.7</v>
      </c>
      <c r="K1781">
        <v>15</v>
      </c>
      <c r="L1781">
        <f t="shared" si="82"/>
        <v>58.173999999999999</v>
      </c>
      <c r="M1781">
        <v>5</v>
      </c>
      <c r="N1781" t="str">
        <f t="shared" si="83"/>
        <v>Regular</v>
      </c>
    </row>
    <row r="1782" spans="1:14" x14ac:dyDescent="0.35">
      <c r="A1782">
        <v>1781</v>
      </c>
      <c r="B1782">
        <v>57</v>
      </c>
      <c r="C1782" t="str">
        <f t="shared" si="81"/>
        <v>Adult</v>
      </c>
      <c r="D1782" t="s">
        <v>11</v>
      </c>
      <c r="E1782" t="s">
        <v>33</v>
      </c>
      <c r="F1782" t="s">
        <v>34</v>
      </c>
      <c r="G1782">
        <v>65.540000000000006</v>
      </c>
      <c r="H1782" t="s">
        <v>31</v>
      </c>
      <c r="I1782" t="s">
        <v>37</v>
      </c>
      <c r="J1782">
        <v>4.2</v>
      </c>
      <c r="K1782">
        <v>16</v>
      </c>
      <c r="L1782">
        <f t="shared" si="82"/>
        <v>55.053600000000003</v>
      </c>
      <c r="M1782">
        <v>8</v>
      </c>
      <c r="N1782" t="str">
        <f t="shared" si="83"/>
        <v>Loyal</v>
      </c>
    </row>
    <row r="1783" spans="1:14" x14ac:dyDescent="0.35">
      <c r="A1783">
        <v>1782</v>
      </c>
      <c r="B1783">
        <v>57</v>
      </c>
      <c r="C1783" t="str">
        <f t="shared" si="81"/>
        <v>Adult</v>
      </c>
      <c r="D1783" t="s">
        <v>16</v>
      </c>
      <c r="E1783" t="s">
        <v>33</v>
      </c>
      <c r="F1783" t="s">
        <v>34</v>
      </c>
      <c r="G1783">
        <v>90.98</v>
      </c>
      <c r="H1783" t="s">
        <v>14</v>
      </c>
      <c r="I1783" t="s">
        <v>15</v>
      </c>
      <c r="J1783">
        <v>3</v>
      </c>
      <c r="K1783">
        <v>16</v>
      </c>
      <c r="L1783">
        <f t="shared" si="82"/>
        <v>76.423199999999994</v>
      </c>
      <c r="M1783">
        <v>8</v>
      </c>
      <c r="N1783" t="str">
        <f t="shared" si="83"/>
        <v>Loyal</v>
      </c>
    </row>
    <row r="1784" spans="1:14" x14ac:dyDescent="0.35">
      <c r="A1784">
        <v>1783</v>
      </c>
      <c r="B1784">
        <v>23</v>
      </c>
      <c r="C1784" t="str">
        <f t="shared" si="81"/>
        <v>Youth</v>
      </c>
      <c r="D1784" t="s">
        <v>16</v>
      </c>
      <c r="E1784" t="s">
        <v>27</v>
      </c>
      <c r="F1784" t="s">
        <v>53</v>
      </c>
      <c r="G1784">
        <v>2369.0100000000002</v>
      </c>
      <c r="H1784" t="s">
        <v>31</v>
      </c>
      <c r="I1784" t="s">
        <v>15</v>
      </c>
      <c r="J1784">
        <v>4.0999999999999996</v>
      </c>
      <c r="K1784">
        <v>0</v>
      </c>
      <c r="L1784">
        <f t="shared" si="82"/>
        <v>2369.0100000000002</v>
      </c>
      <c r="M1784">
        <v>0</v>
      </c>
      <c r="N1784" t="str">
        <f t="shared" si="83"/>
        <v>New</v>
      </c>
    </row>
    <row r="1785" spans="1:14" x14ac:dyDescent="0.35">
      <c r="A1785">
        <v>1784</v>
      </c>
      <c r="B1785">
        <v>63</v>
      </c>
      <c r="C1785" t="str">
        <f t="shared" si="81"/>
        <v>Senior</v>
      </c>
      <c r="D1785" t="s">
        <v>11</v>
      </c>
      <c r="E1785" t="s">
        <v>29</v>
      </c>
      <c r="F1785" t="s">
        <v>55</v>
      </c>
      <c r="G1785">
        <v>131.24</v>
      </c>
      <c r="H1785" t="s">
        <v>14</v>
      </c>
      <c r="I1785" t="s">
        <v>15</v>
      </c>
      <c r="J1785">
        <v>4.0999999999999996</v>
      </c>
      <c r="K1785">
        <v>11</v>
      </c>
      <c r="L1785">
        <f t="shared" si="82"/>
        <v>116.8036</v>
      </c>
      <c r="M1785">
        <v>3</v>
      </c>
      <c r="N1785" t="str">
        <f t="shared" si="83"/>
        <v>New</v>
      </c>
    </row>
    <row r="1786" spans="1:14" x14ac:dyDescent="0.35">
      <c r="A1786">
        <v>1785</v>
      </c>
      <c r="B1786">
        <v>34</v>
      </c>
      <c r="C1786" t="str">
        <f t="shared" si="81"/>
        <v>Adult</v>
      </c>
      <c r="D1786" t="s">
        <v>16</v>
      </c>
      <c r="E1786" t="s">
        <v>20</v>
      </c>
      <c r="F1786" t="s">
        <v>39</v>
      </c>
      <c r="G1786">
        <v>152.61000000000001</v>
      </c>
      <c r="H1786" t="s">
        <v>31</v>
      </c>
      <c r="I1786" t="s">
        <v>15</v>
      </c>
      <c r="J1786">
        <v>3.7</v>
      </c>
      <c r="K1786">
        <v>8</v>
      </c>
      <c r="L1786">
        <f t="shared" si="82"/>
        <v>140.40120000000002</v>
      </c>
      <c r="M1786">
        <v>4</v>
      </c>
      <c r="N1786" t="str">
        <f t="shared" si="83"/>
        <v>Regular</v>
      </c>
    </row>
    <row r="1787" spans="1:14" x14ac:dyDescent="0.35">
      <c r="A1787">
        <v>1786</v>
      </c>
      <c r="B1787">
        <v>64</v>
      </c>
      <c r="C1787" t="str">
        <f t="shared" si="81"/>
        <v>Senior</v>
      </c>
      <c r="D1787" t="s">
        <v>11</v>
      </c>
      <c r="E1787" t="s">
        <v>20</v>
      </c>
      <c r="F1787" t="s">
        <v>39</v>
      </c>
      <c r="G1787">
        <v>224.38</v>
      </c>
      <c r="H1787" t="s">
        <v>19</v>
      </c>
      <c r="I1787" t="s">
        <v>15</v>
      </c>
      <c r="J1787">
        <v>3.4</v>
      </c>
      <c r="K1787">
        <v>11</v>
      </c>
      <c r="L1787">
        <f t="shared" si="82"/>
        <v>199.69819999999999</v>
      </c>
      <c r="M1787">
        <v>3</v>
      </c>
      <c r="N1787" t="str">
        <f t="shared" si="83"/>
        <v>New</v>
      </c>
    </row>
    <row r="1788" spans="1:14" x14ac:dyDescent="0.35">
      <c r="A1788">
        <v>1787</v>
      </c>
      <c r="B1788">
        <v>52</v>
      </c>
      <c r="C1788" t="str">
        <f t="shared" si="81"/>
        <v>Adult</v>
      </c>
      <c r="D1788" t="s">
        <v>16</v>
      </c>
      <c r="E1788" t="s">
        <v>17</v>
      </c>
      <c r="F1788" t="s">
        <v>35</v>
      </c>
      <c r="G1788">
        <v>31.54</v>
      </c>
      <c r="H1788" t="s">
        <v>19</v>
      </c>
      <c r="I1788" t="s">
        <v>37</v>
      </c>
      <c r="J1788">
        <v>3.7</v>
      </c>
      <c r="K1788">
        <v>18</v>
      </c>
      <c r="L1788">
        <f t="shared" si="82"/>
        <v>25.8628</v>
      </c>
      <c r="M1788">
        <v>4</v>
      </c>
      <c r="N1788" t="str">
        <f t="shared" si="83"/>
        <v>Regular</v>
      </c>
    </row>
    <row r="1789" spans="1:14" x14ac:dyDescent="0.35">
      <c r="A1789">
        <v>1788</v>
      </c>
      <c r="B1789">
        <v>31</v>
      </c>
      <c r="C1789" t="str">
        <f t="shared" si="81"/>
        <v>Adult</v>
      </c>
      <c r="D1789" t="s">
        <v>11</v>
      </c>
      <c r="E1789" t="s">
        <v>29</v>
      </c>
      <c r="F1789" t="s">
        <v>51</v>
      </c>
      <c r="G1789">
        <v>122.72</v>
      </c>
      <c r="H1789" t="s">
        <v>31</v>
      </c>
      <c r="I1789" t="s">
        <v>15</v>
      </c>
      <c r="J1789">
        <v>3.2</v>
      </c>
      <c r="K1789">
        <v>9</v>
      </c>
      <c r="L1789">
        <f t="shared" si="82"/>
        <v>111.6752</v>
      </c>
      <c r="M1789">
        <v>2</v>
      </c>
      <c r="N1789" t="str">
        <f t="shared" si="83"/>
        <v>New</v>
      </c>
    </row>
    <row r="1790" spans="1:14" x14ac:dyDescent="0.35">
      <c r="A1790">
        <v>1789</v>
      </c>
      <c r="B1790">
        <v>56</v>
      </c>
      <c r="C1790" t="str">
        <f t="shared" si="81"/>
        <v>Adult</v>
      </c>
      <c r="D1790" t="s">
        <v>11</v>
      </c>
      <c r="E1790" t="s">
        <v>12</v>
      </c>
      <c r="F1790" t="s">
        <v>50</v>
      </c>
      <c r="G1790">
        <v>60.7</v>
      </c>
      <c r="H1790" t="s">
        <v>31</v>
      </c>
      <c r="I1790" t="s">
        <v>15</v>
      </c>
      <c r="J1790">
        <v>4.0999999999999996</v>
      </c>
      <c r="K1790">
        <v>14</v>
      </c>
      <c r="L1790">
        <f t="shared" si="82"/>
        <v>52.201999999999998</v>
      </c>
      <c r="M1790">
        <v>7</v>
      </c>
      <c r="N1790" t="str">
        <f t="shared" si="83"/>
        <v>Regular</v>
      </c>
    </row>
    <row r="1791" spans="1:14" x14ac:dyDescent="0.35">
      <c r="A1791">
        <v>1790</v>
      </c>
      <c r="B1791">
        <v>64</v>
      </c>
      <c r="C1791" t="str">
        <f t="shared" si="81"/>
        <v>Senior</v>
      </c>
      <c r="D1791" t="s">
        <v>16</v>
      </c>
      <c r="E1791" t="s">
        <v>25</v>
      </c>
      <c r="F1791" t="s">
        <v>54</v>
      </c>
      <c r="G1791">
        <v>40.94</v>
      </c>
      <c r="H1791" t="s">
        <v>14</v>
      </c>
      <c r="I1791" t="s">
        <v>15</v>
      </c>
      <c r="J1791">
        <v>3.5</v>
      </c>
      <c r="K1791">
        <v>13</v>
      </c>
      <c r="L1791">
        <f t="shared" si="82"/>
        <v>35.617799999999995</v>
      </c>
      <c r="M1791">
        <v>4</v>
      </c>
      <c r="N1791" t="str">
        <f t="shared" si="83"/>
        <v>Regular</v>
      </c>
    </row>
    <row r="1792" spans="1:14" x14ac:dyDescent="0.35">
      <c r="A1792">
        <v>1791</v>
      </c>
      <c r="B1792">
        <v>67</v>
      </c>
      <c r="C1792" t="str">
        <f t="shared" si="81"/>
        <v>Senior</v>
      </c>
      <c r="D1792" t="s">
        <v>16</v>
      </c>
      <c r="E1792" t="s">
        <v>20</v>
      </c>
      <c r="F1792" t="s">
        <v>21</v>
      </c>
      <c r="G1792">
        <v>226.26</v>
      </c>
      <c r="H1792" t="s">
        <v>14</v>
      </c>
      <c r="I1792" t="s">
        <v>15</v>
      </c>
      <c r="J1792">
        <v>3</v>
      </c>
      <c r="K1792">
        <v>16</v>
      </c>
      <c r="L1792">
        <f t="shared" si="82"/>
        <v>190.05839999999998</v>
      </c>
      <c r="M1792">
        <v>3</v>
      </c>
      <c r="N1792" t="str">
        <f t="shared" si="83"/>
        <v>New</v>
      </c>
    </row>
    <row r="1793" spans="1:14" x14ac:dyDescent="0.35">
      <c r="A1793">
        <v>1792</v>
      </c>
      <c r="B1793">
        <v>48</v>
      </c>
      <c r="C1793" t="str">
        <f t="shared" si="81"/>
        <v>Adult</v>
      </c>
      <c r="D1793" t="s">
        <v>16</v>
      </c>
      <c r="E1793" t="s">
        <v>33</v>
      </c>
      <c r="F1793" t="s">
        <v>34</v>
      </c>
      <c r="G1793">
        <v>94.74</v>
      </c>
      <c r="H1793" t="s">
        <v>24</v>
      </c>
      <c r="I1793" t="s">
        <v>37</v>
      </c>
      <c r="J1793">
        <v>3.4</v>
      </c>
      <c r="K1793">
        <v>26</v>
      </c>
      <c r="L1793">
        <f t="shared" si="82"/>
        <v>70.107599999999991</v>
      </c>
      <c r="M1793">
        <v>8</v>
      </c>
      <c r="N1793" t="str">
        <f t="shared" si="83"/>
        <v>Loyal</v>
      </c>
    </row>
    <row r="1794" spans="1:14" x14ac:dyDescent="0.35">
      <c r="A1794">
        <v>1793</v>
      </c>
      <c r="B1794">
        <v>41</v>
      </c>
      <c r="C1794" t="str">
        <f t="shared" si="81"/>
        <v>Adult</v>
      </c>
      <c r="D1794" t="s">
        <v>11</v>
      </c>
      <c r="E1794" t="s">
        <v>29</v>
      </c>
      <c r="F1794" t="s">
        <v>51</v>
      </c>
      <c r="G1794">
        <v>130.69</v>
      </c>
      <c r="H1794" t="s">
        <v>14</v>
      </c>
      <c r="I1794" t="s">
        <v>15</v>
      </c>
      <c r="J1794">
        <v>4.3</v>
      </c>
      <c r="K1794">
        <v>10</v>
      </c>
      <c r="L1794">
        <f t="shared" si="82"/>
        <v>117.621</v>
      </c>
      <c r="M1794">
        <v>5</v>
      </c>
      <c r="N1794" t="str">
        <f t="shared" si="83"/>
        <v>Regular</v>
      </c>
    </row>
    <row r="1795" spans="1:14" x14ac:dyDescent="0.35">
      <c r="A1795">
        <v>1794</v>
      </c>
      <c r="B1795">
        <v>62</v>
      </c>
      <c r="C1795" t="str">
        <f t="shared" ref="C1795:C1858" si="84">IF(B1795&lt;=30,"Youth",IF(B1795&lt;=45,"Adult",IF(B1795&lt;=60,"Adult","Senior")))</f>
        <v>Senior</v>
      </c>
      <c r="D1795" t="s">
        <v>16</v>
      </c>
      <c r="E1795" t="s">
        <v>20</v>
      </c>
      <c r="F1795" t="s">
        <v>36</v>
      </c>
      <c r="G1795">
        <v>176.42</v>
      </c>
      <c r="H1795" t="s">
        <v>24</v>
      </c>
      <c r="I1795" t="s">
        <v>15</v>
      </c>
      <c r="J1795">
        <v>4.0999999999999996</v>
      </c>
      <c r="K1795">
        <v>4</v>
      </c>
      <c r="L1795">
        <f t="shared" ref="L1795:L1858" si="85">G1795*(1-K1795/100)</f>
        <v>169.36319999999998</v>
      </c>
      <c r="M1795">
        <v>2</v>
      </c>
      <c r="N1795" t="str">
        <f t="shared" ref="N1795:N1858" si="86">IF(M1795&lt;=3,"New",IF(M1795&lt;=7,"Regular","Loyal"))</f>
        <v>New</v>
      </c>
    </row>
    <row r="1796" spans="1:14" x14ac:dyDescent="0.35">
      <c r="A1796">
        <v>1795</v>
      </c>
      <c r="B1796">
        <v>24</v>
      </c>
      <c r="C1796" t="str">
        <f t="shared" si="84"/>
        <v>Youth</v>
      </c>
      <c r="D1796" t="s">
        <v>16</v>
      </c>
      <c r="E1796" t="s">
        <v>33</v>
      </c>
      <c r="F1796" t="s">
        <v>34</v>
      </c>
      <c r="G1796">
        <v>103.89</v>
      </c>
      <c r="H1796" t="s">
        <v>24</v>
      </c>
      <c r="I1796" t="s">
        <v>15</v>
      </c>
      <c r="J1796">
        <v>4.8</v>
      </c>
      <c r="K1796">
        <v>15</v>
      </c>
      <c r="L1796">
        <f t="shared" si="85"/>
        <v>88.3065</v>
      </c>
      <c r="M1796">
        <v>5</v>
      </c>
      <c r="N1796" t="str">
        <f t="shared" si="86"/>
        <v>Regular</v>
      </c>
    </row>
    <row r="1797" spans="1:14" x14ac:dyDescent="0.35">
      <c r="A1797">
        <v>1796</v>
      </c>
      <c r="B1797">
        <v>22</v>
      </c>
      <c r="C1797" t="str">
        <f t="shared" si="84"/>
        <v>Youth</v>
      </c>
      <c r="D1797" t="s">
        <v>16</v>
      </c>
      <c r="E1797" t="s">
        <v>17</v>
      </c>
      <c r="F1797" t="s">
        <v>18</v>
      </c>
      <c r="G1797">
        <v>48.19</v>
      </c>
      <c r="H1797" t="s">
        <v>19</v>
      </c>
      <c r="I1797" t="s">
        <v>15</v>
      </c>
      <c r="J1797">
        <v>3.8</v>
      </c>
      <c r="K1797">
        <v>17</v>
      </c>
      <c r="L1797">
        <f t="shared" si="85"/>
        <v>39.997699999999995</v>
      </c>
      <c r="M1797">
        <v>6</v>
      </c>
      <c r="N1797" t="str">
        <f t="shared" si="86"/>
        <v>Regular</v>
      </c>
    </row>
    <row r="1798" spans="1:14" x14ac:dyDescent="0.35">
      <c r="A1798">
        <v>1797</v>
      </c>
      <c r="B1798">
        <v>68</v>
      </c>
      <c r="C1798" t="str">
        <f t="shared" si="84"/>
        <v>Senior</v>
      </c>
      <c r="D1798" t="s">
        <v>16</v>
      </c>
      <c r="E1798" t="s">
        <v>20</v>
      </c>
      <c r="F1798" t="s">
        <v>36</v>
      </c>
      <c r="G1798">
        <v>57.02</v>
      </c>
      <c r="H1798" t="s">
        <v>19</v>
      </c>
      <c r="I1798" t="s">
        <v>15</v>
      </c>
      <c r="J1798">
        <v>3.7</v>
      </c>
      <c r="K1798">
        <v>0</v>
      </c>
      <c r="L1798">
        <f t="shared" si="85"/>
        <v>57.02</v>
      </c>
      <c r="M1798">
        <v>0</v>
      </c>
      <c r="N1798" t="str">
        <f t="shared" si="86"/>
        <v>New</v>
      </c>
    </row>
    <row r="1799" spans="1:14" x14ac:dyDescent="0.35">
      <c r="A1799">
        <v>1798</v>
      </c>
      <c r="B1799">
        <v>70</v>
      </c>
      <c r="C1799" t="str">
        <f t="shared" si="84"/>
        <v>Senior</v>
      </c>
      <c r="D1799" t="s">
        <v>16</v>
      </c>
      <c r="E1799" t="s">
        <v>20</v>
      </c>
      <c r="F1799" t="s">
        <v>21</v>
      </c>
      <c r="G1799">
        <v>54.5</v>
      </c>
      <c r="H1799" t="s">
        <v>24</v>
      </c>
      <c r="I1799" t="s">
        <v>15</v>
      </c>
      <c r="J1799">
        <v>3.5</v>
      </c>
      <c r="K1799">
        <v>6</v>
      </c>
      <c r="L1799">
        <f t="shared" si="85"/>
        <v>51.23</v>
      </c>
      <c r="M1799">
        <v>3</v>
      </c>
      <c r="N1799" t="str">
        <f t="shared" si="86"/>
        <v>New</v>
      </c>
    </row>
    <row r="1800" spans="1:14" x14ac:dyDescent="0.35">
      <c r="A1800">
        <v>1799</v>
      </c>
      <c r="B1800">
        <v>22</v>
      </c>
      <c r="C1800" t="str">
        <f t="shared" si="84"/>
        <v>Youth</v>
      </c>
      <c r="D1800" t="s">
        <v>16</v>
      </c>
      <c r="E1800" t="s">
        <v>17</v>
      </c>
      <c r="F1800" t="s">
        <v>35</v>
      </c>
      <c r="G1800">
        <v>67.459999999999994</v>
      </c>
      <c r="H1800" t="s">
        <v>19</v>
      </c>
      <c r="I1800" t="s">
        <v>37</v>
      </c>
      <c r="J1800">
        <v>3.7</v>
      </c>
      <c r="K1800">
        <v>6</v>
      </c>
      <c r="L1800">
        <f t="shared" si="85"/>
        <v>63.412399999999991</v>
      </c>
      <c r="M1800">
        <v>3</v>
      </c>
      <c r="N1800" t="str">
        <f t="shared" si="86"/>
        <v>New</v>
      </c>
    </row>
    <row r="1801" spans="1:14" x14ac:dyDescent="0.35">
      <c r="A1801">
        <v>1800</v>
      </c>
      <c r="B1801">
        <v>52</v>
      </c>
      <c r="C1801" t="str">
        <f t="shared" si="84"/>
        <v>Adult</v>
      </c>
      <c r="D1801" t="s">
        <v>16</v>
      </c>
      <c r="E1801" t="s">
        <v>33</v>
      </c>
      <c r="F1801" t="s">
        <v>40</v>
      </c>
      <c r="G1801">
        <v>241.87</v>
      </c>
      <c r="H1801" t="s">
        <v>19</v>
      </c>
      <c r="I1801" t="s">
        <v>15</v>
      </c>
      <c r="J1801">
        <v>3.4</v>
      </c>
      <c r="K1801">
        <v>22</v>
      </c>
      <c r="L1801">
        <f t="shared" si="85"/>
        <v>188.65860000000001</v>
      </c>
      <c r="M1801">
        <v>6</v>
      </c>
      <c r="N1801" t="str">
        <f t="shared" si="86"/>
        <v>Regular</v>
      </c>
    </row>
    <row r="1802" spans="1:14" x14ac:dyDescent="0.35">
      <c r="A1802">
        <v>1801</v>
      </c>
      <c r="B1802">
        <v>28</v>
      </c>
      <c r="C1802" t="str">
        <f t="shared" si="84"/>
        <v>Youth</v>
      </c>
      <c r="D1802" t="s">
        <v>11</v>
      </c>
      <c r="E1802" t="s">
        <v>22</v>
      </c>
      <c r="F1802" t="s">
        <v>52</v>
      </c>
      <c r="G1802">
        <v>117.11</v>
      </c>
      <c r="H1802" t="s">
        <v>19</v>
      </c>
      <c r="I1802" t="s">
        <v>15</v>
      </c>
      <c r="J1802">
        <v>3.2</v>
      </c>
      <c r="K1802">
        <v>13</v>
      </c>
      <c r="L1802">
        <f t="shared" si="85"/>
        <v>101.8857</v>
      </c>
      <c r="M1802">
        <v>4</v>
      </c>
      <c r="N1802" t="str">
        <f t="shared" si="86"/>
        <v>Regular</v>
      </c>
    </row>
    <row r="1803" spans="1:14" x14ac:dyDescent="0.35">
      <c r="A1803">
        <v>1802</v>
      </c>
      <c r="B1803">
        <v>33</v>
      </c>
      <c r="C1803" t="str">
        <f t="shared" si="84"/>
        <v>Adult</v>
      </c>
      <c r="D1803" t="s">
        <v>16</v>
      </c>
      <c r="E1803" t="s">
        <v>22</v>
      </c>
      <c r="F1803" t="s">
        <v>23</v>
      </c>
      <c r="G1803">
        <v>154.72</v>
      </c>
      <c r="H1803" t="s">
        <v>14</v>
      </c>
      <c r="I1803" t="s">
        <v>15</v>
      </c>
      <c r="J1803">
        <v>3.5</v>
      </c>
      <c r="K1803">
        <v>18</v>
      </c>
      <c r="L1803">
        <f t="shared" si="85"/>
        <v>126.8704</v>
      </c>
      <c r="M1803">
        <v>9</v>
      </c>
      <c r="N1803" t="str">
        <f t="shared" si="86"/>
        <v>Loyal</v>
      </c>
    </row>
    <row r="1804" spans="1:14" x14ac:dyDescent="0.35">
      <c r="A1804">
        <v>1803</v>
      </c>
      <c r="B1804">
        <v>23</v>
      </c>
      <c r="C1804" t="str">
        <f t="shared" si="84"/>
        <v>Youth</v>
      </c>
      <c r="D1804" t="s">
        <v>16</v>
      </c>
      <c r="E1804" t="s">
        <v>33</v>
      </c>
      <c r="F1804" t="s">
        <v>40</v>
      </c>
      <c r="G1804">
        <v>168.45</v>
      </c>
      <c r="H1804" t="s">
        <v>31</v>
      </c>
      <c r="I1804" t="s">
        <v>15</v>
      </c>
      <c r="J1804">
        <v>3.8</v>
      </c>
      <c r="K1804">
        <v>20</v>
      </c>
      <c r="L1804">
        <f t="shared" si="85"/>
        <v>134.76</v>
      </c>
      <c r="M1804">
        <v>5</v>
      </c>
      <c r="N1804" t="str">
        <f t="shared" si="86"/>
        <v>Regular</v>
      </c>
    </row>
    <row r="1805" spans="1:14" x14ac:dyDescent="0.35">
      <c r="A1805">
        <v>1804</v>
      </c>
      <c r="B1805">
        <v>60</v>
      </c>
      <c r="C1805" t="str">
        <f t="shared" si="84"/>
        <v>Adult</v>
      </c>
      <c r="D1805" t="s">
        <v>16</v>
      </c>
      <c r="E1805" t="s">
        <v>20</v>
      </c>
      <c r="F1805" t="s">
        <v>39</v>
      </c>
      <c r="G1805">
        <v>202.79</v>
      </c>
      <c r="H1805" t="s">
        <v>31</v>
      </c>
      <c r="I1805" t="s">
        <v>15</v>
      </c>
      <c r="J1805">
        <v>3</v>
      </c>
      <c r="K1805">
        <v>12</v>
      </c>
      <c r="L1805">
        <f t="shared" si="85"/>
        <v>178.45519999999999</v>
      </c>
      <c r="M1805">
        <v>1</v>
      </c>
      <c r="N1805" t="str">
        <f t="shared" si="86"/>
        <v>New</v>
      </c>
    </row>
    <row r="1806" spans="1:14" x14ac:dyDescent="0.35">
      <c r="A1806">
        <v>1805</v>
      </c>
      <c r="B1806">
        <v>66</v>
      </c>
      <c r="C1806" t="str">
        <f t="shared" si="84"/>
        <v>Senior</v>
      </c>
      <c r="D1806" t="s">
        <v>11</v>
      </c>
      <c r="E1806" t="s">
        <v>22</v>
      </c>
      <c r="F1806" t="s">
        <v>23</v>
      </c>
      <c r="G1806">
        <v>194.2</v>
      </c>
      <c r="H1806" t="s">
        <v>19</v>
      </c>
      <c r="I1806" t="s">
        <v>15</v>
      </c>
      <c r="J1806">
        <v>4.7</v>
      </c>
      <c r="K1806">
        <v>23</v>
      </c>
      <c r="L1806">
        <f t="shared" si="85"/>
        <v>149.53399999999999</v>
      </c>
      <c r="M1806">
        <v>9</v>
      </c>
      <c r="N1806" t="str">
        <f t="shared" si="86"/>
        <v>Loyal</v>
      </c>
    </row>
    <row r="1807" spans="1:14" x14ac:dyDescent="0.35">
      <c r="A1807">
        <v>1806</v>
      </c>
      <c r="B1807">
        <v>59</v>
      </c>
      <c r="C1807" t="str">
        <f t="shared" si="84"/>
        <v>Adult</v>
      </c>
      <c r="D1807" t="s">
        <v>11</v>
      </c>
      <c r="E1807" t="s">
        <v>29</v>
      </c>
      <c r="F1807" t="s">
        <v>30</v>
      </c>
      <c r="G1807">
        <v>90.63</v>
      </c>
      <c r="H1807" t="s">
        <v>14</v>
      </c>
      <c r="I1807" t="s">
        <v>15</v>
      </c>
      <c r="J1807">
        <v>4.7</v>
      </c>
      <c r="K1807">
        <v>12</v>
      </c>
      <c r="L1807">
        <f t="shared" si="85"/>
        <v>79.75439999999999</v>
      </c>
      <c r="M1807">
        <v>6</v>
      </c>
      <c r="N1807" t="str">
        <f t="shared" si="86"/>
        <v>Regular</v>
      </c>
    </row>
    <row r="1808" spans="1:14" x14ac:dyDescent="0.35">
      <c r="A1808">
        <v>1807</v>
      </c>
      <c r="B1808">
        <v>53</v>
      </c>
      <c r="C1808" t="str">
        <f t="shared" si="84"/>
        <v>Adult</v>
      </c>
      <c r="D1808" t="s">
        <v>11</v>
      </c>
      <c r="E1808" t="s">
        <v>33</v>
      </c>
      <c r="F1808" t="s">
        <v>34</v>
      </c>
      <c r="G1808">
        <v>243.55</v>
      </c>
      <c r="H1808" t="s">
        <v>24</v>
      </c>
      <c r="I1808" t="s">
        <v>15</v>
      </c>
      <c r="J1808">
        <v>5</v>
      </c>
      <c r="K1808">
        <v>20</v>
      </c>
      <c r="L1808">
        <f t="shared" si="85"/>
        <v>194.84000000000003</v>
      </c>
      <c r="M1808">
        <v>5</v>
      </c>
      <c r="N1808" t="str">
        <f t="shared" si="86"/>
        <v>Regular</v>
      </c>
    </row>
    <row r="1809" spans="1:14" x14ac:dyDescent="0.35">
      <c r="A1809">
        <v>1808</v>
      </c>
      <c r="B1809">
        <v>30</v>
      </c>
      <c r="C1809" t="str">
        <f t="shared" si="84"/>
        <v>Youth</v>
      </c>
      <c r="D1809" t="s">
        <v>16</v>
      </c>
      <c r="E1809" t="s">
        <v>25</v>
      </c>
      <c r="F1809" t="s">
        <v>47</v>
      </c>
      <c r="G1809">
        <v>38.880000000000003</v>
      </c>
      <c r="H1809" t="s">
        <v>14</v>
      </c>
      <c r="I1809" t="s">
        <v>37</v>
      </c>
      <c r="J1809">
        <v>4.0999999999999996</v>
      </c>
      <c r="K1809">
        <v>13</v>
      </c>
      <c r="L1809">
        <f t="shared" si="85"/>
        <v>33.825600000000001</v>
      </c>
      <c r="M1809">
        <v>4</v>
      </c>
      <c r="N1809" t="str">
        <f t="shared" si="86"/>
        <v>Regular</v>
      </c>
    </row>
    <row r="1810" spans="1:14" x14ac:dyDescent="0.35">
      <c r="A1810">
        <v>1809</v>
      </c>
      <c r="B1810">
        <v>32</v>
      </c>
      <c r="C1810" t="str">
        <f t="shared" si="84"/>
        <v>Adult</v>
      </c>
      <c r="D1810" t="s">
        <v>11</v>
      </c>
      <c r="E1810" t="s">
        <v>29</v>
      </c>
      <c r="F1810" t="s">
        <v>55</v>
      </c>
      <c r="G1810">
        <v>105.29</v>
      </c>
      <c r="H1810" t="s">
        <v>19</v>
      </c>
      <c r="I1810" t="s">
        <v>15</v>
      </c>
      <c r="J1810">
        <v>4</v>
      </c>
      <c r="K1810">
        <v>22</v>
      </c>
      <c r="L1810">
        <f t="shared" si="85"/>
        <v>82.126200000000011</v>
      </c>
      <c r="M1810">
        <v>6</v>
      </c>
      <c r="N1810" t="str">
        <f t="shared" si="86"/>
        <v>Regular</v>
      </c>
    </row>
    <row r="1811" spans="1:14" x14ac:dyDescent="0.35">
      <c r="A1811">
        <v>1810</v>
      </c>
      <c r="B1811">
        <v>38</v>
      </c>
      <c r="C1811" t="str">
        <f t="shared" si="84"/>
        <v>Adult</v>
      </c>
      <c r="D1811" t="s">
        <v>16</v>
      </c>
      <c r="E1811" t="s">
        <v>20</v>
      </c>
      <c r="F1811" t="s">
        <v>21</v>
      </c>
      <c r="G1811">
        <v>140.26</v>
      </c>
      <c r="H1811" t="s">
        <v>24</v>
      </c>
      <c r="I1811" t="s">
        <v>15</v>
      </c>
      <c r="J1811">
        <v>3.7</v>
      </c>
      <c r="K1811">
        <v>18</v>
      </c>
      <c r="L1811">
        <f t="shared" si="85"/>
        <v>115.0132</v>
      </c>
      <c r="M1811">
        <v>4</v>
      </c>
      <c r="N1811" t="str">
        <f t="shared" si="86"/>
        <v>Regular</v>
      </c>
    </row>
    <row r="1812" spans="1:14" x14ac:dyDescent="0.35">
      <c r="A1812">
        <v>1811</v>
      </c>
      <c r="B1812">
        <v>45</v>
      </c>
      <c r="C1812" t="str">
        <f t="shared" si="84"/>
        <v>Adult</v>
      </c>
      <c r="D1812" t="s">
        <v>11</v>
      </c>
      <c r="E1812" t="s">
        <v>41</v>
      </c>
      <c r="F1812" t="s">
        <v>42</v>
      </c>
      <c r="G1812">
        <v>50.56</v>
      </c>
      <c r="H1812" t="s">
        <v>14</v>
      </c>
      <c r="I1812" t="s">
        <v>37</v>
      </c>
      <c r="J1812">
        <v>5</v>
      </c>
      <c r="K1812">
        <v>16</v>
      </c>
      <c r="L1812">
        <f t="shared" si="85"/>
        <v>42.470399999999998</v>
      </c>
      <c r="M1812">
        <v>8</v>
      </c>
      <c r="N1812" t="str">
        <f t="shared" si="86"/>
        <v>Loyal</v>
      </c>
    </row>
    <row r="1813" spans="1:14" x14ac:dyDescent="0.35">
      <c r="A1813">
        <v>1812</v>
      </c>
      <c r="B1813">
        <v>53</v>
      </c>
      <c r="C1813" t="str">
        <f t="shared" si="84"/>
        <v>Adult</v>
      </c>
      <c r="D1813" t="s">
        <v>11</v>
      </c>
      <c r="E1813" t="s">
        <v>25</v>
      </c>
      <c r="F1813" t="s">
        <v>54</v>
      </c>
      <c r="G1813">
        <v>40.869999999999997</v>
      </c>
      <c r="H1813" t="s">
        <v>14</v>
      </c>
      <c r="I1813" t="s">
        <v>15</v>
      </c>
      <c r="J1813">
        <v>3.9</v>
      </c>
      <c r="K1813">
        <v>12</v>
      </c>
      <c r="L1813">
        <f t="shared" si="85"/>
        <v>35.965599999999995</v>
      </c>
      <c r="M1813">
        <v>1</v>
      </c>
      <c r="N1813" t="str">
        <f t="shared" si="86"/>
        <v>New</v>
      </c>
    </row>
    <row r="1814" spans="1:14" x14ac:dyDescent="0.35">
      <c r="A1814">
        <v>1813</v>
      </c>
      <c r="B1814">
        <v>62</v>
      </c>
      <c r="C1814" t="str">
        <f t="shared" si="84"/>
        <v>Senior</v>
      </c>
      <c r="D1814" t="s">
        <v>16</v>
      </c>
      <c r="E1814" t="s">
        <v>17</v>
      </c>
      <c r="F1814" t="s">
        <v>18</v>
      </c>
      <c r="G1814">
        <v>88.13</v>
      </c>
      <c r="H1814" t="s">
        <v>31</v>
      </c>
      <c r="I1814" t="s">
        <v>15</v>
      </c>
      <c r="J1814">
        <v>3.1</v>
      </c>
      <c r="K1814">
        <v>28</v>
      </c>
      <c r="L1814">
        <f t="shared" si="85"/>
        <v>63.453599999999994</v>
      </c>
      <c r="M1814">
        <v>9</v>
      </c>
      <c r="N1814" t="str">
        <f t="shared" si="86"/>
        <v>Loyal</v>
      </c>
    </row>
    <row r="1815" spans="1:14" x14ac:dyDescent="0.35">
      <c r="A1815">
        <v>1814</v>
      </c>
      <c r="B1815">
        <v>26</v>
      </c>
      <c r="C1815" t="str">
        <f t="shared" si="84"/>
        <v>Youth</v>
      </c>
      <c r="D1815" t="s">
        <v>16</v>
      </c>
      <c r="E1815" t="s">
        <v>17</v>
      </c>
      <c r="F1815" t="s">
        <v>18</v>
      </c>
      <c r="G1815">
        <v>149.41999999999999</v>
      </c>
      <c r="H1815" t="s">
        <v>24</v>
      </c>
      <c r="I1815" t="s">
        <v>15</v>
      </c>
      <c r="J1815">
        <v>3.9</v>
      </c>
      <c r="K1815">
        <v>25</v>
      </c>
      <c r="L1815">
        <f t="shared" si="85"/>
        <v>112.065</v>
      </c>
      <c r="M1815">
        <v>10</v>
      </c>
      <c r="N1815" t="str">
        <f t="shared" si="86"/>
        <v>Loyal</v>
      </c>
    </row>
    <row r="1816" spans="1:14" x14ac:dyDescent="0.35">
      <c r="A1816">
        <v>1815</v>
      </c>
      <c r="B1816">
        <v>28</v>
      </c>
      <c r="C1816" t="str">
        <f t="shared" si="84"/>
        <v>Youth</v>
      </c>
      <c r="D1816" t="s">
        <v>16</v>
      </c>
      <c r="E1816" t="s">
        <v>33</v>
      </c>
      <c r="F1816" t="s">
        <v>38</v>
      </c>
      <c r="G1816">
        <v>161.21</v>
      </c>
      <c r="H1816" t="s">
        <v>19</v>
      </c>
      <c r="I1816" t="s">
        <v>15</v>
      </c>
      <c r="J1816">
        <v>3.2</v>
      </c>
      <c r="K1816">
        <v>18</v>
      </c>
      <c r="L1816">
        <f t="shared" si="85"/>
        <v>132.19220000000001</v>
      </c>
      <c r="M1816">
        <v>4</v>
      </c>
      <c r="N1816" t="str">
        <f t="shared" si="86"/>
        <v>Regular</v>
      </c>
    </row>
    <row r="1817" spans="1:14" x14ac:dyDescent="0.35">
      <c r="A1817">
        <v>1816</v>
      </c>
      <c r="B1817">
        <v>49</v>
      </c>
      <c r="C1817" t="str">
        <f t="shared" si="84"/>
        <v>Adult</v>
      </c>
      <c r="D1817" t="s">
        <v>11</v>
      </c>
      <c r="E1817" t="s">
        <v>29</v>
      </c>
      <c r="F1817" t="s">
        <v>51</v>
      </c>
      <c r="G1817">
        <v>37.520000000000003</v>
      </c>
      <c r="H1817" t="s">
        <v>31</v>
      </c>
      <c r="I1817" t="s">
        <v>37</v>
      </c>
      <c r="J1817">
        <v>4.5</v>
      </c>
      <c r="K1817">
        <v>6</v>
      </c>
      <c r="L1817">
        <f t="shared" si="85"/>
        <v>35.268799999999999</v>
      </c>
      <c r="M1817">
        <v>3</v>
      </c>
      <c r="N1817" t="str">
        <f t="shared" si="86"/>
        <v>New</v>
      </c>
    </row>
    <row r="1818" spans="1:14" x14ac:dyDescent="0.35">
      <c r="A1818">
        <v>1817</v>
      </c>
      <c r="B1818">
        <v>60</v>
      </c>
      <c r="C1818" t="str">
        <f t="shared" si="84"/>
        <v>Adult</v>
      </c>
      <c r="D1818" t="s">
        <v>16</v>
      </c>
      <c r="E1818" t="s">
        <v>20</v>
      </c>
      <c r="F1818" t="s">
        <v>36</v>
      </c>
      <c r="G1818">
        <v>126.98</v>
      </c>
      <c r="H1818" t="s">
        <v>14</v>
      </c>
      <c r="I1818" t="s">
        <v>15</v>
      </c>
      <c r="J1818">
        <v>5</v>
      </c>
      <c r="K1818">
        <v>22</v>
      </c>
      <c r="L1818">
        <f t="shared" si="85"/>
        <v>99.04440000000001</v>
      </c>
      <c r="M1818">
        <v>6</v>
      </c>
      <c r="N1818" t="str">
        <f t="shared" si="86"/>
        <v>Regular</v>
      </c>
    </row>
    <row r="1819" spans="1:14" x14ac:dyDescent="0.35">
      <c r="A1819">
        <v>1818</v>
      </c>
      <c r="B1819">
        <v>36</v>
      </c>
      <c r="C1819" t="str">
        <f t="shared" si="84"/>
        <v>Adult</v>
      </c>
      <c r="D1819" t="s">
        <v>16</v>
      </c>
      <c r="E1819" t="s">
        <v>33</v>
      </c>
      <c r="F1819" t="s">
        <v>38</v>
      </c>
      <c r="G1819">
        <v>229.83</v>
      </c>
      <c r="H1819" t="s">
        <v>31</v>
      </c>
      <c r="I1819" t="s">
        <v>15</v>
      </c>
      <c r="J1819">
        <v>4.8</v>
      </c>
      <c r="K1819">
        <v>8</v>
      </c>
      <c r="L1819">
        <f t="shared" si="85"/>
        <v>211.44360000000003</v>
      </c>
      <c r="M1819">
        <v>4</v>
      </c>
      <c r="N1819" t="str">
        <f t="shared" si="86"/>
        <v>Regular</v>
      </c>
    </row>
    <row r="1820" spans="1:14" x14ac:dyDescent="0.35">
      <c r="A1820">
        <v>1819</v>
      </c>
      <c r="B1820">
        <v>57</v>
      </c>
      <c r="C1820" t="str">
        <f t="shared" si="84"/>
        <v>Adult</v>
      </c>
      <c r="D1820" t="s">
        <v>11</v>
      </c>
      <c r="E1820" t="s">
        <v>12</v>
      </c>
      <c r="F1820" t="s">
        <v>56</v>
      </c>
      <c r="G1820">
        <v>179.83</v>
      </c>
      <c r="H1820" t="s">
        <v>31</v>
      </c>
      <c r="I1820" t="s">
        <v>15</v>
      </c>
      <c r="J1820">
        <v>2.4</v>
      </c>
      <c r="K1820">
        <v>13</v>
      </c>
      <c r="L1820">
        <f t="shared" si="85"/>
        <v>156.4521</v>
      </c>
      <c r="M1820">
        <v>4</v>
      </c>
      <c r="N1820" t="str">
        <f t="shared" si="86"/>
        <v>Regular</v>
      </c>
    </row>
    <row r="1821" spans="1:14" x14ac:dyDescent="0.35">
      <c r="A1821">
        <v>1820</v>
      </c>
      <c r="B1821">
        <v>21</v>
      </c>
      <c r="C1821" t="str">
        <f t="shared" si="84"/>
        <v>Youth</v>
      </c>
      <c r="D1821" t="s">
        <v>16</v>
      </c>
      <c r="E1821" t="s">
        <v>33</v>
      </c>
      <c r="F1821" t="s">
        <v>40</v>
      </c>
      <c r="G1821">
        <v>231.92</v>
      </c>
      <c r="H1821" t="s">
        <v>24</v>
      </c>
      <c r="I1821" t="s">
        <v>15</v>
      </c>
      <c r="J1821">
        <v>4.7</v>
      </c>
      <c r="K1821">
        <v>26</v>
      </c>
      <c r="L1821">
        <f t="shared" si="85"/>
        <v>171.6208</v>
      </c>
      <c r="M1821">
        <v>8</v>
      </c>
      <c r="N1821" t="str">
        <f t="shared" si="86"/>
        <v>Loyal</v>
      </c>
    </row>
    <row r="1822" spans="1:14" x14ac:dyDescent="0.35">
      <c r="A1822">
        <v>1821</v>
      </c>
      <c r="B1822">
        <v>55</v>
      </c>
      <c r="C1822" t="str">
        <f t="shared" si="84"/>
        <v>Adult</v>
      </c>
      <c r="D1822" t="s">
        <v>11</v>
      </c>
      <c r="E1822" t="s">
        <v>33</v>
      </c>
      <c r="F1822" t="s">
        <v>34</v>
      </c>
      <c r="G1822">
        <v>108.55</v>
      </c>
      <c r="H1822" t="s">
        <v>31</v>
      </c>
      <c r="I1822" t="s">
        <v>15</v>
      </c>
      <c r="J1822">
        <v>4</v>
      </c>
      <c r="K1822">
        <v>12</v>
      </c>
      <c r="L1822">
        <f t="shared" si="85"/>
        <v>95.524000000000001</v>
      </c>
      <c r="M1822">
        <v>1</v>
      </c>
      <c r="N1822" t="str">
        <f t="shared" si="86"/>
        <v>New</v>
      </c>
    </row>
    <row r="1823" spans="1:14" x14ac:dyDescent="0.35">
      <c r="A1823">
        <v>1822</v>
      </c>
      <c r="B1823">
        <v>39</v>
      </c>
      <c r="C1823" t="str">
        <f t="shared" si="84"/>
        <v>Adult</v>
      </c>
      <c r="D1823" t="s">
        <v>16</v>
      </c>
      <c r="E1823" t="s">
        <v>33</v>
      </c>
      <c r="F1823" t="s">
        <v>38</v>
      </c>
      <c r="G1823">
        <v>40.97</v>
      </c>
      <c r="H1823" t="s">
        <v>14</v>
      </c>
      <c r="I1823" t="s">
        <v>15</v>
      </c>
      <c r="J1823">
        <v>3.9</v>
      </c>
      <c r="K1823">
        <v>24</v>
      </c>
      <c r="L1823">
        <f t="shared" si="85"/>
        <v>31.1372</v>
      </c>
      <c r="M1823">
        <v>12</v>
      </c>
      <c r="N1823" t="str">
        <f t="shared" si="86"/>
        <v>Loyal</v>
      </c>
    </row>
    <row r="1824" spans="1:14" x14ac:dyDescent="0.35">
      <c r="A1824">
        <v>1823</v>
      </c>
      <c r="B1824">
        <v>35</v>
      </c>
      <c r="C1824" t="str">
        <f t="shared" si="84"/>
        <v>Adult</v>
      </c>
      <c r="D1824" t="s">
        <v>11</v>
      </c>
      <c r="E1824" t="s">
        <v>29</v>
      </c>
      <c r="F1824" t="s">
        <v>51</v>
      </c>
      <c r="G1824">
        <v>72.38</v>
      </c>
      <c r="H1824" t="s">
        <v>14</v>
      </c>
      <c r="I1824" t="s">
        <v>15</v>
      </c>
      <c r="J1824">
        <v>4.2</v>
      </c>
      <c r="K1824">
        <v>18</v>
      </c>
      <c r="L1824">
        <f t="shared" si="85"/>
        <v>59.351599999999998</v>
      </c>
      <c r="M1824">
        <v>9</v>
      </c>
      <c r="N1824" t="str">
        <f t="shared" si="86"/>
        <v>Loyal</v>
      </c>
    </row>
    <row r="1825" spans="1:14" x14ac:dyDescent="0.35">
      <c r="A1825">
        <v>1824</v>
      </c>
      <c r="B1825">
        <v>54</v>
      </c>
      <c r="C1825" t="str">
        <f t="shared" si="84"/>
        <v>Adult</v>
      </c>
      <c r="D1825" t="s">
        <v>16</v>
      </c>
      <c r="E1825" t="s">
        <v>17</v>
      </c>
      <c r="F1825" t="s">
        <v>42</v>
      </c>
      <c r="G1825">
        <v>77.650000000000006</v>
      </c>
      <c r="H1825" t="s">
        <v>19</v>
      </c>
      <c r="I1825" t="s">
        <v>15</v>
      </c>
      <c r="J1825">
        <v>2.7</v>
      </c>
      <c r="K1825">
        <v>15</v>
      </c>
      <c r="L1825">
        <f t="shared" si="85"/>
        <v>66.002499999999998</v>
      </c>
      <c r="M1825">
        <v>5</v>
      </c>
      <c r="N1825" t="str">
        <f t="shared" si="86"/>
        <v>Regular</v>
      </c>
    </row>
    <row r="1826" spans="1:14" x14ac:dyDescent="0.35">
      <c r="A1826">
        <v>1825</v>
      </c>
      <c r="B1826">
        <v>34</v>
      </c>
      <c r="C1826" t="str">
        <f t="shared" si="84"/>
        <v>Adult</v>
      </c>
      <c r="D1826" t="s">
        <v>11</v>
      </c>
      <c r="E1826" t="s">
        <v>29</v>
      </c>
      <c r="F1826" t="s">
        <v>30</v>
      </c>
      <c r="G1826">
        <v>63.86</v>
      </c>
      <c r="H1826" t="s">
        <v>19</v>
      </c>
      <c r="I1826" t="s">
        <v>37</v>
      </c>
      <c r="J1826">
        <v>2.5</v>
      </c>
      <c r="K1826">
        <v>13</v>
      </c>
      <c r="L1826">
        <f t="shared" si="85"/>
        <v>55.558199999999999</v>
      </c>
      <c r="M1826">
        <v>4</v>
      </c>
      <c r="N1826" t="str">
        <f t="shared" si="86"/>
        <v>Regular</v>
      </c>
    </row>
    <row r="1827" spans="1:14" x14ac:dyDescent="0.35">
      <c r="A1827">
        <v>1826</v>
      </c>
      <c r="B1827">
        <v>61</v>
      </c>
      <c r="C1827" t="str">
        <f t="shared" si="84"/>
        <v>Senior</v>
      </c>
      <c r="D1827" t="s">
        <v>16</v>
      </c>
      <c r="E1827" t="s">
        <v>25</v>
      </c>
      <c r="F1827" t="s">
        <v>57</v>
      </c>
      <c r="G1827">
        <v>75.86</v>
      </c>
      <c r="H1827" t="s">
        <v>14</v>
      </c>
      <c r="I1827" t="s">
        <v>15</v>
      </c>
      <c r="J1827">
        <v>4</v>
      </c>
      <c r="K1827">
        <v>10</v>
      </c>
      <c r="L1827">
        <f t="shared" si="85"/>
        <v>68.274000000000001</v>
      </c>
      <c r="M1827">
        <v>5</v>
      </c>
      <c r="N1827" t="str">
        <f t="shared" si="86"/>
        <v>Regular</v>
      </c>
    </row>
    <row r="1828" spans="1:14" x14ac:dyDescent="0.35">
      <c r="A1828">
        <v>1827</v>
      </c>
      <c r="B1828">
        <v>42</v>
      </c>
      <c r="C1828" t="str">
        <f t="shared" si="84"/>
        <v>Adult</v>
      </c>
      <c r="D1828" t="s">
        <v>11</v>
      </c>
      <c r="E1828" t="s">
        <v>12</v>
      </c>
      <c r="F1828" t="s">
        <v>50</v>
      </c>
      <c r="G1828">
        <v>37.67</v>
      </c>
      <c r="H1828" t="s">
        <v>14</v>
      </c>
      <c r="I1828" t="s">
        <v>15</v>
      </c>
      <c r="J1828">
        <v>3.2</v>
      </c>
      <c r="K1828">
        <v>26</v>
      </c>
      <c r="L1828">
        <f t="shared" si="85"/>
        <v>27.875800000000002</v>
      </c>
      <c r="M1828">
        <v>8</v>
      </c>
      <c r="N1828" t="str">
        <f t="shared" si="86"/>
        <v>Loyal</v>
      </c>
    </row>
    <row r="1829" spans="1:14" x14ac:dyDescent="0.35">
      <c r="A1829">
        <v>1828</v>
      </c>
      <c r="B1829">
        <v>28</v>
      </c>
      <c r="C1829" t="str">
        <f t="shared" si="84"/>
        <v>Youth</v>
      </c>
      <c r="D1829" t="s">
        <v>11</v>
      </c>
      <c r="E1829" t="s">
        <v>12</v>
      </c>
      <c r="F1829" t="s">
        <v>13</v>
      </c>
      <c r="G1829">
        <v>120.28</v>
      </c>
      <c r="H1829" t="s">
        <v>24</v>
      </c>
      <c r="I1829" t="s">
        <v>15</v>
      </c>
      <c r="J1829">
        <v>3.5</v>
      </c>
      <c r="K1829">
        <v>13</v>
      </c>
      <c r="L1829">
        <f t="shared" si="85"/>
        <v>104.64360000000001</v>
      </c>
      <c r="M1829">
        <v>4</v>
      </c>
      <c r="N1829" t="str">
        <f t="shared" si="86"/>
        <v>Regular</v>
      </c>
    </row>
    <row r="1830" spans="1:14" x14ac:dyDescent="0.35">
      <c r="A1830">
        <v>1829</v>
      </c>
      <c r="B1830">
        <v>30</v>
      </c>
      <c r="C1830" t="str">
        <f t="shared" si="84"/>
        <v>Youth</v>
      </c>
      <c r="D1830" t="s">
        <v>16</v>
      </c>
      <c r="E1830" t="s">
        <v>25</v>
      </c>
      <c r="F1830" t="s">
        <v>26</v>
      </c>
      <c r="G1830">
        <v>38.97</v>
      </c>
      <c r="H1830" t="s">
        <v>19</v>
      </c>
      <c r="I1830" t="s">
        <v>15</v>
      </c>
      <c r="J1830">
        <v>3.6</v>
      </c>
      <c r="K1830">
        <v>6</v>
      </c>
      <c r="L1830">
        <f t="shared" si="85"/>
        <v>36.631799999999998</v>
      </c>
      <c r="M1830">
        <v>3</v>
      </c>
      <c r="N1830" t="str">
        <f t="shared" si="86"/>
        <v>New</v>
      </c>
    </row>
    <row r="1831" spans="1:14" x14ac:dyDescent="0.35">
      <c r="A1831">
        <v>1830</v>
      </c>
      <c r="B1831">
        <v>32</v>
      </c>
      <c r="C1831" t="str">
        <f t="shared" si="84"/>
        <v>Adult</v>
      </c>
      <c r="D1831" t="s">
        <v>11</v>
      </c>
      <c r="E1831" t="s">
        <v>20</v>
      </c>
      <c r="F1831" t="s">
        <v>39</v>
      </c>
      <c r="G1831">
        <v>140.66</v>
      </c>
      <c r="H1831" t="s">
        <v>24</v>
      </c>
      <c r="I1831" t="s">
        <v>15</v>
      </c>
      <c r="J1831">
        <v>3</v>
      </c>
      <c r="K1831">
        <v>12</v>
      </c>
      <c r="L1831">
        <f t="shared" si="85"/>
        <v>123.7808</v>
      </c>
      <c r="M1831">
        <v>6</v>
      </c>
      <c r="N1831" t="str">
        <f t="shared" si="86"/>
        <v>Regular</v>
      </c>
    </row>
    <row r="1832" spans="1:14" x14ac:dyDescent="0.35">
      <c r="A1832">
        <v>1831</v>
      </c>
      <c r="B1832">
        <v>63</v>
      </c>
      <c r="C1832" t="str">
        <f t="shared" si="84"/>
        <v>Senior</v>
      </c>
      <c r="D1832" t="s">
        <v>11</v>
      </c>
      <c r="E1832" t="s">
        <v>20</v>
      </c>
      <c r="F1832" t="s">
        <v>39</v>
      </c>
      <c r="G1832">
        <v>229.74</v>
      </c>
      <c r="H1832" t="s">
        <v>14</v>
      </c>
      <c r="I1832" t="s">
        <v>15</v>
      </c>
      <c r="J1832">
        <v>4.4000000000000004</v>
      </c>
      <c r="K1832">
        <v>17</v>
      </c>
      <c r="L1832">
        <f t="shared" si="85"/>
        <v>190.6842</v>
      </c>
      <c r="M1832">
        <v>6</v>
      </c>
      <c r="N1832" t="str">
        <f t="shared" si="86"/>
        <v>Regular</v>
      </c>
    </row>
    <row r="1833" spans="1:14" x14ac:dyDescent="0.35">
      <c r="A1833">
        <v>1832</v>
      </c>
      <c r="B1833">
        <v>27</v>
      </c>
      <c r="C1833" t="str">
        <f t="shared" si="84"/>
        <v>Youth</v>
      </c>
      <c r="D1833" t="s">
        <v>11</v>
      </c>
      <c r="E1833" t="s">
        <v>22</v>
      </c>
      <c r="F1833" t="s">
        <v>43</v>
      </c>
      <c r="G1833">
        <v>191.41</v>
      </c>
      <c r="H1833" t="s">
        <v>19</v>
      </c>
      <c r="I1833" t="s">
        <v>15</v>
      </c>
      <c r="J1833">
        <v>4.5</v>
      </c>
      <c r="K1833">
        <v>6</v>
      </c>
      <c r="L1833">
        <f t="shared" si="85"/>
        <v>179.9254</v>
      </c>
      <c r="M1833">
        <v>3</v>
      </c>
      <c r="N1833" t="str">
        <f t="shared" si="86"/>
        <v>New</v>
      </c>
    </row>
    <row r="1834" spans="1:14" x14ac:dyDescent="0.35">
      <c r="A1834">
        <v>1833</v>
      </c>
      <c r="B1834">
        <v>37</v>
      </c>
      <c r="C1834" t="str">
        <f t="shared" si="84"/>
        <v>Adult</v>
      </c>
      <c r="D1834" t="s">
        <v>16</v>
      </c>
      <c r="E1834" t="s">
        <v>20</v>
      </c>
      <c r="F1834" t="s">
        <v>21</v>
      </c>
      <c r="G1834">
        <v>165.73</v>
      </c>
      <c r="H1834" t="s">
        <v>14</v>
      </c>
      <c r="I1834" t="s">
        <v>15</v>
      </c>
      <c r="J1834">
        <v>3.5</v>
      </c>
      <c r="K1834">
        <v>6</v>
      </c>
      <c r="L1834">
        <f t="shared" si="85"/>
        <v>155.78619999999998</v>
      </c>
      <c r="M1834">
        <v>3</v>
      </c>
      <c r="N1834" t="str">
        <f t="shared" si="86"/>
        <v>New</v>
      </c>
    </row>
    <row r="1835" spans="1:14" x14ac:dyDescent="0.35">
      <c r="A1835">
        <v>1834</v>
      </c>
      <c r="B1835">
        <v>54</v>
      </c>
      <c r="C1835" t="str">
        <f t="shared" si="84"/>
        <v>Adult</v>
      </c>
      <c r="D1835" t="s">
        <v>16</v>
      </c>
      <c r="E1835" t="s">
        <v>27</v>
      </c>
      <c r="F1835" t="s">
        <v>28</v>
      </c>
      <c r="G1835">
        <v>2817.12</v>
      </c>
      <c r="H1835" t="s">
        <v>24</v>
      </c>
      <c r="I1835" t="s">
        <v>15</v>
      </c>
      <c r="J1835">
        <v>4</v>
      </c>
      <c r="K1835">
        <v>18</v>
      </c>
      <c r="L1835">
        <f t="shared" si="85"/>
        <v>2310.0383999999999</v>
      </c>
      <c r="M1835">
        <v>4</v>
      </c>
      <c r="N1835" t="str">
        <f t="shared" si="86"/>
        <v>Regular</v>
      </c>
    </row>
    <row r="1836" spans="1:14" x14ac:dyDescent="0.35">
      <c r="A1836">
        <v>1835</v>
      </c>
      <c r="B1836">
        <v>34</v>
      </c>
      <c r="C1836" t="str">
        <f t="shared" si="84"/>
        <v>Adult</v>
      </c>
      <c r="D1836" t="s">
        <v>16</v>
      </c>
      <c r="E1836" t="s">
        <v>33</v>
      </c>
      <c r="F1836" t="s">
        <v>34</v>
      </c>
      <c r="G1836">
        <v>243.34</v>
      </c>
      <c r="H1836" t="s">
        <v>24</v>
      </c>
      <c r="I1836" t="s">
        <v>15</v>
      </c>
      <c r="J1836">
        <v>3.5</v>
      </c>
      <c r="K1836">
        <v>11</v>
      </c>
      <c r="L1836">
        <f t="shared" si="85"/>
        <v>216.57259999999999</v>
      </c>
      <c r="M1836">
        <v>3</v>
      </c>
      <c r="N1836" t="str">
        <f t="shared" si="86"/>
        <v>New</v>
      </c>
    </row>
    <row r="1837" spans="1:14" x14ac:dyDescent="0.35">
      <c r="A1837">
        <v>1836</v>
      </c>
      <c r="B1837">
        <v>56</v>
      </c>
      <c r="C1837" t="str">
        <f t="shared" si="84"/>
        <v>Adult</v>
      </c>
      <c r="D1837" t="s">
        <v>16</v>
      </c>
      <c r="E1837" t="s">
        <v>27</v>
      </c>
      <c r="F1837" t="s">
        <v>32</v>
      </c>
      <c r="G1837">
        <v>1574.28</v>
      </c>
      <c r="H1837" t="s">
        <v>19</v>
      </c>
      <c r="I1837" t="s">
        <v>15</v>
      </c>
      <c r="J1837">
        <v>3.3</v>
      </c>
      <c r="K1837">
        <v>13</v>
      </c>
      <c r="L1837">
        <f t="shared" si="85"/>
        <v>1369.6235999999999</v>
      </c>
      <c r="M1837">
        <v>4</v>
      </c>
      <c r="N1837" t="str">
        <f t="shared" si="86"/>
        <v>Regular</v>
      </c>
    </row>
    <row r="1838" spans="1:14" x14ac:dyDescent="0.35">
      <c r="A1838">
        <v>1837</v>
      </c>
      <c r="B1838">
        <v>28</v>
      </c>
      <c r="C1838" t="str">
        <f t="shared" si="84"/>
        <v>Youth</v>
      </c>
      <c r="D1838" t="s">
        <v>11</v>
      </c>
      <c r="E1838" t="s">
        <v>12</v>
      </c>
      <c r="F1838" t="s">
        <v>13</v>
      </c>
      <c r="G1838">
        <v>142.54</v>
      </c>
      <c r="H1838" t="s">
        <v>31</v>
      </c>
      <c r="I1838" t="s">
        <v>15</v>
      </c>
      <c r="J1838">
        <v>4.7</v>
      </c>
      <c r="K1838">
        <v>20</v>
      </c>
      <c r="L1838">
        <f t="shared" si="85"/>
        <v>114.032</v>
      </c>
      <c r="M1838">
        <v>10</v>
      </c>
      <c r="N1838" t="str">
        <f t="shared" si="86"/>
        <v>Loyal</v>
      </c>
    </row>
    <row r="1839" spans="1:14" x14ac:dyDescent="0.35">
      <c r="A1839">
        <v>1838</v>
      </c>
      <c r="B1839">
        <v>26</v>
      </c>
      <c r="C1839" t="str">
        <f t="shared" si="84"/>
        <v>Youth</v>
      </c>
      <c r="D1839" t="s">
        <v>16</v>
      </c>
      <c r="E1839" t="s">
        <v>20</v>
      </c>
      <c r="F1839" t="s">
        <v>21</v>
      </c>
      <c r="G1839">
        <v>138.28</v>
      </c>
      <c r="H1839" t="s">
        <v>14</v>
      </c>
      <c r="I1839" t="s">
        <v>15</v>
      </c>
      <c r="J1839">
        <v>4</v>
      </c>
      <c r="K1839">
        <v>15</v>
      </c>
      <c r="L1839">
        <f t="shared" si="85"/>
        <v>117.538</v>
      </c>
      <c r="M1839">
        <v>5</v>
      </c>
      <c r="N1839" t="str">
        <f t="shared" si="86"/>
        <v>Regular</v>
      </c>
    </row>
    <row r="1840" spans="1:14" x14ac:dyDescent="0.35">
      <c r="A1840">
        <v>1839</v>
      </c>
      <c r="B1840">
        <v>64</v>
      </c>
      <c r="C1840" t="str">
        <f t="shared" si="84"/>
        <v>Senior</v>
      </c>
      <c r="D1840" t="s">
        <v>11</v>
      </c>
      <c r="E1840" t="s">
        <v>41</v>
      </c>
      <c r="F1840" t="s">
        <v>45</v>
      </c>
      <c r="G1840">
        <v>82.07</v>
      </c>
      <c r="H1840" t="s">
        <v>24</v>
      </c>
      <c r="I1840" t="s">
        <v>15</v>
      </c>
      <c r="J1840">
        <v>4.4000000000000004</v>
      </c>
      <c r="K1840">
        <v>9</v>
      </c>
      <c r="L1840">
        <f t="shared" si="85"/>
        <v>74.683700000000002</v>
      </c>
      <c r="M1840">
        <v>2</v>
      </c>
      <c r="N1840" t="str">
        <f t="shared" si="86"/>
        <v>New</v>
      </c>
    </row>
    <row r="1841" spans="1:14" x14ac:dyDescent="0.35">
      <c r="A1841">
        <v>1840</v>
      </c>
      <c r="B1841">
        <v>64</v>
      </c>
      <c r="C1841" t="str">
        <f t="shared" si="84"/>
        <v>Senior</v>
      </c>
      <c r="D1841" t="s">
        <v>11</v>
      </c>
      <c r="E1841" t="s">
        <v>12</v>
      </c>
      <c r="F1841" t="s">
        <v>56</v>
      </c>
      <c r="G1841">
        <v>137.63999999999999</v>
      </c>
      <c r="H1841" t="s">
        <v>24</v>
      </c>
      <c r="I1841" t="s">
        <v>15</v>
      </c>
      <c r="J1841">
        <v>2.9</v>
      </c>
      <c r="K1841">
        <v>24</v>
      </c>
      <c r="L1841">
        <f t="shared" si="85"/>
        <v>104.60639999999999</v>
      </c>
      <c r="M1841">
        <v>7</v>
      </c>
      <c r="N1841" t="str">
        <f t="shared" si="86"/>
        <v>Regular</v>
      </c>
    </row>
    <row r="1842" spans="1:14" x14ac:dyDescent="0.35">
      <c r="A1842">
        <v>1841</v>
      </c>
      <c r="B1842">
        <v>64</v>
      </c>
      <c r="C1842" t="str">
        <f t="shared" si="84"/>
        <v>Senior</v>
      </c>
      <c r="D1842" t="s">
        <v>11</v>
      </c>
      <c r="E1842" t="s">
        <v>12</v>
      </c>
      <c r="F1842" t="s">
        <v>50</v>
      </c>
      <c r="G1842">
        <v>69.56</v>
      </c>
      <c r="H1842" t="s">
        <v>24</v>
      </c>
      <c r="I1842" t="s">
        <v>37</v>
      </c>
      <c r="J1842">
        <v>3.2</v>
      </c>
      <c r="K1842">
        <v>23</v>
      </c>
      <c r="L1842">
        <f t="shared" si="85"/>
        <v>53.561199999999999</v>
      </c>
      <c r="M1842">
        <v>9</v>
      </c>
      <c r="N1842" t="str">
        <f t="shared" si="86"/>
        <v>Loyal</v>
      </c>
    </row>
    <row r="1843" spans="1:14" x14ac:dyDescent="0.35">
      <c r="A1843">
        <v>1842</v>
      </c>
      <c r="B1843">
        <v>40</v>
      </c>
      <c r="C1843" t="str">
        <f t="shared" si="84"/>
        <v>Adult</v>
      </c>
      <c r="D1843" t="s">
        <v>16</v>
      </c>
      <c r="E1843" t="s">
        <v>17</v>
      </c>
      <c r="F1843" t="s">
        <v>48</v>
      </c>
      <c r="G1843">
        <v>119.18</v>
      </c>
      <c r="H1843" t="s">
        <v>31</v>
      </c>
      <c r="I1843" t="s">
        <v>15</v>
      </c>
      <c r="J1843">
        <v>4</v>
      </c>
      <c r="K1843">
        <v>24</v>
      </c>
      <c r="L1843">
        <f t="shared" si="85"/>
        <v>90.576800000000006</v>
      </c>
      <c r="M1843">
        <v>7</v>
      </c>
      <c r="N1843" t="str">
        <f t="shared" si="86"/>
        <v>Regular</v>
      </c>
    </row>
    <row r="1844" spans="1:14" x14ac:dyDescent="0.35">
      <c r="A1844">
        <v>1843</v>
      </c>
      <c r="B1844">
        <v>28</v>
      </c>
      <c r="C1844" t="str">
        <f t="shared" si="84"/>
        <v>Youth</v>
      </c>
      <c r="D1844" t="s">
        <v>16</v>
      </c>
      <c r="E1844" t="s">
        <v>20</v>
      </c>
      <c r="F1844" t="s">
        <v>39</v>
      </c>
      <c r="G1844">
        <v>197.53</v>
      </c>
      <c r="H1844" t="s">
        <v>24</v>
      </c>
      <c r="I1844" t="s">
        <v>15</v>
      </c>
      <c r="J1844">
        <v>4.0999999999999996</v>
      </c>
      <c r="K1844">
        <v>22</v>
      </c>
      <c r="L1844">
        <f t="shared" si="85"/>
        <v>154.07339999999999</v>
      </c>
      <c r="M1844">
        <v>6</v>
      </c>
      <c r="N1844" t="str">
        <f t="shared" si="86"/>
        <v>Regular</v>
      </c>
    </row>
    <row r="1845" spans="1:14" x14ac:dyDescent="0.35">
      <c r="A1845">
        <v>1844</v>
      </c>
      <c r="B1845">
        <v>63</v>
      </c>
      <c r="C1845" t="str">
        <f t="shared" si="84"/>
        <v>Senior</v>
      </c>
      <c r="D1845" t="s">
        <v>11</v>
      </c>
      <c r="E1845" t="s">
        <v>33</v>
      </c>
      <c r="F1845" t="s">
        <v>38</v>
      </c>
      <c r="G1845">
        <v>183.93</v>
      </c>
      <c r="H1845" t="s">
        <v>14</v>
      </c>
      <c r="I1845" t="s">
        <v>15</v>
      </c>
      <c r="J1845">
        <v>4.7</v>
      </c>
      <c r="K1845">
        <v>22</v>
      </c>
      <c r="L1845">
        <f t="shared" si="85"/>
        <v>143.46540000000002</v>
      </c>
      <c r="M1845">
        <v>6</v>
      </c>
      <c r="N1845" t="str">
        <f t="shared" si="86"/>
        <v>Regular</v>
      </c>
    </row>
    <row r="1846" spans="1:14" x14ac:dyDescent="0.35">
      <c r="A1846">
        <v>1845</v>
      </c>
      <c r="B1846">
        <v>54</v>
      </c>
      <c r="C1846" t="str">
        <f t="shared" si="84"/>
        <v>Adult</v>
      </c>
      <c r="D1846" t="s">
        <v>16</v>
      </c>
      <c r="E1846" t="s">
        <v>27</v>
      </c>
      <c r="F1846" t="s">
        <v>28</v>
      </c>
      <c r="G1846">
        <v>1324.31</v>
      </c>
      <c r="H1846" t="s">
        <v>31</v>
      </c>
      <c r="I1846" t="s">
        <v>15</v>
      </c>
      <c r="J1846">
        <v>3.5</v>
      </c>
      <c r="K1846">
        <v>18</v>
      </c>
      <c r="L1846">
        <f t="shared" si="85"/>
        <v>1085.9342000000001</v>
      </c>
      <c r="M1846">
        <v>4</v>
      </c>
      <c r="N1846" t="str">
        <f t="shared" si="86"/>
        <v>Regular</v>
      </c>
    </row>
    <row r="1847" spans="1:14" x14ac:dyDescent="0.35">
      <c r="A1847">
        <v>1846</v>
      </c>
      <c r="B1847">
        <v>57</v>
      </c>
      <c r="C1847" t="str">
        <f t="shared" si="84"/>
        <v>Adult</v>
      </c>
      <c r="D1847" t="s">
        <v>16</v>
      </c>
      <c r="E1847" t="s">
        <v>33</v>
      </c>
      <c r="F1847" t="s">
        <v>38</v>
      </c>
      <c r="G1847">
        <v>192.19</v>
      </c>
      <c r="H1847" t="s">
        <v>14</v>
      </c>
      <c r="I1847" t="s">
        <v>15</v>
      </c>
      <c r="J1847">
        <v>3.8</v>
      </c>
      <c r="K1847">
        <v>8</v>
      </c>
      <c r="L1847">
        <f t="shared" si="85"/>
        <v>176.81480000000002</v>
      </c>
      <c r="M1847">
        <v>4</v>
      </c>
      <c r="N1847" t="str">
        <f t="shared" si="86"/>
        <v>Regular</v>
      </c>
    </row>
    <row r="1848" spans="1:14" x14ac:dyDescent="0.35">
      <c r="A1848">
        <v>1847</v>
      </c>
      <c r="B1848">
        <v>34</v>
      </c>
      <c r="C1848" t="str">
        <f t="shared" si="84"/>
        <v>Adult</v>
      </c>
      <c r="D1848" t="s">
        <v>16</v>
      </c>
      <c r="E1848" t="s">
        <v>20</v>
      </c>
      <c r="F1848" t="s">
        <v>39</v>
      </c>
      <c r="G1848">
        <v>111.77</v>
      </c>
      <c r="H1848" t="s">
        <v>19</v>
      </c>
      <c r="I1848" t="s">
        <v>15</v>
      </c>
      <c r="J1848">
        <v>4.5999999999999996</v>
      </c>
      <c r="K1848">
        <v>12</v>
      </c>
      <c r="L1848">
        <f t="shared" si="85"/>
        <v>98.357599999999991</v>
      </c>
      <c r="M1848">
        <v>1</v>
      </c>
      <c r="N1848" t="str">
        <f t="shared" si="86"/>
        <v>New</v>
      </c>
    </row>
    <row r="1849" spans="1:14" x14ac:dyDescent="0.35">
      <c r="A1849">
        <v>1848</v>
      </c>
      <c r="B1849">
        <v>52</v>
      </c>
      <c r="C1849" t="str">
        <f t="shared" si="84"/>
        <v>Adult</v>
      </c>
      <c r="D1849" t="s">
        <v>16</v>
      </c>
      <c r="E1849" t="s">
        <v>20</v>
      </c>
      <c r="F1849" t="s">
        <v>21</v>
      </c>
      <c r="G1849">
        <v>105.58</v>
      </c>
      <c r="H1849" t="s">
        <v>31</v>
      </c>
      <c r="I1849" t="s">
        <v>15</v>
      </c>
      <c r="J1849">
        <v>3.2</v>
      </c>
      <c r="K1849">
        <v>17</v>
      </c>
      <c r="L1849">
        <f t="shared" si="85"/>
        <v>87.631399999999999</v>
      </c>
      <c r="M1849">
        <v>6</v>
      </c>
      <c r="N1849" t="str">
        <f t="shared" si="86"/>
        <v>Regular</v>
      </c>
    </row>
    <row r="1850" spans="1:14" x14ac:dyDescent="0.35">
      <c r="A1850">
        <v>1849</v>
      </c>
      <c r="B1850">
        <v>44</v>
      </c>
      <c r="C1850" t="str">
        <f t="shared" si="84"/>
        <v>Adult</v>
      </c>
      <c r="D1850" t="s">
        <v>11</v>
      </c>
      <c r="E1850" t="s">
        <v>29</v>
      </c>
      <c r="F1850" t="s">
        <v>30</v>
      </c>
      <c r="G1850">
        <v>57.25</v>
      </c>
      <c r="H1850" t="s">
        <v>31</v>
      </c>
      <c r="I1850" t="s">
        <v>37</v>
      </c>
      <c r="J1850">
        <v>3.3</v>
      </c>
      <c r="K1850">
        <v>10</v>
      </c>
      <c r="L1850">
        <f t="shared" si="85"/>
        <v>51.524999999999999</v>
      </c>
      <c r="M1850">
        <v>5</v>
      </c>
      <c r="N1850" t="str">
        <f t="shared" si="86"/>
        <v>Regular</v>
      </c>
    </row>
    <row r="1851" spans="1:14" x14ac:dyDescent="0.35">
      <c r="A1851">
        <v>1850</v>
      </c>
      <c r="B1851">
        <v>43</v>
      </c>
      <c r="C1851" t="str">
        <f t="shared" si="84"/>
        <v>Adult</v>
      </c>
      <c r="D1851" t="s">
        <v>11</v>
      </c>
      <c r="E1851" t="s">
        <v>29</v>
      </c>
      <c r="F1851" t="s">
        <v>51</v>
      </c>
      <c r="G1851">
        <v>146.27000000000001</v>
      </c>
      <c r="H1851" t="s">
        <v>24</v>
      </c>
      <c r="I1851" t="s">
        <v>15</v>
      </c>
      <c r="J1851">
        <v>3.1</v>
      </c>
      <c r="K1851">
        <v>18</v>
      </c>
      <c r="L1851">
        <f t="shared" si="85"/>
        <v>119.94140000000002</v>
      </c>
      <c r="M1851">
        <v>4</v>
      </c>
      <c r="N1851" t="str">
        <f t="shared" si="86"/>
        <v>Regular</v>
      </c>
    </row>
    <row r="1852" spans="1:14" x14ac:dyDescent="0.35">
      <c r="A1852">
        <v>1851</v>
      </c>
      <c r="B1852">
        <v>63</v>
      </c>
      <c r="C1852" t="str">
        <f t="shared" si="84"/>
        <v>Senior</v>
      </c>
      <c r="D1852" t="s">
        <v>11</v>
      </c>
      <c r="E1852" t="s">
        <v>12</v>
      </c>
      <c r="F1852" t="s">
        <v>56</v>
      </c>
      <c r="G1852">
        <v>137.27000000000001</v>
      </c>
      <c r="H1852" t="s">
        <v>24</v>
      </c>
      <c r="I1852" t="s">
        <v>15</v>
      </c>
      <c r="J1852">
        <v>4.4000000000000004</v>
      </c>
      <c r="K1852">
        <v>6</v>
      </c>
      <c r="L1852">
        <f t="shared" si="85"/>
        <v>129.03380000000001</v>
      </c>
      <c r="M1852">
        <v>3</v>
      </c>
      <c r="N1852" t="str">
        <f t="shared" si="86"/>
        <v>New</v>
      </c>
    </row>
    <row r="1853" spans="1:14" x14ac:dyDescent="0.35">
      <c r="A1853">
        <v>1852</v>
      </c>
      <c r="B1853">
        <v>37</v>
      </c>
      <c r="C1853" t="str">
        <f t="shared" si="84"/>
        <v>Adult</v>
      </c>
      <c r="D1853" t="s">
        <v>16</v>
      </c>
      <c r="E1853" t="s">
        <v>17</v>
      </c>
      <c r="F1853" t="s">
        <v>42</v>
      </c>
      <c r="G1853">
        <v>79.69</v>
      </c>
      <c r="H1853" t="s">
        <v>14</v>
      </c>
      <c r="I1853" t="s">
        <v>37</v>
      </c>
      <c r="J1853">
        <v>4.3</v>
      </c>
      <c r="K1853">
        <v>4</v>
      </c>
      <c r="L1853">
        <f t="shared" si="85"/>
        <v>76.502399999999994</v>
      </c>
      <c r="M1853">
        <v>2</v>
      </c>
      <c r="N1853" t="str">
        <f t="shared" si="86"/>
        <v>New</v>
      </c>
    </row>
    <row r="1854" spans="1:14" x14ac:dyDescent="0.35">
      <c r="A1854">
        <v>1853</v>
      </c>
      <c r="B1854">
        <v>48</v>
      </c>
      <c r="C1854" t="str">
        <f t="shared" si="84"/>
        <v>Adult</v>
      </c>
      <c r="D1854" t="s">
        <v>11</v>
      </c>
      <c r="E1854" t="s">
        <v>29</v>
      </c>
      <c r="F1854" t="s">
        <v>51</v>
      </c>
      <c r="G1854">
        <v>29.31</v>
      </c>
      <c r="H1854" t="s">
        <v>24</v>
      </c>
      <c r="I1854" t="s">
        <v>15</v>
      </c>
      <c r="J1854">
        <v>4.9000000000000004</v>
      </c>
      <c r="K1854">
        <v>18</v>
      </c>
      <c r="L1854">
        <f t="shared" si="85"/>
        <v>24.034200000000002</v>
      </c>
      <c r="M1854">
        <v>4</v>
      </c>
      <c r="N1854" t="str">
        <f t="shared" si="86"/>
        <v>Regular</v>
      </c>
    </row>
    <row r="1855" spans="1:14" x14ac:dyDescent="0.35">
      <c r="A1855">
        <v>1854</v>
      </c>
      <c r="B1855">
        <v>47</v>
      </c>
      <c r="C1855" t="str">
        <f t="shared" si="84"/>
        <v>Adult</v>
      </c>
      <c r="D1855" t="s">
        <v>16</v>
      </c>
      <c r="E1855" t="s">
        <v>17</v>
      </c>
      <c r="F1855" t="s">
        <v>48</v>
      </c>
      <c r="G1855">
        <v>110.78</v>
      </c>
      <c r="H1855" t="s">
        <v>19</v>
      </c>
      <c r="I1855" t="s">
        <v>15</v>
      </c>
      <c r="J1855">
        <v>3.9</v>
      </c>
      <c r="K1855">
        <v>10</v>
      </c>
      <c r="L1855">
        <f t="shared" si="85"/>
        <v>99.701999999999998</v>
      </c>
      <c r="M1855">
        <v>5</v>
      </c>
      <c r="N1855" t="str">
        <f t="shared" si="86"/>
        <v>Regular</v>
      </c>
    </row>
    <row r="1856" spans="1:14" x14ac:dyDescent="0.35">
      <c r="A1856">
        <v>1855</v>
      </c>
      <c r="B1856">
        <v>60</v>
      </c>
      <c r="C1856" t="str">
        <f t="shared" si="84"/>
        <v>Adult</v>
      </c>
      <c r="D1856" t="s">
        <v>11</v>
      </c>
      <c r="E1856" t="s">
        <v>12</v>
      </c>
      <c r="F1856" t="s">
        <v>50</v>
      </c>
      <c r="G1856">
        <v>88.27</v>
      </c>
      <c r="H1856" t="s">
        <v>14</v>
      </c>
      <c r="I1856" t="s">
        <v>15</v>
      </c>
      <c r="J1856">
        <v>2.9</v>
      </c>
      <c r="K1856">
        <v>14</v>
      </c>
      <c r="L1856">
        <f t="shared" si="85"/>
        <v>75.912199999999999</v>
      </c>
      <c r="M1856">
        <v>7</v>
      </c>
      <c r="N1856" t="str">
        <f t="shared" si="86"/>
        <v>Regular</v>
      </c>
    </row>
    <row r="1857" spans="1:14" x14ac:dyDescent="0.35">
      <c r="A1857">
        <v>1856</v>
      </c>
      <c r="B1857">
        <v>25</v>
      </c>
      <c r="C1857" t="str">
        <f t="shared" si="84"/>
        <v>Youth</v>
      </c>
      <c r="D1857" t="s">
        <v>11</v>
      </c>
      <c r="E1857" t="s">
        <v>12</v>
      </c>
      <c r="F1857" t="s">
        <v>56</v>
      </c>
      <c r="G1857">
        <v>155.11000000000001</v>
      </c>
      <c r="H1857" t="s">
        <v>14</v>
      </c>
      <c r="I1857" t="s">
        <v>15</v>
      </c>
      <c r="J1857">
        <v>4.4000000000000004</v>
      </c>
      <c r="K1857">
        <v>13</v>
      </c>
      <c r="L1857">
        <f t="shared" si="85"/>
        <v>134.94570000000002</v>
      </c>
      <c r="M1857">
        <v>4</v>
      </c>
      <c r="N1857" t="str">
        <f t="shared" si="86"/>
        <v>Regular</v>
      </c>
    </row>
    <row r="1858" spans="1:14" x14ac:dyDescent="0.35">
      <c r="A1858">
        <v>1857</v>
      </c>
      <c r="B1858">
        <v>20</v>
      </c>
      <c r="C1858" t="str">
        <f t="shared" si="84"/>
        <v>Youth</v>
      </c>
      <c r="D1858" t="s">
        <v>16</v>
      </c>
      <c r="E1858" t="s">
        <v>33</v>
      </c>
      <c r="F1858" t="s">
        <v>40</v>
      </c>
      <c r="G1858">
        <v>125.9</v>
      </c>
      <c r="H1858" t="s">
        <v>14</v>
      </c>
      <c r="I1858" t="s">
        <v>15</v>
      </c>
      <c r="J1858">
        <v>4.0999999999999996</v>
      </c>
      <c r="K1858">
        <v>20</v>
      </c>
      <c r="L1858">
        <f t="shared" si="85"/>
        <v>100.72000000000001</v>
      </c>
      <c r="M1858">
        <v>5</v>
      </c>
      <c r="N1858" t="str">
        <f t="shared" si="86"/>
        <v>Regular</v>
      </c>
    </row>
    <row r="1859" spans="1:14" x14ac:dyDescent="0.35">
      <c r="A1859">
        <v>1858</v>
      </c>
      <c r="B1859">
        <v>29</v>
      </c>
      <c r="C1859" t="str">
        <f t="shared" ref="C1859:C1922" si="87">IF(B1859&lt;=30,"Youth",IF(B1859&lt;=45,"Adult",IF(B1859&lt;=60,"Adult","Senior")))</f>
        <v>Youth</v>
      </c>
      <c r="D1859" t="s">
        <v>11</v>
      </c>
      <c r="E1859" t="s">
        <v>25</v>
      </c>
      <c r="F1859" t="s">
        <v>47</v>
      </c>
      <c r="G1859">
        <v>78.52</v>
      </c>
      <c r="H1859" t="s">
        <v>14</v>
      </c>
      <c r="I1859" t="s">
        <v>37</v>
      </c>
      <c r="J1859">
        <v>3.5</v>
      </c>
      <c r="K1859">
        <v>18</v>
      </c>
      <c r="L1859">
        <f t="shared" ref="L1859:L1922" si="88">G1859*(1-K1859/100)</f>
        <v>64.386399999999995</v>
      </c>
      <c r="M1859">
        <v>4</v>
      </c>
      <c r="N1859" t="str">
        <f t="shared" ref="N1859:N1922" si="89">IF(M1859&lt;=3,"New",IF(M1859&lt;=7,"Regular","Loyal"))</f>
        <v>Regular</v>
      </c>
    </row>
    <row r="1860" spans="1:14" x14ac:dyDescent="0.35">
      <c r="A1860">
        <v>1859</v>
      </c>
      <c r="B1860">
        <v>49</v>
      </c>
      <c r="C1860" t="str">
        <f t="shared" si="87"/>
        <v>Adult</v>
      </c>
      <c r="D1860" t="s">
        <v>11</v>
      </c>
      <c r="E1860" t="s">
        <v>25</v>
      </c>
      <c r="F1860" t="s">
        <v>26</v>
      </c>
      <c r="G1860">
        <v>21.32</v>
      </c>
      <c r="H1860" t="s">
        <v>14</v>
      </c>
      <c r="I1860" t="s">
        <v>37</v>
      </c>
      <c r="J1860">
        <v>4.5999999999999996</v>
      </c>
      <c r="K1860">
        <v>13</v>
      </c>
      <c r="L1860">
        <f t="shared" si="88"/>
        <v>18.548400000000001</v>
      </c>
      <c r="M1860">
        <v>4</v>
      </c>
      <c r="N1860" t="str">
        <f t="shared" si="89"/>
        <v>Regular</v>
      </c>
    </row>
    <row r="1861" spans="1:14" x14ac:dyDescent="0.35">
      <c r="A1861">
        <v>1860</v>
      </c>
      <c r="B1861">
        <v>70</v>
      </c>
      <c r="C1861" t="str">
        <f t="shared" si="87"/>
        <v>Senior</v>
      </c>
      <c r="D1861" t="s">
        <v>11</v>
      </c>
      <c r="E1861" t="s">
        <v>33</v>
      </c>
      <c r="F1861" t="s">
        <v>40</v>
      </c>
      <c r="G1861">
        <v>180.88</v>
      </c>
      <c r="H1861" t="s">
        <v>24</v>
      </c>
      <c r="I1861" t="s">
        <v>15</v>
      </c>
      <c r="J1861">
        <v>3.1</v>
      </c>
      <c r="K1861">
        <v>14</v>
      </c>
      <c r="L1861">
        <f t="shared" si="88"/>
        <v>155.55679999999998</v>
      </c>
      <c r="M1861">
        <v>2</v>
      </c>
      <c r="N1861" t="str">
        <f t="shared" si="89"/>
        <v>New</v>
      </c>
    </row>
    <row r="1862" spans="1:14" x14ac:dyDescent="0.35">
      <c r="A1862">
        <v>1861</v>
      </c>
      <c r="B1862">
        <v>23</v>
      </c>
      <c r="C1862" t="str">
        <f t="shared" si="87"/>
        <v>Youth</v>
      </c>
      <c r="D1862" t="s">
        <v>11</v>
      </c>
      <c r="E1862" t="s">
        <v>20</v>
      </c>
      <c r="F1862" t="s">
        <v>36</v>
      </c>
      <c r="G1862">
        <v>240.21</v>
      </c>
      <c r="H1862" t="s">
        <v>24</v>
      </c>
      <c r="I1862" t="s">
        <v>15</v>
      </c>
      <c r="J1862">
        <v>2.2999999999999998</v>
      </c>
      <c r="K1862">
        <v>18</v>
      </c>
      <c r="L1862">
        <f t="shared" si="88"/>
        <v>196.97220000000002</v>
      </c>
      <c r="M1862">
        <v>4</v>
      </c>
      <c r="N1862" t="str">
        <f t="shared" si="89"/>
        <v>Regular</v>
      </c>
    </row>
    <row r="1863" spans="1:14" x14ac:dyDescent="0.35">
      <c r="A1863">
        <v>1862</v>
      </c>
      <c r="B1863">
        <v>34</v>
      </c>
      <c r="C1863" t="str">
        <f t="shared" si="87"/>
        <v>Adult</v>
      </c>
      <c r="D1863" t="s">
        <v>16</v>
      </c>
      <c r="E1863" t="s">
        <v>17</v>
      </c>
      <c r="F1863" t="s">
        <v>42</v>
      </c>
      <c r="G1863">
        <v>76.040000000000006</v>
      </c>
      <c r="H1863" t="s">
        <v>31</v>
      </c>
      <c r="I1863" t="s">
        <v>37</v>
      </c>
      <c r="J1863">
        <v>4</v>
      </c>
      <c r="K1863">
        <v>6</v>
      </c>
      <c r="L1863">
        <f t="shared" si="88"/>
        <v>71.477599999999995</v>
      </c>
      <c r="M1863">
        <v>3</v>
      </c>
      <c r="N1863" t="str">
        <f t="shared" si="89"/>
        <v>New</v>
      </c>
    </row>
    <row r="1864" spans="1:14" x14ac:dyDescent="0.35">
      <c r="A1864">
        <v>1863</v>
      </c>
      <c r="B1864">
        <v>68</v>
      </c>
      <c r="C1864" t="str">
        <f t="shared" si="87"/>
        <v>Senior</v>
      </c>
      <c r="D1864" t="s">
        <v>16</v>
      </c>
      <c r="E1864" t="s">
        <v>33</v>
      </c>
      <c r="F1864" t="s">
        <v>38</v>
      </c>
      <c r="G1864">
        <v>52.98</v>
      </c>
      <c r="H1864" t="s">
        <v>19</v>
      </c>
      <c r="I1864" t="s">
        <v>15</v>
      </c>
      <c r="J1864">
        <v>3.8</v>
      </c>
      <c r="K1864">
        <v>22</v>
      </c>
      <c r="L1864">
        <f t="shared" si="88"/>
        <v>41.324399999999997</v>
      </c>
      <c r="M1864">
        <v>6</v>
      </c>
      <c r="N1864" t="str">
        <f t="shared" si="89"/>
        <v>Regular</v>
      </c>
    </row>
    <row r="1865" spans="1:14" x14ac:dyDescent="0.35">
      <c r="A1865">
        <v>1864</v>
      </c>
      <c r="B1865">
        <v>51</v>
      </c>
      <c r="C1865" t="str">
        <f t="shared" si="87"/>
        <v>Adult</v>
      </c>
      <c r="D1865" t="s">
        <v>11</v>
      </c>
      <c r="E1865" t="s">
        <v>29</v>
      </c>
      <c r="F1865" t="s">
        <v>55</v>
      </c>
      <c r="G1865">
        <v>101.93</v>
      </c>
      <c r="H1865" t="s">
        <v>19</v>
      </c>
      <c r="I1865" t="s">
        <v>15</v>
      </c>
      <c r="J1865">
        <v>3.7</v>
      </c>
      <c r="K1865">
        <v>9</v>
      </c>
      <c r="L1865">
        <f t="shared" si="88"/>
        <v>92.75630000000001</v>
      </c>
      <c r="M1865">
        <v>2</v>
      </c>
      <c r="N1865" t="str">
        <f t="shared" si="89"/>
        <v>New</v>
      </c>
    </row>
    <row r="1866" spans="1:14" x14ac:dyDescent="0.35">
      <c r="A1866">
        <v>1865</v>
      </c>
      <c r="B1866">
        <v>49</v>
      </c>
      <c r="C1866" t="str">
        <f t="shared" si="87"/>
        <v>Adult</v>
      </c>
      <c r="D1866" t="s">
        <v>16</v>
      </c>
      <c r="E1866" t="s">
        <v>33</v>
      </c>
      <c r="F1866" t="s">
        <v>38</v>
      </c>
      <c r="G1866">
        <v>122.96</v>
      </c>
      <c r="H1866" t="s">
        <v>24</v>
      </c>
      <c r="I1866" t="s">
        <v>15</v>
      </c>
      <c r="J1866">
        <v>4.2</v>
      </c>
      <c r="K1866">
        <v>13</v>
      </c>
      <c r="L1866">
        <f t="shared" si="88"/>
        <v>106.9752</v>
      </c>
      <c r="M1866">
        <v>4</v>
      </c>
      <c r="N1866" t="str">
        <f t="shared" si="89"/>
        <v>Regular</v>
      </c>
    </row>
    <row r="1867" spans="1:14" x14ac:dyDescent="0.35">
      <c r="A1867">
        <v>1866</v>
      </c>
      <c r="B1867">
        <v>46</v>
      </c>
      <c r="C1867" t="str">
        <f t="shared" si="87"/>
        <v>Adult</v>
      </c>
      <c r="D1867" t="s">
        <v>16</v>
      </c>
      <c r="E1867" t="s">
        <v>27</v>
      </c>
      <c r="F1867" t="s">
        <v>49</v>
      </c>
      <c r="G1867">
        <v>2820.93</v>
      </c>
      <c r="H1867" t="s">
        <v>31</v>
      </c>
      <c r="I1867" t="s">
        <v>15</v>
      </c>
      <c r="J1867">
        <v>4.5999999999999996</v>
      </c>
      <c r="K1867">
        <v>13</v>
      </c>
      <c r="L1867">
        <f t="shared" si="88"/>
        <v>2454.2091</v>
      </c>
      <c r="M1867">
        <v>4</v>
      </c>
      <c r="N1867" t="str">
        <f t="shared" si="89"/>
        <v>Regular</v>
      </c>
    </row>
    <row r="1868" spans="1:14" x14ac:dyDescent="0.35">
      <c r="A1868">
        <v>1867</v>
      </c>
      <c r="B1868">
        <v>46</v>
      </c>
      <c r="C1868" t="str">
        <f t="shared" si="87"/>
        <v>Adult</v>
      </c>
      <c r="D1868" t="s">
        <v>16</v>
      </c>
      <c r="E1868" t="s">
        <v>17</v>
      </c>
      <c r="F1868" t="s">
        <v>48</v>
      </c>
      <c r="G1868">
        <v>123.87</v>
      </c>
      <c r="H1868" t="s">
        <v>31</v>
      </c>
      <c r="I1868" t="s">
        <v>15</v>
      </c>
      <c r="J1868">
        <v>3.8</v>
      </c>
      <c r="K1868">
        <v>5</v>
      </c>
      <c r="L1868">
        <f t="shared" si="88"/>
        <v>117.6765</v>
      </c>
      <c r="M1868">
        <v>0</v>
      </c>
      <c r="N1868" t="str">
        <f t="shared" si="89"/>
        <v>New</v>
      </c>
    </row>
    <row r="1869" spans="1:14" x14ac:dyDescent="0.35">
      <c r="A1869">
        <v>1868</v>
      </c>
      <c r="B1869">
        <v>49</v>
      </c>
      <c r="C1869" t="str">
        <f t="shared" si="87"/>
        <v>Adult</v>
      </c>
      <c r="D1869" t="s">
        <v>16</v>
      </c>
      <c r="E1869" t="s">
        <v>17</v>
      </c>
      <c r="F1869" t="s">
        <v>48</v>
      </c>
      <c r="G1869">
        <v>67.94</v>
      </c>
      <c r="H1869" t="s">
        <v>31</v>
      </c>
      <c r="I1869" t="s">
        <v>37</v>
      </c>
      <c r="J1869">
        <v>3.9</v>
      </c>
      <c r="K1869">
        <v>24</v>
      </c>
      <c r="L1869">
        <f t="shared" si="88"/>
        <v>51.634399999999999</v>
      </c>
      <c r="M1869">
        <v>7</v>
      </c>
      <c r="N1869" t="str">
        <f t="shared" si="89"/>
        <v>Regular</v>
      </c>
    </row>
    <row r="1870" spans="1:14" x14ac:dyDescent="0.35">
      <c r="A1870">
        <v>1869</v>
      </c>
      <c r="B1870">
        <v>56</v>
      </c>
      <c r="C1870" t="str">
        <f t="shared" si="87"/>
        <v>Adult</v>
      </c>
      <c r="D1870" t="s">
        <v>16</v>
      </c>
      <c r="E1870" t="s">
        <v>17</v>
      </c>
      <c r="F1870" t="s">
        <v>48</v>
      </c>
      <c r="G1870">
        <v>50.4</v>
      </c>
      <c r="H1870" t="s">
        <v>19</v>
      </c>
      <c r="I1870" t="s">
        <v>15</v>
      </c>
      <c r="J1870">
        <v>4.2</v>
      </c>
      <c r="K1870">
        <v>18</v>
      </c>
      <c r="L1870">
        <f t="shared" si="88"/>
        <v>41.328000000000003</v>
      </c>
      <c r="M1870">
        <v>4</v>
      </c>
      <c r="N1870" t="str">
        <f t="shared" si="89"/>
        <v>Regular</v>
      </c>
    </row>
    <row r="1871" spans="1:14" x14ac:dyDescent="0.35">
      <c r="A1871">
        <v>1870</v>
      </c>
      <c r="B1871">
        <v>65</v>
      </c>
      <c r="C1871" t="str">
        <f t="shared" si="87"/>
        <v>Senior</v>
      </c>
      <c r="D1871" t="s">
        <v>16</v>
      </c>
      <c r="E1871" t="s">
        <v>17</v>
      </c>
      <c r="F1871" t="s">
        <v>35</v>
      </c>
      <c r="G1871">
        <v>174.89</v>
      </c>
      <c r="H1871" t="s">
        <v>24</v>
      </c>
      <c r="I1871" t="s">
        <v>15</v>
      </c>
      <c r="J1871">
        <v>2.4</v>
      </c>
      <c r="K1871">
        <v>2</v>
      </c>
      <c r="L1871">
        <f t="shared" si="88"/>
        <v>171.39219999999997</v>
      </c>
      <c r="M1871">
        <v>1</v>
      </c>
      <c r="N1871" t="str">
        <f t="shared" si="89"/>
        <v>New</v>
      </c>
    </row>
    <row r="1872" spans="1:14" x14ac:dyDescent="0.35">
      <c r="A1872">
        <v>1871</v>
      </c>
      <c r="B1872">
        <v>44</v>
      </c>
      <c r="C1872" t="str">
        <f t="shared" si="87"/>
        <v>Adult</v>
      </c>
      <c r="D1872" t="s">
        <v>11</v>
      </c>
      <c r="E1872" t="s">
        <v>41</v>
      </c>
      <c r="F1872" t="s">
        <v>45</v>
      </c>
      <c r="G1872">
        <v>119.31</v>
      </c>
      <c r="H1872" t="s">
        <v>19</v>
      </c>
      <c r="I1872" t="s">
        <v>15</v>
      </c>
      <c r="J1872">
        <v>3.8</v>
      </c>
      <c r="K1872">
        <v>15</v>
      </c>
      <c r="L1872">
        <f t="shared" si="88"/>
        <v>101.4135</v>
      </c>
      <c r="M1872">
        <v>5</v>
      </c>
      <c r="N1872" t="str">
        <f t="shared" si="89"/>
        <v>Regular</v>
      </c>
    </row>
    <row r="1873" spans="1:14" x14ac:dyDescent="0.35">
      <c r="A1873">
        <v>1872</v>
      </c>
      <c r="B1873">
        <v>43</v>
      </c>
      <c r="C1873" t="str">
        <f t="shared" si="87"/>
        <v>Adult</v>
      </c>
      <c r="D1873" t="s">
        <v>16</v>
      </c>
      <c r="E1873" t="s">
        <v>20</v>
      </c>
      <c r="F1873" t="s">
        <v>21</v>
      </c>
      <c r="G1873">
        <v>188.28</v>
      </c>
      <c r="H1873" t="s">
        <v>19</v>
      </c>
      <c r="I1873" t="s">
        <v>15</v>
      </c>
      <c r="J1873">
        <v>3.7</v>
      </c>
      <c r="K1873">
        <v>22</v>
      </c>
      <c r="L1873">
        <f t="shared" si="88"/>
        <v>146.85840000000002</v>
      </c>
      <c r="M1873">
        <v>6</v>
      </c>
      <c r="N1873" t="str">
        <f t="shared" si="89"/>
        <v>Regular</v>
      </c>
    </row>
    <row r="1874" spans="1:14" x14ac:dyDescent="0.35">
      <c r="A1874">
        <v>1873</v>
      </c>
      <c r="B1874">
        <v>58</v>
      </c>
      <c r="C1874" t="str">
        <f t="shared" si="87"/>
        <v>Adult</v>
      </c>
      <c r="D1874" t="s">
        <v>16</v>
      </c>
      <c r="E1874" t="s">
        <v>33</v>
      </c>
      <c r="F1874" t="s">
        <v>40</v>
      </c>
      <c r="G1874">
        <v>75.03</v>
      </c>
      <c r="H1874" t="s">
        <v>19</v>
      </c>
      <c r="I1874" t="s">
        <v>15</v>
      </c>
      <c r="J1874">
        <v>4.3</v>
      </c>
      <c r="K1874">
        <v>10</v>
      </c>
      <c r="L1874">
        <f t="shared" si="88"/>
        <v>67.527000000000001</v>
      </c>
      <c r="M1874">
        <v>5</v>
      </c>
      <c r="N1874" t="str">
        <f t="shared" si="89"/>
        <v>Regular</v>
      </c>
    </row>
    <row r="1875" spans="1:14" x14ac:dyDescent="0.35">
      <c r="A1875">
        <v>1874</v>
      </c>
      <c r="B1875">
        <v>27</v>
      </c>
      <c r="C1875" t="str">
        <f t="shared" si="87"/>
        <v>Youth</v>
      </c>
      <c r="D1875" t="s">
        <v>11</v>
      </c>
      <c r="E1875" t="s">
        <v>20</v>
      </c>
      <c r="F1875" t="s">
        <v>21</v>
      </c>
      <c r="G1875">
        <v>122.27</v>
      </c>
      <c r="H1875" t="s">
        <v>14</v>
      </c>
      <c r="I1875" t="s">
        <v>15</v>
      </c>
      <c r="J1875">
        <v>5</v>
      </c>
      <c r="K1875">
        <v>15</v>
      </c>
      <c r="L1875">
        <f t="shared" si="88"/>
        <v>103.92949999999999</v>
      </c>
      <c r="M1875">
        <v>5</v>
      </c>
      <c r="N1875" t="str">
        <f t="shared" si="89"/>
        <v>Regular</v>
      </c>
    </row>
    <row r="1876" spans="1:14" x14ac:dyDescent="0.35">
      <c r="A1876">
        <v>1875</v>
      </c>
      <c r="B1876">
        <v>67</v>
      </c>
      <c r="C1876" t="str">
        <f t="shared" si="87"/>
        <v>Senior</v>
      </c>
      <c r="D1876" t="s">
        <v>11</v>
      </c>
      <c r="E1876" t="s">
        <v>41</v>
      </c>
      <c r="F1876" t="s">
        <v>42</v>
      </c>
      <c r="G1876">
        <v>48.15</v>
      </c>
      <c r="H1876" t="s">
        <v>31</v>
      </c>
      <c r="I1876" t="s">
        <v>37</v>
      </c>
      <c r="J1876">
        <v>3.5</v>
      </c>
      <c r="K1876">
        <v>12</v>
      </c>
      <c r="L1876">
        <f t="shared" si="88"/>
        <v>42.372</v>
      </c>
      <c r="M1876">
        <v>6</v>
      </c>
      <c r="N1876" t="str">
        <f t="shared" si="89"/>
        <v>Regular</v>
      </c>
    </row>
    <row r="1877" spans="1:14" x14ac:dyDescent="0.35">
      <c r="A1877">
        <v>1876</v>
      </c>
      <c r="B1877">
        <v>57</v>
      </c>
      <c r="C1877" t="str">
        <f t="shared" si="87"/>
        <v>Adult</v>
      </c>
      <c r="D1877" t="s">
        <v>11</v>
      </c>
      <c r="E1877" t="s">
        <v>25</v>
      </c>
      <c r="F1877" t="s">
        <v>57</v>
      </c>
      <c r="G1877">
        <v>75.56</v>
      </c>
      <c r="H1877" t="s">
        <v>31</v>
      </c>
      <c r="I1877" t="s">
        <v>37</v>
      </c>
      <c r="J1877">
        <v>3.8</v>
      </c>
      <c r="K1877">
        <v>22</v>
      </c>
      <c r="L1877">
        <f t="shared" si="88"/>
        <v>58.936800000000005</v>
      </c>
      <c r="M1877">
        <v>6</v>
      </c>
      <c r="N1877" t="str">
        <f t="shared" si="89"/>
        <v>Regular</v>
      </c>
    </row>
    <row r="1878" spans="1:14" x14ac:dyDescent="0.35">
      <c r="A1878">
        <v>1877</v>
      </c>
      <c r="B1878">
        <v>37</v>
      </c>
      <c r="C1878" t="str">
        <f t="shared" si="87"/>
        <v>Adult</v>
      </c>
      <c r="D1878" t="s">
        <v>16</v>
      </c>
      <c r="E1878" t="s">
        <v>22</v>
      </c>
      <c r="F1878" t="s">
        <v>52</v>
      </c>
      <c r="G1878">
        <v>289.68</v>
      </c>
      <c r="H1878" t="s">
        <v>19</v>
      </c>
      <c r="I1878" t="s">
        <v>15</v>
      </c>
      <c r="J1878">
        <v>5</v>
      </c>
      <c r="K1878">
        <v>24</v>
      </c>
      <c r="L1878">
        <f t="shared" si="88"/>
        <v>220.1568</v>
      </c>
      <c r="M1878">
        <v>7</v>
      </c>
      <c r="N1878" t="str">
        <f t="shared" si="89"/>
        <v>Regular</v>
      </c>
    </row>
    <row r="1879" spans="1:14" x14ac:dyDescent="0.35">
      <c r="A1879">
        <v>1878</v>
      </c>
      <c r="B1879">
        <v>59</v>
      </c>
      <c r="C1879" t="str">
        <f t="shared" si="87"/>
        <v>Adult</v>
      </c>
      <c r="D1879" t="s">
        <v>16</v>
      </c>
      <c r="E1879" t="s">
        <v>20</v>
      </c>
      <c r="F1879" t="s">
        <v>39</v>
      </c>
      <c r="G1879">
        <v>241.42</v>
      </c>
      <c r="H1879" t="s">
        <v>31</v>
      </c>
      <c r="I1879" t="s">
        <v>15</v>
      </c>
      <c r="J1879">
        <v>5</v>
      </c>
      <c r="K1879">
        <v>19</v>
      </c>
      <c r="L1879">
        <f t="shared" si="88"/>
        <v>195.55019999999999</v>
      </c>
      <c r="M1879">
        <v>7</v>
      </c>
      <c r="N1879" t="str">
        <f t="shared" si="89"/>
        <v>Regular</v>
      </c>
    </row>
    <row r="1880" spans="1:14" x14ac:dyDescent="0.35">
      <c r="A1880">
        <v>1879</v>
      </c>
      <c r="B1880">
        <v>51</v>
      </c>
      <c r="C1880" t="str">
        <f t="shared" si="87"/>
        <v>Adult</v>
      </c>
      <c r="D1880" t="s">
        <v>11</v>
      </c>
      <c r="E1880" t="s">
        <v>29</v>
      </c>
      <c r="F1880" t="s">
        <v>30</v>
      </c>
      <c r="G1880">
        <v>138.15</v>
      </c>
      <c r="H1880" t="s">
        <v>24</v>
      </c>
      <c r="I1880" t="s">
        <v>15</v>
      </c>
      <c r="J1880">
        <v>3.5</v>
      </c>
      <c r="K1880">
        <v>15</v>
      </c>
      <c r="L1880">
        <f t="shared" si="88"/>
        <v>117.42749999999999</v>
      </c>
      <c r="M1880">
        <v>5</v>
      </c>
      <c r="N1880" t="str">
        <f t="shared" si="89"/>
        <v>Regular</v>
      </c>
    </row>
    <row r="1881" spans="1:14" x14ac:dyDescent="0.35">
      <c r="A1881">
        <v>1880</v>
      </c>
      <c r="B1881">
        <v>30</v>
      </c>
      <c r="C1881" t="str">
        <f t="shared" si="87"/>
        <v>Youth</v>
      </c>
      <c r="D1881" t="s">
        <v>11</v>
      </c>
      <c r="E1881" t="s">
        <v>12</v>
      </c>
      <c r="F1881" t="s">
        <v>50</v>
      </c>
      <c r="G1881">
        <v>46.15</v>
      </c>
      <c r="H1881" t="s">
        <v>14</v>
      </c>
      <c r="I1881" t="s">
        <v>37</v>
      </c>
      <c r="J1881">
        <v>3.7</v>
      </c>
      <c r="K1881">
        <v>14</v>
      </c>
      <c r="L1881">
        <f t="shared" si="88"/>
        <v>39.689</v>
      </c>
      <c r="M1881">
        <v>2</v>
      </c>
      <c r="N1881" t="str">
        <f t="shared" si="89"/>
        <v>New</v>
      </c>
    </row>
    <row r="1882" spans="1:14" x14ac:dyDescent="0.35">
      <c r="A1882">
        <v>1881</v>
      </c>
      <c r="B1882">
        <v>61</v>
      </c>
      <c r="C1882" t="str">
        <f t="shared" si="87"/>
        <v>Senior</v>
      </c>
      <c r="D1882" t="s">
        <v>16</v>
      </c>
      <c r="E1882" t="s">
        <v>25</v>
      </c>
      <c r="F1882" t="s">
        <v>47</v>
      </c>
      <c r="G1882">
        <v>62.19</v>
      </c>
      <c r="H1882" t="s">
        <v>31</v>
      </c>
      <c r="I1882" t="s">
        <v>15</v>
      </c>
      <c r="J1882">
        <v>2.9</v>
      </c>
      <c r="K1882">
        <v>12</v>
      </c>
      <c r="L1882">
        <f t="shared" si="88"/>
        <v>54.727199999999996</v>
      </c>
      <c r="M1882">
        <v>6</v>
      </c>
      <c r="N1882" t="str">
        <f t="shared" si="89"/>
        <v>Regular</v>
      </c>
    </row>
    <row r="1883" spans="1:14" x14ac:dyDescent="0.35">
      <c r="A1883">
        <v>1882</v>
      </c>
      <c r="B1883">
        <v>24</v>
      </c>
      <c r="C1883" t="str">
        <f t="shared" si="87"/>
        <v>Youth</v>
      </c>
      <c r="D1883" t="s">
        <v>16</v>
      </c>
      <c r="E1883" t="s">
        <v>33</v>
      </c>
      <c r="F1883" t="s">
        <v>34</v>
      </c>
      <c r="G1883">
        <v>223.63</v>
      </c>
      <c r="H1883" t="s">
        <v>19</v>
      </c>
      <c r="I1883" t="s">
        <v>15</v>
      </c>
      <c r="J1883">
        <v>5</v>
      </c>
      <c r="K1883">
        <v>5</v>
      </c>
      <c r="L1883">
        <f t="shared" si="88"/>
        <v>212.4485</v>
      </c>
      <c r="M1883">
        <v>0</v>
      </c>
      <c r="N1883" t="str">
        <f t="shared" si="89"/>
        <v>New</v>
      </c>
    </row>
    <row r="1884" spans="1:14" x14ac:dyDescent="0.35">
      <c r="A1884">
        <v>1883</v>
      </c>
      <c r="B1884">
        <v>46</v>
      </c>
      <c r="C1884" t="str">
        <f t="shared" si="87"/>
        <v>Adult</v>
      </c>
      <c r="D1884" t="s">
        <v>11</v>
      </c>
      <c r="E1884" t="s">
        <v>25</v>
      </c>
      <c r="F1884" t="s">
        <v>57</v>
      </c>
      <c r="G1884">
        <v>61.01</v>
      </c>
      <c r="H1884" t="s">
        <v>19</v>
      </c>
      <c r="I1884" t="s">
        <v>37</v>
      </c>
      <c r="J1884">
        <v>3.2</v>
      </c>
      <c r="K1884">
        <v>15</v>
      </c>
      <c r="L1884">
        <f t="shared" si="88"/>
        <v>51.858499999999999</v>
      </c>
      <c r="M1884">
        <v>5</v>
      </c>
      <c r="N1884" t="str">
        <f t="shared" si="89"/>
        <v>Regular</v>
      </c>
    </row>
    <row r="1885" spans="1:14" x14ac:dyDescent="0.35">
      <c r="A1885">
        <v>1884</v>
      </c>
      <c r="B1885">
        <v>24</v>
      </c>
      <c r="C1885" t="str">
        <f t="shared" si="87"/>
        <v>Youth</v>
      </c>
      <c r="D1885" t="s">
        <v>16</v>
      </c>
      <c r="E1885" t="s">
        <v>17</v>
      </c>
      <c r="F1885" t="s">
        <v>18</v>
      </c>
      <c r="G1885">
        <v>55.92</v>
      </c>
      <c r="H1885" t="s">
        <v>19</v>
      </c>
      <c r="I1885" t="s">
        <v>15</v>
      </c>
      <c r="J1885">
        <v>4</v>
      </c>
      <c r="K1885">
        <v>12</v>
      </c>
      <c r="L1885">
        <f t="shared" si="88"/>
        <v>49.209600000000002</v>
      </c>
      <c r="M1885">
        <v>6</v>
      </c>
      <c r="N1885" t="str">
        <f t="shared" si="89"/>
        <v>Regular</v>
      </c>
    </row>
    <row r="1886" spans="1:14" x14ac:dyDescent="0.35">
      <c r="A1886">
        <v>1885</v>
      </c>
      <c r="B1886">
        <v>23</v>
      </c>
      <c r="C1886" t="str">
        <f t="shared" si="87"/>
        <v>Youth</v>
      </c>
      <c r="D1886" t="s">
        <v>16</v>
      </c>
      <c r="E1886" t="s">
        <v>27</v>
      </c>
      <c r="F1886" t="s">
        <v>32</v>
      </c>
      <c r="G1886">
        <v>590.1</v>
      </c>
      <c r="H1886" t="s">
        <v>19</v>
      </c>
      <c r="I1886" t="s">
        <v>15</v>
      </c>
      <c r="J1886">
        <v>4.3</v>
      </c>
      <c r="K1886">
        <v>6</v>
      </c>
      <c r="L1886">
        <f t="shared" si="88"/>
        <v>554.69399999999996</v>
      </c>
      <c r="M1886">
        <v>3</v>
      </c>
      <c r="N1886" t="str">
        <f t="shared" si="89"/>
        <v>New</v>
      </c>
    </row>
    <row r="1887" spans="1:14" x14ac:dyDescent="0.35">
      <c r="A1887">
        <v>1886</v>
      </c>
      <c r="B1887">
        <v>23</v>
      </c>
      <c r="C1887" t="str">
        <f t="shared" si="87"/>
        <v>Youth</v>
      </c>
      <c r="D1887" t="s">
        <v>11</v>
      </c>
      <c r="E1887" t="s">
        <v>20</v>
      </c>
      <c r="F1887" t="s">
        <v>36</v>
      </c>
      <c r="G1887">
        <v>193.08</v>
      </c>
      <c r="H1887" t="s">
        <v>14</v>
      </c>
      <c r="I1887" t="s">
        <v>15</v>
      </c>
      <c r="J1887">
        <v>3.3</v>
      </c>
      <c r="K1887">
        <v>17</v>
      </c>
      <c r="L1887">
        <f t="shared" si="88"/>
        <v>160.25640000000001</v>
      </c>
      <c r="M1887">
        <v>6</v>
      </c>
      <c r="N1887" t="str">
        <f t="shared" si="89"/>
        <v>Regular</v>
      </c>
    </row>
    <row r="1888" spans="1:14" x14ac:dyDescent="0.35">
      <c r="A1888">
        <v>1887</v>
      </c>
      <c r="B1888">
        <v>24</v>
      </c>
      <c r="C1888" t="str">
        <f t="shared" si="87"/>
        <v>Youth</v>
      </c>
      <c r="D1888" t="s">
        <v>11</v>
      </c>
      <c r="E1888" t="s">
        <v>41</v>
      </c>
      <c r="F1888" t="s">
        <v>45</v>
      </c>
      <c r="G1888">
        <v>165.24</v>
      </c>
      <c r="H1888" t="s">
        <v>24</v>
      </c>
      <c r="I1888" t="s">
        <v>15</v>
      </c>
      <c r="J1888">
        <v>3.9</v>
      </c>
      <c r="K1888">
        <v>15</v>
      </c>
      <c r="L1888">
        <f t="shared" si="88"/>
        <v>140.45400000000001</v>
      </c>
      <c r="M1888">
        <v>5</v>
      </c>
      <c r="N1888" t="str">
        <f t="shared" si="89"/>
        <v>Regular</v>
      </c>
    </row>
    <row r="1889" spans="1:14" x14ac:dyDescent="0.35">
      <c r="A1889">
        <v>1888</v>
      </c>
      <c r="B1889">
        <v>38</v>
      </c>
      <c r="C1889" t="str">
        <f t="shared" si="87"/>
        <v>Adult</v>
      </c>
      <c r="D1889" t="s">
        <v>16</v>
      </c>
      <c r="E1889" t="s">
        <v>17</v>
      </c>
      <c r="F1889" t="s">
        <v>18</v>
      </c>
      <c r="G1889">
        <v>80.67</v>
      </c>
      <c r="H1889" t="s">
        <v>31</v>
      </c>
      <c r="I1889" t="s">
        <v>15</v>
      </c>
      <c r="J1889">
        <v>3.6</v>
      </c>
      <c r="K1889">
        <v>19</v>
      </c>
      <c r="L1889">
        <f t="shared" si="88"/>
        <v>65.342700000000008</v>
      </c>
      <c r="M1889">
        <v>7</v>
      </c>
      <c r="N1889" t="str">
        <f t="shared" si="89"/>
        <v>Regular</v>
      </c>
    </row>
    <row r="1890" spans="1:14" x14ac:dyDescent="0.35">
      <c r="A1890">
        <v>1889</v>
      </c>
      <c r="B1890">
        <v>26</v>
      </c>
      <c r="C1890" t="str">
        <f t="shared" si="87"/>
        <v>Youth</v>
      </c>
      <c r="D1890" t="s">
        <v>11</v>
      </c>
      <c r="E1890" t="s">
        <v>29</v>
      </c>
      <c r="F1890" t="s">
        <v>30</v>
      </c>
      <c r="G1890">
        <v>121.33</v>
      </c>
      <c r="H1890" t="s">
        <v>19</v>
      </c>
      <c r="I1890" t="s">
        <v>15</v>
      </c>
      <c r="J1890">
        <v>5</v>
      </c>
      <c r="K1890">
        <v>16</v>
      </c>
      <c r="L1890">
        <f t="shared" si="88"/>
        <v>101.91719999999999</v>
      </c>
      <c r="M1890">
        <v>8</v>
      </c>
      <c r="N1890" t="str">
        <f t="shared" si="89"/>
        <v>Loyal</v>
      </c>
    </row>
    <row r="1891" spans="1:14" x14ac:dyDescent="0.35">
      <c r="A1891">
        <v>1890</v>
      </c>
      <c r="B1891">
        <v>42</v>
      </c>
      <c r="C1891" t="str">
        <f t="shared" si="87"/>
        <v>Adult</v>
      </c>
      <c r="D1891" t="s">
        <v>16</v>
      </c>
      <c r="E1891" t="s">
        <v>20</v>
      </c>
      <c r="F1891" t="s">
        <v>36</v>
      </c>
      <c r="G1891">
        <v>41.11</v>
      </c>
      <c r="H1891" t="s">
        <v>19</v>
      </c>
      <c r="I1891" t="s">
        <v>15</v>
      </c>
      <c r="J1891">
        <v>3.1</v>
      </c>
      <c r="K1891">
        <v>28</v>
      </c>
      <c r="L1891">
        <f t="shared" si="88"/>
        <v>29.5992</v>
      </c>
      <c r="M1891">
        <v>9</v>
      </c>
      <c r="N1891" t="str">
        <f t="shared" si="89"/>
        <v>Loyal</v>
      </c>
    </row>
    <row r="1892" spans="1:14" x14ac:dyDescent="0.35">
      <c r="A1892">
        <v>1891</v>
      </c>
      <c r="B1892">
        <v>50</v>
      </c>
      <c r="C1892" t="str">
        <f t="shared" si="87"/>
        <v>Adult</v>
      </c>
      <c r="D1892" t="s">
        <v>16</v>
      </c>
      <c r="E1892" t="s">
        <v>22</v>
      </c>
      <c r="F1892" t="s">
        <v>43</v>
      </c>
      <c r="G1892">
        <v>45</v>
      </c>
      <c r="H1892" t="s">
        <v>19</v>
      </c>
      <c r="I1892" t="s">
        <v>37</v>
      </c>
      <c r="J1892">
        <v>4.0999999999999996</v>
      </c>
      <c r="K1892">
        <v>9</v>
      </c>
      <c r="L1892">
        <f t="shared" si="88"/>
        <v>40.950000000000003</v>
      </c>
      <c r="M1892">
        <v>2</v>
      </c>
      <c r="N1892" t="str">
        <f t="shared" si="89"/>
        <v>New</v>
      </c>
    </row>
    <row r="1893" spans="1:14" x14ac:dyDescent="0.35">
      <c r="A1893">
        <v>1892</v>
      </c>
      <c r="B1893">
        <v>42</v>
      </c>
      <c r="C1893" t="str">
        <f t="shared" si="87"/>
        <v>Adult</v>
      </c>
      <c r="D1893" t="s">
        <v>11</v>
      </c>
      <c r="E1893" t="s">
        <v>12</v>
      </c>
      <c r="F1893" t="s">
        <v>13</v>
      </c>
      <c r="G1893">
        <v>50.74</v>
      </c>
      <c r="H1893" t="s">
        <v>14</v>
      </c>
      <c r="I1893" t="s">
        <v>15</v>
      </c>
      <c r="J1893">
        <v>4.2</v>
      </c>
      <c r="K1893">
        <v>4</v>
      </c>
      <c r="L1893">
        <f t="shared" si="88"/>
        <v>48.7104</v>
      </c>
      <c r="M1893">
        <v>2</v>
      </c>
      <c r="N1893" t="str">
        <f t="shared" si="89"/>
        <v>New</v>
      </c>
    </row>
    <row r="1894" spans="1:14" x14ac:dyDescent="0.35">
      <c r="A1894">
        <v>1893</v>
      </c>
      <c r="B1894">
        <v>22</v>
      </c>
      <c r="C1894" t="str">
        <f t="shared" si="87"/>
        <v>Youth</v>
      </c>
      <c r="D1894" t="s">
        <v>11</v>
      </c>
      <c r="E1894" t="s">
        <v>41</v>
      </c>
      <c r="F1894" t="s">
        <v>45</v>
      </c>
      <c r="G1894">
        <v>109.38</v>
      </c>
      <c r="H1894" t="s">
        <v>19</v>
      </c>
      <c r="I1894" t="s">
        <v>15</v>
      </c>
      <c r="J1894">
        <v>4.3</v>
      </c>
      <c r="K1894">
        <v>16</v>
      </c>
      <c r="L1894">
        <f t="shared" si="88"/>
        <v>91.879199999999997</v>
      </c>
      <c r="M1894">
        <v>3</v>
      </c>
      <c r="N1894" t="str">
        <f t="shared" si="89"/>
        <v>New</v>
      </c>
    </row>
    <row r="1895" spans="1:14" x14ac:dyDescent="0.35">
      <c r="A1895">
        <v>1894</v>
      </c>
      <c r="B1895">
        <v>40</v>
      </c>
      <c r="C1895" t="str">
        <f t="shared" si="87"/>
        <v>Adult</v>
      </c>
      <c r="D1895" t="s">
        <v>11</v>
      </c>
      <c r="E1895" t="s">
        <v>41</v>
      </c>
      <c r="F1895" t="s">
        <v>45</v>
      </c>
      <c r="G1895">
        <v>55</v>
      </c>
      <c r="H1895" t="s">
        <v>24</v>
      </c>
      <c r="I1895" t="s">
        <v>37</v>
      </c>
      <c r="J1895">
        <v>4</v>
      </c>
      <c r="K1895">
        <v>18</v>
      </c>
      <c r="L1895">
        <f t="shared" si="88"/>
        <v>45.1</v>
      </c>
      <c r="M1895">
        <v>4</v>
      </c>
      <c r="N1895" t="str">
        <f t="shared" si="89"/>
        <v>Regular</v>
      </c>
    </row>
    <row r="1896" spans="1:14" x14ac:dyDescent="0.35">
      <c r="A1896">
        <v>1895</v>
      </c>
      <c r="B1896">
        <v>52</v>
      </c>
      <c r="C1896" t="str">
        <f t="shared" si="87"/>
        <v>Adult</v>
      </c>
      <c r="D1896" t="s">
        <v>16</v>
      </c>
      <c r="E1896" t="s">
        <v>33</v>
      </c>
      <c r="F1896" t="s">
        <v>38</v>
      </c>
      <c r="G1896">
        <v>181.52</v>
      </c>
      <c r="H1896" t="s">
        <v>24</v>
      </c>
      <c r="I1896" t="s">
        <v>15</v>
      </c>
      <c r="J1896">
        <v>4.3</v>
      </c>
      <c r="K1896">
        <v>24</v>
      </c>
      <c r="L1896">
        <f t="shared" si="88"/>
        <v>137.95520000000002</v>
      </c>
      <c r="M1896">
        <v>7</v>
      </c>
      <c r="N1896" t="str">
        <f t="shared" si="89"/>
        <v>Regular</v>
      </c>
    </row>
    <row r="1897" spans="1:14" x14ac:dyDescent="0.35">
      <c r="A1897">
        <v>1896</v>
      </c>
      <c r="B1897">
        <v>55</v>
      </c>
      <c r="C1897" t="str">
        <f t="shared" si="87"/>
        <v>Adult</v>
      </c>
      <c r="D1897" t="s">
        <v>11</v>
      </c>
      <c r="E1897" t="s">
        <v>12</v>
      </c>
      <c r="F1897" t="s">
        <v>13</v>
      </c>
      <c r="G1897">
        <v>89.11</v>
      </c>
      <c r="H1897" t="s">
        <v>24</v>
      </c>
      <c r="I1897" t="s">
        <v>37</v>
      </c>
      <c r="J1897">
        <v>2.6</v>
      </c>
      <c r="K1897">
        <v>12</v>
      </c>
      <c r="L1897">
        <f t="shared" si="88"/>
        <v>78.416799999999995</v>
      </c>
      <c r="M1897">
        <v>1</v>
      </c>
      <c r="N1897" t="str">
        <f t="shared" si="89"/>
        <v>New</v>
      </c>
    </row>
    <row r="1898" spans="1:14" x14ac:dyDescent="0.35">
      <c r="A1898">
        <v>1897</v>
      </c>
      <c r="B1898">
        <v>34</v>
      </c>
      <c r="C1898" t="str">
        <f t="shared" si="87"/>
        <v>Adult</v>
      </c>
      <c r="D1898" t="s">
        <v>11</v>
      </c>
      <c r="E1898" t="s">
        <v>12</v>
      </c>
      <c r="F1898" t="s">
        <v>50</v>
      </c>
      <c r="G1898">
        <v>179.27</v>
      </c>
      <c r="H1898" t="s">
        <v>24</v>
      </c>
      <c r="I1898" t="s">
        <v>15</v>
      </c>
      <c r="J1898">
        <v>4.2</v>
      </c>
      <c r="K1898">
        <v>13</v>
      </c>
      <c r="L1898">
        <f t="shared" si="88"/>
        <v>155.9649</v>
      </c>
      <c r="M1898">
        <v>4</v>
      </c>
      <c r="N1898" t="str">
        <f t="shared" si="89"/>
        <v>Regular</v>
      </c>
    </row>
    <row r="1899" spans="1:14" x14ac:dyDescent="0.35">
      <c r="A1899">
        <v>1898</v>
      </c>
      <c r="B1899">
        <v>28</v>
      </c>
      <c r="C1899" t="str">
        <f t="shared" si="87"/>
        <v>Youth</v>
      </c>
      <c r="D1899" t="s">
        <v>16</v>
      </c>
      <c r="E1899" t="s">
        <v>17</v>
      </c>
      <c r="F1899" t="s">
        <v>35</v>
      </c>
      <c r="G1899">
        <v>147.68</v>
      </c>
      <c r="H1899" t="s">
        <v>14</v>
      </c>
      <c r="I1899" t="s">
        <v>15</v>
      </c>
      <c r="J1899">
        <v>3.5</v>
      </c>
      <c r="K1899">
        <v>24</v>
      </c>
      <c r="L1899">
        <f t="shared" si="88"/>
        <v>112.2368</v>
      </c>
      <c r="M1899">
        <v>7</v>
      </c>
      <c r="N1899" t="str">
        <f t="shared" si="89"/>
        <v>Regular</v>
      </c>
    </row>
    <row r="1900" spans="1:14" x14ac:dyDescent="0.35">
      <c r="A1900">
        <v>1899</v>
      </c>
      <c r="B1900">
        <v>63</v>
      </c>
      <c r="C1900" t="str">
        <f t="shared" si="87"/>
        <v>Senior</v>
      </c>
      <c r="D1900" t="s">
        <v>11</v>
      </c>
      <c r="E1900" t="s">
        <v>41</v>
      </c>
      <c r="F1900" t="s">
        <v>42</v>
      </c>
      <c r="G1900">
        <v>90.28</v>
      </c>
      <c r="H1900" t="s">
        <v>31</v>
      </c>
      <c r="I1900" t="s">
        <v>15</v>
      </c>
      <c r="J1900">
        <v>4</v>
      </c>
      <c r="K1900">
        <v>19</v>
      </c>
      <c r="L1900">
        <f t="shared" si="88"/>
        <v>73.126800000000003</v>
      </c>
      <c r="M1900">
        <v>7</v>
      </c>
      <c r="N1900" t="str">
        <f t="shared" si="89"/>
        <v>Regular</v>
      </c>
    </row>
    <row r="1901" spans="1:14" x14ac:dyDescent="0.35">
      <c r="A1901">
        <v>1900</v>
      </c>
      <c r="B1901">
        <v>43</v>
      </c>
      <c r="C1901" t="str">
        <f t="shared" si="87"/>
        <v>Adult</v>
      </c>
      <c r="D1901" t="s">
        <v>11</v>
      </c>
      <c r="E1901" t="s">
        <v>22</v>
      </c>
      <c r="F1901" t="s">
        <v>52</v>
      </c>
      <c r="G1901">
        <v>261.98</v>
      </c>
      <c r="H1901" t="s">
        <v>24</v>
      </c>
      <c r="I1901" t="s">
        <v>15</v>
      </c>
      <c r="J1901">
        <v>4.2</v>
      </c>
      <c r="K1901">
        <v>24</v>
      </c>
      <c r="L1901">
        <f t="shared" si="88"/>
        <v>199.10480000000001</v>
      </c>
      <c r="M1901">
        <v>7</v>
      </c>
      <c r="N1901" t="str">
        <f t="shared" si="89"/>
        <v>Regular</v>
      </c>
    </row>
    <row r="1902" spans="1:14" x14ac:dyDescent="0.35">
      <c r="A1902">
        <v>1901</v>
      </c>
      <c r="B1902">
        <v>35</v>
      </c>
      <c r="C1902" t="str">
        <f t="shared" si="87"/>
        <v>Adult</v>
      </c>
      <c r="D1902" t="s">
        <v>16</v>
      </c>
      <c r="E1902" t="s">
        <v>27</v>
      </c>
      <c r="F1902" t="s">
        <v>32</v>
      </c>
      <c r="G1902">
        <v>2479.4</v>
      </c>
      <c r="H1902" t="s">
        <v>31</v>
      </c>
      <c r="I1902" t="s">
        <v>15</v>
      </c>
      <c r="J1902">
        <v>3.9</v>
      </c>
      <c r="K1902">
        <v>24</v>
      </c>
      <c r="L1902">
        <f t="shared" si="88"/>
        <v>1884.3440000000001</v>
      </c>
      <c r="M1902">
        <v>7</v>
      </c>
      <c r="N1902" t="str">
        <f t="shared" si="89"/>
        <v>Regular</v>
      </c>
    </row>
    <row r="1903" spans="1:14" x14ac:dyDescent="0.35">
      <c r="A1903">
        <v>1902</v>
      </c>
      <c r="B1903">
        <v>36</v>
      </c>
      <c r="C1903" t="str">
        <f t="shared" si="87"/>
        <v>Adult</v>
      </c>
      <c r="D1903" t="s">
        <v>16</v>
      </c>
      <c r="E1903" t="s">
        <v>20</v>
      </c>
      <c r="F1903" t="s">
        <v>39</v>
      </c>
      <c r="G1903">
        <v>159.18</v>
      </c>
      <c r="H1903" t="s">
        <v>19</v>
      </c>
      <c r="I1903" t="s">
        <v>15</v>
      </c>
      <c r="J1903">
        <v>2.4</v>
      </c>
      <c r="K1903">
        <v>12</v>
      </c>
      <c r="L1903">
        <f t="shared" si="88"/>
        <v>140.07840000000002</v>
      </c>
      <c r="M1903">
        <v>6</v>
      </c>
      <c r="N1903" t="str">
        <f t="shared" si="89"/>
        <v>Regular</v>
      </c>
    </row>
    <row r="1904" spans="1:14" x14ac:dyDescent="0.35">
      <c r="A1904">
        <v>1903</v>
      </c>
      <c r="B1904">
        <v>48</v>
      </c>
      <c r="C1904" t="str">
        <f t="shared" si="87"/>
        <v>Adult</v>
      </c>
      <c r="D1904" t="s">
        <v>16</v>
      </c>
      <c r="E1904" t="s">
        <v>20</v>
      </c>
      <c r="F1904" t="s">
        <v>21</v>
      </c>
      <c r="G1904">
        <v>144.53</v>
      </c>
      <c r="H1904" t="s">
        <v>24</v>
      </c>
      <c r="I1904" t="s">
        <v>15</v>
      </c>
      <c r="J1904">
        <v>3.7</v>
      </c>
      <c r="K1904">
        <v>12</v>
      </c>
      <c r="L1904">
        <f t="shared" si="88"/>
        <v>127.18640000000001</v>
      </c>
      <c r="M1904">
        <v>6</v>
      </c>
      <c r="N1904" t="str">
        <f t="shared" si="89"/>
        <v>Regular</v>
      </c>
    </row>
    <row r="1905" spans="1:14" x14ac:dyDescent="0.35">
      <c r="A1905">
        <v>1904</v>
      </c>
      <c r="B1905">
        <v>34</v>
      </c>
      <c r="C1905" t="str">
        <f t="shared" si="87"/>
        <v>Adult</v>
      </c>
      <c r="D1905" t="s">
        <v>16</v>
      </c>
      <c r="E1905" t="s">
        <v>27</v>
      </c>
      <c r="F1905" t="s">
        <v>53</v>
      </c>
      <c r="G1905">
        <v>1675.77</v>
      </c>
      <c r="H1905" t="s">
        <v>14</v>
      </c>
      <c r="I1905" t="s">
        <v>15</v>
      </c>
      <c r="J1905">
        <v>3.6</v>
      </c>
      <c r="K1905">
        <v>24</v>
      </c>
      <c r="L1905">
        <f t="shared" si="88"/>
        <v>1273.5852</v>
      </c>
      <c r="M1905">
        <v>7</v>
      </c>
      <c r="N1905" t="str">
        <f t="shared" si="89"/>
        <v>Regular</v>
      </c>
    </row>
    <row r="1906" spans="1:14" x14ac:dyDescent="0.35">
      <c r="A1906">
        <v>1905</v>
      </c>
      <c r="B1906">
        <v>47</v>
      </c>
      <c r="C1906" t="str">
        <f t="shared" si="87"/>
        <v>Adult</v>
      </c>
      <c r="D1906" t="s">
        <v>11</v>
      </c>
      <c r="E1906" t="s">
        <v>33</v>
      </c>
      <c r="F1906" t="s">
        <v>38</v>
      </c>
      <c r="G1906">
        <v>64.760000000000005</v>
      </c>
      <c r="H1906" t="s">
        <v>31</v>
      </c>
      <c r="I1906" t="s">
        <v>37</v>
      </c>
      <c r="J1906">
        <v>4.3</v>
      </c>
      <c r="K1906">
        <v>4</v>
      </c>
      <c r="L1906">
        <f t="shared" si="88"/>
        <v>62.169600000000003</v>
      </c>
      <c r="M1906">
        <v>2</v>
      </c>
      <c r="N1906" t="str">
        <f t="shared" si="89"/>
        <v>New</v>
      </c>
    </row>
    <row r="1907" spans="1:14" x14ac:dyDescent="0.35">
      <c r="A1907">
        <v>1906</v>
      </c>
      <c r="B1907">
        <v>48</v>
      </c>
      <c r="C1907" t="str">
        <f t="shared" si="87"/>
        <v>Adult</v>
      </c>
      <c r="D1907" t="s">
        <v>11</v>
      </c>
      <c r="E1907" t="s">
        <v>41</v>
      </c>
      <c r="F1907" t="s">
        <v>45</v>
      </c>
      <c r="G1907">
        <v>118.33</v>
      </c>
      <c r="H1907" t="s">
        <v>19</v>
      </c>
      <c r="I1907" t="s">
        <v>15</v>
      </c>
      <c r="J1907">
        <v>4</v>
      </c>
      <c r="K1907">
        <v>24</v>
      </c>
      <c r="L1907">
        <f t="shared" si="88"/>
        <v>89.930800000000005</v>
      </c>
      <c r="M1907">
        <v>7</v>
      </c>
      <c r="N1907" t="str">
        <f t="shared" si="89"/>
        <v>Regular</v>
      </c>
    </row>
    <row r="1908" spans="1:14" x14ac:dyDescent="0.35">
      <c r="A1908">
        <v>1907</v>
      </c>
      <c r="B1908">
        <v>50</v>
      </c>
      <c r="C1908" t="str">
        <f t="shared" si="87"/>
        <v>Adult</v>
      </c>
      <c r="D1908" t="s">
        <v>11</v>
      </c>
      <c r="E1908" t="s">
        <v>12</v>
      </c>
      <c r="F1908" t="s">
        <v>56</v>
      </c>
      <c r="G1908">
        <v>150.38999999999999</v>
      </c>
      <c r="H1908" t="s">
        <v>31</v>
      </c>
      <c r="I1908" t="s">
        <v>15</v>
      </c>
      <c r="J1908">
        <v>4.2</v>
      </c>
      <c r="K1908">
        <v>11</v>
      </c>
      <c r="L1908">
        <f t="shared" si="88"/>
        <v>133.84709999999998</v>
      </c>
      <c r="M1908">
        <v>3</v>
      </c>
      <c r="N1908" t="str">
        <f t="shared" si="89"/>
        <v>New</v>
      </c>
    </row>
    <row r="1909" spans="1:14" x14ac:dyDescent="0.35">
      <c r="A1909">
        <v>1908</v>
      </c>
      <c r="B1909">
        <v>25</v>
      </c>
      <c r="C1909" t="str">
        <f t="shared" si="87"/>
        <v>Youth</v>
      </c>
      <c r="D1909" t="s">
        <v>16</v>
      </c>
      <c r="E1909" t="s">
        <v>33</v>
      </c>
      <c r="F1909" t="s">
        <v>40</v>
      </c>
      <c r="G1909">
        <v>120.73</v>
      </c>
      <c r="H1909" t="s">
        <v>24</v>
      </c>
      <c r="I1909" t="s">
        <v>15</v>
      </c>
      <c r="J1909">
        <v>4</v>
      </c>
      <c r="K1909">
        <v>11</v>
      </c>
      <c r="L1909">
        <f t="shared" si="88"/>
        <v>107.44970000000001</v>
      </c>
      <c r="M1909">
        <v>3</v>
      </c>
      <c r="N1909" t="str">
        <f t="shared" si="89"/>
        <v>New</v>
      </c>
    </row>
    <row r="1910" spans="1:14" x14ac:dyDescent="0.35">
      <c r="A1910">
        <v>1909</v>
      </c>
      <c r="B1910">
        <v>67</v>
      </c>
      <c r="C1910" t="str">
        <f t="shared" si="87"/>
        <v>Senior</v>
      </c>
      <c r="D1910" t="s">
        <v>16</v>
      </c>
      <c r="E1910" t="s">
        <v>25</v>
      </c>
      <c r="F1910" t="s">
        <v>47</v>
      </c>
      <c r="G1910">
        <v>25.65</v>
      </c>
      <c r="H1910" t="s">
        <v>24</v>
      </c>
      <c r="I1910" t="s">
        <v>37</v>
      </c>
      <c r="J1910">
        <v>3.5</v>
      </c>
      <c r="K1910">
        <v>17</v>
      </c>
      <c r="L1910">
        <f t="shared" si="88"/>
        <v>21.289499999999997</v>
      </c>
      <c r="M1910">
        <v>6</v>
      </c>
      <c r="N1910" t="str">
        <f t="shared" si="89"/>
        <v>Regular</v>
      </c>
    </row>
    <row r="1911" spans="1:14" x14ac:dyDescent="0.35">
      <c r="A1911">
        <v>1910</v>
      </c>
      <c r="B1911">
        <v>65</v>
      </c>
      <c r="C1911" t="str">
        <f t="shared" si="87"/>
        <v>Senior</v>
      </c>
      <c r="D1911" t="s">
        <v>11</v>
      </c>
      <c r="E1911" t="s">
        <v>25</v>
      </c>
      <c r="F1911" t="s">
        <v>47</v>
      </c>
      <c r="G1911">
        <v>25.3</v>
      </c>
      <c r="H1911" t="s">
        <v>14</v>
      </c>
      <c r="I1911" t="s">
        <v>37</v>
      </c>
      <c r="J1911">
        <v>3.4</v>
      </c>
      <c r="K1911">
        <v>21</v>
      </c>
      <c r="L1911">
        <f t="shared" si="88"/>
        <v>19.987000000000002</v>
      </c>
      <c r="M1911">
        <v>8</v>
      </c>
      <c r="N1911" t="str">
        <f t="shared" si="89"/>
        <v>Loyal</v>
      </c>
    </row>
    <row r="1912" spans="1:14" x14ac:dyDescent="0.35">
      <c r="A1912">
        <v>1911</v>
      </c>
      <c r="B1912">
        <v>33</v>
      </c>
      <c r="C1912" t="str">
        <f t="shared" si="87"/>
        <v>Adult</v>
      </c>
      <c r="D1912" t="s">
        <v>11</v>
      </c>
      <c r="E1912" t="s">
        <v>20</v>
      </c>
      <c r="F1912" t="s">
        <v>21</v>
      </c>
      <c r="G1912">
        <v>54.43</v>
      </c>
      <c r="H1912" t="s">
        <v>14</v>
      </c>
      <c r="I1912" t="s">
        <v>37</v>
      </c>
      <c r="J1912">
        <v>3.6</v>
      </c>
      <c r="K1912">
        <v>20</v>
      </c>
      <c r="L1912">
        <f t="shared" si="88"/>
        <v>43.544000000000004</v>
      </c>
      <c r="M1912">
        <v>10</v>
      </c>
      <c r="N1912" t="str">
        <f t="shared" si="89"/>
        <v>Loyal</v>
      </c>
    </row>
    <row r="1913" spans="1:14" x14ac:dyDescent="0.35">
      <c r="A1913">
        <v>1912</v>
      </c>
      <c r="B1913">
        <v>37</v>
      </c>
      <c r="C1913" t="str">
        <f t="shared" si="87"/>
        <v>Adult</v>
      </c>
      <c r="D1913" t="s">
        <v>16</v>
      </c>
      <c r="E1913" t="s">
        <v>33</v>
      </c>
      <c r="F1913" t="s">
        <v>40</v>
      </c>
      <c r="G1913">
        <v>164.63</v>
      </c>
      <c r="H1913" t="s">
        <v>24</v>
      </c>
      <c r="I1913" t="s">
        <v>15</v>
      </c>
      <c r="J1913">
        <v>2.5</v>
      </c>
      <c r="K1913">
        <v>16</v>
      </c>
      <c r="L1913">
        <f t="shared" si="88"/>
        <v>138.28919999999999</v>
      </c>
      <c r="M1913">
        <v>3</v>
      </c>
      <c r="N1913" t="str">
        <f t="shared" si="89"/>
        <v>New</v>
      </c>
    </row>
    <row r="1914" spans="1:14" x14ac:dyDescent="0.35">
      <c r="A1914">
        <v>1913</v>
      </c>
      <c r="B1914">
        <v>24</v>
      </c>
      <c r="C1914" t="str">
        <f t="shared" si="87"/>
        <v>Youth</v>
      </c>
      <c r="D1914" t="s">
        <v>16</v>
      </c>
      <c r="E1914" t="s">
        <v>17</v>
      </c>
      <c r="F1914" t="s">
        <v>42</v>
      </c>
      <c r="G1914">
        <v>109.21</v>
      </c>
      <c r="H1914" t="s">
        <v>31</v>
      </c>
      <c r="I1914" t="s">
        <v>15</v>
      </c>
      <c r="J1914">
        <v>3.9</v>
      </c>
      <c r="K1914">
        <v>22</v>
      </c>
      <c r="L1914">
        <f t="shared" si="88"/>
        <v>85.183800000000005</v>
      </c>
      <c r="M1914">
        <v>11</v>
      </c>
      <c r="N1914" t="str">
        <f t="shared" si="89"/>
        <v>Loyal</v>
      </c>
    </row>
    <row r="1915" spans="1:14" x14ac:dyDescent="0.35">
      <c r="A1915">
        <v>1914</v>
      </c>
      <c r="B1915">
        <v>40</v>
      </c>
      <c r="C1915" t="str">
        <f t="shared" si="87"/>
        <v>Adult</v>
      </c>
      <c r="D1915" t="s">
        <v>11</v>
      </c>
      <c r="E1915" t="s">
        <v>41</v>
      </c>
      <c r="F1915" t="s">
        <v>46</v>
      </c>
      <c r="G1915">
        <v>96.67</v>
      </c>
      <c r="H1915" t="s">
        <v>19</v>
      </c>
      <c r="I1915" t="s">
        <v>37</v>
      </c>
      <c r="J1915">
        <v>3.5</v>
      </c>
      <c r="K1915">
        <v>17</v>
      </c>
      <c r="L1915">
        <f t="shared" si="88"/>
        <v>80.236099999999993</v>
      </c>
      <c r="M1915">
        <v>6</v>
      </c>
      <c r="N1915" t="str">
        <f t="shared" si="89"/>
        <v>Regular</v>
      </c>
    </row>
    <row r="1916" spans="1:14" x14ac:dyDescent="0.35">
      <c r="A1916">
        <v>1915</v>
      </c>
      <c r="B1916">
        <v>69</v>
      </c>
      <c r="C1916" t="str">
        <f t="shared" si="87"/>
        <v>Senior</v>
      </c>
      <c r="D1916" t="s">
        <v>11</v>
      </c>
      <c r="E1916" t="s">
        <v>20</v>
      </c>
      <c r="F1916" t="s">
        <v>39</v>
      </c>
      <c r="G1916">
        <v>243.62</v>
      </c>
      <c r="H1916" t="s">
        <v>14</v>
      </c>
      <c r="I1916" t="s">
        <v>15</v>
      </c>
      <c r="J1916">
        <v>4</v>
      </c>
      <c r="K1916">
        <v>16</v>
      </c>
      <c r="L1916">
        <f t="shared" si="88"/>
        <v>204.64079999999998</v>
      </c>
      <c r="M1916">
        <v>3</v>
      </c>
      <c r="N1916" t="str">
        <f t="shared" si="89"/>
        <v>New</v>
      </c>
    </row>
    <row r="1917" spans="1:14" x14ac:dyDescent="0.35">
      <c r="A1917">
        <v>1916</v>
      </c>
      <c r="B1917">
        <v>68</v>
      </c>
      <c r="C1917" t="str">
        <f t="shared" si="87"/>
        <v>Senior</v>
      </c>
      <c r="D1917" t="s">
        <v>16</v>
      </c>
      <c r="E1917" t="s">
        <v>20</v>
      </c>
      <c r="F1917" t="s">
        <v>36</v>
      </c>
      <c r="G1917">
        <v>241.87</v>
      </c>
      <c r="H1917" t="s">
        <v>31</v>
      </c>
      <c r="I1917" t="s">
        <v>15</v>
      </c>
      <c r="J1917">
        <v>3.7</v>
      </c>
      <c r="K1917">
        <v>10</v>
      </c>
      <c r="L1917">
        <f t="shared" si="88"/>
        <v>217.68300000000002</v>
      </c>
      <c r="M1917">
        <v>5</v>
      </c>
      <c r="N1917" t="str">
        <f t="shared" si="89"/>
        <v>Regular</v>
      </c>
    </row>
    <row r="1918" spans="1:14" x14ac:dyDescent="0.35">
      <c r="A1918">
        <v>1917</v>
      </c>
      <c r="B1918">
        <v>38</v>
      </c>
      <c r="C1918" t="str">
        <f t="shared" si="87"/>
        <v>Adult</v>
      </c>
      <c r="D1918" t="s">
        <v>11</v>
      </c>
      <c r="E1918" t="s">
        <v>20</v>
      </c>
      <c r="F1918" t="s">
        <v>21</v>
      </c>
      <c r="G1918">
        <v>77.44</v>
      </c>
      <c r="H1918" t="s">
        <v>14</v>
      </c>
      <c r="I1918" t="s">
        <v>15</v>
      </c>
      <c r="J1918">
        <v>4.3</v>
      </c>
      <c r="K1918">
        <v>10</v>
      </c>
      <c r="L1918">
        <f t="shared" si="88"/>
        <v>69.695999999999998</v>
      </c>
      <c r="M1918">
        <v>5</v>
      </c>
      <c r="N1918" t="str">
        <f t="shared" si="89"/>
        <v>Regular</v>
      </c>
    </row>
    <row r="1919" spans="1:14" x14ac:dyDescent="0.35">
      <c r="A1919">
        <v>1918</v>
      </c>
      <c r="B1919">
        <v>49</v>
      </c>
      <c r="C1919" t="str">
        <f t="shared" si="87"/>
        <v>Adult</v>
      </c>
      <c r="D1919" t="s">
        <v>11</v>
      </c>
      <c r="E1919" t="s">
        <v>29</v>
      </c>
      <c r="F1919" t="s">
        <v>51</v>
      </c>
      <c r="G1919">
        <v>107.16</v>
      </c>
      <c r="H1919" t="s">
        <v>24</v>
      </c>
      <c r="I1919" t="s">
        <v>15</v>
      </c>
      <c r="J1919">
        <v>3.1</v>
      </c>
      <c r="K1919">
        <v>16</v>
      </c>
      <c r="L1919">
        <f t="shared" si="88"/>
        <v>90.014399999999995</v>
      </c>
      <c r="M1919">
        <v>8</v>
      </c>
      <c r="N1919" t="str">
        <f t="shared" si="89"/>
        <v>Loyal</v>
      </c>
    </row>
    <row r="1920" spans="1:14" x14ac:dyDescent="0.35">
      <c r="A1920">
        <v>1919</v>
      </c>
      <c r="B1920">
        <v>50</v>
      </c>
      <c r="C1920" t="str">
        <f t="shared" si="87"/>
        <v>Adult</v>
      </c>
      <c r="D1920" t="s">
        <v>16</v>
      </c>
      <c r="E1920" t="s">
        <v>17</v>
      </c>
      <c r="F1920" t="s">
        <v>18</v>
      </c>
      <c r="G1920">
        <v>109.18</v>
      </c>
      <c r="H1920" t="s">
        <v>19</v>
      </c>
      <c r="I1920" t="s">
        <v>15</v>
      </c>
      <c r="J1920">
        <v>4.3</v>
      </c>
      <c r="K1920">
        <v>12</v>
      </c>
      <c r="L1920">
        <f t="shared" si="88"/>
        <v>96.078400000000002</v>
      </c>
      <c r="M1920">
        <v>6</v>
      </c>
      <c r="N1920" t="str">
        <f t="shared" si="89"/>
        <v>Regular</v>
      </c>
    </row>
    <row r="1921" spans="1:14" x14ac:dyDescent="0.35">
      <c r="A1921">
        <v>1920</v>
      </c>
      <c r="B1921">
        <v>62</v>
      </c>
      <c r="C1921" t="str">
        <f t="shared" si="87"/>
        <v>Senior</v>
      </c>
      <c r="D1921" t="s">
        <v>11</v>
      </c>
      <c r="E1921" t="s">
        <v>41</v>
      </c>
      <c r="F1921" t="s">
        <v>44</v>
      </c>
      <c r="G1921">
        <v>135.93</v>
      </c>
      <c r="H1921" t="s">
        <v>31</v>
      </c>
      <c r="I1921" t="s">
        <v>15</v>
      </c>
      <c r="J1921">
        <v>4.0999999999999996</v>
      </c>
      <c r="K1921">
        <v>15</v>
      </c>
      <c r="L1921">
        <f t="shared" si="88"/>
        <v>115.54050000000001</v>
      </c>
      <c r="M1921">
        <v>5</v>
      </c>
      <c r="N1921" t="str">
        <f t="shared" si="89"/>
        <v>Regular</v>
      </c>
    </row>
    <row r="1922" spans="1:14" x14ac:dyDescent="0.35">
      <c r="A1922">
        <v>1921</v>
      </c>
      <c r="B1922">
        <v>34</v>
      </c>
      <c r="C1922" t="str">
        <f t="shared" si="87"/>
        <v>Adult</v>
      </c>
      <c r="D1922" t="s">
        <v>11</v>
      </c>
      <c r="E1922" t="s">
        <v>33</v>
      </c>
      <c r="F1922" t="s">
        <v>40</v>
      </c>
      <c r="G1922">
        <v>219.3</v>
      </c>
      <c r="H1922" t="s">
        <v>14</v>
      </c>
      <c r="I1922" t="s">
        <v>15</v>
      </c>
      <c r="J1922">
        <v>2.8</v>
      </c>
      <c r="K1922">
        <v>20</v>
      </c>
      <c r="L1922">
        <f t="shared" si="88"/>
        <v>175.44000000000003</v>
      </c>
      <c r="M1922">
        <v>5</v>
      </c>
      <c r="N1922" t="str">
        <f t="shared" si="89"/>
        <v>Regular</v>
      </c>
    </row>
    <row r="1923" spans="1:14" x14ac:dyDescent="0.35">
      <c r="A1923">
        <v>1922</v>
      </c>
      <c r="B1923">
        <v>24</v>
      </c>
      <c r="C1923" t="str">
        <f t="shared" ref="C1923:C1986" si="90">IF(B1923&lt;=30,"Youth",IF(B1923&lt;=45,"Adult",IF(B1923&lt;=60,"Adult","Senior")))</f>
        <v>Youth</v>
      </c>
      <c r="D1923" t="s">
        <v>16</v>
      </c>
      <c r="E1923" t="s">
        <v>22</v>
      </c>
      <c r="F1923" t="s">
        <v>23</v>
      </c>
      <c r="G1923">
        <v>265</v>
      </c>
      <c r="H1923" t="s">
        <v>24</v>
      </c>
      <c r="I1923" t="s">
        <v>15</v>
      </c>
      <c r="J1923">
        <v>2.4</v>
      </c>
      <c r="K1923">
        <v>24</v>
      </c>
      <c r="L1923">
        <f t="shared" ref="L1923:L1986" si="91">G1923*(1-K1923/100)</f>
        <v>201.4</v>
      </c>
      <c r="M1923">
        <v>7</v>
      </c>
      <c r="N1923" t="str">
        <f t="shared" ref="N1923:N1986" si="92">IF(M1923&lt;=3,"New",IF(M1923&lt;=7,"Regular","Loyal"))</f>
        <v>Regular</v>
      </c>
    </row>
    <row r="1924" spans="1:14" x14ac:dyDescent="0.35">
      <c r="A1924">
        <v>1923</v>
      </c>
      <c r="B1924">
        <v>68</v>
      </c>
      <c r="C1924" t="str">
        <f t="shared" si="90"/>
        <v>Senior</v>
      </c>
      <c r="D1924" t="s">
        <v>11</v>
      </c>
      <c r="E1924" t="s">
        <v>29</v>
      </c>
      <c r="F1924" t="s">
        <v>51</v>
      </c>
      <c r="G1924">
        <v>65.91</v>
      </c>
      <c r="H1924" t="s">
        <v>14</v>
      </c>
      <c r="I1924" t="s">
        <v>37</v>
      </c>
      <c r="J1924">
        <v>5</v>
      </c>
      <c r="K1924">
        <v>9</v>
      </c>
      <c r="L1924">
        <f t="shared" si="91"/>
        <v>59.978099999999998</v>
      </c>
      <c r="M1924">
        <v>2</v>
      </c>
      <c r="N1924" t="str">
        <f t="shared" si="92"/>
        <v>New</v>
      </c>
    </row>
    <row r="1925" spans="1:14" x14ac:dyDescent="0.35">
      <c r="A1925">
        <v>1924</v>
      </c>
      <c r="B1925">
        <v>28</v>
      </c>
      <c r="C1925" t="str">
        <f t="shared" si="90"/>
        <v>Youth</v>
      </c>
      <c r="D1925" t="s">
        <v>16</v>
      </c>
      <c r="E1925" t="s">
        <v>20</v>
      </c>
      <c r="F1925" t="s">
        <v>39</v>
      </c>
      <c r="G1925">
        <v>167.74</v>
      </c>
      <c r="H1925" t="s">
        <v>14</v>
      </c>
      <c r="I1925" t="s">
        <v>15</v>
      </c>
      <c r="J1925">
        <v>4.4000000000000004</v>
      </c>
      <c r="K1925">
        <v>13</v>
      </c>
      <c r="L1925">
        <f t="shared" si="91"/>
        <v>145.93380000000002</v>
      </c>
      <c r="M1925">
        <v>4</v>
      </c>
      <c r="N1925" t="str">
        <f t="shared" si="92"/>
        <v>Regular</v>
      </c>
    </row>
    <row r="1926" spans="1:14" x14ac:dyDescent="0.35">
      <c r="A1926">
        <v>1925</v>
      </c>
      <c r="B1926">
        <v>25</v>
      </c>
      <c r="C1926" t="str">
        <f t="shared" si="90"/>
        <v>Youth</v>
      </c>
      <c r="D1926" t="s">
        <v>11</v>
      </c>
      <c r="E1926" t="s">
        <v>41</v>
      </c>
      <c r="F1926" t="s">
        <v>46</v>
      </c>
      <c r="G1926">
        <v>197.6</v>
      </c>
      <c r="H1926" t="s">
        <v>31</v>
      </c>
      <c r="I1926" t="s">
        <v>15</v>
      </c>
      <c r="J1926">
        <v>5</v>
      </c>
      <c r="K1926">
        <v>13</v>
      </c>
      <c r="L1926">
        <f t="shared" si="91"/>
        <v>171.91200000000001</v>
      </c>
      <c r="M1926">
        <v>4</v>
      </c>
      <c r="N1926" t="str">
        <f t="shared" si="92"/>
        <v>Regular</v>
      </c>
    </row>
    <row r="1927" spans="1:14" x14ac:dyDescent="0.35">
      <c r="A1927">
        <v>1926</v>
      </c>
      <c r="B1927">
        <v>66</v>
      </c>
      <c r="C1927" t="str">
        <f t="shared" si="90"/>
        <v>Senior</v>
      </c>
      <c r="D1927" t="s">
        <v>16</v>
      </c>
      <c r="E1927" t="s">
        <v>20</v>
      </c>
      <c r="F1927" t="s">
        <v>21</v>
      </c>
      <c r="G1927">
        <v>69.37</v>
      </c>
      <c r="H1927" t="s">
        <v>14</v>
      </c>
      <c r="I1927" t="s">
        <v>15</v>
      </c>
      <c r="J1927">
        <v>3.8</v>
      </c>
      <c r="K1927">
        <v>6</v>
      </c>
      <c r="L1927">
        <f t="shared" si="91"/>
        <v>65.207800000000006</v>
      </c>
      <c r="M1927">
        <v>3</v>
      </c>
      <c r="N1927" t="str">
        <f t="shared" si="92"/>
        <v>New</v>
      </c>
    </row>
    <row r="1928" spans="1:14" x14ac:dyDescent="0.35">
      <c r="A1928">
        <v>1927</v>
      </c>
      <c r="B1928">
        <v>63</v>
      </c>
      <c r="C1928" t="str">
        <f t="shared" si="90"/>
        <v>Senior</v>
      </c>
      <c r="D1928" t="s">
        <v>11</v>
      </c>
      <c r="E1928" t="s">
        <v>33</v>
      </c>
      <c r="F1928" t="s">
        <v>38</v>
      </c>
      <c r="G1928">
        <v>176.79</v>
      </c>
      <c r="H1928" t="s">
        <v>24</v>
      </c>
      <c r="I1928" t="s">
        <v>15</v>
      </c>
      <c r="J1928">
        <v>2.5</v>
      </c>
      <c r="K1928">
        <v>16</v>
      </c>
      <c r="L1928">
        <f t="shared" si="91"/>
        <v>148.50359999999998</v>
      </c>
      <c r="M1928">
        <v>3</v>
      </c>
      <c r="N1928" t="str">
        <f t="shared" si="92"/>
        <v>New</v>
      </c>
    </row>
    <row r="1929" spans="1:14" x14ac:dyDescent="0.35">
      <c r="A1929">
        <v>1928</v>
      </c>
      <c r="B1929">
        <v>57</v>
      </c>
      <c r="C1929" t="str">
        <f t="shared" si="90"/>
        <v>Adult</v>
      </c>
      <c r="D1929" t="s">
        <v>11</v>
      </c>
      <c r="E1929" t="s">
        <v>29</v>
      </c>
      <c r="F1929" t="s">
        <v>51</v>
      </c>
      <c r="G1929">
        <v>30.64</v>
      </c>
      <c r="H1929" t="s">
        <v>19</v>
      </c>
      <c r="I1929" t="s">
        <v>15</v>
      </c>
      <c r="J1929">
        <v>3.2</v>
      </c>
      <c r="K1929">
        <v>22</v>
      </c>
      <c r="L1929">
        <f t="shared" si="91"/>
        <v>23.8992</v>
      </c>
      <c r="M1929">
        <v>6</v>
      </c>
      <c r="N1929" t="str">
        <f t="shared" si="92"/>
        <v>Regular</v>
      </c>
    </row>
    <row r="1930" spans="1:14" x14ac:dyDescent="0.35">
      <c r="A1930">
        <v>1929</v>
      </c>
      <c r="B1930">
        <v>62</v>
      </c>
      <c r="C1930" t="str">
        <f t="shared" si="90"/>
        <v>Senior</v>
      </c>
      <c r="D1930" t="s">
        <v>16</v>
      </c>
      <c r="E1930" t="s">
        <v>20</v>
      </c>
      <c r="F1930" t="s">
        <v>39</v>
      </c>
      <c r="G1930">
        <v>55.13</v>
      </c>
      <c r="H1930" t="s">
        <v>24</v>
      </c>
      <c r="I1930" t="s">
        <v>15</v>
      </c>
      <c r="J1930">
        <v>4.2</v>
      </c>
      <c r="K1930">
        <v>13</v>
      </c>
      <c r="L1930">
        <f t="shared" si="91"/>
        <v>47.963100000000004</v>
      </c>
      <c r="M1930">
        <v>4</v>
      </c>
      <c r="N1930" t="str">
        <f t="shared" si="92"/>
        <v>Regular</v>
      </c>
    </row>
    <row r="1931" spans="1:14" x14ac:dyDescent="0.35">
      <c r="A1931">
        <v>1930</v>
      </c>
      <c r="B1931">
        <v>59</v>
      </c>
      <c r="C1931" t="str">
        <f t="shared" si="90"/>
        <v>Adult</v>
      </c>
      <c r="D1931" t="s">
        <v>11</v>
      </c>
      <c r="E1931" t="s">
        <v>20</v>
      </c>
      <c r="F1931" t="s">
        <v>21</v>
      </c>
      <c r="G1931">
        <v>150.71</v>
      </c>
      <c r="H1931" t="s">
        <v>19</v>
      </c>
      <c r="I1931" t="s">
        <v>15</v>
      </c>
      <c r="J1931">
        <v>3.5</v>
      </c>
      <c r="K1931">
        <v>15</v>
      </c>
      <c r="L1931">
        <f t="shared" si="91"/>
        <v>128.1035</v>
      </c>
      <c r="M1931">
        <v>5</v>
      </c>
      <c r="N1931" t="str">
        <f t="shared" si="92"/>
        <v>Regular</v>
      </c>
    </row>
    <row r="1932" spans="1:14" x14ac:dyDescent="0.35">
      <c r="A1932">
        <v>1931</v>
      </c>
      <c r="B1932">
        <v>59</v>
      </c>
      <c r="C1932" t="str">
        <f t="shared" si="90"/>
        <v>Adult</v>
      </c>
      <c r="D1932" t="s">
        <v>11</v>
      </c>
      <c r="E1932" t="s">
        <v>41</v>
      </c>
      <c r="F1932" t="s">
        <v>44</v>
      </c>
      <c r="G1932">
        <v>42.51</v>
      </c>
      <c r="H1932" t="s">
        <v>14</v>
      </c>
      <c r="I1932" t="s">
        <v>15</v>
      </c>
      <c r="J1932">
        <v>3.5</v>
      </c>
      <c r="K1932">
        <v>18</v>
      </c>
      <c r="L1932">
        <f t="shared" si="91"/>
        <v>34.858200000000004</v>
      </c>
      <c r="M1932">
        <v>4</v>
      </c>
      <c r="N1932" t="str">
        <f t="shared" si="92"/>
        <v>Regular</v>
      </c>
    </row>
    <row r="1933" spans="1:14" x14ac:dyDescent="0.35">
      <c r="A1933">
        <v>1932</v>
      </c>
      <c r="B1933">
        <v>64</v>
      </c>
      <c r="C1933" t="str">
        <f t="shared" si="90"/>
        <v>Senior</v>
      </c>
      <c r="D1933" t="s">
        <v>11</v>
      </c>
      <c r="E1933" t="s">
        <v>29</v>
      </c>
      <c r="F1933" t="s">
        <v>30</v>
      </c>
      <c r="G1933">
        <v>83.82</v>
      </c>
      <c r="H1933" t="s">
        <v>31</v>
      </c>
      <c r="I1933" t="s">
        <v>15</v>
      </c>
      <c r="J1933">
        <v>2.9</v>
      </c>
      <c r="K1933">
        <v>12</v>
      </c>
      <c r="L1933">
        <f t="shared" si="91"/>
        <v>73.761600000000001</v>
      </c>
      <c r="M1933">
        <v>6</v>
      </c>
      <c r="N1933" t="str">
        <f t="shared" si="92"/>
        <v>Regular</v>
      </c>
    </row>
    <row r="1934" spans="1:14" x14ac:dyDescent="0.35">
      <c r="A1934">
        <v>1933</v>
      </c>
      <c r="B1934">
        <v>56</v>
      </c>
      <c r="C1934" t="str">
        <f t="shared" si="90"/>
        <v>Adult</v>
      </c>
      <c r="D1934" t="s">
        <v>11</v>
      </c>
      <c r="E1934" t="s">
        <v>29</v>
      </c>
      <c r="F1934" t="s">
        <v>30</v>
      </c>
      <c r="G1934">
        <v>53.72</v>
      </c>
      <c r="H1934" t="s">
        <v>19</v>
      </c>
      <c r="I1934" t="s">
        <v>37</v>
      </c>
      <c r="J1934">
        <v>2.4</v>
      </c>
      <c r="K1934">
        <v>16</v>
      </c>
      <c r="L1934">
        <f t="shared" si="91"/>
        <v>45.1248</v>
      </c>
      <c r="M1934">
        <v>3</v>
      </c>
      <c r="N1934" t="str">
        <f t="shared" si="92"/>
        <v>New</v>
      </c>
    </row>
    <row r="1935" spans="1:14" x14ac:dyDescent="0.35">
      <c r="A1935">
        <v>1934</v>
      </c>
      <c r="B1935">
        <v>42</v>
      </c>
      <c r="C1935" t="str">
        <f t="shared" si="90"/>
        <v>Adult</v>
      </c>
      <c r="D1935" t="s">
        <v>16</v>
      </c>
      <c r="E1935" t="s">
        <v>33</v>
      </c>
      <c r="F1935" t="s">
        <v>40</v>
      </c>
      <c r="G1935">
        <v>158.32</v>
      </c>
      <c r="H1935" t="s">
        <v>14</v>
      </c>
      <c r="I1935" t="s">
        <v>15</v>
      </c>
      <c r="J1935">
        <v>4.4000000000000004</v>
      </c>
      <c r="K1935">
        <v>10</v>
      </c>
      <c r="L1935">
        <f t="shared" si="91"/>
        <v>142.488</v>
      </c>
      <c r="M1935">
        <v>5</v>
      </c>
      <c r="N1935" t="str">
        <f t="shared" si="92"/>
        <v>Regular</v>
      </c>
    </row>
    <row r="1936" spans="1:14" x14ac:dyDescent="0.35">
      <c r="A1936">
        <v>1935</v>
      </c>
      <c r="B1936">
        <v>61</v>
      </c>
      <c r="C1936" t="str">
        <f t="shared" si="90"/>
        <v>Senior</v>
      </c>
      <c r="D1936" t="s">
        <v>11</v>
      </c>
      <c r="E1936" t="s">
        <v>33</v>
      </c>
      <c r="F1936" t="s">
        <v>40</v>
      </c>
      <c r="G1936">
        <v>232.32</v>
      </c>
      <c r="H1936" t="s">
        <v>19</v>
      </c>
      <c r="I1936" t="s">
        <v>15</v>
      </c>
      <c r="J1936">
        <v>2.7</v>
      </c>
      <c r="K1936">
        <v>4</v>
      </c>
      <c r="L1936">
        <f t="shared" si="91"/>
        <v>223.02719999999999</v>
      </c>
      <c r="M1936">
        <v>2</v>
      </c>
      <c r="N1936" t="str">
        <f t="shared" si="92"/>
        <v>New</v>
      </c>
    </row>
    <row r="1937" spans="1:14" x14ac:dyDescent="0.35">
      <c r="A1937">
        <v>1936</v>
      </c>
      <c r="B1937">
        <v>36</v>
      </c>
      <c r="C1937" t="str">
        <f t="shared" si="90"/>
        <v>Adult</v>
      </c>
      <c r="D1937" t="s">
        <v>16</v>
      </c>
      <c r="E1937" t="s">
        <v>20</v>
      </c>
      <c r="F1937" t="s">
        <v>39</v>
      </c>
      <c r="G1937">
        <v>228.65</v>
      </c>
      <c r="H1937" t="s">
        <v>31</v>
      </c>
      <c r="I1937" t="s">
        <v>15</v>
      </c>
      <c r="J1937">
        <v>4.0999999999999996</v>
      </c>
      <c r="K1937">
        <v>13</v>
      </c>
      <c r="L1937">
        <f t="shared" si="91"/>
        <v>198.9255</v>
      </c>
      <c r="M1937">
        <v>4</v>
      </c>
      <c r="N1937" t="str">
        <f t="shared" si="92"/>
        <v>Regular</v>
      </c>
    </row>
    <row r="1938" spans="1:14" x14ac:dyDescent="0.35">
      <c r="A1938">
        <v>1937</v>
      </c>
      <c r="B1938">
        <v>69</v>
      </c>
      <c r="C1938" t="str">
        <f t="shared" si="90"/>
        <v>Senior</v>
      </c>
      <c r="D1938" t="s">
        <v>16</v>
      </c>
      <c r="E1938" t="s">
        <v>20</v>
      </c>
      <c r="F1938" t="s">
        <v>21</v>
      </c>
      <c r="G1938">
        <v>56.11</v>
      </c>
      <c r="H1938" t="s">
        <v>31</v>
      </c>
      <c r="I1938" t="s">
        <v>37</v>
      </c>
      <c r="J1938">
        <v>2.7</v>
      </c>
      <c r="K1938">
        <v>22</v>
      </c>
      <c r="L1938">
        <f t="shared" si="91"/>
        <v>43.765799999999999</v>
      </c>
      <c r="M1938">
        <v>6</v>
      </c>
      <c r="N1938" t="str">
        <f t="shared" si="92"/>
        <v>Regular</v>
      </c>
    </row>
    <row r="1939" spans="1:14" x14ac:dyDescent="0.35">
      <c r="A1939">
        <v>1938</v>
      </c>
      <c r="B1939">
        <v>32</v>
      </c>
      <c r="C1939" t="str">
        <f t="shared" si="90"/>
        <v>Adult</v>
      </c>
      <c r="D1939" t="s">
        <v>11</v>
      </c>
      <c r="E1939" t="s">
        <v>22</v>
      </c>
      <c r="F1939" t="s">
        <v>23</v>
      </c>
      <c r="G1939">
        <v>175.14</v>
      </c>
      <c r="H1939" t="s">
        <v>19</v>
      </c>
      <c r="I1939" t="s">
        <v>15</v>
      </c>
      <c r="J1939">
        <v>3.6</v>
      </c>
      <c r="K1939">
        <v>20</v>
      </c>
      <c r="L1939">
        <f t="shared" si="91"/>
        <v>140.11199999999999</v>
      </c>
      <c r="M1939">
        <v>10</v>
      </c>
      <c r="N1939" t="str">
        <f t="shared" si="92"/>
        <v>Loyal</v>
      </c>
    </row>
    <row r="1940" spans="1:14" x14ac:dyDescent="0.35">
      <c r="A1940">
        <v>1939</v>
      </c>
      <c r="B1940">
        <v>58</v>
      </c>
      <c r="C1940" t="str">
        <f t="shared" si="90"/>
        <v>Adult</v>
      </c>
      <c r="D1940" t="s">
        <v>11</v>
      </c>
      <c r="E1940" t="s">
        <v>20</v>
      </c>
      <c r="F1940" t="s">
        <v>36</v>
      </c>
      <c r="G1940">
        <v>195.03</v>
      </c>
      <c r="H1940" t="s">
        <v>24</v>
      </c>
      <c r="I1940" t="s">
        <v>15</v>
      </c>
      <c r="J1940">
        <v>3.1</v>
      </c>
      <c r="K1940">
        <v>13</v>
      </c>
      <c r="L1940">
        <f t="shared" si="91"/>
        <v>169.67609999999999</v>
      </c>
      <c r="M1940">
        <v>4</v>
      </c>
      <c r="N1940" t="str">
        <f t="shared" si="92"/>
        <v>Regular</v>
      </c>
    </row>
    <row r="1941" spans="1:14" x14ac:dyDescent="0.35">
      <c r="A1941">
        <v>1940</v>
      </c>
      <c r="B1941">
        <v>52</v>
      </c>
      <c r="C1941" t="str">
        <f t="shared" si="90"/>
        <v>Adult</v>
      </c>
      <c r="D1941" t="s">
        <v>11</v>
      </c>
      <c r="E1941" t="s">
        <v>22</v>
      </c>
      <c r="F1941" t="s">
        <v>23</v>
      </c>
      <c r="G1941">
        <v>181.83</v>
      </c>
      <c r="H1941" t="s">
        <v>19</v>
      </c>
      <c r="I1941" t="s">
        <v>15</v>
      </c>
      <c r="J1941">
        <v>3.8</v>
      </c>
      <c r="K1941">
        <v>12</v>
      </c>
      <c r="L1941">
        <f t="shared" si="91"/>
        <v>160.0104</v>
      </c>
      <c r="M1941">
        <v>6</v>
      </c>
      <c r="N1941" t="str">
        <f t="shared" si="92"/>
        <v>Regular</v>
      </c>
    </row>
    <row r="1942" spans="1:14" x14ac:dyDescent="0.35">
      <c r="A1942">
        <v>1941</v>
      </c>
      <c r="B1942">
        <v>64</v>
      </c>
      <c r="C1942" t="str">
        <f t="shared" si="90"/>
        <v>Senior</v>
      </c>
      <c r="D1942" t="s">
        <v>11</v>
      </c>
      <c r="E1942" t="s">
        <v>33</v>
      </c>
      <c r="F1942" t="s">
        <v>40</v>
      </c>
      <c r="G1942">
        <v>107.22</v>
      </c>
      <c r="H1942" t="s">
        <v>24</v>
      </c>
      <c r="I1942" t="s">
        <v>15</v>
      </c>
      <c r="J1942">
        <v>4.4000000000000004</v>
      </c>
      <c r="K1942">
        <v>11</v>
      </c>
      <c r="L1942">
        <f t="shared" si="91"/>
        <v>95.425799999999995</v>
      </c>
      <c r="M1942">
        <v>3</v>
      </c>
      <c r="N1942" t="str">
        <f t="shared" si="92"/>
        <v>New</v>
      </c>
    </row>
    <row r="1943" spans="1:14" x14ac:dyDescent="0.35">
      <c r="A1943">
        <v>1942</v>
      </c>
      <c r="B1943">
        <v>42</v>
      </c>
      <c r="C1943" t="str">
        <f t="shared" si="90"/>
        <v>Adult</v>
      </c>
      <c r="D1943" t="s">
        <v>11</v>
      </c>
      <c r="E1943" t="s">
        <v>12</v>
      </c>
      <c r="F1943" t="s">
        <v>56</v>
      </c>
      <c r="G1943">
        <v>49.81</v>
      </c>
      <c r="H1943" t="s">
        <v>14</v>
      </c>
      <c r="I1943" t="s">
        <v>15</v>
      </c>
      <c r="J1943">
        <v>4.3</v>
      </c>
      <c r="K1943">
        <v>11</v>
      </c>
      <c r="L1943">
        <f t="shared" si="91"/>
        <v>44.3309</v>
      </c>
      <c r="M1943">
        <v>3</v>
      </c>
      <c r="N1943" t="str">
        <f t="shared" si="92"/>
        <v>New</v>
      </c>
    </row>
    <row r="1944" spans="1:14" x14ac:dyDescent="0.35">
      <c r="A1944">
        <v>1943</v>
      </c>
      <c r="B1944">
        <v>65</v>
      </c>
      <c r="C1944" t="str">
        <f t="shared" si="90"/>
        <v>Senior</v>
      </c>
      <c r="D1944" t="s">
        <v>16</v>
      </c>
      <c r="E1944" t="s">
        <v>20</v>
      </c>
      <c r="F1944" t="s">
        <v>21</v>
      </c>
      <c r="G1944">
        <v>54.39</v>
      </c>
      <c r="H1944" t="s">
        <v>24</v>
      </c>
      <c r="I1944" t="s">
        <v>37</v>
      </c>
      <c r="J1944">
        <v>3.8</v>
      </c>
      <c r="K1944">
        <v>9</v>
      </c>
      <c r="L1944">
        <f t="shared" si="91"/>
        <v>49.494900000000001</v>
      </c>
      <c r="M1944">
        <v>2</v>
      </c>
      <c r="N1944" t="str">
        <f t="shared" si="92"/>
        <v>New</v>
      </c>
    </row>
    <row r="1945" spans="1:14" x14ac:dyDescent="0.35">
      <c r="A1945">
        <v>1944</v>
      </c>
      <c r="B1945">
        <v>48</v>
      </c>
      <c r="C1945" t="str">
        <f t="shared" si="90"/>
        <v>Adult</v>
      </c>
      <c r="D1945" t="s">
        <v>16</v>
      </c>
      <c r="E1945" t="s">
        <v>33</v>
      </c>
      <c r="F1945" t="s">
        <v>40</v>
      </c>
      <c r="G1945">
        <v>63.06</v>
      </c>
      <c r="H1945" t="s">
        <v>14</v>
      </c>
      <c r="I1945" t="s">
        <v>15</v>
      </c>
      <c r="J1945">
        <v>4.2</v>
      </c>
      <c r="K1945">
        <v>22</v>
      </c>
      <c r="L1945">
        <f t="shared" si="91"/>
        <v>49.186800000000005</v>
      </c>
      <c r="M1945">
        <v>6</v>
      </c>
      <c r="N1945" t="str">
        <f t="shared" si="92"/>
        <v>Regular</v>
      </c>
    </row>
    <row r="1946" spans="1:14" x14ac:dyDescent="0.35">
      <c r="A1946">
        <v>1945</v>
      </c>
      <c r="B1946">
        <v>66</v>
      </c>
      <c r="C1946" t="str">
        <f t="shared" si="90"/>
        <v>Senior</v>
      </c>
      <c r="D1946" t="s">
        <v>16</v>
      </c>
      <c r="E1946" t="s">
        <v>27</v>
      </c>
      <c r="F1946" t="s">
        <v>49</v>
      </c>
      <c r="G1946">
        <v>1918.19</v>
      </c>
      <c r="H1946" t="s">
        <v>14</v>
      </c>
      <c r="I1946" t="s">
        <v>15</v>
      </c>
      <c r="J1946">
        <v>3.3</v>
      </c>
      <c r="K1946">
        <v>8</v>
      </c>
      <c r="L1946">
        <f t="shared" si="91"/>
        <v>1764.7348000000002</v>
      </c>
      <c r="M1946">
        <v>4</v>
      </c>
      <c r="N1946" t="str">
        <f t="shared" si="92"/>
        <v>Regular</v>
      </c>
    </row>
    <row r="1947" spans="1:14" x14ac:dyDescent="0.35">
      <c r="A1947">
        <v>1946</v>
      </c>
      <c r="B1947">
        <v>50</v>
      </c>
      <c r="C1947" t="str">
        <f t="shared" si="90"/>
        <v>Adult</v>
      </c>
      <c r="D1947" t="s">
        <v>16</v>
      </c>
      <c r="E1947" t="s">
        <v>17</v>
      </c>
      <c r="F1947" t="s">
        <v>18</v>
      </c>
      <c r="G1947">
        <v>132.11000000000001</v>
      </c>
      <c r="H1947" t="s">
        <v>19</v>
      </c>
      <c r="I1947" t="s">
        <v>15</v>
      </c>
      <c r="J1947">
        <v>3.7</v>
      </c>
      <c r="K1947">
        <v>18</v>
      </c>
      <c r="L1947">
        <f t="shared" si="91"/>
        <v>108.33020000000002</v>
      </c>
      <c r="M1947">
        <v>4</v>
      </c>
      <c r="N1947" t="str">
        <f t="shared" si="92"/>
        <v>Regular</v>
      </c>
    </row>
    <row r="1948" spans="1:14" x14ac:dyDescent="0.35">
      <c r="A1948">
        <v>1947</v>
      </c>
      <c r="B1948">
        <v>35</v>
      </c>
      <c r="C1948" t="str">
        <f t="shared" si="90"/>
        <v>Adult</v>
      </c>
      <c r="D1948" t="s">
        <v>11</v>
      </c>
      <c r="E1948" t="s">
        <v>41</v>
      </c>
      <c r="F1948" t="s">
        <v>45</v>
      </c>
      <c r="G1948">
        <v>84.23</v>
      </c>
      <c r="H1948" t="s">
        <v>31</v>
      </c>
      <c r="I1948" t="s">
        <v>37</v>
      </c>
      <c r="J1948">
        <v>5</v>
      </c>
      <c r="K1948">
        <v>8</v>
      </c>
      <c r="L1948">
        <f t="shared" si="91"/>
        <v>77.491600000000005</v>
      </c>
      <c r="M1948">
        <v>4</v>
      </c>
      <c r="N1948" t="str">
        <f t="shared" si="92"/>
        <v>Regular</v>
      </c>
    </row>
    <row r="1949" spans="1:14" x14ac:dyDescent="0.35">
      <c r="A1949">
        <v>1948</v>
      </c>
      <c r="B1949">
        <v>42</v>
      </c>
      <c r="C1949" t="str">
        <f t="shared" si="90"/>
        <v>Adult</v>
      </c>
      <c r="D1949" t="s">
        <v>11</v>
      </c>
      <c r="E1949" t="s">
        <v>29</v>
      </c>
      <c r="F1949" t="s">
        <v>55</v>
      </c>
      <c r="G1949">
        <v>114.27</v>
      </c>
      <c r="H1949" t="s">
        <v>19</v>
      </c>
      <c r="I1949" t="s">
        <v>15</v>
      </c>
      <c r="J1949">
        <v>5</v>
      </c>
      <c r="K1949">
        <v>12</v>
      </c>
      <c r="L1949">
        <f t="shared" si="91"/>
        <v>100.55759999999999</v>
      </c>
      <c r="M1949">
        <v>6</v>
      </c>
      <c r="N1949" t="str">
        <f t="shared" si="92"/>
        <v>Regular</v>
      </c>
    </row>
    <row r="1950" spans="1:14" x14ac:dyDescent="0.35">
      <c r="A1950">
        <v>1949</v>
      </c>
      <c r="B1950">
        <v>30</v>
      </c>
      <c r="C1950" t="str">
        <f t="shared" si="90"/>
        <v>Youth</v>
      </c>
      <c r="D1950" t="s">
        <v>11</v>
      </c>
      <c r="E1950" t="s">
        <v>22</v>
      </c>
      <c r="F1950" t="s">
        <v>52</v>
      </c>
      <c r="G1950">
        <v>39.24</v>
      </c>
      <c r="H1950" t="s">
        <v>19</v>
      </c>
      <c r="I1950" t="s">
        <v>37</v>
      </c>
      <c r="J1950">
        <v>3.3</v>
      </c>
      <c r="K1950">
        <v>22</v>
      </c>
      <c r="L1950">
        <f t="shared" si="91"/>
        <v>30.607200000000002</v>
      </c>
      <c r="M1950">
        <v>6</v>
      </c>
      <c r="N1950" t="str">
        <f t="shared" si="92"/>
        <v>Regular</v>
      </c>
    </row>
    <row r="1951" spans="1:14" x14ac:dyDescent="0.35">
      <c r="A1951">
        <v>1950</v>
      </c>
      <c r="B1951">
        <v>42</v>
      </c>
      <c r="C1951" t="str">
        <f t="shared" si="90"/>
        <v>Adult</v>
      </c>
      <c r="D1951" t="s">
        <v>11</v>
      </c>
      <c r="E1951" t="s">
        <v>33</v>
      </c>
      <c r="F1951" t="s">
        <v>38</v>
      </c>
      <c r="G1951">
        <v>121.16</v>
      </c>
      <c r="H1951" t="s">
        <v>19</v>
      </c>
      <c r="I1951" t="s">
        <v>15</v>
      </c>
      <c r="J1951">
        <v>2.8</v>
      </c>
      <c r="K1951">
        <v>16</v>
      </c>
      <c r="L1951">
        <f t="shared" si="91"/>
        <v>101.7744</v>
      </c>
      <c r="M1951">
        <v>8</v>
      </c>
      <c r="N1951" t="str">
        <f t="shared" si="92"/>
        <v>Loyal</v>
      </c>
    </row>
    <row r="1952" spans="1:14" x14ac:dyDescent="0.35">
      <c r="A1952">
        <v>1951</v>
      </c>
      <c r="B1952">
        <v>51</v>
      </c>
      <c r="C1952" t="str">
        <f t="shared" si="90"/>
        <v>Adult</v>
      </c>
      <c r="D1952" t="s">
        <v>11</v>
      </c>
      <c r="E1952" t="s">
        <v>25</v>
      </c>
      <c r="F1952" t="s">
        <v>26</v>
      </c>
      <c r="G1952">
        <v>45.86</v>
      </c>
      <c r="H1952" t="s">
        <v>14</v>
      </c>
      <c r="I1952" t="s">
        <v>15</v>
      </c>
      <c r="J1952">
        <v>3.6</v>
      </c>
      <c r="K1952">
        <v>8</v>
      </c>
      <c r="L1952">
        <f t="shared" si="91"/>
        <v>42.191200000000002</v>
      </c>
      <c r="M1952">
        <v>4</v>
      </c>
      <c r="N1952" t="str">
        <f t="shared" si="92"/>
        <v>Regular</v>
      </c>
    </row>
    <row r="1953" spans="1:14" x14ac:dyDescent="0.35">
      <c r="A1953">
        <v>1952</v>
      </c>
      <c r="B1953">
        <v>38</v>
      </c>
      <c r="C1953" t="str">
        <f t="shared" si="90"/>
        <v>Adult</v>
      </c>
      <c r="D1953" t="s">
        <v>16</v>
      </c>
      <c r="E1953" t="s">
        <v>17</v>
      </c>
      <c r="F1953" t="s">
        <v>42</v>
      </c>
      <c r="G1953">
        <v>38.47</v>
      </c>
      <c r="H1953" t="s">
        <v>19</v>
      </c>
      <c r="I1953" t="s">
        <v>15</v>
      </c>
      <c r="J1953">
        <v>3.6</v>
      </c>
      <c r="K1953">
        <v>17</v>
      </c>
      <c r="L1953">
        <f t="shared" si="91"/>
        <v>31.930099999999996</v>
      </c>
      <c r="M1953">
        <v>6</v>
      </c>
      <c r="N1953" t="str">
        <f t="shared" si="92"/>
        <v>Regular</v>
      </c>
    </row>
    <row r="1954" spans="1:14" x14ac:dyDescent="0.35">
      <c r="A1954">
        <v>1953</v>
      </c>
      <c r="B1954">
        <v>46</v>
      </c>
      <c r="C1954" t="str">
        <f t="shared" si="90"/>
        <v>Adult</v>
      </c>
      <c r="D1954" t="s">
        <v>16</v>
      </c>
      <c r="E1954" t="s">
        <v>20</v>
      </c>
      <c r="F1954" t="s">
        <v>36</v>
      </c>
      <c r="G1954">
        <v>98.54</v>
      </c>
      <c r="H1954" t="s">
        <v>24</v>
      </c>
      <c r="I1954" t="s">
        <v>15</v>
      </c>
      <c r="J1954">
        <v>4.7</v>
      </c>
      <c r="K1954">
        <v>8</v>
      </c>
      <c r="L1954">
        <f t="shared" si="91"/>
        <v>90.656800000000004</v>
      </c>
      <c r="M1954">
        <v>4</v>
      </c>
      <c r="N1954" t="str">
        <f t="shared" si="92"/>
        <v>Regular</v>
      </c>
    </row>
    <row r="1955" spans="1:14" x14ac:dyDescent="0.35">
      <c r="A1955">
        <v>1954</v>
      </c>
      <c r="B1955">
        <v>55</v>
      </c>
      <c r="C1955" t="str">
        <f t="shared" si="90"/>
        <v>Adult</v>
      </c>
      <c r="D1955" t="s">
        <v>16</v>
      </c>
      <c r="E1955" t="s">
        <v>33</v>
      </c>
      <c r="F1955" t="s">
        <v>34</v>
      </c>
      <c r="G1955">
        <v>194.32</v>
      </c>
      <c r="H1955" t="s">
        <v>19</v>
      </c>
      <c r="I1955" t="s">
        <v>15</v>
      </c>
      <c r="J1955">
        <v>3.5</v>
      </c>
      <c r="K1955">
        <v>8</v>
      </c>
      <c r="L1955">
        <f t="shared" si="91"/>
        <v>178.77440000000001</v>
      </c>
      <c r="M1955">
        <v>4</v>
      </c>
      <c r="N1955" t="str">
        <f t="shared" si="92"/>
        <v>Regular</v>
      </c>
    </row>
    <row r="1956" spans="1:14" x14ac:dyDescent="0.35">
      <c r="A1956">
        <v>1955</v>
      </c>
      <c r="B1956">
        <v>61</v>
      </c>
      <c r="C1956" t="str">
        <f t="shared" si="90"/>
        <v>Senior</v>
      </c>
      <c r="D1956" t="s">
        <v>11</v>
      </c>
      <c r="E1956" t="s">
        <v>29</v>
      </c>
      <c r="F1956" t="s">
        <v>55</v>
      </c>
      <c r="G1956">
        <v>71.83</v>
      </c>
      <c r="H1956" t="s">
        <v>24</v>
      </c>
      <c r="I1956" t="s">
        <v>37</v>
      </c>
      <c r="J1956">
        <v>4</v>
      </c>
      <c r="K1956">
        <v>18</v>
      </c>
      <c r="L1956">
        <f t="shared" si="91"/>
        <v>58.900600000000004</v>
      </c>
      <c r="M1956">
        <v>4</v>
      </c>
      <c r="N1956" t="str">
        <f t="shared" si="92"/>
        <v>Regular</v>
      </c>
    </row>
    <row r="1957" spans="1:14" x14ac:dyDescent="0.35">
      <c r="A1957">
        <v>1956</v>
      </c>
      <c r="B1957">
        <v>65</v>
      </c>
      <c r="C1957" t="str">
        <f t="shared" si="90"/>
        <v>Senior</v>
      </c>
      <c r="D1957" t="s">
        <v>11</v>
      </c>
      <c r="E1957" t="s">
        <v>33</v>
      </c>
      <c r="F1957" t="s">
        <v>40</v>
      </c>
      <c r="G1957">
        <v>119.74</v>
      </c>
      <c r="H1957" t="s">
        <v>24</v>
      </c>
      <c r="I1957" t="s">
        <v>15</v>
      </c>
      <c r="J1957">
        <v>3.5</v>
      </c>
      <c r="K1957">
        <v>6</v>
      </c>
      <c r="L1957">
        <f t="shared" si="91"/>
        <v>112.55559999999998</v>
      </c>
      <c r="M1957">
        <v>3</v>
      </c>
      <c r="N1957" t="str">
        <f t="shared" si="92"/>
        <v>New</v>
      </c>
    </row>
    <row r="1958" spans="1:14" x14ac:dyDescent="0.35">
      <c r="A1958">
        <v>1957</v>
      </c>
      <c r="B1958">
        <v>66</v>
      </c>
      <c r="C1958" t="str">
        <f t="shared" si="90"/>
        <v>Senior</v>
      </c>
      <c r="D1958" t="s">
        <v>11</v>
      </c>
      <c r="E1958" t="s">
        <v>33</v>
      </c>
      <c r="F1958" t="s">
        <v>40</v>
      </c>
      <c r="G1958">
        <v>242.56</v>
      </c>
      <c r="H1958" t="s">
        <v>31</v>
      </c>
      <c r="I1958" t="s">
        <v>15</v>
      </c>
      <c r="J1958">
        <v>5</v>
      </c>
      <c r="K1958">
        <v>14</v>
      </c>
      <c r="L1958">
        <f t="shared" si="91"/>
        <v>208.60159999999999</v>
      </c>
      <c r="M1958">
        <v>7</v>
      </c>
      <c r="N1958" t="str">
        <f t="shared" si="92"/>
        <v>Regular</v>
      </c>
    </row>
    <row r="1959" spans="1:14" x14ac:dyDescent="0.35">
      <c r="A1959">
        <v>1958</v>
      </c>
      <c r="B1959">
        <v>51</v>
      </c>
      <c r="C1959" t="str">
        <f t="shared" si="90"/>
        <v>Adult</v>
      </c>
      <c r="D1959" t="s">
        <v>11</v>
      </c>
      <c r="E1959" t="s">
        <v>41</v>
      </c>
      <c r="F1959" t="s">
        <v>46</v>
      </c>
      <c r="G1959">
        <v>78.03</v>
      </c>
      <c r="H1959" t="s">
        <v>14</v>
      </c>
      <c r="I1959" t="s">
        <v>37</v>
      </c>
      <c r="J1959">
        <v>4.0999999999999996</v>
      </c>
      <c r="K1959">
        <v>13</v>
      </c>
      <c r="L1959">
        <f t="shared" si="91"/>
        <v>67.886099999999999</v>
      </c>
      <c r="M1959">
        <v>4</v>
      </c>
      <c r="N1959" t="str">
        <f t="shared" si="92"/>
        <v>Regular</v>
      </c>
    </row>
    <row r="1960" spans="1:14" x14ac:dyDescent="0.35">
      <c r="A1960">
        <v>1959</v>
      </c>
      <c r="B1960">
        <v>52</v>
      </c>
      <c r="C1960" t="str">
        <f t="shared" si="90"/>
        <v>Adult</v>
      </c>
      <c r="D1960" t="s">
        <v>16</v>
      </c>
      <c r="E1960" t="s">
        <v>20</v>
      </c>
      <c r="F1960" t="s">
        <v>21</v>
      </c>
      <c r="G1960">
        <v>82.92</v>
      </c>
      <c r="H1960" t="s">
        <v>31</v>
      </c>
      <c r="I1960" t="s">
        <v>15</v>
      </c>
      <c r="J1960">
        <v>4.2</v>
      </c>
      <c r="K1960">
        <v>24</v>
      </c>
      <c r="L1960">
        <f t="shared" si="91"/>
        <v>63.019200000000005</v>
      </c>
      <c r="M1960">
        <v>7</v>
      </c>
      <c r="N1960" t="str">
        <f t="shared" si="92"/>
        <v>Regular</v>
      </c>
    </row>
    <row r="1961" spans="1:14" x14ac:dyDescent="0.35">
      <c r="A1961">
        <v>1960</v>
      </c>
      <c r="B1961">
        <v>56</v>
      </c>
      <c r="C1961" t="str">
        <f t="shared" si="90"/>
        <v>Adult</v>
      </c>
      <c r="D1961" t="s">
        <v>11</v>
      </c>
      <c r="E1961" t="s">
        <v>22</v>
      </c>
      <c r="F1961" t="s">
        <v>23</v>
      </c>
      <c r="G1961">
        <v>220.57</v>
      </c>
      <c r="H1961" t="s">
        <v>19</v>
      </c>
      <c r="I1961" t="s">
        <v>15</v>
      </c>
      <c r="J1961">
        <v>3.1</v>
      </c>
      <c r="K1961">
        <v>18</v>
      </c>
      <c r="L1961">
        <f t="shared" si="91"/>
        <v>180.8674</v>
      </c>
      <c r="M1961">
        <v>4</v>
      </c>
      <c r="N1961" t="str">
        <f t="shared" si="92"/>
        <v>Regular</v>
      </c>
    </row>
    <row r="1962" spans="1:14" x14ac:dyDescent="0.35">
      <c r="A1962">
        <v>1961</v>
      </c>
      <c r="B1962">
        <v>61</v>
      </c>
      <c r="C1962" t="str">
        <f t="shared" si="90"/>
        <v>Senior</v>
      </c>
      <c r="D1962" t="s">
        <v>16</v>
      </c>
      <c r="E1962" t="s">
        <v>20</v>
      </c>
      <c r="F1962" t="s">
        <v>21</v>
      </c>
      <c r="G1962">
        <v>93.71</v>
      </c>
      <c r="H1962" t="s">
        <v>24</v>
      </c>
      <c r="I1962" t="s">
        <v>37</v>
      </c>
      <c r="J1962">
        <v>3.6</v>
      </c>
      <c r="K1962">
        <v>2</v>
      </c>
      <c r="L1962">
        <f t="shared" si="91"/>
        <v>91.835799999999992</v>
      </c>
      <c r="M1962">
        <v>1</v>
      </c>
      <c r="N1962" t="str">
        <f t="shared" si="92"/>
        <v>New</v>
      </c>
    </row>
    <row r="1963" spans="1:14" x14ac:dyDescent="0.35">
      <c r="A1963">
        <v>1962</v>
      </c>
      <c r="B1963">
        <v>55</v>
      </c>
      <c r="C1963" t="str">
        <f t="shared" si="90"/>
        <v>Adult</v>
      </c>
      <c r="D1963" t="s">
        <v>16</v>
      </c>
      <c r="E1963" t="s">
        <v>33</v>
      </c>
      <c r="F1963" t="s">
        <v>40</v>
      </c>
      <c r="G1963">
        <v>237.85</v>
      </c>
      <c r="H1963" t="s">
        <v>19</v>
      </c>
      <c r="I1963" t="s">
        <v>15</v>
      </c>
      <c r="J1963">
        <v>3.4</v>
      </c>
      <c r="K1963">
        <v>24</v>
      </c>
      <c r="L1963">
        <f t="shared" si="91"/>
        <v>180.76599999999999</v>
      </c>
      <c r="M1963">
        <v>7</v>
      </c>
      <c r="N1963" t="str">
        <f t="shared" si="92"/>
        <v>Regular</v>
      </c>
    </row>
    <row r="1964" spans="1:14" x14ac:dyDescent="0.35">
      <c r="A1964">
        <v>1963</v>
      </c>
      <c r="B1964">
        <v>43</v>
      </c>
      <c r="C1964" t="str">
        <f t="shared" si="90"/>
        <v>Adult</v>
      </c>
      <c r="D1964" t="s">
        <v>11</v>
      </c>
      <c r="E1964" t="s">
        <v>22</v>
      </c>
      <c r="F1964" t="s">
        <v>43</v>
      </c>
      <c r="G1964">
        <v>209.95</v>
      </c>
      <c r="H1964" t="s">
        <v>19</v>
      </c>
      <c r="I1964" t="s">
        <v>15</v>
      </c>
      <c r="J1964">
        <v>2.5</v>
      </c>
      <c r="K1964">
        <v>16</v>
      </c>
      <c r="L1964">
        <f t="shared" si="91"/>
        <v>176.35799999999998</v>
      </c>
      <c r="M1964">
        <v>3</v>
      </c>
      <c r="N1964" t="str">
        <f t="shared" si="92"/>
        <v>New</v>
      </c>
    </row>
    <row r="1965" spans="1:14" x14ac:dyDescent="0.35">
      <c r="A1965">
        <v>1964</v>
      </c>
      <c r="B1965">
        <v>67</v>
      </c>
      <c r="C1965" t="str">
        <f t="shared" si="90"/>
        <v>Senior</v>
      </c>
      <c r="D1965" t="s">
        <v>16</v>
      </c>
      <c r="E1965" t="s">
        <v>33</v>
      </c>
      <c r="F1965" t="s">
        <v>38</v>
      </c>
      <c r="G1965">
        <v>208.53</v>
      </c>
      <c r="H1965" t="s">
        <v>24</v>
      </c>
      <c r="I1965" t="s">
        <v>15</v>
      </c>
      <c r="J1965">
        <v>4.4000000000000004</v>
      </c>
      <c r="K1965">
        <v>25</v>
      </c>
      <c r="L1965">
        <f t="shared" si="91"/>
        <v>156.39750000000001</v>
      </c>
      <c r="M1965">
        <v>10</v>
      </c>
      <c r="N1965" t="str">
        <f t="shared" si="92"/>
        <v>Loyal</v>
      </c>
    </row>
    <row r="1966" spans="1:14" x14ac:dyDescent="0.35">
      <c r="A1966">
        <v>1965</v>
      </c>
      <c r="B1966">
        <v>23</v>
      </c>
      <c r="C1966" t="str">
        <f t="shared" si="90"/>
        <v>Youth</v>
      </c>
      <c r="D1966" t="s">
        <v>16</v>
      </c>
      <c r="E1966" t="s">
        <v>33</v>
      </c>
      <c r="F1966" t="s">
        <v>38</v>
      </c>
      <c r="G1966">
        <v>79.069999999999993</v>
      </c>
      <c r="H1966" t="s">
        <v>31</v>
      </c>
      <c r="I1966" t="s">
        <v>37</v>
      </c>
      <c r="J1966">
        <v>5</v>
      </c>
      <c r="K1966">
        <v>11</v>
      </c>
      <c r="L1966">
        <f t="shared" si="91"/>
        <v>70.372299999999996</v>
      </c>
      <c r="M1966">
        <v>3</v>
      </c>
      <c r="N1966" t="str">
        <f t="shared" si="92"/>
        <v>New</v>
      </c>
    </row>
    <row r="1967" spans="1:14" x14ac:dyDescent="0.35">
      <c r="A1967">
        <v>1966</v>
      </c>
      <c r="B1967">
        <v>54</v>
      </c>
      <c r="C1967" t="str">
        <f t="shared" si="90"/>
        <v>Adult</v>
      </c>
      <c r="D1967" t="s">
        <v>11</v>
      </c>
      <c r="E1967" t="s">
        <v>41</v>
      </c>
      <c r="F1967" t="s">
        <v>44</v>
      </c>
      <c r="G1967">
        <v>86</v>
      </c>
      <c r="H1967" t="s">
        <v>19</v>
      </c>
      <c r="I1967" t="s">
        <v>37</v>
      </c>
      <c r="J1967">
        <v>3.2</v>
      </c>
      <c r="K1967">
        <v>18</v>
      </c>
      <c r="L1967">
        <f t="shared" si="91"/>
        <v>70.52000000000001</v>
      </c>
      <c r="M1967">
        <v>9</v>
      </c>
      <c r="N1967" t="str">
        <f t="shared" si="92"/>
        <v>Loyal</v>
      </c>
    </row>
    <row r="1968" spans="1:14" x14ac:dyDescent="0.35">
      <c r="A1968">
        <v>1967</v>
      </c>
      <c r="B1968">
        <v>37</v>
      </c>
      <c r="C1968" t="str">
        <f t="shared" si="90"/>
        <v>Adult</v>
      </c>
      <c r="D1968" t="s">
        <v>11</v>
      </c>
      <c r="E1968" t="s">
        <v>41</v>
      </c>
      <c r="F1968" t="s">
        <v>46</v>
      </c>
      <c r="G1968">
        <v>118.51</v>
      </c>
      <c r="H1968" t="s">
        <v>31</v>
      </c>
      <c r="I1968" t="s">
        <v>15</v>
      </c>
      <c r="J1968">
        <v>4.5999999999999996</v>
      </c>
      <c r="K1968">
        <v>9</v>
      </c>
      <c r="L1968">
        <f t="shared" si="91"/>
        <v>107.84410000000001</v>
      </c>
      <c r="M1968">
        <v>2</v>
      </c>
      <c r="N1968" t="str">
        <f t="shared" si="92"/>
        <v>New</v>
      </c>
    </row>
    <row r="1969" spans="1:14" x14ac:dyDescent="0.35">
      <c r="A1969">
        <v>1968</v>
      </c>
      <c r="B1969">
        <v>44</v>
      </c>
      <c r="C1969" t="str">
        <f t="shared" si="90"/>
        <v>Adult</v>
      </c>
      <c r="D1969" t="s">
        <v>16</v>
      </c>
      <c r="E1969" t="s">
        <v>27</v>
      </c>
      <c r="F1969" t="s">
        <v>49</v>
      </c>
      <c r="G1969">
        <v>1102.43</v>
      </c>
      <c r="H1969" t="s">
        <v>19</v>
      </c>
      <c r="I1969" t="s">
        <v>15</v>
      </c>
      <c r="J1969">
        <v>3.9</v>
      </c>
      <c r="K1969">
        <v>30</v>
      </c>
      <c r="L1969">
        <f t="shared" si="91"/>
        <v>771.70100000000002</v>
      </c>
      <c r="M1969">
        <v>10</v>
      </c>
      <c r="N1969" t="str">
        <f t="shared" si="92"/>
        <v>Loyal</v>
      </c>
    </row>
    <row r="1970" spans="1:14" x14ac:dyDescent="0.35">
      <c r="A1970">
        <v>1969</v>
      </c>
      <c r="B1970">
        <v>54</v>
      </c>
      <c r="C1970" t="str">
        <f t="shared" si="90"/>
        <v>Adult</v>
      </c>
      <c r="D1970" t="s">
        <v>11</v>
      </c>
      <c r="E1970" t="s">
        <v>41</v>
      </c>
      <c r="F1970" t="s">
        <v>42</v>
      </c>
      <c r="G1970">
        <v>130.37</v>
      </c>
      <c r="H1970" t="s">
        <v>19</v>
      </c>
      <c r="I1970" t="s">
        <v>15</v>
      </c>
      <c r="J1970">
        <v>2.8</v>
      </c>
      <c r="K1970">
        <v>17</v>
      </c>
      <c r="L1970">
        <f t="shared" si="91"/>
        <v>108.2071</v>
      </c>
      <c r="M1970">
        <v>6</v>
      </c>
      <c r="N1970" t="str">
        <f t="shared" si="92"/>
        <v>Regular</v>
      </c>
    </row>
    <row r="1971" spans="1:14" x14ac:dyDescent="0.35">
      <c r="A1971">
        <v>1970</v>
      </c>
      <c r="B1971">
        <v>39</v>
      </c>
      <c r="C1971" t="str">
        <f t="shared" si="90"/>
        <v>Adult</v>
      </c>
      <c r="D1971" t="s">
        <v>16</v>
      </c>
      <c r="E1971" t="s">
        <v>20</v>
      </c>
      <c r="F1971" t="s">
        <v>39</v>
      </c>
      <c r="G1971">
        <v>26.25</v>
      </c>
      <c r="H1971" t="s">
        <v>14</v>
      </c>
      <c r="I1971" t="s">
        <v>37</v>
      </c>
      <c r="J1971">
        <v>3</v>
      </c>
      <c r="K1971">
        <v>22</v>
      </c>
      <c r="L1971">
        <f t="shared" si="91"/>
        <v>20.475000000000001</v>
      </c>
      <c r="M1971">
        <v>6</v>
      </c>
      <c r="N1971" t="str">
        <f t="shared" si="92"/>
        <v>Regular</v>
      </c>
    </row>
    <row r="1972" spans="1:14" x14ac:dyDescent="0.35">
      <c r="A1972">
        <v>1971</v>
      </c>
      <c r="B1972">
        <v>41</v>
      </c>
      <c r="C1972" t="str">
        <f t="shared" si="90"/>
        <v>Adult</v>
      </c>
      <c r="D1972" t="s">
        <v>16</v>
      </c>
      <c r="E1972" t="s">
        <v>20</v>
      </c>
      <c r="F1972" t="s">
        <v>21</v>
      </c>
      <c r="G1972">
        <v>229.64</v>
      </c>
      <c r="H1972" t="s">
        <v>31</v>
      </c>
      <c r="I1972" t="s">
        <v>15</v>
      </c>
      <c r="J1972">
        <v>4.2</v>
      </c>
      <c r="K1972">
        <v>10</v>
      </c>
      <c r="L1972">
        <f t="shared" si="91"/>
        <v>206.67599999999999</v>
      </c>
      <c r="M1972">
        <v>5</v>
      </c>
      <c r="N1972" t="str">
        <f t="shared" si="92"/>
        <v>Regular</v>
      </c>
    </row>
    <row r="1973" spans="1:14" x14ac:dyDescent="0.35">
      <c r="A1973">
        <v>1972</v>
      </c>
      <c r="B1973">
        <v>48</v>
      </c>
      <c r="C1973" t="str">
        <f t="shared" si="90"/>
        <v>Adult</v>
      </c>
      <c r="D1973" t="s">
        <v>11</v>
      </c>
      <c r="E1973" t="s">
        <v>41</v>
      </c>
      <c r="F1973" t="s">
        <v>42</v>
      </c>
      <c r="G1973">
        <v>144.76</v>
      </c>
      <c r="H1973" t="s">
        <v>31</v>
      </c>
      <c r="I1973" t="s">
        <v>15</v>
      </c>
      <c r="J1973">
        <v>4.2</v>
      </c>
      <c r="K1973">
        <v>10</v>
      </c>
      <c r="L1973">
        <f t="shared" si="91"/>
        <v>130.28399999999999</v>
      </c>
      <c r="M1973">
        <v>5</v>
      </c>
      <c r="N1973" t="str">
        <f t="shared" si="92"/>
        <v>Regular</v>
      </c>
    </row>
    <row r="1974" spans="1:14" x14ac:dyDescent="0.35">
      <c r="A1974">
        <v>1973</v>
      </c>
      <c r="B1974">
        <v>39</v>
      </c>
      <c r="C1974" t="str">
        <f t="shared" si="90"/>
        <v>Adult</v>
      </c>
      <c r="D1974" t="s">
        <v>11</v>
      </c>
      <c r="E1974" t="s">
        <v>41</v>
      </c>
      <c r="F1974" t="s">
        <v>46</v>
      </c>
      <c r="G1974">
        <v>188.91</v>
      </c>
      <c r="H1974" t="s">
        <v>24</v>
      </c>
      <c r="I1974" t="s">
        <v>15</v>
      </c>
      <c r="J1974">
        <v>3.4</v>
      </c>
      <c r="K1974">
        <v>20</v>
      </c>
      <c r="L1974">
        <f t="shared" si="91"/>
        <v>151.12800000000001</v>
      </c>
      <c r="M1974">
        <v>5</v>
      </c>
      <c r="N1974" t="str">
        <f t="shared" si="92"/>
        <v>Regular</v>
      </c>
    </row>
    <row r="1975" spans="1:14" x14ac:dyDescent="0.35">
      <c r="A1975">
        <v>1974</v>
      </c>
      <c r="B1975">
        <v>44</v>
      </c>
      <c r="C1975" t="str">
        <f t="shared" si="90"/>
        <v>Adult</v>
      </c>
      <c r="D1975" t="s">
        <v>16</v>
      </c>
      <c r="E1975" t="s">
        <v>33</v>
      </c>
      <c r="F1975" t="s">
        <v>38</v>
      </c>
      <c r="G1975">
        <v>108.13</v>
      </c>
      <c r="H1975" t="s">
        <v>24</v>
      </c>
      <c r="I1975" t="s">
        <v>15</v>
      </c>
      <c r="J1975">
        <v>3.5</v>
      </c>
      <c r="K1975">
        <v>4</v>
      </c>
      <c r="L1975">
        <f t="shared" si="91"/>
        <v>103.80479999999999</v>
      </c>
      <c r="M1975">
        <v>2</v>
      </c>
      <c r="N1975" t="str">
        <f t="shared" si="92"/>
        <v>New</v>
      </c>
    </row>
    <row r="1976" spans="1:14" x14ac:dyDescent="0.35">
      <c r="A1976">
        <v>1975</v>
      </c>
      <c r="B1976">
        <v>60</v>
      </c>
      <c r="C1976" t="str">
        <f t="shared" si="90"/>
        <v>Adult</v>
      </c>
      <c r="D1976" t="s">
        <v>11</v>
      </c>
      <c r="E1976" t="s">
        <v>33</v>
      </c>
      <c r="F1976" t="s">
        <v>38</v>
      </c>
      <c r="G1976">
        <v>49.64</v>
      </c>
      <c r="H1976" t="s">
        <v>19</v>
      </c>
      <c r="I1976" t="s">
        <v>37</v>
      </c>
      <c r="J1976">
        <v>3.2</v>
      </c>
      <c r="K1976">
        <v>12</v>
      </c>
      <c r="L1976">
        <f t="shared" si="91"/>
        <v>43.683199999999999</v>
      </c>
      <c r="M1976">
        <v>6</v>
      </c>
      <c r="N1976" t="str">
        <f t="shared" si="92"/>
        <v>Regular</v>
      </c>
    </row>
    <row r="1977" spans="1:14" x14ac:dyDescent="0.35">
      <c r="A1977">
        <v>1976</v>
      </c>
      <c r="B1977">
        <v>57</v>
      </c>
      <c r="C1977" t="str">
        <f t="shared" si="90"/>
        <v>Adult</v>
      </c>
      <c r="D1977" t="s">
        <v>11</v>
      </c>
      <c r="E1977" t="s">
        <v>41</v>
      </c>
      <c r="F1977" t="s">
        <v>46</v>
      </c>
      <c r="G1977">
        <v>33.5</v>
      </c>
      <c r="H1977" t="s">
        <v>31</v>
      </c>
      <c r="I1977" t="s">
        <v>15</v>
      </c>
      <c r="J1977">
        <v>1.7</v>
      </c>
      <c r="K1977">
        <v>11</v>
      </c>
      <c r="L1977">
        <f t="shared" si="91"/>
        <v>29.815000000000001</v>
      </c>
      <c r="M1977">
        <v>3</v>
      </c>
      <c r="N1977" t="str">
        <f t="shared" si="92"/>
        <v>New</v>
      </c>
    </row>
    <row r="1978" spans="1:14" x14ac:dyDescent="0.35">
      <c r="A1978">
        <v>1977</v>
      </c>
      <c r="B1978">
        <v>48</v>
      </c>
      <c r="C1978" t="str">
        <f t="shared" si="90"/>
        <v>Adult</v>
      </c>
      <c r="D1978" t="s">
        <v>16</v>
      </c>
      <c r="E1978" t="s">
        <v>17</v>
      </c>
      <c r="F1978" t="s">
        <v>48</v>
      </c>
      <c r="G1978">
        <v>176.4</v>
      </c>
      <c r="H1978" t="s">
        <v>14</v>
      </c>
      <c r="I1978" t="s">
        <v>15</v>
      </c>
      <c r="J1978">
        <v>4.3</v>
      </c>
      <c r="K1978">
        <v>2</v>
      </c>
      <c r="L1978">
        <f t="shared" si="91"/>
        <v>172.87200000000001</v>
      </c>
      <c r="M1978">
        <v>1</v>
      </c>
      <c r="N1978" t="str">
        <f t="shared" si="92"/>
        <v>New</v>
      </c>
    </row>
    <row r="1979" spans="1:14" x14ac:dyDescent="0.35">
      <c r="A1979">
        <v>1978</v>
      </c>
      <c r="B1979">
        <v>38</v>
      </c>
      <c r="C1979" t="str">
        <f t="shared" si="90"/>
        <v>Adult</v>
      </c>
      <c r="D1979" t="s">
        <v>11</v>
      </c>
      <c r="E1979" t="s">
        <v>33</v>
      </c>
      <c r="F1979" t="s">
        <v>38</v>
      </c>
      <c r="G1979">
        <v>177.52</v>
      </c>
      <c r="H1979" t="s">
        <v>24</v>
      </c>
      <c r="I1979" t="s">
        <v>15</v>
      </c>
      <c r="J1979">
        <v>4.7</v>
      </c>
      <c r="K1979">
        <v>11</v>
      </c>
      <c r="L1979">
        <f t="shared" si="91"/>
        <v>157.99280000000002</v>
      </c>
      <c r="M1979">
        <v>3</v>
      </c>
      <c r="N1979" t="str">
        <f t="shared" si="92"/>
        <v>New</v>
      </c>
    </row>
    <row r="1980" spans="1:14" x14ac:dyDescent="0.35">
      <c r="A1980">
        <v>1979</v>
      </c>
      <c r="B1980">
        <v>66</v>
      </c>
      <c r="C1980" t="str">
        <f t="shared" si="90"/>
        <v>Senior</v>
      </c>
      <c r="D1980" t="s">
        <v>11</v>
      </c>
      <c r="E1980" t="s">
        <v>41</v>
      </c>
      <c r="F1980" t="s">
        <v>42</v>
      </c>
      <c r="G1980">
        <v>48.85</v>
      </c>
      <c r="H1980" t="s">
        <v>19</v>
      </c>
      <c r="I1980" t="s">
        <v>15</v>
      </c>
      <c r="J1980">
        <v>4.3</v>
      </c>
      <c r="K1980">
        <v>24</v>
      </c>
      <c r="L1980">
        <f t="shared" si="91"/>
        <v>37.126000000000005</v>
      </c>
      <c r="M1980">
        <v>7</v>
      </c>
      <c r="N1980" t="str">
        <f t="shared" si="92"/>
        <v>Regular</v>
      </c>
    </row>
    <row r="1981" spans="1:14" x14ac:dyDescent="0.35">
      <c r="A1981">
        <v>1980</v>
      </c>
      <c r="B1981">
        <v>70</v>
      </c>
      <c r="C1981" t="str">
        <f t="shared" si="90"/>
        <v>Senior</v>
      </c>
      <c r="D1981" t="s">
        <v>11</v>
      </c>
      <c r="E1981" t="s">
        <v>41</v>
      </c>
      <c r="F1981" t="s">
        <v>46</v>
      </c>
      <c r="G1981">
        <v>139.16999999999999</v>
      </c>
      <c r="H1981" t="s">
        <v>31</v>
      </c>
      <c r="I1981" t="s">
        <v>15</v>
      </c>
      <c r="J1981">
        <v>4.3</v>
      </c>
      <c r="K1981">
        <v>19</v>
      </c>
      <c r="L1981">
        <f t="shared" si="91"/>
        <v>112.7277</v>
      </c>
      <c r="M1981">
        <v>7</v>
      </c>
      <c r="N1981" t="str">
        <f t="shared" si="92"/>
        <v>Regular</v>
      </c>
    </row>
    <row r="1982" spans="1:14" x14ac:dyDescent="0.35">
      <c r="A1982">
        <v>1981</v>
      </c>
      <c r="B1982">
        <v>24</v>
      </c>
      <c r="C1982" t="str">
        <f t="shared" si="90"/>
        <v>Youth</v>
      </c>
      <c r="D1982" t="s">
        <v>16</v>
      </c>
      <c r="E1982" t="s">
        <v>17</v>
      </c>
      <c r="F1982" t="s">
        <v>35</v>
      </c>
      <c r="G1982">
        <v>196.55</v>
      </c>
      <c r="H1982" t="s">
        <v>31</v>
      </c>
      <c r="I1982" t="s">
        <v>15</v>
      </c>
      <c r="J1982">
        <v>3.2</v>
      </c>
      <c r="K1982">
        <v>8</v>
      </c>
      <c r="L1982">
        <f t="shared" si="91"/>
        <v>180.82600000000002</v>
      </c>
      <c r="M1982">
        <v>4</v>
      </c>
      <c r="N1982" t="str">
        <f t="shared" si="92"/>
        <v>Regular</v>
      </c>
    </row>
    <row r="1983" spans="1:14" x14ac:dyDescent="0.35">
      <c r="A1983">
        <v>1982</v>
      </c>
      <c r="B1983">
        <v>41</v>
      </c>
      <c r="C1983" t="str">
        <f t="shared" si="90"/>
        <v>Adult</v>
      </c>
      <c r="D1983" t="s">
        <v>11</v>
      </c>
      <c r="E1983" t="s">
        <v>29</v>
      </c>
      <c r="F1983" t="s">
        <v>30</v>
      </c>
      <c r="G1983">
        <v>26.86</v>
      </c>
      <c r="H1983" t="s">
        <v>24</v>
      </c>
      <c r="I1983" t="s">
        <v>15</v>
      </c>
      <c r="J1983">
        <v>3.5</v>
      </c>
      <c r="K1983">
        <v>9</v>
      </c>
      <c r="L1983">
        <f t="shared" si="91"/>
        <v>24.442599999999999</v>
      </c>
      <c r="M1983">
        <v>2</v>
      </c>
      <c r="N1983" t="str">
        <f t="shared" si="92"/>
        <v>New</v>
      </c>
    </row>
    <row r="1984" spans="1:14" x14ac:dyDescent="0.35">
      <c r="A1984">
        <v>1983</v>
      </c>
      <c r="B1984">
        <v>63</v>
      </c>
      <c r="C1984" t="str">
        <f t="shared" si="90"/>
        <v>Senior</v>
      </c>
      <c r="D1984" t="s">
        <v>16</v>
      </c>
      <c r="E1984" t="s">
        <v>20</v>
      </c>
      <c r="F1984" t="s">
        <v>36</v>
      </c>
      <c r="G1984">
        <v>161.59</v>
      </c>
      <c r="H1984" t="s">
        <v>19</v>
      </c>
      <c r="I1984" t="s">
        <v>15</v>
      </c>
      <c r="J1984">
        <v>5</v>
      </c>
      <c r="K1984">
        <v>21</v>
      </c>
      <c r="L1984">
        <f t="shared" si="91"/>
        <v>127.65610000000001</v>
      </c>
      <c r="M1984">
        <v>8</v>
      </c>
      <c r="N1984" t="str">
        <f t="shared" si="92"/>
        <v>Loyal</v>
      </c>
    </row>
    <row r="1985" spans="1:14" x14ac:dyDescent="0.35">
      <c r="A1985">
        <v>1984</v>
      </c>
      <c r="B1985">
        <v>40</v>
      </c>
      <c r="C1985" t="str">
        <f t="shared" si="90"/>
        <v>Adult</v>
      </c>
      <c r="D1985" t="s">
        <v>11</v>
      </c>
      <c r="E1985" t="s">
        <v>41</v>
      </c>
      <c r="F1985" t="s">
        <v>45</v>
      </c>
      <c r="G1985">
        <v>171.74</v>
      </c>
      <c r="H1985" t="s">
        <v>14</v>
      </c>
      <c r="I1985" t="s">
        <v>15</v>
      </c>
      <c r="J1985">
        <v>2.9</v>
      </c>
      <c r="K1985">
        <v>18</v>
      </c>
      <c r="L1985">
        <f t="shared" si="91"/>
        <v>140.82680000000002</v>
      </c>
      <c r="M1985">
        <v>4</v>
      </c>
      <c r="N1985" t="str">
        <f t="shared" si="92"/>
        <v>Regular</v>
      </c>
    </row>
    <row r="1986" spans="1:14" x14ac:dyDescent="0.35">
      <c r="A1986">
        <v>1985</v>
      </c>
      <c r="B1986">
        <v>52</v>
      </c>
      <c r="C1986" t="str">
        <f t="shared" si="90"/>
        <v>Adult</v>
      </c>
      <c r="D1986" t="s">
        <v>16</v>
      </c>
      <c r="E1986" t="s">
        <v>20</v>
      </c>
      <c r="F1986" t="s">
        <v>39</v>
      </c>
      <c r="G1986">
        <v>46.83</v>
      </c>
      <c r="H1986" t="s">
        <v>24</v>
      </c>
      <c r="I1986" t="s">
        <v>15</v>
      </c>
      <c r="J1986">
        <v>3.7</v>
      </c>
      <c r="K1986">
        <v>22</v>
      </c>
      <c r="L1986">
        <f t="shared" si="91"/>
        <v>36.5274</v>
      </c>
      <c r="M1986">
        <v>6</v>
      </c>
      <c r="N1986" t="str">
        <f t="shared" si="92"/>
        <v>Regular</v>
      </c>
    </row>
    <row r="1987" spans="1:14" x14ac:dyDescent="0.35">
      <c r="A1987">
        <v>1986</v>
      </c>
      <c r="B1987">
        <v>38</v>
      </c>
      <c r="C1987" t="str">
        <f t="shared" ref="C1987:C2050" si="93">IF(B1987&lt;=30,"Youth",IF(B1987&lt;=45,"Adult",IF(B1987&lt;=60,"Adult","Senior")))</f>
        <v>Adult</v>
      </c>
      <c r="D1987" t="s">
        <v>16</v>
      </c>
      <c r="E1987" t="s">
        <v>20</v>
      </c>
      <c r="F1987" t="s">
        <v>21</v>
      </c>
      <c r="G1987">
        <v>61.79</v>
      </c>
      <c r="H1987" t="s">
        <v>14</v>
      </c>
      <c r="I1987" t="s">
        <v>15</v>
      </c>
      <c r="J1987">
        <v>2.9</v>
      </c>
      <c r="K1987">
        <v>28</v>
      </c>
      <c r="L1987">
        <f t="shared" ref="L1987:L2050" si="94">G1987*(1-K1987/100)</f>
        <v>44.488799999999998</v>
      </c>
      <c r="M1987">
        <v>9</v>
      </c>
      <c r="N1987" t="str">
        <f t="shared" ref="N1987:N2050" si="95">IF(M1987&lt;=3,"New",IF(M1987&lt;=7,"Regular","Loyal"))</f>
        <v>Loyal</v>
      </c>
    </row>
    <row r="1988" spans="1:14" x14ac:dyDescent="0.35">
      <c r="A1988">
        <v>1987</v>
      </c>
      <c r="B1988">
        <v>25</v>
      </c>
      <c r="C1988" t="str">
        <f t="shared" si="93"/>
        <v>Youth</v>
      </c>
      <c r="D1988" t="s">
        <v>16</v>
      </c>
      <c r="E1988" t="s">
        <v>17</v>
      </c>
      <c r="F1988" t="s">
        <v>48</v>
      </c>
      <c r="G1988">
        <v>111.92</v>
      </c>
      <c r="H1988" t="s">
        <v>14</v>
      </c>
      <c r="I1988" t="s">
        <v>15</v>
      </c>
      <c r="J1988">
        <v>4.3</v>
      </c>
      <c r="K1988">
        <v>21</v>
      </c>
      <c r="L1988">
        <f t="shared" si="94"/>
        <v>88.416800000000009</v>
      </c>
      <c r="M1988">
        <v>8</v>
      </c>
      <c r="N1988" t="str">
        <f t="shared" si="95"/>
        <v>Loyal</v>
      </c>
    </row>
    <row r="1989" spans="1:14" x14ac:dyDescent="0.35">
      <c r="A1989">
        <v>1988</v>
      </c>
      <c r="B1989">
        <v>56</v>
      </c>
      <c r="C1989" t="str">
        <f t="shared" si="93"/>
        <v>Adult</v>
      </c>
      <c r="D1989" t="s">
        <v>16</v>
      </c>
      <c r="E1989" t="s">
        <v>27</v>
      </c>
      <c r="F1989" t="s">
        <v>49</v>
      </c>
      <c r="G1989">
        <v>1616.64</v>
      </c>
      <c r="H1989" t="s">
        <v>31</v>
      </c>
      <c r="I1989" t="s">
        <v>15</v>
      </c>
      <c r="J1989">
        <v>4.2</v>
      </c>
      <c r="K1989">
        <v>16</v>
      </c>
      <c r="L1989">
        <f t="shared" si="94"/>
        <v>1357.9775999999999</v>
      </c>
      <c r="M1989">
        <v>3</v>
      </c>
      <c r="N1989" t="str">
        <f t="shared" si="95"/>
        <v>New</v>
      </c>
    </row>
    <row r="1990" spans="1:14" x14ac:dyDescent="0.35">
      <c r="A1990">
        <v>1989</v>
      </c>
      <c r="B1990">
        <v>48</v>
      </c>
      <c r="C1990" t="str">
        <f t="shared" si="93"/>
        <v>Adult</v>
      </c>
      <c r="D1990" t="s">
        <v>16</v>
      </c>
      <c r="E1990" t="s">
        <v>20</v>
      </c>
      <c r="F1990" t="s">
        <v>36</v>
      </c>
      <c r="G1990">
        <v>217.52</v>
      </c>
      <c r="H1990" t="s">
        <v>31</v>
      </c>
      <c r="I1990" t="s">
        <v>15</v>
      </c>
      <c r="J1990">
        <v>4.5</v>
      </c>
      <c r="K1990">
        <v>22</v>
      </c>
      <c r="L1990">
        <f t="shared" si="94"/>
        <v>169.66560000000001</v>
      </c>
      <c r="M1990">
        <v>6</v>
      </c>
      <c r="N1990" t="str">
        <f t="shared" si="95"/>
        <v>Regular</v>
      </c>
    </row>
    <row r="1991" spans="1:14" x14ac:dyDescent="0.35">
      <c r="A1991">
        <v>1990</v>
      </c>
      <c r="B1991">
        <v>64</v>
      </c>
      <c r="C1991" t="str">
        <f t="shared" si="93"/>
        <v>Senior</v>
      </c>
      <c r="D1991" t="s">
        <v>16</v>
      </c>
      <c r="E1991" t="s">
        <v>20</v>
      </c>
      <c r="F1991" t="s">
        <v>36</v>
      </c>
      <c r="G1991">
        <v>162.80000000000001</v>
      </c>
      <c r="H1991" t="s">
        <v>19</v>
      </c>
      <c r="I1991" t="s">
        <v>15</v>
      </c>
      <c r="J1991">
        <v>4.9000000000000004</v>
      </c>
      <c r="K1991">
        <v>18</v>
      </c>
      <c r="L1991">
        <f t="shared" si="94"/>
        <v>133.49600000000001</v>
      </c>
      <c r="M1991">
        <v>4</v>
      </c>
      <c r="N1991" t="str">
        <f t="shared" si="95"/>
        <v>Regular</v>
      </c>
    </row>
    <row r="1992" spans="1:14" x14ac:dyDescent="0.35">
      <c r="A1992">
        <v>1991</v>
      </c>
      <c r="B1992">
        <v>22</v>
      </c>
      <c r="C1992" t="str">
        <f t="shared" si="93"/>
        <v>Youth</v>
      </c>
      <c r="D1992" t="s">
        <v>16</v>
      </c>
      <c r="E1992" t="s">
        <v>17</v>
      </c>
      <c r="F1992" t="s">
        <v>48</v>
      </c>
      <c r="G1992">
        <v>65.02</v>
      </c>
      <c r="H1992" t="s">
        <v>31</v>
      </c>
      <c r="I1992" t="s">
        <v>15</v>
      </c>
      <c r="J1992">
        <v>3.9</v>
      </c>
      <c r="K1992">
        <v>16</v>
      </c>
      <c r="L1992">
        <f t="shared" si="94"/>
        <v>54.616799999999998</v>
      </c>
      <c r="M1992">
        <v>3</v>
      </c>
      <c r="N1992" t="str">
        <f t="shared" si="95"/>
        <v>New</v>
      </c>
    </row>
    <row r="1993" spans="1:14" x14ac:dyDescent="0.35">
      <c r="A1993">
        <v>1992</v>
      </c>
      <c r="B1993">
        <v>36</v>
      </c>
      <c r="C1993" t="str">
        <f t="shared" si="93"/>
        <v>Adult</v>
      </c>
      <c r="D1993" t="s">
        <v>16</v>
      </c>
      <c r="E1993" t="s">
        <v>33</v>
      </c>
      <c r="F1993" t="s">
        <v>34</v>
      </c>
      <c r="G1993">
        <v>138.44999999999999</v>
      </c>
      <c r="H1993" t="s">
        <v>31</v>
      </c>
      <c r="I1993" t="s">
        <v>15</v>
      </c>
      <c r="J1993">
        <v>3.2</v>
      </c>
      <c r="K1993">
        <v>20</v>
      </c>
      <c r="L1993">
        <f t="shared" si="94"/>
        <v>110.75999999999999</v>
      </c>
      <c r="M1993">
        <v>5</v>
      </c>
      <c r="N1993" t="str">
        <f t="shared" si="95"/>
        <v>Regular</v>
      </c>
    </row>
    <row r="1994" spans="1:14" x14ac:dyDescent="0.35">
      <c r="A1994">
        <v>1993</v>
      </c>
      <c r="B1994">
        <v>45</v>
      </c>
      <c r="C1994" t="str">
        <f t="shared" si="93"/>
        <v>Adult</v>
      </c>
      <c r="D1994" t="s">
        <v>11</v>
      </c>
      <c r="E1994" t="s">
        <v>20</v>
      </c>
      <c r="F1994" t="s">
        <v>21</v>
      </c>
      <c r="G1994">
        <v>184.55</v>
      </c>
      <c r="H1994" t="s">
        <v>19</v>
      </c>
      <c r="I1994" t="s">
        <v>15</v>
      </c>
      <c r="J1994">
        <v>4.2</v>
      </c>
      <c r="K1994">
        <v>8</v>
      </c>
      <c r="L1994">
        <f t="shared" si="94"/>
        <v>169.78600000000003</v>
      </c>
      <c r="M1994">
        <v>4</v>
      </c>
      <c r="N1994" t="str">
        <f t="shared" si="95"/>
        <v>Regular</v>
      </c>
    </row>
    <row r="1995" spans="1:14" x14ac:dyDescent="0.35">
      <c r="A1995">
        <v>1994</v>
      </c>
      <c r="B1995">
        <v>33</v>
      </c>
      <c r="C1995" t="str">
        <f t="shared" si="93"/>
        <v>Adult</v>
      </c>
      <c r="D1995" t="s">
        <v>11</v>
      </c>
      <c r="E1995" t="s">
        <v>41</v>
      </c>
      <c r="F1995" t="s">
        <v>45</v>
      </c>
      <c r="G1995">
        <v>109.48</v>
      </c>
      <c r="H1995" t="s">
        <v>19</v>
      </c>
      <c r="I1995" t="s">
        <v>15</v>
      </c>
      <c r="J1995">
        <v>3.8</v>
      </c>
      <c r="K1995">
        <v>12</v>
      </c>
      <c r="L1995">
        <f t="shared" si="94"/>
        <v>96.342399999999998</v>
      </c>
      <c r="M1995">
        <v>6</v>
      </c>
      <c r="N1995" t="str">
        <f t="shared" si="95"/>
        <v>Regular</v>
      </c>
    </row>
    <row r="1996" spans="1:14" x14ac:dyDescent="0.35">
      <c r="A1996">
        <v>1995</v>
      </c>
      <c r="B1996">
        <v>59</v>
      </c>
      <c r="C1996" t="str">
        <f t="shared" si="93"/>
        <v>Adult</v>
      </c>
      <c r="D1996" t="s">
        <v>11</v>
      </c>
      <c r="E1996" t="s">
        <v>41</v>
      </c>
      <c r="F1996" t="s">
        <v>42</v>
      </c>
      <c r="G1996">
        <v>147.63</v>
      </c>
      <c r="H1996" t="s">
        <v>24</v>
      </c>
      <c r="I1996" t="s">
        <v>15</v>
      </c>
      <c r="J1996">
        <v>5</v>
      </c>
      <c r="K1996">
        <v>17</v>
      </c>
      <c r="L1996">
        <f t="shared" si="94"/>
        <v>122.53289999999998</v>
      </c>
      <c r="M1996">
        <v>6</v>
      </c>
      <c r="N1996" t="str">
        <f t="shared" si="95"/>
        <v>Regular</v>
      </c>
    </row>
    <row r="1997" spans="1:14" x14ac:dyDescent="0.35">
      <c r="A1997">
        <v>1996</v>
      </c>
      <c r="B1997">
        <v>49</v>
      </c>
      <c r="C1997" t="str">
        <f t="shared" si="93"/>
        <v>Adult</v>
      </c>
      <c r="D1997" t="s">
        <v>16</v>
      </c>
      <c r="E1997" t="s">
        <v>17</v>
      </c>
      <c r="F1997" t="s">
        <v>18</v>
      </c>
      <c r="G1997">
        <v>176.47</v>
      </c>
      <c r="H1997" t="s">
        <v>31</v>
      </c>
      <c r="I1997" t="s">
        <v>15</v>
      </c>
      <c r="J1997">
        <v>3.2</v>
      </c>
      <c r="K1997">
        <v>18</v>
      </c>
      <c r="L1997">
        <f t="shared" si="94"/>
        <v>144.7054</v>
      </c>
      <c r="M1997">
        <v>4</v>
      </c>
      <c r="N1997" t="str">
        <f t="shared" si="95"/>
        <v>Regular</v>
      </c>
    </row>
    <row r="1998" spans="1:14" x14ac:dyDescent="0.35">
      <c r="A1998">
        <v>1997</v>
      </c>
      <c r="B1998">
        <v>36</v>
      </c>
      <c r="C1998" t="str">
        <f t="shared" si="93"/>
        <v>Adult</v>
      </c>
      <c r="D1998" t="s">
        <v>16</v>
      </c>
      <c r="E1998" t="s">
        <v>27</v>
      </c>
      <c r="F1998" t="s">
        <v>28</v>
      </c>
      <c r="G1998">
        <v>1270.98</v>
      </c>
      <c r="H1998" t="s">
        <v>19</v>
      </c>
      <c r="I1998" t="s">
        <v>15</v>
      </c>
      <c r="J1998">
        <v>5</v>
      </c>
      <c r="K1998">
        <v>12</v>
      </c>
      <c r="L1998">
        <f t="shared" si="94"/>
        <v>1118.4624000000001</v>
      </c>
      <c r="M1998">
        <v>6</v>
      </c>
      <c r="N1998" t="str">
        <f t="shared" si="95"/>
        <v>Regular</v>
      </c>
    </row>
    <row r="1999" spans="1:14" x14ac:dyDescent="0.35">
      <c r="A1999">
        <v>1998</v>
      </c>
      <c r="B1999">
        <v>59</v>
      </c>
      <c r="C1999" t="str">
        <f t="shared" si="93"/>
        <v>Adult</v>
      </c>
      <c r="D1999" t="s">
        <v>16</v>
      </c>
      <c r="E1999" t="s">
        <v>20</v>
      </c>
      <c r="F1999" t="s">
        <v>21</v>
      </c>
      <c r="G1999">
        <v>158.36000000000001</v>
      </c>
      <c r="H1999" t="s">
        <v>31</v>
      </c>
      <c r="I1999" t="s">
        <v>15</v>
      </c>
      <c r="J1999">
        <v>4.0999999999999996</v>
      </c>
      <c r="K1999">
        <v>21</v>
      </c>
      <c r="L1999">
        <f t="shared" si="94"/>
        <v>125.10440000000001</v>
      </c>
      <c r="M1999">
        <v>8</v>
      </c>
      <c r="N1999" t="str">
        <f t="shared" si="95"/>
        <v>Loyal</v>
      </c>
    </row>
    <row r="2000" spans="1:14" x14ac:dyDescent="0.35">
      <c r="A2000">
        <v>1999</v>
      </c>
      <c r="B2000">
        <v>47</v>
      </c>
      <c r="C2000" t="str">
        <f t="shared" si="93"/>
        <v>Adult</v>
      </c>
      <c r="D2000" t="s">
        <v>16</v>
      </c>
      <c r="E2000" t="s">
        <v>20</v>
      </c>
      <c r="F2000" t="s">
        <v>21</v>
      </c>
      <c r="G2000">
        <v>25.96</v>
      </c>
      <c r="H2000" t="s">
        <v>24</v>
      </c>
      <c r="I2000" t="s">
        <v>37</v>
      </c>
      <c r="J2000">
        <v>3.5</v>
      </c>
      <c r="K2000">
        <v>24</v>
      </c>
      <c r="L2000">
        <f t="shared" si="94"/>
        <v>19.729600000000001</v>
      </c>
      <c r="M2000">
        <v>7</v>
      </c>
      <c r="N2000" t="str">
        <f t="shared" si="95"/>
        <v>Regular</v>
      </c>
    </row>
    <row r="2001" spans="1:14" x14ac:dyDescent="0.35">
      <c r="A2001">
        <v>2000</v>
      </c>
      <c r="B2001">
        <v>45</v>
      </c>
      <c r="C2001" t="str">
        <f t="shared" si="93"/>
        <v>Adult</v>
      </c>
      <c r="D2001" t="s">
        <v>11</v>
      </c>
      <c r="E2001" t="s">
        <v>33</v>
      </c>
      <c r="F2001" t="s">
        <v>34</v>
      </c>
      <c r="G2001">
        <v>219.08</v>
      </c>
      <c r="H2001" t="s">
        <v>19</v>
      </c>
      <c r="I2001" t="s">
        <v>15</v>
      </c>
      <c r="J2001">
        <v>3.9</v>
      </c>
      <c r="K2001">
        <v>25</v>
      </c>
      <c r="L2001">
        <f t="shared" si="94"/>
        <v>164.31</v>
      </c>
      <c r="M2001">
        <v>10</v>
      </c>
      <c r="N2001" t="str">
        <f t="shared" si="95"/>
        <v>Loyal</v>
      </c>
    </row>
    <row r="2002" spans="1:14" x14ac:dyDescent="0.35">
      <c r="A2002">
        <v>2001</v>
      </c>
      <c r="B2002">
        <v>44</v>
      </c>
      <c r="C2002" t="str">
        <f t="shared" si="93"/>
        <v>Adult</v>
      </c>
      <c r="D2002" t="s">
        <v>16</v>
      </c>
      <c r="E2002" t="s">
        <v>20</v>
      </c>
      <c r="F2002" t="s">
        <v>36</v>
      </c>
      <c r="G2002">
        <v>216.53</v>
      </c>
      <c r="H2002" t="s">
        <v>19</v>
      </c>
      <c r="I2002" t="s">
        <v>15</v>
      </c>
      <c r="J2002">
        <v>3.4</v>
      </c>
      <c r="K2002">
        <v>2</v>
      </c>
      <c r="L2002">
        <f t="shared" si="94"/>
        <v>212.1994</v>
      </c>
      <c r="M2002">
        <v>1</v>
      </c>
      <c r="N2002" t="str">
        <f t="shared" si="95"/>
        <v>New</v>
      </c>
    </row>
    <row r="2003" spans="1:14" x14ac:dyDescent="0.35">
      <c r="A2003">
        <v>2002</v>
      </c>
      <c r="B2003">
        <v>58</v>
      </c>
      <c r="C2003" t="str">
        <f t="shared" si="93"/>
        <v>Adult</v>
      </c>
      <c r="D2003" t="s">
        <v>16</v>
      </c>
      <c r="E2003" t="s">
        <v>20</v>
      </c>
      <c r="F2003" t="s">
        <v>36</v>
      </c>
      <c r="G2003">
        <v>155.38999999999999</v>
      </c>
      <c r="H2003" t="s">
        <v>24</v>
      </c>
      <c r="I2003" t="s">
        <v>15</v>
      </c>
      <c r="J2003">
        <v>3.5</v>
      </c>
      <c r="K2003">
        <v>21</v>
      </c>
      <c r="L2003">
        <f t="shared" si="94"/>
        <v>122.7581</v>
      </c>
      <c r="M2003">
        <v>8</v>
      </c>
      <c r="N2003" t="str">
        <f t="shared" si="95"/>
        <v>Loyal</v>
      </c>
    </row>
    <row r="2004" spans="1:14" x14ac:dyDescent="0.35">
      <c r="A2004">
        <v>2003</v>
      </c>
      <c r="B2004">
        <v>65</v>
      </c>
      <c r="C2004" t="str">
        <f t="shared" si="93"/>
        <v>Senior</v>
      </c>
      <c r="D2004" t="s">
        <v>16</v>
      </c>
      <c r="E2004" t="s">
        <v>33</v>
      </c>
      <c r="F2004" t="s">
        <v>38</v>
      </c>
      <c r="G2004">
        <v>178.96</v>
      </c>
      <c r="H2004" t="s">
        <v>24</v>
      </c>
      <c r="I2004" t="s">
        <v>15</v>
      </c>
      <c r="J2004">
        <v>3.1</v>
      </c>
      <c r="K2004">
        <v>16</v>
      </c>
      <c r="L2004">
        <f t="shared" si="94"/>
        <v>150.32640000000001</v>
      </c>
      <c r="M2004">
        <v>3</v>
      </c>
      <c r="N2004" t="str">
        <f t="shared" si="95"/>
        <v>New</v>
      </c>
    </row>
    <row r="2005" spans="1:14" x14ac:dyDescent="0.35">
      <c r="A2005">
        <v>2004</v>
      </c>
      <c r="B2005">
        <v>50</v>
      </c>
      <c r="C2005" t="str">
        <f t="shared" si="93"/>
        <v>Adult</v>
      </c>
      <c r="D2005" t="s">
        <v>16</v>
      </c>
      <c r="E2005" t="s">
        <v>17</v>
      </c>
      <c r="F2005" t="s">
        <v>35</v>
      </c>
      <c r="G2005">
        <v>156.35</v>
      </c>
      <c r="H2005" t="s">
        <v>24</v>
      </c>
      <c r="I2005" t="s">
        <v>15</v>
      </c>
      <c r="J2005">
        <v>3.1</v>
      </c>
      <c r="K2005">
        <v>9</v>
      </c>
      <c r="L2005">
        <f t="shared" si="94"/>
        <v>142.27850000000001</v>
      </c>
      <c r="M2005">
        <v>2</v>
      </c>
      <c r="N2005" t="str">
        <f t="shared" si="95"/>
        <v>New</v>
      </c>
    </row>
    <row r="2006" spans="1:14" x14ac:dyDescent="0.35">
      <c r="A2006">
        <v>2005</v>
      </c>
      <c r="B2006">
        <v>32</v>
      </c>
      <c r="C2006" t="str">
        <f t="shared" si="93"/>
        <v>Adult</v>
      </c>
      <c r="D2006" t="s">
        <v>11</v>
      </c>
      <c r="E2006" t="s">
        <v>25</v>
      </c>
      <c r="F2006" t="s">
        <v>54</v>
      </c>
      <c r="G2006">
        <v>30.91</v>
      </c>
      <c r="H2006" t="s">
        <v>19</v>
      </c>
      <c r="I2006" t="s">
        <v>15</v>
      </c>
      <c r="J2006">
        <v>3.4</v>
      </c>
      <c r="K2006">
        <v>14</v>
      </c>
      <c r="L2006">
        <f t="shared" si="94"/>
        <v>26.582599999999999</v>
      </c>
      <c r="M2006">
        <v>2</v>
      </c>
      <c r="N2006" t="str">
        <f t="shared" si="95"/>
        <v>New</v>
      </c>
    </row>
    <row r="2007" spans="1:14" x14ac:dyDescent="0.35">
      <c r="A2007">
        <v>2006</v>
      </c>
      <c r="B2007">
        <v>33</v>
      </c>
      <c r="C2007" t="str">
        <f t="shared" si="93"/>
        <v>Adult</v>
      </c>
      <c r="D2007" t="s">
        <v>11</v>
      </c>
      <c r="E2007" t="s">
        <v>25</v>
      </c>
      <c r="F2007" t="s">
        <v>57</v>
      </c>
      <c r="G2007">
        <v>33.28</v>
      </c>
      <c r="H2007" t="s">
        <v>14</v>
      </c>
      <c r="I2007" t="s">
        <v>15</v>
      </c>
      <c r="J2007">
        <v>4.2</v>
      </c>
      <c r="K2007">
        <v>8</v>
      </c>
      <c r="L2007">
        <f t="shared" si="94"/>
        <v>30.617600000000003</v>
      </c>
      <c r="M2007">
        <v>4</v>
      </c>
      <c r="N2007" t="str">
        <f t="shared" si="95"/>
        <v>Regular</v>
      </c>
    </row>
    <row r="2008" spans="1:14" x14ac:dyDescent="0.35">
      <c r="A2008">
        <v>2007</v>
      </c>
      <c r="B2008">
        <v>41</v>
      </c>
      <c r="C2008" t="str">
        <f t="shared" si="93"/>
        <v>Adult</v>
      </c>
      <c r="D2008" t="s">
        <v>11</v>
      </c>
      <c r="E2008" t="s">
        <v>25</v>
      </c>
      <c r="F2008" t="s">
        <v>26</v>
      </c>
      <c r="G2008">
        <v>14.36</v>
      </c>
      <c r="H2008" t="s">
        <v>24</v>
      </c>
      <c r="I2008" t="s">
        <v>37</v>
      </c>
      <c r="J2008">
        <v>3.6</v>
      </c>
      <c r="K2008">
        <v>15</v>
      </c>
      <c r="L2008">
        <f t="shared" si="94"/>
        <v>12.206</v>
      </c>
      <c r="M2008">
        <v>5</v>
      </c>
      <c r="N2008" t="str">
        <f t="shared" si="95"/>
        <v>Regular</v>
      </c>
    </row>
    <row r="2009" spans="1:14" x14ac:dyDescent="0.35">
      <c r="A2009">
        <v>2008</v>
      </c>
      <c r="B2009">
        <v>60</v>
      </c>
      <c r="C2009" t="str">
        <f t="shared" si="93"/>
        <v>Adult</v>
      </c>
      <c r="D2009" t="s">
        <v>16</v>
      </c>
      <c r="E2009" t="s">
        <v>20</v>
      </c>
      <c r="F2009" t="s">
        <v>21</v>
      </c>
      <c r="G2009">
        <v>164.7</v>
      </c>
      <c r="H2009" t="s">
        <v>31</v>
      </c>
      <c r="I2009" t="s">
        <v>15</v>
      </c>
      <c r="J2009">
        <v>4.8</v>
      </c>
      <c r="K2009">
        <v>26</v>
      </c>
      <c r="L2009">
        <f t="shared" si="94"/>
        <v>121.87799999999999</v>
      </c>
      <c r="M2009">
        <v>8</v>
      </c>
      <c r="N2009" t="str">
        <f t="shared" si="95"/>
        <v>Loyal</v>
      </c>
    </row>
    <row r="2010" spans="1:14" x14ac:dyDescent="0.35">
      <c r="A2010">
        <v>2009</v>
      </c>
      <c r="B2010">
        <v>54</v>
      </c>
      <c r="C2010" t="str">
        <f t="shared" si="93"/>
        <v>Adult</v>
      </c>
      <c r="D2010" t="s">
        <v>16</v>
      </c>
      <c r="E2010" t="s">
        <v>20</v>
      </c>
      <c r="F2010" t="s">
        <v>39</v>
      </c>
      <c r="G2010">
        <v>156.24</v>
      </c>
      <c r="H2010" t="s">
        <v>31</v>
      </c>
      <c r="I2010" t="s">
        <v>15</v>
      </c>
      <c r="J2010">
        <v>4.5999999999999996</v>
      </c>
      <c r="K2010">
        <v>16</v>
      </c>
      <c r="L2010">
        <f t="shared" si="94"/>
        <v>131.24160000000001</v>
      </c>
      <c r="M2010">
        <v>3</v>
      </c>
      <c r="N2010" t="str">
        <f t="shared" si="95"/>
        <v>New</v>
      </c>
    </row>
    <row r="2011" spans="1:14" x14ac:dyDescent="0.35">
      <c r="A2011">
        <v>2010</v>
      </c>
      <c r="B2011">
        <v>34</v>
      </c>
      <c r="C2011" t="str">
        <f t="shared" si="93"/>
        <v>Adult</v>
      </c>
      <c r="D2011" t="s">
        <v>11</v>
      </c>
      <c r="E2011" t="s">
        <v>41</v>
      </c>
      <c r="F2011" t="s">
        <v>44</v>
      </c>
      <c r="G2011">
        <v>153.01</v>
      </c>
      <c r="H2011" t="s">
        <v>31</v>
      </c>
      <c r="I2011" t="s">
        <v>15</v>
      </c>
      <c r="J2011">
        <v>3.8</v>
      </c>
      <c r="K2011">
        <v>13</v>
      </c>
      <c r="L2011">
        <f t="shared" si="94"/>
        <v>133.11869999999999</v>
      </c>
      <c r="M2011">
        <v>4</v>
      </c>
      <c r="N2011" t="str">
        <f t="shared" si="95"/>
        <v>Regular</v>
      </c>
    </row>
    <row r="2012" spans="1:14" x14ac:dyDescent="0.35">
      <c r="A2012">
        <v>2011</v>
      </c>
      <c r="B2012">
        <v>46</v>
      </c>
      <c r="C2012" t="str">
        <f t="shared" si="93"/>
        <v>Adult</v>
      </c>
      <c r="D2012" t="s">
        <v>11</v>
      </c>
      <c r="E2012" t="s">
        <v>33</v>
      </c>
      <c r="F2012" t="s">
        <v>38</v>
      </c>
      <c r="G2012">
        <v>120.06</v>
      </c>
      <c r="H2012" t="s">
        <v>14</v>
      </c>
      <c r="I2012" t="s">
        <v>15</v>
      </c>
      <c r="J2012">
        <v>4.0999999999999996</v>
      </c>
      <c r="K2012">
        <v>6</v>
      </c>
      <c r="L2012">
        <f t="shared" si="94"/>
        <v>112.85639999999999</v>
      </c>
      <c r="M2012">
        <v>3</v>
      </c>
      <c r="N2012" t="str">
        <f t="shared" si="95"/>
        <v>New</v>
      </c>
    </row>
    <row r="2013" spans="1:14" x14ac:dyDescent="0.35">
      <c r="A2013">
        <v>2012</v>
      </c>
      <c r="B2013">
        <v>38</v>
      </c>
      <c r="C2013" t="str">
        <f t="shared" si="93"/>
        <v>Adult</v>
      </c>
      <c r="D2013" t="s">
        <v>11</v>
      </c>
      <c r="E2013" t="s">
        <v>41</v>
      </c>
      <c r="F2013" t="s">
        <v>45</v>
      </c>
      <c r="G2013">
        <v>162.6</v>
      </c>
      <c r="H2013" t="s">
        <v>31</v>
      </c>
      <c r="I2013" t="s">
        <v>15</v>
      </c>
      <c r="J2013">
        <v>4.4000000000000004</v>
      </c>
      <c r="K2013">
        <v>26</v>
      </c>
      <c r="L2013">
        <f t="shared" si="94"/>
        <v>120.324</v>
      </c>
      <c r="M2013">
        <v>8</v>
      </c>
      <c r="N2013" t="str">
        <f t="shared" si="95"/>
        <v>Loyal</v>
      </c>
    </row>
    <row r="2014" spans="1:14" x14ac:dyDescent="0.35">
      <c r="A2014">
        <v>2013</v>
      </c>
      <c r="B2014">
        <v>51</v>
      </c>
      <c r="C2014" t="str">
        <f t="shared" si="93"/>
        <v>Adult</v>
      </c>
      <c r="D2014" t="s">
        <v>11</v>
      </c>
      <c r="E2014" t="s">
        <v>29</v>
      </c>
      <c r="F2014" t="s">
        <v>30</v>
      </c>
      <c r="G2014">
        <v>89.47</v>
      </c>
      <c r="H2014" t="s">
        <v>19</v>
      </c>
      <c r="I2014" t="s">
        <v>15</v>
      </c>
      <c r="J2014">
        <v>3.6</v>
      </c>
      <c r="K2014">
        <v>10</v>
      </c>
      <c r="L2014">
        <f t="shared" si="94"/>
        <v>80.522999999999996</v>
      </c>
      <c r="M2014">
        <v>5</v>
      </c>
      <c r="N2014" t="str">
        <f t="shared" si="95"/>
        <v>Regular</v>
      </c>
    </row>
    <row r="2015" spans="1:14" x14ac:dyDescent="0.35">
      <c r="A2015">
        <v>2014</v>
      </c>
      <c r="B2015">
        <v>20</v>
      </c>
      <c r="C2015" t="str">
        <f t="shared" si="93"/>
        <v>Youth</v>
      </c>
      <c r="D2015" t="s">
        <v>11</v>
      </c>
      <c r="E2015" t="s">
        <v>33</v>
      </c>
      <c r="F2015" t="s">
        <v>40</v>
      </c>
      <c r="G2015">
        <v>88.2</v>
      </c>
      <c r="H2015" t="s">
        <v>24</v>
      </c>
      <c r="I2015" t="s">
        <v>37</v>
      </c>
      <c r="J2015">
        <v>3.4</v>
      </c>
      <c r="K2015">
        <v>17</v>
      </c>
      <c r="L2015">
        <f t="shared" si="94"/>
        <v>73.206000000000003</v>
      </c>
      <c r="M2015">
        <v>6</v>
      </c>
      <c r="N2015" t="str">
        <f t="shared" si="95"/>
        <v>Regular</v>
      </c>
    </row>
    <row r="2016" spans="1:14" x14ac:dyDescent="0.35">
      <c r="A2016">
        <v>2015</v>
      </c>
      <c r="B2016">
        <v>35</v>
      </c>
      <c r="C2016" t="str">
        <f t="shared" si="93"/>
        <v>Adult</v>
      </c>
      <c r="D2016" t="s">
        <v>16</v>
      </c>
      <c r="E2016" t="s">
        <v>33</v>
      </c>
      <c r="F2016" t="s">
        <v>38</v>
      </c>
      <c r="G2016">
        <v>199.05</v>
      </c>
      <c r="H2016" t="s">
        <v>24</v>
      </c>
      <c r="I2016" t="s">
        <v>15</v>
      </c>
      <c r="J2016">
        <v>3.4</v>
      </c>
      <c r="K2016">
        <v>10</v>
      </c>
      <c r="L2016">
        <f t="shared" si="94"/>
        <v>179.14500000000001</v>
      </c>
      <c r="M2016">
        <v>5</v>
      </c>
      <c r="N2016" t="str">
        <f t="shared" si="95"/>
        <v>Regular</v>
      </c>
    </row>
    <row r="2017" spans="1:14" x14ac:dyDescent="0.35">
      <c r="A2017">
        <v>2016</v>
      </c>
      <c r="B2017">
        <v>57</v>
      </c>
      <c r="C2017" t="str">
        <f t="shared" si="93"/>
        <v>Adult</v>
      </c>
      <c r="D2017" t="s">
        <v>16</v>
      </c>
      <c r="E2017" t="s">
        <v>22</v>
      </c>
      <c r="F2017" t="s">
        <v>23</v>
      </c>
      <c r="G2017">
        <v>97.73</v>
      </c>
      <c r="H2017" t="s">
        <v>24</v>
      </c>
      <c r="I2017" t="s">
        <v>37</v>
      </c>
      <c r="J2017">
        <v>4.0999999999999996</v>
      </c>
      <c r="K2017">
        <v>12</v>
      </c>
      <c r="L2017">
        <f t="shared" si="94"/>
        <v>86.002400000000009</v>
      </c>
      <c r="M2017">
        <v>6</v>
      </c>
      <c r="N2017" t="str">
        <f t="shared" si="95"/>
        <v>Regular</v>
      </c>
    </row>
    <row r="2018" spans="1:14" x14ac:dyDescent="0.35">
      <c r="A2018">
        <v>2017</v>
      </c>
      <c r="B2018">
        <v>35</v>
      </c>
      <c r="C2018" t="str">
        <f t="shared" si="93"/>
        <v>Adult</v>
      </c>
      <c r="D2018" t="s">
        <v>16</v>
      </c>
      <c r="E2018" t="s">
        <v>25</v>
      </c>
      <c r="F2018" t="s">
        <v>54</v>
      </c>
      <c r="G2018">
        <v>21.46</v>
      </c>
      <c r="H2018" t="s">
        <v>31</v>
      </c>
      <c r="I2018" t="s">
        <v>37</v>
      </c>
      <c r="J2018">
        <v>3.7</v>
      </c>
      <c r="K2018">
        <v>8</v>
      </c>
      <c r="L2018">
        <f t="shared" si="94"/>
        <v>19.743200000000002</v>
      </c>
      <c r="M2018">
        <v>4</v>
      </c>
      <c r="N2018" t="str">
        <f t="shared" si="95"/>
        <v>Regular</v>
      </c>
    </row>
    <row r="2019" spans="1:14" x14ac:dyDescent="0.35">
      <c r="A2019">
        <v>2018</v>
      </c>
      <c r="B2019">
        <v>51</v>
      </c>
      <c r="C2019" t="str">
        <f t="shared" si="93"/>
        <v>Adult</v>
      </c>
      <c r="D2019" t="s">
        <v>11</v>
      </c>
      <c r="E2019" t="s">
        <v>41</v>
      </c>
      <c r="F2019" t="s">
        <v>45</v>
      </c>
      <c r="G2019">
        <v>196.16</v>
      </c>
      <c r="H2019" t="s">
        <v>14</v>
      </c>
      <c r="I2019" t="s">
        <v>15</v>
      </c>
      <c r="J2019">
        <v>3.4</v>
      </c>
      <c r="K2019">
        <v>20</v>
      </c>
      <c r="L2019">
        <f t="shared" si="94"/>
        <v>156.928</v>
      </c>
      <c r="M2019">
        <v>5</v>
      </c>
      <c r="N2019" t="str">
        <f t="shared" si="95"/>
        <v>Regular</v>
      </c>
    </row>
    <row r="2020" spans="1:14" x14ac:dyDescent="0.35">
      <c r="A2020">
        <v>2019</v>
      </c>
      <c r="B2020">
        <v>45</v>
      </c>
      <c r="C2020" t="str">
        <f t="shared" si="93"/>
        <v>Adult</v>
      </c>
      <c r="D2020" t="s">
        <v>11</v>
      </c>
      <c r="E2020" t="s">
        <v>29</v>
      </c>
      <c r="F2020" t="s">
        <v>55</v>
      </c>
      <c r="G2020">
        <v>89.54</v>
      </c>
      <c r="H2020" t="s">
        <v>19</v>
      </c>
      <c r="I2020" t="s">
        <v>37</v>
      </c>
      <c r="J2020">
        <v>4.5999999999999996</v>
      </c>
      <c r="K2020">
        <v>20</v>
      </c>
      <c r="L2020">
        <f t="shared" si="94"/>
        <v>71.632000000000005</v>
      </c>
      <c r="M2020">
        <v>5</v>
      </c>
      <c r="N2020" t="str">
        <f t="shared" si="95"/>
        <v>Regular</v>
      </c>
    </row>
    <row r="2021" spans="1:14" x14ac:dyDescent="0.35">
      <c r="A2021">
        <v>2020</v>
      </c>
      <c r="B2021">
        <v>48</v>
      </c>
      <c r="C2021" t="str">
        <f t="shared" si="93"/>
        <v>Adult</v>
      </c>
      <c r="D2021" t="s">
        <v>16</v>
      </c>
      <c r="E2021" t="s">
        <v>33</v>
      </c>
      <c r="F2021" t="s">
        <v>40</v>
      </c>
      <c r="G2021">
        <v>65.63</v>
      </c>
      <c r="H2021" t="s">
        <v>14</v>
      </c>
      <c r="I2021" t="s">
        <v>15</v>
      </c>
      <c r="J2021">
        <v>3.4</v>
      </c>
      <c r="K2021">
        <v>20</v>
      </c>
      <c r="L2021">
        <f t="shared" si="94"/>
        <v>52.503999999999998</v>
      </c>
      <c r="M2021">
        <v>5</v>
      </c>
      <c r="N2021" t="str">
        <f t="shared" si="95"/>
        <v>Regular</v>
      </c>
    </row>
    <row r="2022" spans="1:14" x14ac:dyDescent="0.35">
      <c r="A2022">
        <v>2021</v>
      </c>
      <c r="B2022">
        <v>29</v>
      </c>
      <c r="C2022" t="str">
        <f t="shared" si="93"/>
        <v>Youth</v>
      </c>
      <c r="D2022" t="s">
        <v>16</v>
      </c>
      <c r="E2022" t="s">
        <v>25</v>
      </c>
      <c r="F2022" t="s">
        <v>54</v>
      </c>
      <c r="G2022">
        <v>50.38</v>
      </c>
      <c r="H2022" t="s">
        <v>14</v>
      </c>
      <c r="I2022" t="s">
        <v>37</v>
      </c>
      <c r="J2022">
        <v>4.5</v>
      </c>
      <c r="K2022">
        <v>12</v>
      </c>
      <c r="L2022">
        <f t="shared" si="94"/>
        <v>44.334400000000002</v>
      </c>
      <c r="M2022">
        <v>6</v>
      </c>
      <c r="N2022" t="str">
        <f t="shared" si="95"/>
        <v>Regular</v>
      </c>
    </row>
    <row r="2023" spans="1:14" x14ac:dyDescent="0.35">
      <c r="A2023">
        <v>2022</v>
      </c>
      <c r="B2023">
        <v>58</v>
      </c>
      <c r="C2023" t="str">
        <f t="shared" si="93"/>
        <v>Adult</v>
      </c>
      <c r="D2023" t="s">
        <v>16</v>
      </c>
      <c r="E2023" t="s">
        <v>25</v>
      </c>
      <c r="F2023" t="s">
        <v>26</v>
      </c>
      <c r="G2023">
        <v>10.55</v>
      </c>
      <c r="H2023" t="s">
        <v>14</v>
      </c>
      <c r="I2023" t="s">
        <v>15</v>
      </c>
      <c r="J2023">
        <v>4.2</v>
      </c>
      <c r="K2023">
        <v>16</v>
      </c>
      <c r="L2023">
        <f t="shared" si="94"/>
        <v>8.8620000000000001</v>
      </c>
      <c r="M2023">
        <v>3</v>
      </c>
      <c r="N2023" t="str">
        <f t="shared" si="95"/>
        <v>New</v>
      </c>
    </row>
    <row r="2024" spans="1:14" x14ac:dyDescent="0.35">
      <c r="A2024">
        <v>2023</v>
      </c>
      <c r="B2024">
        <v>22</v>
      </c>
      <c r="C2024" t="str">
        <f t="shared" si="93"/>
        <v>Youth</v>
      </c>
      <c r="D2024" t="s">
        <v>11</v>
      </c>
      <c r="E2024" t="s">
        <v>25</v>
      </c>
      <c r="F2024" t="s">
        <v>47</v>
      </c>
      <c r="G2024">
        <v>9.68</v>
      </c>
      <c r="H2024" t="s">
        <v>31</v>
      </c>
      <c r="I2024" t="s">
        <v>37</v>
      </c>
      <c r="J2024">
        <v>4.4000000000000004</v>
      </c>
      <c r="K2024">
        <v>18</v>
      </c>
      <c r="L2024">
        <f t="shared" si="94"/>
        <v>7.9376000000000007</v>
      </c>
      <c r="M2024">
        <v>4</v>
      </c>
      <c r="N2024" t="str">
        <f t="shared" si="95"/>
        <v>Regular</v>
      </c>
    </row>
    <row r="2025" spans="1:14" x14ac:dyDescent="0.35">
      <c r="A2025">
        <v>2024</v>
      </c>
      <c r="B2025">
        <v>69</v>
      </c>
      <c r="C2025" t="str">
        <f t="shared" si="93"/>
        <v>Senior</v>
      </c>
      <c r="D2025" t="s">
        <v>11</v>
      </c>
      <c r="E2025" t="s">
        <v>22</v>
      </c>
      <c r="F2025" t="s">
        <v>52</v>
      </c>
      <c r="G2025">
        <v>58.08</v>
      </c>
      <c r="H2025" t="s">
        <v>14</v>
      </c>
      <c r="I2025" t="s">
        <v>37</v>
      </c>
      <c r="J2025">
        <v>3.3</v>
      </c>
      <c r="K2025">
        <v>20</v>
      </c>
      <c r="L2025">
        <f t="shared" si="94"/>
        <v>46.463999999999999</v>
      </c>
      <c r="M2025">
        <v>5</v>
      </c>
      <c r="N2025" t="str">
        <f t="shared" si="95"/>
        <v>Regular</v>
      </c>
    </row>
    <row r="2026" spans="1:14" x14ac:dyDescent="0.35">
      <c r="A2026">
        <v>2025</v>
      </c>
      <c r="B2026">
        <v>50</v>
      </c>
      <c r="C2026" t="str">
        <f t="shared" si="93"/>
        <v>Adult</v>
      </c>
      <c r="D2026" t="s">
        <v>16</v>
      </c>
      <c r="E2026" t="s">
        <v>33</v>
      </c>
      <c r="F2026" t="s">
        <v>40</v>
      </c>
      <c r="G2026">
        <v>87.66</v>
      </c>
      <c r="H2026" t="s">
        <v>24</v>
      </c>
      <c r="I2026" t="s">
        <v>15</v>
      </c>
      <c r="J2026">
        <v>3</v>
      </c>
      <c r="K2026">
        <v>16</v>
      </c>
      <c r="L2026">
        <f t="shared" si="94"/>
        <v>73.634399999999999</v>
      </c>
      <c r="M2026">
        <v>3</v>
      </c>
      <c r="N2026" t="str">
        <f t="shared" si="95"/>
        <v>New</v>
      </c>
    </row>
    <row r="2027" spans="1:14" x14ac:dyDescent="0.35">
      <c r="A2027">
        <v>2026</v>
      </c>
      <c r="B2027">
        <v>58</v>
      </c>
      <c r="C2027" t="str">
        <f t="shared" si="93"/>
        <v>Adult</v>
      </c>
      <c r="D2027" t="s">
        <v>16</v>
      </c>
      <c r="E2027" t="s">
        <v>27</v>
      </c>
      <c r="F2027" t="s">
        <v>49</v>
      </c>
      <c r="G2027">
        <v>715.45</v>
      </c>
      <c r="H2027" t="s">
        <v>14</v>
      </c>
      <c r="I2027" t="s">
        <v>15</v>
      </c>
      <c r="J2027">
        <v>3.3</v>
      </c>
      <c r="K2027">
        <v>20</v>
      </c>
      <c r="L2027">
        <f t="shared" si="94"/>
        <v>572.36</v>
      </c>
      <c r="M2027">
        <v>5</v>
      </c>
      <c r="N2027" t="str">
        <f t="shared" si="95"/>
        <v>Regular</v>
      </c>
    </row>
    <row r="2028" spans="1:14" x14ac:dyDescent="0.35">
      <c r="A2028">
        <v>2027</v>
      </c>
      <c r="B2028">
        <v>30</v>
      </c>
      <c r="C2028" t="str">
        <f t="shared" si="93"/>
        <v>Youth</v>
      </c>
      <c r="D2028" t="s">
        <v>11</v>
      </c>
      <c r="E2028" t="s">
        <v>12</v>
      </c>
      <c r="F2028" t="s">
        <v>56</v>
      </c>
      <c r="G2028">
        <v>96.49</v>
      </c>
      <c r="H2028" t="s">
        <v>24</v>
      </c>
      <c r="I2028" t="s">
        <v>37</v>
      </c>
      <c r="J2028">
        <v>4.7</v>
      </c>
      <c r="K2028">
        <v>29</v>
      </c>
      <c r="L2028">
        <f t="shared" si="94"/>
        <v>68.507899999999992</v>
      </c>
      <c r="M2028">
        <v>12</v>
      </c>
      <c r="N2028" t="str">
        <f t="shared" si="95"/>
        <v>Loyal</v>
      </c>
    </row>
    <row r="2029" spans="1:14" x14ac:dyDescent="0.35">
      <c r="A2029">
        <v>2028</v>
      </c>
      <c r="B2029">
        <v>25</v>
      </c>
      <c r="C2029" t="str">
        <f t="shared" si="93"/>
        <v>Youth</v>
      </c>
      <c r="D2029" t="s">
        <v>11</v>
      </c>
      <c r="E2029" t="s">
        <v>12</v>
      </c>
      <c r="F2029" t="s">
        <v>56</v>
      </c>
      <c r="G2029">
        <v>152.71</v>
      </c>
      <c r="H2029" t="s">
        <v>24</v>
      </c>
      <c r="I2029" t="s">
        <v>15</v>
      </c>
      <c r="J2029">
        <v>3.8</v>
      </c>
      <c r="K2029">
        <v>18</v>
      </c>
      <c r="L2029">
        <f t="shared" si="94"/>
        <v>125.22220000000002</v>
      </c>
      <c r="M2029">
        <v>4</v>
      </c>
      <c r="N2029" t="str">
        <f t="shared" si="95"/>
        <v>Regular</v>
      </c>
    </row>
    <row r="2030" spans="1:14" x14ac:dyDescent="0.35">
      <c r="A2030">
        <v>2029</v>
      </c>
      <c r="B2030">
        <v>51</v>
      </c>
      <c r="C2030" t="str">
        <f t="shared" si="93"/>
        <v>Adult</v>
      </c>
      <c r="D2030" t="s">
        <v>11</v>
      </c>
      <c r="E2030" t="s">
        <v>12</v>
      </c>
      <c r="F2030" t="s">
        <v>13</v>
      </c>
      <c r="G2030">
        <v>72.38</v>
      </c>
      <c r="H2030" t="s">
        <v>19</v>
      </c>
      <c r="I2030" t="s">
        <v>37</v>
      </c>
      <c r="J2030">
        <v>5</v>
      </c>
      <c r="K2030">
        <v>11</v>
      </c>
      <c r="L2030">
        <f t="shared" si="94"/>
        <v>64.418199999999999</v>
      </c>
      <c r="M2030">
        <v>3</v>
      </c>
      <c r="N2030" t="str">
        <f t="shared" si="95"/>
        <v>New</v>
      </c>
    </row>
    <row r="2031" spans="1:14" x14ac:dyDescent="0.35">
      <c r="A2031">
        <v>2030</v>
      </c>
      <c r="B2031">
        <v>46</v>
      </c>
      <c r="C2031" t="str">
        <f t="shared" si="93"/>
        <v>Adult</v>
      </c>
      <c r="D2031" t="s">
        <v>11</v>
      </c>
      <c r="E2031" t="s">
        <v>12</v>
      </c>
      <c r="F2031" t="s">
        <v>56</v>
      </c>
      <c r="G2031">
        <v>67.510000000000005</v>
      </c>
      <c r="H2031" t="s">
        <v>24</v>
      </c>
      <c r="I2031" t="s">
        <v>37</v>
      </c>
      <c r="J2031">
        <v>3.8</v>
      </c>
      <c r="K2031">
        <v>13</v>
      </c>
      <c r="L2031">
        <f t="shared" si="94"/>
        <v>58.733700000000006</v>
      </c>
      <c r="M2031">
        <v>4</v>
      </c>
      <c r="N2031" t="str">
        <f t="shared" si="95"/>
        <v>Regular</v>
      </c>
    </row>
    <row r="2032" spans="1:14" x14ac:dyDescent="0.35">
      <c r="A2032">
        <v>2031</v>
      </c>
      <c r="B2032">
        <v>54</v>
      </c>
      <c r="C2032" t="str">
        <f t="shared" si="93"/>
        <v>Adult</v>
      </c>
      <c r="D2032" t="s">
        <v>11</v>
      </c>
      <c r="E2032" t="s">
        <v>22</v>
      </c>
      <c r="F2032" t="s">
        <v>43</v>
      </c>
      <c r="G2032">
        <v>174.89</v>
      </c>
      <c r="H2032" t="s">
        <v>31</v>
      </c>
      <c r="I2032" t="s">
        <v>15</v>
      </c>
      <c r="J2032">
        <v>4.2</v>
      </c>
      <c r="K2032">
        <v>11</v>
      </c>
      <c r="L2032">
        <f t="shared" si="94"/>
        <v>155.65209999999999</v>
      </c>
      <c r="M2032">
        <v>3</v>
      </c>
      <c r="N2032" t="str">
        <f t="shared" si="95"/>
        <v>New</v>
      </c>
    </row>
    <row r="2033" spans="1:14" x14ac:dyDescent="0.35">
      <c r="A2033">
        <v>2032</v>
      </c>
      <c r="B2033">
        <v>27</v>
      </c>
      <c r="C2033" t="str">
        <f t="shared" si="93"/>
        <v>Youth</v>
      </c>
      <c r="D2033" t="s">
        <v>16</v>
      </c>
      <c r="E2033" t="s">
        <v>20</v>
      </c>
      <c r="F2033" t="s">
        <v>36</v>
      </c>
      <c r="G2033">
        <v>96.73</v>
      </c>
      <c r="H2033" t="s">
        <v>24</v>
      </c>
      <c r="I2033" t="s">
        <v>15</v>
      </c>
      <c r="J2033">
        <v>2.6</v>
      </c>
      <c r="K2033">
        <v>9</v>
      </c>
      <c r="L2033">
        <f t="shared" si="94"/>
        <v>88.024300000000011</v>
      </c>
      <c r="M2033">
        <v>2</v>
      </c>
      <c r="N2033" t="str">
        <f t="shared" si="95"/>
        <v>New</v>
      </c>
    </row>
    <row r="2034" spans="1:14" x14ac:dyDescent="0.35">
      <c r="A2034">
        <v>2033</v>
      </c>
      <c r="B2034">
        <v>63</v>
      </c>
      <c r="C2034" t="str">
        <f t="shared" si="93"/>
        <v>Senior</v>
      </c>
      <c r="D2034" t="s">
        <v>16</v>
      </c>
      <c r="E2034" t="s">
        <v>17</v>
      </c>
      <c r="F2034" t="s">
        <v>18</v>
      </c>
      <c r="G2034">
        <v>68.14</v>
      </c>
      <c r="H2034" t="s">
        <v>31</v>
      </c>
      <c r="I2034" t="s">
        <v>15</v>
      </c>
      <c r="J2034">
        <v>5</v>
      </c>
      <c r="K2034">
        <v>19</v>
      </c>
      <c r="L2034">
        <f t="shared" si="94"/>
        <v>55.193400000000004</v>
      </c>
      <c r="M2034">
        <v>7</v>
      </c>
      <c r="N2034" t="str">
        <f t="shared" si="95"/>
        <v>Regular</v>
      </c>
    </row>
    <row r="2035" spans="1:14" x14ac:dyDescent="0.35">
      <c r="A2035">
        <v>2034</v>
      </c>
      <c r="B2035">
        <v>66</v>
      </c>
      <c r="C2035" t="str">
        <f t="shared" si="93"/>
        <v>Senior</v>
      </c>
      <c r="D2035" t="s">
        <v>11</v>
      </c>
      <c r="E2035" t="s">
        <v>33</v>
      </c>
      <c r="F2035" t="s">
        <v>38</v>
      </c>
      <c r="G2035">
        <v>54.49</v>
      </c>
      <c r="H2035" t="s">
        <v>14</v>
      </c>
      <c r="I2035" t="s">
        <v>15</v>
      </c>
      <c r="J2035">
        <v>4.8</v>
      </c>
      <c r="K2035">
        <v>4</v>
      </c>
      <c r="L2035">
        <f t="shared" si="94"/>
        <v>52.310400000000001</v>
      </c>
      <c r="M2035">
        <v>2</v>
      </c>
      <c r="N2035" t="str">
        <f t="shared" si="95"/>
        <v>New</v>
      </c>
    </row>
    <row r="2036" spans="1:14" x14ac:dyDescent="0.35">
      <c r="A2036">
        <v>2035</v>
      </c>
      <c r="B2036">
        <v>70</v>
      </c>
      <c r="C2036" t="str">
        <f t="shared" si="93"/>
        <v>Senior</v>
      </c>
      <c r="D2036" t="s">
        <v>16</v>
      </c>
      <c r="E2036" t="s">
        <v>27</v>
      </c>
      <c r="F2036" t="s">
        <v>49</v>
      </c>
      <c r="G2036">
        <v>896.45</v>
      </c>
      <c r="H2036" t="s">
        <v>31</v>
      </c>
      <c r="I2036" t="s">
        <v>15</v>
      </c>
      <c r="J2036">
        <v>4.4000000000000004</v>
      </c>
      <c r="K2036">
        <v>15</v>
      </c>
      <c r="L2036">
        <f t="shared" si="94"/>
        <v>761.98250000000007</v>
      </c>
      <c r="M2036">
        <v>5</v>
      </c>
      <c r="N2036" t="str">
        <f t="shared" si="95"/>
        <v>Regular</v>
      </c>
    </row>
    <row r="2037" spans="1:14" x14ac:dyDescent="0.35">
      <c r="A2037">
        <v>2036</v>
      </c>
      <c r="B2037">
        <v>60</v>
      </c>
      <c r="C2037" t="str">
        <f t="shared" si="93"/>
        <v>Adult</v>
      </c>
      <c r="D2037" t="s">
        <v>11</v>
      </c>
      <c r="E2037" t="s">
        <v>12</v>
      </c>
      <c r="F2037" t="s">
        <v>56</v>
      </c>
      <c r="G2037">
        <v>129.05000000000001</v>
      </c>
      <c r="H2037" t="s">
        <v>31</v>
      </c>
      <c r="I2037" t="s">
        <v>15</v>
      </c>
      <c r="J2037">
        <v>2.5</v>
      </c>
      <c r="K2037">
        <v>12</v>
      </c>
      <c r="L2037">
        <f t="shared" si="94"/>
        <v>113.56400000000001</v>
      </c>
      <c r="M2037">
        <v>6</v>
      </c>
      <c r="N2037" t="str">
        <f t="shared" si="95"/>
        <v>Regular</v>
      </c>
    </row>
    <row r="2038" spans="1:14" x14ac:dyDescent="0.35">
      <c r="A2038">
        <v>2037</v>
      </c>
      <c r="B2038">
        <v>57</v>
      </c>
      <c r="C2038" t="str">
        <f t="shared" si="93"/>
        <v>Adult</v>
      </c>
      <c r="D2038" t="s">
        <v>16</v>
      </c>
      <c r="E2038" t="s">
        <v>25</v>
      </c>
      <c r="F2038" t="s">
        <v>54</v>
      </c>
      <c r="G2038">
        <v>74.010000000000005</v>
      </c>
      <c r="H2038" t="s">
        <v>19</v>
      </c>
      <c r="I2038" t="s">
        <v>15</v>
      </c>
      <c r="J2038">
        <v>2.7</v>
      </c>
      <c r="K2038">
        <v>20</v>
      </c>
      <c r="L2038">
        <f t="shared" si="94"/>
        <v>59.208000000000006</v>
      </c>
      <c r="M2038">
        <v>5</v>
      </c>
      <c r="N2038" t="str">
        <f t="shared" si="95"/>
        <v>Regular</v>
      </c>
    </row>
    <row r="2039" spans="1:14" x14ac:dyDescent="0.35">
      <c r="A2039">
        <v>2038</v>
      </c>
      <c r="B2039">
        <v>47</v>
      </c>
      <c r="C2039" t="str">
        <f t="shared" si="93"/>
        <v>Adult</v>
      </c>
      <c r="D2039" t="s">
        <v>11</v>
      </c>
      <c r="E2039" t="s">
        <v>25</v>
      </c>
      <c r="F2039" t="s">
        <v>54</v>
      </c>
      <c r="G2039">
        <v>28.94</v>
      </c>
      <c r="H2039" t="s">
        <v>24</v>
      </c>
      <c r="I2039" t="s">
        <v>15</v>
      </c>
      <c r="J2039">
        <v>4.2</v>
      </c>
      <c r="K2039">
        <v>10</v>
      </c>
      <c r="L2039">
        <f t="shared" si="94"/>
        <v>26.046000000000003</v>
      </c>
      <c r="M2039">
        <v>5</v>
      </c>
      <c r="N2039" t="str">
        <f t="shared" si="95"/>
        <v>Regular</v>
      </c>
    </row>
    <row r="2040" spans="1:14" x14ac:dyDescent="0.35">
      <c r="A2040">
        <v>2039</v>
      </c>
      <c r="B2040">
        <v>60</v>
      </c>
      <c r="C2040" t="str">
        <f t="shared" si="93"/>
        <v>Adult</v>
      </c>
      <c r="D2040" t="s">
        <v>16</v>
      </c>
      <c r="E2040" t="s">
        <v>17</v>
      </c>
      <c r="F2040" t="s">
        <v>42</v>
      </c>
      <c r="G2040">
        <v>97.47</v>
      </c>
      <c r="H2040" t="s">
        <v>24</v>
      </c>
      <c r="I2040" t="s">
        <v>37</v>
      </c>
      <c r="J2040">
        <v>4.4000000000000004</v>
      </c>
      <c r="K2040">
        <v>9</v>
      </c>
      <c r="L2040">
        <f t="shared" si="94"/>
        <v>88.697699999999998</v>
      </c>
      <c r="M2040">
        <v>2</v>
      </c>
      <c r="N2040" t="str">
        <f t="shared" si="95"/>
        <v>New</v>
      </c>
    </row>
    <row r="2041" spans="1:14" x14ac:dyDescent="0.35">
      <c r="A2041">
        <v>2040</v>
      </c>
      <c r="B2041">
        <v>59</v>
      </c>
      <c r="C2041" t="str">
        <f t="shared" si="93"/>
        <v>Adult</v>
      </c>
      <c r="D2041" t="s">
        <v>11</v>
      </c>
      <c r="E2041" t="s">
        <v>33</v>
      </c>
      <c r="F2041" t="s">
        <v>40</v>
      </c>
      <c r="G2041">
        <v>145.79</v>
      </c>
      <c r="H2041" t="s">
        <v>31</v>
      </c>
      <c r="I2041" t="s">
        <v>15</v>
      </c>
      <c r="J2041">
        <v>4</v>
      </c>
      <c r="K2041">
        <v>17</v>
      </c>
      <c r="L2041">
        <f t="shared" si="94"/>
        <v>121.00569999999999</v>
      </c>
      <c r="M2041">
        <v>6</v>
      </c>
      <c r="N2041" t="str">
        <f t="shared" si="95"/>
        <v>Regular</v>
      </c>
    </row>
    <row r="2042" spans="1:14" x14ac:dyDescent="0.35">
      <c r="A2042">
        <v>2041</v>
      </c>
      <c r="B2042">
        <v>54</v>
      </c>
      <c r="C2042" t="str">
        <f t="shared" si="93"/>
        <v>Adult</v>
      </c>
      <c r="D2042" t="s">
        <v>11</v>
      </c>
      <c r="E2042" t="s">
        <v>22</v>
      </c>
      <c r="F2042" t="s">
        <v>43</v>
      </c>
      <c r="G2042">
        <v>39.020000000000003</v>
      </c>
      <c r="H2042" t="s">
        <v>14</v>
      </c>
      <c r="I2042" t="s">
        <v>15</v>
      </c>
      <c r="J2042">
        <v>3.5</v>
      </c>
      <c r="K2042">
        <v>17</v>
      </c>
      <c r="L2042">
        <f t="shared" si="94"/>
        <v>32.386600000000001</v>
      </c>
      <c r="M2042">
        <v>6</v>
      </c>
      <c r="N2042" t="str">
        <f t="shared" si="95"/>
        <v>Regular</v>
      </c>
    </row>
    <row r="2043" spans="1:14" x14ac:dyDescent="0.35">
      <c r="A2043">
        <v>2042</v>
      </c>
      <c r="B2043">
        <v>49</v>
      </c>
      <c r="C2043" t="str">
        <f t="shared" si="93"/>
        <v>Adult</v>
      </c>
      <c r="D2043" t="s">
        <v>16</v>
      </c>
      <c r="E2043" t="s">
        <v>20</v>
      </c>
      <c r="F2043" t="s">
        <v>36</v>
      </c>
      <c r="G2043">
        <v>186.01</v>
      </c>
      <c r="H2043" t="s">
        <v>24</v>
      </c>
      <c r="I2043" t="s">
        <v>15</v>
      </c>
      <c r="J2043">
        <v>4.3</v>
      </c>
      <c r="K2043">
        <v>18</v>
      </c>
      <c r="L2043">
        <f t="shared" si="94"/>
        <v>152.5282</v>
      </c>
      <c r="M2043">
        <v>4</v>
      </c>
      <c r="N2043" t="str">
        <f t="shared" si="95"/>
        <v>Regular</v>
      </c>
    </row>
    <row r="2044" spans="1:14" x14ac:dyDescent="0.35">
      <c r="A2044">
        <v>2043</v>
      </c>
      <c r="B2044">
        <v>67</v>
      </c>
      <c r="C2044" t="str">
        <f t="shared" si="93"/>
        <v>Senior</v>
      </c>
      <c r="D2044" t="s">
        <v>16</v>
      </c>
      <c r="E2044" t="s">
        <v>33</v>
      </c>
      <c r="F2044" t="s">
        <v>40</v>
      </c>
      <c r="G2044">
        <v>58.17</v>
      </c>
      <c r="H2044" t="s">
        <v>31</v>
      </c>
      <c r="I2044" t="s">
        <v>15</v>
      </c>
      <c r="J2044">
        <v>4.9000000000000004</v>
      </c>
      <c r="K2044">
        <v>15</v>
      </c>
      <c r="L2044">
        <f t="shared" si="94"/>
        <v>49.444499999999998</v>
      </c>
      <c r="M2044">
        <v>5</v>
      </c>
      <c r="N2044" t="str">
        <f t="shared" si="95"/>
        <v>Regular</v>
      </c>
    </row>
    <row r="2045" spans="1:14" x14ac:dyDescent="0.35">
      <c r="A2045">
        <v>2044</v>
      </c>
      <c r="B2045">
        <v>69</v>
      </c>
      <c r="C2045" t="str">
        <f t="shared" si="93"/>
        <v>Senior</v>
      </c>
      <c r="D2045" t="s">
        <v>16</v>
      </c>
      <c r="E2045" t="s">
        <v>33</v>
      </c>
      <c r="F2045" t="s">
        <v>40</v>
      </c>
      <c r="G2045">
        <v>173.95</v>
      </c>
      <c r="H2045" t="s">
        <v>31</v>
      </c>
      <c r="I2045" t="s">
        <v>15</v>
      </c>
      <c r="J2045">
        <v>3.6</v>
      </c>
      <c r="K2045">
        <v>21</v>
      </c>
      <c r="L2045">
        <f t="shared" si="94"/>
        <v>137.4205</v>
      </c>
      <c r="M2045">
        <v>8</v>
      </c>
      <c r="N2045" t="str">
        <f t="shared" si="95"/>
        <v>Loyal</v>
      </c>
    </row>
    <row r="2046" spans="1:14" x14ac:dyDescent="0.35">
      <c r="A2046">
        <v>2045</v>
      </c>
      <c r="B2046">
        <v>48</v>
      </c>
      <c r="C2046" t="str">
        <f t="shared" si="93"/>
        <v>Adult</v>
      </c>
      <c r="D2046" t="s">
        <v>16</v>
      </c>
      <c r="E2046" t="s">
        <v>33</v>
      </c>
      <c r="F2046" t="s">
        <v>38</v>
      </c>
      <c r="G2046">
        <v>249.92</v>
      </c>
      <c r="H2046" t="s">
        <v>14</v>
      </c>
      <c r="I2046" t="s">
        <v>15</v>
      </c>
      <c r="J2046">
        <v>4.5</v>
      </c>
      <c r="K2046">
        <v>9</v>
      </c>
      <c r="L2046">
        <f t="shared" si="94"/>
        <v>227.4272</v>
      </c>
      <c r="M2046">
        <v>2</v>
      </c>
      <c r="N2046" t="str">
        <f t="shared" si="95"/>
        <v>New</v>
      </c>
    </row>
    <row r="2047" spans="1:14" x14ac:dyDescent="0.35">
      <c r="A2047">
        <v>2046</v>
      </c>
      <c r="B2047">
        <v>21</v>
      </c>
      <c r="C2047" t="str">
        <f t="shared" si="93"/>
        <v>Youth</v>
      </c>
      <c r="D2047" t="s">
        <v>16</v>
      </c>
      <c r="E2047" t="s">
        <v>33</v>
      </c>
      <c r="F2047" t="s">
        <v>40</v>
      </c>
      <c r="G2047">
        <v>96.58</v>
      </c>
      <c r="H2047" t="s">
        <v>14</v>
      </c>
      <c r="I2047" t="s">
        <v>15</v>
      </c>
      <c r="J2047">
        <v>2.2000000000000002</v>
      </c>
      <c r="K2047">
        <v>6</v>
      </c>
      <c r="L2047">
        <f t="shared" si="94"/>
        <v>90.785199999999989</v>
      </c>
      <c r="M2047">
        <v>3</v>
      </c>
      <c r="N2047" t="str">
        <f t="shared" si="95"/>
        <v>New</v>
      </c>
    </row>
    <row r="2048" spans="1:14" x14ac:dyDescent="0.35">
      <c r="A2048">
        <v>2047</v>
      </c>
      <c r="B2048">
        <v>33</v>
      </c>
      <c r="C2048" t="str">
        <f t="shared" si="93"/>
        <v>Adult</v>
      </c>
      <c r="D2048" t="s">
        <v>16</v>
      </c>
      <c r="E2048" t="s">
        <v>20</v>
      </c>
      <c r="F2048" t="s">
        <v>21</v>
      </c>
      <c r="G2048">
        <v>80.86</v>
      </c>
      <c r="H2048" t="s">
        <v>24</v>
      </c>
      <c r="I2048" t="s">
        <v>15</v>
      </c>
      <c r="J2048">
        <v>4.5</v>
      </c>
      <c r="K2048">
        <v>8</v>
      </c>
      <c r="L2048">
        <f t="shared" si="94"/>
        <v>74.391199999999998</v>
      </c>
      <c r="M2048">
        <v>4</v>
      </c>
      <c r="N2048" t="str">
        <f t="shared" si="95"/>
        <v>Regular</v>
      </c>
    </row>
    <row r="2049" spans="1:14" x14ac:dyDescent="0.35">
      <c r="A2049">
        <v>2048</v>
      </c>
      <c r="B2049">
        <v>37</v>
      </c>
      <c r="C2049" t="str">
        <f t="shared" si="93"/>
        <v>Adult</v>
      </c>
      <c r="D2049" t="s">
        <v>16</v>
      </c>
      <c r="E2049" t="s">
        <v>17</v>
      </c>
      <c r="F2049" t="s">
        <v>18</v>
      </c>
      <c r="G2049">
        <v>50.27</v>
      </c>
      <c r="H2049" t="s">
        <v>31</v>
      </c>
      <c r="I2049" t="s">
        <v>15</v>
      </c>
      <c r="J2049">
        <v>3</v>
      </c>
      <c r="K2049">
        <v>10</v>
      </c>
      <c r="L2049">
        <f t="shared" si="94"/>
        <v>45.243000000000002</v>
      </c>
      <c r="M2049">
        <v>5</v>
      </c>
      <c r="N2049" t="str">
        <f t="shared" si="95"/>
        <v>Regular</v>
      </c>
    </row>
    <row r="2050" spans="1:14" x14ac:dyDescent="0.35">
      <c r="A2050">
        <v>2049</v>
      </c>
      <c r="B2050">
        <v>24</v>
      </c>
      <c r="C2050" t="str">
        <f t="shared" si="93"/>
        <v>Youth</v>
      </c>
      <c r="D2050" t="s">
        <v>11</v>
      </c>
      <c r="E2050" t="s">
        <v>29</v>
      </c>
      <c r="F2050" t="s">
        <v>51</v>
      </c>
      <c r="G2050">
        <v>34.42</v>
      </c>
      <c r="H2050" t="s">
        <v>14</v>
      </c>
      <c r="I2050" t="s">
        <v>37</v>
      </c>
      <c r="J2050">
        <v>4.5</v>
      </c>
      <c r="K2050">
        <v>17</v>
      </c>
      <c r="L2050">
        <f t="shared" si="94"/>
        <v>28.5686</v>
      </c>
      <c r="M2050">
        <v>6</v>
      </c>
      <c r="N2050" t="str">
        <f t="shared" si="95"/>
        <v>Regular</v>
      </c>
    </row>
    <row r="2051" spans="1:14" x14ac:dyDescent="0.35">
      <c r="A2051">
        <v>2050</v>
      </c>
      <c r="B2051">
        <v>34</v>
      </c>
      <c r="C2051" t="str">
        <f t="shared" ref="C2051:C2114" si="96">IF(B2051&lt;=30,"Youth",IF(B2051&lt;=45,"Adult",IF(B2051&lt;=60,"Adult","Senior")))</f>
        <v>Adult</v>
      </c>
      <c r="D2051" t="s">
        <v>11</v>
      </c>
      <c r="E2051" t="s">
        <v>29</v>
      </c>
      <c r="F2051" t="s">
        <v>51</v>
      </c>
      <c r="G2051">
        <v>49.63</v>
      </c>
      <c r="H2051" t="s">
        <v>31</v>
      </c>
      <c r="I2051" t="s">
        <v>15</v>
      </c>
      <c r="J2051">
        <v>3.7</v>
      </c>
      <c r="K2051">
        <v>19</v>
      </c>
      <c r="L2051">
        <f t="shared" ref="L2051:L2114" si="97">G2051*(1-K2051/100)</f>
        <v>40.200300000000006</v>
      </c>
      <c r="M2051">
        <v>7</v>
      </c>
      <c r="N2051" t="str">
        <f t="shared" ref="N2051:N2114" si="98">IF(M2051&lt;=3,"New",IF(M2051&lt;=7,"Regular","Loyal"))</f>
        <v>Regular</v>
      </c>
    </row>
    <row r="2052" spans="1:14" x14ac:dyDescent="0.35">
      <c r="A2052">
        <v>2051</v>
      </c>
      <c r="B2052">
        <v>25</v>
      </c>
      <c r="C2052" t="str">
        <f t="shared" si="96"/>
        <v>Youth</v>
      </c>
      <c r="D2052" t="s">
        <v>11</v>
      </c>
      <c r="E2052" t="s">
        <v>22</v>
      </c>
      <c r="F2052" t="s">
        <v>23</v>
      </c>
      <c r="G2052">
        <v>219.43</v>
      </c>
      <c r="H2052" t="s">
        <v>19</v>
      </c>
      <c r="I2052" t="s">
        <v>15</v>
      </c>
      <c r="J2052">
        <v>2.9</v>
      </c>
      <c r="K2052">
        <v>20</v>
      </c>
      <c r="L2052">
        <f t="shared" si="97"/>
        <v>175.54400000000001</v>
      </c>
      <c r="M2052">
        <v>5</v>
      </c>
      <c r="N2052" t="str">
        <f t="shared" si="98"/>
        <v>Regular</v>
      </c>
    </row>
    <row r="2053" spans="1:14" x14ac:dyDescent="0.35">
      <c r="A2053">
        <v>2052</v>
      </c>
      <c r="B2053">
        <v>69</v>
      </c>
      <c r="C2053" t="str">
        <f t="shared" si="96"/>
        <v>Senior</v>
      </c>
      <c r="D2053" t="s">
        <v>16</v>
      </c>
      <c r="E2053" t="s">
        <v>33</v>
      </c>
      <c r="F2053" t="s">
        <v>40</v>
      </c>
      <c r="G2053">
        <v>145.47999999999999</v>
      </c>
      <c r="H2053" t="s">
        <v>14</v>
      </c>
      <c r="I2053" t="s">
        <v>15</v>
      </c>
      <c r="J2053">
        <v>3.7</v>
      </c>
      <c r="K2053">
        <v>13</v>
      </c>
      <c r="L2053">
        <f t="shared" si="97"/>
        <v>126.56759999999998</v>
      </c>
      <c r="M2053">
        <v>4</v>
      </c>
      <c r="N2053" t="str">
        <f t="shared" si="98"/>
        <v>Regular</v>
      </c>
    </row>
    <row r="2054" spans="1:14" x14ac:dyDescent="0.35">
      <c r="A2054">
        <v>2053</v>
      </c>
      <c r="B2054">
        <v>64</v>
      </c>
      <c r="C2054" t="str">
        <f t="shared" si="96"/>
        <v>Senior</v>
      </c>
      <c r="D2054" t="s">
        <v>11</v>
      </c>
      <c r="E2054" t="s">
        <v>33</v>
      </c>
      <c r="F2054" t="s">
        <v>38</v>
      </c>
      <c r="G2054">
        <v>194.52</v>
      </c>
      <c r="H2054" t="s">
        <v>31</v>
      </c>
      <c r="I2054" t="s">
        <v>15</v>
      </c>
      <c r="J2054">
        <v>4.0999999999999996</v>
      </c>
      <c r="K2054">
        <v>8</v>
      </c>
      <c r="L2054">
        <f t="shared" si="97"/>
        <v>178.95840000000001</v>
      </c>
      <c r="M2054">
        <v>4</v>
      </c>
      <c r="N2054" t="str">
        <f t="shared" si="98"/>
        <v>Regular</v>
      </c>
    </row>
    <row r="2055" spans="1:14" x14ac:dyDescent="0.35">
      <c r="A2055">
        <v>2054</v>
      </c>
      <c r="B2055">
        <v>65</v>
      </c>
      <c r="C2055" t="str">
        <f t="shared" si="96"/>
        <v>Senior</v>
      </c>
      <c r="D2055" t="s">
        <v>16</v>
      </c>
      <c r="E2055" t="s">
        <v>33</v>
      </c>
      <c r="F2055" t="s">
        <v>40</v>
      </c>
      <c r="G2055">
        <v>230.37</v>
      </c>
      <c r="H2055" t="s">
        <v>19</v>
      </c>
      <c r="I2055" t="s">
        <v>15</v>
      </c>
      <c r="J2055">
        <v>2.6</v>
      </c>
      <c r="K2055">
        <v>9</v>
      </c>
      <c r="L2055">
        <f t="shared" si="97"/>
        <v>209.63670000000002</v>
      </c>
      <c r="M2055">
        <v>2</v>
      </c>
      <c r="N2055" t="str">
        <f t="shared" si="98"/>
        <v>New</v>
      </c>
    </row>
    <row r="2056" spans="1:14" x14ac:dyDescent="0.35">
      <c r="A2056">
        <v>2055</v>
      </c>
      <c r="B2056">
        <v>45</v>
      </c>
      <c r="C2056" t="str">
        <f t="shared" si="96"/>
        <v>Adult</v>
      </c>
      <c r="D2056" t="s">
        <v>16</v>
      </c>
      <c r="E2056" t="s">
        <v>33</v>
      </c>
      <c r="F2056" t="s">
        <v>38</v>
      </c>
      <c r="G2056">
        <v>60.13</v>
      </c>
      <c r="H2056" t="s">
        <v>19</v>
      </c>
      <c r="I2056" t="s">
        <v>15</v>
      </c>
      <c r="J2056">
        <v>2.8</v>
      </c>
      <c r="K2056">
        <v>19</v>
      </c>
      <c r="L2056">
        <f t="shared" si="97"/>
        <v>48.705300000000008</v>
      </c>
      <c r="M2056">
        <v>7</v>
      </c>
      <c r="N2056" t="str">
        <f t="shared" si="98"/>
        <v>Regular</v>
      </c>
    </row>
    <row r="2057" spans="1:14" x14ac:dyDescent="0.35">
      <c r="A2057">
        <v>2056</v>
      </c>
      <c r="B2057">
        <v>64</v>
      </c>
      <c r="C2057" t="str">
        <f t="shared" si="96"/>
        <v>Senior</v>
      </c>
      <c r="D2057" t="s">
        <v>16</v>
      </c>
      <c r="E2057" t="s">
        <v>20</v>
      </c>
      <c r="F2057" t="s">
        <v>39</v>
      </c>
      <c r="G2057">
        <v>34.24</v>
      </c>
      <c r="H2057" t="s">
        <v>24</v>
      </c>
      <c r="I2057" t="s">
        <v>15</v>
      </c>
      <c r="J2057">
        <v>4</v>
      </c>
      <c r="K2057">
        <v>16</v>
      </c>
      <c r="L2057">
        <f t="shared" si="97"/>
        <v>28.761600000000001</v>
      </c>
      <c r="M2057">
        <v>8</v>
      </c>
      <c r="N2057" t="str">
        <f t="shared" si="98"/>
        <v>Loyal</v>
      </c>
    </row>
    <row r="2058" spans="1:14" x14ac:dyDescent="0.35">
      <c r="A2058">
        <v>2057</v>
      </c>
      <c r="B2058">
        <v>60</v>
      </c>
      <c r="C2058" t="str">
        <f t="shared" si="96"/>
        <v>Adult</v>
      </c>
      <c r="D2058" t="s">
        <v>16</v>
      </c>
      <c r="E2058" t="s">
        <v>17</v>
      </c>
      <c r="F2058" t="s">
        <v>48</v>
      </c>
      <c r="G2058">
        <v>167.44</v>
      </c>
      <c r="H2058" t="s">
        <v>24</v>
      </c>
      <c r="I2058" t="s">
        <v>15</v>
      </c>
      <c r="J2058">
        <v>3.9</v>
      </c>
      <c r="K2058">
        <v>18</v>
      </c>
      <c r="L2058">
        <f t="shared" si="97"/>
        <v>137.30080000000001</v>
      </c>
      <c r="M2058">
        <v>4</v>
      </c>
      <c r="N2058" t="str">
        <f t="shared" si="98"/>
        <v>Regular</v>
      </c>
    </row>
    <row r="2059" spans="1:14" x14ac:dyDescent="0.35">
      <c r="A2059">
        <v>2058</v>
      </c>
      <c r="B2059">
        <v>24</v>
      </c>
      <c r="C2059" t="str">
        <f t="shared" si="96"/>
        <v>Youth</v>
      </c>
      <c r="D2059" t="s">
        <v>11</v>
      </c>
      <c r="E2059" t="s">
        <v>29</v>
      </c>
      <c r="F2059" t="s">
        <v>51</v>
      </c>
      <c r="G2059">
        <v>115.74</v>
      </c>
      <c r="H2059" t="s">
        <v>19</v>
      </c>
      <c r="I2059" t="s">
        <v>15</v>
      </c>
      <c r="J2059">
        <v>3.2</v>
      </c>
      <c r="K2059">
        <v>14</v>
      </c>
      <c r="L2059">
        <f t="shared" si="97"/>
        <v>99.5364</v>
      </c>
      <c r="M2059">
        <v>2</v>
      </c>
      <c r="N2059" t="str">
        <f t="shared" si="98"/>
        <v>New</v>
      </c>
    </row>
    <row r="2060" spans="1:14" x14ac:dyDescent="0.35">
      <c r="A2060">
        <v>2059</v>
      </c>
      <c r="B2060">
        <v>54</v>
      </c>
      <c r="C2060" t="str">
        <f t="shared" si="96"/>
        <v>Adult</v>
      </c>
      <c r="D2060" t="s">
        <v>11</v>
      </c>
      <c r="E2060" t="s">
        <v>33</v>
      </c>
      <c r="F2060" t="s">
        <v>38</v>
      </c>
      <c r="G2060">
        <v>62.32</v>
      </c>
      <c r="H2060" t="s">
        <v>31</v>
      </c>
      <c r="I2060" t="s">
        <v>37</v>
      </c>
      <c r="J2060">
        <v>3.2</v>
      </c>
      <c r="K2060">
        <v>18</v>
      </c>
      <c r="L2060">
        <f t="shared" si="97"/>
        <v>51.102400000000003</v>
      </c>
      <c r="M2060">
        <v>4</v>
      </c>
      <c r="N2060" t="str">
        <f t="shared" si="98"/>
        <v>Regular</v>
      </c>
    </row>
    <row r="2061" spans="1:14" x14ac:dyDescent="0.35">
      <c r="A2061">
        <v>2060</v>
      </c>
      <c r="B2061">
        <v>22</v>
      </c>
      <c r="C2061" t="str">
        <f t="shared" si="96"/>
        <v>Youth</v>
      </c>
      <c r="D2061" t="s">
        <v>11</v>
      </c>
      <c r="E2061" t="s">
        <v>25</v>
      </c>
      <c r="F2061" t="s">
        <v>54</v>
      </c>
      <c r="G2061">
        <v>63.29</v>
      </c>
      <c r="H2061" t="s">
        <v>19</v>
      </c>
      <c r="I2061" t="s">
        <v>15</v>
      </c>
      <c r="J2061">
        <v>4.3</v>
      </c>
      <c r="K2061">
        <v>13</v>
      </c>
      <c r="L2061">
        <f t="shared" si="97"/>
        <v>55.0623</v>
      </c>
      <c r="M2061">
        <v>4</v>
      </c>
      <c r="N2061" t="str">
        <f t="shared" si="98"/>
        <v>Regular</v>
      </c>
    </row>
    <row r="2062" spans="1:14" x14ac:dyDescent="0.35">
      <c r="A2062">
        <v>2061</v>
      </c>
      <c r="B2062">
        <v>34</v>
      </c>
      <c r="C2062" t="str">
        <f t="shared" si="96"/>
        <v>Adult</v>
      </c>
      <c r="D2062" t="s">
        <v>11</v>
      </c>
      <c r="E2062" t="s">
        <v>12</v>
      </c>
      <c r="F2062" t="s">
        <v>56</v>
      </c>
      <c r="G2062">
        <v>32.61</v>
      </c>
      <c r="H2062" t="s">
        <v>31</v>
      </c>
      <c r="I2062" t="s">
        <v>37</v>
      </c>
      <c r="J2062">
        <v>3.4</v>
      </c>
      <c r="K2062">
        <v>22</v>
      </c>
      <c r="L2062">
        <f t="shared" si="97"/>
        <v>25.4358</v>
      </c>
      <c r="M2062">
        <v>6</v>
      </c>
      <c r="N2062" t="str">
        <f t="shared" si="98"/>
        <v>Regular</v>
      </c>
    </row>
    <row r="2063" spans="1:14" x14ac:dyDescent="0.35">
      <c r="A2063">
        <v>2062</v>
      </c>
      <c r="B2063">
        <v>51</v>
      </c>
      <c r="C2063" t="str">
        <f t="shared" si="96"/>
        <v>Adult</v>
      </c>
      <c r="D2063" t="s">
        <v>11</v>
      </c>
      <c r="E2063" t="s">
        <v>22</v>
      </c>
      <c r="F2063" t="s">
        <v>43</v>
      </c>
      <c r="G2063">
        <v>108.64</v>
      </c>
      <c r="H2063" t="s">
        <v>19</v>
      </c>
      <c r="I2063" t="s">
        <v>15</v>
      </c>
      <c r="J2063">
        <v>2.8</v>
      </c>
      <c r="K2063">
        <v>12</v>
      </c>
      <c r="L2063">
        <f t="shared" si="97"/>
        <v>95.603200000000001</v>
      </c>
      <c r="M2063">
        <v>6</v>
      </c>
      <c r="N2063" t="str">
        <f t="shared" si="98"/>
        <v>Regular</v>
      </c>
    </row>
    <row r="2064" spans="1:14" x14ac:dyDescent="0.35">
      <c r="A2064">
        <v>2063</v>
      </c>
      <c r="B2064">
        <v>36</v>
      </c>
      <c r="C2064" t="str">
        <f t="shared" si="96"/>
        <v>Adult</v>
      </c>
      <c r="D2064" t="s">
        <v>16</v>
      </c>
      <c r="E2064" t="s">
        <v>17</v>
      </c>
      <c r="F2064" t="s">
        <v>35</v>
      </c>
      <c r="G2064">
        <v>193.29</v>
      </c>
      <c r="H2064" t="s">
        <v>31</v>
      </c>
      <c r="I2064" t="s">
        <v>15</v>
      </c>
      <c r="J2064">
        <v>3.3</v>
      </c>
      <c r="K2064">
        <v>20</v>
      </c>
      <c r="L2064">
        <f t="shared" si="97"/>
        <v>154.63200000000001</v>
      </c>
      <c r="M2064">
        <v>5</v>
      </c>
      <c r="N2064" t="str">
        <f t="shared" si="98"/>
        <v>Regular</v>
      </c>
    </row>
    <row r="2065" spans="1:14" x14ac:dyDescent="0.35">
      <c r="A2065">
        <v>2064</v>
      </c>
      <c r="B2065">
        <v>45</v>
      </c>
      <c r="C2065" t="str">
        <f t="shared" si="96"/>
        <v>Adult</v>
      </c>
      <c r="D2065" t="s">
        <v>16</v>
      </c>
      <c r="E2065" t="s">
        <v>17</v>
      </c>
      <c r="F2065" t="s">
        <v>48</v>
      </c>
      <c r="G2065">
        <v>58.73</v>
      </c>
      <c r="H2065" t="s">
        <v>31</v>
      </c>
      <c r="I2065" t="s">
        <v>37</v>
      </c>
      <c r="J2065">
        <v>3.9</v>
      </c>
      <c r="K2065">
        <v>14</v>
      </c>
      <c r="L2065">
        <f t="shared" si="97"/>
        <v>50.507799999999996</v>
      </c>
      <c r="M2065">
        <v>7</v>
      </c>
      <c r="N2065" t="str">
        <f t="shared" si="98"/>
        <v>Regular</v>
      </c>
    </row>
    <row r="2066" spans="1:14" x14ac:dyDescent="0.35">
      <c r="A2066">
        <v>2065</v>
      </c>
      <c r="B2066">
        <v>55</v>
      </c>
      <c r="C2066" t="str">
        <f t="shared" si="96"/>
        <v>Adult</v>
      </c>
      <c r="D2066" t="s">
        <v>11</v>
      </c>
      <c r="E2066" t="s">
        <v>33</v>
      </c>
      <c r="F2066" t="s">
        <v>34</v>
      </c>
      <c r="G2066">
        <v>178.52</v>
      </c>
      <c r="H2066" t="s">
        <v>14</v>
      </c>
      <c r="I2066" t="s">
        <v>15</v>
      </c>
      <c r="J2066">
        <v>3.8</v>
      </c>
      <c r="K2066">
        <v>11</v>
      </c>
      <c r="L2066">
        <f t="shared" si="97"/>
        <v>158.8828</v>
      </c>
      <c r="M2066">
        <v>3</v>
      </c>
      <c r="N2066" t="str">
        <f t="shared" si="98"/>
        <v>New</v>
      </c>
    </row>
    <row r="2067" spans="1:14" x14ac:dyDescent="0.35">
      <c r="A2067">
        <v>2066</v>
      </c>
      <c r="B2067">
        <v>29</v>
      </c>
      <c r="C2067" t="str">
        <f t="shared" si="96"/>
        <v>Youth</v>
      </c>
      <c r="D2067" t="s">
        <v>16</v>
      </c>
      <c r="E2067" t="s">
        <v>27</v>
      </c>
      <c r="F2067" t="s">
        <v>32</v>
      </c>
      <c r="G2067">
        <v>636.49</v>
      </c>
      <c r="H2067" t="s">
        <v>31</v>
      </c>
      <c r="I2067" t="s">
        <v>15</v>
      </c>
      <c r="J2067">
        <v>3.7</v>
      </c>
      <c r="K2067">
        <v>12</v>
      </c>
      <c r="L2067">
        <f t="shared" si="97"/>
        <v>560.11120000000005</v>
      </c>
      <c r="M2067">
        <v>6</v>
      </c>
      <c r="N2067" t="str">
        <f t="shared" si="98"/>
        <v>Regular</v>
      </c>
    </row>
    <row r="2068" spans="1:14" x14ac:dyDescent="0.35">
      <c r="A2068">
        <v>2067</v>
      </c>
      <c r="B2068">
        <v>46</v>
      </c>
      <c r="C2068" t="str">
        <f t="shared" si="96"/>
        <v>Adult</v>
      </c>
      <c r="D2068" t="s">
        <v>11</v>
      </c>
      <c r="E2068" t="s">
        <v>29</v>
      </c>
      <c r="F2068" t="s">
        <v>55</v>
      </c>
      <c r="G2068">
        <v>86.93</v>
      </c>
      <c r="H2068" t="s">
        <v>19</v>
      </c>
      <c r="I2068" t="s">
        <v>37</v>
      </c>
      <c r="J2068">
        <v>2.6</v>
      </c>
      <c r="K2068">
        <v>13</v>
      </c>
      <c r="L2068">
        <f t="shared" si="97"/>
        <v>75.629100000000008</v>
      </c>
      <c r="M2068">
        <v>4</v>
      </c>
      <c r="N2068" t="str">
        <f t="shared" si="98"/>
        <v>Regular</v>
      </c>
    </row>
    <row r="2069" spans="1:14" x14ac:dyDescent="0.35">
      <c r="A2069">
        <v>2068</v>
      </c>
      <c r="B2069">
        <v>63</v>
      </c>
      <c r="C2069" t="str">
        <f t="shared" si="96"/>
        <v>Senior</v>
      </c>
      <c r="D2069" t="s">
        <v>16</v>
      </c>
      <c r="E2069" t="s">
        <v>17</v>
      </c>
      <c r="F2069" t="s">
        <v>42</v>
      </c>
      <c r="G2069">
        <v>101.13</v>
      </c>
      <c r="H2069" t="s">
        <v>24</v>
      </c>
      <c r="I2069" t="s">
        <v>15</v>
      </c>
      <c r="J2069">
        <v>3.7</v>
      </c>
      <c r="K2069">
        <v>24</v>
      </c>
      <c r="L2069">
        <f t="shared" si="97"/>
        <v>76.858800000000002</v>
      </c>
      <c r="M2069">
        <v>7</v>
      </c>
      <c r="N2069" t="str">
        <f t="shared" si="98"/>
        <v>Regular</v>
      </c>
    </row>
    <row r="2070" spans="1:14" x14ac:dyDescent="0.35">
      <c r="A2070">
        <v>2069</v>
      </c>
      <c r="B2070">
        <v>42</v>
      </c>
      <c r="C2070" t="str">
        <f t="shared" si="96"/>
        <v>Adult</v>
      </c>
      <c r="D2070" t="s">
        <v>16</v>
      </c>
      <c r="E2070" t="s">
        <v>22</v>
      </c>
      <c r="F2070" t="s">
        <v>52</v>
      </c>
      <c r="G2070">
        <v>143.76</v>
      </c>
      <c r="H2070" t="s">
        <v>31</v>
      </c>
      <c r="I2070" t="s">
        <v>15</v>
      </c>
      <c r="J2070">
        <v>3.8</v>
      </c>
      <c r="K2070">
        <v>14</v>
      </c>
      <c r="L2070">
        <f t="shared" si="97"/>
        <v>123.63359999999999</v>
      </c>
      <c r="M2070">
        <v>7</v>
      </c>
      <c r="N2070" t="str">
        <f t="shared" si="98"/>
        <v>Regular</v>
      </c>
    </row>
    <row r="2071" spans="1:14" x14ac:dyDescent="0.35">
      <c r="A2071">
        <v>2070</v>
      </c>
      <c r="B2071">
        <v>42</v>
      </c>
      <c r="C2071" t="str">
        <f t="shared" si="96"/>
        <v>Adult</v>
      </c>
      <c r="D2071" t="s">
        <v>16</v>
      </c>
      <c r="E2071" t="s">
        <v>22</v>
      </c>
      <c r="F2071" t="s">
        <v>52</v>
      </c>
      <c r="G2071">
        <v>204.7</v>
      </c>
      <c r="H2071" t="s">
        <v>19</v>
      </c>
      <c r="I2071" t="s">
        <v>15</v>
      </c>
      <c r="J2071">
        <v>4.2</v>
      </c>
      <c r="K2071">
        <v>20</v>
      </c>
      <c r="L2071">
        <f t="shared" si="97"/>
        <v>163.76</v>
      </c>
      <c r="M2071">
        <v>5</v>
      </c>
      <c r="N2071" t="str">
        <f t="shared" si="98"/>
        <v>Regular</v>
      </c>
    </row>
    <row r="2072" spans="1:14" x14ac:dyDescent="0.35">
      <c r="A2072">
        <v>2071</v>
      </c>
      <c r="B2072">
        <v>54</v>
      </c>
      <c r="C2072" t="str">
        <f t="shared" si="96"/>
        <v>Adult</v>
      </c>
      <c r="D2072" t="s">
        <v>11</v>
      </c>
      <c r="E2072" t="s">
        <v>29</v>
      </c>
      <c r="F2072" t="s">
        <v>55</v>
      </c>
      <c r="G2072">
        <v>78.61</v>
      </c>
      <c r="H2072" t="s">
        <v>19</v>
      </c>
      <c r="I2072" t="s">
        <v>15</v>
      </c>
      <c r="J2072">
        <v>4.5999999999999996</v>
      </c>
      <c r="K2072">
        <v>13</v>
      </c>
      <c r="L2072">
        <f t="shared" si="97"/>
        <v>68.390699999999995</v>
      </c>
      <c r="M2072">
        <v>4</v>
      </c>
      <c r="N2072" t="str">
        <f t="shared" si="98"/>
        <v>Regular</v>
      </c>
    </row>
    <row r="2073" spans="1:14" x14ac:dyDescent="0.35">
      <c r="A2073">
        <v>2072</v>
      </c>
      <c r="B2073">
        <v>43</v>
      </c>
      <c r="C2073" t="str">
        <f t="shared" si="96"/>
        <v>Adult</v>
      </c>
      <c r="D2073" t="s">
        <v>16</v>
      </c>
      <c r="E2073" t="s">
        <v>27</v>
      </c>
      <c r="F2073" t="s">
        <v>28</v>
      </c>
      <c r="G2073">
        <v>2249.9499999999998</v>
      </c>
      <c r="H2073" t="s">
        <v>19</v>
      </c>
      <c r="I2073" t="s">
        <v>15</v>
      </c>
      <c r="J2073">
        <v>3.8</v>
      </c>
      <c r="K2073">
        <v>14</v>
      </c>
      <c r="L2073">
        <f t="shared" si="97"/>
        <v>1934.9569999999999</v>
      </c>
      <c r="M2073">
        <v>2</v>
      </c>
      <c r="N2073" t="str">
        <f t="shared" si="98"/>
        <v>New</v>
      </c>
    </row>
    <row r="2074" spans="1:14" x14ac:dyDescent="0.35">
      <c r="A2074">
        <v>2073</v>
      </c>
      <c r="B2074">
        <v>47</v>
      </c>
      <c r="C2074" t="str">
        <f t="shared" si="96"/>
        <v>Adult</v>
      </c>
      <c r="D2074" t="s">
        <v>16</v>
      </c>
      <c r="E2074" t="s">
        <v>22</v>
      </c>
      <c r="F2074" t="s">
        <v>43</v>
      </c>
      <c r="G2074">
        <v>129.09</v>
      </c>
      <c r="H2074" t="s">
        <v>31</v>
      </c>
      <c r="I2074" t="s">
        <v>15</v>
      </c>
      <c r="J2074">
        <v>4</v>
      </c>
      <c r="K2074">
        <v>19</v>
      </c>
      <c r="L2074">
        <f t="shared" si="97"/>
        <v>104.56290000000001</v>
      </c>
      <c r="M2074">
        <v>7</v>
      </c>
      <c r="N2074" t="str">
        <f t="shared" si="98"/>
        <v>Regular</v>
      </c>
    </row>
    <row r="2075" spans="1:14" x14ac:dyDescent="0.35">
      <c r="A2075">
        <v>2074</v>
      </c>
      <c r="B2075">
        <v>36</v>
      </c>
      <c r="C2075" t="str">
        <f t="shared" si="96"/>
        <v>Adult</v>
      </c>
      <c r="D2075" t="s">
        <v>16</v>
      </c>
      <c r="E2075" t="s">
        <v>27</v>
      </c>
      <c r="F2075" t="s">
        <v>53</v>
      </c>
      <c r="G2075">
        <v>2297.54</v>
      </c>
      <c r="H2075" t="s">
        <v>14</v>
      </c>
      <c r="I2075" t="s">
        <v>15</v>
      </c>
      <c r="J2075">
        <v>3.2</v>
      </c>
      <c r="K2075">
        <v>4</v>
      </c>
      <c r="L2075">
        <f t="shared" si="97"/>
        <v>2205.6383999999998</v>
      </c>
      <c r="M2075">
        <v>2</v>
      </c>
      <c r="N2075" t="str">
        <f t="shared" si="98"/>
        <v>New</v>
      </c>
    </row>
    <row r="2076" spans="1:14" x14ac:dyDescent="0.35">
      <c r="A2076">
        <v>2075</v>
      </c>
      <c r="B2076">
        <v>23</v>
      </c>
      <c r="C2076" t="str">
        <f t="shared" si="96"/>
        <v>Youth</v>
      </c>
      <c r="D2076" t="s">
        <v>11</v>
      </c>
      <c r="E2076" t="s">
        <v>22</v>
      </c>
      <c r="F2076" t="s">
        <v>23</v>
      </c>
      <c r="G2076">
        <v>219.81</v>
      </c>
      <c r="H2076" t="s">
        <v>19</v>
      </c>
      <c r="I2076" t="s">
        <v>15</v>
      </c>
      <c r="J2076">
        <v>3.7</v>
      </c>
      <c r="K2076">
        <v>11</v>
      </c>
      <c r="L2076">
        <f t="shared" si="97"/>
        <v>195.6309</v>
      </c>
      <c r="M2076">
        <v>3</v>
      </c>
      <c r="N2076" t="str">
        <f t="shared" si="98"/>
        <v>New</v>
      </c>
    </row>
    <row r="2077" spans="1:14" x14ac:dyDescent="0.35">
      <c r="A2077">
        <v>2076</v>
      </c>
      <c r="B2077">
        <v>40</v>
      </c>
      <c r="C2077" t="str">
        <f t="shared" si="96"/>
        <v>Adult</v>
      </c>
      <c r="D2077" t="s">
        <v>11</v>
      </c>
      <c r="E2077" t="s">
        <v>20</v>
      </c>
      <c r="F2077" t="s">
        <v>39</v>
      </c>
      <c r="G2077">
        <v>211.71</v>
      </c>
      <c r="H2077" t="s">
        <v>19</v>
      </c>
      <c r="I2077" t="s">
        <v>15</v>
      </c>
      <c r="J2077">
        <v>2.5</v>
      </c>
      <c r="K2077">
        <v>17</v>
      </c>
      <c r="L2077">
        <f t="shared" si="97"/>
        <v>175.7193</v>
      </c>
      <c r="M2077">
        <v>6</v>
      </c>
      <c r="N2077" t="str">
        <f t="shared" si="98"/>
        <v>Regular</v>
      </c>
    </row>
    <row r="2078" spans="1:14" x14ac:dyDescent="0.35">
      <c r="A2078">
        <v>2077</v>
      </c>
      <c r="B2078">
        <v>62</v>
      </c>
      <c r="C2078" t="str">
        <f t="shared" si="96"/>
        <v>Senior</v>
      </c>
      <c r="D2078" t="s">
        <v>11</v>
      </c>
      <c r="E2078" t="s">
        <v>25</v>
      </c>
      <c r="F2078" t="s">
        <v>26</v>
      </c>
      <c r="G2078">
        <v>65.47</v>
      </c>
      <c r="H2078" t="s">
        <v>24</v>
      </c>
      <c r="I2078" t="s">
        <v>15</v>
      </c>
      <c r="J2078">
        <v>4.8</v>
      </c>
      <c r="K2078">
        <v>14</v>
      </c>
      <c r="L2078">
        <f t="shared" si="97"/>
        <v>56.304200000000002</v>
      </c>
      <c r="M2078">
        <v>2</v>
      </c>
      <c r="N2078" t="str">
        <f t="shared" si="98"/>
        <v>New</v>
      </c>
    </row>
    <row r="2079" spans="1:14" x14ac:dyDescent="0.35">
      <c r="A2079">
        <v>2078</v>
      </c>
      <c r="B2079">
        <v>21</v>
      </c>
      <c r="C2079" t="str">
        <f t="shared" si="96"/>
        <v>Youth</v>
      </c>
      <c r="D2079" t="s">
        <v>16</v>
      </c>
      <c r="E2079" t="s">
        <v>27</v>
      </c>
      <c r="F2079" t="s">
        <v>28</v>
      </c>
      <c r="G2079">
        <v>854.78</v>
      </c>
      <c r="H2079" t="s">
        <v>24</v>
      </c>
      <c r="I2079" t="s">
        <v>15</v>
      </c>
      <c r="J2079">
        <v>2.2999999999999998</v>
      </c>
      <c r="K2079">
        <v>13</v>
      </c>
      <c r="L2079">
        <f t="shared" si="97"/>
        <v>743.65859999999998</v>
      </c>
      <c r="M2079">
        <v>4</v>
      </c>
      <c r="N2079" t="str">
        <f t="shared" si="98"/>
        <v>Regular</v>
      </c>
    </row>
    <row r="2080" spans="1:14" x14ac:dyDescent="0.35">
      <c r="A2080">
        <v>2079</v>
      </c>
      <c r="B2080">
        <v>60</v>
      </c>
      <c r="C2080" t="str">
        <f t="shared" si="96"/>
        <v>Adult</v>
      </c>
      <c r="D2080" t="s">
        <v>11</v>
      </c>
      <c r="E2080" t="s">
        <v>12</v>
      </c>
      <c r="F2080" t="s">
        <v>13</v>
      </c>
      <c r="G2080">
        <v>177.57</v>
      </c>
      <c r="H2080" t="s">
        <v>19</v>
      </c>
      <c r="I2080" t="s">
        <v>15</v>
      </c>
      <c r="J2080">
        <v>5</v>
      </c>
      <c r="K2080">
        <v>32</v>
      </c>
      <c r="L2080">
        <f t="shared" si="97"/>
        <v>120.74759999999999</v>
      </c>
      <c r="M2080">
        <v>11</v>
      </c>
      <c r="N2080" t="str">
        <f t="shared" si="98"/>
        <v>Loyal</v>
      </c>
    </row>
    <row r="2081" spans="1:14" x14ac:dyDescent="0.35">
      <c r="A2081">
        <v>2080</v>
      </c>
      <c r="B2081">
        <v>45</v>
      </c>
      <c r="C2081" t="str">
        <f t="shared" si="96"/>
        <v>Adult</v>
      </c>
      <c r="D2081" t="s">
        <v>11</v>
      </c>
      <c r="E2081" t="s">
        <v>12</v>
      </c>
      <c r="F2081" t="s">
        <v>56</v>
      </c>
      <c r="G2081">
        <v>145.21</v>
      </c>
      <c r="H2081" t="s">
        <v>14</v>
      </c>
      <c r="I2081" t="s">
        <v>15</v>
      </c>
      <c r="J2081">
        <v>3.1</v>
      </c>
      <c r="K2081">
        <v>17</v>
      </c>
      <c r="L2081">
        <f t="shared" si="97"/>
        <v>120.5243</v>
      </c>
      <c r="M2081">
        <v>6</v>
      </c>
      <c r="N2081" t="str">
        <f t="shared" si="98"/>
        <v>Regular</v>
      </c>
    </row>
    <row r="2082" spans="1:14" x14ac:dyDescent="0.35">
      <c r="A2082">
        <v>2081</v>
      </c>
      <c r="B2082">
        <v>30</v>
      </c>
      <c r="C2082" t="str">
        <f t="shared" si="96"/>
        <v>Youth</v>
      </c>
      <c r="D2082" t="s">
        <v>16</v>
      </c>
      <c r="E2082" t="s">
        <v>33</v>
      </c>
      <c r="F2082" t="s">
        <v>34</v>
      </c>
      <c r="G2082">
        <v>162.9</v>
      </c>
      <c r="H2082" t="s">
        <v>19</v>
      </c>
      <c r="I2082" t="s">
        <v>15</v>
      </c>
      <c r="J2082">
        <v>3.7</v>
      </c>
      <c r="K2082">
        <v>10</v>
      </c>
      <c r="L2082">
        <f t="shared" si="97"/>
        <v>146.61000000000001</v>
      </c>
      <c r="M2082">
        <v>5</v>
      </c>
      <c r="N2082" t="str">
        <f t="shared" si="98"/>
        <v>Regular</v>
      </c>
    </row>
    <row r="2083" spans="1:14" x14ac:dyDescent="0.35">
      <c r="A2083">
        <v>2082</v>
      </c>
      <c r="B2083">
        <v>31</v>
      </c>
      <c r="C2083" t="str">
        <f t="shared" si="96"/>
        <v>Adult</v>
      </c>
      <c r="D2083" t="s">
        <v>16</v>
      </c>
      <c r="E2083" t="s">
        <v>33</v>
      </c>
      <c r="F2083" t="s">
        <v>38</v>
      </c>
      <c r="G2083">
        <v>89.34</v>
      </c>
      <c r="H2083" t="s">
        <v>19</v>
      </c>
      <c r="I2083" t="s">
        <v>37</v>
      </c>
      <c r="J2083">
        <v>3</v>
      </c>
      <c r="K2083">
        <v>6</v>
      </c>
      <c r="L2083">
        <f t="shared" si="97"/>
        <v>83.979600000000005</v>
      </c>
      <c r="M2083">
        <v>3</v>
      </c>
      <c r="N2083" t="str">
        <f t="shared" si="98"/>
        <v>New</v>
      </c>
    </row>
    <row r="2084" spans="1:14" x14ac:dyDescent="0.35">
      <c r="A2084">
        <v>2083</v>
      </c>
      <c r="B2084">
        <v>37</v>
      </c>
      <c r="C2084" t="str">
        <f t="shared" si="96"/>
        <v>Adult</v>
      </c>
      <c r="D2084" t="s">
        <v>11</v>
      </c>
      <c r="E2084" t="s">
        <v>29</v>
      </c>
      <c r="F2084" t="s">
        <v>55</v>
      </c>
      <c r="G2084">
        <v>138.25</v>
      </c>
      <c r="H2084" t="s">
        <v>24</v>
      </c>
      <c r="I2084" t="s">
        <v>15</v>
      </c>
      <c r="J2084">
        <v>4.5999999999999996</v>
      </c>
      <c r="K2084">
        <v>6</v>
      </c>
      <c r="L2084">
        <f t="shared" si="97"/>
        <v>129.95499999999998</v>
      </c>
      <c r="M2084">
        <v>3</v>
      </c>
      <c r="N2084" t="str">
        <f t="shared" si="98"/>
        <v>New</v>
      </c>
    </row>
    <row r="2085" spans="1:14" x14ac:dyDescent="0.35">
      <c r="A2085">
        <v>2084</v>
      </c>
      <c r="B2085">
        <v>62</v>
      </c>
      <c r="C2085" t="str">
        <f t="shared" si="96"/>
        <v>Senior</v>
      </c>
      <c r="D2085" t="s">
        <v>16</v>
      </c>
      <c r="E2085" t="s">
        <v>20</v>
      </c>
      <c r="F2085" t="s">
        <v>36</v>
      </c>
      <c r="G2085">
        <v>99.57</v>
      </c>
      <c r="H2085" t="s">
        <v>19</v>
      </c>
      <c r="I2085" t="s">
        <v>15</v>
      </c>
      <c r="J2085">
        <v>4.8</v>
      </c>
      <c r="K2085">
        <v>27</v>
      </c>
      <c r="L2085">
        <f t="shared" si="97"/>
        <v>72.686099999999996</v>
      </c>
      <c r="M2085">
        <v>11</v>
      </c>
      <c r="N2085" t="str">
        <f t="shared" si="98"/>
        <v>Loyal</v>
      </c>
    </row>
    <row r="2086" spans="1:14" x14ac:dyDescent="0.35">
      <c r="A2086">
        <v>2085</v>
      </c>
      <c r="B2086">
        <v>56</v>
      </c>
      <c r="C2086" t="str">
        <f t="shared" si="96"/>
        <v>Adult</v>
      </c>
      <c r="D2086" t="s">
        <v>11</v>
      </c>
      <c r="E2086" t="s">
        <v>12</v>
      </c>
      <c r="F2086" t="s">
        <v>50</v>
      </c>
      <c r="G2086">
        <v>63.46</v>
      </c>
      <c r="H2086" t="s">
        <v>31</v>
      </c>
      <c r="I2086" t="s">
        <v>37</v>
      </c>
      <c r="J2086">
        <v>3.5</v>
      </c>
      <c r="K2086">
        <v>13</v>
      </c>
      <c r="L2086">
        <f t="shared" si="97"/>
        <v>55.2102</v>
      </c>
      <c r="M2086">
        <v>4</v>
      </c>
      <c r="N2086" t="str">
        <f t="shared" si="98"/>
        <v>Regular</v>
      </c>
    </row>
    <row r="2087" spans="1:14" x14ac:dyDescent="0.35">
      <c r="A2087">
        <v>2086</v>
      </c>
      <c r="B2087">
        <v>21</v>
      </c>
      <c r="C2087" t="str">
        <f t="shared" si="96"/>
        <v>Youth</v>
      </c>
      <c r="D2087" t="s">
        <v>16</v>
      </c>
      <c r="E2087" t="s">
        <v>20</v>
      </c>
      <c r="F2087" t="s">
        <v>21</v>
      </c>
      <c r="G2087">
        <v>245.31</v>
      </c>
      <c r="H2087" t="s">
        <v>14</v>
      </c>
      <c r="I2087" t="s">
        <v>15</v>
      </c>
      <c r="J2087">
        <v>4.7</v>
      </c>
      <c r="K2087">
        <v>15</v>
      </c>
      <c r="L2087">
        <f t="shared" si="97"/>
        <v>208.51349999999999</v>
      </c>
      <c r="M2087">
        <v>5</v>
      </c>
      <c r="N2087" t="str">
        <f t="shared" si="98"/>
        <v>Regular</v>
      </c>
    </row>
    <row r="2088" spans="1:14" x14ac:dyDescent="0.35">
      <c r="A2088">
        <v>2087</v>
      </c>
      <c r="B2088">
        <v>39</v>
      </c>
      <c r="C2088" t="str">
        <f t="shared" si="96"/>
        <v>Adult</v>
      </c>
      <c r="D2088" t="s">
        <v>11</v>
      </c>
      <c r="E2088" t="s">
        <v>22</v>
      </c>
      <c r="F2088" t="s">
        <v>52</v>
      </c>
      <c r="G2088">
        <v>214</v>
      </c>
      <c r="H2088" t="s">
        <v>19</v>
      </c>
      <c r="I2088" t="s">
        <v>15</v>
      </c>
      <c r="J2088">
        <v>4</v>
      </c>
      <c r="K2088">
        <v>24</v>
      </c>
      <c r="L2088">
        <f t="shared" si="97"/>
        <v>162.64000000000001</v>
      </c>
      <c r="M2088">
        <v>7</v>
      </c>
      <c r="N2088" t="str">
        <f t="shared" si="98"/>
        <v>Regular</v>
      </c>
    </row>
    <row r="2089" spans="1:14" x14ac:dyDescent="0.35">
      <c r="A2089">
        <v>2088</v>
      </c>
      <c r="B2089">
        <v>39</v>
      </c>
      <c r="C2089" t="str">
        <f t="shared" si="96"/>
        <v>Adult</v>
      </c>
      <c r="D2089" t="s">
        <v>11</v>
      </c>
      <c r="E2089" t="s">
        <v>25</v>
      </c>
      <c r="F2089" t="s">
        <v>47</v>
      </c>
      <c r="G2089">
        <v>16.440000000000001</v>
      </c>
      <c r="H2089" t="s">
        <v>14</v>
      </c>
      <c r="I2089" t="s">
        <v>15</v>
      </c>
      <c r="J2089">
        <v>4.7</v>
      </c>
      <c r="K2089">
        <v>14</v>
      </c>
      <c r="L2089">
        <f t="shared" si="97"/>
        <v>14.138400000000001</v>
      </c>
      <c r="M2089">
        <v>7</v>
      </c>
      <c r="N2089" t="str">
        <f t="shared" si="98"/>
        <v>Regular</v>
      </c>
    </row>
    <row r="2090" spans="1:14" x14ac:dyDescent="0.35">
      <c r="A2090">
        <v>2089</v>
      </c>
      <c r="B2090">
        <v>37</v>
      </c>
      <c r="C2090" t="str">
        <f t="shared" si="96"/>
        <v>Adult</v>
      </c>
      <c r="D2090" t="s">
        <v>11</v>
      </c>
      <c r="E2090" t="s">
        <v>41</v>
      </c>
      <c r="F2090" t="s">
        <v>45</v>
      </c>
      <c r="G2090">
        <v>141.18</v>
      </c>
      <c r="H2090" t="s">
        <v>19</v>
      </c>
      <c r="I2090" t="s">
        <v>15</v>
      </c>
      <c r="J2090">
        <v>3.9</v>
      </c>
      <c r="K2090">
        <v>20</v>
      </c>
      <c r="L2090">
        <f t="shared" si="97"/>
        <v>112.94400000000002</v>
      </c>
      <c r="M2090">
        <v>5</v>
      </c>
      <c r="N2090" t="str">
        <f t="shared" si="98"/>
        <v>Regular</v>
      </c>
    </row>
    <row r="2091" spans="1:14" x14ac:dyDescent="0.35">
      <c r="A2091">
        <v>2090</v>
      </c>
      <c r="B2091">
        <v>45</v>
      </c>
      <c r="C2091" t="str">
        <f t="shared" si="96"/>
        <v>Adult</v>
      </c>
      <c r="D2091" t="s">
        <v>16</v>
      </c>
      <c r="E2091" t="s">
        <v>33</v>
      </c>
      <c r="F2091" t="s">
        <v>40</v>
      </c>
      <c r="G2091">
        <v>178.77</v>
      </c>
      <c r="H2091" t="s">
        <v>31</v>
      </c>
      <c r="I2091" t="s">
        <v>15</v>
      </c>
      <c r="J2091">
        <v>4.2</v>
      </c>
      <c r="K2091">
        <v>12</v>
      </c>
      <c r="L2091">
        <f t="shared" si="97"/>
        <v>157.3176</v>
      </c>
      <c r="M2091">
        <v>1</v>
      </c>
      <c r="N2091" t="str">
        <f t="shared" si="98"/>
        <v>New</v>
      </c>
    </row>
    <row r="2092" spans="1:14" x14ac:dyDescent="0.35">
      <c r="A2092">
        <v>2091</v>
      </c>
      <c r="B2092">
        <v>30</v>
      </c>
      <c r="C2092" t="str">
        <f t="shared" si="96"/>
        <v>Youth</v>
      </c>
      <c r="D2092" t="s">
        <v>16</v>
      </c>
      <c r="E2092" t="s">
        <v>33</v>
      </c>
      <c r="F2092" t="s">
        <v>38</v>
      </c>
      <c r="G2092">
        <v>109.01</v>
      </c>
      <c r="H2092" t="s">
        <v>31</v>
      </c>
      <c r="I2092" t="s">
        <v>15</v>
      </c>
      <c r="J2092">
        <v>2.5</v>
      </c>
      <c r="K2092">
        <v>20</v>
      </c>
      <c r="L2092">
        <f t="shared" si="97"/>
        <v>87.208000000000013</v>
      </c>
      <c r="M2092">
        <v>5</v>
      </c>
      <c r="N2092" t="str">
        <f t="shared" si="98"/>
        <v>Regular</v>
      </c>
    </row>
    <row r="2093" spans="1:14" x14ac:dyDescent="0.35">
      <c r="A2093">
        <v>2092</v>
      </c>
      <c r="B2093">
        <v>28</v>
      </c>
      <c r="C2093" t="str">
        <f t="shared" si="96"/>
        <v>Youth</v>
      </c>
      <c r="D2093" t="s">
        <v>11</v>
      </c>
      <c r="E2093" t="s">
        <v>12</v>
      </c>
      <c r="F2093" t="s">
        <v>56</v>
      </c>
      <c r="G2093">
        <v>167.86</v>
      </c>
      <c r="H2093" t="s">
        <v>19</v>
      </c>
      <c r="I2093" t="s">
        <v>15</v>
      </c>
      <c r="J2093">
        <v>4.0999999999999996</v>
      </c>
      <c r="K2093">
        <v>12</v>
      </c>
      <c r="L2093">
        <f t="shared" si="97"/>
        <v>147.71680000000001</v>
      </c>
      <c r="M2093">
        <v>6</v>
      </c>
      <c r="N2093" t="str">
        <f t="shared" si="98"/>
        <v>Regular</v>
      </c>
    </row>
    <row r="2094" spans="1:14" x14ac:dyDescent="0.35">
      <c r="A2094">
        <v>2093</v>
      </c>
      <c r="B2094">
        <v>49</v>
      </c>
      <c r="C2094" t="str">
        <f t="shared" si="96"/>
        <v>Adult</v>
      </c>
      <c r="D2094" t="s">
        <v>11</v>
      </c>
      <c r="E2094" t="s">
        <v>29</v>
      </c>
      <c r="F2094" t="s">
        <v>55</v>
      </c>
      <c r="G2094">
        <v>115.21</v>
      </c>
      <c r="H2094" t="s">
        <v>14</v>
      </c>
      <c r="I2094" t="s">
        <v>15</v>
      </c>
      <c r="J2094">
        <v>3.4</v>
      </c>
      <c r="K2094">
        <v>9</v>
      </c>
      <c r="L2094">
        <f t="shared" si="97"/>
        <v>104.8411</v>
      </c>
      <c r="M2094">
        <v>2</v>
      </c>
      <c r="N2094" t="str">
        <f t="shared" si="98"/>
        <v>New</v>
      </c>
    </row>
    <row r="2095" spans="1:14" x14ac:dyDescent="0.35">
      <c r="A2095">
        <v>2094</v>
      </c>
      <c r="B2095">
        <v>61</v>
      </c>
      <c r="C2095" t="str">
        <f t="shared" si="96"/>
        <v>Senior</v>
      </c>
      <c r="D2095" t="s">
        <v>11</v>
      </c>
      <c r="E2095" t="s">
        <v>33</v>
      </c>
      <c r="F2095" t="s">
        <v>38</v>
      </c>
      <c r="G2095">
        <v>54</v>
      </c>
      <c r="H2095" t="s">
        <v>31</v>
      </c>
      <c r="I2095" t="s">
        <v>15</v>
      </c>
      <c r="J2095">
        <v>2</v>
      </c>
      <c r="K2095">
        <v>13</v>
      </c>
      <c r="L2095">
        <f t="shared" si="97"/>
        <v>46.98</v>
      </c>
      <c r="M2095">
        <v>4</v>
      </c>
      <c r="N2095" t="str">
        <f t="shared" si="98"/>
        <v>Regular</v>
      </c>
    </row>
    <row r="2096" spans="1:14" x14ac:dyDescent="0.35">
      <c r="A2096">
        <v>2095</v>
      </c>
      <c r="B2096">
        <v>46</v>
      </c>
      <c r="C2096" t="str">
        <f t="shared" si="96"/>
        <v>Adult</v>
      </c>
      <c r="D2096" t="s">
        <v>16</v>
      </c>
      <c r="E2096" t="s">
        <v>27</v>
      </c>
      <c r="F2096" t="s">
        <v>49</v>
      </c>
      <c r="G2096">
        <v>2492.66</v>
      </c>
      <c r="H2096" t="s">
        <v>31</v>
      </c>
      <c r="I2096" t="s">
        <v>15</v>
      </c>
      <c r="J2096">
        <v>3.3</v>
      </c>
      <c r="K2096">
        <v>12</v>
      </c>
      <c r="L2096">
        <f t="shared" si="97"/>
        <v>2193.5407999999998</v>
      </c>
      <c r="M2096">
        <v>6</v>
      </c>
      <c r="N2096" t="str">
        <f t="shared" si="98"/>
        <v>Regular</v>
      </c>
    </row>
    <row r="2097" spans="1:14" x14ac:dyDescent="0.35">
      <c r="A2097">
        <v>2096</v>
      </c>
      <c r="B2097">
        <v>64</v>
      </c>
      <c r="C2097" t="str">
        <f t="shared" si="96"/>
        <v>Senior</v>
      </c>
      <c r="D2097" t="s">
        <v>11</v>
      </c>
      <c r="E2097" t="s">
        <v>29</v>
      </c>
      <c r="F2097" t="s">
        <v>55</v>
      </c>
      <c r="G2097">
        <v>124.33</v>
      </c>
      <c r="H2097" t="s">
        <v>19</v>
      </c>
      <c r="I2097" t="s">
        <v>15</v>
      </c>
      <c r="J2097">
        <v>4</v>
      </c>
      <c r="K2097">
        <v>18</v>
      </c>
      <c r="L2097">
        <f t="shared" si="97"/>
        <v>101.95060000000001</v>
      </c>
      <c r="M2097">
        <v>4</v>
      </c>
      <c r="N2097" t="str">
        <f t="shared" si="98"/>
        <v>Regular</v>
      </c>
    </row>
    <row r="2098" spans="1:14" x14ac:dyDescent="0.35">
      <c r="A2098">
        <v>2097</v>
      </c>
      <c r="B2098">
        <v>69</v>
      </c>
      <c r="C2098" t="str">
        <f t="shared" si="96"/>
        <v>Senior</v>
      </c>
      <c r="D2098" t="s">
        <v>11</v>
      </c>
      <c r="E2098" t="s">
        <v>20</v>
      </c>
      <c r="F2098" t="s">
        <v>39</v>
      </c>
      <c r="G2098">
        <v>238.61</v>
      </c>
      <c r="H2098" t="s">
        <v>31</v>
      </c>
      <c r="I2098" t="s">
        <v>15</v>
      </c>
      <c r="J2098">
        <v>5</v>
      </c>
      <c r="K2098">
        <v>18</v>
      </c>
      <c r="L2098">
        <f t="shared" si="97"/>
        <v>195.66020000000003</v>
      </c>
      <c r="M2098">
        <v>4</v>
      </c>
      <c r="N2098" t="str">
        <f t="shared" si="98"/>
        <v>Regular</v>
      </c>
    </row>
    <row r="2099" spans="1:14" x14ac:dyDescent="0.35">
      <c r="A2099">
        <v>2098</v>
      </c>
      <c r="B2099">
        <v>64</v>
      </c>
      <c r="C2099" t="str">
        <f t="shared" si="96"/>
        <v>Senior</v>
      </c>
      <c r="D2099" t="s">
        <v>16</v>
      </c>
      <c r="E2099" t="s">
        <v>33</v>
      </c>
      <c r="F2099" t="s">
        <v>38</v>
      </c>
      <c r="G2099">
        <v>93.33</v>
      </c>
      <c r="H2099" t="s">
        <v>14</v>
      </c>
      <c r="I2099" t="s">
        <v>37</v>
      </c>
      <c r="J2099">
        <v>3.7</v>
      </c>
      <c r="K2099">
        <v>14</v>
      </c>
      <c r="L2099">
        <f t="shared" si="97"/>
        <v>80.263800000000003</v>
      </c>
      <c r="M2099">
        <v>2</v>
      </c>
      <c r="N2099" t="str">
        <f t="shared" si="98"/>
        <v>New</v>
      </c>
    </row>
    <row r="2100" spans="1:14" x14ac:dyDescent="0.35">
      <c r="A2100">
        <v>2099</v>
      </c>
      <c r="B2100">
        <v>54</v>
      </c>
      <c r="C2100" t="str">
        <f t="shared" si="96"/>
        <v>Adult</v>
      </c>
      <c r="D2100" t="s">
        <v>16</v>
      </c>
      <c r="E2100" t="s">
        <v>25</v>
      </c>
      <c r="F2100" t="s">
        <v>47</v>
      </c>
      <c r="G2100">
        <v>63.11</v>
      </c>
      <c r="H2100" t="s">
        <v>14</v>
      </c>
      <c r="I2100" t="s">
        <v>37</v>
      </c>
      <c r="J2100">
        <v>5</v>
      </c>
      <c r="K2100">
        <v>24</v>
      </c>
      <c r="L2100">
        <f t="shared" si="97"/>
        <v>47.9636</v>
      </c>
      <c r="M2100">
        <v>7</v>
      </c>
      <c r="N2100" t="str">
        <f t="shared" si="98"/>
        <v>Regular</v>
      </c>
    </row>
    <row r="2101" spans="1:14" x14ac:dyDescent="0.35">
      <c r="A2101">
        <v>2100</v>
      </c>
      <c r="B2101">
        <v>35</v>
      </c>
      <c r="C2101" t="str">
        <f t="shared" si="96"/>
        <v>Adult</v>
      </c>
      <c r="D2101" t="s">
        <v>16</v>
      </c>
      <c r="E2101" t="s">
        <v>17</v>
      </c>
      <c r="F2101" t="s">
        <v>18</v>
      </c>
      <c r="G2101">
        <v>187.27</v>
      </c>
      <c r="H2101" t="s">
        <v>31</v>
      </c>
      <c r="I2101" t="s">
        <v>15</v>
      </c>
      <c r="J2101">
        <v>4.4000000000000004</v>
      </c>
      <c r="K2101">
        <v>20</v>
      </c>
      <c r="L2101">
        <f t="shared" si="97"/>
        <v>149.816</v>
      </c>
      <c r="M2101">
        <v>5</v>
      </c>
      <c r="N2101" t="str">
        <f t="shared" si="98"/>
        <v>Regular</v>
      </c>
    </row>
    <row r="2102" spans="1:14" x14ac:dyDescent="0.35">
      <c r="A2102">
        <v>2101</v>
      </c>
      <c r="B2102">
        <v>62</v>
      </c>
      <c r="C2102" t="str">
        <f t="shared" si="96"/>
        <v>Senior</v>
      </c>
      <c r="D2102" t="s">
        <v>11</v>
      </c>
      <c r="E2102" t="s">
        <v>33</v>
      </c>
      <c r="F2102" t="s">
        <v>38</v>
      </c>
      <c r="G2102">
        <v>106.67</v>
      </c>
      <c r="H2102" t="s">
        <v>19</v>
      </c>
      <c r="I2102" t="s">
        <v>15</v>
      </c>
      <c r="J2102">
        <v>3.3</v>
      </c>
      <c r="K2102">
        <v>16</v>
      </c>
      <c r="L2102">
        <f t="shared" si="97"/>
        <v>89.602800000000002</v>
      </c>
      <c r="M2102">
        <v>8</v>
      </c>
      <c r="N2102" t="str">
        <f t="shared" si="98"/>
        <v>Loyal</v>
      </c>
    </row>
    <row r="2103" spans="1:14" x14ac:dyDescent="0.35">
      <c r="A2103">
        <v>2102</v>
      </c>
      <c r="B2103">
        <v>63</v>
      </c>
      <c r="C2103" t="str">
        <f t="shared" si="96"/>
        <v>Senior</v>
      </c>
      <c r="D2103" t="s">
        <v>16</v>
      </c>
      <c r="E2103" t="s">
        <v>17</v>
      </c>
      <c r="F2103" t="s">
        <v>35</v>
      </c>
      <c r="G2103">
        <v>52.94</v>
      </c>
      <c r="H2103" t="s">
        <v>19</v>
      </c>
      <c r="I2103" t="s">
        <v>15</v>
      </c>
      <c r="J2103">
        <v>4.3</v>
      </c>
      <c r="K2103">
        <v>15</v>
      </c>
      <c r="L2103">
        <f t="shared" si="97"/>
        <v>44.998999999999995</v>
      </c>
      <c r="M2103">
        <v>5</v>
      </c>
      <c r="N2103" t="str">
        <f t="shared" si="98"/>
        <v>Regular</v>
      </c>
    </row>
    <row r="2104" spans="1:14" x14ac:dyDescent="0.35">
      <c r="A2104">
        <v>2103</v>
      </c>
      <c r="B2104">
        <v>56</v>
      </c>
      <c r="C2104" t="str">
        <f t="shared" si="96"/>
        <v>Adult</v>
      </c>
      <c r="D2104" t="s">
        <v>16</v>
      </c>
      <c r="E2104" t="s">
        <v>17</v>
      </c>
      <c r="F2104" t="s">
        <v>35</v>
      </c>
      <c r="G2104">
        <v>124.47</v>
      </c>
      <c r="H2104" t="s">
        <v>14</v>
      </c>
      <c r="I2104" t="s">
        <v>15</v>
      </c>
      <c r="J2104">
        <v>3.6</v>
      </c>
      <c r="K2104">
        <v>12</v>
      </c>
      <c r="L2104">
        <f t="shared" si="97"/>
        <v>109.53359999999999</v>
      </c>
      <c r="M2104">
        <v>6</v>
      </c>
      <c r="N2104" t="str">
        <f t="shared" si="98"/>
        <v>Regular</v>
      </c>
    </row>
    <row r="2105" spans="1:14" x14ac:dyDescent="0.35">
      <c r="A2105">
        <v>2104</v>
      </c>
      <c r="B2105">
        <v>36</v>
      </c>
      <c r="C2105" t="str">
        <f t="shared" si="96"/>
        <v>Adult</v>
      </c>
      <c r="D2105" t="s">
        <v>11</v>
      </c>
      <c r="E2105" t="s">
        <v>41</v>
      </c>
      <c r="F2105" t="s">
        <v>46</v>
      </c>
      <c r="G2105">
        <v>165.8</v>
      </c>
      <c r="H2105" t="s">
        <v>19</v>
      </c>
      <c r="I2105" t="s">
        <v>15</v>
      </c>
      <c r="J2105">
        <v>3.5</v>
      </c>
      <c r="K2105">
        <v>22</v>
      </c>
      <c r="L2105">
        <f t="shared" si="97"/>
        <v>129.32400000000001</v>
      </c>
      <c r="M2105">
        <v>6</v>
      </c>
      <c r="N2105" t="str">
        <f t="shared" si="98"/>
        <v>Regular</v>
      </c>
    </row>
    <row r="2106" spans="1:14" x14ac:dyDescent="0.35">
      <c r="A2106">
        <v>2105</v>
      </c>
      <c r="B2106">
        <v>30</v>
      </c>
      <c r="C2106" t="str">
        <f t="shared" si="96"/>
        <v>Youth</v>
      </c>
      <c r="D2106" t="s">
        <v>11</v>
      </c>
      <c r="E2106" t="s">
        <v>12</v>
      </c>
      <c r="F2106" t="s">
        <v>13</v>
      </c>
      <c r="G2106">
        <v>103.79</v>
      </c>
      <c r="H2106" t="s">
        <v>14</v>
      </c>
      <c r="I2106" t="s">
        <v>15</v>
      </c>
      <c r="J2106">
        <v>3.3</v>
      </c>
      <c r="K2106">
        <v>14</v>
      </c>
      <c r="L2106">
        <f t="shared" si="97"/>
        <v>89.259399999999999</v>
      </c>
      <c r="M2106">
        <v>7</v>
      </c>
      <c r="N2106" t="str">
        <f t="shared" si="98"/>
        <v>Regular</v>
      </c>
    </row>
    <row r="2107" spans="1:14" x14ac:dyDescent="0.35">
      <c r="A2107">
        <v>2106</v>
      </c>
      <c r="B2107">
        <v>20</v>
      </c>
      <c r="C2107" t="str">
        <f t="shared" si="96"/>
        <v>Youth</v>
      </c>
      <c r="D2107" t="s">
        <v>16</v>
      </c>
      <c r="E2107" t="s">
        <v>27</v>
      </c>
      <c r="F2107" t="s">
        <v>49</v>
      </c>
      <c r="G2107">
        <v>647.02</v>
      </c>
      <c r="H2107" t="s">
        <v>19</v>
      </c>
      <c r="I2107" t="s">
        <v>15</v>
      </c>
      <c r="J2107">
        <v>3.5</v>
      </c>
      <c r="K2107">
        <v>10</v>
      </c>
      <c r="L2107">
        <f t="shared" si="97"/>
        <v>582.31799999999998</v>
      </c>
      <c r="M2107">
        <v>5</v>
      </c>
      <c r="N2107" t="str">
        <f t="shared" si="98"/>
        <v>Regular</v>
      </c>
    </row>
    <row r="2108" spans="1:14" x14ac:dyDescent="0.35">
      <c r="A2108">
        <v>2107</v>
      </c>
      <c r="B2108">
        <v>57</v>
      </c>
      <c r="C2108" t="str">
        <f t="shared" si="96"/>
        <v>Adult</v>
      </c>
      <c r="D2108" t="s">
        <v>16</v>
      </c>
      <c r="E2108" t="s">
        <v>20</v>
      </c>
      <c r="F2108" t="s">
        <v>39</v>
      </c>
      <c r="G2108">
        <v>70.3</v>
      </c>
      <c r="H2108" t="s">
        <v>19</v>
      </c>
      <c r="I2108" t="s">
        <v>37</v>
      </c>
      <c r="J2108">
        <v>3.9</v>
      </c>
      <c r="K2108">
        <v>17</v>
      </c>
      <c r="L2108">
        <f t="shared" si="97"/>
        <v>58.348999999999997</v>
      </c>
      <c r="M2108">
        <v>6</v>
      </c>
      <c r="N2108" t="str">
        <f t="shared" si="98"/>
        <v>Regular</v>
      </c>
    </row>
    <row r="2109" spans="1:14" x14ac:dyDescent="0.35">
      <c r="A2109">
        <v>2108</v>
      </c>
      <c r="B2109">
        <v>38</v>
      </c>
      <c r="C2109" t="str">
        <f t="shared" si="96"/>
        <v>Adult</v>
      </c>
      <c r="D2109" t="s">
        <v>16</v>
      </c>
      <c r="E2109" t="s">
        <v>27</v>
      </c>
      <c r="F2109" t="s">
        <v>49</v>
      </c>
      <c r="G2109">
        <v>1795.05</v>
      </c>
      <c r="H2109" t="s">
        <v>24</v>
      </c>
      <c r="I2109" t="s">
        <v>15</v>
      </c>
      <c r="J2109">
        <v>3.6</v>
      </c>
      <c r="K2109">
        <v>18</v>
      </c>
      <c r="L2109">
        <f t="shared" si="97"/>
        <v>1471.941</v>
      </c>
      <c r="M2109">
        <v>4</v>
      </c>
      <c r="N2109" t="str">
        <f t="shared" si="98"/>
        <v>Regular</v>
      </c>
    </row>
    <row r="2110" spans="1:14" x14ac:dyDescent="0.35">
      <c r="A2110">
        <v>2109</v>
      </c>
      <c r="B2110">
        <v>64</v>
      </c>
      <c r="C2110" t="str">
        <f t="shared" si="96"/>
        <v>Senior</v>
      </c>
      <c r="D2110" t="s">
        <v>11</v>
      </c>
      <c r="E2110" t="s">
        <v>33</v>
      </c>
      <c r="F2110" t="s">
        <v>34</v>
      </c>
      <c r="G2110">
        <v>247.74</v>
      </c>
      <c r="H2110" t="s">
        <v>19</v>
      </c>
      <c r="I2110" t="s">
        <v>15</v>
      </c>
      <c r="J2110">
        <v>3.6</v>
      </c>
      <c r="K2110">
        <v>19</v>
      </c>
      <c r="L2110">
        <f t="shared" si="97"/>
        <v>200.66940000000002</v>
      </c>
      <c r="M2110">
        <v>7</v>
      </c>
      <c r="N2110" t="str">
        <f t="shared" si="98"/>
        <v>Regular</v>
      </c>
    </row>
    <row r="2111" spans="1:14" x14ac:dyDescent="0.35">
      <c r="A2111">
        <v>2110</v>
      </c>
      <c r="B2111">
        <v>54</v>
      </c>
      <c r="C2111" t="str">
        <f t="shared" si="96"/>
        <v>Adult</v>
      </c>
      <c r="D2111" t="s">
        <v>11</v>
      </c>
      <c r="E2111" t="s">
        <v>12</v>
      </c>
      <c r="F2111" t="s">
        <v>56</v>
      </c>
      <c r="G2111">
        <v>161.25</v>
      </c>
      <c r="H2111" t="s">
        <v>31</v>
      </c>
      <c r="I2111" t="s">
        <v>15</v>
      </c>
      <c r="J2111">
        <v>3.8</v>
      </c>
      <c r="K2111">
        <v>15</v>
      </c>
      <c r="L2111">
        <f t="shared" si="97"/>
        <v>137.0625</v>
      </c>
      <c r="M2111">
        <v>5</v>
      </c>
      <c r="N2111" t="str">
        <f t="shared" si="98"/>
        <v>Regular</v>
      </c>
    </row>
    <row r="2112" spans="1:14" x14ac:dyDescent="0.35">
      <c r="A2112">
        <v>2111</v>
      </c>
      <c r="B2112">
        <v>70</v>
      </c>
      <c r="C2112" t="str">
        <f t="shared" si="96"/>
        <v>Senior</v>
      </c>
      <c r="D2112" t="s">
        <v>11</v>
      </c>
      <c r="E2112" t="s">
        <v>29</v>
      </c>
      <c r="F2112" t="s">
        <v>55</v>
      </c>
      <c r="G2112">
        <v>75.11</v>
      </c>
      <c r="H2112" t="s">
        <v>31</v>
      </c>
      <c r="I2112" t="s">
        <v>37</v>
      </c>
      <c r="J2112">
        <v>4.2</v>
      </c>
      <c r="K2112">
        <v>16</v>
      </c>
      <c r="L2112">
        <f t="shared" si="97"/>
        <v>63.092399999999998</v>
      </c>
      <c r="M2112">
        <v>3</v>
      </c>
      <c r="N2112" t="str">
        <f t="shared" si="98"/>
        <v>New</v>
      </c>
    </row>
    <row r="2113" spans="1:14" x14ac:dyDescent="0.35">
      <c r="A2113">
        <v>2112</v>
      </c>
      <c r="B2113">
        <v>28</v>
      </c>
      <c r="C2113" t="str">
        <f t="shared" si="96"/>
        <v>Youth</v>
      </c>
      <c r="D2113" t="s">
        <v>16</v>
      </c>
      <c r="E2113" t="s">
        <v>17</v>
      </c>
      <c r="F2113" t="s">
        <v>18</v>
      </c>
      <c r="G2113">
        <v>47.83</v>
      </c>
      <c r="H2113" t="s">
        <v>24</v>
      </c>
      <c r="I2113" t="s">
        <v>15</v>
      </c>
      <c r="J2113">
        <v>2.2000000000000002</v>
      </c>
      <c r="K2113">
        <v>16</v>
      </c>
      <c r="L2113">
        <f t="shared" si="97"/>
        <v>40.177199999999999</v>
      </c>
      <c r="M2113">
        <v>3</v>
      </c>
      <c r="N2113" t="str">
        <f t="shared" si="98"/>
        <v>New</v>
      </c>
    </row>
    <row r="2114" spans="1:14" x14ac:dyDescent="0.35">
      <c r="A2114">
        <v>2113</v>
      </c>
      <c r="B2114">
        <v>65</v>
      </c>
      <c r="C2114" t="str">
        <f t="shared" si="96"/>
        <v>Senior</v>
      </c>
      <c r="D2114" t="s">
        <v>16</v>
      </c>
      <c r="E2114" t="s">
        <v>22</v>
      </c>
      <c r="F2114" t="s">
        <v>52</v>
      </c>
      <c r="G2114">
        <v>214.25</v>
      </c>
      <c r="H2114" t="s">
        <v>14</v>
      </c>
      <c r="I2114" t="s">
        <v>15</v>
      </c>
      <c r="J2114">
        <v>3.1</v>
      </c>
      <c r="K2114">
        <v>9</v>
      </c>
      <c r="L2114">
        <f t="shared" si="97"/>
        <v>194.9675</v>
      </c>
      <c r="M2114">
        <v>2</v>
      </c>
      <c r="N2114" t="str">
        <f t="shared" si="98"/>
        <v>New</v>
      </c>
    </row>
    <row r="2115" spans="1:14" x14ac:dyDescent="0.35">
      <c r="A2115">
        <v>2114</v>
      </c>
      <c r="B2115">
        <v>42</v>
      </c>
      <c r="C2115" t="str">
        <f t="shared" ref="C2115:C2178" si="99">IF(B2115&lt;=30,"Youth",IF(B2115&lt;=45,"Adult",IF(B2115&lt;=60,"Adult","Senior")))</f>
        <v>Adult</v>
      </c>
      <c r="D2115" t="s">
        <v>16</v>
      </c>
      <c r="E2115" t="s">
        <v>33</v>
      </c>
      <c r="F2115" t="s">
        <v>34</v>
      </c>
      <c r="G2115">
        <v>246.94</v>
      </c>
      <c r="H2115" t="s">
        <v>14</v>
      </c>
      <c r="I2115" t="s">
        <v>15</v>
      </c>
      <c r="J2115">
        <v>2.5</v>
      </c>
      <c r="K2115">
        <v>9</v>
      </c>
      <c r="L2115">
        <f t="shared" ref="L2115:L2178" si="100">G2115*(1-K2115/100)</f>
        <v>224.71540000000002</v>
      </c>
      <c r="M2115">
        <v>2</v>
      </c>
      <c r="N2115" t="str">
        <f t="shared" ref="N2115:N2178" si="101">IF(M2115&lt;=3,"New",IF(M2115&lt;=7,"Regular","Loyal"))</f>
        <v>New</v>
      </c>
    </row>
    <row r="2116" spans="1:14" x14ac:dyDescent="0.35">
      <c r="A2116">
        <v>2115</v>
      </c>
      <c r="B2116">
        <v>65</v>
      </c>
      <c r="C2116" t="str">
        <f t="shared" si="99"/>
        <v>Senior</v>
      </c>
      <c r="D2116" t="s">
        <v>11</v>
      </c>
      <c r="E2116" t="s">
        <v>41</v>
      </c>
      <c r="F2116" t="s">
        <v>46</v>
      </c>
      <c r="G2116">
        <v>32.9</v>
      </c>
      <c r="H2116" t="s">
        <v>24</v>
      </c>
      <c r="I2116" t="s">
        <v>15</v>
      </c>
      <c r="J2116">
        <v>4.5999999999999996</v>
      </c>
      <c r="K2116">
        <v>16</v>
      </c>
      <c r="L2116">
        <f t="shared" si="100"/>
        <v>27.635999999999999</v>
      </c>
      <c r="M2116">
        <v>3</v>
      </c>
      <c r="N2116" t="str">
        <f t="shared" si="101"/>
        <v>New</v>
      </c>
    </row>
    <row r="2117" spans="1:14" x14ac:dyDescent="0.35">
      <c r="A2117">
        <v>2116</v>
      </c>
      <c r="B2117">
        <v>20</v>
      </c>
      <c r="C2117" t="str">
        <f t="shared" si="99"/>
        <v>Youth</v>
      </c>
      <c r="D2117" t="s">
        <v>16</v>
      </c>
      <c r="E2117" t="s">
        <v>25</v>
      </c>
      <c r="F2117" t="s">
        <v>26</v>
      </c>
      <c r="G2117">
        <v>53.05</v>
      </c>
      <c r="H2117" t="s">
        <v>19</v>
      </c>
      <c r="I2117" t="s">
        <v>15</v>
      </c>
      <c r="J2117">
        <v>4.8</v>
      </c>
      <c r="K2117">
        <v>28</v>
      </c>
      <c r="L2117">
        <f t="shared" si="100"/>
        <v>38.195999999999998</v>
      </c>
      <c r="M2117">
        <v>9</v>
      </c>
      <c r="N2117" t="str">
        <f t="shared" si="101"/>
        <v>Loyal</v>
      </c>
    </row>
    <row r="2118" spans="1:14" x14ac:dyDescent="0.35">
      <c r="A2118">
        <v>2117</v>
      </c>
      <c r="B2118">
        <v>68</v>
      </c>
      <c r="C2118" t="str">
        <f t="shared" si="99"/>
        <v>Senior</v>
      </c>
      <c r="D2118" t="s">
        <v>16</v>
      </c>
      <c r="E2118" t="s">
        <v>17</v>
      </c>
      <c r="F2118" t="s">
        <v>48</v>
      </c>
      <c r="G2118">
        <v>68.39</v>
      </c>
      <c r="H2118" t="s">
        <v>14</v>
      </c>
      <c r="I2118" t="s">
        <v>37</v>
      </c>
      <c r="J2118">
        <v>4.0999999999999996</v>
      </c>
      <c r="K2118">
        <v>26</v>
      </c>
      <c r="L2118">
        <f t="shared" si="100"/>
        <v>50.608600000000003</v>
      </c>
      <c r="M2118">
        <v>8</v>
      </c>
      <c r="N2118" t="str">
        <f t="shared" si="101"/>
        <v>Loyal</v>
      </c>
    </row>
    <row r="2119" spans="1:14" x14ac:dyDescent="0.35">
      <c r="A2119">
        <v>2118</v>
      </c>
      <c r="B2119">
        <v>49</v>
      </c>
      <c r="C2119" t="str">
        <f t="shared" si="99"/>
        <v>Adult</v>
      </c>
      <c r="D2119" t="s">
        <v>16</v>
      </c>
      <c r="E2119" t="s">
        <v>17</v>
      </c>
      <c r="F2119" t="s">
        <v>18</v>
      </c>
      <c r="G2119">
        <v>153.15</v>
      </c>
      <c r="H2119" t="s">
        <v>24</v>
      </c>
      <c r="I2119" t="s">
        <v>15</v>
      </c>
      <c r="J2119">
        <v>3.1</v>
      </c>
      <c r="K2119">
        <v>8</v>
      </c>
      <c r="L2119">
        <f t="shared" si="100"/>
        <v>140.89800000000002</v>
      </c>
      <c r="M2119">
        <v>4</v>
      </c>
      <c r="N2119" t="str">
        <f t="shared" si="101"/>
        <v>Regular</v>
      </c>
    </row>
    <row r="2120" spans="1:14" x14ac:dyDescent="0.35">
      <c r="A2120">
        <v>2119</v>
      </c>
      <c r="B2120">
        <v>63</v>
      </c>
      <c r="C2120" t="str">
        <f t="shared" si="99"/>
        <v>Senior</v>
      </c>
      <c r="D2120" t="s">
        <v>11</v>
      </c>
      <c r="E2120" t="s">
        <v>12</v>
      </c>
      <c r="F2120" t="s">
        <v>13</v>
      </c>
      <c r="G2120">
        <v>50.16</v>
      </c>
      <c r="H2120" t="s">
        <v>24</v>
      </c>
      <c r="I2120" t="s">
        <v>15</v>
      </c>
      <c r="J2120">
        <v>4.3</v>
      </c>
      <c r="K2120">
        <v>12</v>
      </c>
      <c r="L2120">
        <f t="shared" si="100"/>
        <v>44.140799999999999</v>
      </c>
      <c r="M2120">
        <v>6</v>
      </c>
      <c r="N2120" t="str">
        <f t="shared" si="101"/>
        <v>Regular</v>
      </c>
    </row>
    <row r="2121" spans="1:14" x14ac:dyDescent="0.35">
      <c r="A2121">
        <v>2120</v>
      </c>
      <c r="B2121">
        <v>30</v>
      </c>
      <c r="C2121" t="str">
        <f t="shared" si="99"/>
        <v>Youth</v>
      </c>
      <c r="D2121" t="s">
        <v>16</v>
      </c>
      <c r="E2121" t="s">
        <v>33</v>
      </c>
      <c r="F2121" t="s">
        <v>38</v>
      </c>
      <c r="G2121">
        <v>103.58</v>
      </c>
      <c r="H2121" t="s">
        <v>19</v>
      </c>
      <c r="I2121" t="s">
        <v>15</v>
      </c>
      <c r="J2121">
        <v>4.5</v>
      </c>
      <c r="K2121">
        <v>15</v>
      </c>
      <c r="L2121">
        <f t="shared" si="100"/>
        <v>88.042999999999992</v>
      </c>
      <c r="M2121">
        <v>5</v>
      </c>
      <c r="N2121" t="str">
        <f t="shared" si="101"/>
        <v>Regular</v>
      </c>
    </row>
    <row r="2122" spans="1:14" x14ac:dyDescent="0.35">
      <c r="A2122">
        <v>2121</v>
      </c>
      <c r="B2122">
        <v>65</v>
      </c>
      <c r="C2122" t="str">
        <f t="shared" si="99"/>
        <v>Senior</v>
      </c>
      <c r="D2122" t="s">
        <v>11</v>
      </c>
      <c r="E2122" t="s">
        <v>41</v>
      </c>
      <c r="F2122" t="s">
        <v>45</v>
      </c>
      <c r="G2122">
        <v>159.66999999999999</v>
      </c>
      <c r="H2122" t="s">
        <v>14</v>
      </c>
      <c r="I2122" t="s">
        <v>15</v>
      </c>
      <c r="J2122">
        <v>3.8</v>
      </c>
      <c r="K2122">
        <v>10</v>
      </c>
      <c r="L2122">
        <f t="shared" si="100"/>
        <v>143.703</v>
      </c>
      <c r="M2122">
        <v>5</v>
      </c>
      <c r="N2122" t="str">
        <f t="shared" si="101"/>
        <v>Regular</v>
      </c>
    </row>
    <row r="2123" spans="1:14" x14ac:dyDescent="0.35">
      <c r="A2123">
        <v>2122</v>
      </c>
      <c r="B2123">
        <v>22</v>
      </c>
      <c r="C2123" t="str">
        <f t="shared" si="99"/>
        <v>Youth</v>
      </c>
      <c r="D2123" t="s">
        <v>11</v>
      </c>
      <c r="E2123" t="s">
        <v>29</v>
      </c>
      <c r="F2123" t="s">
        <v>55</v>
      </c>
      <c r="G2123">
        <v>100.76</v>
      </c>
      <c r="H2123" t="s">
        <v>14</v>
      </c>
      <c r="I2123" t="s">
        <v>15</v>
      </c>
      <c r="J2123">
        <v>5</v>
      </c>
      <c r="K2123">
        <v>19</v>
      </c>
      <c r="L2123">
        <f t="shared" si="100"/>
        <v>81.615600000000015</v>
      </c>
      <c r="M2123">
        <v>7</v>
      </c>
      <c r="N2123" t="str">
        <f t="shared" si="101"/>
        <v>Regular</v>
      </c>
    </row>
    <row r="2124" spans="1:14" x14ac:dyDescent="0.35">
      <c r="A2124">
        <v>2123</v>
      </c>
      <c r="B2124">
        <v>64</v>
      </c>
      <c r="C2124" t="str">
        <f t="shared" si="99"/>
        <v>Senior</v>
      </c>
      <c r="D2124" t="s">
        <v>16</v>
      </c>
      <c r="E2124" t="s">
        <v>20</v>
      </c>
      <c r="F2124" t="s">
        <v>21</v>
      </c>
      <c r="G2124">
        <v>229.26</v>
      </c>
      <c r="H2124" t="s">
        <v>14</v>
      </c>
      <c r="I2124" t="s">
        <v>15</v>
      </c>
      <c r="J2124">
        <v>4</v>
      </c>
      <c r="K2124">
        <v>22</v>
      </c>
      <c r="L2124">
        <f t="shared" si="100"/>
        <v>178.8228</v>
      </c>
      <c r="M2124">
        <v>6</v>
      </c>
      <c r="N2124" t="str">
        <f t="shared" si="101"/>
        <v>Regular</v>
      </c>
    </row>
    <row r="2125" spans="1:14" x14ac:dyDescent="0.35">
      <c r="A2125">
        <v>2124</v>
      </c>
      <c r="B2125">
        <v>20</v>
      </c>
      <c r="C2125" t="str">
        <f t="shared" si="99"/>
        <v>Youth</v>
      </c>
      <c r="D2125" t="s">
        <v>16</v>
      </c>
      <c r="E2125" t="s">
        <v>17</v>
      </c>
      <c r="F2125" t="s">
        <v>35</v>
      </c>
      <c r="G2125">
        <v>121.19</v>
      </c>
      <c r="H2125" t="s">
        <v>19</v>
      </c>
      <c r="I2125" t="s">
        <v>15</v>
      </c>
      <c r="J2125">
        <v>3.6</v>
      </c>
      <c r="K2125">
        <v>20</v>
      </c>
      <c r="L2125">
        <f t="shared" si="100"/>
        <v>96.951999999999998</v>
      </c>
      <c r="M2125">
        <v>5</v>
      </c>
      <c r="N2125" t="str">
        <f t="shared" si="101"/>
        <v>Regular</v>
      </c>
    </row>
    <row r="2126" spans="1:14" x14ac:dyDescent="0.35">
      <c r="A2126">
        <v>2125</v>
      </c>
      <c r="B2126">
        <v>36</v>
      </c>
      <c r="C2126" t="str">
        <f t="shared" si="99"/>
        <v>Adult</v>
      </c>
      <c r="D2126" t="s">
        <v>16</v>
      </c>
      <c r="E2126" t="s">
        <v>17</v>
      </c>
      <c r="F2126" t="s">
        <v>42</v>
      </c>
      <c r="G2126">
        <v>172.85</v>
      </c>
      <c r="H2126" t="s">
        <v>24</v>
      </c>
      <c r="I2126" t="s">
        <v>15</v>
      </c>
      <c r="J2126">
        <v>3.6</v>
      </c>
      <c r="K2126">
        <v>13</v>
      </c>
      <c r="L2126">
        <f t="shared" si="100"/>
        <v>150.37950000000001</v>
      </c>
      <c r="M2126">
        <v>4</v>
      </c>
      <c r="N2126" t="str">
        <f t="shared" si="101"/>
        <v>Regular</v>
      </c>
    </row>
    <row r="2127" spans="1:14" x14ac:dyDescent="0.35">
      <c r="A2127">
        <v>2126</v>
      </c>
      <c r="B2127">
        <v>37</v>
      </c>
      <c r="C2127" t="str">
        <f t="shared" si="99"/>
        <v>Adult</v>
      </c>
      <c r="D2127" t="s">
        <v>16</v>
      </c>
      <c r="E2127" t="s">
        <v>27</v>
      </c>
      <c r="F2127" t="s">
        <v>32</v>
      </c>
      <c r="G2127">
        <v>2994.75</v>
      </c>
      <c r="H2127" t="s">
        <v>24</v>
      </c>
      <c r="I2127" t="s">
        <v>15</v>
      </c>
      <c r="J2127">
        <v>3.4</v>
      </c>
      <c r="K2127">
        <v>12</v>
      </c>
      <c r="L2127">
        <f t="shared" si="100"/>
        <v>2635.38</v>
      </c>
      <c r="M2127">
        <v>6</v>
      </c>
      <c r="N2127" t="str">
        <f t="shared" si="101"/>
        <v>Regular</v>
      </c>
    </row>
    <row r="2128" spans="1:14" x14ac:dyDescent="0.35">
      <c r="A2128">
        <v>2127</v>
      </c>
      <c r="B2128">
        <v>24</v>
      </c>
      <c r="C2128" t="str">
        <f t="shared" si="99"/>
        <v>Youth</v>
      </c>
      <c r="D2128" t="s">
        <v>11</v>
      </c>
      <c r="E2128" t="s">
        <v>33</v>
      </c>
      <c r="F2128" t="s">
        <v>38</v>
      </c>
      <c r="G2128">
        <v>169.29</v>
      </c>
      <c r="H2128" t="s">
        <v>19</v>
      </c>
      <c r="I2128" t="s">
        <v>15</v>
      </c>
      <c r="J2128">
        <v>3.5</v>
      </c>
      <c r="K2128">
        <v>22</v>
      </c>
      <c r="L2128">
        <f t="shared" si="100"/>
        <v>132.0462</v>
      </c>
      <c r="M2128">
        <v>6</v>
      </c>
      <c r="N2128" t="str">
        <f t="shared" si="101"/>
        <v>Regular</v>
      </c>
    </row>
    <row r="2129" spans="1:14" x14ac:dyDescent="0.35">
      <c r="A2129">
        <v>2128</v>
      </c>
      <c r="B2129">
        <v>45</v>
      </c>
      <c r="C2129" t="str">
        <f t="shared" si="99"/>
        <v>Adult</v>
      </c>
      <c r="D2129" t="s">
        <v>11</v>
      </c>
      <c r="E2129" t="s">
        <v>12</v>
      </c>
      <c r="F2129" t="s">
        <v>50</v>
      </c>
      <c r="G2129">
        <v>48</v>
      </c>
      <c r="H2129" t="s">
        <v>19</v>
      </c>
      <c r="I2129" t="s">
        <v>15</v>
      </c>
      <c r="J2129">
        <v>3.6</v>
      </c>
      <c r="K2129">
        <v>16</v>
      </c>
      <c r="L2129">
        <f t="shared" si="100"/>
        <v>40.32</v>
      </c>
      <c r="M2129">
        <v>8</v>
      </c>
      <c r="N2129" t="str">
        <f t="shared" si="101"/>
        <v>Loyal</v>
      </c>
    </row>
    <row r="2130" spans="1:14" x14ac:dyDescent="0.35">
      <c r="A2130">
        <v>2129</v>
      </c>
      <c r="B2130">
        <v>28</v>
      </c>
      <c r="C2130" t="str">
        <f t="shared" si="99"/>
        <v>Youth</v>
      </c>
      <c r="D2130" t="s">
        <v>16</v>
      </c>
      <c r="E2130" t="s">
        <v>20</v>
      </c>
      <c r="F2130" t="s">
        <v>21</v>
      </c>
      <c r="G2130">
        <v>73.95</v>
      </c>
      <c r="H2130" t="s">
        <v>31</v>
      </c>
      <c r="I2130" t="s">
        <v>15</v>
      </c>
      <c r="J2130">
        <v>3.8</v>
      </c>
      <c r="K2130">
        <v>7</v>
      </c>
      <c r="L2130">
        <f t="shared" si="100"/>
        <v>68.773499999999999</v>
      </c>
      <c r="M2130">
        <v>1</v>
      </c>
      <c r="N2130" t="str">
        <f t="shared" si="101"/>
        <v>New</v>
      </c>
    </row>
    <row r="2131" spans="1:14" x14ac:dyDescent="0.35">
      <c r="A2131">
        <v>2130</v>
      </c>
      <c r="B2131">
        <v>38</v>
      </c>
      <c r="C2131" t="str">
        <f t="shared" si="99"/>
        <v>Adult</v>
      </c>
      <c r="D2131" t="s">
        <v>16</v>
      </c>
      <c r="E2131" t="s">
        <v>25</v>
      </c>
      <c r="F2131" t="s">
        <v>57</v>
      </c>
      <c r="G2131">
        <v>44.44</v>
      </c>
      <c r="H2131" t="s">
        <v>19</v>
      </c>
      <c r="I2131" t="s">
        <v>37</v>
      </c>
      <c r="J2131">
        <v>4.9000000000000004</v>
      </c>
      <c r="K2131">
        <v>20</v>
      </c>
      <c r="L2131">
        <f t="shared" si="100"/>
        <v>35.552</v>
      </c>
      <c r="M2131">
        <v>5</v>
      </c>
      <c r="N2131" t="str">
        <f t="shared" si="101"/>
        <v>Regular</v>
      </c>
    </row>
    <row r="2132" spans="1:14" x14ac:dyDescent="0.35">
      <c r="A2132">
        <v>2131</v>
      </c>
      <c r="B2132">
        <v>42</v>
      </c>
      <c r="C2132" t="str">
        <f t="shared" si="99"/>
        <v>Adult</v>
      </c>
      <c r="D2132" t="s">
        <v>11</v>
      </c>
      <c r="E2132" t="s">
        <v>12</v>
      </c>
      <c r="F2132" t="s">
        <v>56</v>
      </c>
      <c r="G2132">
        <v>162.6</v>
      </c>
      <c r="H2132" t="s">
        <v>19</v>
      </c>
      <c r="I2132" t="s">
        <v>15</v>
      </c>
      <c r="J2132">
        <v>4.7</v>
      </c>
      <c r="K2132">
        <v>12</v>
      </c>
      <c r="L2132">
        <f t="shared" si="100"/>
        <v>143.08799999999999</v>
      </c>
      <c r="M2132">
        <v>1</v>
      </c>
      <c r="N2132" t="str">
        <f t="shared" si="101"/>
        <v>New</v>
      </c>
    </row>
    <row r="2133" spans="1:14" x14ac:dyDescent="0.35">
      <c r="A2133">
        <v>2132</v>
      </c>
      <c r="B2133">
        <v>36</v>
      </c>
      <c r="C2133" t="str">
        <f t="shared" si="99"/>
        <v>Adult</v>
      </c>
      <c r="D2133" t="s">
        <v>16</v>
      </c>
      <c r="E2133" t="s">
        <v>27</v>
      </c>
      <c r="F2133" t="s">
        <v>53</v>
      </c>
      <c r="G2133">
        <v>1381.61</v>
      </c>
      <c r="H2133" t="s">
        <v>19</v>
      </c>
      <c r="I2133" t="s">
        <v>15</v>
      </c>
      <c r="J2133">
        <v>4.8</v>
      </c>
      <c r="K2133">
        <v>13</v>
      </c>
      <c r="L2133">
        <f t="shared" si="100"/>
        <v>1202.0006999999998</v>
      </c>
      <c r="M2133">
        <v>4</v>
      </c>
      <c r="N2133" t="str">
        <f t="shared" si="101"/>
        <v>Regular</v>
      </c>
    </row>
    <row r="2134" spans="1:14" x14ac:dyDescent="0.35">
      <c r="A2134">
        <v>2133</v>
      </c>
      <c r="B2134">
        <v>37</v>
      </c>
      <c r="C2134" t="str">
        <f t="shared" si="99"/>
        <v>Adult</v>
      </c>
      <c r="D2134" t="s">
        <v>16</v>
      </c>
      <c r="E2134" t="s">
        <v>27</v>
      </c>
      <c r="F2134" t="s">
        <v>53</v>
      </c>
      <c r="G2134">
        <v>2720.99</v>
      </c>
      <c r="H2134" t="s">
        <v>19</v>
      </c>
      <c r="I2134" t="s">
        <v>15</v>
      </c>
      <c r="J2134">
        <v>3.1</v>
      </c>
      <c r="K2134">
        <v>20</v>
      </c>
      <c r="L2134">
        <f t="shared" si="100"/>
        <v>2176.7919999999999</v>
      </c>
      <c r="M2134">
        <v>5</v>
      </c>
      <c r="N2134" t="str">
        <f t="shared" si="101"/>
        <v>Regular</v>
      </c>
    </row>
    <row r="2135" spans="1:14" x14ac:dyDescent="0.35">
      <c r="A2135">
        <v>2134</v>
      </c>
      <c r="B2135">
        <v>24</v>
      </c>
      <c r="C2135" t="str">
        <f t="shared" si="99"/>
        <v>Youth</v>
      </c>
      <c r="D2135" t="s">
        <v>16</v>
      </c>
      <c r="E2135" t="s">
        <v>33</v>
      </c>
      <c r="F2135" t="s">
        <v>38</v>
      </c>
      <c r="G2135">
        <v>53.39</v>
      </c>
      <c r="H2135" t="s">
        <v>19</v>
      </c>
      <c r="I2135" t="s">
        <v>37</v>
      </c>
      <c r="J2135">
        <v>3.3</v>
      </c>
      <c r="K2135">
        <v>10</v>
      </c>
      <c r="L2135">
        <f t="shared" si="100"/>
        <v>48.051000000000002</v>
      </c>
      <c r="M2135">
        <v>5</v>
      </c>
      <c r="N2135" t="str">
        <f t="shared" si="101"/>
        <v>Regular</v>
      </c>
    </row>
    <row r="2136" spans="1:14" x14ac:dyDescent="0.35">
      <c r="A2136">
        <v>2135</v>
      </c>
      <c r="B2136">
        <v>42</v>
      </c>
      <c r="C2136" t="str">
        <f t="shared" si="99"/>
        <v>Adult</v>
      </c>
      <c r="D2136" t="s">
        <v>16</v>
      </c>
      <c r="E2136" t="s">
        <v>33</v>
      </c>
      <c r="F2136" t="s">
        <v>40</v>
      </c>
      <c r="G2136">
        <v>156.01</v>
      </c>
      <c r="H2136" t="s">
        <v>31</v>
      </c>
      <c r="I2136" t="s">
        <v>15</v>
      </c>
      <c r="J2136">
        <v>3.9</v>
      </c>
      <c r="K2136">
        <v>8</v>
      </c>
      <c r="L2136">
        <f t="shared" si="100"/>
        <v>143.5292</v>
      </c>
      <c r="M2136">
        <v>4</v>
      </c>
      <c r="N2136" t="str">
        <f t="shared" si="101"/>
        <v>Regular</v>
      </c>
    </row>
    <row r="2137" spans="1:14" x14ac:dyDescent="0.35">
      <c r="A2137">
        <v>2136</v>
      </c>
      <c r="B2137">
        <v>23</v>
      </c>
      <c r="C2137" t="str">
        <f t="shared" si="99"/>
        <v>Youth</v>
      </c>
      <c r="D2137" t="s">
        <v>11</v>
      </c>
      <c r="E2137" t="s">
        <v>29</v>
      </c>
      <c r="F2137" t="s">
        <v>30</v>
      </c>
      <c r="G2137">
        <v>107.23</v>
      </c>
      <c r="H2137" t="s">
        <v>24</v>
      </c>
      <c r="I2137" t="s">
        <v>15</v>
      </c>
      <c r="J2137">
        <v>3.3</v>
      </c>
      <c r="K2137">
        <v>9</v>
      </c>
      <c r="L2137">
        <f t="shared" si="100"/>
        <v>97.579300000000003</v>
      </c>
      <c r="M2137">
        <v>2</v>
      </c>
      <c r="N2137" t="str">
        <f t="shared" si="101"/>
        <v>New</v>
      </c>
    </row>
    <row r="2138" spans="1:14" x14ac:dyDescent="0.35">
      <c r="A2138">
        <v>2137</v>
      </c>
      <c r="B2138">
        <v>31</v>
      </c>
      <c r="C2138" t="str">
        <f t="shared" si="99"/>
        <v>Adult</v>
      </c>
      <c r="D2138" t="s">
        <v>11</v>
      </c>
      <c r="E2138" t="s">
        <v>29</v>
      </c>
      <c r="F2138" t="s">
        <v>30</v>
      </c>
      <c r="G2138">
        <v>72.150000000000006</v>
      </c>
      <c r="H2138" t="s">
        <v>14</v>
      </c>
      <c r="I2138" t="s">
        <v>37</v>
      </c>
      <c r="J2138">
        <v>4.0999999999999996</v>
      </c>
      <c r="K2138">
        <v>16</v>
      </c>
      <c r="L2138">
        <f t="shared" si="100"/>
        <v>60.606000000000002</v>
      </c>
      <c r="M2138">
        <v>3</v>
      </c>
      <c r="N2138" t="str">
        <f t="shared" si="101"/>
        <v>New</v>
      </c>
    </row>
    <row r="2139" spans="1:14" x14ac:dyDescent="0.35">
      <c r="A2139">
        <v>2138</v>
      </c>
      <c r="B2139">
        <v>28</v>
      </c>
      <c r="C2139" t="str">
        <f t="shared" si="99"/>
        <v>Youth</v>
      </c>
      <c r="D2139" t="s">
        <v>11</v>
      </c>
      <c r="E2139" t="s">
        <v>33</v>
      </c>
      <c r="F2139" t="s">
        <v>40</v>
      </c>
      <c r="G2139">
        <v>235.98</v>
      </c>
      <c r="H2139" t="s">
        <v>24</v>
      </c>
      <c r="I2139" t="s">
        <v>15</v>
      </c>
      <c r="J2139">
        <v>2.6</v>
      </c>
      <c r="K2139">
        <v>26</v>
      </c>
      <c r="L2139">
        <f t="shared" si="100"/>
        <v>174.62519999999998</v>
      </c>
      <c r="M2139">
        <v>8</v>
      </c>
      <c r="N2139" t="str">
        <f t="shared" si="101"/>
        <v>Loyal</v>
      </c>
    </row>
    <row r="2140" spans="1:14" x14ac:dyDescent="0.35">
      <c r="A2140">
        <v>2139</v>
      </c>
      <c r="B2140">
        <v>65</v>
      </c>
      <c r="C2140" t="str">
        <f t="shared" si="99"/>
        <v>Senior</v>
      </c>
      <c r="D2140" t="s">
        <v>11</v>
      </c>
      <c r="E2140" t="s">
        <v>33</v>
      </c>
      <c r="F2140" t="s">
        <v>40</v>
      </c>
      <c r="G2140">
        <v>216.73</v>
      </c>
      <c r="H2140" t="s">
        <v>31</v>
      </c>
      <c r="I2140" t="s">
        <v>15</v>
      </c>
      <c r="J2140">
        <v>5</v>
      </c>
      <c r="K2140">
        <v>16</v>
      </c>
      <c r="L2140">
        <f t="shared" si="100"/>
        <v>182.05319999999998</v>
      </c>
      <c r="M2140">
        <v>3</v>
      </c>
      <c r="N2140" t="str">
        <f t="shared" si="101"/>
        <v>New</v>
      </c>
    </row>
    <row r="2141" spans="1:14" x14ac:dyDescent="0.35">
      <c r="A2141">
        <v>2140</v>
      </c>
      <c r="B2141">
        <v>57</v>
      </c>
      <c r="C2141" t="str">
        <f t="shared" si="99"/>
        <v>Adult</v>
      </c>
      <c r="D2141" t="s">
        <v>16</v>
      </c>
      <c r="E2141" t="s">
        <v>17</v>
      </c>
      <c r="F2141" t="s">
        <v>48</v>
      </c>
      <c r="G2141">
        <v>76.98</v>
      </c>
      <c r="H2141" t="s">
        <v>31</v>
      </c>
      <c r="I2141" t="s">
        <v>15</v>
      </c>
      <c r="J2141">
        <v>3.9</v>
      </c>
      <c r="K2141">
        <v>24</v>
      </c>
      <c r="L2141">
        <f t="shared" si="100"/>
        <v>58.504800000000003</v>
      </c>
      <c r="M2141">
        <v>7</v>
      </c>
      <c r="N2141" t="str">
        <f t="shared" si="101"/>
        <v>Regular</v>
      </c>
    </row>
    <row r="2142" spans="1:14" x14ac:dyDescent="0.35">
      <c r="A2142">
        <v>2141</v>
      </c>
      <c r="B2142">
        <v>66</v>
      </c>
      <c r="C2142" t="str">
        <f t="shared" si="99"/>
        <v>Senior</v>
      </c>
      <c r="D2142" t="s">
        <v>11</v>
      </c>
      <c r="E2142" t="s">
        <v>41</v>
      </c>
      <c r="F2142" t="s">
        <v>46</v>
      </c>
      <c r="G2142">
        <v>104.42</v>
      </c>
      <c r="H2142" t="s">
        <v>19</v>
      </c>
      <c r="I2142" t="s">
        <v>15</v>
      </c>
      <c r="J2142">
        <v>3.6</v>
      </c>
      <c r="K2142">
        <v>10</v>
      </c>
      <c r="L2142">
        <f t="shared" si="100"/>
        <v>93.978000000000009</v>
      </c>
      <c r="M2142">
        <v>5</v>
      </c>
      <c r="N2142" t="str">
        <f t="shared" si="101"/>
        <v>Regular</v>
      </c>
    </row>
    <row r="2143" spans="1:14" x14ac:dyDescent="0.35">
      <c r="A2143">
        <v>2142</v>
      </c>
      <c r="B2143">
        <v>30</v>
      </c>
      <c r="C2143" t="str">
        <f t="shared" si="99"/>
        <v>Youth</v>
      </c>
      <c r="D2143" t="s">
        <v>11</v>
      </c>
      <c r="E2143" t="s">
        <v>41</v>
      </c>
      <c r="F2143" t="s">
        <v>42</v>
      </c>
      <c r="G2143">
        <v>190.44</v>
      </c>
      <c r="H2143" t="s">
        <v>24</v>
      </c>
      <c r="I2143" t="s">
        <v>15</v>
      </c>
      <c r="J2143">
        <v>4</v>
      </c>
      <c r="K2143">
        <v>8</v>
      </c>
      <c r="L2143">
        <f t="shared" si="100"/>
        <v>175.20480000000001</v>
      </c>
      <c r="M2143">
        <v>4</v>
      </c>
      <c r="N2143" t="str">
        <f t="shared" si="101"/>
        <v>Regular</v>
      </c>
    </row>
    <row r="2144" spans="1:14" x14ac:dyDescent="0.35">
      <c r="A2144">
        <v>2143</v>
      </c>
      <c r="B2144">
        <v>52</v>
      </c>
      <c r="C2144" t="str">
        <f t="shared" si="99"/>
        <v>Adult</v>
      </c>
      <c r="D2144" t="s">
        <v>16</v>
      </c>
      <c r="E2144" t="s">
        <v>33</v>
      </c>
      <c r="F2144" t="s">
        <v>38</v>
      </c>
      <c r="G2144">
        <v>140.52000000000001</v>
      </c>
      <c r="H2144" t="s">
        <v>19</v>
      </c>
      <c r="I2144" t="s">
        <v>15</v>
      </c>
      <c r="J2144">
        <v>3.5</v>
      </c>
      <c r="K2144">
        <v>15</v>
      </c>
      <c r="L2144">
        <f t="shared" si="100"/>
        <v>119.44200000000001</v>
      </c>
      <c r="M2144">
        <v>5</v>
      </c>
      <c r="N2144" t="str">
        <f t="shared" si="101"/>
        <v>Regular</v>
      </c>
    </row>
    <row r="2145" spans="1:14" x14ac:dyDescent="0.35">
      <c r="A2145">
        <v>2144</v>
      </c>
      <c r="B2145">
        <v>59</v>
      </c>
      <c r="C2145" t="str">
        <f t="shared" si="99"/>
        <v>Adult</v>
      </c>
      <c r="D2145" t="s">
        <v>16</v>
      </c>
      <c r="E2145" t="s">
        <v>33</v>
      </c>
      <c r="F2145" t="s">
        <v>38</v>
      </c>
      <c r="G2145">
        <v>109.11</v>
      </c>
      <c r="H2145" t="s">
        <v>24</v>
      </c>
      <c r="I2145" t="s">
        <v>15</v>
      </c>
      <c r="J2145">
        <v>4.3</v>
      </c>
      <c r="K2145">
        <v>8</v>
      </c>
      <c r="L2145">
        <f t="shared" si="100"/>
        <v>100.38120000000001</v>
      </c>
      <c r="M2145">
        <v>4</v>
      </c>
      <c r="N2145" t="str">
        <f t="shared" si="101"/>
        <v>Regular</v>
      </c>
    </row>
    <row r="2146" spans="1:14" x14ac:dyDescent="0.35">
      <c r="A2146">
        <v>2145</v>
      </c>
      <c r="B2146">
        <v>46</v>
      </c>
      <c r="C2146" t="str">
        <f t="shared" si="99"/>
        <v>Adult</v>
      </c>
      <c r="D2146" t="s">
        <v>16</v>
      </c>
      <c r="E2146" t="s">
        <v>20</v>
      </c>
      <c r="F2146" t="s">
        <v>21</v>
      </c>
      <c r="G2146">
        <v>179.23</v>
      </c>
      <c r="H2146" t="s">
        <v>19</v>
      </c>
      <c r="I2146" t="s">
        <v>15</v>
      </c>
      <c r="J2146">
        <v>3.8</v>
      </c>
      <c r="K2146">
        <v>12</v>
      </c>
      <c r="L2146">
        <f t="shared" si="100"/>
        <v>157.72239999999999</v>
      </c>
      <c r="M2146">
        <v>6</v>
      </c>
      <c r="N2146" t="str">
        <f t="shared" si="101"/>
        <v>Regular</v>
      </c>
    </row>
    <row r="2147" spans="1:14" x14ac:dyDescent="0.35">
      <c r="A2147">
        <v>2146</v>
      </c>
      <c r="B2147">
        <v>40</v>
      </c>
      <c r="C2147" t="str">
        <f t="shared" si="99"/>
        <v>Adult</v>
      </c>
      <c r="D2147" t="s">
        <v>16</v>
      </c>
      <c r="E2147" t="s">
        <v>25</v>
      </c>
      <c r="F2147" t="s">
        <v>54</v>
      </c>
      <c r="G2147">
        <v>23.38</v>
      </c>
      <c r="H2147" t="s">
        <v>14</v>
      </c>
      <c r="I2147" t="s">
        <v>37</v>
      </c>
      <c r="J2147">
        <v>2.9</v>
      </c>
      <c r="K2147">
        <v>12</v>
      </c>
      <c r="L2147">
        <f t="shared" si="100"/>
        <v>20.574400000000001</v>
      </c>
      <c r="M2147">
        <v>6</v>
      </c>
      <c r="N2147" t="str">
        <f t="shared" si="101"/>
        <v>Regular</v>
      </c>
    </row>
    <row r="2148" spans="1:14" x14ac:dyDescent="0.35">
      <c r="A2148">
        <v>2147</v>
      </c>
      <c r="B2148">
        <v>60</v>
      </c>
      <c r="C2148" t="str">
        <f t="shared" si="99"/>
        <v>Adult</v>
      </c>
      <c r="D2148" t="s">
        <v>11</v>
      </c>
      <c r="E2148" t="s">
        <v>20</v>
      </c>
      <c r="F2148" t="s">
        <v>36</v>
      </c>
      <c r="G2148">
        <v>243.83</v>
      </c>
      <c r="H2148" t="s">
        <v>14</v>
      </c>
      <c r="I2148" t="s">
        <v>15</v>
      </c>
      <c r="J2148">
        <v>4</v>
      </c>
      <c r="K2148">
        <v>20</v>
      </c>
      <c r="L2148">
        <f t="shared" si="100"/>
        <v>195.06400000000002</v>
      </c>
      <c r="M2148">
        <v>5</v>
      </c>
      <c r="N2148" t="str">
        <f t="shared" si="101"/>
        <v>Regular</v>
      </c>
    </row>
    <row r="2149" spans="1:14" x14ac:dyDescent="0.35">
      <c r="A2149">
        <v>2148</v>
      </c>
      <c r="B2149">
        <v>57</v>
      </c>
      <c r="C2149" t="str">
        <f t="shared" si="99"/>
        <v>Adult</v>
      </c>
      <c r="D2149" t="s">
        <v>16</v>
      </c>
      <c r="E2149" t="s">
        <v>20</v>
      </c>
      <c r="F2149" t="s">
        <v>36</v>
      </c>
      <c r="G2149">
        <v>111.73</v>
      </c>
      <c r="H2149" t="s">
        <v>19</v>
      </c>
      <c r="I2149" t="s">
        <v>15</v>
      </c>
      <c r="J2149">
        <v>5</v>
      </c>
      <c r="K2149">
        <v>26</v>
      </c>
      <c r="L2149">
        <f t="shared" si="100"/>
        <v>82.680199999999999</v>
      </c>
      <c r="M2149">
        <v>8</v>
      </c>
      <c r="N2149" t="str">
        <f t="shared" si="101"/>
        <v>Loyal</v>
      </c>
    </row>
    <row r="2150" spans="1:14" x14ac:dyDescent="0.35">
      <c r="A2150">
        <v>2149</v>
      </c>
      <c r="B2150">
        <v>46</v>
      </c>
      <c r="C2150" t="str">
        <f t="shared" si="99"/>
        <v>Adult</v>
      </c>
      <c r="D2150" t="s">
        <v>16</v>
      </c>
      <c r="E2150" t="s">
        <v>17</v>
      </c>
      <c r="F2150" t="s">
        <v>35</v>
      </c>
      <c r="G2150">
        <v>86.78</v>
      </c>
      <c r="H2150" t="s">
        <v>24</v>
      </c>
      <c r="I2150" t="s">
        <v>15</v>
      </c>
      <c r="J2150">
        <v>4.4000000000000004</v>
      </c>
      <c r="K2150">
        <v>12</v>
      </c>
      <c r="L2150">
        <f t="shared" si="100"/>
        <v>76.366399999999999</v>
      </c>
      <c r="M2150">
        <v>6</v>
      </c>
      <c r="N2150" t="str">
        <f t="shared" si="101"/>
        <v>Regular</v>
      </c>
    </row>
    <row r="2151" spans="1:14" x14ac:dyDescent="0.35">
      <c r="A2151">
        <v>2150</v>
      </c>
      <c r="B2151">
        <v>66</v>
      </c>
      <c r="C2151" t="str">
        <f t="shared" si="99"/>
        <v>Senior</v>
      </c>
      <c r="D2151" t="s">
        <v>16</v>
      </c>
      <c r="E2151" t="s">
        <v>33</v>
      </c>
      <c r="F2151" t="s">
        <v>34</v>
      </c>
      <c r="G2151">
        <v>115.51</v>
      </c>
      <c r="H2151" t="s">
        <v>14</v>
      </c>
      <c r="I2151" t="s">
        <v>15</v>
      </c>
      <c r="J2151">
        <v>3.8</v>
      </c>
      <c r="K2151">
        <v>8</v>
      </c>
      <c r="L2151">
        <f t="shared" si="100"/>
        <v>106.26920000000001</v>
      </c>
      <c r="M2151">
        <v>4</v>
      </c>
      <c r="N2151" t="str">
        <f t="shared" si="101"/>
        <v>Regular</v>
      </c>
    </row>
    <row r="2152" spans="1:14" x14ac:dyDescent="0.35">
      <c r="A2152">
        <v>2151</v>
      </c>
      <c r="B2152">
        <v>25</v>
      </c>
      <c r="C2152" t="str">
        <f t="shared" si="99"/>
        <v>Youth</v>
      </c>
      <c r="D2152" t="s">
        <v>16</v>
      </c>
      <c r="E2152" t="s">
        <v>27</v>
      </c>
      <c r="F2152" t="s">
        <v>32</v>
      </c>
      <c r="G2152">
        <v>2459.81</v>
      </c>
      <c r="H2152" t="s">
        <v>24</v>
      </c>
      <c r="I2152" t="s">
        <v>15</v>
      </c>
      <c r="J2152">
        <v>4.0999999999999996</v>
      </c>
      <c r="K2152">
        <v>6</v>
      </c>
      <c r="L2152">
        <f t="shared" si="100"/>
        <v>2312.2213999999999</v>
      </c>
      <c r="M2152">
        <v>3</v>
      </c>
      <c r="N2152" t="str">
        <f t="shared" si="101"/>
        <v>New</v>
      </c>
    </row>
    <row r="2153" spans="1:14" x14ac:dyDescent="0.35">
      <c r="A2153">
        <v>2152</v>
      </c>
      <c r="B2153">
        <v>43</v>
      </c>
      <c r="C2153" t="str">
        <f t="shared" si="99"/>
        <v>Adult</v>
      </c>
      <c r="D2153" t="s">
        <v>11</v>
      </c>
      <c r="E2153" t="s">
        <v>41</v>
      </c>
      <c r="F2153" t="s">
        <v>44</v>
      </c>
      <c r="G2153">
        <v>89.23</v>
      </c>
      <c r="H2153" t="s">
        <v>31</v>
      </c>
      <c r="I2153" t="s">
        <v>15</v>
      </c>
      <c r="J2153">
        <v>3.2</v>
      </c>
      <c r="K2153">
        <v>10</v>
      </c>
      <c r="L2153">
        <f t="shared" si="100"/>
        <v>80.307000000000002</v>
      </c>
      <c r="M2153">
        <v>5</v>
      </c>
      <c r="N2153" t="str">
        <f t="shared" si="101"/>
        <v>Regular</v>
      </c>
    </row>
    <row r="2154" spans="1:14" x14ac:dyDescent="0.35">
      <c r="A2154">
        <v>2153</v>
      </c>
      <c r="B2154">
        <v>48</v>
      </c>
      <c r="C2154" t="str">
        <f t="shared" si="99"/>
        <v>Adult</v>
      </c>
      <c r="D2154" t="s">
        <v>11</v>
      </c>
      <c r="E2154" t="s">
        <v>29</v>
      </c>
      <c r="F2154" t="s">
        <v>51</v>
      </c>
      <c r="G2154">
        <v>108.66</v>
      </c>
      <c r="H2154" t="s">
        <v>19</v>
      </c>
      <c r="I2154" t="s">
        <v>15</v>
      </c>
      <c r="J2154">
        <v>3.7</v>
      </c>
      <c r="K2154">
        <v>12</v>
      </c>
      <c r="L2154">
        <f t="shared" si="100"/>
        <v>95.620800000000003</v>
      </c>
      <c r="M2154">
        <v>6</v>
      </c>
      <c r="N2154" t="str">
        <f t="shared" si="101"/>
        <v>Regular</v>
      </c>
    </row>
    <row r="2155" spans="1:14" x14ac:dyDescent="0.35">
      <c r="A2155">
        <v>2154</v>
      </c>
      <c r="B2155">
        <v>32</v>
      </c>
      <c r="C2155" t="str">
        <f t="shared" si="99"/>
        <v>Adult</v>
      </c>
      <c r="D2155" t="s">
        <v>11</v>
      </c>
      <c r="E2155" t="s">
        <v>20</v>
      </c>
      <c r="F2155" t="s">
        <v>39</v>
      </c>
      <c r="G2155">
        <v>156.96</v>
      </c>
      <c r="H2155" t="s">
        <v>14</v>
      </c>
      <c r="I2155" t="s">
        <v>15</v>
      </c>
      <c r="J2155">
        <v>3.4</v>
      </c>
      <c r="K2155">
        <v>22</v>
      </c>
      <c r="L2155">
        <f t="shared" si="100"/>
        <v>122.42880000000001</v>
      </c>
      <c r="M2155">
        <v>6</v>
      </c>
      <c r="N2155" t="str">
        <f t="shared" si="101"/>
        <v>Regular</v>
      </c>
    </row>
    <row r="2156" spans="1:14" x14ac:dyDescent="0.35">
      <c r="A2156">
        <v>2155</v>
      </c>
      <c r="B2156">
        <v>51</v>
      </c>
      <c r="C2156" t="str">
        <f t="shared" si="99"/>
        <v>Adult</v>
      </c>
      <c r="D2156" t="s">
        <v>11</v>
      </c>
      <c r="E2156" t="s">
        <v>41</v>
      </c>
      <c r="F2156" t="s">
        <v>45</v>
      </c>
      <c r="G2156">
        <v>162.77000000000001</v>
      </c>
      <c r="H2156" t="s">
        <v>24</v>
      </c>
      <c r="I2156" t="s">
        <v>15</v>
      </c>
      <c r="J2156">
        <v>3.3</v>
      </c>
      <c r="K2156">
        <v>20</v>
      </c>
      <c r="L2156">
        <f t="shared" si="100"/>
        <v>130.21600000000001</v>
      </c>
      <c r="M2156">
        <v>5</v>
      </c>
      <c r="N2156" t="str">
        <f t="shared" si="101"/>
        <v>Regular</v>
      </c>
    </row>
    <row r="2157" spans="1:14" x14ac:dyDescent="0.35">
      <c r="A2157">
        <v>2156</v>
      </c>
      <c r="B2157">
        <v>24</v>
      </c>
      <c r="C2157" t="str">
        <f t="shared" si="99"/>
        <v>Youth</v>
      </c>
      <c r="D2157" t="s">
        <v>11</v>
      </c>
      <c r="E2157" t="s">
        <v>41</v>
      </c>
      <c r="F2157" t="s">
        <v>46</v>
      </c>
      <c r="G2157">
        <v>134.74</v>
      </c>
      <c r="H2157" t="s">
        <v>31</v>
      </c>
      <c r="I2157" t="s">
        <v>15</v>
      </c>
      <c r="J2157">
        <v>4.4000000000000004</v>
      </c>
      <c r="K2157">
        <v>12</v>
      </c>
      <c r="L2157">
        <f t="shared" si="100"/>
        <v>118.5712</v>
      </c>
      <c r="M2157">
        <v>6</v>
      </c>
      <c r="N2157" t="str">
        <f t="shared" si="101"/>
        <v>Regular</v>
      </c>
    </row>
    <row r="2158" spans="1:14" x14ac:dyDescent="0.35">
      <c r="A2158">
        <v>2157</v>
      </c>
      <c r="B2158">
        <v>25</v>
      </c>
      <c r="C2158" t="str">
        <f t="shared" si="99"/>
        <v>Youth</v>
      </c>
      <c r="D2158" t="s">
        <v>11</v>
      </c>
      <c r="E2158" t="s">
        <v>41</v>
      </c>
      <c r="F2158" t="s">
        <v>44</v>
      </c>
      <c r="G2158">
        <v>62.82</v>
      </c>
      <c r="H2158" t="s">
        <v>31</v>
      </c>
      <c r="I2158" t="s">
        <v>15</v>
      </c>
      <c r="J2158">
        <v>3.4</v>
      </c>
      <c r="K2158">
        <v>15</v>
      </c>
      <c r="L2158">
        <f t="shared" si="100"/>
        <v>53.396999999999998</v>
      </c>
      <c r="M2158">
        <v>5</v>
      </c>
      <c r="N2158" t="str">
        <f t="shared" si="101"/>
        <v>Regular</v>
      </c>
    </row>
    <row r="2159" spans="1:14" x14ac:dyDescent="0.35">
      <c r="A2159">
        <v>2158</v>
      </c>
      <c r="B2159">
        <v>21</v>
      </c>
      <c r="C2159" t="str">
        <f t="shared" si="99"/>
        <v>Youth</v>
      </c>
      <c r="D2159" t="s">
        <v>16</v>
      </c>
      <c r="E2159" t="s">
        <v>17</v>
      </c>
      <c r="F2159" t="s">
        <v>48</v>
      </c>
      <c r="G2159">
        <v>185.24</v>
      </c>
      <c r="H2159" t="s">
        <v>31</v>
      </c>
      <c r="I2159" t="s">
        <v>15</v>
      </c>
      <c r="J2159">
        <v>3.7</v>
      </c>
      <c r="K2159">
        <v>20</v>
      </c>
      <c r="L2159">
        <f t="shared" si="100"/>
        <v>148.19200000000001</v>
      </c>
      <c r="M2159">
        <v>5</v>
      </c>
      <c r="N2159" t="str">
        <f t="shared" si="101"/>
        <v>Regular</v>
      </c>
    </row>
    <row r="2160" spans="1:14" x14ac:dyDescent="0.35">
      <c r="A2160">
        <v>2159</v>
      </c>
      <c r="B2160">
        <v>21</v>
      </c>
      <c r="C2160" t="str">
        <f t="shared" si="99"/>
        <v>Youth</v>
      </c>
      <c r="D2160" t="s">
        <v>11</v>
      </c>
      <c r="E2160" t="s">
        <v>29</v>
      </c>
      <c r="F2160" t="s">
        <v>30</v>
      </c>
      <c r="G2160">
        <v>52.12</v>
      </c>
      <c r="H2160" t="s">
        <v>31</v>
      </c>
      <c r="I2160" t="s">
        <v>15</v>
      </c>
      <c r="J2160">
        <v>2.2000000000000002</v>
      </c>
      <c r="K2160">
        <v>14</v>
      </c>
      <c r="L2160">
        <f t="shared" si="100"/>
        <v>44.8232</v>
      </c>
      <c r="M2160">
        <v>7</v>
      </c>
      <c r="N2160" t="str">
        <f t="shared" si="101"/>
        <v>Regular</v>
      </c>
    </row>
    <row r="2161" spans="1:14" x14ac:dyDescent="0.35">
      <c r="A2161">
        <v>2160</v>
      </c>
      <c r="B2161">
        <v>26</v>
      </c>
      <c r="C2161" t="str">
        <f t="shared" si="99"/>
        <v>Youth</v>
      </c>
      <c r="D2161" t="s">
        <v>16</v>
      </c>
      <c r="E2161" t="s">
        <v>17</v>
      </c>
      <c r="F2161" t="s">
        <v>42</v>
      </c>
      <c r="G2161">
        <v>117.39</v>
      </c>
      <c r="H2161" t="s">
        <v>24</v>
      </c>
      <c r="I2161" t="s">
        <v>15</v>
      </c>
      <c r="J2161">
        <v>4.0999999999999996</v>
      </c>
      <c r="K2161">
        <v>17</v>
      </c>
      <c r="L2161">
        <f t="shared" si="100"/>
        <v>97.433700000000002</v>
      </c>
      <c r="M2161">
        <v>6</v>
      </c>
      <c r="N2161" t="str">
        <f t="shared" si="101"/>
        <v>Regular</v>
      </c>
    </row>
    <row r="2162" spans="1:14" x14ac:dyDescent="0.35">
      <c r="A2162">
        <v>2161</v>
      </c>
      <c r="B2162">
        <v>64</v>
      </c>
      <c r="C2162" t="str">
        <f t="shared" si="99"/>
        <v>Senior</v>
      </c>
      <c r="D2162" t="s">
        <v>16</v>
      </c>
      <c r="E2162" t="s">
        <v>27</v>
      </c>
      <c r="F2162" t="s">
        <v>53</v>
      </c>
      <c r="G2162">
        <v>1748.62</v>
      </c>
      <c r="H2162" t="s">
        <v>19</v>
      </c>
      <c r="I2162" t="s">
        <v>15</v>
      </c>
      <c r="J2162">
        <v>4.5999999999999996</v>
      </c>
      <c r="K2162">
        <v>13</v>
      </c>
      <c r="L2162">
        <f t="shared" si="100"/>
        <v>1521.2993999999999</v>
      </c>
      <c r="M2162">
        <v>4</v>
      </c>
      <c r="N2162" t="str">
        <f t="shared" si="101"/>
        <v>Regular</v>
      </c>
    </row>
    <row r="2163" spans="1:14" x14ac:dyDescent="0.35">
      <c r="A2163">
        <v>2162</v>
      </c>
      <c r="B2163">
        <v>47</v>
      </c>
      <c r="C2163" t="str">
        <f t="shared" si="99"/>
        <v>Adult</v>
      </c>
      <c r="D2163" t="s">
        <v>11</v>
      </c>
      <c r="E2163" t="s">
        <v>41</v>
      </c>
      <c r="F2163" t="s">
        <v>45</v>
      </c>
      <c r="G2163">
        <v>156.93</v>
      </c>
      <c r="H2163" t="s">
        <v>14</v>
      </c>
      <c r="I2163" t="s">
        <v>15</v>
      </c>
      <c r="J2163">
        <v>3.4</v>
      </c>
      <c r="K2163">
        <v>11</v>
      </c>
      <c r="L2163">
        <f t="shared" si="100"/>
        <v>139.6677</v>
      </c>
      <c r="M2163">
        <v>3</v>
      </c>
      <c r="N2163" t="str">
        <f t="shared" si="101"/>
        <v>New</v>
      </c>
    </row>
    <row r="2164" spans="1:14" x14ac:dyDescent="0.35">
      <c r="A2164">
        <v>2163</v>
      </c>
      <c r="B2164">
        <v>58</v>
      </c>
      <c r="C2164" t="str">
        <f t="shared" si="99"/>
        <v>Adult</v>
      </c>
      <c r="D2164" t="s">
        <v>11</v>
      </c>
      <c r="E2164" t="s">
        <v>25</v>
      </c>
      <c r="F2164" t="s">
        <v>54</v>
      </c>
      <c r="G2164">
        <v>10.97</v>
      </c>
      <c r="H2164" t="s">
        <v>14</v>
      </c>
      <c r="I2164" t="s">
        <v>15</v>
      </c>
      <c r="J2164">
        <v>3.3</v>
      </c>
      <c r="K2164">
        <v>10</v>
      </c>
      <c r="L2164">
        <f t="shared" si="100"/>
        <v>9.8730000000000011</v>
      </c>
      <c r="M2164">
        <v>5</v>
      </c>
      <c r="N2164" t="str">
        <f t="shared" si="101"/>
        <v>Regular</v>
      </c>
    </row>
    <row r="2165" spans="1:14" x14ac:dyDescent="0.35">
      <c r="A2165">
        <v>2164</v>
      </c>
      <c r="B2165">
        <v>38</v>
      </c>
      <c r="C2165" t="str">
        <f t="shared" si="99"/>
        <v>Adult</v>
      </c>
      <c r="D2165" t="s">
        <v>16</v>
      </c>
      <c r="E2165" t="s">
        <v>17</v>
      </c>
      <c r="F2165" t="s">
        <v>48</v>
      </c>
      <c r="G2165">
        <v>196.58</v>
      </c>
      <c r="H2165" t="s">
        <v>31</v>
      </c>
      <c r="I2165" t="s">
        <v>15</v>
      </c>
      <c r="J2165">
        <v>4.0999999999999996</v>
      </c>
      <c r="K2165">
        <v>15</v>
      </c>
      <c r="L2165">
        <f t="shared" si="100"/>
        <v>167.09300000000002</v>
      </c>
      <c r="M2165">
        <v>5</v>
      </c>
      <c r="N2165" t="str">
        <f t="shared" si="101"/>
        <v>Regular</v>
      </c>
    </row>
    <row r="2166" spans="1:14" x14ac:dyDescent="0.35">
      <c r="A2166">
        <v>2165</v>
      </c>
      <c r="B2166">
        <v>33</v>
      </c>
      <c r="C2166" t="str">
        <f t="shared" si="99"/>
        <v>Adult</v>
      </c>
      <c r="D2166" t="s">
        <v>11</v>
      </c>
      <c r="E2166" t="s">
        <v>29</v>
      </c>
      <c r="F2166" t="s">
        <v>55</v>
      </c>
      <c r="G2166">
        <v>124.79</v>
      </c>
      <c r="H2166" t="s">
        <v>19</v>
      </c>
      <c r="I2166" t="s">
        <v>15</v>
      </c>
      <c r="J2166">
        <v>3.2</v>
      </c>
      <c r="K2166">
        <v>13</v>
      </c>
      <c r="L2166">
        <f t="shared" si="100"/>
        <v>108.5673</v>
      </c>
      <c r="M2166">
        <v>4</v>
      </c>
      <c r="N2166" t="str">
        <f t="shared" si="101"/>
        <v>Regular</v>
      </c>
    </row>
    <row r="2167" spans="1:14" x14ac:dyDescent="0.35">
      <c r="A2167">
        <v>2166</v>
      </c>
      <c r="B2167">
        <v>58</v>
      </c>
      <c r="C2167" t="str">
        <f t="shared" si="99"/>
        <v>Adult</v>
      </c>
      <c r="D2167" t="s">
        <v>16</v>
      </c>
      <c r="E2167" t="s">
        <v>17</v>
      </c>
      <c r="F2167" t="s">
        <v>18</v>
      </c>
      <c r="G2167">
        <v>126.22</v>
      </c>
      <c r="H2167" t="s">
        <v>14</v>
      </c>
      <c r="I2167" t="s">
        <v>15</v>
      </c>
      <c r="J2167">
        <v>4.9000000000000004</v>
      </c>
      <c r="K2167">
        <v>16</v>
      </c>
      <c r="L2167">
        <f t="shared" si="100"/>
        <v>106.0248</v>
      </c>
      <c r="M2167">
        <v>3</v>
      </c>
      <c r="N2167" t="str">
        <f t="shared" si="101"/>
        <v>New</v>
      </c>
    </row>
    <row r="2168" spans="1:14" x14ac:dyDescent="0.35">
      <c r="A2168">
        <v>2167</v>
      </c>
      <c r="B2168">
        <v>43</v>
      </c>
      <c r="C2168" t="str">
        <f t="shared" si="99"/>
        <v>Adult</v>
      </c>
      <c r="D2168" t="s">
        <v>11</v>
      </c>
      <c r="E2168" t="s">
        <v>29</v>
      </c>
      <c r="F2168" t="s">
        <v>55</v>
      </c>
      <c r="G2168">
        <v>55.3</v>
      </c>
      <c r="H2168" t="s">
        <v>24</v>
      </c>
      <c r="I2168" t="s">
        <v>37</v>
      </c>
      <c r="J2168">
        <v>2.7</v>
      </c>
      <c r="K2168">
        <v>8</v>
      </c>
      <c r="L2168">
        <f t="shared" si="100"/>
        <v>50.875999999999998</v>
      </c>
      <c r="M2168">
        <v>4</v>
      </c>
      <c r="N2168" t="str">
        <f t="shared" si="101"/>
        <v>Regular</v>
      </c>
    </row>
    <row r="2169" spans="1:14" x14ac:dyDescent="0.35">
      <c r="A2169">
        <v>2168</v>
      </c>
      <c r="B2169">
        <v>49</v>
      </c>
      <c r="C2169" t="str">
        <f t="shared" si="99"/>
        <v>Adult</v>
      </c>
      <c r="D2169" t="s">
        <v>11</v>
      </c>
      <c r="E2169" t="s">
        <v>41</v>
      </c>
      <c r="F2169" t="s">
        <v>42</v>
      </c>
      <c r="G2169">
        <v>153.03</v>
      </c>
      <c r="H2169" t="s">
        <v>19</v>
      </c>
      <c r="I2169" t="s">
        <v>15</v>
      </c>
      <c r="J2169">
        <v>3.9</v>
      </c>
      <c r="K2169">
        <v>23</v>
      </c>
      <c r="L2169">
        <f t="shared" si="100"/>
        <v>117.8331</v>
      </c>
      <c r="M2169">
        <v>9</v>
      </c>
      <c r="N2169" t="str">
        <f t="shared" si="101"/>
        <v>Loyal</v>
      </c>
    </row>
    <row r="2170" spans="1:14" x14ac:dyDescent="0.35">
      <c r="A2170">
        <v>2169</v>
      </c>
      <c r="B2170">
        <v>36</v>
      </c>
      <c r="C2170" t="str">
        <f t="shared" si="99"/>
        <v>Adult</v>
      </c>
      <c r="D2170" t="s">
        <v>16</v>
      </c>
      <c r="E2170" t="s">
        <v>27</v>
      </c>
      <c r="F2170" t="s">
        <v>28</v>
      </c>
      <c r="G2170">
        <v>2044.39</v>
      </c>
      <c r="H2170" t="s">
        <v>24</v>
      </c>
      <c r="I2170" t="s">
        <v>15</v>
      </c>
      <c r="J2170">
        <v>3.5</v>
      </c>
      <c r="K2170">
        <v>28</v>
      </c>
      <c r="L2170">
        <f t="shared" si="100"/>
        <v>1471.9608000000001</v>
      </c>
      <c r="M2170">
        <v>9</v>
      </c>
      <c r="N2170" t="str">
        <f t="shared" si="101"/>
        <v>Loyal</v>
      </c>
    </row>
    <row r="2171" spans="1:14" x14ac:dyDescent="0.35">
      <c r="A2171">
        <v>2170</v>
      </c>
      <c r="B2171">
        <v>69</v>
      </c>
      <c r="C2171" t="str">
        <f t="shared" si="99"/>
        <v>Senior</v>
      </c>
      <c r="D2171" t="s">
        <v>11</v>
      </c>
      <c r="E2171" t="s">
        <v>20</v>
      </c>
      <c r="F2171" t="s">
        <v>21</v>
      </c>
      <c r="G2171">
        <v>125.7</v>
      </c>
      <c r="H2171" t="s">
        <v>24</v>
      </c>
      <c r="I2171" t="s">
        <v>15</v>
      </c>
      <c r="J2171">
        <v>4.4000000000000004</v>
      </c>
      <c r="K2171">
        <v>15</v>
      </c>
      <c r="L2171">
        <f t="shared" si="100"/>
        <v>106.845</v>
      </c>
      <c r="M2171">
        <v>5</v>
      </c>
      <c r="N2171" t="str">
        <f t="shared" si="101"/>
        <v>Regular</v>
      </c>
    </row>
    <row r="2172" spans="1:14" x14ac:dyDescent="0.35">
      <c r="A2172">
        <v>2171</v>
      </c>
      <c r="B2172">
        <v>50</v>
      </c>
      <c r="C2172" t="str">
        <f t="shared" si="99"/>
        <v>Adult</v>
      </c>
      <c r="D2172" t="s">
        <v>16</v>
      </c>
      <c r="E2172" t="s">
        <v>20</v>
      </c>
      <c r="F2172" t="s">
        <v>21</v>
      </c>
      <c r="G2172">
        <v>57.74</v>
      </c>
      <c r="H2172" t="s">
        <v>31</v>
      </c>
      <c r="I2172" t="s">
        <v>37</v>
      </c>
      <c r="J2172">
        <v>3</v>
      </c>
      <c r="K2172">
        <v>16</v>
      </c>
      <c r="L2172">
        <f t="shared" si="100"/>
        <v>48.501600000000003</v>
      </c>
      <c r="M2172">
        <v>8</v>
      </c>
      <c r="N2172" t="str">
        <f t="shared" si="101"/>
        <v>Loyal</v>
      </c>
    </row>
    <row r="2173" spans="1:14" x14ac:dyDescent="0.35">
      <c r="A2173">
        <v>2172</v>
      </c>
      <c r="B2173">
        <v>35</v>
      </c>
      <c r="C2173" t="str">
        <f t="shared" si="99"/>
        <v>Adult</v>
      </c>
      <c r="D2173" t="s">
        <v>11</v>
      </c>
      <c r="E2173" t="s">
        <v>33</v>
      </c>
      <c r="F2173" t="s">
        <v>34</v>
      </c>
      <c r="G2173">
        <v>42.14</v>
      </c>
      <c r="H2173" t="s">
        <v>31</v>
      </c>
      <c r="I2173" t="s">
        <v>15</v>
      </c>
      <c r="J2173">
        <v>2.9</v>
      </c>
      <c r="K2173">
        <v>17</v>
      </c>
      <c r="L2173">
        <f t="shared" si="100"/>
        <v>34.976199999999999</v>
      </c>
      <c r="M2173">
        <v>6</v>
      </c>
      <c r="N2173" t="str">
        <f t="shared" si="101"/>
        <v>Regular</v>
      </c>
    </row>
    <row r="2174" spans="1:14" x14ac:dyDescent="0.35">
      <c r="A2174">
        <v>2173</v>
      </c>
      <c r="B2174">
        <v>29</v>
      </c>
      <c r="C2174" t="str">
        <f t="shared" si="99"/>
        <v>Youth</v>
      </c>
      <c r="D2174" t="s">
        <v>11</v>
      </c>
      <c r="E2174" t="s">
        <v>12</v>
      </c>
      <c r="F2174" t="s">
        <v>56</v>
      </c>
      <c r="G2174">
        <v>65.650000000000006</v>
      </c>
      <c r="H2174" t="s">
        <v>31</v>
      </c>
      <c r="I2174" t="s">
        <v>37</v>
      </c>
      <c r="J2174">
        <v>3.6</v>
      </c>
      <c r="K2174">
        <v>11</v>
      </c>
      <c r="L2174">
        <f t="shared" si="100"/>
        <v>58.428500000000007</v>
      </c>
      <c r="M2174">
        <v>3</v>
      </c>
      <c r="N2174" t="str">
        <f t="shared" si="101"/>
        <v>New</v>
      </c>
    </row>
    <row r="2175" spans="1:14" x14ac:dyDescent="0.35">
      <c r="A2175">
        <v>2174</v>
      </c>
      <c r="B2175">
        <v>23</v>
      </c>
      <c r="C2175" t="str">
        <f t="shared" si="99"/>
        <v>Youth</v>
      </c>
      <c r="D2175" t="s">
        <v>16</v>
      </c>
      <c r="E2175" t="s">
        <v>27</v>
      </c>
      <c r="F2175" t="s">
        <v>32</v>
      </c>
      <c r="G2175">
        <v>899.3</v>
      </c>
      <c r="H2175" t="s">
        <v>19</v>
      </c>
      <c r="I2175" t="s">
        <v>15</v>
      </c>
      <c r="J2175">
        <v>3.8</v>
      </c>
      <c r="K2175">
        <v>14</v>
      </c>
      <c r="L2175">
        <f t="shared" si="100"/>
        <v>773.39799999999991</v>
      </c>
      <c r="M2175">
        <v>2</v>
      </c>
      <c r="N2175" t="str">
        <f t="shared" si="101"/>
        <v>New</v>
      </c>
    </row>
    <row r="2176" spans="1:14" x14ac:dyDescent="0.35">
      <c r="A2176">
        <v>2175</v>
      </c>
      <c r="B2176">
        <v>70</v>
      </c>
      <c r="C2176" t="str">
        <f t="shared" si="99"/>
        <v>Senior</v>
      </c>
      <c r="D2176" t="s">
        <v>16</v>
      </c>
      <c r="E2176" t="s">
        <v>22</v>
      </c>
      <c r="F2176" t="s">
        <v>43</v>
      </c>
      <c r="G2176">
        <v>189.01</v>
      </c>
      <c r="H2176" t="s">
        <v>19</v>
      </c>
      <c r="I2176" t="s">
        <v>15</v>
      </c>
      <c r="J2176">
        <v>4.8</v>
      </c>
      <c r="K2176">
        <v>24</v>
      </c>
      <c r="L2176">
        <f t="shared" si="100"/>
        <v>143.64759999999998</v>
      </c>
      <c r="M2176">
        <v>7</v>
      </c>
      <c r="N2176" t="str">
        <f t="shared" si="101"/>
        <v>Regular</v>
      </c>
    </row>
    <row r="2177" spans="1:14" x14ac:dyDescent="0.35">
      <c r="A2177">
        <v>2176</v>
      </c>
      <c r="B2177">
        <v>55</v>
      </c>
      <c r="C2177" t="str">
        <f t="shared" si="99"/>
        <v>Adult</v>
      </c>
      <c r="D2177" t="s">
        <v>11</v>
      </c>
      <c r="E2177" t="s">
        <v>12</v>
      </c>
      <c r="F2177" t="s">
        <v>50</v>
      </c>
      <c r="G2177">
        <v>155.94999999999999</v>
      </c>
      <c r="H2177" t="s">
        <v>19</v>
      </c>
      <c r="I2177" t="s">
        <v>15</v>
      </c>
      <c r="J2177">
        <v>3.1</v>
      </c>
      <c r="K2177">
        <v>15</v>
      </c>
      <c r="L2177">
        <f t="shared" si="100"/>
        <v>132.55749999999998</v>
      </c>
      <c r="M2177">
        <v>5</v>
      </c>
      <c r="N2177" t="str">
        <f t="shared" si="101"/>
        <v>Regular</v>
      </c>
    </row>
    <row r="2178" spans="1:14" x14ac:dyDescent="0.35">
      <c r="A2178">
        <v>2177</v>
      </c>
      <c r="B2178">
        <v>28</v>
      </c>
      <c r="C2178" t="str">
        <f t="shared" si="99"/>
        <v>Youth</v>
      </c>
      <c r="D2178" t="s">
        <v>11</v>
      </c>
      <c r="E2178" t="s">
        <v>29</v>
      </c>
      <c r="F2178" t="s">
        <v>51</v>
      </c>
      <c r="G2178">
        <v>90.72</v>
      </c>
      <c r="H2178" t="s">
        <v>24</v>
      </c>
      <c r="I2178" t="s">
        <v>37</v>
      </c>
      <c r="J2178">
        <v>1.4</v>
      </c>
      <c r="K2178">
        <v>8</v>
      </c>
      <c r="L2178">
        <f t="shared" si="100"/>
        <v>83.462400000000002</v>
      </c>
      <c r="M2178">
        <v>4</v>
      </c>
      <c r="N2178" t="str">
        <f t="shared" si="101"/>
        <v>Regular</v>
      </c>
    </row>
    <row r="2179" spans="1:14" x14ac:dyDescent="0.35">
      <c r="A2179">
        <v>2178</v>
      </c>
      <c r="B2179">
        <v>24</v>
      </c>
      <c r="C2179" t="str">
        <f t="shared" ref="C2179:C2242" si="102">IF(B2179&lt;=30,"Youth",IF(B2179&lt;=45,"Adult",IF(B2179&lt;=60,"Adult","Senior")))</f>
        <v>Youth</v>
      </c>
      <c r="D2179" t="s">
        <v>11</v>
      </c>
      <c r="E2179" t="s">
        <v>29</v>
      </c>
      <c r="F2179" t="s">
        <v>51</v>
      </c>
      <c r="G2179">
        <v>58.6</v>
      </c>
      <c r="H2179" t="s">
        <v>24</v>
      </c>
      <c r="I2179" t="s">
        <v>15</v>
      </c>
      <c r="J2179">
        <v>3.1</v>
      </c>
      <c r="K2179">
        <v>17</v>
      </c>
      <c r="L2179">
        <f t="shared" ref="L2179:L2242" si="103">G2179*(1-K2179/100)</f>
        <v>48.637999999999998</v>
      </c>
      <c r="M2179">
        <v>6</v>
      </c>
      <c r="N2179" t="str">
        <f t="shared" ref="N2179:N2242" si="104">IF(M2179&lt;=3,"New",IF(M2179&lt;=7,"Regular","Loyal"))</f>
        <v>Regular</v>
      </c>
    </row>
    <row r="2180" spans="1:14" x14ac:dyDescent="0.35">
      <c r="A2180">
        <v>2179</v>
      </c>
      <c r="B2180">
        <v>69</v>
      </c>
      <c r="C2180" t="str">
        <f t="shared" si="102"/>
        <v>Senior</v>
      </c>
      <c r="D2180" t="s">
        <v>11</v>
      </c>
      <c r="E2180" t="s">
        <v>41</v>
      </c>
      <c r="F2180" t="s">
        <v>45</v>
      </c>
      <c r="G2180">
        <v>58.78</v>
      </c>
      <c r="H2180" t="s">
        <v>31</v>
      </c>
      <c r="I2180" t="s">
        <v>15</v>
      </c>
      <c r="J2180">
        <v>3.7</v>
      </c>
      <c r="K2180">
        <v>18</v>
      </c>
      <c r="L2180">
        <f t="shared" si="103"/>
        <v>48.199600000000004</v>
      </c>
      <c r="M2180">
        <v>4</v>
      </c>
      <c r="N2180" t="str">
        <f t="shared" si="104"/>
        <v>Regular</v>
      </c>
    </row>
    <row r="2181" spans="1:14" x14ac:dyDescent="0.35">
      <c r="A2181">
        <v>2180</v>
      </c>
      <c r="B2181">
        <v>54</v>
      </c>
      <c r="C2181" t="str">
        <f t="shared" si="102"/>
        <v>Adult</v>
      </c>
      <c r="D2181" t="s">
        <v>11</v>
      </c>
      <c r="E2181" t="s">
        <v>33</v>
      </c>
      <c r="F2181" t="s">
        <v>40</v>
      </c>
      <c r="G2181">
        <v>249.37</v>
      </c>
      <c r="H2181" t="s">
        <v>31</v>
      </c>
      <c r="I2181" t="s">
        <v>15</v>
      </c>
      <c r="J2181">
        <v>3.8</v>
      </c>
      <c r="K2181">
        <v>8</v>
      </c>
      <c r="L2181">
        <f t="shared" si="103"/>
        <v>229.4204</v>
      </c>
      <c r="M2181">
        <v>4</v>
      </c>
      <c r="N2181" t="str">
        <f t="shared" si="104"/>
        <v>Regular</v>
      </c>
    </row>
    <row r="2182" spans="1:14" x14ac:dyDescent="0.35">
      <c r="A2182">
        <v>2181</v>
      </c>
      <c r="B2182">
        <v>39</v>
      </c>
      <c r="C2182" t="str">
        <f t="shared" si="102"/>
        <v>Adult</v>
      </c>
      <c r="D2182" t="s">
        <v>16</v>
      </c>
      <c r="E2182" t="s">
        <v>20</v>
      </c>
      <c r="F2182" t="s">
        <v>39</v>
      </c>
      <c r="G2182">
        <v>66.75</v>
      </c>
      <c r="H2182" t="s">
        <v>31</v>
      </c>
      <c r="I2182" t="s">
        <v>15</v>
      </c>
      <c r="J2182">
        <v>3.3</v>
      </c>
      <c r="K2182">
        <v>8</v>
      </c>
      <c r="L2182">
        <f t="shared" si="103"/>
        <v>61.410000000000004</v>
      </c>
      <c r="M2182">
        <v>4</v>
      </c>
      <c r="N2182" t="str">
        <f t="shared" si="104"/>
        <v>Regular</v>
      </c>
    </row>
    <row r="2183" spans="1:14" x14ac:dyDescent="0.35">
      <c r="A2183">
        <v>2182</v>
      </c>
      <c r="B2183">
        <v>21</v>
      </c>
      <c r="C2183" t="str">
        <f t="shared" si="102"/>
        <v>Youth</v>
      </c>
      <c r="D2183" t="s">
        <v>16</v>
      </c>
      <c r="E2183" t="s">
        <v>20</v>
      </c>
      <c r="F2183" t="s">
        <v>39</v>
      </c>
      <c r="G2183">
        <v>232.78</v>
      </c>
      <c r="H2183" t="s">
        <v>19</v>
      </c>
      <c r="I2183" t="s">
        <v>15</v>
      </c>
      <c r="J2183">
        <v>4.0999999999999996</v>
      </c>
      <c r="K2183">
        <v>16</v>
      </c>
      <c r="L2183">
        <f t="shared" si="103"/>
        <v>195.5352</v>
      </c>
      <c r="M2183">
        <v>3</v>
      </c>
      <c r="N2183" t="str">
        <f t="shared" si="104"/>
        <v>New</v>
      </c>
    </row>
    <row r="2184" spans="1:14" x14ac:dyDescent="0.35">
      <c r="A2184">
        <v>2183</v>
      </c>
      <c r="B2184">
        <v>55</v>
      </c>
      <c r="C2184" t="str">
        <f t="shared" si="102"/>
        <v>Adult</v>
      </c>
      <c r="D2184" t="s">
        <v>16</v>
      </c>
      <c r="E2184" t="s">
        <v>22</v>
      </c>
      <c r="F2184" t="s">
        <v>43</v>
      </c>
      <c r="G2184">
        <v>271.73</v>
      </c>
      <c r="H2184" t="s">
        <v>14</v>
      </c>
      <c r="I2184" t="s">
        <v>15</v>
      </c>
      <c r="J2184">
        <v>2.8</v>
      </c>
      <c r="K2184">
        <v>4</v>
      </c>
      <c r="L2184">
        <f t="shared" si="103"/>
        <v>260.86079999999998</v>
      </c>
      <c r="M2184">
        <v>2</v>
      </c>
      <c r="N2184" t="str">
        <f t="shared" si="104"/>
        <v>New</v>
      </c>
    </row>
    <row r="2185" spans="1:14" x14ac:dyDescent="0.35">
      <c r="A2185">
        <v>2184</v>
      </c>
      <c r="B2185">
        <v>32</v>
      </c>
      <c r="C2185" t="str">
        <f t="shared" si="102"/>
        <v>Adult</v>
      </c>
      <c r="D2185" t="s">
        <v>11</v>
      </c>
      <c r="E2185" t="s">
        <v>20</v>
      </c>
      <c r="F2185" t="s">
        <v>36</v>
      </c>
      <c r="G2185">
        <v>117.69</v>
      </c>
      <c r="H2185" t="s">
        <v>14</v>
      </c>
      <c r="I2185" t="s">
        <v>15</v>
      </c>
      <c r="J2185">
        <v>3.4</v>
      </c>
      <c r="K2185">
        <v>22</v>
      </c>
      <c r="L2185">
        <f t="shared" si="103"/>
        <v>91.798200000000008</v>
      </c>
      <c r="M2185">
        <v>6</v>
      </c>
      <c r="N2185" t="str">
        <f t="shared" si="104"/>
        <v>Regular</v>
      </c>
    </row>
    <row r="2186" spans="1:14" x14ac:dyDescent="0.35">
      <c r="A2186">
        <v>2185</v>
      </c>
      <c r="B2186">
        <v>21</v>
      </c>
      <c r="C2186" t="str">
        <f t="shared" si="102"/>
        <v>Youth</v>
      </c>
      <c r="D2186" t="s">
        <v>11</v>
      </c>
      <c r="E2186" t="s">
        <v>20</v>
      </c>
      <c r="F2186" t="s">
        <v>36</v>
      </c>
      <c r="G2186">
        <v>248.21</v>
      </c>
      <c r="H2186" t="s">
        <v>19</v>
      </c>
      <c r="I2186" t="s">
        <v>15</v>
      </c>
      <c r="J2186">
        <v>4</v>
      </c>
      <c r="K2186">
        <v>8</v>
      </c>
      <c r="L2186">
        <f t="shared" si="103"/>
        <v>228.35320000000002</v>
      </c>
      <c r="M2186">
        <v>4</v>
      </c>
      <c r="N2186" t="str">
        <f t="shared" si="104"/>
        <v>Regular</v>
      </c>
    </row>
    <row r="2187" spans="1:14" x14ac:dyDescent="0.35">
      <c r="A2187">
        <v>2186</v>
      </c>
      <c r="B2187">
        <v>20</v>
      </c>
      <c r="C2187" t="str">
        <f t="shared" si="102"/>
        <v>Youth</v>
      </c>
      <c r="D2187" t="s">
        <v>11</v>
      </c>
      <c r="E2187" t="s">
        <v>20</v>
      </c>
      <c r="F2187" t="s">
        <v>21</v>
      </c>
      <c r="G2187">
        <v>83.38</v>
      </c>
      <c r="H2187" t="s">
        <v>24</v>
      </c>
      <c r="I2187" t="s">
        <v>37</v>
      </c>
      <c r="J2187">
        <v>3.5</v>
      </c>
      <c r="K2187">
        <v>4</v>
      </c>
      <c r="L2187">
        <f t="shared" si="103"/>
        <v>80.044799999999995</v>
      </c>
      <c r="M2187">
        <v>2</v>
      </c>
      <c r="N2187" t="str">
        <f t="shared" si="104"/>
        <v>New</v>
      </c>
    </row>
    <row r="2188" spans="1:14" x14ac:dyDescent="0.35">
      <c r="A2188">
        <v>2187</v>
      </c>
      <c r="B2188">
        <v>39</v>
      </c>
      <c r="C2188" t="str">
        <f t="shared" si="102"/>
        <v>Adult</v>
      </c>
      <c r="D2188" t="s">
        <v>11</v>
      </c>
      <c r="E2188" t="s">
        <v>22</v>
      </c>
      <c r="F2188" t="s">
        <v>23</v>
      </c>
      <c r="G2188">
        <v>113.79</v>
      </c>
      <c r="H2188" t="s">
        <v>14</v>
      </c>
      <c r="I2188" t="s">
        <v>15</v>
      </c>
      <c r="J2188">
        <v>5</v>
      </c>
      <c r="K2188">
        <v>14</v>
      </c>
      <c r="L2188">
        <f t="shared" si="103"/>
        <v>97.859400000000008</v>
      </c>
      <c r="M2188">
        <v>2</v>
      </c>
      <c r="N2188" t="str">
        <f t="shared" si="104"/>
        <v>New</v>
      </c>
    </row>
    <row r="2189" spans="1:14" x14ac:dyDescent="0.35">
      <c r="A2189">
        <v>2188</v>
      </c>
      <c r="B2189">
        <v>44</v>
      </c>
      <c r="C2189" t="str">
        <f t="shared" si="102"/>
        <v>Adult</v>
      </c>
      <c r="D2189" t="s">
        <v>11</v>
      </c>
      <c r="E2189" t="s">
        <v>22</v>
      </c>
      <c r="F2189" t="s">
        <v>52</v>
      </c>
      <c r="G2189">
        <v>278.16000000000003</v>
      </c>
      <c r="H2189" t="s">
        <v>19</v>
      </c>
      <c r="I2189" t="s">
        <v>15</v>
      </c>
      <c r="J2189">
        <v>2.7</v>
      </c>
      <c r="K2189">
        <v>7</v>
      </c>
      <c r="L2189">
        <f t="shared" si="103"/>
        <v>258.68880000000001</v>
      </c>
      <c r="M2189">
        <v>1</v>
      </c>
      <c r="N2189" t="str">
        <f t="shared" si="104"/>
        <v>New</v>
      </c>
    </row>
    <row r="2190" spans="1:14" x14ac:dyDescent="0.35">
      <c r="A2190">
        <v>2189</v>
      </c>
      <c r="B2190">
        <v>45</v>
      </c>
      <c r="C2190" t="str">
        <f t="shared" si="102"/>
        <v>Adult</v>
      </c>
      <c r="D2190" t="s">
        <v>11</v>
      </c>
      <c r="E2190" t="s">
        <v>33</v>
      </c>
      <c r="F2190" t="s">
        <v>40</v>
      </c>
      <c r="G2190">
        <v>136.82</v>
      </c>
      <c r="H2190" t="s">
        <v>14</v>
      </c>
      <c r="I2190" t="s">
        <v>15</v>
      </c>
      <c r="J2190">
        <v>3.7</v>
      </c>
      <c r="K2190">
        <v>13</v>
      </c>
      <c r="L2190">
        <f t="shared" si="103"/>
        <v>119.0334</v>
      </c>
      <c r="M2190">
        <v>4</v>
      </c>
      <c r="N2190" t="str">
        <f t="shared" si="104"/>
        <v>Regular</v>
      </c>
    </row>
    <row r="2191" spans="1:14" x14ac:dyDescent="0.35">
      <c r="A2191">
        <v>2190</v>
      </c>
      <c r="B2191">
        <v>22</v>
      </c>
      <c r="C2191" t="str">
        <f t="shared" si="102"/>
        <v>Youth</v>
      </c>
      <c r="D2191" t="s">
        <v>11</v>
      </c>
      <c r="E2191" t="s">
        <v>41</v>
      </c>
      <c r="F2191" t="s">
        <v>45</v>
      </c>
      <c r="G2191">
        <v>198.84</v>
      </c>
      <c r="H2191" t="s">
        <v>24</v>
      </c>
      <c r="I2191" t="s">
        <v>15</v>
      </c>
      <c r="J2191">
        <v>3.5</v>
      </c>
      <c r="K2191">
        <v>15</v>
      </c>
      <c r="L2191">
        <f t="shared" si="103"/>
        <v>169.01400000000001</v>
      </c>
      <c r="M2191">
        <v>5</v>
      </c>
      <c r="N2191" t="str">
        <f t="shared" si="104"/>
        <v>Regular</v>
      </c>
    </row>
    <row r="2192" spans="1:14" x14ac:dyDescent="0.35">
      <c r="A2192">
        <v>2191</v>
      </c>
      <c r="B2192">
        <v>55</v>
      </c>
      <c r="C2192" t="str">
        <f t="shared" si="102"/>
        <v>Adult</v>
      </c>
      <c r="D2192" t="s">
        <v>11</v>
      </c>
      <c r="E2192" t="s">
        <v>33</v>
      </c>
      <c r="F2192" t="s">
        <v>40</v>
      </c>
      <c r="G2192">
        <v>228.85</v>
      </c>
      <c r="H2192" t="s">
        <v>31</v>
      </c>
      <c r="I2192" t="s">
        <v>15</v>
      </c>
      <c r="J2192">
        <v>4.3</v>
      </c>
      <c r="K2192">
        <v>18</v>
      </c>
      <c r="L2192">
        <f t="shared" si="103"/>
        <v>187.65700000000001</v>
      </c>
      <c r="M2192">
        <v>4</v>
      </c>
      <c r="N2192" t="str">
        <f t="shared" si="104"/>
        <v>Regular</v>
      </c>
    </row>
    <row r="2193" spans="1:14" x14ac:dyDescent="0.35">
      <c r="A2193">
        <v>2192</v>
      </c>
      <c r="B2193">
        <v>59</v>
      </c>
      <c r="C2193" t="str">
        <f t="shared" si="102"/>
        <v>Adult</v>
      </c>
      <c r="D2193" t="s">
        <v>16</v>
      </c>
      <c r="E2193" t="s">
        <v>20</v>
      </c>
      <c r="F2193" t="s">
        <v>21</v>
      </c>
      <c r="G2193">
        <v>46.03</v>
      </c>
      <c r="H2193" t="s">
        <v>31</v>
      </c>
      <c r="I2193" t="s">
        <v>37</v>
      </c>
      <c r="J2193">
        <v>3.2</v>
      </c>
      <c r="K2193">
        <v>12</v>
      </c>
      <c r="L2193">
        <f t="shared" si="103"/>
        <v>40.506399999999999</v>
      </c>
      <c r="M2193">
        <v>6</v>
      </c>
      <c r="N2193" t="str">
        <f t="shared" si="104"/>
        <v>Regular</v>
      </c>
    </row>
    <row r="2194" spans="1:14" x14ac:dyDescent="0.35">
      <c r="A2194">
        <v>2193</v>
      </c>
      <c r="B2194">
        <v>42</v>
      </c>
      <c r="C2194" t="str">
        <f t="shared" si="102"/>
        <v>Adult</v>
      </c>
      <c r="D2194" t="s">
        <v>11</v>
      </c>
      <c r="E2194" t="s">
        <v>41</v>
      </c>
      <c r="F2194" t="s">
        <v>46</v>
      </c>
      <c r="G2194">
        <v>66.91</v>
      </c>
      <c r="H2194" t="s">
        <v>19</v>
      </c>
      <c r="I2194" t="s">
        <v>37</v>
      </c>
      <c r="J2194">
        <v>4.5</v>
      </c>
      <c r="K2194">
        <v>20</v>
      </c>
      <c r="L2194">
        <f t="shared" si="103"/>
        <v>53.527999999999999</v>
      </c>
      <c r="M2194">
        <v>5</v>
      </c>
      <c r="N2194" t="str">
        <f t="shared" si="104"/>
        <v>Regular</v>
      </c>
    </row>
    <row r="2195" spans="1:14" x14ac:dyDescent="0.35">
      <c r="A2195">
        <v>2194</v>
      </c>
      <c r="B2195">
        <v>63</v>
      </c>
      <c r="C2195" t="str">
        <f t="shared" si="102"/>
        <v>Senior</v>
      </c>
      <c r="D2195" t="s">
        <v>11</v>
      </c>
      <c r="E2195" t="s">
        <v>41</v>
      </c>
      <c r="F2195" t="s">
        <v>42</v>
      </c>
      <c r="G2195">
        <v>70.959999999999994</v>
      </c>
      <c r="H2195" t="s">
        <v>24</v>
      </c>
      <c r="I2195" t="s">
        <v>37</v>
      </c>
      <c r="J2195">
        <v>2.5</v>
      </c>
      <c r="K2195">
        <v>6</v>
      </c>
      <c r="L2195">
        <f t="shared" si="103"/>
        <v>66.702399999999997</v>
      </c>
      <c r="M2195">
        <v>3</v>
      </c>
      <c r="N2195" t="str">
        <f t="shared" si="104"/>
        <v>New</v>
      </c>
    </row>
    <row r="2196" spans="1:14" x14ac:dyDescent="0.35">
      <c r="A2196">
        <v>2195</v>
      </c>
      <c r="B2196">
        <v>24</v>
      </c>
      <c r="C2196" t="str">
        <f t="shared" si="102"/>
        <v>Youth</v>
      </c>
      <c r="D2196" t="s">
        <v>11</v>
      </c>
      <c r="E2196" t="s">
        <v>29</v>
      </c>
      <c r="F2196" t="s">
        <v>55</v>
      </c>
      <c r="G2196">
        <v>33.03</v>
      </c>
      <c r="H2196" t="s">
        <v>19</v>
      </c>
      <c r="I2196" t="s">
        <v>37</v>
      </c>
      <c r="J2196">
        <v>4.7</v>
      </c>
      <c r="K2196">
        <v>12</v>
      </c>
      <c r="L2196">
        <f t="shared" si="103"/>
        <v>29.066400000000002</v>
      </c>
      <c r="M2196">
        <v>6</v>
      </c>
      <c r="N2196" t="str">
        <f t="shared" si="104"/>
        <v>Regular</v>
      </c>
    </row>
    <row r="2197" spans="1:14" x14ac:dyDescent="0.35">
      <c r="A2197">
        <v>2196</v>
      </c>
      <c r="B2197">
        <v>27</v>
      </c>
      <c r="C2197" t="str">
        <f t="shared" si="102"/>
        <v>Youth</v>
      </c>
      <c r="D2197" t="s">
        <v>11</v>
      </c>
      <c r="E2197" t="s">
        <v>33</v>
      </c>
      <c r="F2197" t="s">
        <v>34</v>
      </c>
      <c r="G2197">
        <v>167.37</v>
      </c>
      <c r="H2197" t="s">
        <v>24</v>
      </c>
      <c r="I2197" t="s">
        <v>15</v>
      </c>
      <c r="J2197">
        <v>3.4</v>
      </c>
      <c r="K2197">
        <v>19</v>
      </c>
      <c r="L2197">
        <f t="shared" si="103"/>
        <v>135.56970000000001</v>
      </c>
      <c r="M2197">
        <v>7</v>
      </c>
      <c r="N2197" t="str">
        <f t="shared" si="104"/>
        <v>Regular</v>
      </c>
    </row>
    <row r="2198" spans="1:14" x14ac:dyDescent="0.35">
      <c r="A2198">
        <v>2197</v>
      </c>
      <c r="B2198">
        <v>46</v>
      </c>
      <c r="C2198" t="str">
        <f t="shared" si="102"/>
        <v>Adult</v>
      </c>
      <c r="D2198" t="s">
        <v>16</v>
      </c>
      <c r="E2198" t="s">
        <v>27</v>
      </c>
      <c r="F2198" t="s">
        <v>28</v>
      </c>
      <c r="G2198">
        <v>1442.61</v>
      </c>
      <c r="H2198" t="s">
        <v>14</v>
      </c>
      <c r="I2198" t="s">
        <v>15</v>
      </c>
      <c r="J2198">
        <v>2.9</v>
      </c>
      <c r="K2198">
        <v>17</v>
      </c>
      <c r="L2198">
        <f t="shared" si="103"/>
        <v>1197.3662999999999</v>
      </c>
      <c r="M2198">
        <v>6</v>
      </c>
      <c r="N2198" t="str">
        <f t="shared" si="104"/>
        <v>Regular</v>
      </c>
    </row>
    <row r="2199" spans="1:14" x14ac:dyDescent="0.35">
      <c r="A2199">
        <v>2198</v>
      </c>
      <c r="B2199">
        <v>67</v>
      </c>
      <c r="C2199" t="str">
        <f t="shared" si="102"/>
        <v>Senior</v>
      </c>
      <c r="D2199" t="s">
        <v>16</v>
      </c>
      <c r="E2199" t="s">
        <v>20</v>
      </c>
      <c r="F2199" t="s">
        <v>21</v>
      </c>
      <c r="G2199">
        <v>246</v>
      </c>
      <c r="H2199" t="s">
        <v>14</v>
      </c>
      <c r="I2199" t="s">
        <v>15</v>
      </c>
      <c r="J2199">
        <v>5</v>
      </c>
      <c r="K2199">
        <v>18</v>
      </c>
      <c r="L2199">
        <f t="shared" si="103"/>
        <v>201.72000000000003</v>
      </c>
      <c r="M2199">
        <v>4</v>
      </c>
      <c r="N2199" t="str">
        <f t="shared" si="104"/>
        <v>Regular</v>
      </c>
    </row>
    <row r="2200" spans="1:14" x14ac:dyDescent="0.35">
      <c r="A2200">
        <v>2199</v>
      </c>
      <c r="B2200">
        <v>46</v>
      </c>
      <c r="C2200" t="str">
        <f t="shared" si="102"/>
        <v>Adult</v>
      </c>
      <c r="D2200" t="s">
        <v>16</v>
      </c>
      <c r="E2200" t="s">
        <v>20</v>
      </c>
      <c r="F2200" t="s">
        <v>39</v>
      </c>
      <c r="G2200">
        <v>68.17</v>
      </c>
      <c r="H2200" t="s">
        <v>24</v>
      </c>
      <c r="I2200" t="s">
        <v>37</v>
      </c>
      <c r="J2200">
        <v>3.4</v>
      </c>
      <c r="K2200">
        <v>17</v>
      </c>
      <c r="L2200">
        <f t="shared" si="103"/>
        <v>56.581099999999999</v>
      </c>
      <c r="M2200">
        <v>6</v>
      </c>
      <c r="N2200" t="str">
        <f t="shared" si="104"/>
        <v>Regular</v>
      </c>
    </row>
    <row r="2201" spans="1:14" x14ac:dyDescent="0.35">
      <c r="A2201">
        <v>2200</v>
      </c>
      <c r="B2201">
        <v>41</v>
      </c>
      <c r="C2201" t="str">
        <f t="shared" si="102"/>
        <v>Adult</v>
      </c>
      <c r="D2201" t="s">
        <v>16</v>
      </c>
      <c r="E2201" t="s">
        <v>33</v>
      </c>
      <c r="F2201" t="s">
        <v>40</v>
      </c>
      <c r="G2201">
        <v>74.88</v>
      </c>
      <c r="H2201" t="s">
        <v>31</v>
      </c>
      <c r="I2201" t="s">
        <v>15</v>
      </c>
      <c r="J2201">
        <v>4.7</v>
      </c>
      <c r="K2201">
        <v>16</v>
      </c>
      <c r="L2201">
        <f t="shared" si="103"/>
        <v>62.899199999999993</v>
      </c>
      <c r="M2201">
        <v>3</v>
      </c>
      <c r="N2201" t="str">
        <f t="shared" si="104"/>
        <v>New</v>
      </c>
    </row>
    <row r="2202" spans="1:14" x14ac:dyDescent="0.35">
      <c r="A2202">
        <v>2201</v>
      </c>
      <c r="B2202">
        <v>36</v>
      </c>
      <c r="C2202" t="str">
        <f t="shared" si="102"/>
        <v>Adult</v>
      </c>
      <c r="D2202" t="s">
        <v>16</v>
      </c>
      <c r="E2202" t="s">
        <v>20</v>
      </c>
      <c r="F2202" t="s">
        <v>36</v>
      </c>
      <c r="G2202">
        <v>105.09</v>
      </c>
      <c r="H2202" t="s">
        <v>19</v>
      </c>
      <c r="I2202" t="s">
        <v>15</v>
      </c>
      <c r="J2202">
        <v>3.6</v>
      </c>
      <c r="K2202">
        <v>22</v>
      </c>
      <c r="L2202">
        <f t="shared" si="103"/>
        <v>81.970200000000006</v>
      </c>
      <c r="M2202">
        <v>6</v>
      </c>
      <c r="N2202" t="str">
        <f t="shared" si="104"/>
        <v>Regular</v>
      </c>
    </row>
    <row r="2203" spans="1:14" x14ac:dyDescent="0.35">
      <c r="A2203">
        <v>2202</v>
      </c>
      <c r="B2203">
        <v>23</v>
      </c>
      <c r="C2203" t="str">
        <f t="shared" si="102"/>
        <v>Youth</v>
      </c>
      <c r="D2203" t="s">
        <v>16</v>
      </c>
      <c r="E2203" t="s">
        <v>20</v>
      </c>
      <c r="F2203" t="s">
        <v>21</v>
      </c>
      <c r="G2203">
        <v>109.86</v>
      </c>
      <c r="H2203" t="s">
        <v>14</v>
      </c>
      <c r="I2203" t="s">
        <v>15</v>
      </c>
      <c r="J2203">
        <v>5</v>
      </c>
      <c r="K2203">
        <v>7</v>
      </c>
      <c r="L2203">
        <f t="shared" si="103"/>
        <v>102.1698</v>
      </c>
      <c r="M2203">
        <v>1</v>
      </c>
      <c r="N2203" t="str">
        <f t="shared" si="104"/>
        <v>New</v>
      </c>
    </row>
    <row r="2204" spans="1:14" x14ac:dyDescent="0.35">
      <c r="A2204">
        <v>2203</v>
      </c>
      <c r="B2204">
        <v>32</v>
      </c>
      <c r="C2204" t="str">
        <f t="shared" si="102"/>
        <v>Adult</v>
      </c>
      <c r="D2204" t="s">
        <v>11</v>
      </c>
      <c r="E2204" t="s">
        <v>33</v>
      </c>
      <c r="F2204" t="s">
        <v>34</v>
      </c>
      <c r="G2204">
        <v>232.22</v>
      </c>
      <c r="H2204" t="s">
        <v>19</v>
      </c>
      <c r="I2204" t="s">
        <v>15</v>
      </c>
      <c r="J2204">
        <v>3.5</v>
      </c>
      <c r="K2204">
        <v>11</v>
      </c>
      <c r="L2204">
        <f t="shared" si="103"/>
        <v>206.67580000000001</v>
      </c>
      <c r="M2204">
        <v>3</v>
      </c>
      <c r="N2204" t="str">
        <f t="shared" si="104"/>
        <v>New</v>
      </c>
    </row>
    <row r="2205" spans="1:14" x14ac:dyDescent="0.35">
      <c r="A2205">
        <v>2204</v>
      </c>
      <c r="B2205">
        <v>60</v>
      </c>
      <c r="C2205" t="str">
        <f t="shared" si="102"/>
        <v>Adult</v>
      </c>
      <c r="D2205" t="s">
        <v>16</v>
      </c>
      <c r="E2205" t="s">
        <v>17</v>
      </c>
      <c r="F2205" t="s">
        <v>35</v>
      </c>
      <c r="G2205">
        <v>170.41</v>
      </c>
      <c r="H2205" t="s">
        <v>31</v>
      </c>
      <c r="I2205" t="s">
        <v>15</v>
      </c>
      <c r="J2205">
        <v>2.6</v>
      </c>
      <c r="K2205">
        <v>17</v>
      </c>
      <c r="L2205">
        <f t="shared" si="103"/>
        <v>141.44029999999998</v>
      </c>
      <c r="M2205">
        <v>6</v>
      </c>
      <c r="N2205" t="str">
        <f t="shared" si="104"/>
        <v>Regular</v>
      </c>
    </row>
    <row r="2206" spans="1:14" x14ac:dyDescent="0.35">
      <c r="A2206">
        <v>2205</v>
      </c>
      <c r="B2206">
        <v>43</v>
      </c>
      <c r="C2206" t="str">
        <f t="shared" si="102"/>
        <v>Adult</v>
      </c>
      <c r="D2206" t="s">
        <v>16</v>
      </c>
      <c r="E2206" t="s">
        <v>17</v>
      </c>
      <c r="F2206" t="s">
        <v>42</v>
      </c>
      <c r="G2206">
        <v>122.14</v>
      </c>
      <c r="H2206" t="s">
        <v>19</v>
      </c>
      <c r="I2206" t="s">
        <v>15</v>
      </c>
      <c r="J2206">
        <v>4</v>
      </c>
      <c r="K2206">
        <v>10</v>
      </c>
      <c r="L2206">
        <f t="shared" si="103"/>
        <v>109.926</v>
      </c>
      <c r="M2206">
        <v>5</v>
      </c>
      <c r="N2206" t="str">
        <f t="shared" si="104"/>
        <v>Regular</v>
      </c>
    </row>
    <row r="2207" spans="1:14" x14ac:dyDescent="0.35">
      <c r="A2207">
        <v>2206</v>
      </c>
      <c r="B2207">
        <v>58</v>
      </c>
      <c r="C2207" t="str">
        <f t="shared" si="102"/>
        <v>Adult</v>
      </c>
      <c r="D2207" t="s">
        <v>11</v>
      </c>
      <c r="E2207" t="s">
        <v>12</v>
      </c>
      <c r="F2207" t="s">
        <v>13</v>
      </c>
      <c r="G2207">
        <v>98.65</v>
      </c>
      <c r="H2207" t="s">
        <v>19</v>
      </c>
      <c r="I2207" t="s">
        <v>37</v>
      </c>
      <c r="J2207">
        <v>3.9</v>
      </c>
      <c r="K2207">
        <v>8</v>
      </c>
      <c r="L2207">
        <f t="shared" si="103"/>
        <v>90.75800000000001</v>
      </c>
      <c r="M2207">
        <v>4</v>
      </c>
      <c r="N2207" t="str">
        <f t="shared" si="104"/>
        <v>Regular</v>
      </c>
    </row>
    <row r="2208" spans="1:14" x14ac:dyDescent="0.35">
      <c r="A2208">
        <v>2207</v>
      </c>
      <c r="B2208">
        <v>70</v>
      </c>
      <c r="C2208" t="str">
        <f t="shared" si="102"/>
        <v>Senior</v>
      </c>
      <c r="D2208" t="s">
        <v>16</v>
      </c>
      <c r="E2208" t="s">
        <v>20</v>
      </c>
      <c r="F2208" t="s">
        <v>21</v>
      </c>
      <c r="G2208">
        <v>43.95</v>
      </c>
      <c r="H2208" t="s">
        <v>14</v>
      </c>
      <c r="I2208" t="s">
        <v>37</v>
      </c>
      <c r="J2208">
        <v>3.4</v>
      </c>
      <c r="K2208">
        <v>15</v>
      </c>
      <c r="L2208">
        <f t="shared" si="103"/>
        <v>37.357500000000002</v>
      </c>
      <c r="M2208">
        <v>5</v>
      </c>
      <c r="N2208" t="str">
        <f t="shared" si="104"/>
        <v>Regular</v>
      </c>
    </row>
    <row r="2209" spans="1:14" x14ac:dyDescent="0.35">
      <c r="A2209">
        <v>2208</v>
      </c>
      <c r="B2209">
        <v>43</v>
      </c>
      <c r="C2209" t="str">
        <f t="shared" si="102"/>
        <v>Adult</v>
      </c>
      <c r="D2209" t="s">
        <v>16</v>
      </c>
      <c r="E2209" t="s">
        <v>20</v>
      </c>
      <c r="F2209" t="s">
        <v>21</v>
      </c>
      <c r="G2209">
        <v>127.93</v>
      </c>
      <c r="H2209" t="s">
        <v>24</v>
      </c>
      <c r="I2209" t="s">
        <v>15</v>
      </c>
      <c r="J2209">
        <v>2.9</v>
      </c>
      <c r="K2209">
        <v>13</v>
      </c>
      <c r="L2209">
        <f t="shared" si="103"/>
        <v>111.29910000000001</v>
      </c>
      <c r="M2209">
        <v>4</v>
      </c>
      <c r="N2209" t="str">
        <f t="shared" si="104"/>
        <v>Regular</v>
      </c>
    </row>
    <row r="2210" spans="1:14" x14ac:dyDescent="0.35">
      <c r="A2210">
        <v>2209</v>
      </c>
      <c r="B2210">
        <v>55</v>
      </c>
      <c r="C2210" t="str">
        <f t="shared" si="102"/>
        <v>Adult</v>
      </c>
      <c r="D2210" t="s">
        <v>16</v>
      </c>
      <c r="E2210" t="s">
        <v>25</v>
      </c>
      <c r="F2210" t="s">
        <v>26</v>
      </c>
      <c r="G2210">
        <v>62.57</v>
      </c>
      <c r="H2210" t="s">
        <v>14</v>
      </c>
      <c r="I2210" t="s">
        <v>37</v>
      </c>
      <c r="J2210">
        <v>3.6</v>
      </c>
      <c r="K2210">
        <v>12</v>
      </c>
      <c r="L2210">
        <f t="shared" si="103"/>
        <v>55.061599999999999</v>
      </c>
      <c r="M2210">
        <v>6</v>
      </c>
      <c r="N2210" t="str">
        <f t="shared" si="104"/>
        <v>Regular</v>
      </c>
    </row>
    <row r="2211" spans="1:14" x14ac:dyDescent="0.35">
      <c r="A2211">
        <v>2210</v>
      </c>
      <c r="B2211">
        <v>24</v>
      </c>
      <c r="C2211" t="str">
        <f t="shared" si="102"/>
        <v>Youth</v>
      </c>
      <c r="D2211" t="s">
        <v>11</v>
      </c>
      <c r="E2211" t="s">
        <v>41</v>
      </c>
      <c r="F2211" t="s">
        <v>42</v>
      </c>
      <c r="G2211">
        <v>106.76</v>
      </c>
      <c r="H2211" t="s">
        <v>14</v>
      </c>
      <c r="I2211" t="s">
        <v>15</v>
      </c>
      <c r="J2211">
        <v>3.2</v>
      </c>
      <c r="K2211">
        <v>8</v>
      </c>
      <c r="L2211">
        <f t="shared" si="103"/>
        <v>98.219200000000015</v>
      </c>
      <c r="M2211">
        <v>4</v>
      </c>
      <c r="N2211" t="str">
        <f t="shared" si="104"/>
        <v>Regular</v>
      </c>
    </row>
    <row r="2212" spans="1:14" x14ac:dyDescent="0.35">
      <c r="A2212">
        <v>2211</v>
      </c>
      <c r="B2212">
        <v>41</v>
      </c>
      <c r="C2212" t="str">
        <f t="shared" si="102"/>
        <v>Adult</v>
      </c>
      <c r="D2212" t="s">
        <v>11</v>
      </c>
      <c r="E2212" t="s">
        <v>22</v>
      </c>
      <c r="F2212" t="s">
        <v>52</v>
      </c>
      <c r="G2212">
        <v>245.42</v>
      </c>
      <c r="H2212" t="s">
        <v>31</v>
      </c>
      <c r="I2212" t="s">
        <v>15</v>
      </c>
      <c r="J2212">
        <v>3.6</v>
      </c>
      <c r="K2212">
        <v>20</v>
      </c>
      <c r="L2212">
        <f t="shared" si="103"/>
        <v>196.33600000000001</v>
      </c>
      <c r="M2212">
        <v>5</v>
      </c>
      <c r="N2212" t="str">
        <f t="shared" si="104"/>
        <v>Regular</v>
      </c>
    </row>
    <row r="2213" spans="1:14" x14ac:dyDescent="0.35">
      <c r="A2213">
        <v>2212</v>
      </c>
      <c r="B2213">
        <v>33</v>
      </c>
      <c r="C2213" t="str">
        <f t="shared" si="102"/>
        <v>Adult</v>
      </c>
      <c r="D2213" t="s">
        <v>16</v>
      </c>
      <c r="E2213" t="s">
        <v>20</v>
      </c>
      <c r="F2213" t="s">
        <v>36</v>
      </c>
      <c r="G2213">
        <v>184.79</v>
      </c>
      <c r="H2213" t="s">
        <v>24</v>
      </c>
      <c r="I2213" t="s">
        <v>15</v>
      </c>
      <c r="J2213">
        <v>2.8</v>
      </c>
      <c r="K2213">
        <v>11</v>
      </c>
      <c r="L2213">
        <f t="shared" si="103"/>
        <v>164.4631</v>
      </c>
      <c r="M2213">
        <v>3</v>
      </c>
      <c r="N2213" t="str">
        <f t="shared" si="104"/>
        <v>New</v>
      </c>
    </row>
    <row r="2214" spans="1:14" x14ac:dyDescent="0.35">
      <c r="A2214">
        <v>2213</v>
      </c>
      <c r="B2214">
        <v>64</v>
      </c>
      <c r="C2214" t="str">
        <f t="shared" si="102"/>
        <v>Senior</v>
      </c>
      <c r="D2214" t="s">
        <v>11</v>
      </c>
      <c r="E2214" t="s">
        <v>12</v>
      </c>
      <c r="F2214" t="s">
        <v>56</v>
      </c>
      <c r="G2214">
        <v>176.59</v>
      </c>
      <c r="H2214" t="s">
        <v>14</v>
      </c>
      <c r="I2214" t="s">
        <v>15</v>
      </c>
      <c r="J2214">
        <v>3.9</v>
      </c>
      <c r="K2214">
        <v>20</v>
      </c>
      <c r="L2214">
        <f t="shared" si="103"/>
        <v>141.27200000000002</v>
      </c>
      <c r="M2214">
        <v>5</v>
      </c>
      <c r="N2214" t="str">
        <f t="shared" si="104"/>
        <v>Regular</v>
      </c>
    </row>
    <row r="2215" spans="1:14" x14ac:dyDescent="0.35">
      <c r="A2215">
        <v>2214</v>
      </c>
      <c r="B2215">
        <v>26</v>
      </c>
      <c r="C2215" t="str">
        <f t="shared" si="102"/>
        <v>Youth</v>
      </c>
      <c r="D2215" t="s">
        <v>11</v>
      </c>
      <c r="E2215" t="s">
        <v>41</v>
      </c>
      <c r="F2215" t="s">
        <v>45</v>
      </c>
      <c r="G2215">
        <v>58.44</v>
      </c>
      <c r="H2215" t="s">
        <v>24</v>
      </c>
      <c r="I2215" t="s">
        <v>37</v>
      </c>
      <c r="J2215">
        <v>2.1</v>
      </c>
      <c r="K2215">
        <v>19</v>
      </c>
      <c r="L2215">
        <f t="shared" si="103"/>
        <v>47.336400000000005</v>
      </c>
      <c r="M2215">
        <v>7</v>
      </c>
      <c r="N2215" t="str">
        <f t="shared" si="104"/>
        <v>Regular</v>
      </c>
    </row>
    <row r="2216" spans="1:14" x14ac:dyDescent="0.35">
      <c r="A2216">
        <v>2215</v>
      </c>
      <c r="B2216">
        <v>53</v>
      </c>
      <c r="C2216" t="str">
        <f t="shared" si="102"/>
        <v>Adult</v>
      </c>
      <c r="D2216" t="s">
        <v>11</v>
      </c>
      <c r="E2216" t="s">
        <v>25</v>
      </c>
      <c r="F2216" t="s">
        <v>57</v>
      </c>
      <c r="G2216">
        <v>9.7200000000000006</v>
      </c>
      <c r="H2216" t="s">
        <v>24</v>
      </c>
      <c r="I2216" t="s">
        <v>15</v>
      </c>
      <c r="J2216">
        <v>3.9</v>
      </c>
      <c r="K2216">
        <v>24</v>
      </c>
      <c r="L2216">
        <f t="shared" si="103"/>
        <v>7.3872000000000009</v>
      </c>
      <c r="M2216">
        <v>7</v>
      </c>
      <c r="N2216" t="str">
        <f t="shared" si="104"/>
        <v>Regular</v>
      </c>
    </row>
    <row r="2217" spans="1:14" x14ac:dyDescent="0.35">
      <c r="A2217">
        <v>2216</v>
      </c>
      <c r="B2217">
        <v>34</v>
      </c>
      <c r="C2217" t="str">
        <f t="shared" si="102"/>
        <v>Adult</v>
      </c>
      <c r="D2217" t="s">
        <v>11</v>
      </c>
      <c r="E2217" t="s">
        <v>33</v>
      </c>
      <c r="F2217" t="s">
        <v>40</v>
      </c>
      <c r="G2217">
        <v>97.08</v>
      </c>
      <c r="H2217" t="s">
        <v>31</v>
      </c>
      <c r="I2217" t="s">
        <v>15</v>
      </c>
      <c r="J2217">
        <v>2.7</v>
      </c>
      <c r="K2217">
        <v>12</v>
      </c>
      <c r="L2217">
        <f t="shared" si="103"/>
        <v>85.430400000000006</v>
      </c>
      <c r="M2217">
        <v>1</v>
      </c>
      <c r="N2217" t="str">
        <f t="shared" si="104"/>
        <v>New</v>
      </c>
    </row>
    <row r="2218" spans="1:14" x14ac:dyDescent="0.35">
      <c r="A2218">
        <v>2217</v>
      </c>
      <c r="B2218">
        <v>35</v>
      </c>
      <c r="C2218" t="str">
        <f t="shared" si="102"/>
        <v>Adult</v>
      </c>
      <c r="D2218" t="s">
        <v>11</v>
      </c>
      <c r="E2218" t="s">
        <v>12</v>
      </c>
      <c r="F2218" t="s">
        <v>13</v>
      </c>
      <c r="G2218">
        <v>150.88</v>
      </c>
      <c r="H2218" t="s">
        <v>24</v>
      </c>
      <c r="I2218" t="s">
        <v>15</v>
      </c>
      <c r="J2218">
        <v>4.3</v>
      </c>
      <c r="K2218">
        <v>16</v>
      </c>
      <c r="L2218">
        <f t="shared" si="103"/>
        <v>126.7392</v>
      </c>
      <c r="M2218">
        <v>8</v>
      </c>
      <c r="N2218" t="str">
        <f t="shared" si="104"/>
        <v>Loyal</v>
      </c>
    </row>
    <row r="2219" spans="1:14" x14ac:dyDescent="0.35">
      <c r="A2219">
        <v>2218</v>
      </c>
      <c r="B2219">
        <v>24</v>
      </c>
      <c r="C2219" t="str">
        <f t="shared" si="102"/>
        <v>Youth</v>
      </c>
      <c r="D2219" t="s">
        <v>11</v>
      </c>
      <c r="E2219" t="s">
        <v>33</v>
      </c>
      <c r="F2219" t="s">
        <v>38</v>
      </c>
      <c r="G2219">
        <v>173.83</v>
      </c>
      <c r="H2219" t="s">
        <v>14</v>
      </c>
      <c r="I2219" t="s">
        <v>15</v>
      </c>
      <c r="J2219">
        <v>2.7</v>
      </c>
      <c r="K2219">
        <v>6</v>
      </c>
      <c r="L2219">
        <f t="shared" si="103"/>
        <v>163.40020000000001</v>
      </c>
      <c r="M2219">
        <v>3</v>
      </c>
      <c r="N2219" t="str">
        <f t="shared" si="104"/>
        <v>New</v>
      </c>
    </row>
    <row r="2220" spans="1:14" x14ac:dyDescent="0.35">
      <c r="A2220">
        <v>2219</v>
      </c>
      <c r="B2220">
        <v>57</v>
      </c>
      <c r="C2220" t="str">
        <f t="shared" si="102"/>
        <v>Adult</v>
      </c>
      <c r="D2220" t="s">
        <v>16</v>
      </c>
      <c r="E2220" t="s">
        <v>27</v>
      </c>
      <c r="F2220" t="s">
        <v>28</v>
      </c>
      <c r="G2220">
        <v>1857.16</v>
      </c>
      <c r="H2220" t="s">
        <v>14</v>
      </c>
      <c r="I2220" t="s">
        <v>15</v>
      </c>
      <c r="J2220">
        <v>4</v>
      </c>
      <c r="K2220">
        <v>13</v>
      </c>
      <c r="L2220">
        <f t="shared" si="103"/>
        <v>1615.7292</v>
      </c>
      <c r="M2220">
        <v>4</v>
      </c>
      <c r="N2220" t="str">
        <f t="shared" si="104"/>
        <v>Regular</v>
      </c>
    </row>
    <row r="2221" spans="1:14" x14ac:dyDescent="0.35">
      <c r="A2221">
        <v>2220</v>
      </c>
      <c r="B2221">
        <v>31</v>
      </c>
      <c r="C2221" t="str">
        <f t="shared" si="102"/>
        <v>Adult</v>
      </c>
      <c r="D2221" t="s">
        <v>16</v>
      </c>
      <c r="E2221" t="s">
        <v>20</v>
      </c>
      <c r="F2221" t="s">
        <v>36</v>
      </c>
      <c r="G2221">
        <v>227.4</v>
      </c>
      <c r="H2221" t="s">
        <v>24</v>
      </c>
      <c r="I2221" t="s">
        <v>15</v>
      </c>
      <c r="J2221">
        <v>3.5</v>
      </c>
      <c r="K2221">
        <v>11</v>
      </c>
      <c r="L2221">
        <f t="shared" si="103"/>
        <v>202.386</v>
      </c>
      <c r="M2221">
        <v>3</v>
      </c>
      <c r="N2221" t="str">
        <f t="shared" si="104"/>
        <v>New</v>
      </c>
    </row>
    <row r="2222" spans="1:14" x14ac:dyDescent="0.35">
      <c r="A2222">
        <v>2221</v>
      </c>
      <c r="B2222">
        <v>52</v>
      </c>
      <c r="C2222" t="str">
        <f t="shared" si="102"/>
        <v>Adult</v>
      </c>
      <c r="D2222" t="s">
        <v>11</v>
      </c>
      <c r="E2222" t="s">
        <v>12</v>
      </c>
      <c r="F2222" t="s">
        <v>13</v>
      </c>
      <c r="G2222">
        <v>119.11</v>
      </c>
      <c r="H2222" t="s">
        <v>31</v>
      </c>
      <c r="I2222" t="s">
        <v>15</v>
      </c>
      <c r="J2222">
        <v>4.8</v>
      </c>
      <c r="K2222">
        <v>25</v>
      </c>
      <c r="L2222">
        <f t="shared" si="103"/>
        <v>89.332499999999996</v>
      </c>
      <c r="M2222">
        <v>10</v>
      </c>
      <c r="N2222" t="str">
        <f t="shared" si="104"/>
        <v>Loyal</v>
      </c>
    </row>
    <row r="2223" spans="1:14" x14ac:dyDescent="0.35">
      <c r="A2223">
        <v>2222</v>
      </c>
      <c r="B2223">
        <v>30</v>
      </c>
      <c r="C2223" t="str">
        <f t="shared" si="102"/>
        <v>Youth</v>
      </c>
      <c r="D2223" t="s">
        <v>16</v>
      </c>
      <c r="E2223" t="s">
        <v>27</v>
      </c>
      <c r="F2223" t="s">
        <v>53</v>
      </c>
      <c r="G2223">
        <v>1425.84</v>
      </c>
      <c r="H2223" t="s">
        <v>19</v>
      </c>
      <c r="I2223" t="s">
        <v>15</v>
      </c>
      <c r="J2223">
        <v>3.6</v>
      </c>
      <c r="K2223">
        <v>14</v>
      </c>
      <c r="L2223">
        <f t="shared" si="103"/>
        <v>1226.2223999999999</v>
      </c>
      <c r="M2223">
        <v>2</v>
      </c>
      <c r="N2223" t="str">
        <f t="shared" si="104"/>
        <v>New</v>
      </c>
    </row>
    <row r="2224" spans="1:14" x14ac:dyDescent="0.35">
      <c r="A2224">
        <v>2223</v>
      </c>
      <c r="B2224">
        <v>32</v>
      </c>
      <c r="C2224" t="str">
        <f t="shared" si="102"/>
        <v>Adult</v>
      </c>
      <c r="D2224" t="s">
        <v>16</v>
      </c>
      <c r="E2224" t="s">
        <v>33</v>
      </c>
      <c r="F2224" t="s">
        <v>34</v>
      </c>
      <c r="G2224">
        <v>170.66</v>
      </c>
      <c r="H2224" t="s">
        <v>19</v>
      </c>
      <c r="I2224" t="s">
        <v>15</v>
      </c>
      <c r="J2224">
        <v>4.2</v>
      </c>
      <c r="K2224">
        <v>17</v>
      </c>
      <c r="L2224">
        <f t="shared" si="103"/>
        <v>141.64779999999999</v>
      </c>
      <c r="M2224">
        <v>6</v>
      </c>
      <c r="N2224" t="str">
        <f t="shared" si="104"/>
        <v>Regular</v>
      </c>
    </row>
    <row r="2225" spans="1:14" x14ac:dyDescent="0.35">
      <c r="A2225">
        <v>2224</v>
      </c>
      <c r="B2225">
        <v>21</v>
      </c>
      <c r="C2225" t="str">
        <f t="shared" si="102"/>
        <v>Youth</v>
      </c>
      <c r="D2225" t="s">
        <v>16</v>
      </c>
      <c r="E2225" t="s">
        <v>20</v>
      </c>
      <c r="F2225" t="s">
        <v>39</v>
      </c>
      <c r="G2225">
        <v>246.8</v>
      </c>
      <c r="H2225" t="s">
        <v>14</v>
      </c>
      <c r="I2225" t="s">
        <v>15</v>
      </c>
      <c r="J2225">
        <v>3.2</v>
      </c>
      <c r="K2225">
        <v>13</v>
      </c>
      <c r="L2225">
        <f t="shared" si="103"/>
        <v>214.71600000000001</v>
      </c>
      <c r="M2225">
        <v>4</v>
      </c>
      <c r="N2225" t="str">
        <f t="shared" si="104"/>
        <v>Regular</v>
      </c>
    </row>
    <row r="2226" spans="1:14" x14ac:dyDescent="0.35">
      <c r="A2226">
        <v>2225</v>
      </c>
      <c r="B2226">
        <v>63</v>
      </c>
      <c r="C2226" t="str">
        <f t="shared" si="102"/>
        <v>Senior</v>
      </c>
      <c r="D2226" t="s">
        <v>11</v>
      </c>
      <c r="E2226" t="s">
        <v>29</v>
      </c>
      <c r="F2226" t="s">
        <v>55</v>
      </c>
      <c r="G2226">
        <v>40.06</v>
      </c>
      <c r="H2226" t="s">
        <v>31</v>
      </c>
      <c r="I2226" t="s">
        <v>37</v>
      </c>
      <c r="J2226">
        <v>4</v>
      </c>
      <c r="K2226">
        <v>20</v>
      </c>
      <c r="L2226">
        <f t="shared" si="103"/>
        <v>32.048000000000002</v>
      </c>
      <c r="M2226">
        <v>5</v>
      </c>
      <c r="N2226" t="str">
        <f t="shared" si="104"/>
        <v>Regular</v>
      </c>
    </row>
    <row r="2227" spans="1:14" x14ac:dyDescent="0.35">
      <c r="A2227">
        <v>2226</v>
      </c>
      <c r="B2227">
        <v>38</v>
      </c>
      <c r="C2227" t="str">
        <f t="shared" si="102"/>
        <v>Adult</v>
      </c>
      <c r="D2227" t="s">
        <v>11</v>
      </c>
      <c r="E2227" t="s">
        <v>33</v>
      </c>
      <c r="F2227" t="s">
        <v>34</v>
      </c>
      <c r="G2227">
        <v>47</v>
      </c>
      <c r="H2227" t="s">
        <v>31</v>
      </c>
      <c r="I2227" t="s">
        <v>15</v>
      </c>
      <c r="J2227">
        <v>3.4</v>
      </c>
      <c r="K2227">
        <v>18</v>
      </c>
      <c r="L2227">
        <f t="shared" si="103"/>
        <v>38.540000000000006</v>
      </c>
      <c r="M2227">
        <v>9</v>
      </c>
      <c r="N2227" t="str">
        <f t="shared" si="104"/>
        <v>Loyal</v>
      </c>
    </row>
    <row r="2228" spans="1:14" x14ac:dyDescent="0.35">
      <c r="A2228">
        <v>2227</v>
      </c>
      <c r="B2228">
        <v>46</v>
      </c>
      <c r="C2228" t="str">
        <f t="shared" si="102"/>
        <v>Adult</v>
      </c>
      <c r="D2228" t="s">
        <v>11</v>
      </c>
      <c r="E2228" t="s">
        <v>41</v>
      </c>
      <c r="F2228" t="s">
        <v>45</v>
      </c>
      <c r="G2228">
        <v>149.94999999999999</v>
      </c>
      <c r="H2228" t="s">
        <v>31</v>
      </c>
      <c r="I2228" t="s">
        <v>15</v>
      </c>
      <c r="J2228">
        <v>4.2</v>
      </c>
      <c r="K2228">
        <v>9</v>
      </c>
      <c r="L2228">
        <f t="shared" si="103"/>
        <v>136.4545</v>
      </c>
      <c r="M2228">
        <v>2</v>
      </c>
      <c r="N2228" t="str">
        <f t="shared" si="104"/>
        <v>New</v>
      </c>
    </row>
    <row r="2229" spans="1:14" x14ac:dyDescent="0.35">
      <c r="A2229">
        <v>2228</v>
      </c>
      <c r="B2229">
        <v>68</v>
      </c>
      <c r="C2229" t="str">
        <f t="shared" si="102"/>
        <v>Senior</v>
      </c>
      <c r="D2229" t="s">
        <v>16</v>
      </c>
      <c r="E2229" t="s">
        <v>27</v>
      </c>
      <c r="F2229" t="s">
        <v>32</v>
      </c>
      <c r="G2229">
        <v>1383.02</v>
      </c>
      <c r="H2229" t="s">
        <v>19</v>
      </c>
      <c r="I2229" t="s">
        <v>15</v>
      </c>
      <c r="J2229">
        <v>4.5999999999999996</v>
      </c>
      <c r="K2229">
        <v>16</v>
      </c>
      <c r="L2229">
        <f t="shared" si="103"/>
        <v>1161.7367999999999</v>
      </c>
      <c r="M2229">
        <v>3</v>
      </c>
      <c r="N2229" t="str">
        <f t="shared" si="104"/>
        <v>New</v>
      </c>
    </row>
    <row r="2230" spans="1:14" x14ac:dyDescent="0.35">
      <c r="A2230">
        <v>2229</v>
      </c>
      <c r="B2230">
        <v>30</v>
      </c>
      <c r="C2230" t="str">
        <f t="shared" si="102"/>
        <v>Youth</v>
      </c>
      <c r="D2230" t="s">
        <v>11</v>
      </c>
      <c r="E2230" t="s">
        <v>41</v>
      </c>
      <c r="F2230" t="s">
        <v>45</v>
      </c>
      <c r="G2230">
        <v>170.78</v>
      </c>
      <c r="H2230" t="s">
        <v>24</v>
      </c>
      <c r="I2230" t="s">
        <v>15</v>
      </c>
      <c r="J2230">
        <v>5</v>
      </c>
      <c r="K2230">
        <v>22</v>
      </c>
      <c r="L2230">
        <f t="shared" si="103"/>
        <v>133.20840000000001</v>
      </c>
      <c r="M2230">
        <v>6</v>
      </c>
      <c r="N2230" t="str">
        <f t="shared" si="104"/>
        <v>Regular</v>
      </c>
    </row>
    <row r="2231" spans="1:14" x14ac:dyDescent="0.35">
      <c r="A2231">
        <v>2230</v>
      </c>
      <c r="B2231">
        <v>26</v>
      </c>
      <c r="C2231" t="str">
        <f t="shared" si="102"/>
        <v>Youth</v>
      </c>
      <c r="D2231" t="s">
        <v>16</v>
      </c>
      <c r="E2231" t="s">
        <v>17</v>
      </c>
      <c r="F2231" t="s">
        <v>35</v>
      </c>
      <c r="G2231">
        <v>119.83</v>
      </c>
      <c r="H2231" t="s">
        <v>14</v>
      </c>
      <c r="I2231" t="s">
        <v>15</v>
      </c>
      <c r="J2231">
        <v>3.4</v>
      </c>
      <c r="K2231">
        <v>8</v>
      </c>
      <c r="L2231">
        <f t="shared" si="103"/>
        <v>110.2436</v>
      </c>
      <c r="M2231">
        <v>4</v>
      </c>
      <c r="N2231" t="str">
        <f t="shared" si="104"/>
        <v>Regular</v>
      </c>
    </row>
    <row r="2232" spans="1:14" x14ac:dyDescent="0.35">
      <c r="A2232">
        <v>2231</v>
      </c>
      <c r="B2232">
        <v>49</v>
      </c>
      <c r="C2232" t="str">
        <f t="shared" si="102"/>
        <v>Adult</v>
      </c>
      <c r="D2232" t="s">
        <v>16</v>
      </c>
      <c r="E2232" t="s">
        <v>27</v>
      </c>
      <c r="F2232" t="s">
        <v>28</v>
      </c>
      <c r="G2232">
        <v>2780.13</v>
      </c>
      <c r="H2232" t="s">
        <v>24</v>
      </c>
      <c r="I2232" t="s">
        <v>15</v>
      </c>
      <c r="J2232">
        <v>3.6</v>
      </c>
      <c r="K2232">
        <v>15</v>
      </c>
      <c r="L2232">
        <f t="shared" si="103"/>
        <v>2363.1105000000002</v>
      </c>
      <c r="M2232">
        <v>5</v>
      </c>
      <c r="N2232" t="str">
        <f t="shared" si="104"/>
        <v>Regular</v>
      </c>
    </row>
    <row r="2233" spans="1:14" x14ac:dyDescent="0.35">
      <c r="A2233">
        <v>2232</v>
      </c>
      <c r="B2233">
        <v>68</v>
      </c>
      <c r="C2233" t="str">
        <f t="shared" si="102"/>
        <v>Senior</v>
      </c>
      <c r="D2233" t="s">
        <v>16</v>
      </c>
      <c r="E2233" t="s">
        <v>33</v>
      </c>
      <c r="F2233" t="s">
        <v>38</v>
      </c>
      <c r="G2233">
        <v>206.56</v>
      </c>
      <c r="H2233" t="s">
        <v>19</v>
      </c>
      <c r="I2233" t="s">
        <v>15</v>
      </c>
      <c r="J2233">
        <v>3.3</v>
      </c>
      <c r="K2233">
        <v>10</v>
      </c>
      <c r="L2233">
        <f t="shared" si="103"/>
        <v>185.904</v>
      </c>
      <c r="M2233">
        <v>5</v>
      </c>
      <c r="N2233" t="str">
        <f t="shared" si="104"/>
        <v>Regular</v>
      </c>
    </row>
    <row r="2234" spans="1:14" x14ac:dyDescent="0.35">
      <c r="A2234">
        <v>2233</v>
      </c>
      <c r="B2234">
        <v>30</v>
      </c>
      <c r="C2234" t="str">
        <f t="shared" si="102"/>
        <v>Youth</v>
      </c>
      <c r="D2234" t="s">
        <v>11</v>
      </c>
      <c r="E2234" t="s">
        <v>41</v>
      </c>
      <c r="F2234" t="s">
        <v>42</v>
      </c>
      <c r="G2234">
        <v>186.33</v>
      </c>
      <c r="H2234" t="s">
        <v>19</v>
      </c>
      <c r="I2234" t="s">
        <v>15</v>
      </c>
      <c r="J2234">
        <v>3.5</v>
      </c>
      <c r="K2234">
        <v>12</v>
      </c>
      <c r="L2234">
        <f t="shared" si="103"/>
        <v>163.97040000000001</v>
      </c>
      <c r="M2234">
        <v>6</v>
      </c>
      <c r="N2234" t="str">
        <f t="shared" si="104"/>
        <v>Regular</v>
      </c>
    </row>
    <row r="2235" spans="1:14" x14ac:dyDescent="0.35">
      <c r="A2235">
        <v>2234</v>
      </c>
      <c r="B2235">
        <v>38</v>
      </c>
      <c r="C2235" t="str">
        <f t="shared" si="102"/>
        <v>Adult</v>
      </c>
      <c r="D2235" t="s">
        <v>16</v>
      </c>
      <c r="E2235" t="s">
        <v>17</v>
      </c>
      <c r="F2235" t="s">
        <v>18</v>
      </c>
      <c r="G2235">
        <v>156.71</v>
      </c>
      <c r="H2235" t="s">
        <v>24</v>
      </c>
      <c r="I2235" t="s">
        <v>15</v>
      </c>
      <c r="J2235">
        <v>3.4</v>
      </c>
      <c r="K2235">
        <v>16</v>
      </c>
      <c r="L2235">
        <f t="shared" si="103"/>
        <v>131.63640000000001</v>
      </c>
      <c r="M2235">
        <v>8</v>
      </c>
      <c r="N2235" t="str">
        <f t="shared" si="104"/>
        <v>Loyal</v>
      </c>
    </row>
    <row r="2236" spans="1:14" x14ac:dyDescent="0.35">
      <c r="A2236">
        <v>2235</v>
      </c>
      <c r="B2236">
        <v>42</v>
      </c>
      <c r="C2236" t="str">
        <f t="shared" si="102"/>
        <v>Adult</v>
      </c>
      <c r="D2236" t="s">
        <v>11</v>
      </c>
      <c r="E2236" t="s">
        <v>29</v>
      </c>
      <c r="F2236" t="s">
        <v>51</v>
      </c>
      <c r="G2236">
        <v>78.39</v>
      </c>
      <c r="H2236" t="s">
        <v>31</v>
      </c>
      <c r="I2236" t="s">
        <v>15</v>
      </c>
      <c r="J2236">
        <v>3.7</v>
      </c>
      <c r="K2236">
        <v>22</v>
      </c>
      <c r="L2236">
        <f t="shared" si="103"/>
        <v>61.144200000000005</v>
      </c>
      <c r="M2236">
        <v>6</v>
      </c>
      <c r="N2236" t="str">
        <f t="shared" si="104"/>
        <v>Regular</v>
      </c>
    </row>
    <row r="2237" spans="1:14" x14ac:dyDescent="0.35">
      <c r="A2237">
        <v>2236</v>
      </c>
      <c r="B2237">
        <v>63</v>
      </c>
      <c r="C2237" t="str">
        <f t="shared" si="102"/>
        <v>Senior</v>
      </c>
      <c r="D2237" t="s">
        <v>16</v>
      </c>
      <c r="E2237" t="s">
        <v>20</v>
      </c>
      <c r="F2237" t="s">
        <v>39</v>
      </c>
      <c r="G2237">
        <v>214.61</v>
      </c>
      <c r="H2237" t="s">
        <v>24</v>
      </c>
      <c r="I2237" t="s">
        <v>15</v>
      </c>
      <c r="J2237">
        <v>3.4</v>
      </c>
      <c r="K2237">
        <v>9</v>
      </c>
      <c r="L2237">
        <f t="shared" si="103"/>
        <v>195.29510000000002</v>
      </c>
      <c r="M2237">
        <v>2</v>
      </c>
      <c r="N2237" t="str">
        <f t="shared" si="104"/>
        <v>New</v>
      </c>
    </row>
    <row r="2238" spans="1:14" x14ac:dyDescent="0.35">
      <c r="A2238">
        <v>2237</v>
      </c>
      <c r="B2238">
        <v>34</v>
      </c>
      <c r="C2238" t="str">
        <f t="shared" si="102"/>
        <v>Adult</v>
      </c>
      <c r="D2238" t="s">
        <v>16</v>
      </c>
      <c r="E2238" t="s">
        <v>25</v>
      </c>
      <c r="F2238" t="s">
        <v>57</v>
      </c>
      <c r="G2238">
        <v>10.119999999999999</v>
      </c>
      <c r="H2238" t="s">
        <v>19</v>
      </c>
      <c r="I2238" t="s">
        <v>37</v>
      </c>
      <c r="J2238">
        <v>4.3</v>
      </c>
      <c r="K2238">
        <v>10</v>
      </c>
      <c r="L2238">
        <f t="shared" si="103"/>
        <v>9.1079999999999988</v>
      </c>
      <c r="M2238">
        <v>5</v>
      </c>
      <c r="N2238" t="str">
        <f t="shared" si="104"/>
        <v>Regular</v>
      </c>
    </row>
    <row r="2239" spans="1:14" x14ac:dyDescent="0.35">
      <c r="A2239">
        <v>2238</v>
      </c>
      <c r="B2239">
        <v>28</v>
      </c>
      <c r="C2239" t="str">
        <f t="shared" si="102"/>
        <v>Youth</v>
      </c>
      <c r="D2239" t="s">
        <v>11</v>
      </c>
      <c r="E2239" t="s">
        <v>12</v>
      </c>
      <c r="F2239" t="s">
        <v>56</v>
      </c>
      <c r="G2239">
        <v>125.16</v>
      </c>
      <c r="H2239" t="s">
        <v>24</v>
      </c>
      <c r="I2239" t="s">
        <v>15</v>
      </c>
      <c r="J2239">
        <v>3.8</v>
      </c>
      <c r="K2239">
        <v>8</v>
      </c>
      <c r="L2239">
        <f t="shared" si="103"/>
        <v>115.1472</v>
      </c>
      <c r="M2239">
        <v>4</v>
      </c>
      <c r="N2239" t="str">
        <f t="shared" si="104"/>
        <v>Regular</v>
      </c>
    </row>
    <row r="2240" spans="1:14" x14ac:dyDescent="0.35">
      <c r="A2240">
        <v>2239</v>
      </c>
      <c r="B2240">
        <v>34</v>
      </c>
      <c r="C2240" t="str">
        <f t="shared" si="102"/>
        <v>Adult</v>
      </c>
      <c r="D2240" t="s">
        <v>11</v>
      </c>
      <c r="E2240" t="s">
        <v>41</v>
      </c>
      <c r="F2240" t="s">
        <v>45</v>
      </c>
      <c r="G2240">
        <v>90.17</v>
      </c>
      <c r="H2240" t="s">
        <v>19</v>
      </c>
      <c r="I2240" t="s">
        <v>37</v>
      </c>
      <c r="J2240">
        <v>3.1</v>
      </c>
      <c r="K2240">
        <v>19</v>
      </c>
      <c r="L2240">
        <f t="shared" si="103"/>
        <v>73.037700000000001</v>
      </c>
      <c r="M2240">
        <v>7</v>
      </c>
      <c r="N2240" t="str">
        <f t="shared" si="104"/>
        <v>Regular</v>
      </c>
    </row>
    <row r="2241" spans="1:14" x14ac:dyDescent="0.35">
      <c r="A2241">
        <v>2240</v>
      </c>
      <c r="B2241">
        <v>60</v>
      </c>
      <c r="C2241" t="str">
        <f t="shared" si="102"/>
        <v>Adult</v>
      </c>
      <c r="D2241" t="s">
        <v>16</v>
      </c>
      <c r="E2241" t="s">
        <v>27</v>
      </c>
      <c r="F2241" t="s">
        <v>32</v>
      </c>
      <c r="G2241">
        <v>1445.76</v>
      </c>
      <c r="H2241" t="s">
        <v>19</v>
      </c>
      <c r="I2241" t="s">
        <v>15</v>
      </c>
      <c r="J2241">
        <v>4.5</v>
      </c>
      <c r="K2241">
        <v>16</v>
      </c>
      <c r="L2241">
        <f t="shared" si="103"/>
        <v>1214.4384</v>
      </c>
      <c r="M2241">
        <v>3</v>
      </c>
      <c r="N2241" t="str">
        <f t="shared" si="104"/>
        <v>New</v>
      </c>
    </row>
    <row r="2242" spans="1:14" x14ac:dyDescent="0.35">
      <c r="A2242">
        <v>2241</v>
      </c>
      <c r="B2242">
        <v>64</v>
      </c>
      <c r="C2242" t="str">
        <f t="shared" si="102"/>
        <v>Senior</v>
      </c>
      <c r="D2242" t="s">
        <v>16</v>
      </c>
      <c r="E2242" t="s">
        <v>33</v>
      </c>
      <c r="F2242" t="s">
        <v>34</v>
      </c>
      <c r="G2242">
        <v>45.29</v>
      </c>
      <c r="H2242" t="s">
        <v>31</v>
      </c>
      <c r="I2242" t="s">
        <v>37</v>
      </c>
      <c r="J2242">
        <v>4</v>
      </c>
      <c r="K2242">
        <v>30</v>
      </c>
      <c r="L2242">
        <f t="shared" si="103"/>
        <v>31.702999999999996</v>
      </c>
      <c r="M2242">
        <v>10</v>
      </c>
      <c r="N2242" t="str">
        <f t="shared" si="104"/>
        <v>Loyal</v>
      </c>
    </row>
    <row r="2243" spans="1:14" x14ac:dyDescent="0.35">
      <c r="A2243">
        <v>2242</v>
      </c>
      <c r="B2243">
        <v>36</v>
      </c>
      <c r="C2243" t="str">
        <f t="shared" ref="C2243:C2306" si="105">IF(B2243&lt;=30,"Youth",IF(B2243&lt;=45,"Adult",IF(B2243&lt;=60,"Adult","Senior")))</f>
        <v>Adult</v>
      </c>
      <c r="D2243" t="s">
        <v>11</v>
      </c>
      <c r="E2243" t="s">
        <v>33</v>
      </c>
      <c r="F2243" t="s">
        <v>38</v>
      </c>
      <c r="G2243">
        <v>120.65</v>
      </c>
      <c r="H2243" t="s">
        <v>19</v>
      </c>
      <c r="I2243" t="s">
        <v>15</v>
      </c>
      <c r="J2243">
        <v>4.9000000000000004</v>
      </c>
      <c r="K2243">
        <v>6</v>
      </c>
      <c r="L2243">
        <f t="shared" ref="L2243:L2306" si="106">G2243*(1-K2243/100)</f>
        <v>113.411</v>
      </c>
      <c r="M2243">
        <v>3</v>
      </c>
      <c r="N2243" t="str">
        <f t="shared" ref="N2243:N2306" si="107">IF(M2243&lt;=3,"New",IF(M2243&lt;=7,"Regular","Loyal"))</f>
        <v>New</v>
      </c>
    </row>
    <row r="2244" spans="1:14" x14ac:dyDescent="0.35">
      <c r="A2244">
        <v>2243</v>
      </c>
      <c r="B2244">
        <v>69</v>
      </c>
      <c r="C2244" t="str">
        <f t="shared" si="105"/>
        <v>Senior</v>
      </c>
      <c r="D2244" t="s">
        <v>16</v>
      </c>
      <c r="E2244" t="s">
        <v>20</v>
      </c>
      <c r="F2244" t="s">
        <v>36</v>
      </c>
      <c r="G2244">
        <v>204.74</v>
      </c>
      <c r="H2244" t="s">
        <v>31</v>
      </c>
      <c r="I2244" t="s">
        <v>15</v>
      </c>
      <c r="J2244">
        <v>4.0999999999999996</v>
      </c>
      <c r="K2244">
        <v>15</v>
      </c>
      <c r="L2244">
        <f t="shared" si="106"/>
        <v>174.029</v>
      </c>
      <c r="M2244">
        <v>5</v>
      </c>
      <c r="N2244" t="str">
        <f t="shared" si="107"/>
        <v>Regular</v>
      </c>
    </row>
    <row r="2245" spans="1:14" x14ac:dyDescent="0.35">
      <c r="A2245">
        <v>2244</v>
      </c>
      <c r="B2245">
        <v>37</v>
      </c>
      <c r="C2245" t="str">
        <f t="shared" si="105"/>
        <v>Adult</v>
      </c>
      <c r="D2245" t="s">
        <v>11</v>
      </c>
      <c r="E2245" t="s">
        <v>29</v>
      </c>
      <c r="F2245" t="s">
        <v>51</v>
      </c>
      <c r="G2245">
        <v>23.24</v>
      </c>
      <c r="H2245" t="s">
        <v>31</v>
      </c>
      <c r="I2245" t="s">
        <v>15</v>
      </c>
      <c r="J2245">
        <v>3.6</v>
      </c>
      <c r="K2245">
        <v>20</v>
      </c>
      <c r="L2245">
        <f t="shared" si="106"/>
        <v>18.591999999999999</v>
      </c>
      <c r="M2245">
        <v>5</v>
      </c>
      <c r="N2245" t="str">
        <f t="shared" si="107"/>
        <v>Regular</v>
      </c>
    </row>
    <row r="2246" spans="1:14" x14ac:dyDescent="0.35">
      <c r="A2246">
        <v>2245</v>
      </c>
      <c r="B2246">
        <v>52</v>
      </c>
      <c r="C2246" t="str">
        <f t="shared" si="105"/>
        <v>Adult</v>
      </c>
      <c r="D2246" t="s">
        <v>11</v>
      </c>
      <c r="E2246" t="s">
        <v>29</v>
      </c>
      <c r="F2246" t="s">
        <v>30</v>
      </c>
      <c r="G2246">
        <v>32.67</v>
      </c>
      <c r="H2246" t="s">
        <v>24</v>
      </c>
      <c r="I2246" t="s">
        <v>37</v>
      </c>
      <c r="J2246">
        <v>3.6</v>
      </c>
      <c r="K2246">
        <v>17</v>
      </c>
      <c r="L2246">
        <f t="shared" si="106"/>
        <v>27.116099999999999</v>
      </c>
      <c r="M2246">
        <v>6</v>
      </c>
      <c r="N2246" t="str">
        <f t="shared" si="107"/>
        <v>Regular</v>
      </c>
    </row>
    <row r="2247" spans="1:14" x14ac:dyDescent="0.35">
      <c r="A2247">
        <v>2246</v>
      </c>
      <c r="B2247">
        <v>31</v>
      </c>
      <c r="C2247" t="str">
        <f t="shared" si="105"/>
        <v>Adult</v>
      </c>
      <c r="D2247" t="s">
        <v>16</v>
      </c>
      <c r="E2247" t="s">
        <v>27</v>
      </c>
      <c r="F2247" t="s">
        <v>28</v>
      </c>
      <c r="G2247">
        <v>2789.38</v>
      </c>
      <c r="H2247" t="s">
        <v>19</v>
      </c>
      <c r="I2247" t="s">
        <v>15</v>
      </c>
      <c r="J2247">
        <v>4.7</v>
      </c>
      <c r="K2247">
        <v>12</v>
      </c>
      <c r="L2247">
        <f t="shared" si="106"/>
        <v>2454.6543999999999</v>
      </c>
      <c r="M2247">
        <v>6</v>
      </c>
      <c r="N2247" t="str">
        <f t="shared" si="107"/>
        <v>Regular</v>
      </c>
    </row>
    <row r="2248" spans="1:14" x14ac:dyDescent="0.35">
      <c r="A2248">
        <v>2247</v>
      </c>
      <c r="B2248">
        <v>67</v>
      </c>
      <c r="C2248" t="str">
        <f t="shared" si="105"/>
        <v>Senior</v>
      </c>
      <c r="D2248" t="s">
        <v>16</v>
      </c>
      <c r="E2248" t="s">
        <v>33</v>
      </c>
      <c r="F2248" t="s">
        <v>34</v>
      </c>
      <c r="G2248">
        <v>54.61</v>
      </c>
      <c r="H2248" t="s">
        <v>14</v>
      </c>
      <c r="I2248" t="s">
        <v>15</v>
      </c>
      <c r="J2248">
        <v>4.0999999999999996</v>
      </c>
      <c r="K2248">
        <v>8</v>
      </c>
      <c r="L2248">
        <f t="shared" si="106"/>
        <v>50.241199999999999</v>
      </c>
      <c r="M2248">
        <v>4</v>
      </c>
      <c r="N2248" t="str">
        <f t="shared" si="107"/>
        <v>Regular</v>
      </c>
    </row>
    <row r="2249" spans="1:14" x14ac:dyDescent="0.35">
      <c r="A2249">
        <v>2248</v>
      </c>
      <c r="B2249">
        <v>28</v>
      </c>
      <c r="C2249" t="str">
        <f t="shared" si="105"/>
        <v>Youth</v>
      </c>
      <c r="D2249" t="s">
        <v>16</v>
      </c>
      <c r="E2249" t="s">
        <v>20</v>
      </c>
      <c r="F2249" t="s">
        <v>36</v>
      </c>
      <c r="G2249">
        <v>157.25</v>
      </c>
      <c r="H2249" t="s">
        <v>19</v>
      </c>
      <c r="I2249" t="s">
        <v>15</v>
      </c>
      <c r="J2249">
        <v>4.2</v>
      </c>
      <c r="K2249">
        <v>18</v>
      </c>
      <c r="L2249">
        <f t="shared" si="106"/>
        <v>128.94500000000002</v>
      </c>
      <c r="M2249">
        <v>4</v>
      </c>
      <c r="N2249" t="str">
        <f t="shared" si="107"/>
        <v>Regular</v>
      </c>
    </row>
    <row r="2250" spans="1:14" x14ac:dyDescent="0.35">
      <c r="A2250">
        <v>2249</v>
      </c>
      <c r="B2250">
        <v>43</v>
      </c>
      <c r="C2250" t="str">
        <f t="shared" si="105"/>
        <v>Adult</v>
      </c>
      <c r="D2250" t="s">
        <v>16</v>
      </c>
      <c r="E2250" t="s">
        <v>25</v>
      </c>
      <c r="F2250" t="s">
        <v>26</v>
      </c>
      <c r="G2250">
        <v>20.079999999999998</v>
      </c>
      <c r="H2250" t="s">
        <v>31</v>
      </c>
      <c r="I2250" t="s">
        <v>15</v>
      </c>
      <c r="J2250">
        <v>4.2</v>
      </c>
      <c r="K2250">
        <v>9</v>
      </c>
      <c r="L2250">
        <f t="shared" si="106"/>
        <v>18.2728</v>
      </c>
      <c r="M2250">
        <v>2</v>
      </c>
      <c r="N2250" t="str">
        <f t="shared" si="107"/>
        <v>New</v>
      </c>
    </row>
    <row r="2251" spans="1:14" x14ac:dyDescent="0.35">
      <c r="A2251">
        <v>2250</v>
      </c>
      <c r="B2251">
        <v>45</v>
      </c>
      <c r="C2251" t="str">
        <f t="shared" si="105"/>
        <v>Adult</v>
      </c>
      <c r="D2251" t="s">
        <v>11</v>
      </c>
      <c r="E2251" t="s">
        <v>12</v>
      </c>
      <c r="F2251" t="s">
        <v>50</v>
      </c>
      <c r="G2251">
        <v>50.5</v>
      </c>
      <c r="H2251" t="s">
        <v>14</v>
      </c>
      <c r="I2251" t="s">
        <v>37</v>
      </c>
      <c r="J2251">
        <v>2.5</v>
      </c>
      <c r="K2251">
        <v>20</v>
      </c>
      <c r="L2251">
        <f t="shared" si="106"/>
        <v>40.400000000000006</v>
      </c>
      <c r="M2251">
        <v>5</v>
      </c>
      <c r="N2251" t="str">
        <f t="shared" si="107"/>
        <v>Regular</v>
      </c>
    </row>
    <row r="2252" spans="1:14" x14ac:dyDescent="0.35">
      <c r="A2252">
        <v>2251</v>
      </c>
      <c r="B2252">
        <v>57</v>
      </c>
      <c r="C2252" t="str">
        <f t="shared" si="105"/>
        <v>Adult</v>
      </c>
      <c r="D2252" t="s">
        <v>11</v>
      </c>
      <c r="E2252" t="s">
        <v>41</v>
      </c>
      <c r="F2252" t="s">
        <v>42</v>
      </c>
      <c r="G2252">
        <v>106.78</v>
      </c>
      <c r="H2252" t="s">
        <v>19</v>
      </c>
      <c r="I2252" t="s">
        <v>15</v>
      </c>
      <c r="J2252">
        <v>5</v>
      </c>
      <c r="K2252">
        <v>28</v>
      </c>
      <c r="L2252">
        <f t="shared" si="106"/>
        <v>76.881599999999992</v>
      </c>
      <c r="M2252">
        <v>9</v>
      </c>
      <c r="N2252" t="str">
        <f t="shared" si="107"/>
        <v>Loyal</v>
      </c>
    </row>
    <row r="2253" spans="1:14" x14ac:dyDescent="0.35">
      <c r="A2253">
        <v>2252</v>
      </c>
      <c r="B2253">
        <v>33</v>
      </c>
      <c r="C2253" t="str">
        <f t="shared" si="105"/>
        <v>Adult</v>
      </c>
      <c r="D2253" t="s">
        <v>11</v>
      </c>
      <c r="E2253" t="s">
        <v>12</v>
      </c>
      <c r="F2253" t="s">
        <v>56</v>
      </c>
      <c r="G2253">
        <v>21.35</v>
      </c>
      <c r="H2253" t="s">
        <v>24</v>
      </c>
      <c r="I2253" t="s">
        <v>37</v>
      </c>
      <c r="J2253">
        <v>3.9</v>
      </c>
      <c r="K2253">
        <v>13</v>
      </c>
      <c r="L2253">
        <f t="shared" si="106"/>
        <v>18.5745</v>
      </c>
      <c r="M2253">
        <v>4</v>
      </c>
      <c r="N2253" t="str">
        <f t="shared" si="107"/>
        <v>Regular</v>
      </c>
    </row>
    <row r="2254" spans="1:14" x14ac:dyDescent="0.35">
      <c r="A2254">
        <v>2253</v>
      </c>
      <c r="B2254">
        <v>69</v>
      </c>
      <c r="C2254" t="str">
        <f t="shared" si="105"/>
        <v>Senior</v>
      </c>
      <c r="D2254" t="s">
        <v>11</v>
      </c>
      <c r="E2254" t="s">
        <v>41</v>
      </c>
      <c r="F2254" t="s">
        <v>45</v>
      </c>
      <c r="G2254">
        <v>59.4</v>
      </c>
      <c r="H2254" t="s">
        <v>19</v>
      </c>
      <c r="I2254" t="s">
        <v>15</v>
      </c>
      <c r="J2254">
        <v>3.6</v>
      </c>
      <c r="K2254">
        <v>17</v>
      </c>
      <c r="L2254">
        <f t="shared" si="106"/>
        <v>49.302</v>
      </c>
      <c r="M2254">
        <v>6</v>
      </c>
      <c r="N2254" t="str">
        <f t="shared" si="107"/>
        <v>Regular</v>
      </c>
    </row>
    <row r="2255" spans="1:14" x14ac:dyDescent="0.35">
      <c r="A2255">
        <v>2254</v>
      </c>
      <c r="B2255">
        <v>60</v>
      </c>
      <c r="C2255" t="str">
        <f t="shared" si="105"/>
        <v>Adult</v>
      </c>
      <c r="D2255" t="s">
        <v>16</v>
      </c>
      <c r="E2255" t="s">
        <v>20</v>
      </c>
      <c r="F2255" t="s">
        <v>39</v>
      </c>
      <c r="G2255">
        <v>196.16</v>
      </c>
      <c r="H2255" t="s">
        <v>14</v>
      </c>
      <c r="I2255" t="s">
        <v>15</v>
      </c>
      <c r="J2255">
        <v>1.9</v>
      </c>
      <c r="K2255">
        <v>4</v>
      </c>
      <c r="L2255">
        <f t="shared" si="106"/>
        <v>188.31359999999998</v>
      </c>
      <c r="M2255">
        <v>2</v>
      </c>
      <c r="N2255" t="str">
        <f t="shared" si="107"/>
        <v>New</v>
      </c>
    </row>
    <row r="2256" spans="1:14" x14ac:dyDescent="0.35">
      <c r="A2256">
        <v>2255</v>
      </c>
      <c r="B2256">
        <v>34</v>
      </c>
      <c r="C2256" t="str">
        <f t="shared" si="105"/>
        <v>Adult</v>
      </c>
      <c r="D2256" t="s">
        <v>11</v>
      </c>
      <c r="E2256" t="s">
        <v>22</v>
      </c>
      <c r="F2256" t="s">
        <v>52</v>
      </c>
      <c r="G2256">
        <v>228.6</v>
      </c>
      <c r="H2256" t="s">
        <v>31</v>
      </c>
      <c r="I2256" t="s">
        <v>15</v>
      </c>
      <c r="J2256">
        <v>3.6</v>
      </c>
      <c r="K2256">
        <v>22</v>
      </c>
      <c r="L2256">
        <f t="shared" si="106"/>
        <v>178.30799999999999</v>
      </c>
      <c r="M2256">
        <v>6</v>
      </c>
      <c r="N2256" t="str">
        <f t="shared" si="107"/>
        <v>Regular</v>
      </c>
    </row>
    <row r="2257" spans="1:14" x14ac:dyDescent="0.35">
      <c r="A2257">
        <v>2256</v>
      </c>
      <c r="B2257">
        <v>62</v>
      </c>
      <c r="C2257" t="str">
        <f t="shared" si="105"/>
        <v>Senior</v>
      </c>
      <c r="D2257" t="s">
        <v>11</v>
      </c>
      <c r="E2257" t="s">
        <v>29</v>
      </c>
      <c r="F2257" t="s">
        <v>51</v>
      </c>
      <c r="G2257">
        <v>146.15</v>
      </c>
      <c r="H2257" t="s">
        <v>14</v>
      </c>
      <c r="I2257" t="s">
        <v>15</v>
      </c>
      <c r="J2257">
        <v>2.4</v>
      </c>
      <c r="K2257">
        <v>14</v>
      </c>
      <c r="L2257">
        <f t="shared" si="106"/>
        <v>125.68900000000001</v>
      </c>
      <c r="M2257">
        <v>7</v>
      </c>
      <c r="N2257" t="str">
        <f t="shared" si="107"/>
        <v>Regular</v>
      </c>
    </row>
    <row r="2258" spans="1:14" x14ac:dyDescent="0.35">
      <c r="A2258">
        <v>2257</v>
      </c>
      <c r="B2258">
        <v>44</v>
      </c>
      <c r="C2258" t="str">
        <f t="shared" si="105"/>
        <v>Adult</v>
      </c>
      <c r="D2258" t="s">
        <v>11</v>
      </c>
      <c r="E2258" t="s">
        <v>29</v>
      </c>
      <c r="F2258" t="s">
        <v>30</v>
      </c>
      <c r="G2258">
        <v>118.63</v>
      </c>
      <c r="H2258" t="s">
        <v>19</v>
      </c>
      <c r="I2258" t="s">
        <v>15</v>
      </c>
      <c r="J2258">
        <v>3.1</v>
      </c>
      <c r="K2258">
        <v>8</v>
      </c>
      <c r="L2258">
        <f t="shared" si="106"/>
        <v>109.1396</v>
      </c>
      <c r="M2258">
        <v>4</v>
      </c>
      <c r="N2258" t="str">
        <f t="shared" si="107"/>
        <v>Regular</v>
      </c>
    </row>
    <row r="2259" spans="1:14" x14ac:dyDescent="0.35">
      <c r="A2259">
        <v>2258</v>
      </c>
      <c r="B2259">
        <v>21</v>
      </c>
      <c r="C2259" t="str">
        <f t="shared" si="105"/>
        <v>Youth</v>
      </c>
      <c r="D2259" t="s">
        <v>16</v>
      </c>
      <c r="E2259" t="s">
        <v>27</v>
      </c>
      <c r="F2259" t="s">
        <v>28</v>
      </c>
      <c r="G2259">
        <v>1725.52</v>
      </c>
      <c r="H2259" t="s">
        <v>19</v>
      </c>
      <c r="I2259" t="s">
        <v>15</v>
      </c>
      <c r="J2259">
        <v>4.3</v>
      </c>
      <c r="K2259">
        <v>10</v>
      </c>
      <c r="L2259">
        <f t="shared" si="106"/>
        <v>1552.9680000000001</v>
      </c>
      <c r="M2259">
        <v>5</v>
      </c>
      <c r="N2259" t="str">
        <f t="shared" si="107"/>
        <v>Regular</v>
      </c>
    </row>
    <row r="2260" spans="1:14" x14ac:dyDescent="0.35">
      <c r="A2260">
        <v>2259</v>
      </c>
      <c r="B2260">
        <v>42</v>
      </c>
      <c r="C2260" t="str">
        <f t="shared" si="105"/>
        <v>Adult</v>
      </c>
      <c r="D2260" t="s">
        <v>16</v>
      </c>
      <c r="E2260" t="s">
        <v>33</v>
      </c>
      <c r="F2260" t="s">
        <v>38</v>
      </c>
      <c r="G2260">
        <v>217.85</v>
      </c>
      <c r="H2260" t="s">
        <v>14</v>
      </c>
      <c r="I2260" t="s">
        <v>15</v>
      </c>
      <c r="J2260">
        <v>4</v>
      </c>
      <c r="K2260">
        <v>26</v>
      </c>
      <c r="L2260">
        <f t="shared" si="106"/>
        <v>161.209</v>
      </c>
      <c r="M2260">
        <v>8</v>
      </c>
      <c r="N2260" t="str">
        <f t="shared" si="107"/>
        <v>Loyal</v>
      </c>
    </row>
    <row r="2261" spans="1:14" x14ac:dyDescent="0.35">
      <c r="A2261">
        <v>2260</v>
      </c>
      <c r="B2261">
        <v>39</v>
      </c>
      <c r="C2261" t="str">
        <f t="shared" si="105"/>
        <v>Adult</v>
      </c>
      <c r="D2261" t="s">
        <v>16</v>
      </c>
      <c r="E2261" t="s">
        <v>33</v>
      </c>
      <c r="F2261" t="s">
        <v>34</v>
      </c>
      <c r="G2261">
        <v>106.65</v>
      </c>
      <c r="H2261" t="s">
        <v>24</v>
      </c>
      <c r="I2261" t="s">
        <v>15</v>
      </c>
      <c r="J2261">
        <v>4.4000000000000004</v>
      </c>
      <c r="K2261">
        <v>16</v>
      </c>
      <c r="L2261">
        <f t="shared" si="106"/>
        <v>89.585999999999999</v>
      </c>
      <c r="M2261">
        <v>3</v>
      </c>
      <c r="N2261" t="str">
        <f t="shared" si="107"/>
        <v>New</v>
      </c>
    </row>
    <row r="2262" spans="1:14" x14ac:dyDescent="0.35">
      <c r="A2262">
        <v>2261</v>
      </c>
      <c r="B2262">
        <v>44</v>
      </c>
      <c r="C2262" t="str">
        <f t="shared" si="105"/>
        <v>Adult</v>
      </c>
      <c r="D2262" t="s">
        <v>11</v>
      </c>
      <c r="E2262" t="s">
        <v>20</v>
      </c>
      <c r="F2262" t="s">
        <v>39</v>
      </c>
      <c r="G2262">
        <v>108.39</v>
      </c>
      <c r="H2262" t="s">
        <v>24</v>
      </c>
      <c r="I2262" t="s">
        <v>15</v>
      </c>
      <c r="J2262">
        <v>3.3</v>
      </c>
      <c r="K2262">
        <v>23</v>
      </c>
      <c r="L2262">
        <f t="shared" si="106"/>
        <v>83.460300000000004</v>
      </c>
      <c r="M2262">
        <v>9</v>
      </c>
      <c r="N2262" t="str">
        <f t="shared" si="107"/>
        <v>Loyal</v>
      </c>
    </row>
    <row r="2263" spans="1:14" x14ac:dyDescent="0.35">
      <c r="A2263">
        <v>2262</v>
      </c>
      <c r="B2263">
        <v>20</v>
      </c>
      <c r="C2263" t="str">
        <f t="shared" si="105"/>
        <v>Youth</v>
      </c>
      <c r="D2263" t="s">
        <v>16</v>
      </c>
      <c r="E2263" t="s">
        <v>17</v>
      </c>
      <c r="F2263" t="s">
        <v>35</v>
      </c>
      <c r="G2263">
        <v>167.57</v>
      </c>
      <c r="H2263" t="s">
        <v>24</v>
      </c>
      <c r="I2263" t="s">
        <v>15</v>
      </c>
      <c r="J2263">
        <v>3.5</v>
      </c>
      <c r="K2263">
        <v>11</v>
      </c>
      <c r="L2263">
        <f t="shared" si="106"/>
        <v>149.13729999999998</v>
      </c>
      <c r="M2263">
        <v>3</v>
      </c>
      <c r="N2263" t="str">
        <f t="shared" si="107"/>
        <v>New</v>
      </c>
    </row>
    <row r="2264" spans="1:14" x14ac:dyDescent="0.35">
      <c r="A2264">
        <v>2263</v>
      </c>
      <c r="B2264">
        <v>57</v>
      </c>
      <c r="C2264" t="str">
        <f t="shared" si="105"/>
        <v>Adult</v>
      </c>
      <c r="D2264" t="s">
        <v>11</v>
      </c>
      <c r="E2264" t="s">
        <v>29</v>
      </c>
      <c r="F2264" t="s">
        <v>55</v>
      </c>
      <c r="G2264">
        <v>102.35</v>
      </c>
      <c r="H2264" t="s">
        <v>14</v>
      </c>
      <c r="I2264" t="s">
        <v>15</v>
      </c>
      <c r="J2264">
        <v>4</v>
      </c>
      <c r="K2264">
        <v>10</v>
      </c>
      <c r="L2264">
        <f t="shared" si="106"/>
        <v>92.114999999999995</v>
      </c>
      <c r="M2264">
        <v>5</v>
      </c>
      <c r="N2264" t="str">
        <f t="shared" si="107"/>
        <v>Regular</v>
      </c>
    </row>
    <row r="2265" spans="1:14" x14ac:dyDescent="0.35">
      <c r="A2265">
        <v>2264</v>
      </c>
      <c r="B2265">
        <v>44</v>
      </c>
      <c r="C2265" t="str">
        <f t="shared" si="105"/>
        <v>Adult</v>
      </c>
      <c r="D2265" t="s">
        <v>16</v>
      </c>
      <c r="E2265" t="s">
        <v>17</v>
      </c>
      <c r="F2265" t="s">
        <v>48</v>
      </c>
      <c r="G2265">
        <v>121.98</v>
      </c>
      <c r="H2265" t="s">
        <v>24</v>
      </c>
      <c r="I2265" t="s">
        <v>15</v>
      </c>
      <c r="J2265">
        <v>2.2000000000000002</v>
      </c>
      <c r="K2265">
        <v>9</v>
      </c>
      <c r="L2265">
        <f t="shared" si="106"/>
        <v>111.0018</v>
      </c>
      <c r="M2265">
        <v>2</v>
      </c>
      <c r="N2265" t="str">
        <f t="shared" si="107"/>
        <v>New</v>
      </c>
    </row>
    <row r="2266" spans="1:14" x14ac:dyDescent="0.35">
      <c r="A2266">
        <v>2265</v>
      </c>
      <c r="B2266">
        <v>35</v>
      </c>
      <c r="C2266" t="str">
        <f t="shared" si="105"/>
        <v>Adult</v>
      </c>
      <c r="D2266" t="s">
        <v>16</v>
      </c>
      <c r="E2266" t="s">
        <v>33</v>
      </c>
      <c r="F2266" t="s">
        <v>34</v>
      </c>
      <c r="G2266">
        <v>248.74</v>
      </c>
      <c r="H2266" t="s">
        <v>19</v>
      </c>
      <c r="I2266" t="s">
        <v>15</v>
      </c>
      <c r="J2266">
        <v>2.5</v>
      </c>
      <c r="K2266">
        <v>14</v>
      </c>
      <c r="L2266">
        <f t="shared" si="106"/>
        <v>213.91640000000001</v>
      </c>
      <c r="M2266">
        <v>2</v>
      </c>
      <c r="N2266" t="str">
        <f t="shared" si="107"/>
        <v>New</v>
      </c>
    </row>
    <row r="2267" spans="1:14" x14ac:dyDescent="0.35">
      <c r="A2267">
        <v>2266</v>
      </c>
      <c r="B2267">
        <v>43</v>
      </c>
      <c r="C2267" t="str">
        <f t="shared" si="105"/>
        <v>Adult</v>
      </c>
      <c r="D2267" t="s">
        <v>11</v>
      </c>
      <c r="E2267" t="s">
        <v>29</v>
      </c>
      <c r="F2267" t="s">
        <v>30</v>
      </c>
      <c r="G2267">
        <v>73.459999999999994</v>
      </c>
      <c r="H2267" t="s">
        <v>24</v>
      </c>
      <c r="I2267" t="s">
        <v>37</v>
      </c>
      <c r="J2267">
        <v>3.6</v>
      </c>
      <c r="K2267">
        <v>20</v>
      </c>
      <c r="L2267">
        <f t="shared" si="106"/>
        <v>58.768000000000001</v>
      </c>
      <c r="M2267">
        <v>5</v>
      </c>
      <c r="N2267" t="str">
        <f t="shared" si="107"/>
        <v>Regular</v>
      </c>
    </row>
    <row r="2268" spans="1:14" x14ac:dyDescent="0.35">
      <c r="A2268">
        <v>2267</v>
      </c>
      <c r="B2268">
        <v>29</v>
      </c>
      <c r="C2268" t="str">
        <f t="shared" si="105"/>
        <v>Youth</v>
      </c>
      <c r="D2268" t="s">
        <v>16</v>
      </c>
      <c r="E2268" t="s">
        <v>27</v>
      </c>
      <c r="F2268" t="s">
        <v>49</v>
      </c>
      <c r="G2268">
        <v>1145.69</v>
      </c>
      <c r="H2268" t="s">
        <v>24</v>
      </c>
      <c r="I2268" t="s">
        <v>15</v>
      </c>
      <c r="J2268">
        <v>3.3</v>
      </c>
      <c r="K2268">
        <v>18</v>
      </c>
      <c r="L2268">
        <f t="shared" si="106"/>
        <v>939.46580000000017</v>
      </c>
      <c r="M2268">
        <v>4</v>
      </c>
      <c r="N2268" t="str">
        <f t="shared" si="107"/>
        <v>Regular</v>
      </c>
    </row>
    <row r="2269" spans="1:14" x14ac:dyDescent="0.35">
      <c r="A2269">
        <v>2268</v>
      </c>
      <c r="B2269">
        <v>21</v>
      </c>
      <c r="C2269" t="str">
        <f t="shared" si="105"/>
        <v>Youth</v>
      </c>
      <c r="D2269" t="s">
        <v>11</v>
      </c>
      <c r="E2269" t="s">
        <v>25</v>
      </c>
      <c r="F2269" t="s">
        <v>54</v>
      </c>
      <c r="G2269">
        <v>52.42</v>
      </c>
      <c r="H2269" t="s">
        <v>31</v>
      </c>
      <c r="I2269" t="s">
        <v>15</v>
      </c>
      <c r="J2269">
        <v>3.7</v>
      </c>
      <c r="K2269">
        <v>6</v>
      </c>
      <c r="L2269">
        <f t="shared" si="106"/>
        <v>49.274799999999999</v>
      </c>
      <c r="M2269">
        <v>3</v>
      </c>
      <c r="N2269" t="str">
        <f t="shared" si="107"/>
        <v>New</v>
      </c>
    </row>
    <row r="2270" spans="1:14" x14ac:dyDescent="0.35">
      <c r="A2270">
        <v>2269</v>
      </c>
      <c r="B2270">
        <v>50</v>
      </c>
      <c r="C2270" t="str">
        <f t="shared" si="105"/>
        <v>Adult</v>
      </c>
      <c r="D2270" t="s">
        <v>16</v>
      </c>
      <c r="E2270" t="s">
        <v>17</v>
      </c>
      <c r="F2270" t="s">
        <v>18</v>
      </c>
      <c r="G2270">
        <v>173.36</v>
      </c>
      <c r="H2270" t="s">
        <v>24</v>
      </c>
      <c r="I2270" t="s">
        <v>15</v>
      </c>
      <c r="J2270">
        <v>3.5</v>
      </c>
      <c r="K2270">
        <v>4</v>
      </c>
      <c r="L2270">
        <f t="shared" si="106"/>
        <v>166.4256</v>
      </c>
      <c r="M2270">
        <v>2</v>
      </c>
      <c r="N2270" t="str">
        <f t="shared" si="107"/>
        <v>New</v>
      </c>
    </row>
    <row r="2271" spans="1:14" x14ac:dyDescent="0.35">
      <c r="A2271">
        <v>2270</v>
      </c>
      <c r="B2271">
        <v>51</v>
      </c>
      <c r="C2271" t="str">
        <f t="shared" si="105"/>
        <v>Adult</v>
      </c>
      <c r="D2271" t="s">
        <v>16</v>
      </c>
      <c r="E2271" t="s">
        <v>27</v>
      </c>
      <c r="F2271" t="s">
        <v>32</v>
      </c>
      <c r="G2271">
        <v>1611.83</v>
      </c>
      <c r="H2271" t="s">
        <v>19</v>
      </c>
      <c r="I2271" t="s">
        <v>15</v>
      </c>
      <c r="J2271">
        <v>2.6</v>
      </c>
      <c r="K2271">
        <v>24</v>
      </c>
      <c r="L2271">
        <f t="shared" si="106"/>
        <v>1224.9908</v>
      </c>
      <c r="M2271">
        <v>7</v>
      </c>
      <c r="N2271" t="str">
        <f t="shared" si="107"/>
        <v>Regular</v>
      </c>
    </row>
    <row r="2272" spans="1:14" x14ac:dyDescent="0.35">
      <c r="A2272">
        <v>2271</v>
      </c>
      <c r="B2272">
        <v>49</v>
      </c>
      <c r="C2272" t="str">
        <f t="shared" si="105"/>
        <v>Adult</v>
      </c>
      <c r="D2272" t="s">
        <v>11</v>
      </c>
      <c r="E2272" t="s">
        <v>41</v>
      </c>
      <c r="F2272" t="s">
        <v>46</v>
      </c>
      <c r="G2272">
        <v>189.27</v>
      </c>
      <c r="H2272" t="s">
        <v>31</v>
      </c>
      <c r="I2272" t="s">
        <v>15</v>
      </c>
      <c r="J2272">
        <v>4.0999999999999996</v>
      </c>
      <c r="K2272">
        <v>12</v>
      </c>
      <c r="L2272">
        <f t="shared" si="106"/>
        <v>166.55760000000001</v>
      </c>
      <c r="M2272">
        <v>1</v>
      </c>
      <c r="N2272" t="str">
        <f t="shared" si="107"/>
        <v>New</v>
      </c>
    </row>
    <row r="2273" spans="1:14" x14ac:dyDescent="0.35">
      <c r="A2273">
        <v>2272</v>
      </c>
      <c r="B2273">
        <v>38</v>
      </c>
      <c r="C2273" t="str">
        <f t="shared" si="105"/>
        <v>Adult</v>
      </c>
      <c r="D2273" t="s">
        <v>11</v>
      </c>
      <c r="E2273" t="s">
        <v>25</v>
      </c>
      <c r="F2273" t="s">
        <v>54</v>
      </c>
      <c r="G2273">
        <v>36.090000000000003</v>
      </c>
      <c r="H2273" t="s">
        <v>19</v>
      </c>
      <c r="I2273" t="s">
        <v>37</v>
      </c>
      <c r="J2273">
        <v>3.3</v>
      </c>
      <c r="K2273">
        <v>7</v>
      </c>
      <c r="L2273">
        <f t="shared" si="106"/>
        <v>33.563700000000004</v>
      </c>
      <c r="M2273">
        <v>1</v>
      </c>
      <c r="N2273" t="str">
        <f t="shared" si="107"/>
        <v>New</v>
      </c>
    </row>
    <row r="2274" spans="1:14" x14ac:dyDescent="0.35">
      <c r="A2274">
        <v>2273</v>
      </c>
      <c r="B2274">
        <v>33</v>
      </c>
      <c r="C2274" t="str">
        <f t="shared" si="105"/>
        <v>Adult</v>
      </c>
      <c r="D2274" t="s">
        <v>11</v>
      </c>
      <c r="E2274" t="s">
        <v>12</v>
      </c>
      <c r="F2274" t="s">
        <v>56</v>
      </c>
      <c r="G2274">
        <v>107.15</v>
      </c>
      <c r="H2274" t="s">
        <v>19</v>
      </c>
      <c r="I2274" t="s">
        <v>15</v>
      </c>
      <c r="J2274">
        <v>4.5</v>
      </c>
      <c r="K2274">
        <v>17</v>
      </c>
      <c r="L2274">
        <f t="shared" si="106"/>
        <v>88.9345</v>
      </c>
      <c r="M2274">
        <v>6</v>
      </c>
      <c r="N2274" t="str">
        <f t="shared" si="107"/>
        <v>Regular</v>
      </c>
    </row>
    <row r="2275" spans="1:14" x14ac:dyDescent="0.35">
      <c r="A2275">
        <v>2274</v>
      </c>
      <c r="B2275">
        <v>59</v>
      </c>
      <c r="C2275" t="str">
        <f t="shared" si="105"/>
        <v>Adult</v>
      </c>
      <c r="D2275" t="s">
        <v>11</v>
      </c>
      <c r="E2275" t="s">
        <v>12</v>
      </c>
      <c r="F2275" t="s">
        <v>50</v>
      </c>
      <c r="G2275">
        <v>23.3</v>
      </c>
      <c r="H2275" t="s">
        <v>19</v>
      </c>
      <c r="I2275" t="s">
        <v>15</v>
      </c>
      <c r="J2275">
        <v>3.7</v>
      </c>
      <c r="K2275">
        <v>12</v>
      </c>
      <c r="L2275">
        <f t="shared" si="106"/>
        <v>20.504000000000001</v>
      </c>
      <c r="M2275">
        <v>6</v>
      </c>
      <c r="N2275" t="str">
        <f t="shared" si="107"/>
        <v>Regular</v>
      </c>
    </row>
    <row r="2276" spans="1:14" x14ac:dyDescent="0.35">
      <c r="A2276">
        <v>2275</v>
      </c>
      <c r="B2276">
        <v>51</v>
      </c>
      <c r="C2276" t="str">
        <f t="shared" si="105"/>
        <v>Adult</v>
      </c>
      <c r="D2276" t="s">
        <v>11</v>
      </c>
      <c r="E2276" t="s">
        <v>25</v>
      </c>
      <c r="F2276" t="s">
        <v>57</v>
      </c>
      <c r="G2276">
        <v>37.909999999999997</v>
      </c>
      <c r="H2276" t="s">
        <v>14</v>
      </c>
      <c r="I2276" t="s">
        <v>37</v>
      </c>
      <c r="J2276">
        <v>4.2</v>
      </c>
      <c r="K2276">
        <v>20</v>
      </c>
      <c r="L2276">
        <f t="shared" si="106"/>
        <v>30.327999999999999</v>
      </c>
      <c r="M2276">
        <v>5</v>
      </c>
      <c r="N2276" t="str">
        <f t="shared" si="107"/>
        <v>Regular</v>
      </c>
    </row>
    <row r="2277" spans="1:14" x14ac:dyDescent="0.35">
      <c r="A2277">
        <v>2276</v>
      </c>
      <c r="B2277">
        <v>21</v>
      </c>
      <c r="C2277" t="str">
        <f t="shared" si="105"/>
        <v>Youth</v>
      </c>
      <c r="D2277" t="s">
        <v>11</v>
      </c>
      <c r="E2277" t="s">
        <v>25</v>
      </c>
      <c r="F2277" t="s">
        <v>57</v>
      </c>
      <c r="G2277">
        <v>14.56</v>
      </c>
      <c r="H2277" t="s">
        <v>14</v>
      </c>
      <c r="I2277" t="s">
        <v>37</v>
      </c>
      <c r="J2277">
        <v>4.2</v>
      </c>
      <c r="K2277">
        <v>11</v>
      </c>
      <c r="L2277">
        <f t="shared" si="106"/>
        <v>12.958400000000001</v>
      </c>
      <c r="M2277">
        <v>3</v>
      </c>
      <c r="N2277" t="str">
        <f t="shared" si="107"/>
        <v>New</v>
      </c>
    </row>
    <row r="2278" spans="1:14" x14ac:dyDescent="0.35">
      <c r="A2278">
        <v>2277</v>
      </c>
      <c r="B2278">
        <v>25</v>
      </c>
      <c r="C2278" t="str">
        <f t="shared" si="105"/>
        <v>Youth</v>
      </c>
      <c r="D2278" t="s">
        <v>11</v>
      </c>
      <c r="E2278" t="s">
        <v>29</v>
      </c>
      <c r="F2278" t="s">
        <v>51</v>
      </c>
      <c r="G2278">
        <v>95.41</v>
      </c>
      <c r="H2278" t="s">
        <v>14</v>
      </c>
      <c r="I2278" t="s">
        <v>37</v>
      </c>
      <c r="J2278">
        <v>2.7</v>
      </c>
      <c r="K2278">
        <v>18</v>
      </c>
      <c r="L2278">
        <f t="shared" si="106"/>
        <v>78.236199999999997</v>
      </c>
      <c r="M2278">
        <v>4</v>
      </c>
      <c r="N2278" t="str">
        <f t="shared" si="107"/>
        <v>Regular</v>
      </c>
    </row>
    <row r="2279" spans="1:14" x14ac:dyDescent="0.35">
      <c r="A2279">
        <v>2278</v>
      </c>
      <c r="B2279">
        <v>35</v>
      </c>
      <c r="C2279" t="str">
        <f t="shared" si="105"/>
        <v>Adult</v>
      </c>
      <c r="D2279" t="s">
        <v>16</v>
      </c>
      <c r="E2279" t="s">
        <v>27</v>
      </c>
      <c r="F2279" t="s">
        <v>32</v>
      </c>
      <c r="G2279">
        <v>549.72</v>
      </c>
      <c r="H2279" t="s">
        <v>14</v>
      </c>
      <c r="I2279" t="s">
        <v>15</v>
      </c>
      <c r="J2279">
        <v>2.4</v>
      </c>
      <c r="K2279">
        <v>18</v>
      </c>
      <c r="L2279">
        <f t="shared" si="106"/>
        <v>450.77040000000005</v>
      </c>
      <c r="M2279">
        <v>4</v>
      </c>
      <c r="N2279" t="str">
        <f t="shared" si="107"/>
        <v>Regular</v>
      </c>
    </row>
    <row r="2280" spans="1:14" x14ac:dyDescent="0.35">
      <c r="A2280">
        <v>2279</v>
      </c>
      <c r="B2280">
        <v>21</v>
      </c>
      <c r="C2280" t="str">
        <f t="shared" si="105"/>
        <v>Youth</v>
      </c>
      <c r="D2280" t="s">
        <v>16</v>
      </c>
      <c r="E2280" t="s">
        <v>27</v>
      </c>
      <c r="F2280" t="s">
        <v>28</v>
      </c>
      <c r="G2280">
        <v>2756.53</v>
      </c>
      <c r="H2280" t="s">
        <v>24</v>
      </c>
      <c r="I2280" t="s">
        <v>15</v>
      </c>
      <c r="J2280">
        <v>3.4</v>
      </c>
      <c r="K2280">
        <v>4</v>
      </c>
      <c r="L2280">
        <f t="shared" si="106"/>
        <v>2646.2688000000003</v>
      </c>
      <c r="M2280">
        <v>2</v>
      </c>
      <c r="N2280" t="str">
        <f t="shared" si="107"/>
        <v>New</v>
      </c>
    </row>
    <row r="2281" spans="1:14" x14ac:dyDescent="0.35">
      <c r="A2281">
        <v>2280</v>
      </c>
      <c r="B2281">
        <v>44</v>
      </c>
      <c r="C2281" t="str">
        <f t="shared" si="105"/>
        <v>Adult</v>
      </c>
      <c r="D2281" t="s">
        <v>11</v>
      </c>
      <c r="E2281" t="s">
        <v>33</v>
      </c>
      <c r="F2281" t="s">
        <v>38</v>
      </c>
      <c r="G2281">
        <v>189.21</v>
      </c>
      <c r="H2281" t="s">
        <v>31</v>
      </c>
      <c r="I2281" t="s">
        <v>15</v>
      </c>
      <c r="J2281">
        <v>5</v>
      </c>
      <c r="K2281">
        <v>12</v>
      </c>
      <c r="L2281">
        <f t="shared" si="106"/>
        <v>166.50480000000002</v>
      </c>
      <c r="M2281">
        <v>6</v>
      </c>
      <c r="N2281" t="str">
        <f t="shared" si="107"/>
        <v>Regular</v>
      </c>
    </row>
    <row r="2282" spans="1:14" x14ac:dyDescent="0.35">
      <c r="A2282">
        <v>2281</v>
      </c>
      <c r="B2282">
        <v>47</v>
      </c>
      <c r="C2282" t="str">
        <f t="shared" si="105"/>
        <v>Adult</v>
      </c>
      <c r="D2282" t="s">
        <v>11</v>
      </c>
      <c r="E2282" t="s">
        <v>41</v>
      </c>
      <c r="F2282" t="s">
        <v>45</v>
      </c>
      <c r="G2282">
        <v>110.42</v>
      </c>
      <c r="H2282" t="s">
        <v>14</v>
      </c>
      <c r="I2282" t="s">
        <v>15</v>
      </c>
      <c r="J2282">
        <v>3.7</v>
      </c>
      <c r="K2282">
        <v>15</v>
      </c>
      <c r="L2282">
        <f t="shared" si="106"/>
        <v>93.856999999999999</v>
      </c>
      <c r="M2282">
        <v>5</v>
      </c>
      <c r="N2282" t="str">
        <f t="shared" si="107"/>
        <v>Regular</v>
      </c>
    </row>
    <row r="2283" spans="1:14" x14ac:dyDescent="0.35">
      <c r="A2283">
        <v>2282</v>
      </c>
      <c r="B2283">
        <v>24</v>
      </c>
      <c r="C2283" t="str">
        <f t="shared" si="105"/>
        <v>Youth</v>
      </c>
      <c r="D2283" t="s">
        <v>16</v>
      </c>
      <c r="E2283" t="s">
        <v>27</v>
      </c>
      <c r="F2283" t="s">
        <v>28</v>
      </c>
      <c r="G2283">
        <v>1152.0999999999999</v>
      </c>
      <c r="H2283" t="s">
        <v>31</v>
      </c>
      <c r="I2283" t="s">
        <v>15</v>
      </c>
      <c r="J2283">
        <v>3.8</v>
      </c>
      <c r="K2283">
        <v>17</v>
      </c>
      <c r="L2283">
        <f t="shared" si="106"/>
        <v>956.24299999999982</v>
      </c>
      <c r="M2283">
        <v>6</v>
      </c>
      <c r="N2283" t="str">
        <f t="shared" si="107"/>
        <v>Regular</v>
      </c>
    </row>
    <row r="2284" spans="1:14" x14ac:dyDescent="0.35">
      <c r="A2284">
        <v>2283</v>
      </c>
      <c r="B2284">
        <v>56</v>
      </c>
      <c r="C2284" t="str">
        <f t="shared" si="105"/>
        <v>Adult</v>
      </c>
      <c r="D2284" t="s">
        <v>16</v>
      </c>
      <c r="E2284" t="s">
        <v>20</v>
      </c>
      <c r="F2284" t="s">
        <v>39</v>
      </c>
      <c r="G2284">
        <v>114.65</v>
      </c>
      <c r="H2284" t="s">
        <v>19</v>
      </c>
      <c r="I2284" t="s">
        <v>15</v>
      </c>
      <c r="J2284">
        <v>4</v>
      </c>
      <c r="K2284">
        <v>20</v>
      </c>
      <c r="L2284">
        <f t="shared" si="106"/>
        <v>91.720000000000013</v>
      </c>
      <c r="M2284">
        <v>5</v>
      </c>
      <c r="N2284" t="str">
        <f t="shared" si="107"/>
        <v>Regular</v>
      </c>
    </row>
    <row r="2285" spans="1:14" x14ac:dyDescent="0.35">
      <c r="A2285">
        <v>2284</v>
      </c>
      <c r="B2285">
        <v>42</v>
      </c>
      <c r="C2285" t="str">
        <f t="shared" si="105"/>
        <v>Adult</v>
      </c>
      <c r="D2285" t="s">
        <v>11</v>
      </c>
      <c r="E2285" t="s">
        <v>20</v>
      </c>
      <c r="F2285" t="s">
        <v>36</v>
      </c>
      <c r="G2285">
        <v>41.07</v>
      </c>
      <c r="H2285" t="s">
        <v>19</v>
      </c>
      <c r="I2285" t="s">
        <v>37</v>
      </c>
      <c r="J2285">
        <v>4.0999999999999996</v>
      </c>
      <c r="K2285">
        <v>12</v>
      </c>
      <c r="L2285">
        <f t="shared" si="106"/>
        <v>36.141600000000004</v>
      </c>
      <c r="M2285">
        <v>6</v>
      </c>
      <c r="N2285" t="str">
        <f t="shared" si="107"/>
        <v>Regular</v>
      </c>
    </row>
    <row r="2286" spans="1:14" x14ac:dyDescent="0.35">
      <c r="A2286">
        <v>2285</v>
      </c>
      <c r="B2286">
        <v>61</v>
      </c>
      <c r="C2286" t="str">
        <f t="shared" si="105"/>
        <v>Senior</v>
      </c>
      <c r="D2286" t="s">
        <v>16</v>
      </c>
      <c r="E2286" t="s">
        <v>17</v>
      </c>
      <c r="F2286" t="s">
        <v>18</v>
      </c>
      <c r="G2286">
        <v>74.099999999999994</v>
      </c>
      <c r="H2286" t="s">
        <v>14</v>
      </c>
      <c r="I2286" t="s">
        <v>15</v>
      </c>
      <c r="J2286">
        <v>3.9</v>
      </c>
      <c r="K2286">
        <v>19</v>
      </c>
      <c r="L2286">
        <f t="shared" si="106"/>
        <v>60.021000000000001</v>
      </c>
      <c r="M2286">
        <v>7</v>
      </c>
      <c r="N2286" t="str">
        <f t="shared" si="107"/>
        <v>Regular</v>
      </c>
    </row>
    <row r="2287" spans="1:14" x14ac:dyDescent="0.35">
      <c r="A2287">
        <v>2286</v>
      </c>
      <c r="B2287">
        <v>53</v>
      </c>
      <c r="C2287" t="str">
        <f t="shared" si="105"/>
        <v>Adult</v>
      </c>
      <c r="D2287" t="s">
        <v>11</v>
      </c>
      <c r="E2287" t="s">
        <v>22</v>
      </c>
      <c r="F2287" t="s">
        <v>52</v>
      </c>
      <c r="G2287">
        <v>168.46</v>
      </c>
      <c r="H2287" t="s">
        <v>14</v>
      </c>
      <c r="I2287" t="s">
        <v>15</v>
      </c>
      <c r="J2287">
        <v>3</v>
      </c>
      <c r="K2287">
        <v>21</v>
      </c>
      <c r="L2287">
        <f t="shared" si="106"/>
        <v>133.08340000000001</v>
      </c>
      <c r="M2287">
        <v>8</v>
      </c>
      <c r="N2287" t="str">
        <f t="shared" si="107"/>
        <v>Loyal</v>
      </c>
    </row>
    <row r="2288" spans="1:14" x14ac:dyDescent="0.35">
      <c r="A2288">
        <v>2287</v>
      </c>
      <c r="B2288">
        <v>39</v>
      </c>
      <c r="C2288" t="str">
        <f t="shared" si="105"/>
        <v>Adult</v>
      </c>
      <c r="D2288" t="s">
        <v>16</v>
      </c>
      <c r="E2288" t="s">
        <v>27</v>
      </c>
      <c r="F2288" t="s">
        <v>53</v>
      </c>
      <c r="G2288">
        <v>1717.63</v>
      </c>
      <c r="H2288" t="s">
        <v>14</v>
      </c>
      <c r="I2288" t="s">
        <v>15</v>
      </c>
      <c r="J2288">
        <v>4.3</v>
      </c>
      <c r="K2288">
        <v>18</v>
      </c>
      <c r="L2288">
        <f t="shared" si="106"/>
        <v>1408.4566000000002</v>
      </c>
      <c r="M2288">
        <v>4</v>
      </c>
      <c r="N2288" t="str">
        <f t="shared" si="107"/>
        <v>Regular</v>
      </c>
    </row>
    <row r="2289" spans="1:14" x14ac:dyDescent="0.35">
      <c r="A2289">
        <v>2288</v>
      </c>
      <c r="B2289">
        <v>58</v>
      </c>
      <c r="C2289" t="str">
        <f t="shared" si="105"/>
        <v>Adult</v>
      </c>
      <c r="D2289" t="s">
        <v>11</v>
      </c>
      <c r="E2289" t="s">
        <v>12</v>
      </c>
      <c r="F2289" t="s">
        <v>56</v>
      </c>
      <c r="G2289">
        <v>74.28</v>
      </c>
      <c r="H2289" t="s">
        <v>24</v>
      </c>
      <c r="I2289" t="s">
        <v>37</v>
      </c>
      <c r="J2289">
        <v>5</v>
      </c>
      <c r="K2289">
        <v>18</v>
      </c>
      <c r="L2289">
        <f t="shared" si="106"/>
        <v>60.909600000000005</v>
      </c>
      <c r="M2289">
        <v>4</v>
      </c>
      <c r="N2289" t="str">
        <f t="shared" si="107"/>
        <v>Regular</v>
      </c>
    </row>
    <row r="2290" spans="1:14" x14ac:dyDescent="0.35">
      <c r="A2290">
        <v>2289</v>
      </c>
      <c r="B2290">
        <v>70</v>
      </c>
      <c r="C2290" t="str">
        <f t="shared" si="105"/>
        <v>Senior</v>
      </c>
      <c r="D2290" t="s">
        <v>11</v>
      </c>
      <c r="E2290" t="s">
        <v>25</v>
      </c>
      <c r="F2290" t="s">
        <v>57</v>
      </c>
      <c r="G2290">
        <v>52.34</v>
      </c>
      <c r="H2290" t="s">
        <v>24</v>
      </c>
      <c r="I2290" t="s">
        <v>15</v>
      </c>
      <c r="J2290">
        <v>3.8</v>
      </c>
      <c r="K2290">
        <v>18</v>
      </c>
      <c r="L2290">
        <f t="shared" si="106"/>
        <v>42.918800000000005</v>
      </c>
      <c r="M2290">
        <v>4</v>
      </c>
      <c r="N2290" t="str">
        <f t="shared" si="107"/>
        <v>Regular</v>
      </c>
    </row>
    <row r="2291" spans="1:14" x14ac:dyDescent="0.35">
      <c r="A2291">
        <v>2290</v>
      </c>
      <c r="B2291">
        <v>62</v>
      </c>
      <c r="C2291" t="str">
        <f t="shared" si="105"/>
        <v>Senior</v>
      </c>
      <c r="D2291" t="s">
        <v>16</v>
      </c>
      <c r="E2291" t="s">
        <v>17</v>
      </c>
      <c r="F2291" t="s">
        <v>18</v>
      </c>
      <c r="G2291">
        <v>174.7</v>
      </c>
      <c r="H2291" t="s">
        <v>24</v>
      </c>
      <c r="I2291" t="s">
        <v>15</v>
      </c>
      <c r="J2291">
        <v>4.2</v>
      </c>
      <c r="K2291">
        <v>10</v>
      </c>
      <c r="L2291">
        <f t="shared" si="106"/>
        <v>157.22999999999999</v>
      </c>
      <c r="M2291">
        <v>5</v>
      </c>
      <c r="N2291" t="str">
        <f t="shared" si="107"/>
        <v>Regular</v>
      </c>
    </row>
    <row r="2292" spans="1:14" x14ac:dyDescent="0.35">
      <c r="A2292">
        <v>2291</v>
      </c>
      <c r="B2292">
        <v>45</v>
      </c>
      <c r="C2292" t="str">
        <f t="shared" si="105"/>
        <v>Adult</v>
      </c>
      <c r="D2292" t="s">
        <v>16</v>
      </c>
      <c r="E2292" t="s">
        <v>20</v>
      </c>
      <c r="F2292" t="s">
        <v>21</v>
      </c>
      <c r="G2292">
        <v>169.77</v>
      </c>
      <c r="H2292" t="s">
        <v>14</v>
      </c>
      <c r="I2292" t="s">
        <v>15</v>
      </c>
      <c r="J2292">
        <v>4.5999999999999996</v>
      </c>
      <c r="K2292">
        <v>14</v>
      </c>
      <c r="L2292">
        <f t="shared" si="106"/>
        <v>146.00220000000002</v>
      </c>
      <c r="M2292">
        <v>7</v>
      </c>
      <c r="N2292" t="str">
        <f t="shared" si="107"/>
        <v>Regular</v>
      </c>
    </row>
    <row r="2293" spans="1:14" x14ac:dyDescent="0.35">
      <c r="A2293">
        <v>2292</v>
      </c>
      <c r="B2293">
        <v>60</v>
      </c>
      <c r="C2293" t="str">
        <f t="shared" si="105"/>
        <v>Adult</v>
      </c>
      <c r="D2293" t="s">
        <v>16</v>
      </c>
      <c r="E2293" t="s">
        <v>33</v>
      </c>
      <c r="F2293" t="s">
        <v>38</v>
      </c>
      <c r="G2293">
        <v>70.959999999999994</v>
      </c>
      <c r="H2293" t="s">
        <v>19</v>
      </c>
      <c r="I2293" t="s">
        <v>15</v>
      </c>
      <c r="J2293">
        <v>3.6</v>
      </c>
      <c r="K2293">
        <v>20</v>
      </c>
      <c r="L2293">
        <f t="shared" si="106"/>
        <v>56.768000000000001</v>
      </c>
      <c r="M2293">
        <v>5</v>
      </c>
      <c r="N2293" t="str">
        <f t="shared" si="107"/>
        <v>Regular</v>
      </c>
    </row>
    <row r="2294" spans="1:14" x14ac:dyDescent="0.35">
      <c r="A2294">
        <v>2293</v>
      </c>
      <c r="B2294">
        <v>68</v>
      </c>
      <c r="C2294" t="str">
        <f t="shared" si="105"/>
        <v>Senior</v>
      </c>
      <c r="D2294" t="s">
        <v>16</v>
      </c>
      <c r="E2294" t="s">
        <v>20</v>
      </c>
      <c r="F2294" t="s">
        <v>21</v>
      </c>
      <c r="G2294">
        <v>177.66</v>
      </c>
      <c r="H2294" t="s">
        <v>31</v>
      </c>
      <c r="I2294" t="s">
        <v>15</v>
      </c>
      <c r="J2294">
        <v>4.7</v>
      </c>
      <c r="K2294">
        <v>22</v>
      </c>
      <c r="L2294">
        <f t="shared" si="106"/>
        <v>138.57480000000001</v>
      </c>
      <c r="M2294">
        <v>6</v>
      </c>
      <c r="N2294" t="str">
        <f t="shared" si="107"/>
        <v>Regular</v>
      </c>
    </row>
    <row r="2295" spans="1:14" x14ac:dyDescent="0.35">
      <c r="A2295">
        <v>2294</v>
      </c>
      <c r="B2295">
        <v>58</v>
      </c>
      <c r="C2295" t="str">
        <f t="shared" si="105"/>
        <v>Adult</v>
      </c>
      <c r="D2295" t="s">
        <v>11</v>
      </c>
      <c r="E2295" t="s">
        <v>12</v>
      </c>
      <c r="F2295" t="s">
        <v>13</v>
      </c>
      <c r="G2295">
        <v>114.19</v>
      </c>
      <c r="H2295" t="s">
        <v>19</v>
      </c>
      <c r="I2295" t="s">
        <v>15</v>
      </c>
      <c r="J2295">
        <v>1.8</v>
      </c>
      <c r="K2295">
        <v>10</v>
      </c>
      <c r="L2295">
        <f t="shared" si="106"/>
        <v>102.771</v>
      </c>
      <c r="M2295">
        <v>5</v>
      </c>
      <c r="N2295" t="str">
        <f t="shared" si="107"/>
        <v>Regular</v>
      </c>
    </row>
    <row r="2296" spans="1:14" x14ac:dyDescent="0.35">
      <c r="A2296">
        <v>2295</v>
      </c>
      <c r="B2296">
        <v>66</v>
      </c>
      <c r="C2296" t="str">
        <f t="shared" si="105"/>
        <v>Senior</v>
      </c>
      <c r="D2296" t="s">
        <v>16</v>
      </c>
      <c r="E2296" t="s">
        <v>20</v>
      </c>
      <c r="F2296" t="s">
        <v>36</v>
      </c>
      <c r="G2296">
        <v>242.46</v>
      </c>
      <c r="H2296" t="s">
        <v>19</v>
      </c>
      <c r="I2296" t="s">
        <v>15</v>
      </c>
      <c r="J2296">
        <v>3.9</v>
      </c>
      <c r="K2296">
        <v>12</v>
      </c>
      <c r="L2296">
        <f t="shared" si="106"/>
        <v>213.3648</v>
      </c>
      <c r="M2296">
        <v>6</v>
      </c>
      <c r="N2296" t="str">
        <f t="shared" si="107"/>
        <v>Regular</v>
      </c>
    </row>
    <row r="2297" spans="1:14" x14ac:dyDescent="0.35">
      <c r="A2297">
        <v>2296</v>
      </c>
      <c r="B2297">
        <v>51</v>
      </c>
      <c r="C2297" t="str">
        <f t="shared" si="105"/>
        <v>Adult</v>
      </c>
      <c r="D2297" t="s">
        <v>11</v>
      </c>
      <c r="E2297" t="s">
        <v>12</v>
      </c>
      <c r="F2297" t="s">
        <v>56</v>
      </c>
      <c r="G2297">
        <v>140.91999999999999</v>
      </c>
      <c r="H2297" t="s">
        <v>19</v>
      </c>
      <c r="I2297" t="s">
        <v>15</v>
      </c>
      <c r="J2297">
        <v>2.7</v>
      </c>
      <c r="K2297">
        <v>28</v>
      </c>
      <c r="L2297">
        <f t="shared" si="106"/>
        <v>101.46239999999999</v>
      </c>
      <c r="M2297">
        <v>9</v>
      </c>
      <c r="N2297" t="str">
        <f t="shared" si="107"/>
        <v>Loyal</v>
      </c>
    </row>
    <row r="2298" spans="1:14" x14ac:dyDescent="0.35">
      <c r="A2298">
        <v>2297</v>
      </c>
      <c r="B2298">
        <v>55</v>
      </c>
      <c r="C2298" t="str">
        <f t="shared" si="105"/>
        <v>Adult</v>
      </c>
      <c r="D2298" t="s">
        <v>11</v>
      </c>
      <c r="E2298" t="s">
        <v>33</v>
      </c>
      <c r="F2298" t="s">
        <v>40</v>
      </c>
      <c r="G2298">
        <v>81.99</v>
      </c>
      <c r="H2298" t="s">
        <v>31</v>
      </c>
      <c r="I2298" t="s">
        <v>37</v>
      </c>
      <c r="J2298">
        <v>4.7</v>
      </c>
      <c r="K2298">
        <v>18</v>
      </c>
      <c r="L2298">
        <f t="shared" si="106"/>
        <v>67.231800000000007</v>
      </c>
      <c r="M2298">
        <v>9</v>
      </c>
      <c r="N2298" t="str">
        <f t="shared" si="107"/>
        <v>Loyal</v>
      </c>
    </row>
    <row r="2299" spans="1:14" x14ac:dyDescent="0.35">
      <c r="A2299">
        <v>2298</v>
      </c>
      <c r="B2299">
        <v>50</v>
      </c>
      <c r="C2299" t="str">
        <f t="shared" si="105"/>
        <v>Adult</v>
      </c>
      <c r="D2299" t="s">
        <v>16</v>
      </c>
      <c r="E2299" t="s">
        <v>33</v>
      </c>
      <c r="F2299" t="s">
        <v>38</v>
      </c>
      <c r="G2299">
        <v>72.37</v>
      </c>
      <c r="H2299" t="s">
        <v>14</v>
      </c>
      <c r="I2299" t="s">
        <v>15</v>
      </c>
      <c r="J2299">
        <v>4.2</v>
      </c>
      <c r="K2299">
        <v>12</v>
      </c>
      <c r="L2299">
        <f t="shared" si="106"/>
        <v>63.685600000000001</v>
      </c>
      <c r="M2299">
        <v>6</v>
      </c>
      <c r="N2299" t="str">
        <f t="shared" si="107"/>
        <v>Regular</v>
      </c>
    </row>
    <row r="2300" spans="1:14" x14ac:dyDescent="0.35">
      <c r="A2300">
        <v>2299</v>
      </c>
      <c r="B2300">
        <v>36</v>
      </c>
      <c r="C2300" t="str">
        <f t="shared" si="105"/>
        <v>Adult</v>
      </c>
      <c r="D2300" t="s">
        <v>11</v>
      </c>
      <c r="E2300" t="s">
        <v>33</v>
      </c>
      <c r="F2300" t="s">
        <v>38</v>
      </c>
      <c r="G2300">
        <v>174.35</v>
      </c>
      <c r="H2300" t="s">
        <v>14</v>
      </c>
      <c r="I2300" t="s">
        <v>15</v>
      </c>
      <c r="J2300">
        <v>4.2</v>
      </c>
      <c r="K2300">
        <v>16</v>
      </c>
      <c r="L2300">
        <f t="shared" si="106"/>
        <v>146.45399999999998</v>
      </c>
      <c r="M2300">
        <v>3</v>
      </c>
      <c r="N2300" t="str">
        <f t="shared" si="107"/>
        <v>New</v>
      </c>
    </row>
    <row r="2301" spans="1:14" x14ac:dyDescent="0.35">
      <c r="A2301">
        <v>2300</v>
      </c>
      <c r="B2301">
        <v>31</v>
      </c>
      <c r="C2301" t="str">
        <f t="shared" si="105"/>
        <v>Adult</v>
      </c>
      <c r="D2301" t="s">
        <v>16</v>
      </c>
      <c r="E2301" t="s">
        <v>17</v>
      </c>
      <c r="F2301" t="s">
        <v>42</v>
      </c>
      <c r="G2301">
        <v>78.33</v>
      </c>
      <c r="H2301" t="s">
        <v>31</v>
      </c>
      <c r="I2301" t="s">
        <v>37</v>
      </c>
      <c r="J2301">
        <v>3.5</v>
      </c>
      <c r="K2301">
        <v>18</v>
      </c>
      <c r="L2301">
        <f t="shared" si="106"/>
        <v>64.23060000000001</v>
      </c>
      <c r="M2301">
        <v>9</v>
      </c>
      <c r="N2301" t="str">
        <f t="shared" si="107"/>
        <v>Loyal</v>
      </c>
    </row>
    <row r="2302" spans="1:14" x14ac:dyDescent="0.35">
      <c r="A2302">
        <v>2301</v>
      </c>
      <c r="B2302">
        <v>44</v>
      </c>
      <c r="C2302" t="str">
        <f t="shared" si="105"/>
        <v>Adult</v>
      </c>
      <c r="D2302" t="s">
        <v>11</v>
      </c>
      <c r="E2302" t="s">
        <v>29</v>
      </c>
      <c r="F2302" t="s">
        <v>30</v>
      </c>
      <c r="G2302">
        <v>39.78</v>
      </c>
      <c r="H2302" t="s">
        <v>31</v>
      </c>
      <c r="I2302" t="s">
        <v>37</v>
      </c>
      <c r="J2302">
        <v>3.2</v>
      </c>
      <c r="K2302">
        <v>14</v>
      </c>
      <c r="L2302">
        <f t="shared" si="106"/>
        <v>34.210799999999999</v>
      </c>
      <c r="M2302">
        <v>2</v>
      </c>
      <c r="N2302" t="str">
        <f t="shared" si="107"/>
        <v>New</v>
      </c>
    </row>
    <row r="2303" spans="1:14" x14ac:dyDescent="0.35">
      <c r="A2303">
        <v>2302</v>
      </c>
      <c r="B2303">
        <v>48</v>
      </c>
      <c r="C2303" t="str">
        <f t="shared" si="105"/>
        <v>Adult</v>
      </c>
      <c r="D2303" t="s">
        <v>16</v>
      </c>
      <c r="E2303" t="s">
        <v>17</v>
      </c>
      <c r="F2303" t="s">
        <v>18</v>
      </c>
      <c r="G2303">
        <v>185.38</v>
      </c>
      <c r="H2303" t="s">
        <v>24</v>
      </c>
      <c r="I2303" t="s">
        <v>15</v>
      </c>
      <c r="J2303">
        <v>4</v>
      </c>
      <c r="K2303">
        <v>21</v>
      </c>
      <c r="L2303">
        <f t="shared" si="106"/>
        <v>146.4502</v>
      </c>
      <c r="M2303">
        <v>8</v>
      </c>
      <c r="N2303" t="str">
        <f t="shared" si="107"/>
        <v>Loyal</v>
      </c>
    </row>
    <row r="2304" spans="1:14" x14ac:dyDescent="0.35">
      <c r="A2304">
        <v>2303</v>
      </c>
      <c r="B2304">
        <v>56</v>
      </c>
      <c r="C2304" t="str">
        <f t="shared" si="105"/>
        <v>Adult</v>
      </c>
      <c r="D2304" t="s">
        <v>16</v>
      </c>
      <c r="E2304" t="s">
        <v>27</v>
      </c>
      <c r="F2304" t="s">
        <v>49</v>
      </c>
      <c r="G2304">
        <v>1705.8</v>
      </c>
      <c r="H2304" t="s">
        <v>24</v>
      </c>
      <c r="I2304" t="s">
        <v>15</v>
      </c>
      <c r="J2304">
        <v>4.4000000000000004</v>
      </c>
      <c r="K2304">
        <v>12</v>
      </c>
      <c r="L2304">
        <f t="shared" si="106"/>
        <v>1501.104</v>
      </c>
      <c r="M2304">
        <v>6</v>
      </c>
      <c r="N2304" t="str">
        <f t="shared" si="107"/>
        <v>Regular</v>
      </c>
    </row>
    <row r="2305" spans="1:14" x14ac:dyDescent="0.35">
      <c r="A2305">
        <v>2304</v>
      </c>
      <c r="B2305">
        <v>64</v>
      </c>
      <c r="C2305" t="str">
        <f t="shared" si="105"/>
        <v>Senior</v>
      </c>
      <c r="D2305" t="s">
        <v>11</v>
      </c>
      <c r="E2305" t="s">
        <v>22</v>
      </c>
      <c r="F2305" t="s">
        <v>23</v>
      </c>
      <c r="G2305">
        <v>169.94</v>
      </c>
      <c r="H2305" t="s">
        <v>24</v>
      </c>
      <c r="I2305" t="s">
        <v>15</v>
      </c>
      <c r="J2305">
        <v>4.5</v>
      </c>
      <c r="K2305">
        <v>11</v>
      </c>
      <c r="L2305">
        <f t="shared" si="106"/>
        <v>151.2466</v>
      </c>
      <c r="M2305">
        <v>3</v>
      </c>
      <c r="N2305" t="str">
        <f t="shared" si="107"/>
        <v>New</v>
      </c>
    </row>
    <row r="2306" spans="1:14" x14ac:dyDescent="0.35">
      <c r="A2306">
        <v>2305</v>
      </c>
      <c r="B2306">
        <v>61</v>
      </c>
      <c r="C2306" t="str">
        <f t="shared" si="105"/>
        <v>Senior</v>
      </c>
      <c r="D2306" t="s">
        <v>11</v>
      </c>
      <c r="E2306" t="s">
        <v>33</v>
      </c>
      <c r="F2306" t="s">
        <v>34</v>
      </c>
      <c r="G2306">
        <v>50</v>
      </c>
      <c r="H2306" t="s">
        <v>31</v>
      </c>
      <c r="I2306" t="s">
        <v>37</v>
      </c>
      <c r="J2306">
        <v>3.8</v>
      </c>
      <c r="K2306">
        <v>15</v>
      </c>
      <c r="L2306">
        <f t="shared" si="106"/>
        <v>42.5</v>
      </c>
      <c r="M2306">
        <v>5</v>
      </c>
      <c r="N2306" t="str">
        <f t="shared" si="107"/>
        <v>Regular</v>
      </c>
    </row>
    <row r="2307" spans="1:14" x14ac:dyDescent="0.35">
      <c r="A2307">
        <v>2306</v>
      </c>
      <c r="B2307">
        <v>27</v>
      </c>
      <c r="C2307" t="str">
        <f t="shared" ref="C2307:C2370" si="108">IF(B2307&lt;=30,"Youth",IF(B2307&lt;=45,"Adult",IF(B2307&lt;=60,"Adult","Senior")))</f>
        <v>Youth</v>
      </c>
      <c r="D2307" t="s">
        <v>11</v>
      </c>
      <c r="E2307" t="s">
        <v>41</v>
      </c>
      <c r="F2307" t="s">
        <v>42</v>
      </c>
      <c r="G2307">
        <v>60.07</v>
      </c>
      <c r="H2307" t="s">
        <v>14</v>
      </c>
      <c r="I2307" t="s">
        <v>37</v>
      </c>
      <c r="J2307">
        <v>4.2</v>
      </c>
      <c r="K2307">
        <v>13</v>
      </c>
      <c r="L2307">
        <f t="shared" ref="L2307:L2370" si="109">G2307*(1-K2307/100)</f>
        <v>52.260899999999999</v>
      </c>
      <c r="M2307">
        <v>4</v>
      </c>
      <c r="N2307" t="str">
        <f t="shared" ref="N2307:N2370" si="110">IF(M2307&lt;=3,"New",IF(M2307&lt;=7,"Regular","Loyal"))</f>
        <v>Regular</v>
      </c>
    </row>
    <row r="2308" spans="1:14" x14ac:dyDescent="0.35">
      <c r="A2308">
        <v>2307</v>
      </c>
      <c r="B2308">
        <v>27</v>
      </c>
      <c r="C2308" t="str">
        <f t="shared" si="108"/>
        <v>Youth</v>
      </c>
      <c r="D2308" t="s">
        <v>11</v>
      </c>
      <c r="E2308" t="s">
        <v>12</v>
      </c>
      <c r="F2308" t="s">
        <v>50</v>
      </c>
      <c r="G2308">
        <v>20.49</v>
      </c>
      <c r="H2308" t="s">
        <v>19</v>
      </c>
      <c r="I2308" t="s">
        <v>15</v>
      </c>
      <c r="J2308">
        <v>4.7</v>
      </c>
      <c r="K2308">
        <v>19</v>
      </c>
      <c r="L2308">
        <f t="shared" si="109"/>
        <v>16.596900000000002</v>
      </c>
      <c r="M2308">
        <v>7</v>
      </c>
      <c r="N2308" t="str">
        <f t="shared" si="110"/>
        <v>Regular</v>
      </c>
    </row>
    <row r="2309" spans="1:14" x14ac:dyDescent="0.35">
      <c r="A2309">
        <v>2308</v>
      </c>
      <c r="B2309">
        <v>50</v>
      </c>
      <c r="C2309" t="str">
        <f t="shared" si="108"/>
        <v>Adult</v>
      </c>
      <c r="D2309" t="s">
        <v>11</v>
      </c>
      <c r="E2309" t="s">
        <v>12</v>
      </c>
      <c r="F2309" t="s">
        <v>56</v>
      </c>
      <c r="G2309">
        <v>140.16</v>
      </c>
      <c r="H2309" t="s">
        <v>31</v>
      </c>
      <c r="I2309" t="s">
        <v>15</v>
      </c>
      <c r="J2309">
        <v>4.5</v>
      </c>
      <c r="K2309">
        <v>9</v>
      </c>
      <c r="L2309">
        <f t="shared" si="109"/>
        <v>127.54560000000001</v>
      </c>
      <c r="M2309">
        <v>2</v>
      </c>
      <c r="N2309" t="str">
        <f t="shared" si="110"/>
        <v>New</v>
      </c>
    </row>
    <row r="2310" spans="1:14" x14ac:dyDescent="0.35">
      <c r="A2310">
        <v>2309</v>
      </c>
      <c r="B2310">
        <v>21</v>
      </c>
      <c r="C2310" t="str">
        <f t="shared" si="108"/>
        <v>Youth</v>
      </c>
      <c r="D2310" t="s">
        <v>11</v>
      </c>
      <c r="E2310" t="s">
        <v>29</v>
      </c>
      <c r="F2310" t="s">
        <v>51</v>
      </c>
      <c r="G2310">
        <v>108.17</v>
      </c>
      <c r="H2310" t="s">
        <v>14</v>
      </c>
      <c r="I2310" t="s">
        <v>15</v>
      </c>
      <c r="J2310">
        <v>4.5</v>
      </c>
      <c r="K2310">
        <v>12</v>
      </c>
      <c r="L2310">
        <f t="shared" si="109"/>
        <v>95.189599999999999</v>
      </c>
      <c r="M2310">
        <v>6</v>
      </c>
      <c r="N2310" t="str">
        <f t="shared" si="110"/>
        <v>Regular</v>
      </c>
    </row>
    <row r="2311" spans="1:14" x14ac:dyDescent="0.35">
      <c r="A2311">
        <v>2310</v>
      </c>
      <c r="B2311">
        <v>65</v>
      </c>
      <c r="C2311" t="str">
        <f t="shared" si="108"/>
        <v>Senior</v>
      </c>
      <c r="D2311" t="s">
        <v>16</v>
      </c>
      <c r="E2311" t="s">
        <v>20</v>
      </c>
      <c r="F2311" t="s">
        <v>21</v>
      </c>
      <c r="G2311">
        <v>153.65</v>
      </c>
      <c r="H2311" t="s">
        <v>14</v>
      </c>
      <c r="I2311" t="s">
        <v>15</v>
      </c>
      <c r="J2311">
        <v>2.9</v>
      </c>
      <c r="K2311">
        <v>23</v>
      </c>
      <c r="L2311">
        <f t="shared" si="109"/>
        <v>118.3105</v>
      </c>
      <c r="M2311">
        <v>9</v>
      </c>
      <c r="N2311" t="str">
        <f t="shared" si="110"/>
        <v>Loyal</v>
      </c>
    </row>
    <row r="2312" spans="1:14" x14ac:dyDescent="0.35">
      <c r="A2312">
        <v>2311</v>
      </c>
      <c r="B2312">
        <v>68</v>
      </c>
      <c r="C2312" t="str">
        <f t="shared" si="108"/>
        <v>Senior</v>
      </c>
      <c r="D2312" t="s">
        <v>16</v>
      </c>
      <c r="E2312" t="s">
        <v>33</v>
      </c>
      <c r="F2312" t="s">
        <v>40</v>
      </c>
      <c r="G2312">
        <v>224.62</v>
      </c>
      <c r="H2312" t="s">
        <v>31</v>
      </c>
      <c r="I2312" t="s">
        <v>15</v>
      </c>
      <c r="J2312">
        <v>3.9</v>
      </c>
      <c r="K2312">
        <v>4</v>
      </c>
      <c r="L2312">
        <f t="shared" si="109"/>
        <v>215.6352</v>
      </c>
      <c r="M2312">
        <v>2</v>
      </c>
      <c r="N2312" t="str">
        <f t="shared" si="110"/>
        <v>New</v>
      </c>
    </row>
    <row r="2313" spans="1:14" x14ac:dyDescent="0.35">
      <c r="A2313">
        <v>2312</v>
      </c>
      <c r="B2313">
        <v>45</v>
      </c>
      <c r="C2313" t="str">
        <f t="shared" si="108"/>
        <v>Adult</v>
      </c>
      <c r="D2313" t="s">
        <v>16</v>
      </c>
      <c r="E2313" t="s">
        <v>20</v>
      </c>
      <c r="F2313" t="s">
        <v>21</v>
      </c>
      <c r="G2313">
        <v>111.02</v>
      </c>
      <c r="H2313" t="s">
        <v>24</v>
      </c>
      <c r="I2313" t="s">
        <v>15</v>
      </c>
      <c r="J2313">
        <v>3.4</v>
      </c>
      <c r="K2313">
        <v>10</v>
      </c>
      <c r="L2313">
        <f t="shared" si="109"/>
        <v>99.917999999999992</v>
      </c>
      <c r="M2313">
        <v>5</v>
      </c>
      <c r="N2313" t="str">
        <f t="shared" si="110"/>
        <v>Regular</v>
      </c>
    </row>
    <row r="2314" spans="1:14" x14ac:dyDescent="0.35">
      <c r="A2314">
        <v>2313</v>
      </c>
      <c r="B2314">
        <v>34</v>
      </c>
      <c r="C2314" t="str">
        <f t="shared" si="108"/>
        <v>Adult</v>
      </c>
      <c r="D2314" t="s">
        <v>16</v>
      </c>
      <c r="E2314" t="s">
        <v>17</v>
      </c>
      <c r="F2314" t="s">
        <v>35</v>
      </c>
      <c r="G2314">
        <v>149.08000000000001</v>
      </c>
      <c r="H2314" t="s">
        <v>31</v>
      </c>
      <c r="I2314" t="s">
        <v>15</v>
      </c>
      <c r="J2314">
        <v>3.8</v>
      </c>
      <c r="K2314">
        <v>20</v>
      </c>
      <c r="L2314">
        <f t="shared" si="109"/>
        <v>119.26400000000001</v>
      </c>
      <c r="M2314">
        <v>5</v>
      </c>
      <c r="N2314" t="str">
        <f t="shared" si="110"/>
        <v>Regular</v>
      </c>
    </row>
    <row r="2315" spans="1:14" x14ac:dyDescent="0.35">
      <c r="A2315">
        <v>2314</v>
      </c>
      <c r="B2315">
        <v>25</v>
      </c>
      <c r="C2315" t="str">
        <f t="shared" si="108"/>
        <v>Youth</v>
      </c>
      <c r="D2315" t="s">
        <v>16</v>
      </c>
      <c r="E2315" t="s">
        <v>25</v>
      </c>
      <c r="F2315" t="s">
        <v>26</v>
      </c>
      <c r="G2315">
        <v>13.2</v>
      </c>
      <c r="H2315" t="s">
        <v>14</v>
      </c>
      <c r="I2315" t="s">
        <v>15</v>
      </c>
      <c r="J2315">
        <v>3.9</v>
      </c>
      <c r="K2315">
        <v>26</v>
      </c>
      <c r="L2315">
        <f t="shared" si="109"/>
        <v>9.7679999999999989</v>
      </c>
      <c r="M2315">
        <v>8</v>
      </c>
      <c r="N2315" t="str">
        <f t="shared" si="110"/>
        <v>Loyal</v>
      </c>
    </row>
    <row r="2316" spans="1:14" x14ac:dyDescent="0.35">
      <c r="A2316">
        <v>2315</v>
      </c>
      <c r="B2316">
        <v>37</v>
      </c>
      <c r="C2316" t="str">
        <f t="shared" si="108"/>
        <v>Adult</v>
      </c>
      <c r="D2316" t="s">
        <v>16</v>
      </c>
      <c r="E2316" t="s">
        <v>22</v>
      </c>
      <c r="F2316" t="s">
        <v>43</v>
      </c>
      <c r="G2316">
        <v>64.239999999999995</v>
      </c>
      <c r="H2316" t="s">
        <v>31</v>
      </c>
      <c r="I2316" t="s">
        <v>15</v>
      </c>
      <c r="J2316">
        <v>3.6</v>
      </c>
      <c r="K2316">
        <v>4</v>
      </c>
      <c r="L2316">
        <f t="shared" si="109"/>
        <v>61.670399999999994</v>
      </c>
      <c r="M2316">
        <v>2</v>
      </c>
      <c r="N2316" t="str">
        <f t="shared" si="110"/>
        <v>New</v>
      </c>
    </row>
    <row r="2317" spans="1:14" x14ac:dyDescent="0.35">
      <c r="A2317">
        <v>2316</v>
      </c>
      <c r="B2317">
        <v>41</v>
      </c>
      <c r="C2317" t="str">
        <f t="shared" si="108"/>
        <v>Adult</v>
      </c>
      <c r="D2317" t="s">
        <v>16</v>
      </c>
      <c r="E2317" t="s">
        <v>20</v>
      </c>
      <c r="F2317" t="s">
        <v>36</v>
      </c>
      <c r="G2317">
        <v>124.84</v>
      </c>
      <c r="H2317" t="s">
        <v>14</v>
      </c>
      <c r="I2317" t="s">
        <v>15</v>
      </c>
      <c r="J2317">
        <v>3.9</v>
      </c>
      <c r="K2317">
        <v>22</v>
      </c>
      <c r="L2317">
        <f t="shared" si="109"/>
        <v>97.375200000000007</v>
      </c>
      <c r="M2317">
        <v>6</v>
      </c>
      <c r="N2317" t="str">
        <f t="shared" si="110"/>
        <v>Regular</v>
      </c>
    </row>
    <row r="2318" spans="1:14" x14ac:dyDescent="0.35">
      <c r="A2318">
        <v>2317</v>
      </c>
      <c r="B2318">
        <v>68</v>
      </c>
      <c r="C2318" t="str">
        <f t="shared" si="108"/>
        <v>Senior</v>
      </c>
      <c r="D2318" t="s">
        <v>16</v>
      </c>
      <c r="E2318" t="s">
        <v>33</v>
      </c>
      <c r="F2318" t="s">
        <v>38</v>
      </c>
      <c r="G2318">
        <v>102.27</v>
      </c>
      <c r="H2318" t="s">
        <v>31</v>
      </c>
      <c r="I2318" t="s">
        <v>15</v>
      </c>
      <c r="J2318">
        <v>3.9</v>
      </c>
      <c r="K2318">
        <v>12</v>
      </c>
      <c r="L2318">
        <f t="shared" si="109"/>
        <v>89.997599999999991</v>
      </c>
      <c r="M2318">
        <v>6</v>
      </c>
      <c r="N2318" t="str">
        <f t="shared" si="110"/>
        <v>Regular</v>
      </c>
    </row>
    <row r="2319" spans="1:14" x14ac:dyDescent="0.35">
      <c r="A2319">
        <v>2318</v>
      </c>
      <c r="B2319">
        <v>46</v>
      </c>
      <c r="C2319" t="str">
        <f t="shared" si="108"/>
        <v>Adult</v>
      </c>
      <c r="D2319" t="s">
        <v>11</v>
      </c>
      <c r="E2319" t="s">
        <v>22</v>
      </c>
      <c r="F2319" t="s">
        <v>23</v>
      </c>
      <c r="G2319">
        <v>186.17</v>
      </c>
      <c r="H2319" t="s">
        <v>19</v>
      </c>
      <c r="I2319" t="s">
        <v>15</v>
      </c>
      <c r="J2319">
        <v>3.7</v>
      </c>
      <c r="K2319">
        <v>22</v>
      </c>
      <c r="L2319">
        <f t="shared" si="109"/>
        <v>145.21260000000001</v>
      </c>
      <c r="M2319">
        <v>6</v>
      </c>
      <c r="N2319" t="str">
        <f t="shared" si="110"/>
        <v>Regular</v>
      </c>
    </row>
    <row r="2320" spans="1:14" x14ac:dyDescent="0.35">
      <c r="A2320">
        <v>2319</v>
      </c>
      <c r="B2320">
        <v>39</v>
      </c>
      <c r="C2320" t="str">
        <f t="shared" si="108"/>
        <v>Adult</v>
      </c>
      <c r="D2320" t="s">
        <v>11</v>
      </c>
      <c r="E2320" t="s">
        <v>41</v>
      </c>
      <c r="F2320" t="s">
        <v>45</v>
      </c>
      <c r="G2320">
        <v>143.51</v>
      </c>
      <c r="H2320" t="s">
        <v>31</v>
      </c>
      <c r="I2320" t="s">
        <v>15</v>
      </c>
      <c r="J2320">
        <v>3.7</v>
      </c>
      <c r="K2320">
        <v>22</v>
      </c>
      <c r="L2320">
        <f t="shared" si="109"/>
        <v>111.9378</v>
      </c>
      <c r="M2320">
        <v>6</v>
      </c>
      <c r="N2320" t="str">
        <f t="shared" si="110"/>
        <v>Regular</v>
      </c>
    </row>
    <row r="2321" spans="1:14" x14ac:dyDescent="0.35">
      <c r="A2321">
        <v>2320</v>
      </c>
      <c r="B2321">
        <v>53</v>
      </c>
      <c r="C2321" t="str">
        <f t="shared" si="108"/>
        <v>Adult</v>
      </c>
      <c r="D2321" t="s">
        <v>16</v>
      </c>
      <c r="E2321" t="s">
        <v>33</v>
      </c>
      <c r="F2321" t="s">
        <v>40</v>
      </c>
      <c r="G2321">
        <v>97.72</v>
      </c>
      <c r="H2321" t="s">
        <v>14</v>
      </c>
      <c r="I2321" t="s">
        <v>15</v>
      </c>
      <c r="J2321">
        <v>3.3</v>
      </c>
      <c r="K2321">
        <v>24</v>
      </c>
      <c r="L2321">
        <f t="shared" si="109"/>
        <v>74.267200000000003</v>
      </c>
      <c r="M2321">
        <v>7</v>
      </c>
      <c r="N2321" t="str">
        <f t="shared" si="110"/>
        <v>Regular</v>
      </c>
    </row>
    <row r="2322" spans="1:14" x14ac:dyDescent="0.35">
      <c r="A2322">
        <v>2321</v>
      </c>
      <c r="B2322">
        <v>47</v>
      </c>
      <c r="C2322" t="str">
        <f t="shared" si="108"/>
        <v>Adult</v>
      </c>
      <c r="D2322" t="s">
        <v>11</v>
      </c>
      <c r="E2322" t="s">
        <v>20</v>
      </c>
      <c r="F2322" t="s">
        <v>21</v>
      </c>
      <c r="G2322">
        <v>212.99</v>
      </c>
      <c r="H2322" t="s">
        <v>14</v>
      </c>
      <c r="I2322" t="s">
        <v>15</v>
      </c>
      <c r="J2322">
        <v>4.0999999999999996</v>
      </c>
      <c r="K2322">
        <v>15</v>
      </c>
      <c r="L2322">
        <f t="shared" si="109"/>
        <v>181.04150000000001</v>
      </c>
      <c r="M2322">
        <v>5</v>
      </c>
      <c r="N2322" t="str">
        <f t="shared" si="110"/>
        <v>Regular</v>
      </c>
    </row>
    <row r="2323" spans="1:14" x14ac:dyDescent="0.35">
      <c r="A2323">
        <v>2322</v>
      </c>
      <c r="B2323">
        <v>70</v>
      </c>
      <c r="C2323" t="str">
        <f t="shared" si="108"/>
        <v>Senior</v>
      </c>
      <c r="D2323" t="s">
        <v>11</v>
      </c>
      <c r="E2323" t="s">
        <v>12</v>
      </c>
      <c r="F2323" t="s">
        <v>50</v>
      </c>
      <c r="G2323">
        <v>149.53</v>
      </c>
      <c r="H2323" t="s">
        <v>31</v>
      </c>
      <c r="I2323" t="s">
        <v>15</v>
      </c>
      <c r="J2323">
        <v>3.8</v>
      </c>
      <c r="K2323">
        <v>8</v>
      </c>
      <c r="L2323">
        <f t="shared" si="109"/>
        <v>137.5676</v>
      </c>
      <c r="M2323">
        <v>4</v>
      </c>
      <c r="N2323" t="str">
        <f t="shared" si="110"/>
        <v>Regular</v>
      </c>
    </row>
    <row r="2324" spans="1:14" x14ac:dyDescent="0.35">
      <c r="A2324">
        <v>2323</v>
      </c>
      <c r="B2324">
        <v>27</v>
      </c>
      <c r="C2324" t="str">
        <f t="shared" si="108"/>
        <v>Youth</v>
      </c>
      <c r="D2324" t="s">
        <v>16</v>
      </c>
      <c r="E2324" t="s">
        <v>33</v>
      </c>
      <c r="F2324" t="s">
        <v>40</v>
      </c>
      <c r="G2324">
        <v>104.13</v>
      </c>
      <c r="H2324" t="s">
        <v>24</v>
      </c>
      <c r="I2324" t="s">
        <v>15</v>
      </c>
      <c r="J2324">
        <v>3</v>
      </c>
      <c r="K2324">
        <v>19</v>
      </c>
      <c r="L2324">
        <f t="shared" si="109"/>
        <v>84.345300000000009</v>
      </c>
      <c r="M2324">
        <v>7</v>
      </c>
      <c r="N2324" t="str">
        <f t="shared" si="110"/>
        <v>Regular</v>
      </c>
    </row>
    <row r="2325" spans="1:14" x14ac:dyDescent="0.35">
      <c r="A2325">
        <v>2324</v>
      </c>
      <c r="B2325">
        <v>66</v>
      </c>
      <c r="C2325" t="str">
        <f t="shared" si="108"/>
        <v>Senior</v>
      </c>
      <c r="D2325" t="s">
        <v>16</v>
      </c>
      <c r="E2325" t="s">
        <v>33</v>
      </c>
      <c r="F2325" t="s">
        <v>40</v>
      </c>
      <c r="G2325">
        <v>86.86</v>
      </c>
      <c r="H2325" t="s">
        <v>19</v>
      </c>
      <c r="I2325" t="s">
        <v>37</v>
      </c>
      <c r="J2325">
        <v>2.6</v>
      </c>
      <c r="K2325">
        <v>12</v>
      </c>
      <c r="L2325">
        <f t="shared" si="109"/>
        <v>76.436800000000005</v>
      </c>
      <c r="M2325">
        <v>6</v>
      </c>
      <c r="N2325" t="str">
        <f t="shared" si="110"/>
        <v>Regular</v>
      </c>
    </row>
    <row r="2326" spans="1:14" x14ac:dyDescent="0.35">
      <c r="A2326">
        <v>2325</v>
      </c>
      <c r="B2326">
        <v>50</v>
      </c>
      <c r="C2326" t="str">
        <f t="shared" si="108"/>
        <v>Adult</v>
      </c>
      <c r="D2326" t="s">
        <v>16</v>
      </c>
      <c r="E2326" t="s">
        <v>33</v>
      </c>
      <c r="F2326" t="s">
        <v>40</v>
      </c>
      <c r="G2326">
        <v>155.91999999999999</v>
      </c>
      <c r="H2326" t="s">
        <v>24</v>
      </c>
      <c r="I2326" t="s">
        <v>15</v>
      </c>
      <c r="J2326">
        <v>2.6</v>
      </c>
      <c r="K2326">
        <v>6</v>
      </c>
      <c r="L2326">
        <f t="shared" si="109"/>
        <v>146.56479999999999</v>
      </c>
      <c r="M2326">
        <v>3</v>
      </c>
      <c r="N2326" t="str">
        <f t="shared" si="110"/>
        <v>New</v>
      </c>
    </row>
    <row r="2327" spans="1:14" x14ac:dyDescent="0.35">
      <c r="A2327">
        <v>2326</v>
      </c>
      <c r="B2327">
        <v>46</v>
      </c>
      <c r="C2327" t="str">
        <f t="shared" si="108"/>
        <v>Adult</v>
      </c>
      <c r="D2327" t="s">
        <v>11</v>
      </c>
      <c r="E2327" t="s">
        <v>29</v>
      </c>
      <c r="F2327" t="s">
        <v>55</v>
      </c>
      <c r="G2327">
        <v>42.37</v>
      </c>
      <c r="H2327" t="s">
        <v>31</v>
      </c>
      <c r="I2327" t="s">
        <v>15</v>
      </c>
      <c r="J2327">
        <v>3.3</v>
      </c>
      <c r="K2327">
        <v>11</v>
      </c>
      <c r="L2327">
        <f t="shared" si="109"/>
        <v>37.709299999999999</v>
      </c>
      <c r="M2327">
        <v>3</v>
      </c>
      <c r="N2327" t="str">
        <f t="shared" si="110"/>
        <v>New</v>
      </c>
    </row>
    <row r="2328" spans="1:14" x14ac:dyDescent="0.35">
      <c r="A2328">
        <v>2327</v>
      </c>
      <c r="B2328">
        <v>34</v>
      </c>
      <c r="C2328" t="str">
        <f t="shared" si="108"/>
        <v>Adult</v>
      </c>
      <c r="D2328" t="s">
        <v>16</v>
      </c>
      <c r="E2328" t="s">
        <v>17</v>
      </c>
      <c r="F2328" t="s">
        <v>35</v>
      </c>
      <c r="G2328">
        <v>55.77</v>
      </c>
      <c r="H2328" t="s">
        <v>14</v>
      </c>
      <c r="I2328" t="s">
        <v>15</v>
      </c>
      <c r="J2328">
        <v>2.4</v>
      </c>
      <c r="K2328">
        <v>10</v>
      </c>
      <c r="L2328">
        <f t="shared" si="109"/>
        <v>50.193000000000005</v>
      </c>
      <c r="M2328">
        <v>5</v>
      </c>
      <c r="N2328" t="str">
        <f t="shared" si="110"/>
        <v>Regular</v>
      </c>
    </row>
    <row r="2329" spans="1:14" x14ac:dyDescent="0.35">
      <c r="A2329">
        <v>2328</v>
      </c>
      <c r="B2329">
        <v>35</v>
      </c>
      <c r="C2329" t="str">
        <f t="shared" si="108"/>
        <v>Adult</v>
      </c>
      <c r="D2329" t="s">
        <v>11</v>
      </c>
      <c r="E2329" t="s">
        <v>33</v>
      </c>
      <c r="F2329" t="s">
        <v>38</v>
      </c>
      <c r="G2329">
        <v>202.39</v>
      </c>
      <c r="H2329" t="s">
        <v>24</v>
      </c>
      <c r="I2329" t="s">
        <v>15</v>
      </c>
      <c r="J2329">
        <v>2.5</v>
      </c>
      <c r="K2329">
        <v>11</v>
      </c>
      <c r="L2329">
        <f t="shared" si="109"/>
        <v>180.12709999999998</v>
      </c>
      <c r="M2329">
        <v>3</v>
      </c>
      <c r="N2329" t="str">
        <f t="shared" si="110"/>
        <v>New</v>
      </c>
    </row>
    <row r="2330" spans="1:14" x14ac:dyDescent="0.35">
      <c r="A2330">
        <v>2329</v>
      </c>
      <c r="B2330">
        <v>30</v>
      </c>
      <c r="C2330" t="str">
        <f t="shared" si="108"/>
        <v>Youth</v>
      </c>
      <c r="D2330" t="s">
        <v>11</v>
      </c>
      <c r="E2330" t="s">
        <v>29</v>
      </c>
      <c r="F2330" t="s">
        <v>51</v>
      </c>
      <c r="G2330">
        <v>146.26</v>
      </c>
      <c r="H2330" t="s">
        <v>24</v>
      </c>
      <c r="I2330" t="s">
        <v>15</v>
      </c>
      <c r="J2330">
        <v>3.9</v>
      </c>
      <c r="K2330">
        <v>7</v>
      </c>
      <c r="L2330">
        <f t="shared" si="109"/>
        <v>136.02179999999998</v>
      </c>
      <c r="M2330">
        <v>1</v>
      </c>
      <c r="N2330" t="str">
        <f t="shared" si="110"/>
        <v>New</v>
      </c>
    </row>
    <row r="2331" spans="1:14" x14ac:dyDescent="0.35">
      <c r="A2331">
        <v>2330</v>
      </c>
      <c r="B2331">
        <v>64</v>
      </c>
      <c r="C2331" t="str">
        <f t="shared" si="108"/>
        <v>Senior</v>
      </c>
      <c r="D2331" t="s">
        <v>16</v>
      </c>
      <c r="E2331" t="s">
        <v>27</v>
      </c>
      <c r="F2331" t="s">
        <v>53</v>
      </c>
      <c r="G2331">
        <v>1531.63</v>
      </c>
      <c r="H2331" t="s">
        <v>19</v>
      </c>
      <c r="I2331" t="s">
        <v>15</v>
      </c>
      <c r="J2331">
        <v>4.0999999999999996</v>
      </c>
      <c r="K2331">
        <v>28</v>
      </c>
      <c r="L2331">
        <f t="shared" si="109"/>
        <v>1102.7736</v>
      </c>
      <c r="M2331">
        <v>9</v>
      </c>
      <c r="N2331" t="str">
        <f t="shared" si="110"/>
        <v>Loyal</v>
      </c>
    </row>
    <row r="2332" spans="1:14" x14ac:dyDescent="0.35">
      <c r="A2332">
        <v>2331</v>
      </c>
      <c r="B2332">
        <v>42</v>
      </c>
      <c r="C2332" t="str">
        <f t="shared" si="108"/>
        <v>Adult</v>
      </c>
      <c r="D2332" t="s">
        <v>16</v>
      </c>
      <c r="E2332" t="s">
        <v>33</v>
      </c>
      <c r="F2332" t="s">
        <v>38</v>
      </c>
      <c r="G2332">
        <v>53.4</v>
      </c>
      <c r="H2332" t="s">
        <v>31</v>
      </c>
      <c r="I2332" t="s">
        <v>37</v>
      </c>
      <c r="J2332">
        <v>4.4000000000000004</v>
      </c>
      <c r="K2332">
        <v>16</v>
      </c>
      <c r="L2332">
        <f t="shared" si="109"/>
        <v>44.855999999999995</v>
      </c>
      <c r="M2332">
        <v>3</v>
      </c>
      <c r="N2332" t="str">
        <f t="shared" si="110"/>
        <v>New</v>
      </c>
    </row>
    <row r="2333" spans="1:14" x14ac:dyDescent="0.35">
      <c r="A2333">
        <v>2332</v>
      </c>
      <c r="B2333">
        <v>70</v>
      </c>
      <c r="C2333" t="str">
        <f t="shared" si="108"/>
        <v>Senior</v>
      </c>
      <c r="D2333" t="s">
        <v>16</v>
      </c>
      <c r="E2333" t="s">
        <v>22</v>
      </c>
      <c r="F2333" t="s">
        <v>23</v>
      </c>
      <c r="G2333">
        <v>255.78</v>
      </c>
      <c r="H2333" t="s">
        <v>14</v>
      </c>
      <c r="I2333" t="s">
        <v>15</v>
      </c>
      <c r="J2333">
        <v>2.9</v>
      </c>
      <c r="K2333">
        <v>20</v>
      </c>
      <c r="L2333">
        <f t="shared" si="109"/>
        <v>204.62400000000002</v>
      </c>
      <c r="M2333">
        <v>5</v>
      </c>
      <c r="N2333" t="str">
        <f t="shared" si="110"/>
        <v>Regular</v>
      </c>
    </row>
    <row r="2334" spans="1:14" x14ac:dyDescent="0.35">
      <c r="A2334">
        <v>2333</v>
      </c>
      <c r="B2334">
        <v>48</v>
      </c>
      <c r="C2334" t="str">
        <f t="shared" si="108"/>
        <v>Adult</v>
      </c>
      <c r="D2334" t="s">
        <v>11</v>
      </c>
      <c r="E2334" t="s">
        <v>41</v>
      </c>
      <c r="F2334" t="s">
        <v>44</v>
      </c>
      <c r="G2334">
        <v>171.19</v>
      </c>
      <c r="H2334" t="s">
        <v>24</v>
      </c>
      <c r="I2334" t="s">
        <v>15</v>
      </c>
      <c r="J2334">
        <v>3.8</v>
      </c>
      <c r="K2334">
        <v>14</v>
      </c>
      <c r="L2334">
        <f t="shared" si="109"/>
        <v>147.2234</v>
      </c>
      <c r="M2334">
        <v>7</v>
      </c>
      <c r="N2334" t="str">
        <f t="shared" si="110"/>
        <v>Regular</v>
      </c>
    </row>
    <row r="2335" spans="1:14" x14ac:dyDescent="0.35">
      <c r="A2335">
        <v>2334</v>
      </c>
      <c r="B2335">
        <v>43</v>
      </c>
      <c r="C2335" t="str">
        <f t="shared" si="108"/>
        <v>Adult</v>
      </c>
      <c r="D2335" t="s">
        <v>11</v>
      </c>
      <c r="E2335" t="s">
        <v>12</v>
      </c>
      <c r="F2335" t="s">
        <v>13</v>
      </c>
      <c r="G2335">
        <v>38.450000000000003</v>
      </c>
      <c r="H2335" t="s">
        <v>24</v>
      </c>
      <c r="I2335" t="s">
        <v>15</v>
      </c>
      <c r="J2335">
        <v>4.2</v>
      </c>
      <c r="K2335">
        <v>19</v>
      </c>
      <c r="L2335">
        <f t="shared" si="109"/>
        <v>31.144500000000004</v>
      </c>
      <c r="M2335">
        <v>7</v>
      </c>
      <c r="N2335" t="str">
        <f t="shared" si="110"/>
        <v>Regular</v>
      </c>
    </row>
    <row r="2336" spans="1:14" x14ac:dyDescent="0.35">
      <c r="A2336">
        <v>2335</v>
      </c>
      <c r="B2336">
        <v>68</v>
      </c>
      <c r="C2336" t="str">
        <f t="shared" si="108"/>
        <v>Senior</v>
      </c>
      <c r="D2336" t="s">
        <v>16</v>
      </c>
      <c r="E2336" t="s">
        <v>33</v>
      </c>
      <c r="F2336" t="s">
        <v>34</v>
      </c>
      <c r="G2336">
        <v>117.49</v>
      </c>
      <c r="H2336" t="s">
        <v>14</v>
      </c>
      <c r="I2336" t="s">
        <v>15</v>
      </c>
      <c r="J2336">
        <v>4.3</v>
      </c>
      <c r="K2336">
        <v>19</v>
      </c>
      <c r="L2336">
        <f t="shared" si="109"/>
        <v>95.166899999999998</v>
      </c>
      <c r="M2336">
        <v>7</v>
      </c>
      <c r="N2336" t="str">
        <f t="shared" si="110"/>
        <v>Regular</v>
      </c>
    </row>
    <row r="2337" spans="1:14" x14ac:dyDescent="0.35">
      <c r="A2337">
        <v>2336</v>
      </c>
      <c r="B2337">
        <v>64</v>
      </c>
      <c r="C2337" t="str">
        <f t="shared" si="108"/>
        <v>Senior</v>
      </c>
      <c r="D2337" t="s">
        <v>16</v>
      </c>
      <c r="E2337" t="s">
        <v>25</v>
      </c>
      <c r="F2337" t="s">
        <v>54</v>
      </c>
      <c r="G2337">
        <v>8.3699999999999992</v>
      </c>
      <c r="H2337" t="s">
        <v>31</v>
      </c>
      <c r="I2337" t="s">
        <v>37</v>
      </c>
      <c r="J2337">
        <v>4.4000000000000004</v>
      </c>
      <c r="K2337">
        <v>22</v>
      </c>
      <c r="L2337">
        <f t="shared" si="109"/>
        <v>6.5286</v>
      </c>
      <c r="M2337">
        <v>11</v>
      </c>
      <c r="N2337" t="str">
        <f t="shared" si="110"/>
        <v>Loyal</v>
      </c>
    </row>
    <row r="2338" spans="1:14" x14ac:dyDescent="0.35">
      <c r="A2338">
        <v>2337</v>
      </c>
      <c r="B2338">
        <v>45</v>
      </c>
      <c r="C2338" t="str">
        <f t="shared" si="108"/>
        <v>Adult</v>
      </c>
      <c r="D2338" t="s">
        <v>16</v>
      </c>
      <c r="E2338" t="s">
        <v>17</v>
      </c>
      <c r="F2338" t="s">
        <v>18</v>
      </c>
      <c r="G2338">
        <v>157.65</v>
      </c>
      <c r="H2338" t="s">
        <v>24</v>
      </c>
      <c r="I2338" t="s">
        <v>15</v>
      </c>
      <c r="J2338">
        <v>2.7</v>
      </c>
      <c r="K2338">
        <v>15</v>
      </c>
      <c r="L2338">
        <f t="shared" si="109"/>
        <v>134.0025</v>
      </c>
      <c r="M2338">
        <v>5</v>
      </c>
      <c r="N2338" t="str">
        <f t="shared" si="110"/>
        <v>Regular</v>
      </c>
    </row>
    <row r="2339" spans="1:14" x14ac:dyDescent="0.35">
      <c r="A2339">
        <v>2338</v>
      </c>
      <c r="B2339">
        <v>37</v>
      </c>
      <c r="C2339" t="str">
        <f t="shared" si="108"/>
        <v>Adult</v>
      </c>
      <c r="D2339" t="s">
        <v>11</v>
      </c>
      <c r="E2339" t="s">
        <v>12</v>
      </c>
      <c r="F2339" t="s">
        <v>50</v>
      </c>
      <c r="G2339">
        <v>172.44</v>
      </c>
      <c r="H2339" t="s">
        <v>31</v>
      </c>
      <c r="I2339" t="s">
        <v>15</v>
      </c>
      <c r="J2339">
        <v>3.9</v>
      </c>
      <c r="K2339">
        <v>18</v>
      </c>
      <c r="L2339">
        <f t="shared" si="109"/>
        <v>141.4008</v>
      </c>
      <c r="M2339">
        <v>9</v>
      </c>
      <c r="N2339" t="str">
        <f t="shared" si="110"/>
        <v>Loyal</v>
      </c>
    </row>
    <row r="2340" spans="1:14" x14ac:dyDescent="0.35">
      <c r="A2340">
        <v>2339</v>
      </c>
      <c r="B2340">
        <v>55</v>
      </c>
      <c r="C2340" t="str">
        <f t="shared" si="108"/>
        <v>Adult</v>
      </c>
      <c r="D2340" t="s">
        <v>11</v>
      </c>
      <c r="E2340" t="s">
        <v>12</v>
      </c>
      <c r="F2340" t="s">
        <v>56</v>
      </c>
      <c r="G2340">
        <v>109.99</v>
      </c>
      <c r="H2340" t="s">
        <v>31</v>
      </c>
      <c r="I2340" t="s">
        <v>15</v>
      </c>
      <c r="J2340">
        <v>3.8</v>
      </c>
      <c r="K2340">
        <v>6</v>
      </c>
      <c r="L2340">
        <f t="shared" si="109"/>
        <v>103.39059999999999</v>
      </c>
      <c r="M2340">
        <v>3</v>
      </c>
      <c r="N2340" t="str">
        <f t="shared" si="110"/>
        <v>New</v>
      </c>
    </row>
    <row r="2341" spans="1:14" x14ac:dyDescent="0.35">
      <c r="A2341">
        <v>2340</v>
      </c>
      <c r="B2341">
        <v>26</v>
      </c>
      <c r="C2341" t="str">
        <f t="shared" si="108"/>
        <v>Youth</v>
      </c>
      <c r="D2341" t="s">
        <v>16</v>
      </c>
      <c r="E2341" t="s">
        <v>33</v>
      </c>
      <c r="F2341" t="s">
        <v>38</v>
      </c>
      <c r="G2341">
        <v>123.73</v>
      </c>
      <c r="H2341" t="s">
        <v>19</v>
      </c>
      <c r="I2341" t="s">
        <v>15</v>
      </c>
      <c r="J2341">
        <v>3.3</v>
      </c>
      <c r="K2341">
        <v>23</v>
      </c>
      <c r="L2341">
        <f t="shared" si="109"/>
        <v>95.272100000000009</v>
      </c>
      <c r="M2341">
        <v>9</v>
      </c>
      <c r="N2341" t="str">
        <f t="shared" si="110"/>
        <v>Loyal</v>
      </c>
    </row>
    <row r="2342" spans="1:14" x14ac:dyDescent="0.35">
      <c r="A2342">
        <v>2341</v>
      </c>
      <c r="B2342">
        <v>66</v>
      </c>
      <c r="C2342" t="str">
        <f t="shared" si="108"/>
        <v>Senior</v>
      </c>
      <c r="D2342" t="s">
        <v>11</v>
      </c>
      <c r="E2342" t="s">
        <v>29</v>
      </c>
      <c r="F2342" t="s">
        <v>55</v>
      </c>
      <c r="G2342">
        <v>102.25</v>
      </c>
      <c r="H2342" t="s">
        <v>19</v>
      </c>
      <c r="I2342" t="s">
        <v>15</v>
      </c>
      <c r="J2342">
        <v>3.4</v>
      </c>
      <c r="K2342">
        <v>16</v>
      </c>
      <c r="L2342">
        <f t="shared" si="109"/>
        <v>85.89</v>
      </c>
      <c r="M2342">
        <v>3</v>
      </c>
      <c r="N2342" t="str">
        <f t="shared" si="110"/>
        <v>New</v>
      </c>
    </row>
    <row r="2343" spans="1:14" x14ac:dyDescent="0.35">
      <c r="A2343">
        <v>2342</v>
      </c>
      <c r="B2343">
        <v>49</v>
      </c>
      <c r="C2343" t="str">
        <f t="shared" si="108"/>
        <v>Adult</v>
      </c>
      <c r="D2343" t="s">
        <v>11</v>
      </c>
      <c r="E2343" t="s">
        <v>41</v>
      </c>
      <c r="F2343" t="s">
        <v>46</v>
      </c>
      <c r="G2343">
        <v>46.77</v>
      </c>
      <c r="H2343" t="s">
        <v>31</v>
      </c>
      <c r="I2343" t="s">
        <v>37</v>
      </c>
      <c r="J2343">
        <v>4.4000000000000004</v>
      </c>
      <c r="K2343">
        <v>14</v>
      </c>
      <c r="L2343">
        <f t="shared" si="109"/>
        <v>40.222200000000001</v>
      </c>
      <c r="M2343">
        <v>2</v>
      </c>
      <c r="N2343" t="str">
        <f t="shared" si="110"/>
        <v>New</v>
      </c>
    </row>
    <row r="2344" spans="1:14" x14ac:dyDescent="0.35">
      <c r="A2344">
        <v>2343</v>
      </c>
      <c r="B2344">
        <v>52</v>
      </c>
      <c r="C2344" t="str">
        <f t="shared" si="108"/>
        <v>Adult</v>
      </c>
      <c r="D2344" t="s">
        <v>16</v>
      </c>
      <c r="E2344" t="s">
        <v>33</v>
      </c>
      <c r="F2344" t="s">
        <v>38</v>
      </c>
      <c r="G2344">
        <v>107.99</v>
      </c>
      <c r="H2344" t="s">
        <v>24</v>
      </c>
      <c r="I2344" t="s">
        <v>15</v>
      </c>
      <c r="J2344">
        <v>3.7</v>
      </c>
      <c r="K2344">
        <v>14</v>
      </c>
      <c r="L2344">
        <f t="shared" si="109"/>
        <v>92.871399999999994</v>
      </c>
      <c r="M2344">
        <v>7</v>
      </c>
      <c r="N2344" t="str">
        <f t="shared" si="110"/>
        <v>Regular</v>
      </c>
    </row>
    <row r="2345" spans="1:14" x14ac:dyDescent="0.35">
      <c r="A2345">
        <v>2344</v>
      </c>
      <c r="B2345">
        <v>57</v>
      </c>
      <c r="C2345" t="str">
        <f t="shared" si="108"/>
        <v>Adult</v>
      </c>
      <c r="D2345" t="s">
        <v>11</v>
      </c>
      <c r="E2345" t="s">
        <v>20</v>
      </c>
      <c r="F2345" t="s">
        <v>36</v>
      </c>
      <c r="G2345">
        <v>133.57</v>
      </c>
      <c r="H2345" t="s">
        <v>14</v>
      </c>
      <c r="I2345" t="s">
        <v>15</v>
      </c>
      <c r="J2345">
        <v>3.8</v>
      </c>
      <c r="K2345">
        <v>24</v>
      </c>
      <c r="L2345">
        <f t="shared" si="109"/>
        <v>101.5132</v>
      </c>
      <c r="M2345">
        <v>7</v>
      </c>
      <c r="N2345" t="str">
        <f t="shared" si="110"/>
        <v>Regular</v>
      </c>
    </row>
    <row r="2346" spans="1:14" x14ac:dyDescent="0.35">
      <c r="A2346">
        <v>2345</v>
      </c>
      <c r="B2346">
        <v>66</v>
      </c>
      <c r="C2346" t="str">
        <f t="shared" si="108"/>
        <v>Senior</v>
      </c>
      <c r="D2346" t="s">
        <v>16</v>
      </c>
      <c r="E2346" t="s">
        <v>17</v>
      </c>
      <c r="F2346" t="s">
        <v>35</v>
      </c>
      <c r="G2346">
        <v>95.73</v>
      </c>
      <c r="H2346" t="s">
        <v>24</v>
      </c>
      <c r="I2346" t="s">
        <v>37</v>
      </c>
      <c r="J2346">
        <v>2.7</v>
      </c>
      <c r="K2346">
        <v>19</v>
      </c>
      <c r="L2346">
        <f t="shared" si="109"/>
        <v>77.541300000000007</v>
      </c>
      <c r="M2346">
        <v>7</v>
      </c>
      <c r="N2346" t="str">
        <f t="shared" si="110"/>
        <v>Regular</v>
      </c>
    </row>
    <row r="2347" spans="1:14" x14ac:dyDescent="0.35">
      <c r="A2347">
        <v>2346</v>
      </c>
      <c r="B2347">
        <v>55</v>
      </c>
      <c r="C2347" t="str">
        <f t="shared" si="108"/>
        <v>Adult</v>
      </c>
      <c r="D2347" t="s">
        <v>16</v>
      </c>
      <c r="E2347" t="s">
        <v>33</v>
      </c>
      <c r="F2347" t="s">
        <v>38</v>
      </c>
      <c r="G2347">
        <v>97.58</v>
      </c>
      <c r="H2347" t="s">
        <v>19</v>
      </c>
      <c r="I2347" t="s">
        <v>15</v>
      </c>
      <c r="J2347">
        <v>3.5</v>
      </c>
      <c r="K2347">
        <v>16</v>
      </c>
      <c r="L2347">
        <f t="shared" si="109"/>
        <v>81.967199999999991</v>
      </c>
      <c r="M2347">
        <v>3</v>
      </c>
      <c r="N2347" t="str">
        <f t="shared" si="110"/>
        <v>New</v>
      </c>
    </row>
    <row r="2348" spans="1:14" x14ac:dyDescent="0.35">
      <c r="A2348">
        <v>2347</v>
      </c>
      <c r="B2348">
        <v>34</v>
      </c>
      <c r="C2348" t="str">
        <f t="shared" si="108"/>
        <v>Adult</v>
      </c>
      <c r="D2348" t="s">
        <v>11</v>
      </c>
      <c r="E2348" t="s">
        <v>33</v>
      </c>
      <c r="F2348" t="s">
        <v>38</v>
      </c>
      <c r="G2348">
        <v>46.66</v>
      </c>
      <c r="H2348" t="s">
        <v>14</v>
      </c>
      <c r="I2348" t="s">
        <v>15</v>
      </c>
      <c r="J2348">
        <v>4.0999999999999996</v>
      </c>
      <c r="K2348">
        <v>15</v>
      </c>
      <c r="L2348">
        <f t="shared" si="109"/>
        <v>39.660999999999994</v>
      </c>
      <c r="M2348">
        <v>5</v>
      </c>
      <c r="N2348" t="str">
        <f t="shared" si="110"/>
        <v>Regular</v>
      </c>
    </row>
    <row r="2349" spans="1:14" x14ac:dyDescent="0.35">
      <c r="A2349">
        <v>2348</v>
      </c>
      <c r="B2349">
        <v>57</v>
      </c>
      <c r="C2349" t="str">
        <f t="shared" si="108"/>
        <v>Adult</v>
      </c>
      <c r="D2349" t="s">
        <v>11</v>
      </c>
      <c r="E2349" t="s">
        <v>41</v>
      </c>
      <c r="F2349" t="s">
        <v>44</v>
      </c>
      <c r="G2349">
        <v>120.4</v>
      </c>
      <c r="H2349" t="s">
        <v>19</v>
      </c>
      <c r="I2349" t="s">
        <v>15</v>
      </c>
      <c r="J2349">
        <v>3.5</v>
      </c>
      <c r="K2349">
        <v>18</v>
      </c>
      <c r="L2349">
        <f t="shared" si="109"/>
        <v>98.728000000000009</v>
      </c>
      <c r="M2349">
        <v>4</v>
      </c>
      <c r="N2349" t="str">
        <f t="shared" si="110"/>
        <v>Regular</v>
      </c>
    </row>
    <row r="2350" spans="1:14" x14ac:dyDescent="0.35">
      <c r="A2350">
        <v>2349</v>
      </c>
      <c r="B2350">
        <v>25</v>
      </c>
      <c r="C2350" t="str">
        <f t="shared" si="108"/>
        <v>Youth</v>
      </c>
      <c r="D2350" t="s">
        <v>11</v>
      </c>
      <c r="E2350" t="s">
        <v>25</v>
      </c>
      <c r="F2350" t="s">
        <v>57</v>
      </c>
      <c r="G2350">
        <v>32.25</v>
      </c>
      <c r="H2350" t="s">
        <v>24</v>
      </c>
      <c r="I2350" t="s">
        <v>37</v>
      </c>
      <c r="J2350">
        <v>3.5</v>
      </c>
      <c r="K2350">
        <v>15</v>
      </c>
      <c r="L2350">
        <f t="shared" si="109"/>
        <v>27.412499999999998</v>
      </c>
      <c r="M2350">
        <v>5</v>
      </c>
      <c r="N2350" t="str">
        <f t="shared" si="110"/>
        <v>Regular</v>
      </c>
    </row>
    <row r="2351" spans="1:14" x14ac:dyDescent="0.35">
      <c r="A2351">
        <v>2350</v>
      </c>
      <c r="B2351">
        <v>56</v>
      </c>
      <c r="C2351" t="str">
        <f t="shared" si="108"/>
        <v>Adult</v>
      </c>
      <c r="D2351" t="s">
        <v>11</v>
      </c>
      <c r="E2351" t="s">
        <v>29</v>
      </c>
      <c r="F2351" t="s">
        <v>51</v>
      </c>
      <c r="G2351">
        <v>140.52000000000001</v>
      </c>
      <c r="H2351" t="s">
        <v>14</v>
      </c>
      <c r="I2351" t="s">
        <v>15</v>
      </c>
      <c r="J2351">
        <v>3.7</v>
      </c>
      <c r="K2351">
        <v>6</v>
      </c>
      <c r="L2351">
        <f t="shared" si="109"/>
        <v>132.08879999999999</v>
      </c>
      <c r="M2351">
        <v>3</v>
      </c>
      <c r="N2351" t="str">
        <f t="shared" si="110"/>
        <v>New</v>
      </c>
    </row>
    <row r="2352" spans="1:14" x14ac:dyDescent="0.35">
      <c r="A2352">
        <v>2351</v>
      </c>
      <c r="B2352">
        <v>63</v>
      </c>
      <c r="C2352" t="str">
        <f t="shared" si="108"/>
        <v>Senior</v>
      </c>
      <c r="D2352" t="s">
        <v>16</v>
      </c>
      <c r="E2352" t="s">
        <v>17</v>
      </c>
      <c r="F2352" t="s">
        <v>35</v>
      </c>
      <c r="G2352">
        <v>56.51</v>
      </c>
      <c r="H2352" t="s">
        <v>19</v>
      </c>
      <c r="I2352" t="s">
        <v>15</v>
      </c>
      <c r="J2352">
        <v>3.4</v>
      </c>
      <c r="K2352">
        <v>13</v>
      </c>
      <c r="L2352">
        <f t="shared" si="109"/>
        <v>49.163699999999999</v>
      </c>
      <c r="M2352">
        <v>4</v>
      </c>
      <c r="N2352" t="str">
        <f t="shared" si="110"/>
        <v>Regular</v>
      </c>
    </row>
    <row r="2353" spans="1:14" x14ac:dyDescent="0.35">
      <c r="A2353">
        <v>2352</v>
      </c>
      <c r="B2353">
        <v>41</v>
      </c>
      <c r="C2353" t="str">
        <f t="shared" si="108"/>
        <v>Adult</v>
      </c>
      <c r="D2353" t="s">
        <v>16</v>
      </c>
      <c r="E2353" t="s">
        <v>27</v>
      </c>
      <c r="F2353" t="s">
        <v>32</v>
      </c>
      <c r="G2353">
        <v>1053.68</v>
      </c>
      <c r="H2353" t="s">
        <v>31</v>
      </c>
      <c r="I2353" t="s">
        <v>15</v>
      </c>
      <c r="J2353">
        <v>3.5</v>
      </c>
      <c r="K2353">
        <v>6</v>
      </c>
      <c r="L2353">
        <f t="shared" si="109"/>
        <v>990.45920000000001</v>
      </c>
      <c r="M2353">
        <v>3</v>
      </c>
      <c r="N2353" t="str">
        <f t="shared" si="110"/>
        <v>New</v>
      </c>
    </row>
    <row r="2354" spans="1:14" x14ac:dyDescent="0.35">
      <c r="A2354">
        <v>2353</v>
      </c>
      <c r="B2354">
        <v>57</v>
      </c>
      <c r="C2354" t="str">
        <f t="shared" si="108"/>
        <v>Adult</v>
      </c>
      <c r="D2354" t="s">
        <v>16</v>
      </c>
      <c r="E2354" t="s">
        <v>17</v>
      </c>
      <c r="F2354" t="s">
        <v>18</v>
      </c>
      <c r="G2354">
        <v>147.72999999999999</v>
      </c>
      <c r="H2354" t="s">
        <v>24</v>
      </c>
      <c r="I2354" t="s">
        <v>15</v>
      </c>
      <c r="J2354">
        <v>3.6</v>
      </c>
      <c r="K2354">
        <v>15</v>
      </c>
      <c r="L2354">
        <f t="shared" si="109"/>
        <v>125.57049999999998</v>
      </c>
      <c r="M2354">
        <v>5</v>
      </c>
      <c r="N2354" t="str">
        <f t="shared" si="110"/>
        <v>Regular</v>
      </c>
    </row>
    <row r="2355" spans="1:14" x14ac:dyDescent="0.35">
      <c r="A2355">
        <v>2354</v>
      </c>
      <c r="B2355">
        <v>29</v>
      </c>
      <c r="C2355" t="str">
        <f t="shared" si="108"/>
        <v>Youth</v>
      </c>
      <c r="D2355" t="s">
        <v>11</v>
      </c>
      <c r="E2355" t="s">
        <v>22</v>
      </c>
      <c r="F2355" t="s">
        <v>23</v>
      </c>
      <c r="G2355">
        <v>58.79</v>
      </c>
      <c r="H2355" t="s">
        <v>14</v>
      </c>
      <c r="I2355" t="s">
        <v>37</v>
      </c>
      <c r="J2355">
        <v>2.4</v>
      </c>
      <c r="K2355">
        <v>18</v>
      </c>
      <c r="L2355">
        <f t="shared" si="109"/>
        <v>48.207800000000006</v>
      </c>
      <c r="M2355">
        <v>9</v>
      </c>
      <c r="N2355" t="str">
        <f t="shared" si="110"/>
        <v>Loyal</v>
      </c>
    </row>
    <row r="2356" spans="1:14" x14ac:dyDescent="0.35">
      <c r="A2356">
        <v>2355</v>
      </c>
      <c r="B2356">
        <v>52</v>
      </c>
      <c r="C2356" t="str">
        <f t="shared" si="108"/>
        <v>Adult</v>
      </c>
      <c r="D2356" t="s">
        <v>11</v>
      </c>
      <c r="E2356" t="s">
        <v>25</v>
      </c>
      <c r="F2356" t="s">
        <v>47</v>
      </c>
      <c r="G2356">
        <v>17.37</v>
      </c>
      <c r="H2356" t="s">
        <v>24</v>
      </c>
      <c r="I2356" t="s">
        <v>37</v>
      </c>
      <c r="J2356">
        <v>4.3</v>
      </c>
      <c r="K2356">
        <v>17</v>
      </c>
      <c r="L2356">
        <f t="shared" si="109"/>
        <v>14.4171</v>
      </c>
      <c r="M2356">
        <v>6</v>
      </c>
      <c r="N2356" t="str">
        <f t="shared" si="110"/>
        <v>Regular</v>
      </c>
    </row>
    <row r="2357" spans="1:14" x14ac:dyDescent="0.35">
      <c r="A2357">
        <v>2356</v>
      </c>
      <c r="B2357">
        <v>59</v>
      </c>
      <c r="C2357" t="str">
        <f t="shared" si="108"/>
        <v>Adult</v>
      </c>
      <c r="D2357" t="s">
        <v>11</v>
      </c>
      <c r="E2357" t="s">
        <v>12</v>
      </c>
      <c r="F2357" t="s">
        <v>56</v>
      </c>
      <c r="G2357">
        <v>153.74</v>
      </c>
      <c r="H2357" t="s">
        <v>24</v>
      </c>
      <c r="I2357" t="s">
        <v>15</v>
      </c>
      <c r="J2357">
        <v>4</v>
      </c>
      <c r="K2357">
        <v>15</v>
      </c>
      <c r="L2357">
        <f t="shared" si="109"/>
        <v>130.679</v>
      </c>
      <c r="M2357">
        <v>5</v>
      </c>
      <c r="N2357" t="str">
        <f t="shared" si="110"/>
        <v>Regular</v>
      </c>
    </row>
    <row r="2358" spans="1:14" x14ac:dyDescent="0.35">
      <c r="A2358">
        <v>2357</v>
      </c>
      <c r="B2358">
        <v>70</v>
      </c>
      <c r="C2358" t="str">
        <f t="shared" si="108"/>
        <v>Senior</v>
      </c>
      <c r="D2358" t="s">
        <v>16</v>
      </c>
      <c r="E2358" t="s">
        <v>25</v>
      </c>
      <c r="F2358" t="s">
        <v>54</v>
      </c>
      <c r="G2358">
        <v>22.29</v>
      </c>
      <c r="H2358" t="s">
        <v>24</v>
      </c>
      <c r="I2358" t="s">
        <v>37</v>
      </c>
      <c r="J2358">
        <v>4.2</v>
      </c>
      <c r="K2358">
        <v>12</v>
      </c>
      <c r="L2358">
        <f t="shared" si="109"/>
        <v>19.615199999999998</v>
      </c>
      <c r="M2358">
        <v>6</v>
      </c>
      <c r="N2358" t="str">
        <f t="shared" si="110"/>
        <v>Regular</v>
      </c>
    </row>
    <row r="2359" spans="1:14" x14ac:dyDescent="0.35">
      <c r="A2359">
        <v>2358</v>
      </c>
      <c r="B2359">
        <v>50</v>
      </c>
      <c r="C2359" t="str">
        <f t="shared" si="108"/>
        <v>Adult</v>
      </c>
      <c r="D2359" t="s">
        <v>11</v>
      </c>
      <c r="E2359" t="s">
        <v>29</v>
      </c>
      <c r="F2359" t="s">
        <v>51</v>
      </c>
      <c r="G2359">
        <v>29.51</v>
      </c>
      <c r="H2359" t="s">
        <v>19</v>
      </c>
      <c r="I2359" t="s">
        <v>37</v>
      </c>
      <c r="J2359">
        <v>4.2</v>
      </c>
      <c r="K2359">
        <v>34</v>
      </c>
      <c r="L2359">
        <f t="shared" si="109"/>
        <v>19.476599999999998</v>
      </c>
      <c r="M2359">
        <v>12</v>
      </c>
      <c r="N2359" t="str">
        <f t="shared" si="110"/>
        <v>Loyal</v>
      </c>
    </row>
    <row r="2360" spans="1:14" x14ac:dyDescent="0.35">
      <c r="A2360">
        <v>2359</v>
      </c>
      <c r="B2360">
        <v>24</v>
      </c>
      <c r="C2360" t="str">
        <f t="shared" si="108"/>
        <v>Youth</v>
      </c>
      <c r="D2360" t="s">
        <v>16</v>
      </c>
      <c r="E2360" t="s">
        <v>20</v>
      </c>
      <c r="F2360" t="s">
        <v>36</v>
      </c>
      <c r="G2360">
        <v>232.38</v>
      </c>
      <c r="H2360" t="s">
        <v>19</v>
      </c>
      <c r="I2360" t="s">
        <v>15</v>
      </c>
      <c r="J2360">
        <v>4.7</v>
      </c>
      <c r="K2360">
        <v>22</v>
      </c>
      <c r="L2360">
        <f t="shared" si="109"/>
        <v>181.25640000000001</v>
      </c>
      <c r="M2360">
        <v>6</v>
      </c>
      <c r="N2360" t="str">
        <f t="shared" si="110"/>
        <v>Regular</v>
      </c>
    </row>
    <row r="2361" spans="1:14" x14ac:dyDescent="0.35">
      <c r="A2361">
        <v>2360</v>
      </c>
      <c r="B2361">
        <v>45</v>
      </c>
      <c r="C2361" t="str">
        <f t="shared" si="108"/>
        <v>Adult</v>
      </c>
      <c r="D2361" t="s">
        <v>11</v>
      </c>
      <c r="E2361" t="s">
        <v>20</v>
      </c>
      <c r="F2361" t="s">
        <v>36</v>
      </c>
      <c r="G2361">
        <v>107.39</v>
      </c>
      <c r="H2361" t="s">
        <v>19</v>
      </c>
      <c r="I2361" t="s">
        <v>15</v>
      </c>
      <c r="J2361">
        <v>4.0999999999999996</v>
      </c>
      <c r="K2361">
        <v>12</v>
      </c>
      <c r="L2361">
        <f t="shared" si="109"/>
        <v>94.503200000000007</v>
      </c>
      <c r="M2361">
        <v>6</v>
      </c>
      <c r="N2361" t="str">
        <f t="shared" si="110"/>
        <v>Regular</v>
      </c>
    </row>
    <row r="2362" spans="1:14" x14ac:dyDescent="0.35">
      <c r="A2362">
        <v>2361</v>
      </c>
      <c r="B2362">
        <v>59</v>
      </c>
      <c r="C2362" t="str">
        <f t="shared" si="108"/>
        <v>Adult</v>
      </c>
      <c r="D2362" t="s">
        <v>11</v>
      </c>
      <c r="E2362" t="s">
        <v>12</v>
      </c>
      <c r="F2362" t="s">
        <v>13</v>
      </c>
      <c r="G2362">
        <v>97.16</v>
      </c>
      <c r="H2362" t="s">
        <v>24</v>
      </c>
      <c r="I2362" t="s">
        <v>37</v>
      </c>
      <c r="J2362">
        <v>2.9</v>
      </c>
      <c r="K2362">
        <v>17</v>
      </c>
      <c r="L2362">
        <f t="shared" si="109"/>
        <v>80.642799999999994</v>
      </c>
      <c r="M2362">
        <v>6</v>
      </c>
      <c r="N2362" t="str">
        <f t="shared" si="110"/>
        <v>Regular</v>
      </c>
    </row>
    <row r="2363" spans="1:14" x14ac:dyDescent="0.35">
      <c r="A2363">
        <v>2362</v>
      </c>
      <c r="B2363">
        <v>46</v>
      </c>
      <c r="C2363" t="str">
        <f t="shared" si="108"/>
        <v>Adult</v>
      </c>
      <c r="D2363" t="s">
        <v>16</v>
      </c>
      <c r="E2363" t="s">
        <v>20</v>
      </c>
      <c r="F2363" t="s">
        <v>39</v>
      </c>
      <c r="G2363">
        <v>173.47</v>
      </c>
      <c r="H2363" t="s">
        <v>19</v>
      </c>
      <c r="I2363" t="s">
        <v>15</v>
      </c>
      <c r="J2363">
        <v>4</v>
      </c>
      <c r="K2363">
        <v>24</v>
      </c>
      <c r="L2363">
        <f t="shared" si="109"/>
        <v>131.8372</v>
      </c>
      <c r="M2363">
        <v>7</v>
      </c>
      <c r="N2363" t="str">
        <f t="shared" si="110"/>
        <v>Regular</v>
      </c>
    </row>
    <row r="2364" spans="1:14" x14ac:dyDescent="0.35">
      <c r="A2364">
        <v>2363</v>
      </c>
      <c r="B2364">
        <v>42</v>
      </c>
      <c r="C2364" t="str">
        <f t="shared" si="108"/>
        <v>Adult</v>
      </c>
      <c r="D2364" t="s">
        <v>11</v>
      </c>
      <c r="E2364" t="s">
        <v>33</v>
      </c>
      <c r="F2364" t="s">
        <v>34</v>
      </c>
      <c r="G2364">
        <v>119.21</v>
      </c>
      <c r="H2364" t="s">
        <v>31</v>
      </c>
      <c r="I2364" t="s">
        <v>15</v>
      </c>
      <c r="J2364">
        <v>2.7</v>
      </c>
      <c r="K2364">
        <v>6</v>
      </c>
      <c r="L2364">
        <f t="shared" si="109"/>
        <v>112.05739999999999</v>
      </c>
      <c r="M2364">
        <v>3</v>
      </c>
      <c r="N2364" t="str">
        <f t="shared" si="110"/>
        <v>New</v>
      </c>
    </row>
    <row r="2365" spans="1:14" x14ac:dyDescent="0.35">
      <c r="A2365">
        <v>2364</v>
      </c>
      <c r="B2365">
        <v>56</v>
      </c>
      <c r="C2365" t="str">
        <f t="shared" si="108"/>
        <v>Adult</v>
      </c>
      <c r="D2365" t="s">
        <v>16</v>
      </c>
      <c r="E2365" t="s">
        <v>20</v>
      </c>
      <c r="F2365" t="s">
        <v>36</v>
      </c>
      <c r="G2365">
        <v>39.86</v>
      </c>
      <c r="H2365" t="s">
        <v>24</v>
      </c>
      <c r="I2365" t="s">
        <v>15</v>
      </c>
      <c r="J2365">
        <v>2.9</v>
      </c>
      <c r="K2365">
        <v>4</v>
      </c>
      <c r="L2365">
        <f t="shared" si="109"/>
        <v>38.265599999999999</v>
      </c>
      <c r="M2365">
        <v>2</v>
      </c>
      <c r="N2365" t="str">
        <f t="shared" si="110"/>
        <v>New</v>
      </c>
    </row>
    <row r="2366" spans="1:14" x14ac:dyDescent="0.35">
      <c r="A2366">
        <v>2365</v>
      </c>
      <c r="B2366">
        <v>22</v>
      </c>
      <c r="C2366" t="str">
        <f t="shared" si="108"/>
        <v>Youth</v>
      </c>
      <c r="D2366" t="s">
        <v>16</v>
      </c>
      <c r="E2366" t="s">
        <v>27</v>
      </c>
      <c r="F2366" t="s">
        <v>32</v>
      </c>
      <c r="G2366">
        <v>504.91</v>
      </c>
      <c r="H2366" t="s">
        <v>31</v>
      </c>
      <c r="I2366" t="s">
        <v>15</v>
      </c>
      <c r="J2366">
        <v>3.8</v>
      </c>
      <c r="K2366">
        <v>15</v>
      </c>
      <c r="L2366">
        <f t="shared" si="109"/>
        <v>429.17349999999999</v>
      </c>
      <c r="M2366">
        <v>5</v>
      </c>
      <c r="N2366" t="str">
        <f t="shared" si="110"/>
        <v>Regular</v>
      </c>
    </row>
    <row r="2367" spans="1:14" x14ac:dyDescent="0.35">
      <c r="A2367">
        <v>2366</v>
      </c>
      <c r="B2367">
        <v>45</v>
      </c>
      <c r="C2367" t="str">
        <f t="shared" si="108"/>
        <v>Adult</v>
      </c>
      <c r="D2367" t="s">
        <v>16</v>
      </c>
      <c r="E2367" t="s">
        <v>33</v>
      </c>
      <c r="F2367" t="s">
        <v>40</v>
      </c>
      <c r="G2367">
        <v>96.52</v>
      </c>
      <c r="H2367" t="s">
        <v>19</v>
      </c>
      <c r="I2367" t="s">
        <v>37</v>
      </c>
      <c r="J2367">
        <v>3.3</v>
      </c>
      <c r="K2367">
        <v>11</v>
      </c>
      <c r="L2367">
        <f t="shared" si="109"/>
        <v>85.902799999999999</v>
      </c>
      <c r="M2367">
        <v>3</v>
      </c>
      <c r="N2367" t="str">
        <f t="shared" si="110"/>
        <v>New</v>
      </c>
    </row>
    <row r="2368" spans="1:14" x14ac:dyDescent="0.35">
      <c r="A2368">
        <v>2367</v>
      </c>
      <c r="B2368">
        <v>34</v>
      </c>
      <c r="C2368" t="str">
        <f t="shared" si="108"/>
        <v>Adult</v>
      </c>
      <c r="D2368" t="s">
        <v>16</v>
      </c>
      <c r="E2368" t="s">
        <v>33</v>
      </c>
      <c r="F2368" t="s">
        <v>34</v>
      </c>
      <c r="G2368">
        <v>109.16</v>
      </c>
      <c r="H2368" t="s">
        <v>19</v>
      </c>
      <c r="I2368" t="s">
        <v>15</v>
      </c>
      <c r="J2368">
        <v>3.7</v>
      </c>
      <c r="K2368">
        <v>13</v>
      </c>
      <c r="L2368">
        <f t="shared" si="109"/>
        <v>94.969200000000001</v>
      </c>
      <c r="M2368">
        <v>4</v>
      </c>
      <c r="N2368" t="str">
        <f t="shared" si="110"/>
        <v>Regular</v>
      </c>
    </row>
    <row r="2369" spans="1:14" x14ac:dyDescent="0.35">
      <c r="A2369">
        <v>2368</v>
      </c>
      <c r="B2369">
        <v>69</v>
      </c>
      <c r="C2369" t="str">
        <f t="shared" si="108"/>
        <v>Senior</v>
      </c>
      <c r="D2369" t="s">
        <v>11</v>
      </c>
      <c r="E2369" t="s">
        <v>12</v>
      </c>
      <c r="F2369" t="s">
        <v>56</v>
      </c>
      <c r="G2369">
        <v>145.25</v>
      </c>
      <c r="H2369" t="s">
        <v>24</v>
      </c>
      <c r="I2369" t="s">
        <v>15</v>
      </c>
      <c r="J2369">
        <v>4.7</v>
      </c>
      <c r="K2369">
        <v>11</v>
      </c>
      <c r="L2369">
        <f t="shared" si="109"/>
        <v>129.27250000000001</v>
      </c>
      <c r="M2369">
        <v>3</v>
      </c>
      <c r="N2369" t="str">
        <f t="shared" si="110"/>
        <v>New</v>
      </c>
    </row>
    <row r="2370" spans="1:14" x14ac:dyDescent="0.35">
      <c r="A2370">
        <v>2369</v>
      </c>
      <c r="B2370">
        <v>57</v>
      </c>
      <c r="C2370" t="str">
        <f t="shared" si="108"/>
        <v>Adult</v>
      </c>
      <c r="D2370" t="s">
        <v>11</v>
      </c>
      <c r="E2370" t="s">
        <v>41</v>
      </c>
      <c r="F2370" t="s">
        <v>45</v>
      </c>
      <c r="G2370">
        <v>193.36</v>
      </c>
      <c r="H2370" t="s">
        <v>31</v>
      </c>
      <c r="I2370" t="s">
        <v>15</v>
      </c>
      <c r="J2370">
        <v>3.8</v>
      </c>
      <c r="K2370">
        <v>20</v>
      </c>
      <c r="L2370">
        <f t="shared" si="109"/>
        <v>154.68800000000002</v>
      </c>
      <c r="M2370">
        <v>5</v>
      </c>
      <c r="N2370" t="str">
        <f t="shared" si="110"/>
        <v>Regular</v>
      </c>
    </row>
    <row r="2371" spans="1:14" x14ac:dyDescent="0.35">
      <c r="A2371">
        <v>2370</v>
      </c>
      <c r="B2371">
        <v>36</v>
      </c>
      <c r="C2371" t="str">
        <f t="shared" ref="C2371:C2434" si="111">IF(B2371&lt;=30,"Youth",IF(B2371&lt;=45,"Adult",IF(B2371&lt;=60,"Adult","Senior")))</f>
        <v>Adult</v>
      </c>
      <c r="D2371" t="s">
        <v>16</v>
      </c>
      <c r="E2371" t="s">
        <v>33</v>
      </c>
      <c r="F2371" t="s">
        <v>38</v>
      </c>
      <c r="G2371">
        <v>116.93</v>
      </c>
      <c r="H2371" t="s">
        <v>14</v>
      </c>
      <c r="I2371" t="s">
        <v>15</v>
      </c>
      <c r="J2371">
        <v>4.8</v>
      </c>
      <c r="K2371">
        <v>32</v>
      </c>
      <c r="L2371">
        <f t="shared" ref="L2371:L2434" si="112">G2371*(1-K2371/100)</f>
        <v>79.5124</v>
      </c>
      <c r="M2371">
        <v>11</v>
      </c>
      <c r="N2371" t="str">
        <f t="shared" ref="N2371:N2434" si="113">IF(M2371&lt;=3,"New",IF(M2371&lt;=7,"Regular","Loyal"))</f>
        <v>Loyal</v>
      </c>
    </row>
    <row r="2372" spans="1:14" x14ac:dyDescent="0.35">
      <c r="A2372">
        <v>2371</v>
      </c>
      <c r="B2372">
        <v>53</v>
      </c>
      <c r="C2372" t="str">
        <f t="shared" si="111"/>
        <v>Adult</v>
      </c>
      <c r="D2372" t="s">
        <v>11</v>
      </c>
      <c r="E2372" t="s">
        <v>12</v>
      </c>
      <c r="F2372" t="s">
        <v>50</v>
      </c>
      <c r="G2372">
        <v>152.31</v>
      </c>
      <c r="H2372" t="s">
        <v>24</v>
      </c>
      <c r="I2372" t="s">
        <v>15</v>
      </c>
      <c r="J2372">
        <v>4.7</v>
      </c>
      <c r="K2372">
        <v>18</v>
      </c>
      <c r="L2372">
        <f t="shared" si="112"/>
        <v>124.89420000000001</v>
      </c>
      <c r="M2372">
        <v>4</v>
      </c>
      <c r="N2372" t="str">
        <f t="shared" si="113"/>
        <v>Regular</v>
      </c>
    </row>
    <row r="2373" spans="1:14" x14ac:dyDescent="0.35">
      <c r="A2373">
        <v>2372</v>
      </c>
      <c r="B2373">
        <v>27</v>
      </c>
      <c r="C2373" t="str">
        <f t="shared" si="111"/>
        <v>Youth</v>
      </c>
      <c r="D2373" t="s">
        <v>16</v>
      </c>
      <c r="E2373" t="s">
        <v>20</v>
      </c>
      <c r="F2373" t="s">
        <v>36</v>
      </c>
      <c r="G2373">
        <v>52.75</v>
      </c>
      <c r="H2373" t="s">
        <v>19</v>
      </c>
      <c r="I2373" t="s">
        <v>15</v>
      </c>
      <c r="J2373">
        <v>3.8</v>
      </c>
      <c r="K2373">
        <v>19</v>
      </c>
      <c r="L2373">
        <f t="shared" si="112"/>
        <v>42.727500000000006</v>
      </c>
      <c r="M2373">
        <v>7</v>
      </c>
      <c r="N2373" t="str">
        <f t="shared" si="113"/>
        <v>Regular</v>
      </c>
    </row>
    <row r="2374" spans="1:14" x14ac:dyDescent="0.35">
      <c r="A2374">
        <v>2373</v>
      </c>
      <c r="B2374">
        <v>49</v>
      </c>
      <c r="C2374" t="str">
        <f t="shared" si="111"/>
        <v>Adult</v>
      </c>
      <c r="D2374" t="s">
        <v>11</v>
      </c>
      <c r="E2374" t="s">
        <v>29</v>
      </c>
      <c r="F2374" t="s">
        <v>55</v>
      </c>
      <c r="G2374">
        <v>141.08000000000001</v>
      </c>
      <c r="H2374" t="s">
        <v>31</v>
      </c>
      <c r="I2374" t="s">
        <v>15</v>
      </c>
      <c r="J2374">
        <v>4.5</v>
      </c>
      <c r="K2374">
        <v>23</v>
      </c>
      <c r="L2374">
        <f t="shared" si="112"/>
        <v>108.63160000000001</v>
      </c>
      <c r="M2374">
        <v>9</v>
      </c>
      <c r="N2374" t="str">
        <f t="shared" si="113"/>
        <v>Loyal</v>
      </c>
    </row>
    <row r="2375" spans="1:14" x14ac:dyDescent="0.35">
      <c r="A2375">
        <v>2374</v>
      </c>
      <c r="B2375">
        <v>45</v>
      </c>
      <c r="C2375" t="str">
        <f t="shared" si="111"/>
        <v>Adult</v>
      </c>
      <c r="D2375" t="s">
        <v>11</v>
      </c>
      <c r="E2375" t="s">
        <v>25</v>
      </c>
      <c r="F2375" t="s">
        <v>26</v>
      </c>
      <c r="G2375">
        <v>79</v>
      </c>
      <c r="H2375" t="s">
        <v>19</v>
      </c>
      <c r="I2375" t="s">
        <v>37</v>
      </c>
      <c r="J2375">
        <v>3.1</v>
      </c>
      <c r="K2375">
        <v>11</v>
      </c>
      <c r="L2375">
        <f t="shared" si="112"/>
        <v>70.31</v>
      </c>
      <c r="M2375">
        <v>3</v>
      </c>
      <c r="N2375" t="str">
        <f t="shared" si="113"/>
        <v>New</v>
      </c>
    </row>
    <row r="2376" spans="1:14" x14ac:dyDescent="0.35">
      <c r="A2376">
        <v>2375</v>
      </c>
      <c r="B2376">
        <v>58</v>
      </c>
      <c r="C2376" t="str">
        <f t="shared" si="111"/>
        <v>Adult</v>
      </c>
      <c r="D2376" t="s">
        <v>11</v>
      </c>
      <c r="E2376" t="s">
        <v>22</v>
      </c>
      <c r="F2376" t="s">
        <v>23</v>
      </c>
      <c r="G2376">
        <v>53.86</v>
      </c>
      <c r="H2376" t="s">
        <v>19</v>
      </c>
      <c r="I2376" t="s">
        <v>15</v>
      </c>
      <c r="J2376">
        <v>4</v>
      </c>
      <c r="K2376">
        <v>8</v>
      </c>
      <c r="L2376">
        <f t="shared" si="112"/>
        <v>49.551200000000001</v>
      </c>
      <c r="M2376">
        <v>4</v>
      </c>
      <c r="N2376" t="str">
        <f t="shared" si="113"/>
        <v>Regular</v>
      </c>
    </row>
    <row r="2377" spans="1:14" x14ac:dyDescent="0.35">
      <c r="A2377">
        <v>2376</v>
      </c>
      <c r="B2377">
        <v>57</v>
      </c>
      <c r="C2377" t="str">
        <f t="shared" si="111"/>
        <v>Adult</v>
      </c>
      <c r="D2377" t="s">
        <v>16</v>
      </c>
      <c r="E2377" t="s">
        <v>20</v>
      </c>
      <c r="F2377" t="s">
        <v>39</v>
      </c>
      <c r="G2377">
        <v>143.78</v>
      </c>
      <c r="H2377" t="s">
        <v>31</v>
      </c>
      <c r="I2377" t="s">
        <v>15</v>
      </c>
      <c r="J2377">
        <v>3.1</v>
      </c>
      <c r="K2377">
        <v>8</v>
      </c>
      <c r="L2377">
        <f t="shared" si="112"/>
        <v>132.27760000000001</v>
      </c>
      <c r="M2377">
        <v>4</v>
      </c>
      <c r="N2377" t="str">
        <f t="shared" si="113"/>
        <v>Regular</v>
      </c>
    </row>
    <row r="2378" spans="1:14" x14ac:dyDescent="0.35">
      <c r="A2378">
        <v>2377</v>
      </c>
      <c r="B2378">
        <v>50</v>
      </c>
      <c r="C2378" t="str">
        <f t="shared" si="111"/>
        <v>Adult</v>
      </c>
      <c r="D2378" t="s">
        <v>11</v>
      </c>
      <c r="E2378" t="s">
        <v>33</v>
      </c>
      <c r="F2378" t="s">
        <v>38</v>
      </c>
      <c r="G2378">
        <v>225.05</v>
      </c>
      <c r="H2378" t="s">
        <v>31</v>
      </c>
      <c r="I2378" t="s">
        <v>15</v>
      </c>
      <c r="J2378">
        <v>3.8</v>
      </c>
      <c r="K2378">
        <v>11</v>
      </c>
      <c r="L2378">
        <f t="shared" si="112"/>
        <v>200.2945</v>
      </c>
      <c r="M2378">
        <v>3</v>
      </c>
      <c r="N2378" t="str">
        <f t="shared" si="113"/>
        <v>New</v>
      </c>
    </row>
    <row r="2379" spans="1:14" x14ac:dyDescent="0.35">
      <c r="A2379">
        <v>2378</v>
      </c>
      <c r="B2379">
        <v>26</v>
      </c>
      <c r="C2379" t="str">
        <f t="shared" si="111"/>
        <v>Youth</v>
      </c>
      <c r="D2379" t="s">
        <v>16</v>
      </c>
      <c r="E2379" t="s">
        <v>20</v>
      </c>
      <c r="F2379" t="s">
        <v>39</v>
      </c>
      <c r="G2379">
        <v>180.74</v>
      </c>
      <c r="H2379" t="s">
        <v>19</v>
      </c>
      <c r="I2379" t="s">
        <v>15</v>
      </c>
      <c r="J2379">
        <v>4.2</v>
      </c>
      <c r="K2379">
        <v>32</v>
      </c>
      <c r="L2379">
        <f t="shared" si="112"/>
        <v>122.9032</v>
      </c>
      <c r="M2379">
        <v>11</v>
      </c>
      <c r="N2379" t="str">
        <f t="shared" si="113"/>
        <v>Loyal</v>
      </c>
    </row>
    <row r="2380" spans="1:14" x14ac:dyDescent="0.35">
      <c r="A2380">
        <v>2379</v>
      </c>
      <c r="B2380">
        <v>31</v>
      </c>
      <c r="C2380" t="str">
        <f t="shared" si="111"/>
        <v>Adult</v>
      </c>
      <c r="D2380" t="s">
        <v>16</v>
      </c>
      <c r="E2380" t="s">
        <v>20</v>
      </c>
      <c r="F2380" t="s">
        <v>21</v>
      </c>
      <c r="G2380">
        <v>197.61</v>
      </c>
      <c r="H2380" t="s">
        <v>14</v>
      </c>
      <c r="I2380" t="s">
        <v>15</v>
      </c>
      <c r="J2380">
        <v>3.5</v>
      </c>
      <c r="K2380">
        <v>12</v>
      </c>
      <c r="L2380">
        <f t="shared" si="112"/>
        <v>173.89680000000001</v>
      </c>
      <c r="M2380">
        <v>6</v>
      </c>
      <c r="N2380" t="str">
        <f t="shared" si="113"/>
        <v>Regular</v>
      </c>
    </row>
    <row r="2381" spans="1:14" x14ac:dyDescent="0.35">
      <c r="A2381">
        <v>2380</v>
      </c>
      <c r="B2381">
        <v>59</v>
      </c>
      <c r="C2381" t="str">
        <f t="shared" si="111"/>
        <v>Adult</v>
      </c>
      <c r="D2381" t="s">
        <v>11</v>
      </c>
      <c r="E2381" t="s">
        <v>41</v>
      </c>
      <c r="F2381" t="s">
        <v>45</v>
      </c>
      <c r="G2381">
        <v>192.86</v>
      </c>
      <c r="H2381" t="s">
        <v>19</v>
      </c>
      <c r="I2381" t="s">
        <v>15</v>
      </c>
      <c r="J2381">
        <v>4.2</v>
      </c>
      <c r="K2381">
        <v>18</v>
      </c>
      <c r="L2381">
        <f t="shared" si="112"/>
        <v>158.14520000000002</v>
      </c>
      <c r="M2381">
        <v>4</v>
      </c>
      <c r="N2381" t="str">
        <f t="shared" si="113"/>
        <v>Regular</v>
      </c>
    </row>
    <row r="2382" spans="1:14" x14ac:dyDescent="0.35">
      <c r="A2382">
        <v>2381</v>
      </c>
      <c r="B2382">
        <v>36</v>
      </c>
      <c r="C2382" t="str">
        <f t="shared" si="111"/>
        <v>Adult</v>
      </c>
      <c r="D2382" t="s">
        <v>11</v>
      </c>
      <c r="E2382" t="s">
        <v>41</v>
      </c>
      <c r="F2382" t="s">
        <v>46</v>
      </c>
      <c r="G2382">
        <v>71.03</v>
      </c>
      <c r="H2382" t="s">
        <v>31</v>
      </c>
      <c r="I2382" t="s">
        <v>15</v>
      </c>
      <c r="J2382">
        <v>4.8</v>
      </c>
      <c r="K2382">
        <v>22</v>
      </c>
      <c r="L2382">
        <f t="shared" si="112"/>
        <v>55.403400000000005</v>
      </c>
      <c r="M2382">
        <v>6</v>
      </c>
      <c r="N2382" t="str">
        <f t="shared" si="113"/>
        <v>Regular</v>
      </c>
    </row>
    <row r="2383" spans="1:14" x14ac:dyDescent="0.35">
      <c r="A2383">
        <v>2382</v>
      </c>
      <c r="B2383">
        <v>37</v>
      </c>
      <c r="C2383" t="str">
        <f t="shared" si="111"/>
        <v>Adult</v>
      </c>
      <c r="D2383" t="s">
        <v>11</v>
      </c>
      <c r="E2383" t="s">
        <v>29</v>
      </c>
      <c r="F2383" t="s">
        <v>30</v>
      </c>
      <c r="G2383">
        <v>90.69</v>
      </c>
      <c r="H2383" t="s">
        <v>14</v>
      </c>
      <c r="I2383" t="s">
        <v>15</v>
      </c>
      <c r="J2383">
        <v>4.3</v>
      </c>
      <c r="K2383">
        <v>10</v>
      </c>
      <c r="L2383">
        <f t="shared" si="112"/>
        <v>81.620999999999995</v>
      </c>
      <c r="M2383">
        <v>0</v>
      </c>
      <c r="N2383" t="str">
        <f t="shared" si="113"/>
        <v>New</v>
      </c>
    </row>
    <row r="2384" spans="1:14" x14ac:dyDescent="0.35">
      <c r="A2384">
        <v>2383</v>
      </c>
      <c r="B2384">
        <v>60</v>
      </c>
      <c r="C2384" t="str">
        <f t="shared" si="111"/>
        <v>Adult</v>
      </c>
      <c r="D2384" t="s">
        <v>11</v>
      </c>
      <c r="E2384" t="s">
        <v>29</v>
      </c>
      <c r="F2384" t="s">
        <v>55</v>
      </c>
      <c r="G2384">
        <v>75.290000000000006</v>
      </c>
      <c r="H2384" t="s">
        <v>19</v>
      </c>
      <c r="I2384" t="s">
        <v>15</v>
      </c>
      <c r="J2384">
        <v>5</v>
      </c>
      <c r="K2384">
        <v>20</v>
      </c>
      <c r="L2384">
        <f t="shared" si="112"/>
        <v>60.232000000000006</v>
      </c>
      <c r="M2384">
        <v>5</v>
      </c>
      <c r="N2384" t="str">
        <f t="shared" si="113"/>
        <v>Regular</v>
      </c>
    </row>
    <row r="2385" spans="1:14" x14ac:dyDescent="0.35">
      <c r="A2385">
        <v>2384</v>
      </c>
      <c r="B2385">
        <v>27</v>
      </c>
      <c r="C2385" t="str">
        <f t="shared" si="111"/>
        <v>Youth</v>
      </c>
      <c r="D2385" t="s">
        <v>16</v>
      </c>
      <c r="E2385" t="s">
        <v>17</v>
      </c>
      <c r="F2385" t="s">
        <v>48</v>
      </c>
      <c r="G2385">
        <v>62.41</v>
      </c>
      <c r="H2385" t="s">
        <v>19</v>
      </c>
      <c r="I2385" t="s">
        <v>37</v>
      </c>
      <c r="J2385">
        <v>2.9</v>
      </c>
      <c r="K2385">
        <v>13</v>
      </c>
      <c r="L2385">
        <f t="shared" si="112"/>
        <v>54.296699999999994</v>
      </c>
      <c r="M2385">
        <v>4</v>
      </c>
      <c r="N2385" t="str">
        <f t="shared" si="113"/>
        <v>Regular</v>
      </c>
    </row>
    <row r="2386" spans="1:14" x14ac:dyDescent="0.35">
      <c r="A2386">
        <v>2385</v>
      </c>
      <c r="B2386">
        <v>65</v>
      </c>
      <c r="C2386" t="str">
        <f t="shared" si="111"/>
        <v>Senior</v>
      </c>
      <c r="D2386" t="s">
        <v>16</v>
      </c>
      <c r="E2386" t="s">
        <v>17</v>
      </c>
      <c r="F2386" t="s">
        <v>48</v>
      </c>
      <c r="G2386">
        <v>169.17</v>
      </c>
      <c r="H2386" t="s">
        <v>14</v>
      </c>
      <c r="I2386" t="s">
        <v>15</v>
      </c>
      <c r="J2386">
        <v>3.8</v>
      </c>
      <c r="K2386">
        <v>10</v>
      </c>
      <c r="L2386">
        <f t="shared" si="112"/>
        <v>152.25299999999999</v>
      </c>
      <c r="M2386">
        <v>5</v>
      </c>
      <c r="N2386" t="str">
        <f t="shared" si="113"/>
        <v>Regular</v>
      </c>
    </row>
    <row r="2387" spans="1:14" x14ac:dyDescent="0.35">
      <c r="A2387">
        <v>2386</v>
      </c>
      <c r="B2387">
        <v>39</v>
      </c>
      <c r="C2387" t="str">
        <f t="shared" si="111"/>
        <v>Adult</v>
      </c>
      <c r="D2387" t="s">
        <v>16</v>
      </c>
      <c r="E2387" t="s">
        <v>27</v>
      </c>
      <c r="F2387" t="s">
        <v>28</v>
      </c>
      <c r="G2387">
        <v>2886.67</v>
      </c>
      <c r="H2387" t="s">
        <v>31</v>
      </c>
      <c r="I2387" t="s">
        <v>15</v>
      </c>
      <c r="J2387">
        <v>3.6</v>
      </c>
      <c r="K2387">
        <v>19</v>
      </c>
      <c r="L2387">
        <f t="shared" si="112"/>
        <v>2338.2027000000003</v>
      </c>
      <c r="M2387">
        <v>7</v>
      </c>
      <c r="N2387" t="str">
        <f t="shared" si="113"/>
        <v>Regular</v>
      </c>
    </row>
    <row r="2388" spans="1:14" x14ac:dyDescent="0.35">
      <c r="A2388">
        <v>2387</v>
      </c>
      <c r="B2388">
        <v>60</v>
      </c>
      <c r="C2388" t="str">
        <f t="shared" si="111"/>
        <v>Adult</v>
      </c>
      <c r="D2388" t="s">
        <v>16</v>
      </c>
      <c r="E2388" t="s">
        <v>33</v>
      </c>
      <c r="F2388" t="s">
        <v>40</v>
      </c>
      <c r="G2388">
        <v>144.37</v>
      </c>
      <c r="H2388" t="s">
        <v>24</v>
      </c>
      <c r="I2388" t="s">
        <v>15</v>
      </c>
      <c r="J2388">
        <v>4.4000000000000004</v>
      </c>
      <c r="K2388">
        <v>18</v>
      </c>
      <c r="L2388">
        <f t="shared" si="112"/>
        <v>118.38340000000001</v>
      </c>
      <c r="M2388">
        <v>4</v>
      </c>
      <c r="N2388" t="str">
        <f t="shared" si="113"/>
        <v>Regular</v>
      </c>
    </row>
    <row r="2389" spans="1:14" x14ac:dyDescent="0.35">
      <c r="A2389">
        <v>2388</v>
      </c>
      <c r="B2389">
        <v>56</v>
      </c>
      <c r="C2389" t="str">
        <f t="shared" si="111"/>
        <v>Adult</v>
      </c>
      <c r="D2389" t="s">
        <v>16</v>
      </c>
      <c r="E2389" t="s">
        <v>25</v>
      </c>
      <c r="F2389" t="s">
        <v>54</v>
      </c>
      <c r="G2389">
        <v>23.35</v>
      </c>
      <c r="H2389" t="s">
        <v>24</v>
      </c>
      <c r="I2389" t="s">
        <v>15</v>
      </c>
      <c r="J2389">
        <v>4.9000000000000004</v>
      </c>
      <c r="K2389">
        <v>17</v>
      </c>
      <c r="L2389">
        <f t="shared" si="112"/>
        <v>19.380500000000001</v>
      </c>
      <c r="M2389">
        <v>6</v>
      </c>
      <c r="N2389" t="str">
        <f t="shared" si="113"/>
        <v>Regular</v>
      </c>
    </row>
    <row r="2390" spans="1:14" x14ac:dyDescent="0.35">
      <c r="A2390">
        <v>2389</v>
      </c>
      <c r="B2390">
        <v>32</v>
      </c>
      <c r="C2390" t="str">
        <f t="shared" si="111"/>
        <v>Adult</v>
      </c>
      <c r="D2390" t="s">
        <v>16</v>
      </c>
      <c r="E2390" t="s">
        <v>17</v>
      </c>
      <c r="F2390" t="s">
        <v>42</v>
      </c>
      <c r="G2390">
        <v>191.09</v>
      </c>
      <c r="H2390" t="s">
        <v>31</v>
      </c>
      <c r="I2390" t="s">
        <v>15</v>
      </c>
      <c r="J2390">
        <v>4.2</v>
      </c>
      <c r="K2390">
        <v>14</v>
      </c>
      <c r="L2390">
        <f t="shared" si="112"/>
        <v>164.3374</v>
      </c>
      <c r="M2390">
        <v>7</v>
      </c>
      <c r="N2390" t="str">
        <f t="shared" si="113"/>
        <v>Regular</v>
      </c>
    </row>
    <row r="2391" spans="1:14" x14ac:dyDescent="0.35">
      <c r="A2391">
        <v>2390</v>
      </c>
      <c r="B2391">
        <v>47</v>
      </c>
      <c r="C2391" t="str">
        <f t="shared" si="111"/>
        <v>Adult</v>
      </c>
      <c r="D2391" t="s">
        <v>11</v>
      </c>
      <c r="E2391" t="s">
        <v>33</v>
      </c>
      <c r="F2391" t="s">
        <v>34</v>
      </c>
      <c r="G2391">
        <v>69.52</v>
      </c>
      <c r="H2391" t="s">
        <v>31</v>
      </c>
      <c r="I2391" t="s">
        <v>37</v>
      </c>
      <c r="J2391">
        <v>3.2</v>
      </c>
      <c r="K2391">
        <v>20</v>
      </c>
      <c r="L2391">
        <f t="shared" si="112"/>
        <v>55.616</v>
      </c>
      <c r="M2391">
        <v>5</v>
      </c>
      <c r="N2391" t="str">
        <f t="shared" si="113"/>
        <v>Regular</v>
      </c>
    </row>
    <row r="2392" spans="1:14" x14ac:dyDescent="0.35">
      <c r="A2392">
        <v>2391</v>
      </c>
      <c r="B2392">
        <v>55</v>
      </c>
      <c r="C2392" t="str">
        <f t="shared" si="111"/>
        <v>Adult</v>
      </c>
      <c r="D2392" t="s">
        <v>16</v>
      </c>
      <c r="E2392" t="s">
        <v>17</v>
      </c>
      <c r="F2392" t="s">
        <v>42</v>
      </c>
      <c r="G2392">
        <v>119.06</v>
      </c>
      <c r="H2392" t="s">
        <v>14</v>
      </c>
      <c r="I2392" t="s">
        <v>15</v>
      </c>
      <c r="J2392">
        <v>3.6</v>
      </c>
      <c r="K2392">
        <v>8</v>
      </c>
      <c r="L2392">
        <f t="shared" si="112"/>
        <v>109.5352</v>
      </c>
      <c r="M2392">
        <v>4</v>
      </c>
      <c r="N2392" t="str">
        <f t="shared" si="113"/>
        <v>Regular</v>
      </c>
    </row>
    <row r="2393" spans="1:14" x14ac:dyDescent="0.35">
      <c r="A2393">
        <v>2392</v>
      </c>
      <c r="B2393">
        <v>52</v>
      </c>
      <c r="C2393" t="str">
        <f t="shared" si="111"/>
        <v>Adult</v>
      </c>
      <c r="D2393" t="s">
        <v>11</v>
      </c>
      <c r="E2393" t="s">
        <v>29</v>
      </c>
      <c r="F2393" t="s">
        <v>51</v>
      </c>
      <c r="G2393">
        <v>64.56</v>
      </c>
      <c r="H2393" t="s">
        <v>24</v>
      </c>
      <c r="I2393" t="s">
        <v>15</v>
      </c>
      <c r="J2393">
        <v>3.2</v>
      </c>
      <c r="K2393">
        <v>12</v>
      </c>
      <c r="L2393">
        <f t="shared" si="112"/>
        <v>56.812800000000003</v>
      </c>
      <c r="M2393">
        <v>6</v>
      </c>
      <c r="N2393" t="str">
        <f t="shared" si="113"/>
        <v>Regular</v>
      </c>
    </row>
    <row r="2394" spans="1:14" x14ac:dyDescent="0.35">
      <c r="A2394">
        <v>2393</v>
      </c>
      <c r="B2394">
        <v>59</v>
      </c>
      <c r="C2394" t="str">
        <f t="shared" si="111"/>
        <v>Adult</v>
      </c>
      <c r="D2394" t="s">
        <v>11</v>
      </c>
      <c r="E2394" t="s">
        <v>33</v>
      </c>
      <c r="F2394" t="s">
        <v>40</v>
      </c>
      <c r="G2394">
        <v>90.14</v>
      </c>
      <c r="H2394" t="s">
        <v>19</v>
      </c>
      <c r="I2394" t="s">
        <v>37</v>
      </c>
      <c r="J2394">
        <v>3.9</v>
      </c>
      <c r="K2394">
        <v>11</v>
      </c>
      <c r="L2394">
        <f t="shared" si="112"/>
        <v>80.224599999999995</v>
      </c>
      <c r="M2394">
        <v>3</v>
      </c>
      <c r="N2394" t="str">
        <f t="shared" si="113"/>
        <v>New</v>
      </c>
    </row>
    <row r="2395" spans="1:14" x14ac:dyDescent="0.35">
      <c r="A2395">
        <v>2394</v>
      </c>
      <c r="B2395">
        <v>32</v>
      </c>
      <c r="C2395" t="str">
        <f t="shared" si="111"/>
        <v>Adult</v>
      </c>
      <c r="D2395" t="s">
        <v>16</v>
      </c>
      <c r="E2395" t="s">
        <v>27</v>
      </c>
      <c r="F2395" t="s">
        <v>53</v>
      </c>
      <c r="G2395">
        <v>1690.64</v>
      </c>
      <c r="H2395" t="s">
        <v>19</v>
      </c>
      <c r="I2395" t="s">
        <v>15</v>
      </c>
      <c r="J2395">
        <v>4.5999999999999996</v>
      </c>
      <c r="K2395">
        <v>18</v>
      </c>
      <c r="L2395">
        <f t="shared" si="112"/>
        <v>1386.3248000000001</v>
      </c>
      <c r="M2395">
        <v>4</v>
      </c>
      <c r="N2395" t="str">
        <f t="shared" si="113"/>
        <v>Regular</v>
      </c>
    </row>
    <row r="2396" spans="1:14" x14ac:dyDescent="0.35">
      <c r="A2396">
        <v>2395</v>
      </c>
      <c r="B2396">
        <v>60</v>
      </c>
      <c r="C2396" t="str">
        <f t="shared" si="111"/>
        <v>Adult</v>
      </c>
      <c r="D2396" t="s">
        <v>11</v>
      </c>
      <c r="E2396" t="s">
        <v>33</v>
      </c>
      <c r="F2396" t="s">
        <v>38</v>
      </c>
      <c r="G2396">
        <v>136.97</v>
      </c>
      <c r="H2396" t="s">
        <v>31</v>
      </c>
      <c r="I2396" t="s">
        <v>15</v>
      </c>
      <c r="J2396">
        <v>4.5</v>
      </c>
      <c r="K2396">
        <v>11</v>
      </c>
      <c r="L2396">
        <f t="shared" si="112"/>
        <v>121.9033</v>
      </c>
      <c r="M2396">
        <v>3</v>
      </c>
      <c r="N2396" t="str">
        <f t="shared" si="113"/>
        <v>New</v>
      </c>
    </row>
    <row r="2397" spans="1:14" x14ac:dyDescent="0.35">
      <c r="A2397">
        <v>2396</v>
      </c>
      <c r="B2397">
        <v>66</v>
      </c>
      <c r="C2397" t="str">
        <f t="shared" si="111"/>
        <v>Senior</v>
      </c>
      <c r="D2397" t="s">
        <v>16</v>
      </c>
      <c r="E2397" t="s">
        <v>22</v>
      </c>
      <c r="F2397" t="s">
        <v>43</v>
      </c>
      <c r="G2397">
        <v>116.48</v>
      </c>
      <c r="H2397" t="s">
        <v>19</v>
      </c>
      <c r="I2397" t="s">
        <v>15</v>
      </c>
      <c r="J2397">
        <v>5</v>
      </c>
      <c r="K2397">
        <v>24</v>
      </c>
      <c r="L2397">
        <f t="shared" si="112"/>
        <v>88.524799999999999</v>
      </c>
      <c r="M2397">
        <v>12</v>
      </c>
      <c r="N2397" t="str">
        <f t="shared" si="113"/>
        <v>Loyal</v>
      </c>
    </row>
    <row r="2398" spans="1:14" x14ac:dyDescent="0.35">
      <c r="A2398">
        <v>2397</v>
      </c>
      <c r="B2398">
        <v>22</v>
      </c>
      <c r="C2398" t="str">
        <f t="shared" si="111"/>
        <v>Youth</v>
      </c>
      <c r="D2398" t="s">
        <v>16</v>
      </c>
      <c r="E2398" t="s">
        <v>27</v>
      </c>
      <c r="F2398" t="s">
        <v>28</v>
      </c>
      <c r="G2398">
        <v>503.66</v>
      </c>
      <c r="H2398" t="s">
        <v>24</v>
      </c>
      <c r="I2398" t="s">
        <v>15</v>
      </c>
      <c r="J2398">
        <v>2.8</v>
      </c>
      <c r="K2398">
        <v>14</v>
      </c>
      <c r="L2398">
        <f t="shared" si="112"/>
        <v>433.14760000000001</v>
      </c>
      <c r="M2398">
        <v>7</v>
      </c>
      <c r="N2398" t="str">
        <f t="shared" si="113"/>
        <v>Regular</v>
      </c>
    </row>
    <row r="2399" spans="1:14" x14ac:dyDescent="0.35">
      <c r="A2399">
        <v>2398</v>
      </c>
      <c r="B2399">
        <v>21</v>
      </c>
      <c r="C2399" t="str">
        <f t="shared" si="111"/>
        <v>Youth</v>
      </c>
      <c r="D2399" t="s">
        <v>11</v>
      </c>
      <c r="E2399" t="s">
        <v>33</v>
      </c>
      <c r="F2399" t="s">
        <v>40</v>
      </c>
      <c r="G2399">
        <v>176.14</v>
      </c>
      <c r="H2399" t="s">
        <v>14</v>
      </c>
      <c r="I2399" t="s">
        <v>15</v>
      </c>
      <c r="J2399">
        <v>3.6</v>
      </c>
      <c r="K2399">
        <v>26</v>
      </c>
      <c r="L2399">
        <f t="shared" si="112"/>
        <v>130.34359999999998</v>
      </c>
      <c r="M2399">
        <v>8</v>
      </c>
      <c r="N2399" t="str">
        <f t="shared" si="113"/>
        <v>Loyal</v>
      </c>
    </row>
    <row r="2400" spans="1:14" x14ac:dyDescent="0.35">
      <c r="A2400">
        <v>2399</v>
      </c>
      <c r="B2400">
        <v>61</v>
      </c>
      <c r="C2400" t="str">
        <f t="shared" si="111"/>
        <v>Senior</v>
      </c>
      <c r="D2400" t="s">
        <v>11</v>
      </c>
      <c r="E2400" t="s">
        <v>33</v>
      </c>
      <c r="F2400" t="s">
        <v>34</v>
      </c>
      <c r="G2400">
        <v>202.84</v>
      </c>
      <c r="H2400" t="s">
        <v>19</v>
      </c>
      <c r="I2400" t="s">
        <v>15</v>
      </c>
      <c r="J2400">
        <v>3.2</v>
      </c>
      <c r="K2400">
        <v>10</v>
      </c>
      <c r="L2400">
        <f t="shared" si="112"/>
        <v>182.55600000000001</v>
      </c>
      <c r="M2400">
        <v>5</v>
      </c>
      <c r="N2400" t="str">
        <f t="shared" si="113"/>
        <v>Regular</v>
      </c>
    </row>
    <row r="2401" spans="1:14" x14ac:dyDescent="0.35">
      <c r="A2401">
        <v>2400</v>
      </c>
      <c r="B2401">
        <v>45</v>
      </c>
      <c r="C2401" t="str">
        <f t="shared" si="111"/>
        <v>Adult</v>
      </c>
      <c r="D2401" t="s">
        <v>16</v>
      </c>
      <c r="E2401" t="s">
        <v>33</v>
      </c>
      <c r="F2401" t="s">
        <v>38</v>
      </c>
      <c r="G2401">
        <v>95.24</v>
      </c>
      <c r="H2401" t="s">
        <v>24</v>
      </c>
      <c r="I2401" t="s">
        <v>37</v>
      </c>
      <c r="J2401">
        <v>4.5999999999999996</v>
      </c>
      <c r="K2401">
        <v>11</v>
      </c>
      <c r="L2401">
        <f t="shared" si="112"/>
        <v>84.763599999999997</v>
      </c>
      <c r="M2401">
        <v>3</v>
      </c>
      <c r="N2401" t="str">
        <f t="shared" si="113"/>
        <v>New</v>
      </c>
    </row>
    <row r="2402" spans="1:14" x14ac:dyDescent="0.35">
      <c r="A2402">
        <v>2401</v>
      </c>
      <c r="B2402">
        <v>59</v>
      </c>
      <c r="C2402" t="str">
        <f t="shared" si="111"/>
        <v>Adult</v>
      </c>
      <c r="D2402" t="s">
        <v>11</v>
      </c>
      <c r="E2402" t="s">
        <v>41</v>
      </c>
      <c r="F2402" t="s">
        <v>45</v>
      </c>
      <c r="G2402">
        <v>188.01</v>
      </c>
      <c r="H2402" t="s">
        <v>24</v>
      </c>
      <c r="I2402" t="s">
        <v>15</v>
      </c>
      <c r="J2402">
        <v>2.8</v>
      </c>
      <c r="K2402">
        <v>12</v>
      </c>
      <c r="L2402">
        <f t="shared" si="112"/>
        <v>165.44880000000001</v>
      </c>
      <c r="M2402">
        <v>6</v>
      </c>
      <c r="N2402" t="str">
        <f t="shared" si="113"/>
        <v>Regular</v>
      </c>
    </row>
    <row r="2403" spans="1:14" x14ac:dyDescent="0.35">
      <c r="A2403">
        <v>2402</v>
      </c>
      <c r="B2403">
        <v>50</v>
      </c>
      <c r="C2403" t="str">
        <f t="shared" si="111"/>
        <v>Adult</v>
      </c>
      <c r="D2403" t="s">
        <v>16</v>
      </c>
      <c r="E2403" t="s">
        <v>25</v>
      </c>
      <c r="F2403" t="s">
        <v>57</v>
      </c>
      <c r="G2403">
        <v>11.64</v>
      </c>
      <c r="H2403" t="s">
        <v>31</v>
      </c>
      <c r="I2403" t="s">
        <v>37</v>
      </c>
      <c r="J2403">
        <v>2.8</v>
      </c>
      <c r="K2403">
        <v>2</v>
      </c>
      <c r="L2403">
        <f t="shared" si="112"/>
        <v>11.4072</v>
      </c>
      <c r="M2403">
        <v>1</v>
      </c>
      <c r="N2403" t="str">
        <f t="shared" si="113"/>
        <v>New</v>
      </c>
    </row>
    <row r="2404" spans="1:14" x14ac:dyDescent="0.35">
      <c r="A2404">
        <v>2403</v>
      </c>
      <c r="B2404">
        <v>61</v>
      </c>
      <c r="C2404" t="str">
        <f t="shared" si="111"/>
        <v>Senior</v>
      </c>
      <c r="D2404" t="s">
        <v>16</v>
      </c>
      <c r="E2404" t="s">
        <v>25</v>
      </c>
      <c r="F2404" t="s">
        <v>57</v>
      </c>
      <c r="G2404">
        <v>49.05</v>
      </c>
      <c r="H2404" t="s">
        <v>31</v>
      </c>
      <c r="I2404" t="s">
        <v>15</v>
      </c>
      <c r="J2404">
        <v>2.7</v>
      </c>
      <c r="K2404">
        <v>22</v>
      </c>
      <c r="L2404">
        <f t="shared" si="112"/>
        <v>38.259</v>
      </c>
      <c r="M2404">
        <v>6</v>
      </c>
      <c r="N2404" t="str">
        <f t="shared" si="113"/>
        <v>Regular</v>
      </c>
    </row>
    <row r="2405" spans="1:14" x14ac:dyDescent="0.35">
      <c r="A2405">
        <v>2404</v>
      </c>
      <c r="B2405">
        <v>36</v>
      </c>
      <c r="C2405" t="str">
        <f t="shared" si="111"/>
        <v>Adult</v>
      </c>
      <c r="D2405" t="s">
        <v>11</v>
      </c>
      <c r="E2405" t="s">
        <v>20</v>
      </c>
      <c r="F2405" t="s">
        <v>36</v>
      </c>
      <c r="G2405">
        <v>51.28</v>
      </c>
      <c r="H2405" t="s">
        <v>19</v>
      </c>
      <c r="I2405" t="s">
        <v>15</v>
      </c>
      <c r="J2405">
        <v>4.5</v>
      </c>
      <c r="K2405">
        <v>22</v>
      </c>
      <c r="L2405">
        <f t="shared" si="112"/>
        <v>39.998400000000004</v>
      </c>
      <c r="M2405">
        <v>6</v>
      </c>
      <c r="N2405" t="str">
        <f t="shared" si="113"/>
        <v>Regular</v>
      </c>
    </row>
    <row r="2406" spans="1:14" x14ac:dyDescent="0.35">
      <c r="A2406">
        <v>2405</v>
      </c>
      <c r="B2406">
        <v>45</v>
      </c>
      <c r="C2406" t="str">
        <f t="shared" si="111"/>
        <v>Adult</v>
      </c>
      <c r="D2406" t="s">
        <v>16</v>
      </c>
      <c r="E2406" t="s">
        <v>33</v>
      </c>
      <c r="F2406" t="s">
        <v>40</v>
      </c>
      <c r="G2406">
        <v>53.31</v>
      </c>
      <c r="H2406" t="s">
        <v>31</v>
      </c>
      <c r="I2406" t="s">
        <v>37</v>
      </c>
      <c r="J2406">
        <v>3.8</v>
      </c>
      <c r="K2406">
        <v>20</v>
      </c>
      <c r="L2406">
        <f t="shared" si="112"/>
        <v>42.648000000000003</v>
      </c>
      <c r="M2406">
        <v>5</v>
      </c>
      <c r="N2406" t="str">
        <f t="shared" si="113"/>
        <v>Regular</v>
      </c>
    </row>
    <row r="2407" spans="1:14" x14ac:dyDescent="0.35">
      <c r="A2407">
        <v>2406</v>
      </c>
      <c r="B2407">
        <v>23</v>
      </c>
      <c r="C2407" t="str">
        <f t="shared" si="111"/>
        <v>Youth</v>
      </c>
      <c r="D2407" t="s">
        <v>16</v>
      </c>
      <c r="E2407" t="s">
        <v>33</v>
      </c>
      <c r="F2407" t="s">
        <v>38</v>
      </c>
      <c r="G2407">
        <v>70.92</v>
      </c>
      <c r="H2407" t="s">
        <v>31</v>
      </c>
      <c r="I2407" t="s">
        <v>15</v>
      </c>
      <c r="J2407">
        <v>2.8</v>
      </c>
      <c r="K2407">
        <v>24</v>
      </c>
      <c r="L2407">
        <f t="shared" si="112"/>
        <v>53.8992</v>
      </c>
      <c r="M2407">
        <v>7</v>
      </c>
      <c r="N2407" t="str">
        <f t="shared" si="113"/>
        <v>Regular</v>
      </c>
    </row>
    <row r="2408" spans="1:14" x14ac:dyDescent="0.35">
      <c r="A2408">
        <v>2407</v>
      </c>
      <c r="B2408">
        <v>66</v>
      </c>
      <c r="C2408" t="str">
        <f t="shared" si="111"/>
        <v>Senior</v>
      </c>
      <c r="D2408" t="s">
        <v>11</v>
      </c>
      <c r="E2408" t="s">
        <v>22</v>
      </c>
      <c r="F2408" t="s">
        <v>43</v>
      </c>
      <c r="G2408">
        <v>245.8</v>
      </c>
      <c r="H2408" t="s">
        <v>24</v>
      </c>
      <c r="I2408" t="s">
        <v>15</v>
      </c>
      <c r="J2408">
        <v>3.1</v>
      </c>
      <c r="K2408">
        <v>14</v>
      </c>
      <c r="L2408">
        <f t="shared" si="112"/>
        <v>211.38800000000001</v>
      </c>
      <c r="M2408">
        <v>7</v>
      </c>
      <c r="N2408" t="str">
        <f t="shared" si="113"/>
        <v>Regular</v>
      </c>
    </row>
    <row r="2409" spans="1:14" x14ac:dyDescent="0.35">
      <c r="A2409">
        <v>2408</v>
      </c>
      <c r="B2409">
        <v>62</v>
      </c>
      <c r="C2409" t="str">
        <f t="shared" si="111"/>
        <v>Senior</v>
      </c>
      <c r="D2409" t="s">
        <v>16</v>
      </c>
      <c r="E2409" t="s">
        <v>33</v>
      </c>
      <c r="F2409" t="s">
        <v>38</v>
      </c>
      <c r="G2409">
        <v>111.93</v>
      </c>
      <c r="H2409" t="s">
        <v>31</v>
      </c>
      <c r="I2409" t="s">
        <v>15</v>
      </c>
      <c r="J2409">
        <v>2.2999999999999998</v>
      </c>
      <c r="K2409">
        <v>10</v>
      </c>
      <c r="L2409">
        <f t="shared" si="112"/>
        <v>100.73700000000001</v>
      </c>
      <c r="M2409">
        <v>5</v>
      </c>
      <c r="N2409" t="str">
        <f t="shared" si="113"/>
        <v>Regular</v>
      </c>
    </row>
    <row r="2410" spans="1:14" x14ac:dyDescent="0.35">
      <c r="A2410">
        <v>2409</v>
      </c>
      <c r="B2410">
        <v>33</v>
      </c>
      <c r="C2410" t="str">
        <f t="shared" si="111"/>
        <v>Adult</v>
      </c>
      <c r="D2410" t="s">
        <v>16</v>
      </c>
      <c r="E2410" t="s">
        <v>17</v>
      </c>
      <c r="F2410" t="s">
        <v>35</v>
      </c>
      <c r="G2410">
        <v>81.37</v>
      </c>
      <c r="H2410" t="s">
        <v>31</v>
      </c>
      <c r="I2410" t="s">
        <v>37</v>
      </c>
      <c r="J2410">
        <v>4.2</v>
      </c>
      <c r="K2410">
        <v>18</v>
      </c>
      <c r="L2410">
        <f t="shared" si="112"/>
        <v>66.723400000000012</v>
      </c>
      <c r="M2410">
        <v>4</v>
      </c>
      <c r="N2410" t="str">
        <f t="shared" si="113"/>
        <v>Regular</v>
      </c>
    </row>
    <row r="2411" spans="1:14" x14ac:dyDescent="0.35">
      <c r="A2411">
        <v>2410</v>
      </c>
      <c r="B2411">
        <v>64</v>
      </c>
      <c r="C2411" t="str">
        <f t="shared" si="111"/>
        <v>Senior</v>
      </c>
      <c r="D2411" t="s">
        <v>11</v>
      </c>
      <c r="E2411" t="s">
        <v>29</v>
      </c>
      <c r="F2411" t="s">
        <v>51</v>
      </c>
      <c r="G2411">
        <v>49.12</v>
      </c>
      <c r="H2411" t="s">
        <v>14</v>
      </c>
      <c r="I2411" t="s">
        <v>37</v>
      </c>
      <c r="J2411">
        <v>3.6</v>
      </c>
      <c r="K2411">
        <v>19</v>
      </c>
      <c r="L2411">
        <f t="shared" si="112"/>
        <v>39.787199999999999</v>
      </c>
      <c r="M2411">
        <v>7</v>
      </c>
      <c r="N2411" t="str">
        <f t="shared" si="113"/>
        <v>Regular</v>
      </c>
    </row>
    <row r="2412" spans="1:14" x14ac:dyDescent="0.35">
      <c r="A2412">
        <v>2411</v>
      </c>
      <c r="B2412">
        <v>34</v>
      </c>
      <c r="C2412" t="str">
        <f t="shared" si="111"/>
        <v>Adult</v>
      </c>
      <c r="D2412" t="s">
        <v>11</v>
      </c>
      <c r="E2412" t="s">
        <v>12</v>
      </c>
      <c r="F2412" t="s">
        <v>13</v>
      </c>
      <c r="G2412">
        <v>23.82</v>
      </c>
      <c r="H2412" t="s">
        <v>24</v>
      </c>
      <c r="I2412" t="s">
        <v>15</v>
      </c>
      <c r="J2412">
        <v>4.5999999999999996</v>
      </c>
      <c r="K2412">
        <v>24</v>
      </c>
      <c r="L2412">
        <f t="shared" si="112"/>
        <v>18.103200000000001</v>
      </c>
      <c r="M2412">
        <v>7</v>
      </c>
      <c r="N2412" t="str">
        <f t="shared" si="113"/>
        <v>Regular</v>
      </c>
    </row>
    <row r="2413" spans="1:14" x14ac:dyDescent="0.35">
      <c r="A2413">
        <v>2412</v>
      </c>
      <c r="B2413">
        <v>41</v>
      </c>
      <c r="C2413" t="str">
        <f t="shared" si="111"/>
        <v>Adult</v>
      </c>
      <c r="D2413" t="s">
        <v>16</v>
      </c>
      <c r="E2413" t="s">
        <v>22</v>
      </c>
      <c r="F2413" t="s">
        <v>23</v>
      </c>
      <c r="G2413">
        <v>295.39</v>
      </c>
      <c r="H2413" t="s">
        <v>14</v>
      </c>
      <c r="I2413" t="s">
        <v>15</v>
      </c>
      <c r="J2413">
        <v>3.8</v>
      </c>
      <c r="K2413">
        <v>6</v>
      </c>
      <c r="L2413">
        <f t="shared" si="112"/>
        <v>277.66659999999996</v>
      </c>
      <c r="M2413">
        <v>3</v>
      </c>
      <c r="N2413" t="str">
        <f t="shared" si="113"/>
        <v>New</v>
      </c>
    </row>
    <row r="2414" spans="1:14" x14ac:dyDescent="0.35">
      <c r="A2414">
        <v>2413</v>
      </c>
      <c r="B2414">
        <v>62</v>
      </c>
      <c r="C2414" t="str">
        <f t="shared" si="111"/>
        <v>Senior</v>
      </c>
      <c r="D2414" t="s">
        <v>11</v>
      </c>
      <c r="E2414" t="s">
        <v>41</v>
      </c>
      <c r="F2414" t="s">
        <v>46</v>
      </c>
      <c r="G2414">
        <v>191.31</v>
      </c>
      <c r="H2414" t="s">
        <v>24</v>
      </c>
      <c r="I2414" t="s">
        <v>15</v>
      </c>
      <c r="J2414">
        <v>3.6</v>
      </c>
      <c r="K2414">
        <v>12</v>
      </c>
      <c r="L2414">
        <f t="shared" si="112"/>
        <v>168.3528</v>
      </c>
      <c r="M2414">
        <v>6</v>
      </c>
      <c r="N2414" t="str">
        <f t="shared" si="113"/>
        <v>Regular</v>
      </c>
    </row>
    <row r="2415" spans="1:14" x14ac:dyDescent="0.35">
      <c r="A2415">
        <v>2414</v>
      </c>
      <c r="B2415">
        <v>63</v>
      </c>
      <c r="C2415" t="str">
        <f t="shared" si="111"/>
        <v>Senior</v>
      </c>
      <c r="D2415" t="s">
        <v>11</v>
      </c>
      <c r="E2415" t="s">
        <v>33</v>
      </c>
      <c r="F2415" t="s">
        <v>38</v>
      </c>
      <c r="G2415">
        <v>75.31</v>
      </c>
      <c r="H2415" t="s">
        <v>14</v>
      </c>
      <c r="I2415" t="s">
        <v>37</v>
      </c>
      <c r="J2415">
        <v>4</v>
      </c>
      <c r="K2415">
        <v>22</v>
      </c>
      <c r="L2415">
        <f t="shared" si="112"/>
        <v>58.741800000000005</v>
      </c>
      <c r="M2415">
        <v>11</v>
      </c>
      <c r="N2415" t="str">
        <f t="shared" si="113"/>
        <v>Loyal</v>
      </c>
    </row>
    <row r="2416" spans="1:14" x14ac:dyDescent="0.35">
      <c r="A2416">
        <v>2415</v>
      </c>
      <c r="B2416">
        <v>65</v>
      </c>
      <c r="C2416" t="str">
        <f t="shared" si="111"/>
        <v>Senior</v>
      </c>
      <c r="D2416" t="s">
        <v>16</v>
      </c>
      <c r="E2416" t="s">
        <v>17</v>
      </c>
      <c r="F2416" t="s">
        <v>35</v>
      </c>
      <c r="G2416">
        <v>191.04</v>
      </c>
      <c r="H2416" t="s">
        <v>14</v>
      </c>
      <c r="I2416" t="s">
        <v>15</v>
      </c>
      <c r="J2416">
        <v>4.2</v>
      </c>
      <c r="K2416">
        <v>16</v>
      </c>
      <c r="L2416">
        <f t="shared" si="112"/>
        <v>160.47359999999998</v>
      </c>
      <c r="M2416">
        <v>3</v>
      </c>
      <c r="N2416" t="str">
        <f t="shared" si="113"/>
        <v>New</v>
      </c>
    </row>
    <row r="2417" spans="1:14" x14ac:dyDescent="0.35">
      <c r="A2417">
        <v>2416</v>
      </c>
      <c r="B2417">
        <v>44</v>
      </c>
      <c r="C2417" t="str">
        <f t="shared" si="111"/>
        <v>Adult</v>
      </c>
      <c r="D2417" t="s">
        <v>11</v>
      </c>
      <c r="E2417" t="s">
        <v>29</v>
      </c>
      <c r="F2417" t="s">
        <v>51</v>
      </c>
      <c r="G2417">
        <v>68.39</v>
      </c>
      <c r="H2417" t="s">
        <v>31</v>
      </c>
      <c r="I2417" t="s">
        <v>37</v>
      </c>
      <c r="J2417">
        <v>3.2</v>
      </c>
      <c r="K2417">
        <v>15</v>
      </c>
      <c r="L2417">
        <f t="shared" si="112"/>
        <v>58.131499999999996</v>
      </c>
      <c r="M2417">
        <v>5</v>
      </c>
      <c r="N2417" t="str">
        <f t="shared" si="113"/>
        <v>Regular</v>
      </c>
    </row>
    <row r="2418" spans="1:14" x14ac:dyDescent="0.35">
      <c r="A2418">
        <v>2417</v>
      </c>
      <c r="B2418">
        <v>53</v>
      </c>
      <c r="C2418" t="str">
        <f t="shared" si="111"/>
        <v>Adult</v>
      </c>
      <c r="D2418" t="s">
        <v>16</v>
      </c>
      <c r="E2418" t="s">
        <v>33</v>
      </c>
      <c r="F2418" t="s">
        <v>40</v>
      </c>
      <c r="G2418">
        <v>192.28</v>
      </c>
      <c r="H2418" t="s">
        <v>19</v>
      </c>
      <c r="I2418" t="s">
        <v>15</v>
      </c>
      <c r="J2418">
        <v>3.7</v>
      </c>
      <c r="K2418">
        <v>14</v>
      </c>
      <c r="L2418">
        <f t="shared" si="112"/>
        <v>165.36080000000001</v>
      </c>
      <c r="M2418">
        <v>7</v>
      </c>
      <c r="N2418" t="str">
        <f t="shared" si="113"/>
        <v>Regular</v>
      </c>
    </row>
    <row r="2419" spans="1:14" x14ac:dyDescent="0.35">
      <c r="A2419">
        <v>2418</v>
      </c>
      <c r="B2419">
        <v>40</v>
      </c>
      <c r="C2419" t="str">
        <f t="shared" si="111"/>
        <v>Adult</v>
      </c>
      <c r="D2419" t="s">
        <v>16</v>
      </c>
      <c r="E2419" t="s">
        <v>33</v>
      </c>
      <c r="F2419" t="s">
        <v>34</v>
      </c>
      <c r="G2419">
        <v>236.78</v>
      </c>
      <c r="H2419" t="s">
        <v>19</v>
      </c>
      <c r="I2419" t="s">
        <v>15</v>
      </c>
      <c r="J2419">
        <v>4.0999999999999996</v>
      </c>
      <c r="K2419">
        <v>22</v>
      </c>
      <c r="L2419">
        <f t="shared" si="112"/>
        <v>184.6884</v>
      </c>
      <c r="M2419">
        <v>6</v>
      </c>
      <c r="N2419" t="str">
        <f t="shared" si="113"/>
        <v>Regular</v>
      </c>
    </row>
    <row r="2420" spans="1:14" x14ac:dyDescent="0.35">
      <c r="A2420">
        <v>2419</v>
      </c>
      <c r="B2420">
        <v>31</v>
      </c>
      <c r="C2420" t="str">
        <f t="shared" si="111"/>
        <v>Adult</v>
      </c>
      <c r="D2420" t="s">
        <v>11</v>
      </c>
      <c r="E2420" t="s">
        <v>25</v>
      </c>
      <c r="F2420" t="s">
        <v>57</v>
      </c>
      <c r="G2420">
        <v>52.19</v>
      </c>
      <c r="H2420" t="s">
        <v>24</v>
      </c>
      <c r="I2420" t="s">
        <v>37</v>
      </c>
      <c r="J2420">
        <v>5</v>
      </c>
      <c r="K2420">
        <v>2</v>
      </c>
      <c r="L2420">
        <f t="shared" si="112"/>
        <v>51.1462</v>
      </c>
      <c r="M2420">
        <v>1</v>
      </c>
      <c r="N2420" t="str">
        <f t="shared" si="113"/>
        <v>New</v>
      </c>
    </row>
    <row r="2421" spans="1:14" x14ac:dyDescent="0.35">
      <c r="A2421">
        <v>2420</v>
      </c>
      <c r="B2421">
        <v>46</v>
      </c>
      <c r="C2421" t="str">
        <f t="shared" si="111"/>
        <v>Adult</v>
      </c>
      <c r="D2421" t="s">
        <v>11</v>
      </c>
      <c r="E2421" t="s">
        <v>29</v>
      </c>
      <c r="F2421" t="s">
        <v>55</v>
      </c>
      <c r="G2421">
        <v>63.26</v>
      </c>
      <c r="H2421" t="s">
        <v>14</v>
      </c>
      <c r="I2421" t="s">
        <v>37</v>
      </c>
      <c r="J2421">
        <v>4.2</v>
      </c>
      <c r="K2421">
        <v>22</v>
      </c>
      <c r="L2421">
        <f t="shared" si="112"/>
        <v>49.342799999999997</v>
      </c>
      <c r="M2421">
        <v>6</v>
      </c>
      <c r="N2421" t="str">
        <f t="shared" si="113"/>
        <v>Regular</v>
      </c>
    </row>
    <row r="2422" spans="1:14" x14ac:dyDescent="0.35">
      <c r="A2422">
        <v>2421</v>
      </c>
      <c r="B2422">
        <v>43</v>
      </c>
      <c r="C2422" t="str">
        <f t="shared" si="111"/>
        <v>Adult</v>
      </c>
      <c r="D2422" t="s">
        <v>11</v>
      </c>
      <c r="E2422" t="s">
        <v>29</v>
      </c>
      <c r="F2422" t="s">
        <v>30</v>
      </c>
      <c r="G2422">
        <v>57.97</v>
      </c>
      <c r="H2422" t="s">
        <v>31</v>
      </c>
      <c r="I2422" t="s">
        <v>37</v>
      </c>
      <c r="J2422">
        <v>4.8</v>
      </c>
      <c r="K2422">
        <v>20</v>
      </c>
      <c r="L2422">
        <f t="shared" si="112"/>
        <v>46.376000000000005</v>
      </c>
      <c r="M2422">
        <v>5</v>
      </c>
      <c r="N2422" t="str">
        <f t="shared" si="113"/>
        <v>Regular</v>
      </c>
    </row>
    <row r="2423" spans="1:14" x14ac:dyDescent="0.35">
      <c r="A2423">
        <v>2422</v>
      </c>
      <c r="B2423">
        <v>58</v>
      </c>
      <c r="C2423" t="str">
        <f t="shared" si="111"/>
        <v>Adult</v>
      </c>
      <c r="D2423" t="s">
        <v>16</v>
      </c>
      <c r="E2423" t="s">
        <v>27</v>
      </c>
      <c r="F2423" t="s">
        <v>28</v>
      </c>
      <c r="G2423">
        <v>2430.6</v>
      </c>
      <c r="H2423" t="s">
        <v>14</v>
      </c>
      <c r="I2423" t="s">
        <v>15</v>
      </c>
      <c r="J2423">
        <v>3.1</v>
      </c>
      <c r="K2423">
        <v>6</v>
      </c>
      <c r="L2423">
        <f t="shared" si="112"/>
        <v>2284.7639999999997</v>
      </c>
      <c r="M2423">
        <v>3</v>
      </c>
      <c r="N2423" t="str">
        <f t="shared" si="113"/>
        <v>New</v>
      </c>
    </row>
    <row r="2424" spans="1:14" x14ac:dyDescent="0.35">
      <c r="A2424">
        <v>2423</v>
      </c>
      <c r="B2424">
        <v>63</v>
      </c>
      <c r="C2424" t="str">
        <f t="shared" si="111"/>
        <v>Senior</v>
      </c>
      <c r="D2424" t="s">
        <v>16</v>
      </c>
      <c r="E2424" t="s">
        <v>22</v>
      </c>
      <c r="F2424" t="s">
        <v>52</v>
      </c>
      <c r="G2424">
        <v>50.59</v>
      </c>
      <c r="H2424" t="s">
        <v>19</v>
      </c>
      <c r="I2424" t="s">
        <v>37</v>
      </c>
      <c r="J2424">
        <v>3.2</v>
      </c>
      <c r="K2424">
        <v>6</v>
      </c>
      <c r="L2424">
        <f t="shared" si="112"/>
        <v>47.554600000000001</v>
      </c>
      <c r="M2424">
        <v>3</v>
      </c>
      <c r="N2424" t="str">
        <f t="shared" si="113"/>
        <v>New</v>
      </c>
    </row>
    <row r="2425" spans="1:14" x14ac:dyDescent="0.35">
      <c r="A2425">
        <v>2424</v>
      </c>
      <c r="B2425">
        <v>31</v>
      </c>
      <c r="C2425" t="str">
        <f t="shared" si="111"/>
        <v>Adult</v>
      </c>
      <c r="D2425" t="s">
        <v>16</v>
      </c>
      <c r="E2425" t="s">
        <v>27</v>
      </c>
      <c r="F2425" t="s">
        <v>28</v>
      </c>
      <c r="G2425">
        <v>2025.94</v>
      </c>
      <c r="H2425" t="s">
        <v>31</v>
      </c>
      <c r="I2425" t="s">
        <v>15</v>
      </c>
      <c r="J2425">
        <v>3.8</v>
      </c>
      <c r="K2425">
        <v>18</v>
      </c>
      <c r="L2425">
        <f t="shared" si="112"/>
        <v>1661.2708000000002</v>
      </c>
      <c r="M2425">
        <v>9</v>
      </c>
      <c r="N2425" t="str">
        <f t="shared" si="113"/>
        <v>Loyal</v>
      </c>
    </row>
    <row r="2426" spans="1:14" x14ac:dyDescent="0.35">
      <c r="A2426">
        <v>2425</v>
      </c>
      <c r="B2426">
        <v>29</v>
      </c>
      <c r="C2426" t="str">
        <f t="shared" si="111"/>
        <v>Youth</v>
      </c>
      <c r="D2426" t="s">
        <v>16</v>
      </c>
      <c r="E2426" t="s">
        <v>20</v>
      </c>
      <c r="F2426" t="s">
        <v>36</v>
      </c>
      <c r="G2426">
        <v>217.27</v>
      </c>
      <c r="H2426" t="s">
        <v>19</v>
      </c>
      <c r="I2426" t="s">
        <v>15</v>
      </c>
      <c r="J2426">
        <v>4.5</v>
      </c>
      <c r="K2426">
        <v>18</v>
      </c>
      <c r="L2426">
        <f t="shared" si="112"/>
        <v>178.16140000000001</v>
      </c>
      <c r="M2426">
        <v>4</v>
      </c>
      <c r="N2426" t="str">
        <f t="shared" si="113"/>
        <v>Regular</v>
      </c>
    </row>
    <row r="2427" spans="1:14" x14ac:dyDescent="0.35">
      <c r="A2427">
        <v>2426</v>
      </c>
      <c r="B2427">
        <v>61</v>
      </c>
      <c r="C2427" t="str">
        <f t="shared" si="111"/>
        <v>Senior</v>
      </c>
      <c r="D2427" t="s">
        <v>11</v>
      </c>
      <c r="E2427" t="s">
        <v>29</v>
      </c>
      <c r="F2427" t="s">
        <v>55</v>
      </c>
      <c r="G2427">
        <v>81.17</v>
      </c>
      <c r="H2427" t="s">
        <v>19</v>
      </c>
      <c r="I2427" t="s">
        <v>37</v>
      </c>
      <c r="J2427">
        <v>3.7</v>
      </c>
      <c r="K2427">
        <v>18</v>
      </c>
      <c r="L2427">
        <f t="shared" si="112"/>
        <v>66.559400000000011</v>
      </c>
      <c r="M2427">
        <v>4</v>
      </c>
      <c r="N2427" t="str">
        <f t="shared" si="113"/>
        <v>Regular</v>
      </c>
    </row>
    <row r="2428" spans="1:14" x14ac:dyDescent="0.35">
      <c r="A2428">
        <v>2427</v>
      </c>
      <c r="B2428">
        <v>22</v>
      </c>
      <c r="C2428" t="str">
        <f t="shared" si="111"/>
        <v>Youth</v>
      </c>
      <c r="D2428" t="s">
        <v>11</v>
      </c>
      <c r="E2428" t="s">
        <v>20</v>
      </c>
      <c r="F2428" t="s">
        <v>36</v>
      </c>
      <c r="G2428">
        <v>88.1</v>
      </c>
      <c r="H2428" t="s">
        <v>19</v>
      </c>
      <c r="I2428" t="s">
        <v>37</v>
      </c>
      <c r="J2428">
        <v>3.3</v>
      </c>
      <c r="K2428">
        <v>25</v>
      </c>
      <c r="L2428">
        <f t="shared" si="112"/>
        <v>66.074999999999989</v>
      </c>
      <c r="M2428">
        <v>10</v>
      </c>
      <c r="N2428" t="str">
        <f t="shared" si="113"/>
        <v>Loyal</v>
      </c>
    </row>
    <row r="2429" spans="1:14" x14ac:dyDescent="0.35">
      <c r="A2429">
        <v>2428</v>
      </c>
      <c r="B2429">
        <v>45</v>
      </c>
      <c r="C2429" t="str">
        <f t="shared" si="111"/>
        <v>Adult</v>
      </c>
      <c r="D2429" t="s">
        <v>11</v>
      </c>
      <c r="E2429" t="s">
        <v>41</v>
      </c>
      <c r="F2429" t="s">
        <v>42</v>
      </c>
      <c r="G2429">
        <v>174.75</v>
      </c>
      <c r="H2429" t="s">
        <v>14</v>
      </c>
      <c r="I2429" t="s">
        <v>15</v>
      </c>
      <c r="J2429">
        <v>3.5</v>
      </c>
      <c r="K2429">
        <v>14</v>
      </c>
      <c r="L2429">
        <f t="shared" si="112"/>
        <v>150.285</v>
      </c>
      <c r="M2429">
        <v>2</v>
      </c>
      <c r="N2429" t="str">
        <f t="shared" si="113"/>
        <v>New</v>
      </c>
    </row>
    <row r="2430" spans="1:14" x14ac:dyDescent="0.35">
      <c r="A2430">
        <v>2429</v>
      </c>
      <c r="B2430">
        <v>39</v>
      </c>
      <c r="C2430" t="str">
        <f t="shared" si="111"/>
        <v>Adult</v>
      </c>
      <c r="D2430" t="s">
        <v>16</v>
      </c>
      <c r="E2430" t="s">
        <v>25</v>
      </c>
      <c r="F2430" t="s">
        <v>47</v>
      </c>
      <c r="G2430">
        <v>56.99</v>
      </c>
      <c r="H2430" t="s">
        <v>14</v>
      </c>
      <c r="I2430" t="s">
        <v>37</v>
      </c>
      <c r="J2430">
        <v>3.3</v>
      </c>
      <c r="K2430">
        <v>25</v>
      </c>
      <c r="L2430">
        <f t="shared" si="112"/>
        <v>42.7425</v>
      </c>
      <c r="M2430">
        <v>10</v>
      </c>
      <c r="N2430" t="str">
        <f t="shared" si="113"/>
        <v>Loyal</v>
      </c>
    </row>
    <row r="2431" spans="1:14" x14ac:dyDescent="0.35">
      <c r="A2431">
        <v>2430</v>
      </c>
      <c r="B2431">
        <v>20</v>
      </c>
      <c r="C2431" t="str">
        <f t="shared" si="111"/>
        <v>Youth</v>
      </c>
      <c r="D2431" t="s">
        <v>11</v>
      </c>
      <c r="E2431" t="s">
        <v>41</v>
      </c>
      <c r="F2431" t="s">
        <v>45</v>
      </c>
      <c r="G2431">
        <v>95.46</v>
      </c>
      <c r="H2431" t="s">
        <v>14</v>
      </c>
      <c r="I2431" t="s">
        <v>37</v>
      </c>
      <c r="J2431">
        <v>4.5</v>
      </c>
      <c r="K2431">
        <v>23</v>
      </c>
      <c r="L2431">
        <f t="shared" si="112"/>
        <v>73.504199999999997</v>
      </c>
      <c r="M2431">
        <v>9</v>
      </c>
      <c r="N2431" t="str">
        <f t="shared" si="113"/>
        <v>Loyal</v>
      </c>
    </row>
    <row r="2432" spans="1:14" x14ac:dyDescent="0.35">
      <c r="A2432">
        <v>2431</v>
      </c>
      <c r="B2432">
        <v>22</v>
      </c>
      <c r="C2432" t="str">
        <f t="shared" si="111"/>
        <v>Youth</v>
      </c>
      <c r="D2432" t="s">
        <v>16</v>
      </c>
      <c r="E2432" t="s">
        <v>20</v>
      </c>
      <c r="F2432" t="s">
        <v>39</v>
      </c>
      <c r="G2432">
        <v>108.86</v>
      </c>
      <c r="H2432" t="s">
        <v>19</v>
      </c>
      <c r="I2432" t="s">
        <v>15</v>
      </c>
      <c r="J2432">
        <v>3.6</v>
      </c>
      <c r="K2432">
        <v>15</v>
      </c>
      <c r="L2432">
        <f t="shared" si="112"/>
        <v>92.530999999999992</v>
      </c>
      <c r="M2432">
        <v>5</v>
      </c>
      <c r="N2432" t="str">
        <f t="shared" si="113"/>
        <v>Regular</v>
      </c>
    </row>
    <row r="2433" spans="1:14" x14ac:dyDescent="0.35">
      <c r="A2433">
        <v>2432</v>
      </c>
      <c r="B2433">
        <v>54</v>
      </c>
      <c r="C2433" t="str">
        <f t="shared" si="111"/>
        <v>Adult</v>
      </c>
      <c r="D2433" t="s">
        <v>11</v>
      </c>
      <c r="E2433" t="s">
        <v>41</v>
      </c>
      <c r="F2433" t="s">
        <v>44</v>
      </c>
      <c r="G2433">
        <v>166.88</v>
      </c>
      <c r="H2433" t="s">
        <v>19</v>
      </c>
      <c r="I2433" t="s">
        <v>15</v>
      </c>
      <c r="J2433">
        <v>3.5</v>
      </c>
      <c r="K2433">
        <v>18</v>
      </c>
      <c r="L2433">
        <f t="shared" si="112"/>
        <v>136.8416</v>
      </c>
      <c r="M2433">
        <v>4</v>
      </c>
      <c r="N2433" t="str">
        <f t="shared" si="113"/>
        <v>Regular</v>
      </c>
    </row>
    <row r="2434" spans="1:14" x14ac:dyDescent="0.35">
      <c r="A2434">
        <v>2433</v>
      </c>
      <c r="B2434">
        <v>52</v>
      </c>
      <c r="C2434" t="str">
        <f t="shared" si="111"/>
        <v>Adult</v>
      </c>
      <c r="D2434" t="s">
        <v>16</v>
      </c>
      <c r="E2434" t="s">
        <v>27</v>
      </c>
      <c r="F2434" t="s">
        <v>28</v>
      </c>
      <c r="G2434">
        <v>523.38</v>
      </c>
      <c r="H2434" t="s">
        <v>31</v>
      </c>
      <c r="I2434" t="s">
        <v>15</v>
      </c>
      <c r="J2434">
        <v>3.9</v>
      </c>
      <c r="K2434">
        <v>18</v>
      </c>
      <c r="L2434">
        <f t="shared" si="112"/>
        <v>429.17160000000001</v>
      </c>
      <c r="M2434">
        <v>4</v>
      </c>
      <c r="N2434" t="str">
        <f t="shared" si="113"/>
        <v>Regular</v>
      </c>
    </row>
    <row r="2435" spans="1:14" x14ac:dyDescent="0.35">
      <c r="A2435">
        <v>2434</v>
      </c>
      <c r="B2435">
        <v>25</v>
      </c>
      <c r="C2435" t="str">
        <f t="shared" ref="C2435:C2498" si="114">IF(B2435&lt;=30,"Youth",IF(B2435&lt;=45,"Adult",IF(B2435&lt;=60,"Adult","Senior")))</f>
        <v>Youth</v>
      </c>
      <c r="D2435" t="s">
        <v>16</v>
      </c>
      <c r="E2435" t="s">
        <v>17</v>
      </c>
      <c r="F2435" t="s">
        <v>35</v>
      </c>
      <c r="G2435">
        <v>109.68</v>
      </c>
      <c r="H2435" t="s">
        <v>24</v>
      </c>
      <c r="I2435" t="s">
        <v>15</v>
      </c>
      <c r="J2435">
        <v>2.8</v>
      </c>
      <c r="K2435">
        <v>13</v>
      </c>
      <c r="L2435">
        <f t="shared" ref="L2435:L2498" si="115">G2435*(1-K2435/100)</f>
        <v>95.421600000000012</v>
      </c>
      <c r="M2435">
        <v>4</v>
      </c>
      <c r="N2435" t="str">
        <f t="shared" ref="N2435:N2498" si="116">IF(M2435&lt;=3,"New",IF(M2435&lt;=7,"Regular","Loyal"))</f>
        <v>Regular</v>
      </c>
    </row>
    <row r="2436" spans="1:14" x14ac:dyDescent="0.35">
      <c r="A2436">
        <v>2435</v>
      </c>
      <c r="B2436">
        <v>67</v>
      </c>
      <c r="C2436" t="str">
        <f t="shared" si="114"/>
        <v>Senior</v>
      </c>
      <c r="D2436" t="s">
        <v>16</v>
      </c>
      <c r="E2436" t="s">
        <v>22</v>
      </c>
      <c r="F2436" t="s">
        <v>43</v>
      </c>
      <c r="G2436">
        <v>222.65</v>
      </c>
      <c r="H2436" t="s">
        <v>14</v>
      </c>
      <c r="I2436" t="s">
        <v>15</v>
      </c>
      <c r="J2436">
        <v>3</v>
      </c>
      <c r="K2436">
        <v>9</v>
      </c>
      <c r="L2436">
        <f t="shared" si="115"/>
        <v>202.61150000000001</v>
      </c>
      <c r="M2436">
        <v>2</v>
      </c>
      <c r="N2436" t="str">
        <f t="shared" si="116"/>
        <v>New</v>
      </c>
    </row>
    <row r="2437" spans="1:14" x14ac:dyDescent="0.35">
      <c r="A2437">
        <v>2436</v>
      </c>
      <c r="B2437">
        <v>59</v>
      </c>
      <c r="C2437" t="str">
        <f t="shared" si="114"/>
        <v>Adult</v>
      </c>
      <c r="D2437" t="s">
        <v>16</v>
      </c>
      <c r="E2437" t="s">
        <v>33</v>
      </c>
      <c r="F2437" t="s">
        <v>38</v>
      </c>
      <c r="G2437">
        <v>141.41</v>
      </c>
      <c r="H2437" t="s">
        <v>19</v>
      </c>
      <c r="I2437" t="s">
        <v>15</v>
      </c>
      <c r="J2437">
        <v>3.3</v>
      </c>
      <c r="K2437">
        <v>12</v>
      </c>
      <c r="L2437">
        <f t="shared" si="115"/>
        <v>124.4408</v>
      </c>
      <c r="M2437">
        <v>6</v>
      </c>
      <c r="N2437" t="str">
        <f t="shared" si="116"/>
        <v>Regular</v>
      </c>
    </row>
    <row r="2438" spans="1:14" x14ac:dyDescent="0.35">
      <c r="A2438">
        <v>2437</v>
      </c>
      <c r="B2438">
        <v>59</v>
      </c>
      <c r="C2438" t="str">
        <f t="shared" si="114"/>
        <v>Adult</v>
      </c>
      <c r="D2438" t="s">
        <v>16</v>
      </c>
      <c r="E2438" t="s">
        <v>20</v>
      </c>
      <c r="F2438" t="s">
        <v>36</v>
      </c>
      <c r="G2438">
        <v>165.82</v>
      </c>
      <c r="H2438" t="s">
        <v>24</v>
      </c>
      <c r="I2438" t="s">
        <v>15</v>
      </c>
      <c r="J2438">
        <v>3.8</v>
      </c>
      <c r="K2438">
        <v>17</v>
      </c>
      <c r="L2438">
        <f t="shared" si="115"/>
        <v>137.63059999999999</v>
      </c>
      <c r="M2438">
        <v>6</v>
      </c>
      <c r="N2438" t="str">
        <f t="shared" si="116"/>
        <v>Regular</v>
      </c>
    </row>
    <row r="2439" spans="1:14" x14ac:dyDescent="0.35">
      <c r="A2439">
        <v>2438</v>
      </c>
      <c r="B2439">
        <v>66</v>
      </c>
      <c r="C2439" t="str">
        <f t="shared" si="114"/>
        <v>Senior</v>
      </c>
      <c r="D2439" t="s">
        <v>11</v>
      </c>
      <c r="E2439" t="s">
        <v>41</v>
      </c>
      <c r="F2439" t="s">
        <v>44</v>
      </c>
      <c r="G2439">
        <v>52.02</v>
      </c>
      <c r="H2439" t="s">
        <v>14</v>
      </c>
      <c r="I2439" t="s">
        <v>37</v>
      </c>
      <c r="J2439">
        <v>3.9</v>
      </c>
      <c r="K2439">
        <v>20</v>
      </c>
      <c r="L2439">
        <f t="shared" si="115"/>
        <v>41.616000000000007</v>
      </c>
      <c r="M2439">
        <v>5</v>
      </c>
      <c r="N2439" t="str">
        <f t="shared" si="116"/>
        <v>Regular</v>
      </c>
    </row>
    <row r="2440" spans="1:14" x14ac:dyDescent="0.35">
      <c r="A2440">
        <v>2439</v>
      </c>
      <c r="B2440">
        <v>45</v>
      </c>
      <c r="C2440" t="str">
        <f t="shared" si="114"/>
        <v>Adult</v>
      </c>
      <c r="D2440" t="s">
        <v>11</v>
      </c>
      <c r="E2440" t="s">
        <v>29</v>
      </c>
      <c r="F2440" t="s">
        <v>30</v>
      </c>
      <c r="G2440">
        <v>130.55000000000001</v>
      </c>
      <c r="H2440" t="s">
        <v>14</v>
      </c>
      <c r="I2440" t="s">
        <v>15</v>
      </c>
      <c r="J2440">
        <v>4.8</v>
      </c>
      <c r="K2440">
        <v>8</v>
      </c>
      <c r="L2440">
        <f t="shared" si="115"/>
        <v>120.10600000000001</v>
      </c>
      <c r="M2440">
        <v>4</v>
      </c>
      <c r="N2440" t="str">
        <f t="shared" si="116"/>
        <v>Regular</v>
      </c>
    </row>
    <row r="2441" spans="1:14" x14ac:dyDescent="0.35">
      <c r="A2441">
        <v>2440</v>
      </c>
      <c r="B2441">
        <v>36</v>
      </c>
      <c r="C2441" t="str">
        <f t="shared" si="114"/>
        <v>Adult</v>
      </c>
      <c r="D2441" t="s">
        <v>16</v>
      </c>
      <c r="E2441" t="s">
        <v>17</v>
      </c>
      <c r="F2441" t="s">
        <v>48</v>
      </c>
      <c r="G2441">
        <v>108.9</v>
      </c>
      <c r="H2441" t="s">
        <v>31</v>
      </c>
      <c r="I2441" t="s">
        <v>15</v>
      </c>
      <c r="J2441">
        <v>3</v>
      </c>
      <c r="K2441">
        <v>16</v>
      </c>
      <c r="L2441">
        <f t="shared" si="115"/>
        <v>91.475999999999999</v>
      </c>
      <c r="M2441">
        <v>8</v>
      </c>
      <c r="N2441" t="str">
        <f t="shared" si="116"/>
        <v>Loyal</v>
      </c>
    </row>
    <row r="2442" spans="1:14" x14ac:dyDescent="0.35">
      <c r="A2442">
        <v>2441</v>
      </c>
      <c r="B2442">
        <v>48</v>
      </c>
      <c r="C2442" t="str">
        <f t="shared" si="114"/>
        <v>Adult</v>
      </c>
      <c r="D2442" t="s">
        <v>11</v>
      </c>
      <c r="E2442" t="s">
        <v>29</v>
      </c>
      <c r="F2442" t="s">
        <v>55</v>
      </c>
      <c r="G2442">
        <v>88.67</v>
      </c>
      <c r="H2442" t="s">
        <v>24</v>
      </c>
      <c r="I2442" t="s">
        <v>15</v>
      </c>
      <c r="J2442">
        <v>4.2</v>
      </c>
      <c r="K2442">
        <v>20</v>
      </c>
      <c r="L2442">
        <f t="shared" si="115"/>
        <v>70.936000000000007</v>
      </c>
      <c r="M2442">
        <v>5</v>
      </c>
      <c r="N2442" t="str">
        <f t="shared" si="116"/>
        <v>Regular</v>
      </c>
    </row>
    <row r="2443" spans="1:14" x14ac:dyDescent="0.35">
      <c r="A2443">
        <v>2442</v>
      </c>
      <c r="B2443">
        <v>26</v>
      </c>
      <c r="C2443" t="str">
        <f t="shared" si="114"/>
        <v>Youth</v>
      </c>
      <c r="D2443" t="s">
        <v>16</v>
      </c>
      <c r="E2443" t="s">
        <v>20</v>
      </c>
      <c r="F2443" t="s">
        <v>39</v>
      </c>
      <c r="G2443">
        <v>231.99</v>
      </c>
      <c r="H2443" t="s">
        <v>24</v>
      </c>
      <c r="I2443" t="s">
        <v>15</v>
      </c>
      <c r="J2443">
        <v>3</v>
      </c>
      <c r="K2443">
        <v>20</v>
      </c>
      <c r="L2443">
        <f t="shared" si="115"/>
        <v>185.59200000000001</v>
      </c>
      <c r="M2443">
        <v>5</v>
      </c>
      <c r="N2443" t="str">
        <f t="shared" si="116"/>
        <v>Regular</v>
      </c>
    </row>
    <row r="2444" spans="1:14" x14ac:dyDescent="0.35">
      <c r="A2444">
        <v>2443</v>
      </c>
      <c r="B2444">
        <v>34</v>
      </c>
      <c r="C2444" t="str">
        <f t="shared" si="114"/>
        <v>Adult</v>
      </c>
      <c r="D2444" t="s">
        <v>16</v>
      </c>
      <c r="E2444" t="s">
        <v>27</v>
      </c>
      <c r="F2444" t="s">
        <v>53</v>
      </c>
      <c r="G2444">
        <v>585.57000000000005</v>
      </c>
      <c r="H2444" t="s">
        <v>31</v>
      </c>
      <c r="I2444" t="s">
        <v>15</v>
      </c>
      <c r="J2444">
        <v>4.5999999999999996</v>
      </c>
      <c r="K2444">
        <v>26</v>
      </c>
      <c r="L2444">
        <f t="shared" si="115"/>
        <v>433.32180000000005</v>
      </c>
      <c r="M2444">
        <v>8</v>
      </c>
      <c r="N2444" t="str">
        <f t="shared" si="116"/>
        <v>Loyal</v>
      </c>
    </row>
    <row r="2445" spans="1:14" x14ac:dyDescent="0.35">
      <c r="A2445">
        <v>2444</v>
      </c>
      <c r="B2445">
        <v>63</v>
      </c>
      <c r="C2445" t="str">
        <f t="shared" si="114"/>
        <v>Senior</v>
      </c>
      <c r="D2445" t="s">
        <v>11</v>
      </c>
      <c r="E2445" t="s">
        <v>29</v>
      </c>
      <c r="F2445" t="s">
        <v>30</v>
      </c>
      <c r="G2445">
        <v>33.49</v>
      </c>
      <c r="H2445" t="s">
        <v>31</v>
      </c>
      <c r="I2445" t="s">
        <v>37</v>
      </c>
      <c r="J2445">
        <v>3.6</v>
      </c>
      <c r="K2445">
        <v>21</v>
      </c>
      <c r="L2445">
        <f t="shared" si="115"/>
        <v>26.457100000000004</v>
      </c>
      <c r="M2445">
        <v>8</v>
      </c>
      <c r="N2445" t="str">
        <f t="shared" si="116"/>
        <v>Loyal</v>
      </c>
    </row>
    <row r="2446" spans="1:14" x14ac:dyDescent="0.35">
      <c r="A2446">
        <v>2445</v>
      </c>
      <c r="B2446">
        <v>68</v>
      </c>
      <c r="C2446" t="str">
        <f t="shared" si="114"/>
        <v>Senior</v>
      </c>
      <c r="D2446" t="s">
        <v>16</v>
      </c>
      <c r="E2446" t="s">
        <v>33</v>
      </c>
      <c r="F2446" t="s">
        <v>38</v>
      </c>
      <c r="G2446">
        <v>145.49</v>
      </c>
      <c r="H2446" t="s">
        <v>31</v>
      </c>
      <c r="I2446" t="s">
        <v>15</v>
      </c>
      <c r="J2446">
        <v>3.9</v>
      </c>
      <c r="K2446">
        <v>10</v>
      </c>
      <c r="L2446">
        <f t="shared" si="115"/>
        <v>130.941</v>
      </c>
      <c r="M2446">
        <v>5</v>
      </c>
      <c r="N2446" t="str">
        <f t="shared" si="116"/>
        <v>Regular</v>
      </c>
    </row>
    <row r="2447" spans="1:14" x14ac:dyDescent="0.35">
      <c r="A2447">
        <v>2446</v>
      </c>
      <c r="B2447">
        <v>65</v>
      </c>
      <c r="C2447" t="str">
        <f t="shared" si="114"/>
        <v>Senior</v>
      </c>
      <c r="D2447" t="s">
        <v>11</v>
      </c>
      <c r="E2447" t="s">
        <v>22</v>
      </c>
      <c r="F2447" t="s">
        <v>23</v>
      </c>
      <c r="G2447">
        <v>39.99</v>
      </c>
      <c r="H2447" t="s">
        <v>14</v>
      </c>
      <c r="I2447" t="s">
        <v>37</v>
      </c>
      <c r="J2447">
        <v>2.8</v>
      </c>
      <c r="K2447">
        <v>17</v>
      </c>
      <c r="L2447">
        <f t="shared" si="115"/>
        <v>33.191699999999997</v>
      </c>
      <c r="M2447">
        <v>6</v>
      </c>
      <c r="N2447" t="str">
        <f t="shared" si="116"/>
        <v>Regular</v>
      </c>
    </row>
    <row r="2448" spans="1:14" x14ac:dyDescent="0.35">
      <c r="A2448">
        <v>2447</v>
      </c>
      <c r="B2448">
        <v>39</v>
      </c>
      <c r="C2448" t="str">
        <f t="shared" si="114"/>
        <v>Adult</v>
      </c>
      <c r="D2448" t="s">
        <v>16</v>
      </c>
      <c r="E2448" t="s">
        <v>27</v>
      </c>
      <c r="F2448" t="s">
        <v>49</v>
      </c>
      <c r="G2448">
        <v>1959.09</v>
      </c>
      <c r="H2448" t="s">
        <v>24</v>
      </c>
      <c r="I2448" t="s">
        <v>15</v>
      </c>
      <c r="J2448">
        <v>4.2</v>
      </c>
      <c r="K2448">
        <v>12</v>
      </c>
      <c r="L2448">
        <f t="shared" si="115"/>
        <v>1723.9992</v>
      </c>
      <c r="M2448">
        <v>1</v>
      </c>
      <c r="N2448" t="str">
        <f t="shared" si="116"/>
        <v>New</v>
      </c>
    </row>
    <row r="2449" spans="1:14" x14ac:dyDescent="0.35">
      <c r="A2449">
        <v>2448</v>
      </c>
      <c r="B2449">
        <v>66</v>
      </c>
      <c r="C2449" t="str">
        <f t="shared" si="114"/>
        <v>Senior</v>
      </c>
      <c r="D2449" t="s">
        <v>11</v>
      </c>
      <c r="E2449" t="s">
        <v>20</v>
      </c>
      <c r="F2449" t="s">
        <v>21</v>
      </c>
      <c r="G2449">
        <v>109.15</v>
      </c>
      <c r="H2449" t="s">
        <v>24</v>
      </c>
      <c r="I2449" t="s">
        <v>15</v>
      </c>
      <c r="J2449">
        <v>2.8</v>
      </c>
      <c r="K2449">
        <v>18</v>
      </c>
      <c r="L2449">
        <f t="shared" si="115"/>
        <v>89.503000000000014</v>
      </c>
      <c r="M2449">
        <v>4</v>
      </c>
      <c r="N2449" t="str">
        <f t="shared" si="116"/>
        <v>Regular</v>
      </c>
    </row>
    <row r="2450" spans="1:14" x14ac:dyDescent="0.35">
      <c r="A2450">
        <v>2449</v>
      </c>
      <c r="B2450">
        <v>31</v>
      </c>
      <c r="C2450" t="str">
        <f t="shared" si="114"/>
        <v>Adult</v>
      </c>
      <c r="D2450" t="s">
        <v>16</v>
      </c>
      <c r="E2450" t="s">
        <v>20</v>
      </c>
      <c r="F2450" t="s">
        <v>36</v>
      </c>
      <c r="G2450">
        <v>247.77</v>
      </c>
      <c r="H2450" t="s">
        <v>19</v>
      </c>
      <c r="I2450" t="s">
        <v>15</v>
      </c>
      <c r="J2450">
        <v>2.8</v>
      </c>
      <c r="K2450">
        <v>10</v>
      </c>
      <c r="L2450">
        <f t="shared" si="115"/>
        <v>222.99300000000002</v>
      </c>
      <c r="M2450">
        <v>5</v>
      </c>
      <c r="N2450" t="str">
        <f t="shared" si="116"/>
        <v>Regular</v>
      </c>
    </row>
    <row r="2451" spans="1:14" x14ac:dyDescent="0.35">
      <c r="A2451">
        <v>2450</v>
      </c>
      <c r="B2451">
        <v>29</v>
      </c>
      <c r="C2451" t="str">
        <f t="shared" si="114"/>
        <v>Youth</v>
      </c>
      <c r="D2451" t="s">
        <v>11</v>
      </c>
      <c r="E2451" t="s">
        <v>33</v>
      </c>
      <c r="F2451" t="s">
        <v>34</v>
      </c>
      <c r="G2451">
        <v>175.99</v>
      </c>
      <c r="H2451" t="s">
        <v>19</v>
      </c>
      <c r="I2451" t="s">
        <v>15</v>
      </c>
      <c r="J2451">
        <v>5</v>
      </c>
      <c r="K2451">
        <v>24</v>
      </c>
      <c r="L2451">
        <f t="shared" si="115"/>
        <v>133.75239999999999</v>
      </c>
      <c r="M2451">
        <v>7</v>
      </c>
      <c r="N2451" t="str">
        <f t="shared" si="116"/>
        <v>Regular</v>
      </c>
    </row>
    <row r="2452" spans="1:14" x14ac:dyDescent="0.35">
      <c r="A2452">
        <v>2451</v>
      </c>
      <c r="B2452">
        <v>33</v>
      </c>
      <c r="C2452" t="str">
        <f t="shared" si="114"/>
        <v>Adult</v>
      </c>
      <c r="D2452" t="s">
        <v>11</v>
      </c>
      <c r="E2452" t="s">
        <v>29</v>
      </c>
      <c r="F2452" t="s">
        <v>51</v>
      </c>
      <c r="G2452">
        <v>20.03</v>
      </c>
      <c r="H2452" t="s">
        <v>31</v>
      </c>
      <c r="I2452" t="s">
        <v>15</v>
      </c>
      <c r="J2452">
        <v>3.6</v>
      </c>
      <c r="K2452">
        <v>20</v>
      </c>
      <c r="L2452">
        <f t="shared" si="115"/>
        <v>16.024000000000001</v>
      </c>
      <c r="M2452">
        <v>5</v>
      </c>
      <c r="N2452" t="str">
        <f t="shared" si="116"/>
        <v>Regular</v>
      </c>
    </row>
    <row r="2453" spans="1:14" x14ac:dyDescent="0.35">
      <c r="A2453">
        <v>2452</v>
      </c>
      <c r="B2453">
        <v>23</v>
      </c>
      <c r="C2453" t="str">
        <f t="shared" si="114"/>
        <v>Youth</v>
      </c>
      <c r="D2453" t="s">
        <v>11</v>
      </c>
      <c r="E2453" t="s">
        <v>41</v>
      </c>
      <c r="F2453" t="s">
        <v>44</v>
      </c>
      <c r="G2453">
        <v>194.96</v>
      </c>
      <c r="H2453" t="s">
        <v>19</v>
      </c>
      <c r="I2453" t="s">
        <v>15</v>
      </c>
      <c r="J2453">
        <v>2.9</v>
      </c>
      <c r="K2453">
        <v>14</v>
      </c>
      <c r="L2453">
        <f t="shared" si="115"/>
        <v>167.66560000000001</v>
      </c>
      <c r="M2453">
        <v>7</v>
      </c>
      <c r="N2453" t="str">
        <f t="shared" si="116"/>
        <v>Regular</v>
      </c>
    </row>
    <row r="2454" spans="1:14" x14ac:dyDescent="0.35">
      <c r="A2454">
        <v>2453</v>
      </c>
      <c r="B2454">
        <v>47</v>
      </c>
      <c r="C2454" t="str">
        <f t="shared" si="114"/>
        <v>Adult</v>
      </c>
      <c r="D2454" t="s">
        <v>11</v>
      </c>
      <c r="E2454" t="s">
        <v>29</v>
      </c>
      <c r="F2454" t="s">
        <v>51</v>
      </c>
      <c r="G2454">
        <v>132.65</v>
      </c>
      <c r="H2454" t="s">
        <v>24</v>
      </c>
      <c r="I2454" t="s">
        <v>15</v>
      </c>
      <c r="J2454">
        <v>3.9</v>
      </c>
      <c r="K2454">
        <v>19</v>
      </c>
      <c r="L2454">
        <f t="shared" si="115"/>
        <v>107.44650000000001</v>
      </c>
      <c r="M2454">
        <v>7</v>
      </c>
      <c r="N2454" t="str">
        <f t="shared" si="116"/>
        <v>Regular</v>
      </c>
    </row>
    <row r="2455" spans="1:14" x14ac:dyDescent="0.35">
      <c r="A2455">
        <v>2454</v>
      </c>
      <c r="B2455">
        <v>32</v>
      </c>
      <c r="C2455" t="str">
        <f t="shared" si="114"/>
        <v>Adult</v>
      </c>
      <c r="D2455" t="s">
        <v>11</v>
      </c>
      <c r="E2455" t="s">
        <v>20</v>
      </c>
      <c r="F2455" t="s">
        <v>36</v>
      </c>
      <c r="G2455">
        <v>119.74</v>
      </c>
      <c r="H2455" t="s">
        <v>19</v>
      </c>
      <c r="I2455" t="s">
        <v>15</v>
      </c>
      <c r="J2455">
        <v>3.3</v>
      </c>
      <c r="K2455">
        <v>22</v>
      </c>
      <c r="L2455">
        <f t="shared" si="115"/>
        <v>93.397199999999998</v>
      </c>
      <c r="M2455">
        <v>11</v>
      </c>
      <c r="N2455" t="str">
        <f t="shared" si="116"/>
        <v>Loyal</v>
      </c>
    </row>
    <row r="2456" spans="1:14" x14ac:dyDescent="0.35">
      <c r="A2456">
        <v>2455</v>
      </c>
      <c r="B2456">
        <v>49</v>
      </c>
      <c r="C2456" t="str">
        <f t="shared" si="114"/>
        <v>Adult</v>
      </c>
      <c r="D2456" t="s">
        <v>11</v>
      </c>
      <c r="E2456" t="s">
        <v>20</v>
      </c>
      <c r="F2456" t="s">
        <v>21</v>
      </c>
      <c r="G2456">
        <v>105.64</v>
      </c>
      <c r="H2456" t="s">
        <v>19</v>
      </c>
      <c r="I2456" t="s">
        <v>15</v>
      </c>
      <c r="J2456">
        <v>3.3</v>
      </c>
      <c r="K2456">
        <v>24</v>
      </c>
      <c r="L2456">
        <f t="shared" si="115"/>
        <v>80.2864</v>
      </c>
      <c r="M2456">
        <v>7</v>
      </c>
      <c r="N2456" t="str">
        <f t="shared" si="116"/>
        <v>Regular</v>
      </c>
    </row>
    <row r="2457" spans="1:14" x14ac:dyDescent="0.35">
      <c r="A2457">
        <v>2456</v>
      </c>
      <c r="B2457">
        <v>37</v>
      </c>
      <c r="C2457" t="str">
        <f t="shared" si="114"/>
        <v>Adult</v>
      </c>
      <c r="D2457" t="s">
        <v>16</v>
      </c>
      <c r="E2457" t="s">
        <v>33</v>
      </c>
      <c r="F2457" t="s">
        <v>34</v>
      </c>
      <c r="G2457">
        <v>232.32</v>
      </c>
      <c r="H2457" t="s">
        <v>31</v>
      </c>
      <c r="I2457" t="s">
        <v>15</v>
      </c>
      <c r="J2457">
        <v>3.8</v>
      </c>
      <c r="K2457">
        <v>16</v>
      </c>
      <c r="L2457">
        <f t="shared" si="115"/>
        <v>195.14879999999999</v>
      </c>
      <c r="M2457">
        <v>3</v>
      </c>
      <c r="N2457" t="str">
        <f t="shared" si="116"/>
        <v>New</v>
      </c>
    </row>
    <row r="2458" spans="1:14" x14ac:dyDescent="0.35">
      <c r="A2458">
        <v>2457</v>
      </c>
      <c r="B2458">
        <v>41</v>
      </c>
      <c r="C2458" t="str">
        <f t="shared" si="114"/>
        <v>Adult</v>
      </c>
      <c r="D2458" t="s">
        <v>16</v>
      </c>
      <c r="E2458" t="s">
        <v>20</v>
      </c>
      <c r="F2458" t="s">
        <v>21</v>
      </c>
      <c r="G2458">
        <v>142.71</v>
      </c>
      <c r="H2458" t="s">
        <v>24</v>
      </c>
      <c r="I2458" t="s">
        <v>15</v>
      </c>
      <c r="J2458">
        <v>4.2</v>
      </c>
      <c r="K2458">
        <v>20</v>
      </c>
      <c r="L2458">
        <f t="shared" si="115"/>
        <v>114.16800000000001</v>
      </c>
      <c r="M2458">
        <v>5</v>
      </c>
      <c r="N2458" t="str">
        <f t="shared" si="116"/>
        <v>Regular</v>
      </c>
    </row>
    <row r="2459" spans="1:14" x14ac:dyDescent="0.35">
      <c r="A2459">
        <v>2458</v>
      </c>
      <c r="B2459">
        <v>37</v>
      </c>
      <c r="C2459" t="str">
        <f t="shared" si="114"/>
        <v>Adult</v>
      </c>
      <c r="D2459" t="s">
        <v>16</v>
      </c>
      <c r="E2459" t="s">
        <v>20</v>
      </c>
      <c r="F2459" t="s">
        <v>39</v>
      </c>
      <c r="G2459">
        <v>163.30000000000001</v>
      </c>
      <c r="H2459" t="s">
        <v>14</v>
      </c>
      <c r="I2459" t="s">
        <v>15</v>
      </c>
      <c r="J2459">
        <v>3.6</v>
      </c>
      <c r="K2459">
        <v>12</v>
      </c>
      <c r="L2459">
        <f t="shared" si="115"/>
        <v>143.70400000000001</v>
      </c>
      <c r="M2459">
        <v>6</v>
      </c>
      <c r="N2459" t="str">
        <f t="shared" si="116"/>
        <v>Regular</v>
      </c>
    </row>
    <row r="2460" spans="1:14" x14ac:dyDescent="0.35">
      <c r="A2460">
        <v>2459</v>
      </c>
      <c r="B2460">
        <v>55</v>
      </c>
      <c r="C2460" t="str">
        <f t="shared" si="114"/>
        <v>Adult</v>
      </c>
      <c r="D2460" t="s">
        <v>16</v>
      </c>
      <c r="E2460" t="s">
        <v>27</v>
      </c>
      <c r="F2460" t="s">
        <v>49</v>
      </c>
      <c r="G2460">
        <v>2997.94</v>
      </c>
      <c r="H2460" t="s">
        <v>14</v>
      </c>
      <c r="I2460" t="s">
        <v>15</v>
      </c>
      <c r="J2460">
        <v>4.2</v>
      </c>
      <c r="K2460">
        <v>14</v>
      </c>
      <c r="L2460">
        <f t="shared" si="115"/>
        <v>2578.2284</v>
      </c>
      <c r="M2460">
        <v>2</v>
      </c>
      <c r="N2460" t="str">
        <f t="shared" si="116"/>
        <v>New</v>
      </c>
    </row>
    <row r="2461" spans="1:14" x14ac:dyDescent="0.35">
      <c r="A2461">
        <v>2460</v>
      </c>
      <c r="B2461">
        <v>42</v>
      </c>
      <c r="C2461" t="str">
        <f t="shared" si="114"/>
        <v>Adult</v>
      </c>
      <c r="D2461" t="s">
        <v>16</v>
      </c>
      <c r="E2461" t="s">
        <v>27</v>
      </c>
      <c r="F2461" t="s">
        <v>32</v>
      </c>
      <c r="G2461">
        <v>1412.92</v>
      </c>
      <c r="H2461" t="s">
        <v>14</v>
      </c>
      <c r="I2461" t="s">
        <v>15</v>
      </c>
      <c r="J2461">
        <v>3.9</v>
      </c>
      <c r="K2461">
        <v>19</v>
      </c>
      <c r="L2461">
        <f t="shared" si="115"/>
        <v>1144.4652000000001</v>
      </c>
      <c r="M2461">
        <v>7</v>
      </c>
      <c r="N2461" t="str">
        <f t="shared" si="116"/>
        <v>Regular</v>
      </c>
    </row>
    <row r="2462" spans="1:14" x14ac:dyDescent="0.35">
      <c r="A2462">
        <v>2461</v>
      </c>
      <c r="B2462">
        <v>60</v>
      </c>
      <c r="C2462" t="str">
        <f t="shared" si="114"/>
        <v>Adult</v>
      </c>
      <c r="D2462" t="s">
        <v>11</v>
      </c>
      <c r="E2462" t="s">
        <v>33</v>
      </c>
      <c r="F2462" t="s">
        <v>38</v>
      </c>
      <c r="G2462">
        <v>104.02</v>
      </c>
      <c r="H2462" t="s">
        <v>24</v>
      </c>
      <c r="I2462" t="s">
        <v>15</v>
      </c>
      <c r="J2462">
        <v>5</v>
      </c>
      <c r="K2462">
        <v>8</v>
      </c>
      <c r="L2462">
        <f t="shared" si="115"/>
        <v>95.698400000000007</v>
      </c>
      <c r="M2462">
        <v>4</v>
      </c>
      <c r="N2462" t="str">
        <f t="shared" si="116"/>
        <v>Regular</v>
      </c>
    </row>
    <row r="2463" spans="1:14" x14ac:dyDescent="0.35">
      <c r="A2463">
        <v>2462</v>
      </c>
      <c r="B2463">
        <v>62</v>
      </c>
      <c r="C2463" t="str">
        <f t="shared" si="114"/>
        <v>Senior</v>
      </c>
      <c r="D2463" t="s">
        <v>11</v>
      </c>
      <c r="E2463" t="s">
        <v>29</v>
      </c>
      <c r="F2463" t="s">
        <v>51</v>
      </c>
      <c r="G2463">
        <v>20.71</v>
      </c>
      <c r="H2463" t="s">
        <v>14</v>
      </c>
      <c r="I2463" t="s">
        <v>15</v>
      </c>
      <c r="J2463">
        <v>3.8</v>
      </c>
      <c r="K2463">
        <v>20</v>
      </c>
      <c r="L2463">
        <f t="shared" si="115"/>
        <v>16.568000000000001</v>
      </c>
      <c r="M2463">
        <v>5</v>
      </c>
      <c r="N2463" t="str">
        <f t="shared" si="116"/>
        <v>Regular</v>
      </c>
    </row>
    <row r="2464" spans="1:14" x14ac:dyDescent="0.35">
      <c r="A2464">
        <v>2463</v>
      </c>
      <c r="B2464">
        <v>56</v>
      </c>
      <c r="C2464" t="str">
        <f t="shared" si="114"/>
        <v>Adult</v>
      </c>
      <c r="D2464" t="s">
        <v>11</v>
      </c>
      <c r="E2464" t="s">
        <v>41</v>
      </c>
      <c r="F2464" t="s">
        <v>46</v>
      </c>
      <c r="G2464">
        <v>83.87</v>
      </c>
      <c r="H2464" t="s">
        <v>19</v>
      </c>
      <c r="I2464" t="s">
        <v>15</v>
      </c>
      <c r="J2464">
        <v>3.9</v>
      </c>
      <c r="K2464">
        <v>17</v>
      </c>
      <c r="L2464">
        <f t="shared" si="115"/>
        <v>69.612099999999998</v>
      </c>
      <c r="M2464">
        <v>6</v>
      </c>
      <c r="N2464" t="str">
        <f t="shared" si="116"/>
        <v>Regular</v>
      </c>
    </row>
    <row r="2465" spans="1:14" x14ac:dyDescent="0.35">
      <c r="A2465">
        <v>2464</v>
      </c>
      <c r="B2465">
        <v>67</v>
      </c>
      <c r="C2465" t="str">
        <f t="shared" si="114"/>
        <v>Senior</v>
      </c>
      <c r="D2465" t="s">
        <v>16</v>
      </c>
      <c r="E2465" t="s">
        <v>17</v>
      </c>
      <c r="F2465" t="s">
        <v>35</v>
      </c>
      <c r="G2465">
        <v>43.13</v>
      </c>
      <c r="H2465" t="s">
        <v>24</v>
      </c>
      <c r="I2465" t="s">
        <v>37</v>
      </c>
      <c r="J2465">
        <v>3</v>
      </c>
      <c r="K2465">
        <v>9</v>
      </c>
      <c r="L2465">
        <f t="shared" si="115"/>
        <v>39.2483</v>
      </c>
      <c r="M2465">
        <v>2</v>
      </c>
      <c r="N2465" t="str">
        <f t="shared" si="116"/>
        <v>New</v>
      </c>
    </row>
    <row r="2466" spans="1:14" x14ac:dyDescent="0.35">
      <c r="A2466">
        <v>2465</v>
      </c>
      <c r="B2466">
        <v>59</v>
      </c>
      <c r="C2466" t="str">
        <f t="shared" si="114"/>
        <v>Adult</v>
      </c>
      <c r="D2466" t="s">
        <v>16</v>
      </c>
      <c r="E2466" t="s">
        <v>20</v>
      </c>
      <c r="F2466" t="s">
        <v>21</v>
      </c>
      <c r="G2466">
        <v>73.739999999999995</v>
      </c>
      <c r="H2466" t="s">
        <v>31</v>
      </c>
      <c r="I2466" t="s">
        <v>15</v>
      </c>
      <c r="J2466">
        <v>3.8</v>
      </c>
      <c r="K2466">
        <v>15</v>
      </c>
      <c r="L2466">
        <f t="shared" si="115"/>
        <v>62.678999999999995</v>
      </c>
      <c r="M2466">
        <v>5</v>
      </c>
      <c r="N2466" t="str">
        <f t="shared" si="116"/>
        <v>Regular</v>
      </c>
    </row>
    <row r="2467" spans="1:14" x14ac:dyDescent="0.35">
      <c r="A2467">
        <v>2466</v>
      </c>
      <c r="B2467">
        <v>32</v>
      </c>
      <c r="C2467" t="str">
        <f t="shared" si="114"/>
        <v>Adult</v>
      </c>
      <c r="D2467" t="s">
        <v>16</v>
      </c>
      <c r="E2467" t="s">
        <v>20</v>
      </c>
      <c r="F2467" t="s">
        <v>21</v>
      </c>
      <c r="G2467">
        <v>144.04</v>
      </c>
      <c r="H2467" t="s">
        <v>31</v>
      </c>
      <c r="I2467" t="s">
        <v>15</v>
      </c>
      <c r="J2467">
        <v>3.8</v>
      </c>
      <c r="K2467">
        <v>13</v>
      </c>
      <c r="L2467">
        <f t="shared" si="115"/>
        <v>125.31479999999999</v>
      </c>
      <c r="M2467">
        <v>4</v>
      </c>
      <c r="N2467" t="str">
        <f t="shared" si="116"/>
        <v>Regular</v>
      </c>
    </row>
    <row r="2468" spans="1:14" x14ac:dyDescent="0.35">
      <c r="A2468">
        <v>2467</v>
      </c>
      <c r="B2468">
        <v>24</v>
      </c>
      <c r="C2468" t="str">
        <f t="shared" si="114"/>
        <v>Youth</v>
      </c>
      <c r="D2468" t="s">
        <v>11</v>
      </c>
      <c r="E2468" t="s">
        <v>29</v>
      </c>
      <c r="F2468" t="s">
        <v>51</v>
      </c>
      <c r="G2468">
        <v>82.17</v>
      </c>
      <c r="H2468" t="s">
        <v>24</v>
      </c>
      <c r="I2468" t="s">
        <v>15</v>
      </c>
      <c r="J2468">
        <v>3.4</v>
      </c>
      <c r="K2468">
        <v>15</v>
      </c>
      <c r="L2468">
        <f t="shared" si="115"/>
        <v>69.844499999999996</v>
      </c>
      <c r="M2468">
        <v>5</v>
      </c>
      <c r="N2468" t="str">
        <f t="shared" si="116"/>
        <v>Regular</v>
      </c>
    </row>
    <row r="2469" spans="1:14" x14ac:dyDescent="0.35">
      <c r="A2469">
        <v>2468</v>
      </c>
      <c r="B2469">
        <v>31</v>
      </c>
      <c r="C2469" t="str">
        <f t="shared" si="114"/>
        <v>Adult</v>
      </c>
      <c r="D2469" t="s">
        <v>11</v>
      </c>
      <c r="E2469" t="s">
        <v>41</v>
      </c>
      <c r="F2469" t="s">
        <v>44</v>
      </c>
      <c r="G2469">
        <v>128.18</v>
      </c>
      <c r="H2469" t="s">
        <v>14</v>
      </c>
      <c r="I2469" t="s">
        <v>15</v>
      </c>
      <c r="J2469">
        <v>4</v>
      </c>
      <c r="K2469">
        <v>17</v>
      </c>
      <c r="L2469">
        <f t="shared" si="115"/>
        <v>106.38939999999999</v>
      </c>
      <c r="M2469">
        <v>6</v>
      </c>
      <c r="N2469" t="str">
        <f t="shared" si="116"/>
        <v>Regular</v>
      </c>
    </row>
    <row r="2470" spans="1:14" x14ac:dyDescent="0.35">
      <c r="A2470">
        <v>2469</v>
      </c>
      <c r="B2470">
        <v>67</v>
      </c>
      <c r="C2470" t="str">
        <f t="shared" si="114"/>
        <v>Senior</v>
      </c>
      <c r="D2470" t="s">
        <v>11</v>
      </c>
      <c r="E2470" t="s">
        <v>41</v>
      </c>
      <c r="F2470" t="s">
        <v>45</v>
      </c>
      <c r="G2470">
        <v>74.73</v>
      </c>
      <c r="H2470" t="s">
        <v>14</v>
      </c>
      <c r="I2470" t="s">
        <v>37</v>
      </c>
      <c r="J2470">
        <v>3.7</v>
      </c>
      <c r="K2470">
        <v>20</v>
      </c>
      <c r="L2470">
        <f t="shared" si="115"/>
        <v>59.784000000000006</v>
      </c>
      <c r="M2470">
        <v>5</v>
      </c>
      <c r="N2470" t="str">
        <f t="shared" si="116"/>
        <v>Regular</v>
      </c>
    </row>
    <row r="2471" spans="1:14" x14ac:dyDescent="0.35">
      <c r="A2471">
        <v>2470</v>
      </c>
      <c r="B2471">
        <v>41</v>
      </c>
      <c r="C2471" t="str">
        <f t="shared" si="114"/>
        <v>Adult</v>
      </c>
      <c r="D2471" t="s">
        <v>11</v>
      </c>
      <c r="E2471" t="s">
        <v>22</v>
      </c>
      <c r="F2471" t="s">
        <v>23</v>
      </c>
      <c r="G2471">
        <v>159.58000000000001</v>
      </c>
      <c r="H2471" t="s">
        <v>19</v>
      </c>
      <c r="I2471" t="s">
        <v>15</v>
      </c>
      <c r="J2471">
        <v>4.4000000000000004</v>
      </c>
      <c r="K2471">
        <v>8</v>
      </c>
      <c r="L2471">
        <f t="shared" si="115"/>
        <v>146.81360000000001</v>
      </c>
      <c r="M2471">
        <v>4</v>
      </c>
      <c r="N2471" t="str">
        <f t="shared" si="116"/>
        <v>Regular</v>
      </c>
    </row>
    <row r="2472" spans="1:14" x14ac:dyDescent="0.35">
      <c r="A2472">
        <v>2471</v>
      </c>
      <c r="B2472">
        <v>58</v>
      </c>
      <c r="C2472" t="str">
        <f t="shared" si="114"/>
        <v>Adult</v>
      </c>
      <c r="D2472" t="s">
        <v>11</v>
      </c>
      <c r="E2472" t="s">
        <v>41</v>
      </c>
      <c r="F2472" t="s">
        <v>44</v>
      </c>
      <c r="G2472">
        <v>142.94999999999999</v>
      </c>
      <c r="H2472" t="s">
        <v>24</v>
      </c>
      <c r="I2472" t="s">
        <v>15</v>
      </c>
      <c r="J2472">
        <v>4.8</v>
      </c>
      <c r="K2472">
        <v>15</v>
      </c>
      <c r="L2472">
        <f t="shared" si="115"/>
        <v>121.50749999999999</v>
      </c>
      <c r="M2472">
        <v>5</v>
      </c>
      <c r="N2472" t="str">
        <f t="shared" si="116"/>
        <v>Regular</v>
      </c>
    </row>
    <row r="2473" spans="1:14" x14ac:dyDescent="0.35">
      <c r="A2473">
        <v>2472</v>
      </c>
      <c r="B2473">
        <v>22</v>
      </c>
      <c r="C2473" t="str">
        <f t="shared" si="114"/>
        <v>Youth</v>
      </c>
      <c r="D2473" t="s">
        <v>11</v>
      </c>
      <c r="E2473" t="s">
        <v>29</v>
      </c>
      <c r="F2473" t="s">
        <v>30</v>
      </c>
      <c r="G2473">
        <v>56.67</v>
      </c>
      <c r="H2473" t="s">
        <v>31</v>
      </c>
      <c r="I2473" t="s">
        <v>37</v>
      </c>
      <c r="J2473">
        <v>4.3</v>
      </c>
      <c r="K2473">
        <v>15</v>
      </c>
      <c r="L2473">
        <f t="shared" si="115"/>
        <v>48.169499999999999</v>
      </c>
      <c r="M2473">
        <v>5</v>
      </c>
      <c r="N2473" t="str">
        <f t="shared" si="116"/>
        <v>Regular</v>
      </c>
    </row>
    <row r="2474" spans="1:14" x14ac:dyDescent="0.35">
      <c r="A2474">
        <v>2473</v>
      </c>
      <c r="B2474">
        <v>56</v>
      </c>
      <c r="C2474" t="str">
        <f t="shared" si="114"/>
        <v>Adult</v>
      </c>
      <c r="D2474" t="s">
        <v>11</v>
      </c>
      <c r="E2474" t="s">
        <v>12</v>
      </c>
      <c r="F2474" t="s">
        <v>56</v>
      </c>
      <c r="G2474">
        <v>60.82</v>
      </c>
      <c r="H2474" t="s">
        <v>19</v>
      </c>
      <c r="I2474" t="s">
        <v>37</v>
      </c>
      <c r="J2474">
        <v>3.5</v>
      </c>
      <c r="K2474">
        <v>8</v>
      </c>
      <c r="L2474">
        <f t="shared" si="115"/>
        <v>55.9544</v>
      </c>
      <c r="M2474">
        <v>4</v>
      </c>
      <c r="N2474" t="str">
        <f t="shared" si="116"/>
        <v>Regular</v>
      </c>
    </row>
    <row r="2475" spans="1:14" x14ac:dyDescent="0.35">
      <c r="A2475">
        <v>2474</v>
      </c>
      <c r="B2475">
        <v>64</v>
      </c>
      <c r="C2475" t="str">
        <f t="shared" si="114"/>
        <v>Senior</v>
      </c>
      <c r="D2475" t="s">
        <v>11</v>
      </c>
      <c r="E2475" t="s">
        <v>33</v>
      </c>
      <c r="F2475" t="s">
        <v>40</v>
      </c>
      <c r="G2475">
        <v>249.17</v>
      </c>
      <c r="H2475" t="s">
        <v>19</v>
      </c>
      <c r="I2475" t="s">
        <v>15</v>
      </c>
      <c r="J2475">
        <v>4.8</v>
      </c>
      <c r="K2475">
        <v>8</v>
      </c>
      <c r="L2475">
        <f t="shared" si="115"/>
        <v>229.2364</v>
      </c>
      <c r="M2475">
        <v>4</v>
      </c>
      <c r="N2475" t="str">
        <f t="shared" si="116"/>
        <v>Regular</v>
      </c>
    </row>
    <row r="2476" spans="1:14" x14ac:dyDescent="0.35">
      <c r="A2476">
        <v>2475</v>
      </c>
      <c r="B2476">
        <v>58</v>
      </c>
      <c r="C2476" t="str">
        <f t="shared" si="114"/>
        <v>Adult</v>
      </c>
      <c r="D2476" t="s">
        <v>11</v>
      </c>
      <c r="E2476" t="s">
        <v>41</v>
      </c>
      <c r="F2476" t="s">
        <v>46</v>
      </c>
      <c r="G2476">
        <v>105.75</v>
      </c>
      <c r="H2476" t="s">
        <v>14</v>
      </c>
      <c r="I2476" t="s">
        <v>15</v>
      </c>
      <c r="J2476">
        <v>4.5</v>
      </c>
      <c r="K2476">
        <v>19</v>
      </c>
      <c r="L2476">
        <f t="shared" si="115"/>
        <v>85.657499999999999</v>
      </c>
      <c r="M2476">
        <v>7</v>
      </c>
      <c r="N2476" t="str">
        <f t="shared" si="116"/>
        <v>Regular</v>
      </c>
    </row>
    <row r="2477" spans="1:14" x14ac:dyDescent="0.35">
      <c r="A2477">
        <v>2476</v>
      </c>
      <c r="B2477">
        <v>57</v>
      </c>
      <c r="C2477" t="str">
        <f t="shared" si="114"/>
        <v>Adult</v>
      </c>
      <c r="D2477" t="s">
        <v>16</v>
      </c>
      <c r="E2477" t="s">
        <v>20</v>
      </c>
      <c r="F2477" t="s">
        <v>39</v>
      </c>
      <c r="G2477">
        <v>89.44</v>
      </c>
      <c r="H2477" t="s">
        <v>14</v>
      </c>
      <c r="I2477" t="s">
        <v>37</v>
      </c>
      <c r="J2477">
        <v>4.9000000000000004</v>
      </c>
      <c r="K2477">
        <v>10</v>
      </c>
      <c r="L2477">
        <f t="shared" si="115"/>
        <v>80.495999999999995</v>
      </c>
      <c r="M2477">
        <v>5</v>
      </c>
      <c r="N2477" t="str">
        <f t="shared" si="116"/>
        <v>Regular</v>
      </c>
    </row>
    <row r="2478" spans="1:14" x14ac:dyDescent="0.35">
      <c r="A2478">
        <v>2477</v>
      </c>
      <c r="B2478">
        <v>37</v>
      </c>
      <c r="C2478" t="str">
        <f t="shared" si="114"/>
        <v>Adult</v>
      </c>
      <c r="D2478" t="s">
        <v>16</v>
      </c>
      <c r="E2478" t="s">
        <v>20</v>
      </c>
      <c r="F2478" t="s">
        <v>21</v>
      </c>
      <c r="G2478">
        <v>182.81</v>
      </c>
      <c r="H2478" t="s">
        <v>31</v>
      </c>
      <c r="I2478" t="s">
        <v>15</v>
      </c>
      <c r="J2478">
        <v>3.2</v>
      </c>
      <c r="K2478">
        <v>16</v>
      </c>
      <c r="L2478">
        <f t="shared" si="115"/>
        <v>153.56039999999999</v>
      </c>
      <c r="M2478">
        <v>3</v>
      </c>
      <c r="N2478" t="str">
        <f t="shared" si="116"/>
        <v>New</v>
      </c>
    </row>
    <row r="2479" spans="1:14" x14ac:dyDescent="0.35">
      <c r="A2479">
        <v>2478</v>
      </c>
      <c r="B2479">
        <v>30</v>
      </c>
      <c r="C2479" t="str">
        <f t="shared" si="114"/>
        <v>Youth</v>
      </c>
      <c r="D2479" t="s">
        <v>16</v>
      </c>
      <c r="E2479" t="s">
        <v>20</v>
      </c>
      <c r="F2479" t="s">
        <v>21</v>
      </c>
      <c r="G2479">
        <v>49.64</v>
      </c>
      <c r="H2479" t="s">
        <v>19</v>
      </c>
      <c r="I2479" t="s">
        <v>37</v>
      </c>
      <c r="J2479">
        <v>4.0999999999999996</v>
      </c>
      <c r="K2479">
        <v>9</v>
      </c>
      <c r="L2479">
        <f t="shared" si="115"/>
        <v>45.172400000000003</v>
      </c>
      <c r="M2479">
        <v>2</v>
      </c>
      <c r="N2479" t="str">
        <f t="shared" si="116"/>
        <v>New</v>
      </c>
    </row>
    <row r="2480" spans="1:14" x14ac:dyDescent="0.35">
      <c r="A2480">
        <v>2479</v>
      </c>
      <c r="B2480">
        <v>56</v>
      </c>
      <c r="C2480" t="str">
        <f t="shared" si="114"/>
        <v>Adult</v>
      </c>
      <c r="D2480" t="s">
        <v>16</v>
      </c>
      <c r="E2480" t="s">
        <v>20</v>
      </c>
      <c r="F2480" t="s">
        <v>36</v>
      </c>
      <c r="G2480">
        <v>118.27</v>
      </c>
      <c r="H2480" t="s">
        <v>14</v>
      </c>
      <c r="I2480" t="s">
        <v>15</v>
      </c>
      <c r="J2480">
        <v>4</v>
      </c>
      <c r="K2480">
        <v>19</v>
      </c>
      <c r="L2480">
        <f t="shared" si="115"/>
        <v>95.798699999999997</v>
      </c>
      <c r="M2480">
        <v>7</v>
      </c>
      <c r="N2480" t="str">
        <f t="shared" si="116"/>
        <v>Regular</v>
      </c>
    </row>
    <row r="2481" spans="1:14" x14ac:dyDescent="0.35">
      <c r="A2481">
        <v>2480</v>
      </c>
      <c r="B2481">
        <v>41</v>
      </c>
      <c r="C2481" t="str">
        <f t="shared" si="114"/>
        <v>Adult</v>
      </c>
      <c r="D2481" t="s">
        <v>11</v>
      </c>
      <c r="E2481" t="s">
        <v>12</v>
      </c>
      <c r="F2481" t="s">
        <v>56</v>
      </c>
      <c r="G2481">
        <v>155.41</v>
      </c>
      <c r="H2481" t="s">
        <v>24</v>
      </c>
      <c r="I2481" t="s">
        <v>15</v>
      </c>
      <c r="J2481">
        <v>5</v>
      </c>
      <c r="K2481">
        <v>22</v>
      </c>
      <c r="L2481">
        <f t="shared" si="115"/>
        <v>121.21980000000001</v>
      </c>
      <c r="M2481">
        <v>6</v>
      </c>
      <c r="N2481" t="str">
        <f t="shared" si="116"/>
        <v>Regular</v>
      </c>
    </row>
    <row r="2482" spans="1:14" x14ac:dyDescent="0.35">
      <c r="A2482">
        <v>2481</v>
      </c>
      <c r="B2482">
        <v>47</v>
      </c>
      <c r="C2482" t="str">
        <f t="shared" si="114"/>
        <v>Adult</v>
      </c>
      <c r="D2482" t="s">
        <v>16</v>
      </c>
      <c r="E2482" t="s">
        <v>33</v>
      </c>
      <c r="F2482" t="s">
        <v>38</v>
      </c>
      <c r="G2482">
        <v>162.15</v>
      </c>
      <c r="H2482" t="s">
        <v>14</v>
      </c>
      <c r="I2482" t="s">
        <v>15</v>
      </c>
      <c r="J2482">
        <v>4.9000000000000004</v>
      </c>
      <c r="K2482">
        <v>22</v>
      </c>
      <c r="L2482">
        <f t="shared" si="115"/>
        <v>126.477</v>
      </c>
      <c r="M2482">
        <v>6</v>
      </c>
      <c r="N2482" t="str">
        <f t="shared" si="116"/>
        <v>Regular</v>
      </c>
    </row>
    <row r="2483" spans="1:14" x14ac:dyDescent="0.35">
      <c r="A2483">
        <v>2482</v>
      </c>
      <c r="B2483">
        <v>62</v>
      </c>
      <c r="C2483" t="str">
        <f t="shared" si="114"/>
        <v>Senior</v>
      </c>
      <c r="D2483" t="s">
        <v>16</v>
      </c>
      <c r="E2483" t="s">
        <v>17</v>
      </c>
      <c r="F2483" t="s">
        <v>18</v>
      </c>
      <c r="G2483">
        <v>122.41</v>
      </c>
      <c r="H2483" t="s">
        <v>19</v>
      </c>
      <c r="I2483" t="s">
        <v>15</v>
      </c>
      <c r="J2483">
        <v>3</v>
      </c>
      <c r="K2483">
        <v>17</v>
      </c>
      <c r="L2483">
        <f t="shared" si="115"/>
        <v>101.60029999999999</v>
      </c>
      <c r="M2483">
        <v>6</v>
      </c>
      <c r="N2483" t="str">
        <f t="shared" si="116"/>
        <v>Regular</v>
      </c>
    </row>
    <row r="2484" spans="1:14" x14ac:dyDescent="0.35">
      <c r="A2484">
        <v>2483</v>
      </c>
      <c r="B2484">
        <v>42</v>
      </c>
      <c r="C2484" t="str">
        <f t="shared" si="114"/>
        <v>Adult</v>
      </c>
      <c r="D2484" t="s">
        <v>16</v>
      </c>
      <c r="E2484" t="s">
        <v>33</v>
      </c>
      <c r="F2484" t="s">
        <v>38</v>
      </c>
      <c r="G2484">
        <v>166.76</v>
      </c>
      <c r="H2484" t="s">
        <v>19</v>
      </c>
      <c r="I2484" t="s">
        <v>15</v>
      </c>
      <c r="J2484">
        <v>3.4</v>
      </c>
      <c r="K2484">
        <v>18</v>
      </c>
      <c r="L2484">
        <f t="shared" si="115"/>
        <v>136.7432</v>
      </c>
      <c r="M2484">
        <v>9</v>
      </c>
      <c r="N2484" t="str">
        <f t="shared" si="116"/>
        <v>Loyal</v>
      </c>
    </row>
    <row r="2485" spans="1:14" x14ac:dyDescent="0.35">
      <c r="A2485">
        <v>2484</v>
      </c>
      <c r="B2485">
        <v>55</v>
      </c>
      <c r="C2485" t="str">
        <f t="shared" si="114"/>
        <v>Adult</v>
      </c>
      <c r="D2485" t="s">
        <v>16</v>
      </c>
      <c r="E2485" t="s">
        <v>20</v>
      </c>
      <c r="F2485" t="s">
        <v>21</v>
      </c>
      <c r="G2485">
        <v>91.77</v>
      </c>
      <c r="H2485" t="s">
        <v>14</v>
      </c>
      <c r="I2485" t="s">
        <v>37</v>
      </c>
      <c r="J2485">
        <v>3.8</v>
      </c>
      <c r="K2485">
        <v>20</v>
      </c>
      <c r="L2485">
        <f t="shared" si="115"/>
        <v>73.415999999999997</v>
      </c>
      <c r="M2485">
        <v>5</v>
      </c>
      <c r="N2485" t="str">
        <f t="shared" si="116"/>
        <v>Regular</v>
      </c>
    </row>
    <row r="2486" spans="1:14" x14ac:dyDescent="0.35">
      <c r="A2486">
        <v>2485</v>
      </c>
      <c r="B2486">
        <v>70</v>
      </c>
      <c r="C2486" t="str">
        <f t="shared" si="114"/>
        <v>Senior</v>
      </c>
      <c r="D2486" t="s">
        <v>11</v>
      </c>
      <c r="E2486" t="s">
        <v>41</v>
      </c>
      <c r="F2486" t="s">
        <v>45</v>
      </c>
      <c r="G2486">
        <v>112.59</v>
      </c>
      <c r="H2486" t="s">
        <v>19</v>
      </c>
      <c r="I2486" t="s">
        <v>15</v>
      </c>
      <c r="J2486">
        <v>4.7</v>
      </c>
      <c r="K2486">
        <v>18</v>
      </c>
      <c r="L2486">
        <f t="shared" si="115"/>
        <v>92.323800000000006</v>
      </c>
      <c r="M2486">
        <v>4</v>
      </c>
      <c r="N2486" t="str">
        <f t="shared" si="116"/>
        <v>Regular</v>
      </c>
    </row>
    <row r="2487" spans="1:14" x14ac:dyDescent="0.35">
      <c r="A2487">
        <v>2486</v>
      </c>
      <c r="B2487">
        <v>30</v>
      </c>
      <c r="C2487" t="str">
        <f t="shared" si="114"/>
        <v>Youth</v>
      </c>
      <c r="D2487" t="s">
        <v>11</v>
      </c>
      <c r="E2487" t="s">
        <v>41</v>
      </c>
      <c r="F2487" t="s">
        <v>45</v>
      </c>
      <c r="G2487">
        <v>77.540000000000006</v>
      </c>
      <c r="H2487" t="s">
        <v>31</v>
      </c>
      <c r="I2487" t="s">
        <v>37</v>
      </c>
      <c r="J2487">
        <v>3.8</v>
      </c>
      <c r="K2487">
        <v>18</v>
      </c>
      <c r="L2487">
        <f t="shared" si="115"/>
        <v>63.582800000000013</v>
      </c>
      <c r="M2487">
        <v>4</v>
      </c>
      <c r="N2487" t="str">
        <f t="shared" si="116"/>
        <v>Regular</v>
      </c>
    </row>
    <row r="2488" spans="1:14" x14ac:dyDescent="0.35">
      <c r="A2488">
        <v>2487</v>
      </c>
      <c r="B2488">
        <v>58</v>
      </c>
      <c r="C2488" t="str">
        <f t="shared" si="114"/>
        <v>Adult</v>
      </c>
      <c r="D2488" t="s">
        <v>11</v>
      </c>
      <c r="E2488" t="s">
        <v>12</v>
      </c>
      <c r="F2488" t="s">
        <v>50</v>
      </c>
      <c r="G2488">
        <v>125.61</v>
      </c>
      <c r="H2488" t="s">
        <v>14</v>
      </c>
      <c r="I2488" t="s">
        <v>15</v>
      </c>
      <c r="J2488">
        <v>3.3</v>
      </c>
      <c r="K2488">
        <v>12</v>
      </c>
      <c r="L2488">
        <f t="shared" si="115"/>
        <v>110.5368</v>
      </c>
      <c r="M2488">
        <v>6</v>
      </c>
      <c r="N2488" t="str">
        <f t="shared" si="116"/>
        <v>Regular</v>
      </c>
    </row>
    <row r="2489" spans="1:14" x14ac:dyDescent="0.35">
      <c r="A2489">
        <v>2488</v>
      </c>
      <c r="B2489">
        <v>66</v>
      </c>
      <c r="C2489" t="str">
        <f t="shared" si="114"/>
        <v>Senior</v>
      </c>
      <c r="D2489" t="s">
        <v>11</v>
      </c>
      <c r="E2489" t="s">
        <v>12</v>
      </c>
      <c r="F2489" t="s">
        <v>13</v>
      </c>
      <c r="G2489">
        <v>175.38</v>
      </c>
      <c r="H2489" t="s">
        <v>14</v>
      </c>
      <c r="I2489" t="s">
        <v>15</v>
      </c>
      <c r="J2489">
        <v>4.0999999999999996</v>
      </c>
      <c r="K2489">
        <v>12</v>
      </c>
      <c r="L2489">
        <f t="shared" si="115"/>
        <v>154.33439999999999</v>
      </c>
      <c r="M2489">
        <v>6</v>
      </c>
      <c r="N2489" t="str">
        <f t="shared" si="116"/>
        <v>Regular</v>
      </c>
    </row>
    <row r="2490" spans="1:14" x14ac:dyDescent="0.35">
      <c r="A2490">
        <v>2489</v>
      </c>
      <c r="B2490">
        <v>45</v>
      </c>
      <c r="C2490" t="str">
        <f t="shared" si="114"/>
        <v>Adult</v>
      </c>
      <c r="D2490" t="s">
        <v>11</v>
      </c>
      <c r="E2490" t="s">
        <v>33</v>
      </c>
      <c r="F2490" t="s">
        <v>38</v>
      </c>
      <c r="G2490">
        <v>199.34</v>
      </c>
      <c r="H2490" t="s">
        <v>31</v>
      </c>
      <c r="I2490" t="s">
        <v>15</v>
      </c>
      <c r="J2490">
        <v>5</v>
      </c>
      <c r="K2490">
        <v>16</v>
      </c>
      <c r="L2490">
        <f t="shared" si="115"/>
        <v>167.44559999999998</v>
      </c>
      <c r="M2490">
        <v>3</v>
      </c>
      <c r="N2490" t="str">
        <f t="shared" si="116"/>
        <v>New</v>
      </c>
    </row>
    <row r="2491" spans="1:14" x14ac:dyDescent="0.35">
      <c r="A2491">
        <v>2490</v>
      </c>
      <c r="B2491">
        <v>57</v>
      </c>
      <c r="C2491" t="str">
        <f t="shared" si="114"/>
        <v>Adult</v>
      </c>
      <c r="D2491" t="s">
        <v>16</v>
      </c>
      <c r="E2491" t="s">
        <v>33</v>
      </c>
      <c r="F2491" t="s">
        <v>40</v>
      </c>
      <c r="G2491">
        <v>102.02</v>
      </c>
      <c r="H2491" t="s">
        <v>24</v>
      </c>
      <c r="I2491" t="s">
        <v>15</v>
      </c>
      <c r="J2491">
        <v>4</v>
      </c>
      <c r="K2491">
        <v>19</v>
      </c>
      <c r="L2491">
        <f t="shared" si="115"/>
        <v>82.636200000000002</v>
      </c>
      <c r="M2491">
        <v>7</v>
      </c>
      <c r="N2491" t="str">
        <f t="shared" si="116"/>
        <v>Regular</v>
      </c>
    </row>
    <row r="2492" spans="1:14" x14ac:dyDescent="0.35">
      <c r="A2492">
        <v>2491</v>
      </c>
      <c r="B2492">
        <v>27</v>
      </c>
      <c r="C2492" t="str">
        <f t="shared" si="114"/>
        <v>Youth</v>
      </c>
      <c r="D2492" t="s">
        <v>16</v>
      </c>
      <c r="E2492" t="s">
        <v>27</v>
      </c>
      <c r="F2492" t="s">
        <v>32</v>
      </c>
      <c r="G2492">
        <v>736.82</v>
      </c>
      <c r="H2492" t="s">
        <v>14</v>
      </c>
      <c r="I2492" t="s">
        <v>15</v>
      </c>
      <c r="J2492">
        <v>4.4000000000000004</v>
      </c>
      <c r="K2492">
        <v>10</v>
      </c>
      <c r="L2492">
        <f t="shared" si="115"/>
        <v>663.13800000000003</v>
      </c>
      <c r="M2492">
        <v>5</v>
      </c>
      <c r="N2492" t="str">
        <f t="shared" si="116"/>
        <v>Regular</v>
      </c>
    </row>
    <row r="2493" spans="1:14" x14ac:dyDescent="0.35">
      <c r="A2493">
        <v>2492</v>
      </c>
      <c r="B2493">
        <v>61</v>
      </c>
      <c r="C2493" t="str">
        <f t="shared" si="114"/>
        <v>Senior</v>
      </c>
      <c r="D2493" t="s">
        <v>16</v>
      </c>
      <c r="E2493" t="s">
        <v>17</v>
      </c>
      <c r="F2493" t="s">
        <v>18</v>
      </c>
      <c r="G2493">
        <v>67.64</v>
      </c>
      <c r="H2493" t="s">
        <v>31</v>
      </c>
      <c r="I2493" t="s">
        <v>37</v>
      </c>
      <c r="J2493">
        <v>3.6</v>
      </c>
      <c r="K2493">
        <v>18</v>
      </c>
      <c r="L2493">
        <f t="shared" si="115"/>
        <v>55.464800000000004</v>
      </c>
      <c r="M2493">
        <v>4</v>
      </c>
      <c r="N2493" t="str">
        <f t="shared" si="116"/>
        <v>Regular</v>
      </c>
    </row>
    <row r="2494" spans="1:14" x14ac:dyDescent="0.35">
      <c r="A2494">
        <v>2493</v>
      </c>
      <c r="B2494">
        <v>61</v>
      </c>
      <c r="C2494" t="str">
        <f t="shared" si="114"/>
        <v>Senior</v>
      </c>
      <c r="D2494" t="s">
        <v>16</v>
      </c>
      <c r="E2494" t="s">
        <v>17</v>
      </c>
      <c r="F2494" t="s">
        <v>18</v>
      </c>
      <c r="G2494">
        <v>97.18</v>
      </c>
      <c r="H2494" t="s">
        <v>31</v>
      </c>
      <c r="I2494" t="s">
        <v>15</v>
      </c>
      <c r="J2494">
        <v>3.9</v>
      </c>
      <c r="K2494">
        <v>19</v>
      </c>
      <c r="L2494">
        <f t="shared" si="115"/>
        <v>78.715800000000016</v>
      </c>
      <c r="M2494">
        <v>7</v>
      </c>
      <c r="N2494" t="str">
        <f t="shared" si="116"/>
        <v>Regular</v>
      </c>
    </row>
    <row r="2495" spans="1:14" x14ac:dyDescent="0.35">
      <c r="A2495">
        <v>2494</v>
      </c>
      <c r="B2495">
        <v>36</v>
      </c>
      <c r="C2495" t="str">
        <f t="shared" si="114"/>
        <v>Adult</v>
      </c>
      <c r="D2495" t="s">
        <v>11</v>
      </c>
      <c r="E2495" t="s">
        <v>41</v>
      </c>
      <c r="F2495" t="s">
        <v>45</v>
      </c>
      <c r="G2495">
        <v>96.2</v>
      </c>
      <c r="H2495" t="s">
        <v>24</v>
      </c>
      <c r="I2495" t="s">
        <v>37</v>
      </c>
      <c r="J2495">
        <v>5</v>
      </c>
      <c r="K2495">
        <v>6</v>
      </c>
      <c r="L2495">
        <f t="shared" si="115"/>
        <v>90.427999999999997</v>
      </c>
      <c r="M2495">
        <v>3</v>
      </c>
      <c r="N2495" t="str">
        <f t="shared" si="116"/>
        <v>New</v>
      </c>
    </row>
    <row r="2496" spans="1:14" x14ac:dyDescent="0.35">
      <c r="A2496">
        <v>2495</v>
      </c>
      <c r="B2496">
        <v>30</v>
      </c>
      <c r="C2496" t="str">
        <f t="shared" si="114"/>
        <v>Youth</v>
      </c>
      <c r="D2496" t="s">
        <v>16</v>
      </c>
      <c r="E2496" t="s">
        <v>33</v>
      </c>
      <c r="F2496" t="s">
        <v>34</v>
      </c>
      <c r="G2496">
        <v>178.66</v>
      </c>
      <c r="H2496" t="s">
        <v>24</v>
      </c>
      <c r="I2496" t="s">
        <v>15</v>
      </c>
      <c r="J2496">
        <v>3.1</v>
      </c>
      <c r="K2496">
        <v>16</v>
      </c>
      <c r="L2496">
        <f t="shared" si="115"/>
        <v>150.0744</v>
      </c>
      <c r="M2496">
        <v>3</v>
      </c>
      <c r="N2496" t="str">
        <f t="shared" si="116"/>
        <v>New</v>
      </c>
    </row>
    <row r="2497" spans="1:14" x14ac:dyDescent="0.35">
      <c r="A2497">
        <v>2496</v>
      </c>
      <c r="B2497">
        <v>58</v>
      </c>
      <c r="C2497" t="str">
        <f t="shared" si="114"/>
        <v>Adult</v>
      </c>
      <c r="D2497" t="s">
        <v>16</v>
      </c>
      <c r="E2497" t="s">
        <v>17</v>
      </c>
      <c r="F2497" t="s">
        <v>18</v>
      </c>
      <c r="G2497">
        <v>59.56</v>
      </c>
      <c r="H2497" t="s">
        <v>14</v>
      </c>
      <c r="I2497" t="s">
        <v>15</v>
      </c>
      <c r="J2497">
        <v>4.5</v>
      </c>
      <c r="K2497">
        <v>24</v>
      </c>
      <c r="L2497">
        <f t="shared" si="115"/>
        <v>45.265599999999999</v>
      </c>
      <c r="M2497">
        <v>7</v>
      </c>
      <c r="N2497" t="str">
        <f t="shared" si="116"/>
        <v>Regular</v>
      </c>
    </row>
    <row r="2498" spans="1:14" x14ac:dyDescent="0.35">
      <c r="A2498">
        <v>2497</v>
      </c>
      <c r="B2498">
        <v>44</v>
      </c>
      <c r="C2498" t="str">
        <f t="shared" si="114"/>
        <v>Adult</v>
      </c>
      <c r="D2498" t="s">
        <v>16</v>
      </c>
      <c r="E2498" t="s">
        <v>20</v>
      </c>
      <c r="F2498" t="s">
        <v>21</v>
      </c>
      <c r="G2498">
        <v>211.96</v>
      </c>
      <c r="H2498" t="s">
        <v>19</v>
      </c>
      <c r="I2498" t="s">
        <v>15</v>
      </c>
      <c r="J2498">
        <v>2.7</v>
      </c>
      <c r="K2498">
        <v>24</v>
      </c>
      <c r="L2498">
        <f t="shared" si="115"/>
        <v>161.08960000000002</v>
      </c>
      <c r="M2498">
        <v>7</v>
      </c>
      <c r="N2498" t="str">
        <f t="shared" si="116"/>
        <v>Regular</v>
      </c>
    </row>
    <row r="2499" spans="1:14" x14ac:dyDescent="0.35">
      <c r="A2499">
        <v>2498</v>
      </c>
      <c r="B2499">
        <v>28</v>
      </c>
      <c r="C2499" t="str">
        <f t="shared" ref="C2499:C2562" si="117">IF(B2499&lt;=30,"Youth",IF(B2499&lt;=45,"Adult",IF(B2499&lt;=60,"Adult","Senior")))</f>
        <v>Youth</v>
      </c>
      <c r="D2499" t="s">
        <v>16</v>
      </c>
      <c r="E2499" t="s">
        <v>33</v>
      </c>
      <c r="F2499" t="s">
        <v>34</v>
      </c>
      <c r="G2499">
        <v>54.72</v>
      </c>
      <c r="H2499" t="s">
        <v>24</v>
      </c>
      <c r="I2499" t="s">
        <v>37</v>
      </c>
      <c r="J2499">
        <v>3</v>
      </c>
      <c r="K2499">
        <v>8</v>
      </c>
      <c r="L2499">
        <f t="shared" ref="L2499:L2562" si="118">G2499*(1-K2499/100)</f>
        <v>50.342399999999998</v>
      </c>
      <c r="M2499">
        <v>4</v>
      </c>
      <c r="N2499" t="str">
        <f t="shared" ref="N2499:N2562" si="119">IF(M2499&lt;=3,"New",IF(M2499&lt;=7,"Regular","Loyal"))</f>
        <v>Regular</v>
      </c>
    </row>
    <row r="2500" spans="1:14" x14ac:dyDescent="0.35">
      <c r="A2500">
        <v>2499</v>
      </c>
      <c r="B2500">
        <v>50</v>
      </c>
      <c r="C2500" t="str">
        <f t="shared" si="117"/>
        <v>Adult</v>
      </c>
      <c r="D2500" t="s">
        <v>11</v>
      </c>
      <c r="E2500" t="s">
        <v>41</v>
      </c>
      <c r="F2500" t="s">
        <v>42</v>
      </c>
      <c r="G2500">
        <v>166.8</v>
      </c>
      <c r="H2500" t="s">
        <v>14</v>
      </c>
      <c r="I2500" t="s">
        <v>15</v>
      </c>
      <c r="J2500">
        <v>4.8</v>
      </c>
      <c r="K2500">
        <v>15</v>
      </c>
      <c r="L2500">
        <f t="shared" si="118"/>
        <v>141.78</v>
      </c>
      <c r="M2500">
        <v>5</v>
      </c>
      <c r="N2500" t="str">
        <f t="shared" si="119"/>
        <v>Regular</v>
      </c>
    </row>
    <row r="2501" spans="1:14" x14ac:dyDescent="0.35">
      <c r="A2501">
        <v>2500</v>
      </c>
      <c r="B2501">
        <v>36</v>
      </c>
      <c r="C2501" t="str">
        <f t="shared" si="117"/>
        <v>Adult</v>
      </c>
      <c r="D2501" t="s">
        <v>11</v>
      </c>
      <c r="E2501" t="s">
        <v>20</v>
      </c>
      <c r="F2501" t="s">
        <v>21</v>
      </c>
      <c r="G2501">
        <v>180.09</v>
      </c>
      <c r="H2501" t="s">
        <v>24</v>
      </c>
      <c r="I2501" t="s">
        <v>15</v>
      </c>
      <c r="J2501">
        <v>4.9000000000000004</v>
      </c>
      <c r="K2501">
        <v>19</v>
      </c>
      <c r="L2501">
        <f t="shared" si="118"/>
        <v>145.87290000000002</v>
      </c>
      <c r="M2501">
        <v>7</v>
      </c>
      <c r="N2501" t="str">
        <f t="shared" si="119"/>
        <v>Regular</v>
      </c>
    </row>
    <row r="2502" spans="1:14" x14ac:dyDescent="0.35">
      <c r="A2502">
        <v>2501</v>
      </c>
      <c r="B2502">
        <v>55</v>
      </c>
      <c r="C2502" t="str">
        <f t="shared" si="117"/>
        <v>Adult</v>
      </c>
      <c r="D2502" t="s">
        <v>11</v>
      </c>
      <c r="E2502" t="s">
        <v>20</v>
      </c>
      <c r="F2502" t="s">
        <v>21</v>
      </c>
      <c r="G2502">
        <v>73.290000000000006</v>
      </c>
      <c r="H2502" t="s">
        <v>24</v>
      </c>
      <c r="I2502" t="s">
        <v>15</v>
      </c>
      <c r="J2502">
        <v>4.5999999999999996</v>
      </c>
      <c r="K2502">
        <v>19</v>
      </c>
      <c r="L2502">
        <f t="shared" si="118"/>
        <v>59.364900000000006</v>
      </c>
      <c r="M2502">
        <v>7</v>
      </c>
      <c r="N2502" t="str">
        <f t="shared" si="119"/>
        <v>Regular</v>
      </c>
    </row>
    <row r="2503" spans="1:14" x14ac:dyDescent="0.35">
      <c r="A2503">
        <v>2502</v>
      </c>
      <c r="B2503">
        <v>49</v>
      </c>
      <c r="C2503" t="str">
        <f t="shared" si="117"/>
        <v>Adult</v>
      </c>
      <c r="D2503" t="s">
        <v>16</v>
      </c>
      <c r="E2503" t="s">
        <v>20</v>
      </c>
      <c r="F2503" t="s">
        <v>21</v>
      </c>
      <c r="G2503">
        <v>240.58</v>
      </c>
      <c r="H2503" t="s">
        <v>19</v>
      </c>
      <c r="I2503" t="s">
        <v>15</v>
      </c>
      <c r="J2503">
        <v>4.2</v>
      </c>
      <c r="K2503">
        <v>24</v>
      </c>
      <c r="L2503">
        <f t="shared" si="118"/>
        <v>182.8408</v>
      </c>
      <c r="M2503">
        <v>7</v>
      </c>
      <c r="N2503" t="str">
        <f t="shared" si="119"/>
        <v>Regular</v>
      </c>
    </row>
    <row r="2504" spans="1:14" x14ac:dyDescent="0.35">
      <c r="A2504">
        <v>2503</v>
      </c>
      <c r="B2504">
        <v>58</v>
      </c>
      <c r="C2504" t="str">
        <f t="shared" si="117"/>
        <v>Adult</v>
      </c>
      <c r="D2504" t="s">
        <v>11</v>
      </c>
      <c r="E2504" t="s">
        <v>22</v>
      </c>
      <c r="F2504" t="s">
        <v>52</v>
      </c>
      <c r="G2504">
        <v>80.55</v>
      </c>
      <c r="H2504" t="s">
        <v>19</v>
      </c>
      <c r="I2504" t="s">
        <v>15</v>
      </c>
      <c r="J2504">
        <v>4.8</v>
      </c>
      <c r="K2504">
        <v>13</v>
      </c>
      <c r="L2504">
        <f t="shared" si="118"/>
        <v>70.078499999999991</v>
      </c>
      <c r="M2504">
        <v>4</v>
      </c>
      <c r="N2504" t="str">
        <f t="shared" si="119"/>
        <v>Regular</v>
      </c>
    </row>
    <row r="2505" spans="1:14" x14ac:dyDescent="0.35">
      <c r="A2505">
        <v>2504</v>
      </c>
      <c r="B2505">
        <v>57</v>
      </c>
      <c r="C2505" t="str">
        <f t="shared" si="117"/>
        <v>Adult</v>
      </c>
      <c r="D2505" t="s">
        <v>16</v>
      </c>
      <c r="E2505" t="s">
        <v>27</v>
      </c>
      <c r="F2505" t="s">
        <v>32</v>
      </c>
      <c r="G2505">
        <v>1635.17</v>
      </c>
      <c r="H2505" t="s">
        <v>31</v>
      </c>
      <c r="I2505" t="s">
        <v>15</v>
      </c>
      <c r="J2505">
        <v>4.0999999999999996</v>
      </c>
      <c r="K2505">
        <v>9</v>
      </c>
      <c r="L2505">
        <f t="shared" si="118"/>
        <v>1488.0047000000002</v>
      </c>
      <c r="M2505">
        <v>2</v>
      </c>
      <c r="N2505" t="str">
        <f t="shared" si="119"/>
        <v>New</v>
      </c>
    </row>
    <row r="2506" spans="1:14" x14ac:dyDescent="0.35">
      <c r="A2506">
        <v>2505</v>
      </c>
      <c r="B2506">
        <v>25</v>
      </c>
      <c r="C2506" t="str">
        <f t="shared" si="117"/>
        <v>Youth</v>
      </c>
      <c r="D2506" t="s">
        <v>16</v>
      </c>
      <c r="E2506" t="s">
        <v>33</v>
      </c>
      <c r="F2506" t="s">
        <v>34</v>
      </c>
      <c r="G2506">
        <v>226.76</v>
      </c>
      <c r="H2506" t="s">
        <v>24</v>
      </c>
      <c r="I2506" t="s">
        <v>15</v>
      </c>
      <c r="J2506">
        <v>4.2</v>
      </c>
      <c r="K2506">
        <v>21</v>
      </c>
      <c r="L2506">
        <f t="shared" si="118"/>
        <v>179.1404</v>
      </c>
      <c r="M2506">
        <v>8</v>
      </c>
      <c r="N2506" t="str">
        <f t="shared" si="119"/>
        <v>Loyal</v>
      </c>
    </row>
    <row r="2507" spans="1:14" x14ac:dyDescent="0.35">
      <c r="A2507">
        <v>2506</v>
      </c>
      <c r="B2507">
        <v>42</v>
      </c>
      <c r="C2507" t="str">
        <f t="shared" si="117"/>
        <v>Adult</v>
      </c>
      <c r="D2507" t="s">
        <v>16</v>
      </c>
      <c r="E2507" t="s">
        <v>20</v>
      </c>
      <c r="F2507" t="s">
        <v>21</v>
      </c>
      <c r="G2507">
        <v>132.34</v>
      </c>
      <c r="H2507" t="s">
        <v>19</v>
      </c>
      <c r="I2507" t="s">
        <v>15</v>
      </c>
      <c r="J2507">
        <v>4.5</v>
      </c>
      <c r="K2507">
        <v>20</v>
      </c>
      <c r="L2507">
        <f t="shared" si="118"/>
        <v>105.87200000000001</v>
      </c>
      <c r="M2507">
        <v>5</v>
      </c>
      <c r="N2507" t="str">
        <f t="shared" si="119"/>
        <v>Regular</v>
      </c>
    </row>
    <row r="2508" spans="1:14" x14ac:dyDescent="0.35">
      <c r="A2508">
        <v>2507</v>
      </c>
      <c r="B2508">
        <v>42</v>
      </c>
      <c r="C2508" t="str">
        <f t="shared" si="117"/>
        <v>Adult</v>
      </c>
      <c r="D2508" t="s">
        <v>11</v>
      </c>
      <c r="E2508" t="s">
        <v>12</v>
      </c>
      <c r="F2508" t="s">
        <v>56</v>
      </c>
      <c r="G2508">
        <v>151.58000000000001</v>
      </c>
      <c r="H2508" t="s">
        <v>19</v>
      </c>
      <c r="I2508" t="s">
        <v>15</v>
      </c>
      <c r="J2508">
        <v>4.0999999999999996</v>
      </c>
      <c r="K2508">
        <v>2</v>
      </c>
      <c r="L2508">
        <f t="shared" si="118"/>
        <v>148.54840000000002</v>
      </c>
      <c r="M2508">
        <v>1</v>
      </c>
      <c r="N2508" t="str">
        <f t="shared" si="119"/>
        <v>New</v>
      </c>
    </row>
    <row r="2509" spans="1:14" x14ac:dyDescent="0.35">
      <c r="A2509">
        <v>2508</v>
      </c>
      <c r="B2509">
        <v>35</v>
      </c>
      <c r="C2509" t="str">
        <f t="shared" si="117"/>
        <v>Adult</v>
      </c>
      <c r="D2509" t="s">
        <v>16</v>
      </c>
      <c r="E2509" t="s">
        <v>25</v>
      </c>
      <c r="F2509" t="s">
        <v>54</v>
      </c>
      <c r="G2509">
        <v>6.79</v>
      </c>
      <c r="H2509" t="s">
        <v>14</v>
      </c>
      <c r="I2509" t="s">
        <v>37</v>
      </c>
      <c r="J2509">
        <v>3.4</v>
      </c>
      <c r="K2509">
        <v>16</v>
      </c>
      <c r="L2509">
        <f t="shared" si="118"/>
        <v>5.7035999999999998</v>
      </c>
      <c r="M2509">
        <v>8</v>
      </c>
      <c r="N2509" t="str">
        <f t="shared" si="119"/>
        <v>Loyal</v>
      </c>
    </row>
    <row r="2510" spans="1:14" x14ac:dyDescent="0.35">
      <c r="A2510">
        <v>2509</v>
      </c>
      <c r="B2510">
        <v>53</v>
      </c>
      <c r="C2510" t="str">
        <f t="shared" si="117"/>
        <v>Adult</v>
      </c>
      <c r="D2510" t="s">
        <v>11</v>
      </c>
      <c r="E2510" t="s">
        <v>33</v>
      </c>
      <c r="F2510" t="s">
        <v>38</v>
      </c>
      <c r="G2510">
        <v>177.6</v>
      </c>
      <c r="H2510" t="s">
        <v>14</v>
      </c>
      <c r="I2510" t="s">
        <v>15</v>
      </c>
      <c r="J2510">
        <v>5</v>
      </c>
      <c r="K2510">
        <v>26</v>
      </c>
      <c r="L2510">
        <f t="shared" si="118"/>
        <v>131.42400000000001</v>
      </c>
      <c r="M2510">
        <v>8</v>
      </c>
      <c r="N2510" t="str">
        <f t="shared" si="119"/>
        <v>Loyal</v>
      </c>
    </row>
    <row r="2511" spans="1:14" x14ac:dyDescent="0.35">
      <c r="A2511">
        <v>2510</v>
      </c>
      <c r="B2511">
        <v>49</v>
      </c>
      <c r="C2511" t="str">
        <f t="shared" si="117"/>
        <v>Adult</v>
      </c>
      <c r="D2511" t="s">
        <v>16</v>
      </c>
      <c r="E2511" t="s">
        <v>27</v>
      </c>
      <c r="F2511" t="s">
        <v>32</v>
      </c>
      <c r="G2511">
        <v>1297.0899999999999</v>
      </c>
      <c r="H2511" t="s">
        <v>19</v>
      </c>
      <c r="I2511" t="s">
        <v>15</v>
      </c>
      <c r="J2511">
        <v>4.8</v>
      </c>
      <c r="K2511">
        <v>20</v>
      </c>
      <c r="L2511">
        <f t="shared" si="118"/>
        <v>1037.672</v>
      </c>
      <c r="M2511">
        <v>5</v>
      </c>
      <c r="N2511" t="str">
        <f t="shared" si="119"/>
        <v>Regular</v>
      </c>
    </row>
    <row r="2512" spans="1:14" x14ac:dyDescent="0.35">
      <c r="A2512">
        <v>2511</v>
      </c>
      <c r="B2512">
        <v>28</v>
      </c>
      <c r="C2512" t="str">
        <f t="shared" si="117"/>
        <v>Youth</v>
      </c>
      <c r="D2512" t="s">
        <v>11</v>
      </c>
      <c r="E2512" t="s">
        <v>12</v>
      </c>
      <c r="F2512" t="s">
        <v>50</v>
      </c>
      <c r="G2512">
        <v>76.02</v>
      </c>
      <c r="H2512" t="s">
        <v>14</v>
      </c>
      <c r="I2512" t="s">
        <v>15</v>
      </c>
      <c r="J2512">
        <v>4</v>
      </c>
      <c r="K2512">
        <v>22</v>
      </c>
      <c r="L2512">
        <f t="shared" si="118"/>
        <v>59.2956</v>
      </c>
      <c r="M2512">
        <v>6</v>
      </c>
      <c r="N2512" t="str">
        <f t="shared" si="119"/>
        <v>Regular</v>
      </c>
    </row>
    <row r="2513" spans="1:14" x14ac:dyDescent="0.35">
      <c r="A2513">
        <v>2512</v>
      </c>
      <c r="B2513">
        <v>37</v>
      </c>
      <c r="C2513" t="str">
        <f t="shared" si="117"/>
        <v>Adult</v>
      </c>
      <c r="D2513" t="s">
        <v>11</v>
      </c>
      <c r="E2513" t="s">
        <v>33</v>
      </c>
      <c r="F2513" t="s">
        <v>34</v>
      </c>
      <c r="G2513">
        <v>158.57</v>
      </c>
      <c r="H2513" t="s">
        <v>19</v>
      </c>
      <c r="I2513" t="s">
        <v>15</v>
      </c>
      <c r="J2513">
        <v>3.3</v>
      </c>
      <c r="K2513">
        <v>6</v>
      </c>
      <c r="L2513">
        <f t="shared" si="118"/>
        <v>149.05579999999998</v>
      </c>
      <c r="M2513">
        <v>3</v>
      </c>
      <c r="N2513" t="str">
        <f t="shared" si="119"/>
        <v>New</v>
      </c>
    </row>
    <row r="2514" spans="1:14" x14ac:dyDescent="0.35">
      <c r="A2514">
        <v>2513</v>
      </c>
      <c r="B2514">
        <v>27</v>
      </c>
      <c r="C2514" t="str">
        <f t="shared" si="117"/>
        <v>Youth</v>
      </c>
      <c r="D2514" t="s">
        <v>11</v>
      </c>
      <c r="E2514" t="s">
        <v>41</v>
      </c>
      <c r="F2514" t="s">
        <v>44</v>
      </c>
      <c r="G2514">
        <v>88.33</v>
      </c>
      <c r="H2514" t="s">
        <v>24</v>
      </c>
      <c r="I2514" t="s">
        <v>15</v>
      </c>
      <c r="J2514">
        <v>3.8</v>
      </c>
      <c r="K2514">
        <v>10</v>
      </c>
      <c r="L2514">
        <f t="shared" si="118"/>
        <v>79.497</v>
      </c>
      <c r="M2514">
        <v>5</v>
      </c>
      <c r="N2514" t="str">
        <f t="shared" si="119"/>
        <v>Regular</v>
      </c>
    </row>
    <row r="2515" spans="1:14" x14ac:dyDescent="0.35">
      <c r="A2515">
        <v>2514</v>
      </c>
      <c r="B2515">
        <v>54</v>
      </c>
      <c r="C2515" t="str">
        <f t="shared" si="117"/>
        <v>Adult</v>
      </c>
      <c r="D2515" t="s">
        <v>16</v>
      </c>
      <c r="E2515" t="s">
        <v>17</v>
      </c>
      <c r="F2515" t="s">
        <v>18</v>
      </c>
      <c r="G2515">
        <v>181.51</v>
      </c>
      <c r="H2515" t="s">
        <v>14</v>
      </c>
      <c r="I2515" t="s">
        <v>15</v>
      </c>
      <c r="J2515">
        <v>4.8</v>
      </c>
      <c r="K2515">
        <v>13</v>
      </c>
      <c r="L2515">
        <f t="shared" si="118"/>
        <v>157.91369999999998</v>
      </c>
      <c r="M2515">
        <v>4</v>
      </c>
      <c r="N2515" t="str">
        <f t="shared" si="119"/>
        <v>Regular</v>
      </c>
    </row>
    <row r="2516" spans="1:14" x14ac:dyDescent="0.35">
      <c r="A2516">
        <v>2515</v>
      </c>
      <c r="B2516">
        <v>27</v>
      </c>
      <c r="C2516" t="str">
        <f t="shared" si="117"/>
        <v>Youth</v>
      </c>
      <c r="D2516" t="s">
        <v>16</v>
      </c>
      <c r="E2516" t="s">
        <v>17</v>
      </c>
      <c r="F2516" t="s">
        <v>18</v>
      </c>
      <c r="G2516">
        <v>48.86</v>
      </c>
      <c r="H2516" t="s">
        <v>24</v>
      </c>
      <c r="I2516" t="s">
        <v>37</v>
      </c>
      <c r="J2516">
        <v>4.8</v>
      </c>
      <c r="K2516">
        <v>8</v>
      </c>
      <c r="L2516">
        <f t="shared" si="118"/>
        <v>44.9512</v>
      </c>
      <c r="M2516">
        <v>4</v>
      </c>
      <c r="N2516" t="str">
        <f t="shared" si="119"/>
        <v>Regular</v>
      </c>
    </row>
    <row r="2517" spans="1:14" x14ac:dyDescent="0.35">
      <c r="A2517">
        <v>2516</v>
      </c>
      <c r="B2517">
        <v>55</v>
      </c>
      <c r="C2517" t="str">
        <f t="shared" si="117"/>
        <v>Adult</v>
      </c>
      <c r="D2517" t="s">
        <v>11</v>
      </c>
      <c r="E2517" t="s">
        <v>12</v>
      </c>
      <c r="F2517" t="s">
        <v>13</v>
      </c>
      <c r="G2517">
        <v>124.2</v>
      </c>
      <c r="H2517" t="s">
        <v>19</v>
      </c>
      <c r="I2517" t="s">
        <v>15</v>
      </c>
      <c r="J2517">
        <v>3.6</v>
      </c>
      <c r="K2517">
        <v>12</v>
      </c>
      <c r="L2517">
        <f t="shared" si="118"/>
        <v>109.29600000000001</v>
      </c>
      <c r="M2517">
        <v>6</v>
      </c>
      <c r="N2517" t="str">
        <f t="shared" si="119"/>
        <v>Regular</v>
      </c>
    </row>
    <row r="2518" spans="1:14" x14ac:dyDescent="0.35">
      <c r="A2518">
        <v>2517</v>
      </c>
      <c r="B2518">
        <v>37</v>
      </c>
      <c r="C2518" t="str">
        <f t="shared" si="117"/>
        <v>Adult</v>
      </c>
      <c r="D2518" t="s">
        <v>11</v>
      </c>
      <c r="E2518" t="s">
        <v>29</v>
      </c>
      <c r="F2518" t="s">
        <v>55</v>
      </c>
      <c r="G2518">
        <v>130.83000000000001</v>
      </c>
      <c r="H2518" t="s">
        <v>19</v>
      </c>
      <c r="I2518" t="s">
        <v>15</v>
      </c>
      <c r="J2518">
        <v>5</v>
      </c>
      <c r="K2518">
        <v>18</v>
      </c>
      <c r="L2518">
        <f t="shared" si="118"/>
        <v>107.28060000000002</v>
      </c>
      <c r="M2518">
        <v>4</v>
      </c>
      <c r="N2518" t="str">
        <f t="shared" si="119"/>
        <v>Regular</v>
      </c>
    </row>
    <row r="2519" spans="1:14" x14ac:dyDescent="0.35">
      <c r="A2519">
        <v>2518</v>
      </c>
      <c r="B2519">
        <v>21</v>
      </c>
      <c r="C2519" t="str">
        <f t="shared" si="117"/>
        <v>Youth</v>
      </c>
      <c r="D2519" t="s">
        <v>16</v>
      </c>
      <c r="E2519" t="s">
        <v>17</v>
      </c>
      <c r="F2519" t="s">
        <v>18</v>
      </c>
      <c r="G2519">
        <v>46.83</v>
      </c>
      <c r="H2519" t="s">
        <v>19</v>
      </c>
      <c r="I2519" t="s">
        <v>15</v>
      </c>
      <c r="J2519">
        <v>5</v>
      </c>
      <c r="K2519">
        <v>16</v>
      </c>
      <c r="L2519">
        <f t="shared" si="118"/>
        <v>39.337199999999996</v>
      </c>
      <c r="M2519">
        <v>3</v>
      </c>
      <c r="N2519" t="str">
        <f t="shared" si="119"/>
        <v>New</v>
      </c>
    </row>
    <row r="2520" spans="1:14" x14ac:dyDescent="0.35">
      <c r="A2520">
        <v>2519</v>
      </c>
      <c r="B2520">
        <v>47</v>
      </c>
      <c r="C2520" t="str">
        <f t="shared" si="117"/>
        <v>Adult</v>
      </c>
      <c r="D2520" t="s">
        <v>16</v>
      </c>
      <c r="E2520" t="s">
        <v>33</v>
      </c>
      <c r="F2520" t="s">
        <v>34</v>
      </c>
      <c r="G2520">
        <v>43.11</v>
      </c>
      <c r="H2520" t="s">
        <v>19</v>
      </c>
      <c r="I2520" t="s">
        <v>15</v>
      </c>
      <c r="J2520">
        <v>3.6</v>
      </c>
      <c r="K2520">
        <v>16</v>
      </c>
      <c r="L2520">
        <f t="shared" si="118"/>
        <v>36.212399999999995</v>
      </c>
      <c r="M2520">
        <v>8</v>
      </c>
      <c r="N2520" t="str">
        <f t="shared" si="119"/>
        <v>Loyal</v>
      </c>
    </row>
    <row r="2521" spans="1:14" x14ac:dyDescent="0.35">
      <c r="A2521">
        <v>2520</v>
      </c>
      <c r="B2521">
        <v>55</v>
      </c>
      <c r="C2521" t="str">
        <f t="shared" si="117"/>
        <v>Adult</v>
      </c>
      <c r="D2521" t="s">
        <v>11</v>
      </c>
      <c r="E2521" t="s">
        <v>29</v>
      </c>
      <c r="F2521" t="s">
        <v>51</v>
      </c>
      <c r="G2521">
        <v>131.37</v>
      </c>
      <c r="H2521" t="s">
        <v>14</v>
      </c>
      <c r="I2521" t="s">
        <v>15</v>
      </c>
      <c r="J2521">
        <v>3.4</v>
      </c>
      <c r="K2521">
        <v>14</v>
      </c>
      <c r="L2521">
        <f t="shared" si="118"/>
        <v>112.9782</v>
      </c>
      <c r="M2521">
        <v>2</v>
      </c>
      <c r="N2521" t="str">
        <f t="shared" si="119"/>
        <v>New</v>
      </c>
    </row>
    <row r="2522" spans="1:14" x14ac:dyDescent="0.35">
      <c r="A2522">
        <v>2521</v>
      </c>
      <c r="B2522">
        <v>35</v>
      </c>
      <c r="C2522" t="str">
        <f t="shared" si="117"/>
        <v>Adult</v>
      </c>
      <c r="D2522" t="s">
        <v>11</v>
      </c>
      <c r="E2522" t="s">
        <v>33</v>
      </c>
      <c r="F2522" t="s">
        <v>34</v>
      </c>
      <c r="G2522">
        <v>216.78</v>
      </c>
      <c r="H2522" t="s">
        <v>14</v>
      </c>
      <c r="I2522" t="s">
        <v>15</v>
      </c>
      <c r="J2522">
        <v>3.7</v>
      </c>
      <c r="K2522">
        <v>10</v>
      </c>
      <c r="L2522">
        <f t="shared" si="118"/>
        <v>195.102</v>
      </c>
      <c r="M2522">
        <v>5</v>
      </c>
      <c r="N2522" t="str">
        <f t="shared" si="119"/>
        <v>Regular</v>
      </c>
    </row>
    <row r="2523" spans="1:14" x14ac:dyDescent="0.35">
      <c r="A2523">
        <v>2522</v>
      </c>
      <c r="B2523">
        <v>45</v>
      </c>
      <c r="C2523" t="str">
        <f t="shared" si="117"/>
        <v>Adult</v>
      </c>
      <c r="D2523" t="s">
        <v>11</v>
      </c>
      <c r="E2523" t="s">
        <v>25</v>
      </c>
      <c r="F2523" t="s">
        <v>26</v>
      </c>
      <c r="G2523">
        <v>21.14</v>
      </c>
      <c r="H2523" t="s">
        <v>24</v>
      </c>
      <c r="I2523" t="s">
        <v>15</v>
      </c>
      <c r="J2523">
        <v>3.7</v>
      </c>
      <c r="K2523">
        <v>22</v>
      </c>
      <c r="L2523">
        <f t="shared" si="118"/>
        <v>16.4892</v>
      </c>
      <c r="M2523">
        <v>6</v>
      </c>
      <c r="N2523" t="str">
        <f t="shared" si="119"/>
        <v>Regular</v>
      </c>
    </row>
    <row r="2524" spans="1:14" x14ac:dyDescent="0.35">
      <c r="A2524">
        <v>2523</v>
      </c>
      <c r="B2524">
        <v>69</v>
      </c>
      <c r="C2524" t="str">
        <f t="shared" si="117"/>
        <v>Senior</v>
      </c>
      <c r="D2524" t="s">
        <v>11</v>
      </c>
      <c r="E2524" t="s">
        <v>33</v>
      </c>
      <c r="F2524" t="s">
        <v>34</v>
      </c>
      <c r="G2524">
        <v>237.37</v>
      </c>
      <c r="H2524" t="s">
        <v>14</v>
      </c>
      <c r="I2524" t="s">
        <v>15</v>
      </c>
      <c r="J2524">
        <v>3.1</v>
      </c>
      <c r="K2524">
        <v>16</v>
      </c>
      <c r="L2524">
        <f t="shared" si="118"/>
        <v>199.39079999999998</v>
      </c>
      <c r="M2524">
        <v>3</v>
      </c>
      <c r="N2524" t="str">
        <f t="shared" si="119"/>
        <v>New</v>
      </c>
    </row>
    <row r="2525" spans="1:14" x14ac:dyDescent="0.35">
      <c r="A2525">
        <v>2524</v>
      </c>
      <c r="B2525">
        <v>35</v>
      </c>
      <c r="C2525" t="str">
        <f t="shared" si="117"/>
        <v>Adult</v>
      </c>
      <c r="D2525" t="s">
        <v>11</v>
      </c>
      <c r="E2525" t="s">
        <v>33</v>
      </c>
      <c r="F2525" t="s">
        <v>38</v>
      </c>
      <c r="G2525">
        <v>112.58</v>
      </c>
      <c r="H2525" t="s">
        <v>24</v>
      </c>
      <c r="I2525" t="s">
        <v>15</v>
      </c>
      <c r="J2525">
        <v>4</v>
      </c>
      <c r="K2525">
        <v>8</v>
      </c>
      <c r="L2525">
        <f t="shared" si="118"/>
        <v>103.5736</v>
      </c>
      <c r="M2525">
        <v>4</v>
      </c>
      <c r="N2525" t="str">
        <f t="shared" si="119"/>
        <v>Regular</v>
      </c>
    </row>
    <row r="2526" spans="1:14" x14ac:dyDescent="0.35">
      <c r="A2526">
        <v>2525</v>
      </c>
      <c r="B2526">
        <v>47</v>
      </c>
      <c r="C2526" t="str">
        <f t="shared" si="117"/>
        <v>Adult</v>
      </c>
      <c r="D2526" t="s">
        <v>16</v>
      </c>
      <c r="E2526" t="s">
        <v>25</v>
      </c>
      <c r="F2526" t="s">
        <v>47</v>
      </c>
      <c r="G2526">
        <v>38.119999999999997</v>
      </c>
      <c r="H2526" t="s">
        <v>14</v>
      </c>
      <c r="I2526" t="s">
        <v>37</v>
      </c>
      <c r="J2526">
        <v>3.7</v>
      </c>
      <c r="K2526">
        <v>8</v>
      </c>
      <c r="L2526">
        <f t="shared" si="118"/>
        <v>35.070399999999999</v>
      </c>
      <c r="M2526">
        <v>4</v>
      </c>
      <c r="N2526" t="str">
        <f t="shared" si="119"/>
        <v>Regular</v>
      </c>
    </row>
    <row r="2527" spans="1:14" x14ac:dyDescent="0.35">
      <c r="A2527">
        <v>2526</v>
      </c>
      <c r="B2527">
        <v>40</v>
      </c>
      <c r="C2527" t="str">
        <f t="shared" si="117"/>
        <v>Adult</v>
      </c>
      <c r="D2527" t="s">
        <v>11</v>
      </c>
      <c r="E2527" t="s">
        <v>29</v>
      </c>
      <c r="F2527" t="s">
        <v>30</v>
      </c>
      <c r="G2527">
        <v>79.73</v>
      </c>
      <c r="H2527" t="s">
        <v>14</v>
      </c>
      <c r="I2527" t="s">
        <v>15</v>
      </c>
      <c r="J2527">
        <v>3.5</v>
      </c>
      <c r="K2527">
        <v>12</v>
      </c>
      <c r="L2527">
        <f t="shared" si="118"/>
        <v>70.162400000000005</v>
      </c>
      <c r="M2527">
        <v>1</v>
      </c>
      <c r="N2527" t="str">
        <f t="shared" si="119"/>
        <v>New</v>
      </c>
    </row>
    <row r="2528" spans="1:14" x14ac:dyDescent="0.35">
      <c r="A2528">
        <v>2527</v>
      </c>
      <c r="B2528">
        <v>40</v>
      </c>
      <c r="C2528" t="str">
        <f t="shared" si="117"/>
        <v>Adult</v>
      </c>
      <c r="D2528" t="s">
        <v>11</v>
      </c>
      <c r="E2528" t="s">
        <v>25</v>
      </c>
      <c r="F2528" t="s">
        <v>26</v>
      </c>
      <c r="G2528">
        <v>23.39</v>
      </c>
      <c r="H2528" t="s">
        <v>24</v>
      </c>
      <c r="I2528" t="s">
        <v>37</v>
      </c>
      <c r="J2528">
        <v>3.7</v>
      </c>
      <c r="K2528">
        <v>18</v>
      </c>
      <c r="L2528">
        <f t="shared" si="118"/>
        <v>19.1798</v>
      </c>
      <c r="M2528">
        <v>4</v>
      </c>
      <c r="N2528" t="str">
        <f t="shared" si="119"/>
        <v>Regular</v>
      </c>
    </row>
    <row r="2529" spans="1:14" x14ac:dyDescent="0.35">
      <c r="A2529">
        <v>2528</v>
      </c>
      <c r="B2529">
        <v>49</v>
      </c>
      <c r="C2529" t="str">
        <f t="shared" si="117"/>
        <v>Adult</v>
      </c>
      <c r="D2529" t="s">
        <v>11</v>
      </c>
      <c r="E2529" t="s">
        <v>20</v>
      </c>
      <c r="F2529" t="s">
        <v>21</v>
      </c>
      <c r="G2529">
        <v>155.91999999999999</v>
      </c>
      <c r="H2529" t="s">
        <v>31</v>
      </c>
      <c r="I2529" t="s">
        <v>15</v>
      </c>
      <c r="J2529">
        <v>4.0999999999999996</v>
      </c>
      <c r="K2529">
        <v>8</v>
      </c>
      <c r="L2529">
        <f t="shared" si="118"/>
        <v>143.44639999999998</v>
      </c>
      <c r="M2529">
        <v>4</v>
      </c>
      <c r="N2529" t="str">
        <f t="shared" si="119"/>
        <v>Regular</v>
      </c>
    </row>
    <row r="2530" spans="1:14" x14ac:dyDescent="0.35">
      <c r="A2530">
        <v>2529</v>
      </c>
      <c r="B2530">
        <v>25</v>
      </c>
      <c r="C2530" t="str">
        <f t="shared" si="117"/>
        <v>Youth</v>
      </c>
      <c r="D2530" t="s">
        <v>16</v>
      </c>
      <c r="E2530" t="s">
        <v>27</v>
      </c>
      <c r="F2530" t="s">
        <v>53</v>
      </c>
      <c r="G2530">
        <v>1144.23</v>
      </c>
      <c r="H2530" t="s">
        <v>31</v>
      </c>
      <c r="I2530" t="s">
        <v>15</v>
      </c>
      <c r="J2530">
        <v>3.4</v>
      </c>
      <c r="K2530">
        <v>2</v>
      </c>
      <c r="L2530">
        <f t="shared" si="118"/>
        <v>1121.3453999999999</v>
      </c>
      <c r="M2530">
        <v>1</v>
      </c>
      <c r="N2530" t="str">
        <f t="shared" si="119"/>
        <v>New</v>
      </c>
    </row>
    <row r="2531" spans="1:14" x14ac:dyDescent="0.35">
      <c r="A2531">
        <v>2530</v>
      </c>
      <c r="B2531">
        <v>35</v>
      </c>
      <c r="C2531" t="str">
        <f t="shared" si="117"/>
        <v>Adult</v>
      </c>
      <c r="D2531" t="s">
        <v>16</v>
      </c>
      <c r="E2531" t="s">
        <v>17</v>
      </c>
      <c r="F2531" t="s">
        <v>35</v>
      </c>
      <c r="G2531">
        <v>180.47</v>
      </c>
      <c r="H2531" t="s">
        <v>24</v>
      </c>
      <c r="I2531" t="s">
        <v>15</v>
      </c>
      <c r="J2531">
        <v>4</v>
      </c>
      <c r="K2531">
        <v>12</v>
      </c>
      <c r="L2531">
        <f t="shared" si="118"/>
        <v>158.81360000000001</v>
      </c>
      <c r="M2531">
        <v>6</v>
      </c>
      <c r="N2531" t="str">
        <f t="shared" si="119"/>
        <v>Regular</v>
      </c>
    </row>
    <row r="2532" spans="1:14" x14ac:dyDescent="0.35">
      <c r="A2532">
        <v>2531</v>
      </c>
      <c r="B2532">
        <v>67</v>
      </c>
      <c r="C2532" t="str">
        <f t="shared" si="117"/>
        <v>Senior</v>
      </c>
      <c r="D2532" t="s">
        <v>11</v>
      </c>
      <c r="E2532" t="s">
        <v>22</v>
      </c>
      <c r="F2532" t="s">
        <v>43</v>
      </c>
      <c r="G2532">
        <v>127.66</v>
      </c>
      <c r="H2532" t="s">
        <v>31</v>
      </c>
      <c r="I2532" t="s">
        <v>15</v>
      </c>
      <c r="J2532">
        <v>4.3</v>
      </c>
      <c r="K2532">
        <v>15</v>
      </c>
      <c r="L2532">
        <f t="shared" si="118"/>
        <v>108.511</v>
      </c>
      <c r="M2532">
        <v>5</v>
      </c>
      <c r="N2532" t="str">
        <f t="shared" si="119"/>
        <v>Regular</v>
      </c>
    </row>
    <row r="2533" spans="1:14" x14ac:dyDescent="0.35">
      <c r="A2533">
        <v>2532</v>
      </c>
      <c r="B2533">
        <v>58</v>
      </c>
      <c r="C2533" t="str">
        <f t="shared" si="117"/>
        <v>Adult</v>
      </c>
      <c r="D2533" t="s">
        <v>11</v>
      </c>
      <c r="E2533" t="s">
        <v>25</v>
      </c>
      <c r="F2533" t="s">
        <v>54</v>
      </c>
      <c r="G2533">
        <v>24.67</v>
      </c>
      <c r="H2533" t="s">
        <v>19</v>
      </c>
      <c r="I2533" t="s">
        <v>15</v>
      </c>
      <c r="J2533">
        <v>5</v>
      </c>
      <c r="K2533">
        <v>8</v>
      </c>
      <c r="L2533">
        <f t="shared" si="118"/>
        <v>22.696400000000004</v>
      </c>
      <c r="M2533">
        <v>4</v>
      </c>
      <c r="N2533" t="str">
        <f t="shared" si="119"/>
        <v>Regular</v>
      </c>
    </row>
    <row r="2534" spans="1:14" x14ac:dyDescent="0.35">
      <c r="A2534">
        <v>2533</v>
      </c>
      <c r="B2534">
        <v>57</v>
      </c>
      <c r="C2534" t="str">
        <f t="shared" si="117"/>
        <v>Adult</v>
      </c>
      <c r="D2534" t="s">
        <v>16</v>
      </c>
      <c r="E2534" t="s">
        <v>22</v>
      </c>
      <c r="F2534" t="s">
        <v>23</v>
      </c>
      <c r="G2534">
        <v>146.46</v>
      </c>
      <c r="H2534" t="s">
        <v>19</v>
      </c>
      <c r="I2534" t="s">
        <v>15</v>
      </c>
      <c r="J2534">
        <v>4.4000000000000004</v>
      </c>
      <c r="K2534">
        <v>6</v>
      </c>
      <c r="L2534">
        <f t="shared" si="118"/>
        <v>137.67240000000001</v>
      </c>
      <c r="M2534">
        <v>3</v>
      </c>
      <c r="N2534" t="str">
        <f t="shared" si="119"/>
        <v>New</v>
      </c>
    </row>
    <row r="2535" spans="1:14" x14ac:dyDescent="0.35">
      <c r="A2535">
        <v>2534</v>
      </c>
      <c r="B2535">
        <v>44</v>
      </c>
      <c r="C2535" t="str">
        <f t="shared" si="117"/>
        <v>Adult</v>
      </c>
      <c r="D2535" t="s">
        <v>11</v>
      </c>
      <c r="E2535" t="s">
        <v>41</v>
      </c>
      <c r="F2535" t="s">
        <v>44</v>
      </c>
      <c r="G2535">
        <v>88.66</v>
      </c>
      <c r="H2535" t="s">
        <v>19</v>
      </c>
      <c r="I2535" t="s">
        <v>37</v>
      </c>
      <c r="J2535">
        <v>3.1</v>
      </c>
      <c r="K2535">
        <v>15</v>
      </c>
      <c r="L2535">
        <f t="shared" si="118"/>
        <v>75.36099999999999</v>
      </c>
      <c r="M2535">
        <v>5</v>
      </c>
      <c r="N2535" t="str">
        <f t="shared" si="119"/>
        <v>Regular</v>
      </c>
    </row>
    <row r="2536" spans="1:14" x14ac:dyDescent="0.35">
      <c r="A2536">
        <v>2535</v>
      </c>
      <c r="B2536">
        <v>22</v>
      </c>
      <c r="C2536" t="str">
        <f t="shared" si="117"/>
        <v>Youth</v>
      </c>
      <c r="D2536" t="s">
        <v>16</v>
      </c>
      <c r="E2536" t="s">
        <v>20</v>
      </c>
      <c r="F2536" t="s">
        <v>39</v>
      </c>
      <c r="G2536">
        <v>174.54</v>
      </c>
      <c r="H2536" t="s">
        <v>24</v>
      </c>
      <c r="I2536" t="s">
        <v>15</v>
      </c>
      <c r="J2536">
        <v>3.3</v>
      </c>
      <c r="K2536">
        <v>18</v>
      </c>
      <c r="L2536">
        <f t="shared" si="118"/>
        <v>143.12280000000001</v>
      </c>
      <c r="M2536">
        <v>9</v>
      </c>
      <c r="N2536" t="str">
        <f t="shared" si="119"/>
        <v>Loyal</v>
      </c>
    </row>
    <row r="2537" spans="1:14" x14ac:dyDescent="0.35">
      <c r="A2537">
        <v>2536</v>
      </c>
      <c r="B2537">
        <v>26</v>
      </c>
      <c r="C2537" t="str">
        <f t="shared" si="117"/>
        <v>Youth</v>
      </c>
      <c r="D2537" t="s">
        <v>16</v>
      </c>
      <c r="E2537" t="s">
        <v>27</v>
      </c>
      <c r="F2537" t="s">
        <v>49</v>
      </c>
      <c r="G2537">
        <v>689.29</v>
      </c>
      <c r="H2537" t="s">
        <v>14</v>
      </c>
      <c r="I2537" t="s">
        <v>15</v>
      </c>
      <c r="J2537">
        <v>3.7</v>
      </c>
      <c r="K2537">
        <v>4</v>
      </c>
      <c r="L2537">
        <f t="shared" si="118"/>
        <v>661.71839999999997</v>
      </c>
      <c r="M2537">
        <v>2</v>
      </c>
      <c r="N2537" t="str">
        <f t="shared" si="119"/>
        <v>New</v>
      </c>
    </row>
    <row r="2538" spans="1:14" x14ac:dyDescent="0.35">
      <c r="A2538">
        <v>2537</v>
      </c>
      <c r="B2538">
        <v>48</v>
      </c>
      <c r="C2538" t="str">
        <f t="shared" si="117"/>
        <v>Adult</v>
      </c>
      <c r="D2538" t="s">
        <v>11</v>
      </c>
      <c r="E2538" t="s">
        <v>41</v>
      </c>
      <c r="F2538" t="s">
        <v>45</v>
      </c>
      <c r="G2538">
        <v>102.81</v>
      </c>
      <c r="H2538" t="s">
        <v>31</v>
      </c>
      <c r="I2538" t="s">
        <v>15</v>
      </c>
      <c r="J2538">
        <v>2.8</v>
      </c>
      <c r="K2538">
        <v>13</v>
      </c>
      <c r="L2538">
        <f t="shared" si="118"/>
        <v>89.444699999999997</v>
      </c>
      <c r="M2538">
        <v>4</v>
      </c>
      <c r="N2538" t="str">
        <f t="shared" si="119"/>
        <v>Regular</v>
      </c>
    </row>
    <row r="2539" spans="1:14" x14ac:dyDescent="0.35">
      <c r="A2539">
        <v>2538</v>
      </c>
      <c r="B2539">
        <v>53</v>
      </c>
      <c r="C2539" t="str">
        <f t="shared" si="117"/>
        <v>Adult</v>
      </c>
      <c r="D2539" t="s">
        <v>11</v>
      </c>
      <c r="E2539" t="s">
        <v>41</v>
      </c>
      <c r="F2539" t="s">
        <v>44</v>
      </c>
      <c r="G2539">
        <v>98.94</v>
      </c>
      <c r="H2539" t="s">
        <v>14</v>
      </c>
      <c r="I2539" t="s">
        <v>15</v>
      </c>
      <c r="J2539">
        <v>4.8</v>
      </c>
      <c r="K2539">
        <v>15</v>
      </c>
      <c r="L2539">
        <f t="shared" si="118"/>
        <v>84.09899999999999</v>
      </c>
      <c r="M2539">
        <v>5</v>
      </c>
      <c r="N2539" t="str">
        <f t="shared" si="119"/>
        <v>Regular</v>
      </c>
    </row>
    <row r="2540" spans="1:14" x14ac:dyDescent="0.35">
      <c r="A2540">
        <v>2539</v>
      </c>
      <c r="B2540">
        <v>63</v>
      </c>
      <c r="C2540" t="str">
        <f t="shared" si="117"/>
        <v>Senior</v>
      </c>
      <c r="D2540" t="s">
        <v>16</v>
      </c>
      <c r="E2540" t="s">
        <v>17</v>
      </c>
      <c r="F2540" t="s">
        <v>35</v>
      </c>
      <c r="G2540">
        <v>111.55</v>
      </c>
      <c r="H2540" t="s">
        <v>24</v>
      </c>
      <c r="I2540" t="s">
        <v>15</v>
      </c>
      <c r="J2540">
        <v>3.4</v>
      </c>
      <c r="K2540">
        <v>12</v>
      </c>
      <c r="L2540">
        <f t="shared" si="118"/>
        <v>98.164000000000001</v>
      </c>
      <c r="M2540">
        <v>6</v>
      </c>
      <c r="N2540" t="str">
        <f t="shared" si="119"/>
        <v>Regular</v>
      </c>
    </row>
    <row r="2541" spans="1:14" x14ac:dyDescent="0.35">
      <c r="A2541">
        <v>2540</v>
      </c>
      <c r="B2541">
        <v>56</v>
      </c>
      <c r="C2541" t="str">
        <f t="shared" si="117"/>
        <v>Adult</v>
      </c>
      <c r="D2541" t="s">
        <v>11</v>
      </c>
      <c r="E2541" t="s">
        <v>33</v>
      </c>
      <c r="F2541" t="s">
        <v>34</v>
      </c>
      <c r="G2541">
        <v>97.22</v>
      </c>
      <c r="H2541" t="s">
        <v>14</v>
      </c>
      <c r="I2541" t="s">
        <v>15</v>
      </c>
      <c r="J2541">
        <v>2.8</v>
      </c>
      <c r="K2541">
        <v>4</v>
      </c>
      <c r="L2541">
        <f t="shared" si="118"/>
        <v>93.331199999999995</v>
      </c>
      <c r="M2541">
        <v>2</v>
      </c>
      <c r="N2541" t="str">
        <f t="shared" si="119"/>
        <v>New</v>
      </c>
    </row>
    <row r="2542" spans="1:14" x14ac:dyDescent="0.35">
      <c r="A2542">
        <v>2541</v>
      </c>
      <c r="B2542">
        <v>61</v>
      </c>
      <c r="C2542" t="str">
        <f t="shared" si="117"/>
        <v>Senior</v>
      </c>
      <c r="D2542" t="s">
        <v>11</v>
      </c>
      <c r="E2542" t="s">
        <v>20</v>
      </c>
      <c r="F2542" t="s">
        <v>36</v>
      </c>
      <c r="G2542">
        <v>25.02</v>
      </c>
      <c r="H2542" t="s">
        <v>19</v>
      </c>
      <c r="I2542" t="s">
        <v>37</v>
      </c>
      <c r="J2542">
        <v>4.2</v>
      </c>
      <c r="K2542">
        <v>16</v>
      </c>
      <c r="L2542">
        <f t="shared" si="118"/>
        <v>21.0168</v>
      </c>
      <c r="M2542">
        <v>3</v>
      </c>
      <c r="N2542" t="str">
        <f t="shared" si="119"/>
        <v>New</v>
      </c>
    </row>
    <row r="2543" spans="1:14" x14ac:dyDescent="0.35">
      <c r="A2543">
        <v>2542</v>
      </c>
      <c r="B2543">
        <v>36</v>
      </c>
      <c r="C2543" t="str">
        <f t="shared" si="117"/>
        <v>Adult</v>
      </c>
      <c r="D2543" t="s">
        <v>11</v>
      </c>
      <c r="E2543" t="s">
        <v>33</v>
      </c>
      <c r="F2543" t="s">
        <v>40</v>
      </c>
      <c r="G2543">
        <v>96.04</v>
      </c>
      <c r="H2543" t="s">
        <v>14</v>
      </c>
      <c r="I2543" t="s">
        <v>37</v>
      </c>
      <c r="J2543">
        <v>2.8</v>
      </c>
      <c r="K2543">
        <v>20</v>
      </c>
      <c r="L2543">
        <f t="shared" si="118"/>
        <v>76.832000000000008</v>
      </c>
      <c r="M2543">
        <v>5</v>
      </c>
      <c r="N2543" t="str">
        <f t="shared" si="119"/>
        <v>Regular</v>
      </c>
    </row>
    <row r="2544" spans="1:14" x14ac:dyDescent="0.35">
      <c r="A2544">
        <v>2543</v>
      </c>
      <c r="B2544">
        <v>25</v>
      </c>
      <c r="C2544" t="str">
        <f t="shared" si="117"/>
        <v>Youth</v>
      </c>
      <c r="D2544" t="s">
        <v>16</v>
      </c>
      <c r="E2544" t="s">
        <v>33</v>
      </c>
      <c r="F2544" t="s">
        <v>38</v>
      </c>
      <c r="G2544">
        <v>77.540000000000006</v>
      </c>
      <c r="H2544" t="s">
        <v>31</v>
      </c>
      <c r="I2544" t="s">
        <v>15</v>
      </c>
      <c r="J2544">
        <v>4</v>
      </c>
      <c r="K2544">
        <v>15</v>
      </c>
      <c r="L2544">
        <f t="shared" si="118"/>
        <v>65.909000000000006</v>
      </c>
      <c r="M2544">
        <v>5</v>
      </c>
      <c r="N2544" t="str">
        <f t="shared" si="119"/>
        <v>Regular</v>
      </c>
    </row>
    <row r="2545" spans="1:14" x14ac:dyDescent="0.35">
      <c r="A2545">
        <v>2544</v>
      </c>
      <c r="B2545">
        <v>23</v>
      </c>
      <c r="C2545" t="str">
        <f t="shared" si="117"/>
        <v>Youth</v>
      </c>
      <c r="D2545" t="s">
        <v>11</v>
      </c>
      <c r="E2545" t="s">
        <v>33</v>
      </c>
      <c r="F2545" t="s">
        <v>38</v>
      </c>
      <c r="G2545">
        <v>128.30000000000001</v>
      </c>
      <c r="H2545" t="s">
        <v>14</v>
      </c>
      <c r="I2545" t="s">
        <v>15</v>
      </c>
      <c r="J2545">
        <v>2.7</v>
      </c>
      <c r="K2545">
        <v>10</v>
      </c>
      <c r="L2545">
        <f t="shared" si="118"/>
        <v>115.47000000000001</v>
      </c>
      <c r="M2545">
        <v>5</v>
      </c>
      <c r="N2545" t="str">
        <f t="shared" si="119"/>
        <v>Regular</v>
      </c>
    </row>
    <row r="2546" spans="1:14" x14ac:dyDescent="0.35">
      <c r="A2546">
        <v>2545</v>
      </c>
      <c r="B2546">
        <v>64</v>
      </c>
      <c r="C2546" t="str">
        <f t="shared" si="117"/>
        <v>Senior</v>
      </c>
      <c r="D2546" t="s">
        <v>11</v>
      </c>
      <c r="E2546" t="s">
        <v>33</v>
      </c>
      <c r="F2546" t="s">
        <v>40</v>
      </c>
      <c r="G2546">
        <v>123.62</v>
      </c>
      <c r="H2546" t="s">
        <v>24</v>
      </c>
      <c r="I2546" t="s">
        <v>15</v>
      </c>
      <c r="J2546">
        <v>4.2</v>
      </c>
      <c r="K2546">
        <v>10</v>
      </c>
      <c r="L2546">
        <f t="shared" si="118"/>
        <v>111.25800000000001</v>
      </c>
      <c r="M2546">
        <v>5</v>
      </c>
      <c r="N2546" t="str">
        <f t="shared" si="119"/>
        <v>Regular</v>
      </c>
    </row>
    <row r="2547" spans="1:14" x14ac:dyDescent="0.35">
      <c r="A2547">
        <v>2546</v>
      </c>
      <c r="B2547">
        <v>54</v>
      </c>
      <c r="C2547" t="str">
        <f t="shared" si="117"/>
        <v>Adult</v>
      </c>
      <c r="D2547" t="s">
        <v>16</v>
      </c>
      <c r="E2547" t="s">
        <v>20</v>
      </c>
      <c r="F2547" t="s">
        <v>36</v>
      </c>
      <c r="G2547">
        <v>113.57</v>
      </c>
      <c r="H2547" t="s">
        <v>14</v>
      </c>
      <c r="I2547" t="s">
        <v>15</v>
      </c>
      <c r="J2547">
        <v>3</v>
      </c>
      <c r="K2547">
        <v>15</v>
      </c>
      <c r="L2547">
        <f t="shared" si="118"/>
        <v>96.534499999999994</v>
      </c>
      <c r="M2547">
        <v>5</v>
      </c>
      <c r="N2547" t="str">
        <f t="shared" si="119"/>
        <v>Regular</v>
      </c>
    </row>
    <row r="2548" spans="1:14" x14ac:dyDescent="0.35">
      <c r="A2548">
        <v>2547</v>
      </c>
      <c r="B2548">
        <v>22</v>
      </c>
      <c r="C2548" t="str">
        <f t="shared" si="117"/>
        <v>Youth</v>
      </c>
      <c r="D2548" t="s">
        <v>11</v>
      </c>
      <c r="E2548" t="s">
        <v>12</v>
      </c>
      <c r="F2548" t="s">
        <v>50</v>
      </c>
      <c r="G2548">
        <v>76.34</v>
      </c>
      <c r="H2548" t="s">
        <v>31</v>
      </c>
      <c r="I2548" t="s">
        <v>37</v>
      </c>
      <c r="J2548">
        <v>3.9</v>
      </c>
      <c r="K2548">
        <v>17</v>
      </c>
      <c r="L2548">
        <f t="shared" si="118"/>
        <v>63.362200000000001</v>
      </c>
      <c r="M2548">
        <v>6</v>
      </c>
      <c r="N2548" t="str">
        <f t="shared" si="119"/>
        <v>Regular</v>
      </c>
    </row>
    <row r="2549" spans="1:14" x14ac:dyDescent="0.35">
      <c r="A2549">
        <v>2548</v>
      </c>
      <c r="B2549">
        <v>61</v>
      </c>
      <c r="C2549" t="str">
        <f t="shared" si="117"/>
        <v>Senior</v>
      </c>
      <c r="D2549" t="s">
        <v>16</v>
      </c>
      <c r="E2549" t="s">
        <v>17</v>
      </c>
      <c r="F2549" t="s">
        <v>35</v>
      </c>
      <c r="G2549">
        <v>128.18</v>
      </c>
      <c r="H2549" t="s">
        <v>19</v>
      </c>
      <c r="I2549" t="s">
        <v>15</v>
      </c>
      <c r="J2549">
        <v>3.6</v>
      </c>
      <c r="K2549">
        <v>16</v>
      </c>
      <c r="L2549">
        <f t="shared" si="118"/>
        <v>107.6712</v>
      </c>
      <c r="M2549">
        <v>3</v>
      </c>
      <c r="N2549" t="str">
        <f t="shared" si="119"/>
        <v>New</v>
      </c>
    </row>
    <row r="2550" spans="1:14" x14ac:dyDescent="0.35">
      <c r="A2550">
        <v>2549</v>
      </c>
      <c r="B2550">
        <v>26</v>
      </c>
      <c r="C2550" t="str">
        <f t="shared" si="117"/>
        <v>Youth</v>
      </c>
      <c r="D2550" t="s">
        <v>16</v>
      </c>
      <c r="E2550" t="s">
        <v>20</v>
      </c>
      <c r="F2550" t="s">
        <v>21</v>
      </c>
      <c r="G2550">
        <v>98.3</v>
      </c>
      <c r="H2550" t="s">
        <v>14</v>
      </c>
      <c r="I2550" t="s">
        <v>15</v>
      </c>
      <c r="J2550">
        <v>3.9</v>
      </c>
      <c r="K2550">
        <v>16</v>
      </c>
      <c r="L2550">
        <f t="shared" si="118"/>
        <v>82.571999999999989</v>
      </c>
      <c r="M2550">
        <v>3</v>
      </c>
      <c r="N2550" t="str">
        <f t="shared" si="119"/>
        <v>New</v>
      </c>
    </row>
    <row r="2551" spans="1:14" x14ac:dyDescent="0.35">
      <c r="A2551">
        <v>2550</v>
      </c>
      <c r="B2551">
        <v>42</v>
      </c>
      <c r="C2551" t="str">
        <f t="shared" si="117"/>
        <v>Adult</v>
      </c>
      <c r="D2551" t="s">
        <v>11</v>
      </c>
      <c r="E2551" t="s">
        <v>29</v>
      </c>
      <c r="F2551" t="s">
        <v>55</v>
      </c>
      <c r="G2551">
        <v>74.72</v>
      </c>
      <c r="H2551" t="s">
        <v>19</v>
      </c>
      <c r="I2551" t="s">
        <v>15</v>
      </c>
      <c r="J2551">
        <v>4.3</v>
      </c>
      <c r="K2551">
        <v>25</v>
      </c>
      <c r="L2551">
        <f t="shared" si="118"/>
        <v>56.04</v>
      </c>
      <c r="M2551">
        <v>10</v>
      </c>
      <c r="N2551" t="str">
        <f t="shared" si="119"/>
        <v>Loyal</v>
      </c>
    </row>
    <row r="2552" spans="1:14" x14ac:dyDescent="0.35">
      <c r="A2552">
        <v>2551</v>
      </c>
      <c r="B2552">
        <v>56</v>
      </c>
      <c r="C2552" t="str">
        <f t="shared" si="117"/>
        <v>Adult</v>
      </c>
      <c r="D2552" t="s">
        <v>11</v>
      </c>
      <c r="E2552" t="s">
        <v>41</v>
      </c>
      <c r="F2552" t="s">
        <v>45</v>
      </c>
      <c r="G2552">
        <v>104.87</v>
      </c>
      <c r="H2552" t="s">
        <v>14</v>
      </c>
      <c r="I2552" t="s">
        <v>15</v>
      </c>
      <c r="J2552">
        <v>4.4000000000000004</v>
      </c>
      <c r="K2552">
        <v>22</v>
      </c>
      <c r="L2552">
        <f t="shared" si="118"/>
        <v>81.798600000000008</v>
      </c>
      <c r="M2552">
        <v>11</v>
      </c>
      <c r="N2552" t="str">
        <f t="shared" si="119"/>
        <v>Loyal</v>
      </c>
    </row>
    <row r="2553" spans="1:14" x14ac:dyDescent="0.35">
      <c r="A2553">
        <v>2552</v>
      </c>
      <c r="B2553">
        <v>54</v>
      </c>
      <c r="C2553" t="str">
        <f t="shared" si="117"/>
        <v>Adult</v>
      </c>
      <c r="D2553" t="s">
        <v>11</v>
      </c>
      <c r="E2553" t="s">
        <v>12</v>
      </c>
      <c r="F2553" t="s">
        <v>56</v>
      </c>
      <c r="G2553">
        <v>54.62</v>
      </c>
      <c r="H2553" t="s">
        <v>31</v>
      </c>
      <c r="I2553" t="s">
        <v>37</v>
      </c>
      <c r="J2553">
        <v>3.7</v>
      </c>
      <c r="K2553">
        <v>8</v>
      </c>
      <c r="L2553">
        <f t="shared" si="118"/>
        <v>50.250399999999999</v>
      </c>
      <c r="M2553">
        <v>4</v>
      </c>
      <c r="N2553" t="str">
        <f t="shared" si="119"/>
        <v>Regular</v>
      </c>
    </row>
    <row r="2554" spans="1:14" x14ac:dyDescent="0.35">
      <c r="A2554">
        <v>2553</v>
      </c>
      <c r="B2554">
        <v>50</v>
      </c>
      <c r="C2554" t="str">
        <f t="shared" si="117"/>
        <v>Adult</v>
      </c>
      <c r="D2554" t="s">
        <v>11</v>
      </c>
      <c r="E2554" t="s">
        <v>12</v>
      </c>
      <c r="F2554" t="s">
        <v>56</v>
      </c>
      <c r="G2554">
        <v>161.18</v>
      </c>
      <c r="H2554" t="s">
        <v>31</v>
      </c>
      <c r="I2554" t="s">
        <v>15</v>
      </c>
      <c r="J2554">
        <v>3.9</v>
      </c>
      <c r="K2554">
        <v>22</v>
      </c>
      <c r="L2554">
        <f t="shared" si="118"/>
        <v>125.72040000000001</v>
      </c>
      <c r="M2554">
        <v>6</v>
      </c>
      <c r="N2554" t="str">
        <f t="shared" si="119"/>
        <v>Regular</v>
      </c>
    </row>
    <row r="2555" spans="1:14" x14ac:dyDescent="0.35">
      <c r="A2555">
        <v>2554</v>
      </c>
      <c r="B2555">
        <v>52</v>
      </c>
      <c r="C2555" t="str">
        <f t="shared" si="117"/>
        <v>Adult</v>
      </c>
      <c r="D2555" t="s">
        <v>11</v>
      </c>
      <c r="E2555" t="s">
        <v>25</v>
      </c>
      <c r="F2555" t="s">
        <v>54</v>
      </c>
      <c r="G2555">
        <v>36.75</v>
      </c>
      <c r="H2555" t="s">
        <v>14</v>
      </c>
      <c r="I2555" t="s">
        <v>15</v>
      </c>
      <c r="J2555">
        <v>4</v>
      </c>
      <c r="K2555">
        <v>8</v>
      </c>
      <c r="L2555">
        <f t="shared" si="118"/>
        <v>33.81</v>
      </c>
      <c r="M2555">
        <v>4</v>
      </c>
      <c r="N2555" t="str">
        <f t="shared" si="119"/>
        <v>Regular</v>
      </c>
    </row>
    <row r="2556" spans="1:14" x14ac:dyDescent="0.35">
      <c r="A2556">
        <v>2555</v>
      </c>
      <c r="B2556">
        <v>41</v>
      </c>
      <c r="C2556" t="str">
        <f t="shared" si="117"/>
        <v>Adult</v>
      </c>
      <c r="D2556" t="s">
        <v>11</v>
      </c>
      <c r="E2556" t="s">
        <v>12</v>
      </c>
      <c r="F2556" t="s">
        <v>50</v>
      </c>
      <c r="G2556">
        <v>101.23</v>
      </c>
      <c r="H2556" t="s">
        <v>19</v>
      </c>
      <c r="I2556" t="s">
        <v>15</v>
      </c>
      <c r="J2556">
        <v>2.8</v>
      </c>
      <c r="K2556">
        <v>15</v>
      </c>
      <c r="L2556">
        <f t="shared" si="118"/>
        <v>86.045500000000004</v>
      </c>
      <c r="M2556">
        <v>5</v>
      </c>
      <c r="N2556" t="str">
        <f t="shared" si="119"/>
        <v>Regular</v>
      </c>
    </row>
    <row r="2557" spans="1:14" x14ac:dyDescent="0.35">
      <c r="A2557">
        <v>2556</v>
      </c>
      <c r="B2557">
        <v>63</v>
      </c>
      <c r="C2557" t="str">
        <f t="shared" si="117"/>
        <v>Senior</v>
      </c>
      <c r="D2557" t="s">
        <v>11</v>
      </c>
      <c r="E2557" t="s">
        <v>25</v>
      </c>
      <c r="F2557" t="s">
        <v>57</v>
      </c>
      <c r="G2557">
        <v>69.8</v>
      </c>
      <c r="H2557" t="s">
        <v>14</v>
      </c>
      <c r="I2557" t="s">
        <v>37</v>
      </c>
      <c r="J2557">
        <v>5</v>
      </c>
      <c r="K2557">
        <v>10</v>
      </c>
      <c r="L2557">
        <f t="shared" si="118"/>
        <v>62.82</v>
      </c>
      <c r="M2557">
        <v>5</v>
      </c>
      <c r="N2557" t="str">
        <f t="shared" si="119"/>
        <v>Regular</v>
      </c>
    </row>
    <row r="2558" spans="1:14" x14ac:dyDescent="0.35">
      <c r="A2558">
        <v>2557</v>
      </c>
      <c r="B2558">
        <v>57</v>
      </c>
      <c r="C2558" t="str">
        <f t="shared" si="117"/>
        <v>Adult</v>
      </c>
      <c r="D2558" t="s">
        <v>11</v>
      </c>
      <c r="E2558" t="s">
        <v>25</v>
      </c>
      <c r="F2558" t="s">
        <v>57</v>
      </c>
      <c r="G2558">
        <v>56.76</v>
      </c>
      <c r="H2558" t="s">
        <v>31</v>
      </c>
      <c r="I2558" t="s">
        <v>15</v>
      </c>
      <c r="J2558">
        <v>3.9</v>
      </c>
      <c r="K2558">
        <v>22</v>
      </c>
      <c r="L2558">
        <f t="shared" si="118"/>
        <v>44.272799999999997</v>
      </c>
      <c r="M2558">
        <v>6</v>
      </c>
      <c r="N2558" t="str">
        <f t="shared" si="119"/>
        <v>Regular</v>
      </c>
    </row>
    <row r="2559" spans="1:14" x14ac:dyDescent="0.35">
      <c r="A2559">
        <v>2558</v>
      </c>
      <c r="B2559">
        <v>44</v>
      </c>
      <c r="C2559" t="str">
        <f t="shared" si="117"/>
        <v>Adult</v>
      </c>
      <c r="D2559" t="s">
        <v>11</v>
      </c>
      <c r="E2559" t="s">
        <v>20</v>
      </c>
      <c r="F2559" t="s">
        <v>39</v>
      </c>
      <c r="G2559">
        <v>192.76</v>
      </c>
      <c r="H2559" t="s">
        <v>14</v>
      </c>
      <c r="I2559" t="s">
        <v>15</v>
      </c>
      <c r="J2559">
        <v>3.5</v>
      </c>
      <c r="K2559">
        <v>15</v>
      </c>
      <c r="L2559">
        <f t="shared" si="118"/>
        <v>163.84599999999998</v>
      </c>
      <c r="M2559">
        <v>5</v>
      </c>
      <c r="N2559" t="str">
        <f t="shared" si="119"/>
        <v>Regular</v>
      </c>
    </row>
    <row r="2560" spans="1:14" x14ac:dyDescent="0.35">
      <c r="A2560">
        <v>2559</v>
      </c>
      <c r="B2560">
        <v>47</v>
      </c>
      <c r="C2560" t="str">
        <f t="shared" si="117"/>
        <v>Adult</v>
      </c>
      <c r="D2560" t="s">
        <v>16</v>
      </c>
      <c r="E2560" t="s">
        <v>20</v>
      </c>
      <c r="F2560" t="s">
        <v>39</v>
      </c>
      <c r="G2560">
        <v>133.84</v>
      </c>
      <c r="H2560" t="s">
        <v>31</v>
      </c>
      <c r="I2560" t="s">
        <v>15</v>
      </c>
      <c r="J2560">
        <v>5</v>
      </c>
      <c r="K2560">
        <v>14</v>
      </c>
      <c r="L2560">
        <f t="shared" si="118"/>
        <v>115.1024</v>
      </c>
      <c r="M2560">
        <v>7</v>
      </c>
      <c r="N2560" t="str">
        <f t="shared" si="119"/>
        <v>Regular</v>
      </c>
    </row>
    <row r="2561" spans="1:14" x14ac:dyDescent="0.35">
      <c r="A2561">
        <v>2560</v>
      </c>
      <c r="B2561">
        <v>66</v>
      </c>
      <c r="C2561" t="str">
        <f t="shared" si="117"/>
        <v>Senior</v>
      </c>
      <c r="D2561" t="s">
        <v>11</v>
      </c>
      <c r="E2561" t="s">
        <v>12</v>
      </c>
      <c r="F2561" t="s">
        <v>50</v>
      </c>
      <c r="G2561">
        <v>48.53</v>
      </c>
      <c r="H2561" t="s">
        <v>31</v>
      </c>
      <c r="I2561" t="s">
        <v>15</v>
      </c>
      <c r="J2561">
        <v>2.9</v>
      </c>
      <c r="K2561">
        <v>11</v>
      </c>
      <c r="L2561">
        <f t="shared" si="118"/>
        <v>43.191700000000004</v>
      </c>
      <c r="M2561">
        <v>3</v>
      </c>
      <c r="N2561" t="str">
        <f t="shared" si="119"/>
        <v>New</v>
      </c>
    </row>
    <row r="2562" spans="1:14" x14ac:dyDescent="0.35">
      <c r="A2562">
        <v>2561</v>
      </c>
      <c r="B2562">
        <v>65</v>
      </c>
      <c r="C2562" t="str">
        <f t="shared" si="117"/>
        <v>Senior</v>
      </c>
      <c r="D2562" t="s">
        <v>11</v>
      </c>
      <c r="E2562" t="s">
        <v>22</v>
      </c>
      <c r="F2562" t="s">
        <v>52</v>
      </c>
      <c r="G2562">
        <v>157.49</v>
      </c>
      <c r="H2562" t="s">
        <v>19</v>
      </c>
      <c r="I2562" t="s">
        <v>15</v>
      </c>
      <c r="J2562">
        <v>3.8</v>
      </c>
      <c r="K2562">
        <v>17</v>
      </c>
      <c r="L2562">
        <f t="shared" si="118"/>
        <v>130.7167</v>
      </c>
      <c r="M2562">
        <v>6</v>
      </c>
      <c r="N2562" t="str">
        <f t="shared" si="119"/>
        <v>Regular</v>
      </c>
    </row>
    <row r="2563" spans="1:14" x14ac:dyDescent="0.35">
      <c r="A2563">
        <v>2562</v>
      </c>
      <c r="B2563">
        <v>69</v>
      </c>
      <c r="C2563" t="str">
        <f t="shared" ref="C2563:C2626" si="120">IF(B2563&lt;=30,"Youth",IF(B2563&lt;=45,"Adult",IF(B2563&lt;=60,"Adult","Senior")))</f>
        <v>Senior</v>
      </c>
      <c r="D2563" t="s">
        <v>16</v>
      </c>
      <c r="E2563" t="s">
        <v>33</v>
      </c>
      <c r="F2563" t="s">
        <v>34</v>
      </c>
      <c r="G2563">
        <v>157.19999999999999</v>
      </c>
      <c r="H2563" t="s">
        <v>24</v>
      </c>
      <c r="I2563" t="s">
        <v>15</v>
      </c>
      <c r="J2563">
        <v>4.4000000000000004</v>
      </c>
      <c r="K2563">
        <v>11</v>
      </c>
      <c r="L2563">
        <f t="shared" ref="L2563:L2626" si="121">G2563*(1-K2563/100)</f>
        <v>139.90799999999999</v>
      </c>
      <c r="M2563">
        <v>3</v>
      </c>
      <c r="N2563" t="str">
        <f t="shared" ref="N2563:N2626" si="122">IF(M2563&lt;=3,"New",IF(M2563&lt;=7,"Regular","Loyal"))</f>
        <v>New</v>
      </c>
    </row>
    <row r="2564" spans="1:14" x14ac:dyDescent="0.35">
      <c r="A2564">
        <v>2563</v>
      </c>
      <c r="B2564">
        <v>45</v>
      </c>
      <c r="C2564" t="str">
        <f t="shared" si="120"/>
        <v>Adult</v>
      </c>
      <c r="D2564" t="s">
        <v>11</v>
      </c>
      <c r="E2564" t="s">
        <v>29</v>
      </c>
      <c r="F2564" t="s">
        <v>55</v>
      </c>
      <c r="G2564">
        <v>59.66</v>
      </c>
      <c r="H2564" t="s">
        <v>14</v>
      </c>
      <c r="I2564" t="s">
        <v>15</v>
      </c>
      <c r="J2564">
        <v>3.8</v>
      </c>
      <c r="K2564">
        <v>11</v>
      </c>
      <c r="L2564">
        <f t="shared" si="121"/>
        <v>53.0974</v>
      </c>
      <c r="M2564">
        <v>3</v>
      </c>
      <c r="N2564" t="str">
        <f t="shared" si="122"/>
        <v>New</v>
      </c>
    </row>
    <row r="2565" spans="1:14" x14ac:dyDescent="0.35">
      <c r="A2565">
        <v>2564</v>
      </c>
      <c r="B2565">
        <v>37</v>
      </c>
      <c r="C2565" t="str">
        <f t="shared" si="120"/>
        <v>Adult</v>
      </c>
      <c r="D2565" t="s">
        <v>11</v>
      </c>
      <c r="E2565" t="s">
        <v>41</v>
      </c>
      <c r="F2565" t="s">
        <v>42</v>
      </c>
      <c r="G2565">
        <v>181.19</v>
      </c>
      <c r="H2565" t="s">
        <v>31</v>
      </c>
      <c r="I2565" t="s">
        <v>15</v>
      </c>
      <c r="J2565">
        <v>4.3</v>
      </c>
      <c r="K2565">
        <v>22</v>
      </c>
      <c r="L2565">
        <f t="shared" si="121"/>
        <v>141.32820000000001</v>
      </c>
      <c r="M2565">
        <v>6</v>
      </c>
      <c r="N2565" t="str">
        <f t="shared" si="122"/>
        <v>Regular</v>
      </c>
    </row>
    <row r="2566" spans="1:14" x14ac:dyDescent="0.35">
      <c r="A2566">
        <v>2565</v>
      </c>
      <c r="B2566">
        <v>47</v>
      </c>
      <c r="C2566" t="str">
        <f t="shared" si="120"/>
        <v>Adult</v>
      </c>
      <c r="D2566" t="s">
        <v>11</v>
      </c>
      <c r="E2566" t="s">
        <v>41</v>
      </c>
      <c r="F2566" t="s">
        <v>46</v>
      </c>
      <c r="G2566">
        <v>123.24</v>
      </c>
      <c r="H2566" t="s">
        <v>19</v>
      </c>
      <c r="I2566" t="s">
        <v>15</v>
      </c>
      <c r="J2566">
        <v>3.6</v>
      </c>
      <c r="K2566">
        <v>10</v>
      </c>
      <c r="L2566">
        <f t="shared" si="121"/>
        <v>110.916</v>
      </c>
      <c r="M2566">
        <v>5</v>
      </c>
      <c r="N2566" t="str">
        <f t="shared" si="122"/>
        <v>Regular</v>
      </c>
    </row>
    <row r="2567" spans="1:14" x14ac:dyDescent="0.35">
      <c r="A2567">
        <v>2566</v>
      </c>
      <c r="B2567">
        <v>33</v>
      </c>
      <c r="C2567" t="str">
        <f t="shared" si="120"/>
        <v>Adult</v>
      </c>
      <c r="D2567" t="s">
        <v>11</v>
      </c>
      <c r="E2567" t="s">
        <v>41</v>
      </c>
      <c r="F2567" t="s">
        <v>46</v>
      </c>
      <c r="G2567">
        <v>53.56</v>
      </c>
      <c r="H2567" t="s">
        <v>19</v>
      </c>
      <c r="I2567" t="s">
        <v>15</v>
      </c>
      <c r="J2567">
        <v>3.1</v>
      </c>
      <c r="K2567">
        <v>10</v>
      </c>
      <c r="L2567">
        <f t="shared" si="121"/>
        <v>48.204000000000001</v>
      </c>
      <c r="M2567">
        <v>5</v>
      </c>
      <c r="N2567" t="str">
        <f t="shared" si="122"/>
        <v>Regular</v>
      </c>
    </row>
    <row r="2568" spans="1:14" x14ac:dyDescent="0.35">
      <c r="A2568">
        <v>2567</v>
      </c>
      <c r="B2568">
        <v>44</v>
      </c>
      <c r="C2568" t="str">
        <f t="shared" si="120"/>
        <v>Adult</v>
      </c>
      <c r="D2568" t="s">
        <v>11</v>
      </c>
      <c r="E2568" t="s">
        <v>12</v>
      </c>
      <c r="F2568" t="s">
        <v>13</v>
      </c>
      <c r="G2568">
        <v>153.44999999999999</v>
      </c>
      <c r="H2568" t="s">
        <v>19</v>
      </c>
      <c r="I2568" t="s">
        <v>15</v>
      </c>
      <c r="J2568">
        <v>4.0999999999999996</v>
      </c>
      <c r="K2568">
        <v>13</v>
      </c>
      <c r="L2568">
        <f t="shared" si="121"/>
        <v>133.50149999999999</v>
      </c>
      <c r="M2568">
        <v>4</v>
      </c>
      <c r="N2568" t="str">
        <f t="shared" si="122"/>
        <v>Regular</v>
      </c>
    </row>
    <row r="2569" spans="1:14" x14ac:dyDescent="0.35">
      <c r="A2569">
        <v>2568</v>
      </c>
      <c r="B2569">
        <v>30</v>
      </c>
      <c r="C2569" t="str">
        <f t="shared" si="120"/>
        <v>Youth</v>
      </c>
      <c r="D2569" t="s">
        <v>11</v>
      </c>
      <c r="E2569" t="s">
        <v>33</v>
      </c>
      <c r="F2569" t="s">
        <v>40</v>
      </c>
      <c r="G2569">
        <v>136.93</v>
      </c>
      <c r="H2569" t="s">
        <v>31</v>
      </c>
      <c r="I2569" t="s">
        <v>15</v>
      </c>
      <c r="J2569">
        <v>5</v>
      </c>
      <c r="K2569">
        <v>9</v>
      </c>
      <c r="L2569">
        <f t="shared" si="121"/>
        <v>124.6063</v>
      </c>
      <c r="M2569">
        <v>2</v>
      </c>
      <c r="N2569" t="str">
        <f t="shared" si="122"/>
        <v>New</v>
      </c>
    </row>
    <row r="2570" spans="1:14" x14ac:dyDescent="0.35">
      <c r="A2570">
        <v>2569</v>
      </c>
      <c r="B2570">
        <v>70</v>
      </c>
      <c r="C2570" t="str">
        <f t="shared" si="120"/>
        <v>Senior</v>
      </c>
      <c r="D2570" t="s">
        <v>16</v>
      </c>
      <c r="E2570" t="s">
        <v>17</v>
      </c>
      <c r="F2570" t="s">
        <v>42</v>
      </c>
      <c r="G2570">
        <v>198.86</v>
      </c>
      <c r="H2570" t="s">
        <v>19</v>
      </c>
      <c r="I2570" t="s">
        <v>15</v>
      </c>
      <c r="J2570">
        <v>4.0999999999999996</v>
      </c>
      <c r="K2570">
        <v>8</v>
      </c>
      <c r="L2570">
        <f t="shared" si="121"/>
        <v>182.95120000000003</v>
      </c>
      <c r="M2570">
        <v>4</v>
      </c>
      <c r="N2570" t="str">
        <f t="shared" si="122"/>
        <v>Regular</v>
      </c>
    </row>
    <row r="2571" spans="1:14" x14ac:dyDescent="0.35">
      <c r="A2571">
        <v>2570</v>
      </c>
      <c r="B2571">
        <v>44</v>
      </c>
      <c r="C2571" t="str">
        <f t="shared" si="120"/>
        <v>Adult</v>
      </c>
      <c r="D2571" t="s">
        <v>16</v>
      </c>
      <c r="E2571" t="s">
        <v>20</v>
      </c>
      <c r="F2571" t="s">
        <v>36</v>
      </c>
      <c r="G2571">
        <v>154.32</v>
      </c>
      <c r="H2571" t="s">
        <v>24</v>
      </c>
      <c r="I2571" t="s">
        <v>15</v>
      </c>
      <c r="J2571">
        <v>4.5999999999999996</v>
      </c>
      <c r="K2571">
        <v>10</v>
      </c>
      <c r="L2571">
        <f t="shared" si="121"/>
        <v>138.88800000000001</v>
      </c>
      <c r="M2571">
        <v>5</v>
      </c>
      <c r="N2571" t="str">
        <f t="shared" si="122"/>
        <v>Regular</v>
      </c>
    </row>
    <row r="2572" spans="1:14" x14ac:dyDescent="0.35">
      <c r="A2572">
        <v>2571</v>
      </c>
      <c r="B2572">
        <v>69</v>
      </c>
      <c r="C2572" t="str">
        <f t="shared" si="120"/>
        <v>Senior</v>
      </c>
      <c r="D2572" t="s">
        <v>16</v>
      </c>
      <c r="E2572" t="s">
        <v>17</v>
      </c>
      <c r="F2572" t="s">
        <v>48</v>
      </c>
      <c r="G2572">
        <v>176.88</v>
      </c>
      <c r="H2572" t="s">
        <v>19</v>
      </c>
      <c r="I2572" t="s">
        <v>15</v>
      </c>
      <c r="J2572">
        <v>4.3</v>
      </c>
      <c r="K2572">
        <v>9</v>
      </c>
      <c r="L2572">
        <f t="shared" si="121"/>
        <v>160.96080000000001</v>
      </c>
      <c r="M2572">
        <v>2</v>
      </c>
      <c r="N2572" t="str">
        <f t="shared" si="122"/>
        <v>New</v>
      </c>
    </row>
    <row r="2573" spans="1:14" x14ac:dyDescent="0.35">
      <c r="A2573">
        <v>2572</v>
      </c>
      <c r="B2573">
        <v>48</v>
      </c>
      <c r="C2573" t="str">
        <f t="shared" si="120"/>
        <v>Adult</v>
      </c>
      <c r="D2573" t="s">
        <v>11</v>
      </c>
      <c r="E2573" t="s">
        <v>20</v>
      </c>
      <c r="F2573" t="s">
        <v>36</v>
      </c>
      <c r="G2573">
        <v>91.06</v>
      </c>
      <c r="H2573" t="s">
        <v>31</v>
      </c>
      <c r="I2573" t="s">
        <v>15</v>
      </c>
      <c r="J2573">
        <v>4.2</v>
      </c>
      <c r="K2573">
        <v>11</v>
      </c>
      <c r="L2573">
        <f t="shared" si="121"/>
        <v>81.043400000000005</v>
      </c>
      <c r="M2573">
        <v>3</v>
      </c>
      <c r="N2573" t="str">
        <f t="shared" si="122"/>
        <v>New</v>
      </c>
    </row>
    <row r="2574" spans="1:14" x14ac:dyDescent="0.35">
      <c r="A2574">
        <v>2573</v>
      </c>
      <c r="B2574">
        <v>33</v>
      </c>
      <c r="C2574" t="str">
        <f t="shared" si="120"/>
        <v>Adult</v>
      </c>
      <c r="D2574" t="s">
        <v>11</v>
      </c>
      <c r="E2574" t="s">
        <v>33</v>
      </c>
      <c r="F2574" t="s">
        <v>38</v>
      </c>
      <c r="G2574">
        <v>76.06</v>
      </c>
      <c r="H2574" t="s">
        <v>14</v>
      </c>
      <c r="I2574" t="s">
        <v>15</v>
      </c>
      <c r="J2574">
        <v>4</v>
      </c>
      <c r="K2574">
        <v>15</v>
      </c>
      <c r="L2574">
        <f t="shared" si="121"/>
        <v>64.650999999999996</v>
      </c>
      <c r="M2574">
        <v>5</v>
      </c>
      <c r="N2574" t="str">
        <f t="shared" si="122"/>
        <v>Regular</v>
      </c>
    </row>
    <row r="2575" spans="1:14" x14ac:dyDescent="0.35">
      <c r="A2575">
        <v>2574</v>
      </c>
      <c r="B2575">
        <v>52</v>
      </c>
      <c r="C2575" t="str">
        <f t="shared" si="120"/>
        <v>Adult</v>
      </c>
      <c r="D2575" t="s">
        <v>11</v>
      </c>
      <c r="E2575" t="s">
        <v>12</v>
      </c>
      <c r="F2575" t="s">
        <v>56</v>
      </c>
      <c r="G2575">
        <v>65.97</v>
      </c>
      <c r="H2575" t="s">
        <v>19</v>
      </c>
      <c r="I2575" t="s">
        <v>15</v>
      </c>
      <c r="J2575">
        <v>2.9</v>
      </c>
      <c r="K2575">
        <v>6</v>
      </c>
      <c r="L2575">
        <f t="shared" si="121"/>
        <v>62.011799999999994</v>
      </c>
      <c r="M2575">
        <v>3</v>
      </c>
      <c r="N2575" t="str">
        <f t="shared" si="122"/>
        <v>New</v>
      </c>
    </row>
    <row r="2576" spans="1:14" x14ac:dyDescent="0.35">
      <c r="A2576">
        <v>2575</v>
      </c>
      <c r="B2576">
        <v>65</v>
      </c>
      <c r="C2576" t="str">
        <f t="shared" si="120"/>
        <v>Senior</v>
      </c>
      <c r="D2576" t="s">
        <v>16</v>
      </c>
      <c r="E2576" t="s">
        <v>17</v>
      </c>
      <c r="F2576" t="s">
        <v>42</v>
      </c>
      <c r="G2576">
        <v>119.34</v>
      </c>
      <c r="H2576" t="s">
        <v>24</v>
      </c>
      <c r="I2576" t="s">
        <v>15</v>
      </c>
      <c r="J2576">
        <v>4.0999999999999996</v>
      </c>
      <c r="K2576">
        <v>8</v>
      </c>
      <c r="L2576">
        <f t="shared" si="121"/>
        <v>109.79280000000001</v>
      </c>
      <c r="M2576">
        <v>4</v>
      </c>
      <c r="N2576" t="str">
        <f t="shared" si="122"/>
        <v>Regular</v>
      </c>
    </row>
    <row r="2577" spans="1:14" x14ac:dyDescent="0.35">
      <c r="A2577">
        <v>2576</v>
      </c>
      <c r="B2577">
        <v>70</v>
      </c>
      <c r="C2577" t="str">
        <f t="shared" si="120"/>
        <v>Senior</v>
      </c>
      <c r="D2577" t="s">
        <v>11</v>
      </c>
      <c r="E2577" t="s">
        <v>41</v>
      </c>
      <c r="F2577" t="s">
        <v>42</v>
      </c>
      <c r="G2577">
        <v>140.91</v>
      </c>
      <c r="H2577" t="s">
        <v>19</v>
      </c>
      <c r="I2577" t="s">
        <v>15</v>
      </c>
      <c r="J2577">
        <v>3.1</v>
      </c>
      <c r="K2577">
        <v>10</v>
      </c>
      <c r="L2577">
        <f t="shared" si="121"/>
        <v>126.819</v>
      </c>
      <c r="M2577">
        <v>5</v>
      </c>
      <c r="N2577" t="str">
        <f t="shared" si="122"/>
        <v>Regular</v>
      </c>
    </row>
    <row r="2578" spans="1:14" x14ac:dyDescent="0.35">
      <c r="A2578">
        <v>2577</v>
      </c>
      <c r="B2578">
        <v>29</v>
      </c>
      <c r="C2578" t="str">
        <f t="shared" si="120"/>
        <v>Youth</v>
      </c>
      <c r="D2578" t="s">
        <v>16</v>
      </c>
      <c r="E2578" t="s">
        <v>25</v>
      </c>
      <c r="F2578" t="s">
        <v>26</v>
      </c>
      <c r="G2578">
        <v>51.55</v>
      </c>
      <c r="H2578" t="s">
        <v>14</v>
      </c>
      <c r="I2578" t="s">
        <v>15</v>
      </c>
      <c r="J2578">
        <v>4.2</v>
      </c>
      <c r="K2578">
        <v>7</v>
      </c>
      <c r="L2578">
        <f t="shared" si="121"/>
        <v>47.941499999999991</v>
      </c>
      <c r="M2578">
        <v>1</v>
      </c>
      <c r="N2578" t="str">
        <f t="shared" si="122"/>
        <v>New</v>
      </c>
    </row>
    <row r="2579" spans="1:14" x14ac:dyDescent="0.35">
      <c r="A2579">
        <v>2578</v>
      </c>
      <c r="B2579">
        <v>47</v>
      </c>
      <c r="C2579" t="str">
        <f t="shared" si="120"/>
        <v>Adult</v>
      </c>
      <c r="D2579" t="s">
        <v>16</v>
      </c>
      <c r="E2579" t="s">
        <v>33</v>
      </c>
      <c r="F2579" t="s">
        <v>38</v>
      </c>
      <c r="G2579">
        <v>45.39</v>
      </c>
      <c r="H2579" t="s">
        <v>14</v>
      </c>
      <c r="I2579" t="s">
        <v>15</v>
      </c>
      <c r="J2579">
        <v>4.0999999999999996</v>
      </c>
      <c r="K2579">
        <v>19</v>
      </c>
      <c r="L2579">
        <f t="shared" si="121"/>
        <v>36.765900000000002</v>
      </c>
      <c r="M2579">
        <v>7</v>
      </c>
      <c r="N2579" t="str">
        <f t="shared" si="122"/>
        <v>Regular</v>
      </c>
    </row>
    <row r="2580" spans="1:14" x14ac:dyDescent="0.35">
      <c r="A2580">
        <v>2579</v>
      </c>
      <c r="B2580">
        <v>69</v>
      </c>
      <c r="C2580" t="str">
        <f t="shared" si="120"/>
        <v>Senior</v>
      </c>
      <c r="D2580" t="s">
        <v>11</v>
      </c>
      <c r="E2580" t="s">
        <v>20</v>
      </c>
      <c r="F2580" t="s">
        <v>21</v>
      </c>
      <c r="G2580">
        <v>116.25</v>
      </c>
      <c r="H2580" t="s">
        <v>24</v>
      </c>
      <c r="I2580" t="s">
        <v>15</v>
      </c>
      <c r="J2580">
        <v>4.5999999999999996</v>
      </c>
      <c r="K2580">
        <v>24</v>
      </c>
      <c r="L2580">
        <f t="shared" si="121"/>
        <v>88.35</v>
      </c>
      <c r="M2580">
        <v>7</v>
      </c>
      <c r="N2580" t="str">
        <f t="shared" si="122"/>
        <v>Regular</v>
      </c>
    </row>
    <row r="2581" spans="1:14" x14ac:dyDescent="0.35">
      <c r="A2581">
        <v>2580</v>
      </c>
      <c r="B2581">
        <v>43</v>
      </c>
      <c r="C2581" t="str">
        <f t="shared" si="120"/>
        <v>Adult</v>
      </c>
      <c r="D2581" t="s">
        <v>11</v>
      </c>
      <c r="E2581" t="s">
        <v>25</v>
      </c>
      <c r="F2581" t="s">
        <v>47</v>
      </c>
      <c r="G2581">
        <v>65.16</v>
      </c>
      <c r="H2581" t="s">
        <v>24</v>
      </c>
      <c r="I2581" t="s">
        <v>37</v>
      </c>
      <c r="J2581">
        <v>4.7</v>
      </c>
      <c r="K2581">
        <v>18</v>
      </c>
      <c r="L2581">
        <f t="shared" si="121"/>
        <v>53.431200000000004</v>
      </c>
      <c r="M2581">
        <v>4</v>
      </c>
      <c r="N2581" t="str">
        <f t="shared" si="122"/>
        <v>Regular</v>
      </c>
    </row>
    <row r="2582" spans="1:14" x14ac:dyDescent="0.35">
      <c r="A2582">
        <v>2581</v>
      </c>
      <c r="B2582">
        <v>33</v>
      </c>
      <c r="C2582" t="str">
        <f t="shared" si="120"/>
        <v>Adult</v>
      </c>
      <c r="D2582" t="s">
        <v>11</v>
      </c>
      <c r="E2582" t="s">
        <v>41</v>
      </c>
      <c r="F2582" t="s">
        <v>45</v>
      </c>
      <c r="G2582">
        <v>123.96</v>
      </c>
      <c r="H2582" t="s">
        <v>19</v>
      </c>
      <c r="I2582" t="s">
        <v>15</v>
      </c>
      <c r="J2582">
        <v>3.1</v>
      </c>
      <c r="K2582">
        <v>15</v>
      </c>
      <c r="L2582">
        <f t="shared" si="121"/>
        <v>105.36599999999999</v>
      </c>
      <c r="M2582">
        <v>5</v>
      </c>
      <c r="N2582" t="str">
        <f t="shared" si="122"/>
        <v>Regular</v>
      </c>
    </row>
    <row r="2583" spans="1:14" x14ac:dyDescent="0.35">
      <c r="A2583">
        <v>2582</v>
      </c>
      <c r="B2583">
        <v>66</v>
      </c>
      <c r="C2583" t="str">
        <f t="shared" si="120"/>
        <v>Senior</v>
      </c>
      <c r="D2583" t="s">
        <v>16</v>
      </c>
      <c r="E2583" t="s">
        <v>33</v>
      </c>
      <c r="F2583" t="s">
        <v>38</v>
      </c>
      <c r="G2583">
        <v>58.45</v>
      </c>
      <c r="H2583" t="s">
        <v>24</v>
      </c>
      <c r="I2583" t="s">
        <v>15</v>
      </c>
      <c r="J2583">
        <v>3.5</v>
      </c>
      <c r="K2583">
        <v>20</v>
      </c>
      <c r="L2583">
        <f t="shared" si="121"/>
        <v>46.760000000000005</v>
      </c>
      <c r="M2583">
        <v>5</v>
      </c>
      <c r="N2583" t="str">
        <f t="shared" si="122"/>
        <v>Regular</v>
      </c>
    </row>
    <row r="2584" spans="1:14" x14ac:dyDescent="0.35">
      <c r="A2584">
        <v>2583</v>
      </c>
      <c r="B2584">
        <v>59</v>
      </c>
      <c r="C2584" t="str">
        <f t="shared" si="120"/>
        <v>Adult</v>
      </c>
      <c r="D2584" t="s">
        <v>11</v>
      </c>
      <c r="E2584" t="s">
        <v>33</v>
      </c>
      <c r="F2584" t="s">
        <v>34</v>
      </c>
      <c r="G2584">
        <v>183.81</v>
      </c>
      <c r="H2584" t="s">
        <v>19</v>
      </c>
      <c r="I2584" t="s">
        <v>15</v>
      </c>
      <c r="J2584">
        <v>4.0999999999999996</v>
      </c>
      <c r="K2584">
        <v>22</v>
      </c>
      <c r="L2584">
        <f t="shared" si="121"/>
        <v>143.37180000000001</v>
      </c>
      <c r="M2584">
        <v>6</v>
      </c>
      <c r="N2584" t="str">
        <f t="shared" si="122"/>
        <v>Regular</v>
      </c>
    </row>
    <row r="2585" spans="1:14" x14ac:dyDescent="0.35">
      <c r="A2585">
        <v>2584</v>
      </c>
      <c r="B2585">
        <v>30</v>
      </c>
      <c r="C2585" t="str">
        <f t="shared" si="120"/>
        <v>Youth</v>
      </c>
      <c r="D2585" t="s">
        <v>11</v>
      </c>
      <c r="E2585" t="s">
        <v>29</v>
      </c>
      <c r="F2585" t="s">
        <v>55</v>
      </c>
      <c r="G2585">
        <v>129.88999999999999</v>
      </c>
      <c r="H2585" t="s">
        <v>31</v>
      </c>
      <c r="I2585" t="s">
        <v>15</v>
      </c>
      <c r="J2585">
        <v>4.2</v>
      </c>
      <c r="K2585">
        <v>17</v>
      </c>
      <c r="L2585">
        <f t="shared" si="121"/>
        <v>107.80869999999999</v>
      </c>
      <c r="M2585">
        <v>6</v>
      </c>
      <c r="N2585" t="str">
        <f t="shared" si="122"/>
        <v>Regular</v>
      </c>
    </row>
    <row r="2586" spans="1:14" x14ac:dyDescent="0.35">
      <c r="A2586">
        <v>2585</v>
      </c>
      <c r="B2586">
        <v>47</v>
      </c>
      <c r="C2586" t="str">
        <f t="shared" si="120"/>
        <v>Adult</v>
      </c>
      <c r="D2586" t="s">
        <v>16</v>
      </c>
      <c r="E2586" t="s">
        <v>17</v>
      </c>
      <c r="F2586" t="s">
        <v>48</v>
      </c>
      <c r="G2586">
        <v>97.5</v>
      </c>
      <c r="H2586" t="s">
        <v>19</v>
      </c>
      <c r="I2586" t="s">
        <v>37</v>
      </c>
      <c r="J2586">
        <v>4.7</v>
      </c>
      <c r="K2586">
        <v>12</v>
      </c>
      <c r="L2586">
        <f t="shared" si="121"/>
        <v>85.8</v>
      </c>
      <c r="M2586">
        <v>6</v>
      </c>
      <c r="N2586" t="str">
        <f t="shared" si="122"/>
        <v>Regular</v>
      </c>
    </row>
    <row r="2587" spans="1:14" x14ac:dyDescent="0.35">
      <c r="A2587">
        <v>2586</v>
      </c>
      <c r="B2587">
        <v>68</v>
      </c>
      <c r="C2587" t="str">
        <f t="shared" si="120"/>
        <v>Senior</v>
      </c>
      <c r="D2587" t="s">
        <v>16</v>
      </c>
      <c r="E2587" t="s">
        <v>20</v>
      </c>
      <c r="F2587" t="s">
        <v>39</v>
      </c>
      <c r="G2587">
        <v>123.53</v>
      </c>
      <c r="H2587" t="s">
        <v>19</v>
      </c>
      <c r="I2587" t="s">
        <v>15</v>
      </c>
      <c r="J2587">
        <v>4.4000000000000004</v>
      </c>
      <c r="K2587">
        <v>14</v>
      </c>
      <c r="L2587">
        <f t="shared" si="121"/>
        <v>106.2358</v>
      </c>
      <c r="M2587">
        <v>2</v>
      </c>
      <c r="N2587" t="str">
        <f t="shared" si="122"/>
        <v>New</v>
      </c>
    </row>
    <row r="2588" spans="1:14" x14ac:dyDescent="0.35">
      <c r="A2588">
        <v>2587</v>
      </c>
      <c r="B2588">
        <v>53</v>
      </c>
      <c r="C2588" t="str">
        <f t="shared" si="120"/>
        <v>Adult</v>
      </c>
      <c r="D2588" t="s">
        <v>16</v>
      </c>
      <c r="E2588" t="s">
        <v>20</v>
      </c>
      <c r="F2588" t="s">
        <v>36</v>
      </c>
      <c r="G2588">
        <v>152.44999999999999</v>
      </c>
      <c r="H2588" t="s">
        <v>19</v>
      </c>
      <c r="I2588" t="s">
        <v>15</v>
      </c>
      <c r="J2588">
        <v>3</v>
      </c>
      <c r="K2588">
        <v>19</v>
      </c>
      <c r="L2588">
        <f t="shared" si="121"/>
        <v>123.4845</v>
      </c>
      <c r="M2588">
        <v>7</v>
      </c>
      <c r="N2588" t="str">
        <f t="shared" si="122"/>
        <v>Regular</v>
      </c>
    </row>
    <row r="2589" spans="1:14" x14ac:dyDescent="0.35">
      <c r="A2589">
        <v>2588</v>
      </c>
      <c r="B2589">
        <v>30</v>
      </c>
      <c r="C2589" t="str">
        <f t="shared" si="120"/>
        <v>Youth</v>
      </c>
      <c r="D2589" t="s">
        <v>11</v>
      </c>
      <c r="E2589" t="s">
        <v>41</v>
      </c>
      <c r="F2589" t="s">
        <v>45</v>
      </c>
      <c r="G2589">
        <v>148.18</v>
      </c>
      <c r="H2589" t="s">
        <v>24</v>
      </c>
      <c r="I2589" t="s">
        <v>15</v>
      </c>
      <c r="J2589">
        <v>4.7</v>
      </c>
      <c r="K2589">
        <v>24</v>
      </c>
      <c r="L2589">
        <f t="shared" si="121"/>
        <v>112.61680000000001</v>
      </c>
      <c r="M2589">
        <v>7</v>
      </c>
      <c r="N2589" t="str">
        <f t="shared" si="122"/>
        <v>Regular</v>
      </c>
    </row>
    <row r="2590" spans="1:14" x14ac:dyDescent="0.35">
      <c r="A2590">
        <v>2589</v>
      </c>
      <c r="B2590">
        <v>52</v>
      </c>
      <c r="C2590" t="str">
        <f t="shared" si="120"/>
        <v>Adult</v>
      </c>
      <c r="D2590" t="s">
        <v>11</v>
      </c>
      <c r="E2590" t="s">
        <v>25</v>
      </c>
      <c r="F2590" t="s">
        <v>57</v>
      </c>
      <c r="G2590">
        <v>69.489999999999995</v>
      </c>
      <c r="H2590" t="s">
        <v>19</v>
      </c>
      <c r="I2590" t="s">
        <v>37</v>
      </c>
      <c r="J2590">
        <v>3.9</v>
      </c>
      <c r="K2590">
        <v>12</v>
      </c>
      <c r="L2590">
        <f t="shared" si="121"/>
        <v>61.151199999999996</v>
      </c>
      <c r="M2590">
        <v>6</v>
      </c>
      <c r="N2590" t="str">
        <f t="shared" si="122"/>
        <v>Regular</v>
      </c>
    </row>
    <row r="2591" spans="1:14" x14ac:dyDescent="0.35">
      <c r="A2591">
        <v>2590</v>
      </c>
      <c r="B2591">
        <v>28</v>
      </c>
      <c r="C2591" t="str">
        <f t="shared" si="120"/>
        <v>Youth</v>
      </c>
      <c r="D2591" t="s">
        <v>11</v>
      </c>
      <c r="E2591" t="s">
        <v>33</v>
      </c>
      <c r="F2591" t="s">
        <v>38</v>
      </c>
      <c r="G2591">
        <v>221.51</v>
      </c>
      <c r="H2591" t="s">
        <v>19</v>
      </c>
      <c r="I2591" t="s">
        <v>15</v>
      </c>
      <c r="J2591">
        <v>3</v>
      </c>
      <c r="K2591">
        <v>8</v>
      </c>
      <c r="L2591">
        <f t="shared" si="121"/>
        <v>203.78919999999999</v>
      </c>
      <c r="M2591">
        <v>4</v>
      </c>
      <c r="N2591" t="str">
        <f t="shared" si="122"/>
        <v>Regular</v>
      </c>
    </row>
    <row r="2592" spans="1:14" x14ac:dyDescent="0.35">
      <c r="A2592">
        <v>2591</v>
      </c>
      <c r="B2592">
        <v>40</v>
      </c>
      <c r="C2592" t="str">
        <f t="shared" si="120"/>
        <v>Adult</v>
      </c>
      <c r="D2592" t="s">
        <v>11</v>
      </c>
      <c r="E2592" t="s">
        <v>20</v>
      </c>
      <c r="F2592" t="s">
        <v>36</v>
      </c>
      <c r="G2592">
        <v>129.22</v>
      </c>
      <c r="H2592" t="s">
        <v>14</v>
      </c>
      <c r="I2592" t="s">
        <v>15</v>
      </c>
      <c r="J2592">
        <v>4.3</v>
      </c>
      <c r="K2592">
        <v>12</v>
      </c>
      <c r="L2592">
        <f t="shared" si="121"/>
        <v>113.7136</v>
      </c>
      <c r="M2592">
        <v>6</v>
      </c>
      <c r="N2592" t="str">
        <f t="shared" si="122"/>
        <v>Regular</v>
      </c>
    </row>
    <row r="2593" spans="1:14" x14ac:dyDescent="0.35">
      <c r="A2593">
        <v>2592</v>
      </c>
      <c r="B2593">
        <v>46</v>
      </c>
      <c r="C2593" t="str">
        <f t="shared" si="120"/>
        <v>Adult</v>
      </c>
      <c r="D2593" t="s">
        <v>16</v>
      </c>
      <c r="E2593" t="s">
        <v>20</v>
      </c>
      <c r="F2593" t="s">
        <v>39</v>
      </c>
      <c r="G2593">
        <v>67.89</v>
      </c>
      <c r="H2593" t="s">
        <v>31</v>
      </c>
      <c r="I2593" t="s">
        <v>15</v>
      </c>
      <c r="J2593">
        <v>3.3</v>
      </c>
      <c r="K2593">
        <v>8</v>
      </c>
      <c r="L2593">
        <f t="shared" si="121"/>
        <v>62.458800000000004</v>
      </c>
      <c r="M2593">
        <v>4</v>
      </c>
      <c r="N2593" t="str">
        <f t="shared" si="122"/>
        <v>Regular</v>
      </c>
    </row>
    <row r="2594" spans="1:14" x14ac:dyDescent="0.35">
      <c r="A2594">
        <v>2593</v>
      </c>
      <c r="B2594">
        <v>26</v>
      </c>
      <c r="C2594" t="str">
        <f t="shared" si="120"/>
        <v>Youth</v>
      </c>
      <c r="D2594" t="s">
        <v>16</v>
      </c>
      <c r="E2594" t="s">
        <v>25</v>
      </c>
      <c r="F2594" t="s">
        <v>47</v>
      </c>
      <c r="G2594">
        <v>31.17</v>
      </c>
      <c r="H2594" t="s">
        <v>14</v>
      </c>
      <c r="I2594" t="s">
        <v>37</v>
      </c>
      <c r="J2594">
        <v>3.4</v>
      </c>
      <c r="K2594">
        <v>11</v>
      </c>
      <c r="L2594">
        <f t="shared" si="121"/>
        <v>27.741300000000003</v>
      </c>
      <c r="M2594">
        <v>3</v>
      </c>
      <c r="N2594" t="str">
        <f t="shared" si="122"/>
        <v>New</v>
      </c>
    </row>
    <row r="2595" spans="1:14" x14ac:dyDescent="0.35">
      <c r="A2595">
        <v>2594</v>
      </c>
      <c r="B2595">
        <v>54</v>
      </c>
      <c r="C2595" t="str">
        <f t="shared" si="120"/>
        <v>Adult</v>
      </c>
      <c r="D2595" t="s">
        <v>11</v>
      </c>
      <c r="E2595" t="s">
        <v>12</v>
      </c>
      <c r="F2595" t="s">
        <v>50</v>
      </c>
      <c r="G2595">
        <v>90.54</v>
      </c>
      <c r="H2595" t="s">
        <v>31</v>
      </c>
      <c r="I2595" t="s">
        <v>37</v>
      </c>
      <c r="J2595">
        <v>3.4</v>
      </c>
      <c r="K2595">
        <v>18</v>
      </c>
      <c r="L2595">
        <f t="shared" si="121"/>
        <v>74.242800000000017</v>
      </c>
      <c r="M2595">
        <v>4</v>
      </c>
      <c r="N2595" t="str">
        <f t="shared" si="122"/>
        <v>Regular</v>
      </c>
    </row>
    <row r="2596" spans="1:14" x14ac:dyDescent="0.35">
      <c r="A2596">
        <v>2595</v>
      </c>
      <c r="B2596">
        <v>34</v>
      </c>
      <c r="C2596" t="str">
        <f t="shared" si="120"/>
        <v>Adult</v>
      </c>
      <c r="D2596" t="s">
        <v>16</v>
      </c>
      <c r="E2596" t="s">
        <v>17</v>
      </c>
      <c r="F2596" t="s">
        <v>18</v>
      </c>
      <c r="G2596">
        <v>62.19</v>
      </c>
      <c r="H2596" t="s">
        <v>24</v>
      </c>
      <c r="I2596" t="s">
        <v>37</v>
      </c>
      <c r="J2596">
        <v>4.0999999999999996</v>
      </c>
      <c r="K2596">
        <v>18</v>
      </c>
      <c r="L2596">
        <f t="shared" si="121"/>
        <v>50.995800000000003</v>
      </c>
      <c r="M2596">
        <v>4</v>
      </c>
      <c r="N2596" t="str">
        <f t="shared" si="122"/>
        <v>Regular</v>
      </c>
    </row>
    <row r="2597" spans="1:14" x14ac:dyDescent="0.35">
      <c r="A2597">
        <v>2596</v>
      </c>
      <c r="B2597">
        <v>53</v>
      </c>
      <c r="C2597" t="str">
        <f t="shared" si="120"/>
        <v>Adult</v>
      </c>
      <c r="D2597" t="s">
        <v>11</v>
      </c>
      <c r="E2597" t="s">
        <v>33</v>
      </c>
      <c r="F2597" t="s">
        <v>40</v>
      </c>
      <c r="G2597">
        <v>160.62</v>
      </c>
      <c r="H2597" t="s">
        <v>31</v>
      </c>
      <c r="I2597" t="s">
        <v>15</v>
      </c>
      <c r="J2597">
        <v>3.4</v>
      </c>
      <c r="K2597">
        <v>21</v>
      </c>
      <c r="L2597">
        <f t="shared" si="121"/>
        <v>126.88980000000001</v>
      </c>
      <c r="M2597">
        <v>8</v>
      </c>
      <c r="N2597" t="str">
        <f t="shared" si="122"/>
        <v>Loyal</v>
      </c>
    </row>
    <row r="2598" spans="1:14" x14ac:dyDescent="0.35">
      <c r="A2598">
        <v>2597</v>
      </c>
      <c r="B2598">
        <v>53</v>
      </c>
      <c r="C2598" t="str">
        <f t="shared" si="120"/>
        <v>Adult</v>
      </c>
      <c r="D2598" t="s">
        <v>16</v>
      </c>
      <c r="E2598" t="s">
        <v>27</v>
      </c>
      <c r="F2598" t="s">
        <v>49</v>
      </c>
      <c r="G2598">
        <v>2661.25</v>
      </c>
      <c r="H2598" t="s">
        <v>19</v>
      </c>
      <c r="I2598" t="s">
        <v>15</v>
      </c>
      <c r="J2598">
        <v>4.5</v>
      </c>
      <c r="K2598">
        <v>24</v>
      </c>
      <c r="L2598">
        <f t="shared" si="121"/>
        <v>2022.55</v>
      </c>
      <c r="M2598">
        <v>7</v>
      </c>
      <c r="N2598" t="str">
        <f t="shared" si="122"/>
        <v>Regular</v>
      </c>
    </row>
    <row r="2599" spans="1:14" x14ac:dyDescent="0.35">
      <c r="A2599">
        <v>2598</v>
      </c>
      <c r="B2599">
        <v>60</v>
      </c>
      <c r="C2599" t="str">
        <f t="shared" si="120"/>
        <v>Adult</v>
      </c>
      <c r="D2599" t="s">
        <v>11</v>
      </c>
      <c r="E2599" t="s">
        <v>41</v>
      </c>
      <c r="F2599" t="s">
        <v>45</v>
      </c>
      <c r="G2599">
        <v>57.4</v>
      </c>
      <c r="H2599" t="s">
        <v>24</v>
      </c>
      <c r="I2599" t="s">
        <v>37</v>
      </c>
      <c r="J2599">
        <v>3.3</v>
      </c>
      <c r="K2599">
        <v>17</v>
      </c>
      <c r="L2599">
        <f t="shared" si="121"/>
        <v>47.641999999999996</v>
      </c>
      <c r="M2599">
        <v>6</v>
      </c>
      <c r="N2599" t="str">
        <f t="shared" si="122"/>
        <v>Regular</v>
      </c>
    </row>
    <row r="2600" spans="1:14" x14ac:dyDescent="0.35">
      <c r="A2600">
        <v>2599</v>
      </c>
      <c r="B2600">
        <v>24</v>
      </c>
      <c r="C2600" t="str">
        <f t="shared" si="120"/>
        <v>Youth</v>
      </c>
      <c r="D2600" t="s">
        <v>16</v>
      </c>
      <c r="E2600" t="s">
        <v>17</v>
      </c>
      <c r="F2600" t="s">
        <v>48</v>
      </c>
      <c r="G2600">
        <v>38.57</v>
      </c>
      <c r="H2600" t="s">
        <v>31</v>
      </c>
      <c r="I2600" t="s">
        <v>15</v>
      </c>
      <c r="J2600">
        <v>3.5</v>
      </c>
      <c r="K2600">
        <v>6</v>
      </c>
      <c r="L2600">
        <f t="shared" si="121"/>
        <v>36.255800000000001</v>
      </c>
      <c r="M2600">
        <v>3</v>
      </c>
      <c r="N2600" t="str">
        <f t="shared" si="122"/>
        <v>New</v>
      </c>
    </row>
    <row r="2601" spans="1:14" x14ac:dyDescent="0.35">
      <c r="A2601">
        <v>2600</v>
      </c>
      <c r="B2601">
        <v>29</v>
      </c>
      <c r="C2601" t="str">
        <f t="shared" si="120"/>
        <v>Youth</v>
      </c>
      <c r="D2601" t="s">
        <v>11</v>
      </c>
      <c r="E2601" t="s">
        <v>33</v>
      </c>
      <c r="F2601" t="s">
        <v>38</v>
      </c>
      <c r="G2601">
        <v>57.06</v>
      </c>
      <c r="H2601" t="s">
        <v>14</v>
      </c>
      <c r="I2601" t="s">
        <v>15</v>
      </c>
      <c r="J2601">
        <v>4.0999999999999996</v>
      </c>
      <c r="K2601">
        <v>12</v>
      </c>
      <c r="L2601">
        <f t="shared" si="121"/>
        <v>50.212800000000001</v>
      </c>
      <c r="M2601">
        <v>6</v>
      </c>
      <c r="N2601" t="str">
        <f t="shared" si="122"/>
        <v>Regular</v>
      </c>
    </row>
    <row r="2602" spans="1:14" x14ac:dyDescent="0.35">
      <c r="A2602">
        <v>2601</v>
      </c>
      <c r="B2602">
        <v>64</v>
      </c>
      <c r="C2602" t="str">
        <f t="shared" si="120"/>
        <v>Senior</v>
      </c>
      <c r="D2602" t="s">
        <v>16</v>
      </c>
      <c r="E2602" t="s">
        <v>25</v>
      </c>
      <c r="F2602" t="s">
        <v>47</v>
      </c>
      <c r="G2602">
        <v>49.9</v>
      </c>
      <c r="H2602" t="s">
        <v>31</v>
      </c>
      <c r="I2602" t="s">
        <v>15</v>
      </c>
      <c r="J2602">
        <v>4.2</v>
      </c>
      <c r="K2602">
        <v>14</v>
      </c>
      <c r="L2602">
        <f t="shared" si="121"/>
        <v>42.914000000000001</v>
      </c>
      <c r="M2602">
        <v>7</v>
      </c>
      <c r="N2602" t="str">
        <f t="shared" si="122"/>
        <v>Regular</v>
      </c>
    </row>
    <row r="2603" spans="1:14" x14ac:dyDescent="0.35">
      <c r="A2603">
        <v>2602</v>
      </c>
      <c r="B2603">
        <v>48</v>
      </c>
      <c r="C2603" t="str">
        <f t="shared" si="120"/>
        <v>Adult</v>
      </c>
      <c r="D2603" t="s">
        <v>11</v>
      </c>
      <c r="E2603" t="s">
        <v>12</v>
      </c>
      <c r="F2603" t="s">
        <v>13</v>
      </c>
      <c r="G2603">
        <v>142.62</v>
      </c>
      <c r="H2603" t="s">
        <v>14</v>
      </c>
      <c r="I2603" t="s">
        <v>15</v>
      </c>
      <c r="J2603">
        <v>3.6</v>
      </c>
      <c r="K2603">
        <v>18</v>
      </c>
      <c r="L2603">
        <f t="shared" si="121"/>
        <v>116.94840000000001</v>
      </c>
      <c r="M2603">
        <v>9</v>
      </c>
      <c r="N2603" t="str">
        <f t="shared" si="122"/>
        <v>Loyal</v>
      </c>
    </row>
    <row r="2604" spans="1:14" x14ac:dyDescent="0.35">
      <c r="A2604">
        <v>2603</v>
      </c>
      <c r="B2604">
        <v>55</v>
      </c>
      <c r="C2604" t="str">
        <f t="shared" si="120"/>
        <v>Adult</v>
      </c>
      <c r="D2604" t="s">
        <v>16</v>
      </c>
      <c r="E2604" t="s">
        <v>17</v>
      </c>
      <c r="F2604" t="s">
        <v>42</v>
      </c>
      <c r="G2604">
        <v>90.45</v>
      </c>
      <c r="H2604" t="s">
        <v>19</v>
      </c>
      <c r="I2604" t="s">
        <v>37</v>
      </c>
      <c r="J2604">
        <v>3.3</v>
      </c>
      <c r="K2604">
        <v>8</v>
      </c>
      <c r="L2604">
        <f t="shared" si="121"/>
        <v>83.214000000000013</v>
      </c>
      <c r="M2604">
        <v>4</v>
      </c>
      <c r="N2604" t="str">
        <f t="shared" si="122"/>
        <v>Regular</v>
      </c>
    </row>
    <row r="2605" spans="1:14" x14ac:dyDescent="0.35">
      <c r="A2605">
        <v>2604</v>
      </c>
      <c r="B2605">
        <v>59</v>
      </c>
      <c r="C2605" t="str">
        <f t="shared" si="120"/>
        <v>Adult</v>
      </c>
      <c r="D2605" t="s">
        <v>16</v>
      </c>
      <c r="E2605" t="s">
        <v>20</v>
      </c>
      <c r="F2605" t="s">
        <v>36</v>
      </c>
      <c r="G2605">
        <v>207.97</v>
      </c>
      <c r="H2605" t="s">
        <v>19</v>
      </c>
      <c r="I2605" t="s">
        <v>15</v>
      </c>
      <c r="J2605">
        <v>4.5</v>
      </c>
      <c r="K2605">
        <v>13</v>
      </c>
      <c r="L2605">
        <f t="shared" si="121"/>
        <v>180.93389999999999</v>
      </c>
      <c r="M2605">
        <v>4</v>
      </c>
      <c r="N2605" t="str">
        <f t="shared" si="122"/>
        <v>Regular</v>
      </c>
    </row>
    <row r="2606" spans="1:14" x14ac:dyDescent="0.35">
      <c r="A2606">
        <v>2605</v>
      </c>
      <c r="B2606">
        <v>29</v>
      </c>
      <c r="C2606" t="str">
        <f t="shared" si="120"/>
        <v>Youth</v>
      </c>
      <c r="D2606" t="s">
        <v>16</v>
      </c>
      <c r="E2606" t="s">
        <v>20</v>
      </c>
      <c r="F2606" t="s">
        <v>39</v>
      </c>
      <c r="G2606">
        <v>78.87</v>
      </c>
      <c r="H2606" t="s">
        <v>31</v>
      </c>
      <c r="I2606" t="s">
        <v>37</v>
      </c>
      <c r="J2606">
        <v>3.9</v>
      </c>
      <c r="K2606">
        <v>17</v>
      </c>
      <c r="L2606">
        <f t="shared" si="121"/>
        <v>65.462100000000007</v>
      </c>
      <c r="M2606">
        <v>6</v>
      </c>
      <c r="N2606" t="str">
        <f t="shared" si="122"/>
        <v>Regular</v>
      </c>
    </row>
    <row r="2607" spans="1:14" x14ac:dyDescent="0.35">
      <c r="A2607">
        <v>2606</v>
      </c>
      <c r="B2607">
        <v>47</v>
      </c>
      <c r="C2607" t="str">
        <f t="shared" si="120"/>
        <v>Adult</v>
      </c>
      <c r="D2607" t="s">
        <v>16</v>
      </c>
      <c r="E2607" t="s">
        <v>17</v>
      </c>
      <c r="F2607" t="s">
        <v>35</v>
      </c>
      <c r="G2607">
        <v>160.26</v>
      </c>
      <c r="H2607" t="s">
        <v>31</v>
      </c>
      <c r="I2607" t="s">
        <v>15</v>
      </c>
      <c r="J2607">
        <v>3.7</v>
      </c>
      <c r="K2607">
        <v>20</v>
      </c>
      <c r="L2607">
        <f t="shared" si="121"/>
        <v>128.208</v>
      </c>
      <c r="M2607">
        <v>5</v>
      </c>
      <c r="N2607" t="str">
        <f t="shared" si="122"/>
        <v>Regular</v>
      </c>
    </row>
    <row r="2608" spans="1:14" x14ac:dyDescent="0.35">
      <c r="A2608">
        <v>2607</v>
      </c>
      <c r="B2608">
        <v>27</v>
      </c>
      <c r="C2608" t="str">
        <f t="shared" si="120"/>
        <v>Youth</v>
      </c>
      <c r="D2608" t="s">
        <v>16</v>
      </c>
      <c r="E2608" t="s">
        <v>20</v>
      </c>
      <c r="F2608" t="s">
        <v>21</v>
      </c>
      <c r="G2608">
        <v>227.6</v>
      </c>
      <c r="H2608" t="s">
        <v>24</v>
      </c>
      <c r="I2608" t="s">
        <v>15</v>
      </c>
      <c r="J2608">
        <v>4.9000000000000004</v>
      </c>
      <c r="K2608">
        <v>14</v>
      </c>
      <c r="L2608">
        <f t="shared" si="121"/>
        <v>195.73599999999999</v>
      </c>
      <c r="M2608">
        <v>2</v>
      </c>
      <c r="N2608" t="str">
        <f t="shared" si="122"/>
        <v>New</v>
      </c>
    </row>
    <row r="2609" spans="1:14" x14ac:dyDescent="0.35">
      <c r="A2609">
        <v>2608</v>
      </c>
      <c r="B2609">
        <v>37</v>
      </c>
      <c r="C2609" t="str">
        <f t="shared" si="120"/>
        <v>Adult</v>
      </c>
      <c r="D2609" t="s">
        <v>11</v>
      </c>
      <c r="E2609" t="s">
        <v>33</v>
      </c>
      <c r="F2609" t="s">
        <v>38</v>
      </c>
      <c r="G2609">
        <v>62.2</v>
      </c>
      <c r="H2609" t="s">
        <v>31</v>
      </c>
      <c r="I2609" t="s">
        <v>37</v>
      </c>
      <c r="J2609">
        <v>4</v>
      </c>
      <c r="K2609">
        <v>18</v>
      </c>
      <c r="L2609">
        <f t="shared" si="121"/>
        <v>51.004000000000005</v>
      </c>
      <c r="M2609">
        <v>9</v>
      </c>
      <c r="N2609" t="str">
        <f t="shared" si="122"/>
        <v>Loyal</v>
      </c>
    </row>
    <row r="2610" spans="1:14" x14ac:dyDescent="0.35">
      <c r="A2610">
        <v>2609</v>
      </c>
      <c r="B2610">
        <v>30</v>
      </c>
      <c r="C2610" t="str">
        <f t="shared" si="120"/>
        <v>Youth</v>
      </c>
      <c r="D2610" t="s">
        <v>16</v>
      </c>
      <c r="E2610" t="s">
        <v>17</v>
      </c>
      <c r="F2610" t="s">
        <v>18</v>
      </c>
      <c r="G2610">
        <v>111.07</v>
      </c>
      <c r="H2610" t="s">
        <v>19</v>
      </c>
      <c r="I2610" t="s">
        <v>15</v>
      </c>
      <c r="J2610">
        <v>3.9</v>
      </c>
      <c r="K2610">
        <v>23</v>
      </c>
      <c r="L2610">
        <f t="shared" si="121"/>
        <v>85.523899999999998</v>
      </c>
      <c r="M2610">
        <v>9</v>
      </c>
      <c r="N2610" t="str">
        <f t="shared" si="122"/>
        <v>Loyal</v>
      </c>
    </row>
    <row r="2611" spans="1:14" x14ac:dyDescent="0.35">
      <c r="A2611">
        <v>2610</v>
      </c>
      <c r="B2611">
        <v>44</v>
      </c>
      <c r="C2611" t="str">
        <f t="shared" si="120"/>
        <v>Adult</v>
      </c>
      <c r="D2611" t="s">
        <v>16</v>
      </c>
      <c r="E2611" t="s">
        <v>22</v>
      </c>
      <c r="F2611" t="s">
        <v>43</v>
      </c>
      <c r="G2611">
        <v>136.96</v>
      </c>
      <c r="H2611" t="s">
        <v>31</v>
      </c>
      <c r="I2611" t="s">
        <v>15</v>
      </c>
      <c r="J2611">
        <v>2.5</v>
      </c>
      <c r="K2611">
        <v>19</v>
      </c>
      <c r="L2611">
        <f t="shared" si="121"/>
        <v>110.93760000000002</v>
      </c>
      <c r="M2611">
        <v>7</v>
      </c>
      <c r="N2611" t="str">
        <f t="shared" si="122"/>
        <v>Regular</v>
      </c>
    </row>
    <row r="2612" spans="1:14" x14ac:dyDescent="0.35">
      <c r="A2612">
        <v>2611</v>
      </c>
      <c r="B2612">
        <v>28</v>
      </c>
      <c r="C2612" t="str">
        <f t="shared" si="120"/>
        <v>Youth</v>
      </c>
      <c r="D2612" t="s">
        <v>11</v>
      </c>
      <c r="E2612" t="s">
        <v>20</v>
      </c>
      <c r="F2612" t="s">
        <v>39</v>
      </c>
      <c r="G2612">
        <v>99.34</v>
      </c>
      <c r="H2612" t="s">
        <v>24</v>
      </c>
      <c r="I2612" t="s">
        <v>37</v>
      </c>
      <c r="J2612">
        <v>4.0999999999999996</v>
      </c>
      <c r="K2612">
        <v>15</v>
      </c>
      <c r="L2612">
        <f t="shared" si="121"/>
        <v>84.439000000000007</v>
      </c>
      <c r="M2612">
        <v>5</v>
      </c>
      <c r="N2612" t="str">
        <f t="shared" si="122"/>
        <v>Regular</v>
      </c>
    </row>
    <row r="2613" spans="1:14" x14ac:dyDescent="0.35">
      <c r="A2613">
        <v>2612</v>
      </c>
      <c r="B2613">
        <v>58</v>
      </c>
      <c r="C2613" t="str">
        <f t="shared" si="120"/>
        <v>Adult</v>
      </c>
      <c r="D2613" t="s">
        <v>11</v>
      </c>
      <c r="E2613" t="s">
        <v>29</v>
      </c>
      <c r="F2613" t="s">
        <v>55</v>
      </c>
      <c r="G2613">
        <v>59.64</v>
      </c>
      <c r="H2613" t="s">
        <v>19</v>
      </c>
      <c r="I2613" t="s">
        <v>37</v>
      </c>
      <c r="J2613">
        <v>3.1</v>
      </c>
      <c r="K2613">
        <v>15</v>
      </c>
      <c r="L2613">
        <f t="shared" si="121"/>
        <v>50.694000000000003</v>
      </c>
      <c r="M2613">
        <v>5</v>
      </c>
      <c r="N2613" t="str">
        <f t="shared" si="122"/>
        <v>Regular</v>
      </c>
    </row>
    <row r="2614" spans="1:14" x14ac:dyDescent="0.35">
      <c r="A2614">
        <v>2613</v>
      </c>
      <c r="B2614">
        <v>67</v>
      </c>
      <c r="C2614" t="str">
        <f t="shared" si="120"/>
        <v>Senior</v>
      </c>
      <c r="D2614" t="s">
        <v>11</v>
      </c>
      <c r="E2614" t="s">
        <v>41</v>
      </c>
      <c r="F2614" t="s">
        <v>46</v>
      </c>
      <c r="G2614">
        <v>44.95</v>
      </c>
      <c r="H2614" t="s">
        <v>24</v>
      </c>
      <c r="I2614" t="s">
        <v>15</v>
      </c>
      <c r="J2614">
        <v>2.8</v>
      </c>
      <c r="K2614">
        <v>12</v>
      </c>
      <c r="L2614">
        <f t="shared" si="121"/>
        <v>39.556000000000004</v>
      </c>
      <c r="M2614">
        <v>6</v>
      </c>
      <c r="N2614" t="str">
        <f t="shared" si="122"/>
        <v>Regular</v>
      </c>
    </row>
    <row r="2615" spans="1:14" x14ac:dyDescent="0.35">
      <c r="A2615">
        <v>2614</v>
      </c>
      <c r="B2615">
        <v>58</v>
      </c>
      <c r="C2615" t="str">
        <f t="shared" si="120"/>
        <v>Adult</v>
      </c>
      <c r="D2615" t="s">
        <v>16</v>
      </c>
      <c r="E2615" t="s">
        <v>27</v>
      </c>
      <c r="F2615" t="s">
        <v>28</v>
      </c>
      <c r="G2615">
        <v>926.5</v>
      </c>
      <c r="H2615" t="s">
        <v>31</v>
      </c>
      <c r="I2615" t="s">
        <v>15</v>
      </c>
      <c r="J2615">
        <v>4.3</v>
      </c>
      <c r="K2615">
        <v>6</v>
      </c>
      <c r="L2615">
        <f t="shared" si="121"/>
        <v>870.91</v>
      </c>
      <c r="M2615">
        <v>3</v>
      </c>
      <c r="N2615" t="str">
        <f t="shared" si="122"/>
        <v>New</v>
      </c>
    </row>
    <row r="2616" spans="1:14" x14ac:dyDescent="0.35">
      <c r="A2616">
        <v>2615</v>
      </c>
      <c r="B2616">
        <v>45</v>
      </c>
      <c r="C2616" t="str">
        <f t="shared" si="120"/>
        <v>Adult</v>
      </c>
      <c r="D2616" t="s">
        <v>11</v>
      </c>
      <c r="E2616" t="s">
        <v>25</v>
      </c>
      <c r="F2616" t="s">
        <v>57</v>
      </c>
      <c r="G2616">
        <v>59.98</v>
      </c>
      <c r="H2616" t="s">
        <v>31</v>
      </c>
      <c r="I2616" t="s">
        <v>15</v>
      </c>
      <c r="J2616">
        <v>4</v>
      </c>
      <c r="K2616">
        <v>6</v>
      </c>
      <c r="L2616">
        <f t="shared" si="121"/>
        <v>56.381199999999993</v>
      </c>
      <c r="M2616">
        <v>3</v>
      </c>
      <c r="N2616" t="str">
        <f t="shared" si="122"/>
        <v>New</v>
      </c>
    </row>
    <row r="2617" spans="1:14" x14ac:dyDescent="0.35">
      <c r="A2617">
        <v>2616</v>
      </c>
      <c r="B2617">
        <v>26</v>
      </c>
      <c r="C2617" t="str">
        <f t="shared" si="120"/>
        <v>Youth</v>
      </c>
      <c r="D2617" t="s">
        <v>16</v>
      </c>
      <c r="E2617" t="s">
        <v>20</v>
      </c>
      <c r="F2617" t="s">
        <v>36</v>
      </c>
      <c r="G2617">
        <v>188.94</v>
      </c>
      <c r="H2617" t="s">
        <v>24</v>
      </c>
      <c r="I2617" t="s">
        <v>15</v>
      </c>
      <c r="J2617">
        <v>4.3</v>
      </c>
      <c r="K2617">
        <v>18</v>
      </c>
      <c r="L2617">
        <f t="shared" si="121"/>
        <v>154.9308</v>
      </c>
      <c r="M2617">
        <v>4</v>
      </c>
      <c r="N2617" t="str">
        <f t="shared" si="122"/>
        <v>Regular</v>
      </c>
    </row>
    <row r="2618" spans="1:14" x14ac:dyDescent="0.35">
      <c r="A2618">
        <v>2617</v>
      </c>
      <c r="B2618">
        <v>56</v>
      </c>
      <c r="C2618" t="str">
        <f t="shared" si="120"/>
        <v>Adult</v>
      </c>
      <c r="D2618" t="s">
        <v>11</v>
      </c>
      <c r="E2618" t="s">
        <v>33</v>
      </c>
      <c r="F2618" t="s">
        <v>40</v>
      </c>
      <c r="G2618">
        <v>177.97</v>
      </c>
      <c r="H2618" t="s">
        <v>19</v>
      </c>
      <c r="I2618" t="s">
        <v>15</v>
      </c>
      <c r="J2618">
        <v>4</v>
      </c>
      <c r="K2618">
        <v>20</v>
      </c>
      <c r="L2618">
        <f t="shared" si="121"/>
        <v>142.376</v>
      </c>
      <c r="M2618">
        <v>10</v>
      </c>
      <c r="N2618" t="str">
        <f t="shared" si="122"/>
        <v>Loyal</v>
      </c>
    </row>
    <row r="2619" spans="1:14" x14ac:dyDescent="0.35">
      <c r="A2619">
        <v>2618</v>
      </c>
      <c r="B2619">
        <v>50</v>
      </c>
      <c r="C2619" t="str">
        <f t="shared" si="120"/>
        <v>Adult</v>
      </c>
      <c r="D2619" t="s">
        <v>11</v>
      </c>
      <c r="E2619" t="s">
        <v>12</v>
      </c>
      <c r="F2619" t="s">
        <v>56</v>
      </c>
      <c r="G2619">
        <v>128.68</v>
      </c>
      <c r="H2619" t="s">
        <v>19</v>
      </c>
      <c r="I2619" t="s">
        <v>15</v>
      </c>
      <c r="J2619">
        <v>3.7</v>
      </c>
      <c r="K2619">
        <v>11</v>
      </c>
      <c r="L2619">
        <f t="shared" si="121"/>
        <v>114.52520000000001</v>
      </c>
      <c r="M2619">
        <v>3</v>
      </c>
      <c r="N2619" t="str">
        <f t="shared" si="122"/>
        <v>New</v>
      </c>
    </row>
    <row r="2620" spans="1:14" x14ac:dyDescent="0.35">
      <c r="A2620">
        <v>2619</v>
      </c>
      <c r="B2620">
        <v>48</v>
      </c>
      <c r="C2620" t="str">
        <f t="shared" si="120"/>
        <v>Adult</v>
      </c>
      <c r="D2620" t="s">
        <v>16</v>
      </c>
      <c r="E2620" t="s">
        <v>20</v>
      </c>
      <c r="F2620" t="s">
        <v>21</v>
      </c>
      <c r="G2620">
        <v>137.66999999999999</v>
      </c>
      <c r="H2620" t="s">
        <v>19</v>
      </c>
      <c r="I2620" t="s">
        <v>15</v>
      </c>
      <c r="J2620">
        <v>3.7</v>
      </c>
      <c r="K2620">
        <v>4</v>
      </c>
      <c r="L2620">
        <f t="shared" si="121"/>
        <v>132.16319999999999</v>
      </c>
      <c r="M2620">
        <v>2</v>
      </c>
      <c r="N2620" t="str">
        <f t="shared" si="122"/>
        <v>New</v>
      </c>
    </row>
    <row r="2621" spans="1:14" x14ac:dyDescent="0.35">
      <c r="A2621">
        <v>2620</v>
      </c>
      <c r="B2621">
        <v>28</v>
      </c>
      <c r="C2621" t="str">
        <f t="shared" si="120"/>
        <v>Youth</v>
      </c>
      <c r="D2621" t="s">
        <v>16</v>
      </c>
      <c r="E2621" t="s">
        <v>17</v>
      </c>
      <c r="F2621" t="s">
        <v>42</v>
      </c>
      <c r="G2621">
        <v>138.24</v>
      </c>
      <c r="H2621" t="s">
        <v>14</v>
      </c>
      <c r="I2621" t="s">
        <v>15</v>
      </c>
      <c r="J2621">
        <v>3.1</v>
      </c>
      <c r="K2621">
        <v>11</v>
      </c>
      <c r="L2621">
        <f t="shared" si="121"/>
        <v>123.03360000000001</v>
      </c>
      <c r="M2621">
        <v>3</v>
      </c>
      <c r="N2621" t="str">
        <f t="shared" si="122"/>
        <v>New</v>
      </c>
    </row>
    <row r="2622" spans="1:14" x14ac:dyDescent="0.35">
      <c r="A2622">
        <v>2621</v>
      </c>
      <c r="B2622">
        <v>60</v>
      </c>
      <c r="C2622" t="str">
        <f t="shared" si="120"/>
        <v>Adult</v>
      </c>
      <c r="D2622" t="s">
        <v>16</v>
      </c>
      <c r="E2622" t="s">
        <v>20</v>
      </c>
      <c r="F2622" t="s">
        <v>36</v>
      </c>
      <c r="G2622">
        <v>26.82</v>
      </c>
      <c r="H2622" t="s">
        <v>24</v>
      </c>
      <c r="I2622" t="s">
        <v>15</v>
      </c>
      <c r="J2622">
        <v>4.5</v>
      </c>
      <c r="K2622">
        <v>11</v>
      </c>
      <c r="L2622">
        <f t="shared" si="121"/>
        <v>23.869800000000001</v>
      </c>
      <c r="M2622">
        <v>3</v>
      </c>
      <c r="N2622" t="str">
        <f t="shared" si="122"/>
        <v>New</v>
      </c>
    </row>
    <row r="2623" spans="1:14" x14ac:dyDescent="0.35">
      <c r="A2623">
        <v>2622</v>
      </c>
      <c r="B2623">
        <v>64</v>
      </c>
      <c r="C2623" t="str">
        <f t="shared" si="120"/>
        <v>Senior</v>
      </c>
      <c r="D2623" t="s">
        <v>11</v>
      </c>
      <c r="E2623" t="s">
        <v>41</v>
      </c>
      <c r="F2623" t="s">
        <v>44</v>
      </c>
      <c r="G2623">
        <v>83.11</v>
      </c>
      <c r="H2623" t="s">
        <v>19</v>
      </c>
      <c r="I2623" t="s">
        <v>37</v>
      </c>
      <c r="J2623">
        <v>2.9</v>
      </c>
      <c r="K2623">
        <v>11</v>
      </c>
      <c r="L2623">
        <f t="shared" si="121"/>
        <v>73.9679</v>
      </c>
      <c r="M2623">
        <v>3</v>
      </c>
      <c r="N2623" t="str">
        <f t="shared" si="122"/>
        <v>New</v>
      </c>
    </row>
    <row r="2624" spans="1:14" x14ac:dyDescent="0.35">
      <c r="A2624">
        <v>2623</v>
      </c>
      <c r="B2624">
        <v>47</v>
      </c>
      <c r="C2624" t="str">
        <f t="shared" si="120"/>
        <v>Adult</v>
      </c>
      <c r="D2624" t="s">
        <v>16</v>
      </c>
      <c r="E2624" t="s">
        <v>20</v>
      </c>
      <c r="F2624" t="s">
        <v>36</v>
      </c>
      <c r="G2624">
        <v>126.93</v>
      </c>
      <c r="H2624" t="s">
        <v>31</v>
      </c>
      <c r="I2624" t="s">
        <v>15</v>
      </c>
      <c r="J2624">
        <v>3.6</v>
      </c>
      <c r="K2624">
        <v>20</v>
      </c>
      <c r="L2624">
        <f t="shared" si="121"/>
        <v>101.54400000000001</v>
      </c>
      <c r="M2624">
        <v>10</v>
      </c>
      <c r="N2624" t="str">
        <f t="shared" si="122"/>
        <v>Loyal</v>
      </c>
    </row>
    <row r="2625" spans="1:14" x14ac:dyDescent="0.35">
      <c r="A2625">
        <v>2624</v>
      </c>
      <c r="B2625">
        <v>28</v>
      </c>
      <c r="C2625" t="str">
        <f t="shared" si="120"/>
        <v>Youth</v>
      </c>
      <c r="D2625" t="s">
        <v>16</v>
      </c>
      <c r="E2625" t="s">
        <v>22</v>
      </c>
      <c r="F2625" t="s">
        <v>52</v>
      </c>
      <c r="G2625">
        <v>241.39</v>
      </c>
      <c r="H2625" t="s">
        <v>19</v>
      </c>
      <c r="I2625" t="s">
        <v>15</v>
      </c>
      <c r="J2625">
        <v>3.2</v>
      </c>
      <c r="K2625">
        <v>17</v>
      </c>
      <c r="L2625">
        <f t="shared" si="121"/>
        <v>200.35369999999998</v>
      </c>
      <c r="M2625">
        <v>6</v>
      </c>
      <c r="N2625" t="str">
        <f t="shared" si="122"/>
        <v>Regular</v>
      </c>
    </row>
    <row r="2626" spans="1:14" x14ac:dyDescent="0.35">
      <c r="A2626">
        <v>2625</v>
      </c>
      <c r="B2626">
        <v>48</v>
      </c>
      <c r="C2626" t="str">
        <f t="shared" si="120"/>
        <v>Adult</v>
      </c>
      <c r="D2626" t="s">
        <v>11</v>
      </c>
      <c r="E2626" t="s">
        <v>29</v>
      </c>
      <c r="F2626" t="s">
        <v>55</v>
      </c>
      <c r="G2626">
        <v>128.09</v>
      </c>
      <c r="H2626" t="s">
        <v>24</v>
      </c>
      <c r="I2626" t="s">
        <v>15</v>
      </c>
      <c r="J2626">
        <v>4.2</v>
      </c>
      <c r="K2626">
        <v>14</v>
      </c>
      <c r="L2626">
        <f t="shared" si="121"/>
        <v>110.1574</v>
      </c>
      <c r="M2626">
        <v>7</v>
      </c>
      <c r="N2626" t="str">
        <f t="shared" si="122"/>
        <v>Regular</v>
      </c>
    </row>
    <row r="2627" spans="1:14" x14ac:dyDescent="0.35">
      <c r="A2627">
        <v>2626</v>
      </c>
      <c r="B2627">
        <v>29</v>
      </c>
      <c r="C2627" t="str">
        <f t="shared" ref="C2627:C2690" si="123">IF(B2627&lt;=30,"Youth",IF(B2627&lt;=45,"Adult",IF(B2627&lt;=60,"Adult","Senior")))</f>
        <v>Youth</v>
      </c>
      <c r="D2627" t="s">
        <v>16</v>
      </c>
      <c r="E2627" t="s">
        <v>33</v>
      </c>
      <c r="F2627" t="s">
        <v>34</v>
      </c>
      <c r="G2627">
        <v>184.29</v>
      </c>
      <c r="H2627" t="s">
        <v>19</v>
      </c>
      <c r="I2627" t="s">
        <v>15</v>
      </c>
      <c r="J2627">
        <v>2.8</v>
      </c>
      <c r="K2627">
        <v>24</v>
      </c>
      <c r="L2627">
        <f t="shared" ref="L2627:L2690" si="124">G2627*(1-K2627/100)</f>
        <v>140.06039999999999</v>
      </c>
      <c r="M2627">
        <v>7</v>
      </c>
      <c r="N2627" t="str">
        <f t="shared" ref="N2627:N2690" si="125">IF(M2627&lt;=3,"New",IF(M2627&lt;=7,"Regular","Loyal"))</f>
        <v>Regular</v>
      </c>
    </row>
    <row r="2628" spans="1:14" x14ac:dyDescent="0.35">
      <c r="A2628">
        <v>2627</v>
      </c>
      <c r="B2628">
        <v>60</v>
      </c>
      <c r="C2628" t="str">
        <f t="shared" si="123"/>
        <v>Adult</v>
      </c>
      <c r="D2628" t="s">
        <v>11</v>
      </c>
      <c r="E2628" t="s">
        <v>29</v>
      </c>
      <c r="F2628" t="s">
        <v>55</v>
      </c>
      <c r="G2628">
        <v>144.08000000000001</v>
      </c>
      <c r="H2628" t="s">
        <v>14</v>
      </c>
      <c r="I2628" t="s">
        <v>15</v>
      </c>
      <c r="J2628">
        <v>2.5</v>
      </c>
      <c r="K2628">
        <v>6</v>
      </c>
      <c r="L2628">
        <f t="shared" si="124"/>
        <v>135.43520000000001</v>
      </c>
      <c r="M2628">
        <v>3</v>
      </c>
      <c r="N2628" t="str">
        <f t="shared" si="125"/>
        <v>New</v>
      </c>
    </row>
    <row r="2629" spans="1:14" x14ac:dyDescent="0.35">
      <c r="A2629">
        <v>2628</v>
      </c>
      <c r="B2629">
        <v>48</v>
      </c>
      <c r="C2629" t="str">
        <f t="shared" si="123"/>
        <v>Adult</v>
      </c>
      <c r="D2629" t="s">
        <v>11</v>
      </c>
      <c r="E2629" t="s">
        <v>41</v>
      </c>
      <c r="F2629" t="s">
        <v>44</v>
      </c>
      <c r="G2629">
        <v>74.56</v>
      </c>
      <c r="H2629" t="s">
        <v>14</v>
      </c>
      <c r="I2629" t="s">
        <v>37</v>
      </c>
      <c r="J2629">
        <v>3.3</v>
      </c>
      <c r="K2629">
        <v>8</v>
      </c>
      <c r="L2629">
        <f t="shared" si="124"/>
        <v>68.595200000000006</v>
      </c>
      <c r="M2629">
        <v>4</v>
      </c>
      <c r="N2629" t="str">
        <f t="shared" si="125"/>
        <v>Regular</v>
      </c>
    </row>
    <row r="2630" spans="1:14" x14ac:dyDescent="0.35">
      <c r="A2630">
        <v>2629</v>
      </c>
      <c r="B2630">
        <v>66</v>
      </c>
      <c r="C2630" t="str">
        <f t="shared" si="123"/>
        <v>Senior</v>
      </c>
      <c r="D2630" t="s">
        <v>16</v>
      </c>
      <c r="E2630" t="s">
        <v>33</v>
      </c>
      <c r="F2630" t="s">
        <v>34</v>
      </c>
      <c r="G2630">
        <v>127.67</v>
      </c>
      <c r="H2630" t="s">
        <v>14</v>
      </c>
      <c r="I2630" t="s">
        <v>15</v>
      </c>
      <c r="J2630">
        <v>3.4</v>
      </c>
      <c r="K2630">
        <v>0</v>
      </c>
      <c r="L2630">
        <f t="shared" si="124"/>
        <v>127.67</v>
      </c>
      <c r="M2630">
        <v>0</v>
      </c>
      <c r="N2630" t="str">
        <f t="shared" si="125"/>
        <v>New</v>
      </c>
    </row>
    <row r="2631" spans="1:14" x14ac:dyDescent="0.35">
      <c r="A2631">
        <v>2630</v>
      </c>
      <c r="B2631">
        <v>49</v>
      </c>
      <c r="C2631" t="str">
        <f t="shared" si="123"/>
        <v>Adult</v>
      </c>
      <c r="D2631" t="s">
        <v>11</v>
      </c>
      <c r="E2631" t="s">
        <v>33</v>
      </c>
      <c r="F2631" t="s">
        <v>34</v>
      </c>
      <c r="G2631">
        <v>73.3</v>
      </c>
      <c r="H2631" t="s">
        <v>31</v>
      </c>
      <c r="I2631" t="s">
        <v>37</v>
      </c>
      <c r="J2631">
        <v>3.3</v>
      </c>
      <c r="K2631">
        <v>8</v>
      </c>
      <c r="L2631">
        <f t="shared" si="124"/>
        <v>67.436000000000007</v>
      </c>
      <c r="M2631">
        <v>4</v>
      </c>
      <c r="N2631" t="str">
        <f t="shared" si="125"/>
        <v>Regular</v>
      </c>
    </row>
    <row r="2632" spans="1:14" x14ac:dyDescent="0.35">
      <c r="A2632">
        <v>2631</v>
      </c>
      <c r="B2632">
        <v>25</v>
      </c>
      <c r="C2632" t="str">
        <f t="shared" si="123"/>
        <v>Youth</v>
      </c>
      <c r="D2632" t="s">
        <v>16</v>
      </c>
      <c r="E2632" t="s">
        <v>20</v>
      </c>
      <c r="F2632" t="s">
        <v>21</v>
      </c>
      <c r="G2632">
        <v>106.6</v>
      </c>
      <c r="H2632" t="s">
        <v>14</v>
      </c>
      <c r="I2632" t="s">
        <v>15</v>
      </c>
      <c r="J2632">
        <v>3.8</v>
      </c>
      <c r="K2632">
        <v>17</v>
      </c>
      <c r="L2632">
        <f t="shared" si="124"/>
        <v>88.477999999999994</v>
      </c>
      <c r="M2632">
        <v>6</v>
      </c>
      <c r="N2632" t="str">
        <f t="shared" si="125"/>
        <v>Regular</v>
      </c>
    </row>
    <row r="2633" spans="1:14" x14ac:dyDescent="0.35">
      <c r="A2633">
        <v>2632</v>
      </c>
      <c r="B2633">
        <v>52</v>
      </c>
      <c r="C2633" t="str">
        <f t="shared" si="123"/>
        <v>Adult</v>
      </c>
      <c r="D2633" t="s">
        <v>16</v>
      </c>
      <c r="E2633" t="s">
        <v>27</v>
      </c>
      <c r="F2633" t="s">
        <v>28</v>
      </c>
      <c r="G2633">
        <v>1302.45</v>
      </c>
      <c r="H2633" t="s">
        <v>14</v>
      </c>
      <c r="I2633" t="s">
        <v>15</v>
      </c>
      <c r="J2633">
        <v>4.5</v>
      </c>
      <c r="K2633">
        <v>18</v>
      </c>
      <c r="L2633">
        <f t="shared" si="124"/>
        <v>1068.009</v>
      </c>
      <c r="M2633">
        <v>9</v>
      </c>
      <c r="N2633" t="str">
        <f t="shared" si="125"/>
        <v>Loyal</v>
      </c>
    </row>
    <row r="2634" spans="1:14" x14ac:dyDescent="0.35">
      <c r="A2634">
        <v>2633</v>
      </c>
      <c r="B2634">
        <v>65</v>
      </c>
      <c r="C2634" t="str">
        <f t="shared" si="123"/>
        <v>Senior</v>
      </c>
      <c r="D2634" t="s">
        <v>16</v>
      </c>
      <c r="E2634" t="s">
        <v>22</v>
      </c>
      <c r="F2634" t="s">
        <v>52</v>
      </c>
      <c r="G2634">
        <v>275.33999999999997</v>
      </c>
      <c r="H2634" t="s">
        <v>14</v>
      </c>
      <c r="I2634" t="s">
        <v>15</v>
      </c>
      <c r="J2634">
        <v>3</v>
      </c>
      <c r="K2634">
        <v>14</v>
      </c>
      <c r="L2634">
        <f t="shared" si="124"/>
        <v>236.79239999999999</v>
      </c>
      <c r="M2634">
        <v>7</v>
      </c>
      <c r="N2634" t="str">
        <f t="shared" si="125"/>
        <v>Regular</v>
      </c>
    </row>
    <row r="2635" spans="1:14" x14ac:dyDescent="0.35">
      <c r="A2635">
        <v>2634</v>
      </c>
      <c r="B2635">
        <v>62</v>
      </c>
      <c r="C2635" t="str">
        <f t="shared" si="123"/>
        <v>Senior</v>
      </c>
      <c r="D2635" t="s">
        <v>11</v>
      </c>
      <c r="E2635" t="s">
        <v>41</v>
      </c>
      <c r="F2635" t="s">
        <v>42</v>
      </c>
      <c r="G2635">
        <v>167.27</v>
      </c>
      <c r="H2635" t="s">
        <v>31</v>
      </c>
      <c r="I2635" t="s">
        <v>15</v>
      </c>
      <c r="J2635">
        <v>3.3</v>
      </c>
      <c r="K2635">
        <v>18</v>
      </c>
      <c r="L2635">
        <f t="shared" si="124"/>
        <v>137.16140000000001</v>
      </c>
      <c r="M2635">
        <v>4</v>
      </c>
      <c r="N2635" t="str">
        <f t="shared" si="125"/>
        <v>Regular</v>
      </c>
    </row>
    <row r="2636" spans="1:14" x14ac:dyDescent="0.35">
      <c r="A2636">
        <v>2635</v>
      </c>
      <c r="B2636">
        <v>70</v>
      </c>
      <c r="C2636" t="str">
        <f t="shared" si="123"/>
        <v>Senior</v>
      </c>
      <c r="D2636" t="s">
        <v>16</v>
      </c>
      <c r="E2636" t="s">
        <v>17</v>
      </c>
      <c r="F2636" t="s">
        <v>18</v>
      </c>
      <c r="G2636">
        <v>191.8</v>
      </c>
      <c r="H2636" t="s">
        <v>14</v>
      </c>
      <c r="I2636" t="s">
        <v>15</v>
      </c>
      <c r="J2636">
        <v>2.4</v>
      </c>
      <c r="K2636">
        <v>13</v>
      </c>
      <c r="L2636">
        <f t="shared" si="124"/>
        <v>166.86600000000001</v>
      </c>
      <c r="M2636">
        <v>4</v>
      </c>
      <c r="N2636" t="str">
        <f t="shared" si="125"/>
        <v>Regular</v>
      </c>
    </row>
    <row r="2637" spans="1:14" x14ac:dyDescent="0.35">
      <c r="A2637">
        <v>2636</v>
      </c>
      <c r="B2637">
        <v>64</v>
      </c>
      <c r="C2637" t="str">
        <f t="shared" si="123"/>
        <v>Senior</v>
      </c>
      <c r="D2637" t="s">
        <v>16</v>
      </c>
      <c r="E2637" t="s">
        <v>33</v>
      </c>
      <c r="F2637" t="s">
        <v>40</v>
      </c>
      <c r="G2637">
        <v>62.44</v>
      </c>
      <c r="H2637" t="s">
        <v>14</v>
      </c>
      <c r="I2637" t="s">
        <v>15</v>
      </c>
      <c r="J2637">
        <v>5</v>
      </c>
      <c r="K2637">
        <v>16</v>
      </c>
      <c r="L2637">
        <f t="shared" si="124"/>
        <v>52.449599999999997</v>
      </c>
      <c r="M2637">
        <v>8</v>
      </c>
      <c r="N2637" t="str">
        <f t="shared" si="125"/>
        <v>Loyal</v>
      </c>
    </row>
    <row r="2638" spans="1:14" x14ac:dyDescent="0.35">
      <c r="A2638">
        <v>2637</v>
      </c>
      <c r="B2638">
        <v>22</v>
      </c>
      <c r="C2638" t="str">
        <f t="shared" si="123"/>
        <v>Youth</v>
      </c>
      <c r="D2638" t="s">
        <v>11</v>
      </c>
      <c r="E2638" t="s">
        <v>33</v>
      </c>
      <c r="F2638" t="s">
        <v>40</v>
      </c>
      <c r="G2638">
        <v>146.36000000000001</v>
      </c>
      <c r="H2638" t="s">
        <v>31</v>
      </c>
      <c r="I2638" t="s">
        <v>15</v>
      </c>
      <c r="J2638">
        <v>4.5999999999999996</v>
      </c>
      <c r="K2638">
        <v>10</v>
      </c>
      <c r="L2638">
        <f t="shared" si="124"/>
        <v>131.72400000000002</v>
      </c>
      <c r="M2638">
        <v>5</v>
      </c>
      <c r="N2638" t="str">
        <f t="shared" si="125"/>
        <v>Regular</v>
      </c>
    </row>
    <row r="2639" spans="1:14" x14ac:dyDescent="0.35">
      <c r="A2639">
        <v>2638</v>
      </c>
      <c r="B2639">
        <v>61</v>
      </c>
      <c r="C2639" t="str">
        <f t="shared" si="123"/>
        <v>Senior</v>
      </c>
      <c r="D2639" t="s">
        <v>16</v>
      </c>
      <c r="E2639" t="s">
        <v>20</v>
      </c>
      <c r="F2639" t="s">
        <v>36</v>
      </c>
      <c r="G2639">
        <v>237.45</v>
      </c>
      <c r="H2639" t="s">
        <v>31</v>
      </c>
      <c r="I2639" t="s">
        <v>15</v>
      </c>
      <c r="J2639">
        <v>5</v>
      </c>
      <c r="K2639">
        <v>24</v>
      </c>
      <c r="L2639">
        <f t="shared" si="124"/>
        <v>180.46199999999999</v>
      </c>
      <c r="M2639">
        <v>7</v>
      </c>
      <c r="N2639" t="str">
        <f t="shared" si="125"/>
        <v>Regular</v>
      </c>
    </row>
    <row r="2640" spans="1:14" x14ac:dyDescent="0.35">
      <c r="A2640">
        <v>2639</v>
      </c>
      <c r="B2640">
        <v>63</v>
      </c>
      <c r="C2640" t="str">
        <f t="shared" si="123"/>
        <v>Senior</v>
      </c>
      <c r="D2640" t="s">
        <v>11</v>
      </c>
      <c r="E2640" t="s">
        <v>29</v>
      </c>
      <c r="F2640" t="s">
        <v>30</v>
      </c>
      <c r="G2640">
        <v>85.28</v>
      </c>
      <c r="H2640" t="s">
        <v>31</v>
      </c>
      <c r="I2640" t="s">
        <v>15</v>
      </c>
      <c r="J2640">
        <v>4.9000000000000004</v>
      </c>
      <c r="K2640">
        <v>20</v>
      </c>
      <c r="L2640">
        <f t="shared" si="124"/>
        <v>68.224000000000004</v>
      </c>
      <c r="M2640">
        <v>10</v>
      </c>
      <c r="N2640" t="str">
        <f t="shared" si="125"/>
        <v>Loyal</v>
      </c>
    </row>
    <row r="2641" spans="1:14" x14ac:dyDescent="0.35">
      <c r="A2641">
        <v>2640</v>
      </c>
      <c r="B2641">
        <v>45</v>
      </c>
      <c r="C2641" t="str">
        <f t="shared" si="123"/>
        <v>Adult</v>
      </c>
      <c r="D2641" t="s">
        <v>16</v>
      </c>
      <c r="E2641" t="s">
        <v>27</v>
      </c>
      <c r="F2641" t="s">
        <v>49</v>
      </c>
      <c r="G2641">
        <v>1766.89</v>
      </c>
      <c r="H2641" t="s">
        <v>14</v>
      </c>
      <c r="I2641" t="s">
        <v>15</v>
      </c>
      <c r="J2641">
        <v>4.5</v>
      </c>
      <c r="K2641">
        <v>20</v>
      </c>
      <c r="L2641">
        <f t="shared" si="124"/>
        <v>1413.5120000000002</v>
      </c>
      <c r="M2641">
        <v>5</v>
      </c>
      <c r="N2641" t="str">
        <f t="shared" si="125"/>
        <v>Regular</v>
      </c>
    </row>
    <row r="2642" spans="1:14" x14ac:dyDescent="0.35">
      <c r="A2642">
        <v>2641</v>
      </c>
      <c r="B2642">
        <v>26</v>
      </c>
      <c r="C2642" t="str">
        <f t="shared" si="123"/>
        <v>Youth</v>
      </c>
      <c r="D2642" t="s">
        <v>11</v>
      </c>
      <c r="E2642" t="s">
        <v>41</v>
      </c>
      <c r="F2642" t="s">
        <v>44</v>
      </c>
      <c r="G2642">
        <v>56.74</v>
      </c>
      <c r="H2642" t="s">
        <v>31</v>
      </c>
      <c r="I2642" t="s">
        <v>37</v>
      </c>
      <c r="J2642">
        <v>3.8</v>
      </c>
      <c r="K2642">
        <v>19</v>
      </c>
      <c r="L2642">
        <f t="shared" si="124"/>
        <v>45.959400000000002</v>
      </c>
      <c r="M2642">
        <v>7</v>
      </c>
      <c r="N2642" t="str">
        <f t="shared" si="125"/>
        <v>Regular</v>
      </c>
    </row>
    <row r="2643" spans="1:14" x14ac:dyDescent="0.35">
      <c r="A2643">
        <v>2642</v>
      </c>
      <c r="B2643">
        <v>48</v>
      </c>
      <c r="C2643" t="str">
        <f t="shared" si="123"/>
        <v>Adult</v>
      </c>
      <c r="D2643" t="s">
        <v>11</v>
      </c>
      <c r="E2643" t="s">
        <v>29</v>
      </c>
      <c r="F2643" t="s">
        <v>51</v>
      </c>
      <c r="G2643">
        <v>39.32</v>
      </c>
      <c r="H2643" t="s">
        <v>24</v>
      </c>
      <c r="I2643" t="s">
        <v>37</v>
      </c>
      <c r="J2643">
        <v>4.2</v>
      </c>
      <c r="K2643">
        <v>13</v>
      </c>
      <c r="L2643">
        <f t="shared" si="124"/>
        <v>34.208399999999997</v>
      </c>
      <c r="M2643">
        <v>4</v>
      </c>
      <c r="N2643" t="str">
        <f t="shared" si="125"/>
        <v>Regular</v>
      </c>
    </row>
    <row r="2644" spans="1:14" x14ac:dyDescent="0.35">
      <c r="A2644">
        <v>2643</v>
      </c>
      <c r="B2644">
        <v>64</v>
      </c>
      <c r="C2644" t="str">
        <f t="shared" si="123"/>
        <v>Senior</v>
      </c>
      <c r="D2644" t="s">
        <v>11</v>
      </c>
      <c r="E2644" t="s">
        <v>12</v>
      </c>
      <c r="F2644" t="s">
        <v>13</v>
      </c>
      <c r="G2644">
        <v>98.93</v>
      </c>
      <c r="H2644" t="s">
        <v>19</v>
      </c>
      <c r="I2644" t="s">
        <v>37</v>
      </c>
      <c r="J2644">
        <v>3.9</v>
      </c>
      <c r="K2644">
        <v>16</v>
      </c>
      <c r="L2644">
        <f t="shared" si="124"/>
        <v>83.101200000000006</v>
      </c>
      <c r="M2644">
        <v>3</v>
      </c>
      <c r="N2644" t="str">
        <f t="shared" si="125"/>
        <v>New</v>
      </c>
    </row>
    <row r="2645" spans="1:14" x14ac:dyDescent="0.35">
      <c r="A2645">
        <v>2644</v>
      </c>
      <c r="B2645">
        <v>61</v>
      </c>
      <c r="C2645" t="str">
        <f t="shared" si="123"/>
        <v>Senior</v>
      </c>
      <c r="D2645" t="s">
        <v>16</v>
      </c>
      <c r="E2645" t="s">
        <v>25</v>
      </c>
      <c r="F2645" t="s">
        <v>54</v>
      </c>
      <c r="G2645">
        <v>57.47</v>
      </c>
      <c r="H2645" t="s">
        <v>31</v>
      </c>
      <c r="I2645" t="s">
        <v>37</v>
      </c>
      <c r="J2645">
        <v>3.4</v>
      </c>
      <c r="K2645">
        <v>18</v>
      </c>
      <c r="L2645">
        <f t="shared" si="124"/>
        <v>47.125400000000006</v>
      </c>
      <c r="M2645">
        <v>4</v>
      </c>
      <c r="N2645" t="str">
        <f t="shared" si="125"/>
        <v>Regular</v>
      </c>
    </row>
    <row r="2646" spans="1:14" x14ac:dyDescent="0.35">
      <c r="A2646">
        <v>2645</v>
      </c>
      <c r="B2646">
        <v>36</v>
      </c>
      <c r="C2646" t="str">
        <f t="shared" si="123"/>
        <v>Adult</v>
      </c>
      <c r="D2646" t="s">
        <v>11</v>
      </c>
      <c r="E2646" t="s">
        <v>25</v>
      </c>
      <c r="F2646" t="s">
        <v>47</v>
      </c>
      <c r="G2646">
        <v>57.01</v>
      </c>
      <c r="H2646" t="s">
        <v>14</v>
      </c>
      <c r="I2646" t="s">
        <v>15</v>
      </c>
      <c r="J2646">
        <v>3.9</v>
      </c>
      <c r="K2646">
        <v>6</v>
      </c>
      <c r="L2646">
        <f t="shared" si="124"/>
        <v>53.589399999999998</v>
      </c>
      <c r="M2646">
        <v>3</v>
      </c>
      <c r="N2646" t="str">
        <f t="shared" si="125"/>
        <v>New</v>
      </c>
    </row>
    <row r="2647" spans="1:14" x14ac:dyDescent="0.35">
      <c r="A2647">
        <v>2646</v>
      </c>
      <c r="B2647">
        <v>64</v>
      </c>
      <c r="C2647" t="str">
        <f t="shared" si="123"/>
        <v>Senior</v>
      </c>
      <c r="D2647" t="s">
        <v>16</v>
      </c>
      <c r="E2647" t="s">
        <v>17</v>
      </c>
      <c r="F2647" t="s">
        <v>35</v>
      </c>
      <c r="G2647">
        <v>150.52000000000001</v>
      </c>
      <c r="H2647" t="s">
        <v>24</v>
      </c>
      <c r="I2647" t="s">
        <v>15</v>
      </c>
      <c r="J2647">
        <v>4.3</v>
      </c>
      <c r="K2647">
        <v>18</v>
      </c>
      <c r="L2647">
        <f t="shared" si="124"/>
        <v>123.42640000000002</v>
      </c>
      <c r="M2647">
        <v>4</v>
      </c>
      <c r="N2647" t="str">
        <f t="shared" si="125"/>
        <v>Regular</v>
      </c>
    </row>
    <row r="2648" spans="1:14" x14ac:dyDescent="0.35">
      <c r="A2648">
        <v>2647</v>
      </c>
      <c r="B2648">
        <v>50</v>
      </c>
      <c r="C2648" t="str">
        <f t="shared" si="123"/>
        <v>Adult</v>
      </c>
      <c r="D2648" t="s">
        <v>11</v>
      </c>
      <c r="E2648" t="s">
        <v>29</v>
      </c>
      <c r="F2648" t="s">
        <v>30</v>
      </c>
      <c r="G2648">
        <v>58.55</v>
      </c>
      <c r="H2648" t="s">
        <v>19</v>
      </c>
      <c r="I2648" t="s">
        <v>15</v>
      </c>
      <c r="J2648">
        <v>3.4</v>
      </c>
      <c r="K2648">
        <v>19</v>
      </c>
      <c r="L2648">
        <f t="shared" si="124"/>
        <v>47.4255</v>
      </c>
      <c r="M2648">
        <v>7</v>
      </c>
      <c r="N2648" t="str">
        <f t="shared" si="125"/>
        <v>Regular</v>
      </c>
    </row>
    <row r="2649" spans="1:14" x14ac:dyDescent="0.35">
      <c r="A2649">
        <v>2648</v>
      </c>
      <c r="B2649">
        <v>64</v>
      </c>
      <c r="C2649" t="str">
        <f t="shared" si="123"/>
        <v>Senior</v>
      </c>
      <c r="D2649" t="s">
        <v>11</v>
      </c>
      <c r="E2649" t="s">
        <v>41</v>
      </c>
      <c r="F2649" t="s">
        <v>44</v>
      </c>
      <c r="G2649">
        <v>32.29</v>
      </c>
      <c r="H2649" t="s">
        <v>24</v>
      </c>
      <c r="I2649" t="s">
        <v>37</v>
      </c>
      <c r="J2649">
        <v>4.2</v>
      </c>
      <c r="K2649">
        <v>12</v>
      </c>
      <c r="L2649">
        <f t="shared" si="124"/>
        <v>28.415199999999999</v>
      </c>
      <c r="M2649">
        <v>6</v>
      </c>
      <c r="N2649" t="str">
        <f t="shared" si="125"/>
        <v>Regular</v>
      </c>
    </row>
    <row r="2650" spans="1:14" x14ac:dyDescent="0.35">
      <c r="A2650">
        <v>2649</v>
      </c>
      <c r="B2650">
        <v>65</v>
      </c>
      <c r="C2650" t="str">
        <f t="shared" si="123"/>
        <v>Senior</v>
      </c>
      <c r="D2650" t="s">
        <v>16</v>
      </c>
      <c r="E2650" t="s">
        <v>27</v>
      </c>
      <c r="F2650" t="s">
        <v>28</v>
      </c>
      <c r="G2650">
        <v>1042.54</v>
      </c>
      <c r="H2650" t="s">
        <v>14</v>
      </c>
      <c r="I2650" t="s">
        <v>15</v>
      </c>
      <c r="J2650">
        <v>3.7</v>
      </c>
      <c r="K2650">
        <v>12</v>
      </c>
      <c r="L2650">
        <f t="shared" si="124"/>
        <v>917.43520000000001</v>
      </c>
      <c r="M2650">
        <v>6</v>
      </c>
      <c r="N2650" t="str">
        <f t="shared" si="125"/>
        <v>Regular</v>
      </c>
    </row>
    <row r="2651" spans="1:14" x14ac:dyDescent="0.35">
      <c r="A2651">
        <v>2650</v>
      </c>
      <c r="B2651">
        <v>69</v>
      </c>
      <c r="C2651" t="str">
        <f t="shared" si="123"/>
        <v>Senior</v>
      </c>
      <c r="D2651" t="s">
        <v>11</v>
      </c>
      <c r="E2651" t="s">
        <v>25</v>
      </c>
      <c r="F2651" t="s">
        <v>57</v>
      </c>
      <c r="G2651">
        <v>26.45</v>
      </c>
      <c r="H2651" t="s">
        <v>31</v>
      </c>
      <c r="I2651" t="s">
        <v>37</v>
      </c>
      <c r="J2651">
        <v>4.5</v>
      </c>
      <c r="K2651">
        <v>20</v>
      </c>
      <c r="L2651">
        <f t="shared" si="124"/>
        <v>21.16</v>
      </c>
      <c r="M2651">
        <v>5</v>
      </c>
      <c r="N2651" t="str">
        <f t="shared" si="125"/>
        <v>Regular</v>
      </c>
    </row>
    <row r="2652" spans="1:14" x14ac:dyDescent="0.35">
      <c r="A2652">
        <v>2651</v>
      </c>
      <c r="B2652">
        <v>32</v>
      </c>
      <c r="C2652" t="str">
        <f t="shared" si="123"/>
        <v>Adult</v>
      </c>
      <c r="D2652" t="s">
        <v>11</v>
      </c>
      <c r="E2652" t="s">
        <v>33</v>
      </c>
      <c r="F2652" t="s">
        <v>38</v>
      </c>
      <c r="G2652">
        <v>90.64</v>
      </c>
      <c r="H2652" t="s">
        <v>31</v>
      </c>
      <c r="I2652" t="s">
        <v>37</v>
      </c>
      <c r="J2652">
        <v>3.7</v>
      </c>
      <c r="K2652">
        <v>17</v>
      </c>
      <c r="L2652">
        <f t="shared" si="124"/>
        <v>75.231200000000001</v>
      </c>
      <c r="M2652">
        <v>6</v>
      </c>
      <c r="N2652" t="str">
        <f t="shared" si="125"/>
        <v>Regular</v>
      </c>
    </row>
    <row r="2653" spans="1:14" x14ac:dyDescent="0.35">
      <c r="A2653">
        <v>2652</v>
      </c>
      <c r="B2653">
        <v>33</v>
      </c>
      <c r="C2653" t="str">
        <f t="shared" si="123"/>
        <v>Adult</v>
      </c>
      <c r="D2653" t="s">
        <v>16</v>
      </c>
      <c r="E2653" t="s">
        <v>33</v>
      </c>
      <c r="F2653" t="s">
        <v>34</v>
      </c>
      <c r="G2653">
        <v>44.23</v>
      </c>
      <c r="H2653" t="s">
        <v>19</v>
      </c>
      <c r="I2653" t="s">
        <v>37</v>
      </c>
      <c r="J2653">
        <v>2.4</v>
      </c>
      <c r="K2653">
        <v>8</v>
      </c>
      <c r="L2653">
        <f t="shared" si="124"/>
        <v>40.691600000000001</v>
      </c>
      <c r="M2653">
        <v>4</v>
      </c>
      <c r="N2653" t="str">
        <f t="shared" si="125"/>
        <v>Regular</v>
      </c>
    </row>
    <row r="2654" spans="1:14" x14ac:dyDescent="0.35">
      <c r="A2654">
        <v>2653</v>
      </c>
      <c r="B2654">
        <v>58</v>
      </c>
      <c r="C2654" t="str">
        <f t="shared" si="123"/>
        <v>Adult</v>
      </c>
      <c r="D2654" t="s">
        <v>16</v>
      </c>
      <c r="E2654" t="s">
        <v>33</v>
      </c>
      <c r="F2654" t="s">
        <v>34</v>
      </c>
      <c r="G2654">
        <v>54.47</v>
      </c>
      <c r="H2654" t="s">
        <v>14</v>
      </c>
      <c r="I2654" t="s">
        <v>15</v>
      </c>
      <c r="J2654">
        <v>3.1</v>
      </c>
      <c r="K2654">
        <v>12</v>
      </c>
      <c r="L2654">
        <f t="shared" si="124"/>
        <v>47.933599999999998</v>
      </c>
      <c r="M2654">
        <v>6</v>
      </c>
      <c r="N2654" t="str">
        <f t="shared" si="125"/>
        <v>Regular</v>
      </c>
    </row>
    <row r="2655" spans="1:14" x14ac:dyDescent="0.35">
      <c r="A2655">
        <v>2654</v>
      </c>
      <c r="B2655">
        <v>51</v>
      </c>
      <c r="C2655" t="str">
        <f t="shared" si="123"/>
        <v>Adult</v>
      </c>
      <c r="D2655" t="s">
        <v>11</v>
      </c>
      <c r="E2655" t="s">
        <v>12</v>
      </c>
      <c r="F2655" t="s">
        <v>56</v>
      </c>
      <c r="G2655">
        <v>121.74</v>
      </c>
      <c r="H2655" t="s">
        <v>24</v>
      </c>
      <c r="I2655" t="s">
        <v>15</v>
      </c>
      <c r="J2655">
        <v>4.5999999999999996</v>
      </c>
      <c r="K2655">
        <v>4</v>
      </c>
      <c r="L2655">
        <f t="shared" si="124"/>
        <v>116.87039999999999</v>
      </c>
      <c r="M2655">
        <v>2</v>
      </c>
      <c r="N2655" t="str">
        <f t="shared" si="125"/>
        <v>New</v>
      </c>
    </row>
    <row r="2656" spans="1:14" x14ac:dyDescent="0.35">
      <c r="A2656">
        <v>2655</v>
      </c>
      <c r="B2656">
        <v>69</v>
      </c>
      <c r="C2656" t="str">
        <f t="shared" si="123"/>
        <v>Senior</v>
      </c>
      <c r="D2656" t="s">
        <v>11</v>
      </c>
      <c r="E2656" t="s">
        <v>22</v>
      </c>
      <c r="F2656" t="s">
        <v>52</v>
      </c>
      <c r="G2656">
        <v>51.27</v>
      </c>
      <c r="H2656" t="s">
        <v>31</v>
      </c>
      <c r="I2656" t="s">
        <v>15</v>
      </c>
      <c r="J2656">
        <v>3.9</v>
      </c>
      <c r="K2656">
        <v>16</v>
      </c>
      <c r="L2656">
        <f t="shared" si="124"/>
        <v>43.066800000000001</v>
      </c>
      <c r="M2656">
        <v>3</v>
      </c>
      <c r="N2656" t="str">
        <f t="shared" si="125"/>
        <v>New</v>
      </c>
    </row>
    <row r="2657" spans="1:14" x14ac:dyDescent="0.35">
      <c r="A2657">
        <v>2656</v>
      </c>
      <c r="B2657">
        <v>39</v>
      </c>
      <c r="C2657" t="str">
        <f t="shared" si="123"/>
        <v>Adult</v>
      </c>
      <c r="D2657" t="s">
        <v>16</v>
      </c>
      <c r="E2657" t="s">
        <v>22</v>
      </c>
      <c r="F2657" t="s">
        <v>43</v>
      </c>
      <c r="G2657">
        <v>188.31</v>
      </c>
      <c r="H2657" t="s">
        <v>14</v>
      </c>
      <c r="I2657" t="s">
        <v>15</v>
      </c>
      <c r="J2657">
        <v>2.8</v>
      </c>
      <c r="K2657">
        <v>8</v>
      </c>
      <c r="L2657">
        <f t="shared" si="124"/>
        <v>173.24520000000001</v>
      </c>
      <c r="M2657">
        <v>4</v>
      </c>
      <c r="N2657" t="str">
        <f t="shared" si="125"/>
        <v>Regular</v>
      </c>
    </row>
    <row r="2658" spans="1:14" x14ac:dyDescent="0.35">
      <c r="A2658">
        <v>2657</v>
      </c>
      <c r="B2658">
        <v>63</v>
      </c>
      <c r="C2658" t="str">
        <f t="shared" si="123"/>
        <v>Senior</v>
      </c>
      <c r="D2658" t="s">
        <v>11</v>
      </c>
      <c r="E2658" t="s">
        <v>33</v>
      </c>
      <c r="F2658" t="s">
        <v>38</v>
      </c>
      <c r="G2658">
        <v>230.43</v>
      </c>
      <c r="H2658" t="s">
        <v>24</v>
      </c>
      <c r="I2658" t="s">
        <v>15</v>
      </c>
      <c r="J2658">
        <v>3.8</v>
      </c>
      <c r="K2658">
        <v>8</v>
      </c>
      <c r="L2658">
        <f t="shared" si="124"/>
        <v>211.99560000000002</v>
      </c>
      <c r="M2658">
        <v>4</v>
      </c>
      <c r="N2658" t="str">
        <f t="shared" si="125"/>
        <v>Regular</v>
      </c>
    </row>
    <row r="2659" spans="1:14" x14ac:dyDescent="0.35">
      <c r="A2659">
        <v>2658</v>
      </c>
      <c r="B2659">
        <v>56</v>
      </c>
      <c r="C2659" t="str">
        <f t="shared" si="123"/>
        <v>Adult</v>
      </c>
      <c r="D2659" t="s">
        <v>16</v>
      </c>
      <c r="E2659" t="s">
        <v>17</v>
      </c>
      <c r="F2659" t="s">
        <v>35</v>
      </c>
      <c r="G2659">
        <v>47.11</v>
      </c>
      <c r="H2659" t="s">
        <v>19</v>
      </c>
      <c r="I2659" t="s">
        <v>37</v>
      </c>
      <c r="J2659">
        <v>4.4000000000000004</v>
      </c>
      <c r="K2659">
        <v>8</v>
      </c>
      <c r="L2659">
        <f t="shared" si="124"/>
        <v>43.341200000000001</v>
      </c>
      <c r="M2659">
        <v>4</v>
      </c>
      <c r="N2659" t="str">
        <f t="shared" si="125"/>
        <v>Regular</v>
      </c>
    </row>
    <row r="2660" spans="1:14" x14ac:dyDescent="0.35">
      <c r="A2660">
        <v>2659</v>
      </c>
      <c r="B2660">
        <v>70</v>
      </c>
      <c r="C2660" t="str">
        <f t="shared" si="123"/>
        <v>Senior</v>
      </c>
      <c r="D2660" t="s">
        <v>11</v>
      </c>
      <c r="E2660" t="s">
        <v>41</v>
      </c>
      <c r="F2660" t="s">
        <v>42</v>
      </c>
      <c r="G2660">
        <v>30.45</v>
      </c>
      <c r="H2660" t="s">
        <v>24</v>
      </c>
      <c r="I2660" t="s">
        <v>15</v>
      </c>
      <c r="J2660">
        <v>3.8</v>
      </c>
      <c r="K2660">
        <v>12</v>
      </c>
      <c r="L2660">
        <f t="shared" si="124"/>
        <v>26.795999999999999</v>
      </c>
      <c r="M2660">
        <v>6</v>
      </c>
      <c r="N2660" t="str">
        <f t="shared" si="125"/>
        <v>Regular</v>
      </c>
    </row>
    <row r="2661" spans="1:14" x14ac:dyDescent="0.35">
      <c r="A2661">
        <v>2660</v>
      </c>
      <c r="B2661">
        <v>50</v>
      </c>
      <c r="C2661" t="str">
        <f t="shared" si="123"/>
        <v>Adult</v>
      </c>
      <c r="D2661" t="s">
        <v>11</v>
      </c>
      <c r="E2661" t="s">
        <v>29</v>
      </c>
      <c r="F2661" t="s">
        <v>55</v>
      </c>
      <c r="G2661">
        <v>54.62</v>
      </c>
      <c r="H2661" t="s">
        <v>19</v>
      </c>
      <c r="I2661" t="s">
        <v>37</v>
      </c>
      <c r="J2661">
        <v>4.0999999999999996</v>
      </c>
      <c r="K2661">
        <v>16</v>
      </c>
      <c r="L2661">
        <f t="shared" si="124"/>
        <v>45.880799999999994</v>
      </c>
      <c r="M2661">
        <v>3</v>
      </c>
      <c r="N2661" t="str">
        <f t="shared" si="125"/>
        <v>New</v>
      </c>
    </row>
    <row r="2662" spans="1:14" x14ac:dyDescent="0.35">
      <c r="A2662">
        <v>2661</v>
      </c>
      <c r="B2662">
        <v>45</v>
      </c>
      <c r="C2662" t="str">
        <f t="shared" si="123"/>
        <v>Adult</v>
      </c>
      <c r="D2662" t="s">
        <v>16</v>
      </c>
      <c r="E2662" t="s">
        <v>25</v>
      </c>
      <c r="F2662" t="s">
        <v>54</v>
      </c>
      <c r="G2662">
        <v>5.85</v>
      </c>
      <c r="H2662" t="s">
        <v>24</v>
      </c>
      <c r="I2662" t="s">
        <v>15</v>
      </c>
      <c r="J2662">
        <v>4.5</v>
      </c>
      <c r="K2662">
        <v>13</v>
      </c>
      <c r="L2662">
        <f t="shared" si="124"/>
        <v>5.0894999999999992</v>
      </c>
      <c r="M2662">
        <v>4</v>
      </c>
      <c r="N2662" t="str">
        <f t="shared" si="125"/>
        <v>Regular</v>
      </c>
    </row>
    <row r="2663" spans="1:14" x14ac:dyDescent="0.35">
      <c r="A2663">
        <v>2662</v>
      </c>
      <c r="B2663">
        <v>55</v>
      </c>
      <c r="C2663" t="str">
        <f t="shared" si="123"/>
        <v>Adult</v>
      </c>
      <c r="D2663" t="s">
        <v>16</v>
      </c>
      <c r="E2663" t="s">
        <v>20</v>
      </c>
      <c r="F2663" t="s">
        <v>39</v>
      </c>
      <c r="G2663">
        <v>175.82</v>
      </c>
      <c r="H2663" t="s">
        <v>31</v>
      </c>
      <c r="I2663" t="s">
        <v>15</v>
      </c>
      <c r="J2663">
        <v>4.5999999999999996</v>
      </c>
      <c r="K2663">
        <v>7</v>
      </c>
      <c r="L2663">
        <f t="shared" si="124"/>
        <v>163.51259999999999</v>
      </c>
      <c r="M2663">
        <v>1</v>
      </c>
      <c r="N2663" t="str">
        <f t="shared" si="125"/>
        <v>New</v>
      </c>
    </row>
    <row r="2664" spans="1:14" x14ac:dyDescent="0.35">
      <c r="A2664">
        <v>2663</v>
      </c>
      <c r="B2664">
        <v>26</v>
      </c>
      <c r="C2664" t="str">
        <f t="shared" si="123"/>
        <v>Youth</v>
      </c>
      <c r="D2664" t="s">
        <v>16</v>
      </c>
      <c r="E2664" t="s">
        <v>20</v>
      </c>
      <c r="F2664" t="s">
        <v>39</v>
      </c>
      <c r="G2664">
        <v>34.479999999999997</v>
      </c>
      <c r="H2664" t="s">
        <v>14</v>
      </c>
      <c r="I2664" t="s">
        <v>37</v>
      </c>
      <c r="J2664">
        <v>4</v>
      </c>
      <c r="K2664">
        <v>17</v>
      </c>
      <c r="L2664">
        <f t="shared" si="124"/>
        <v>28.618399999999998</v>
      </c>
      <c r="M2664">
        <v>6</v>
      </c>
      <c r="N2664" t="str">
        <f t="shared" si="125"/>
        <v>Regular</v>
      </c>
    </row>
    <row r="2665" spans="1:14" x14ac:dyDescent="0.35">
      <c r="A2665">
        <v>2664</v>
      </c>
      <c r="B2665">
        <v>69</v>
      </c>
      <c r="C2665" t="str">
        <f t="shared" si="123"/>
        <v>Senior</v>
      </c>
      <c r="D2665" t="s">
        <v>16</v>
      </c>
      <c r="E2665" t="s">
        <v>27</v>
      </c>
      <c r="F2665" t="s">
        <v>28</v>
      </c>
      <c r="G2665">
        <v>2410.79</v>
      </c>
      <c r="H2665" t="s">
        <v>24</v>
      </c>
      <c r="I2665" t="s">
        <v>15</v>
      </c>
      <c r="J2665">
        <v>4.3</v>
      </c>
      <c r="K2665">
        <v>16</v>
      </c>
      <c r="L2665">
        <f t="shared" si="124"/>
        <v>2025.0636</v>
      </c>
      <c r="M2665">
        <v>8</v>
      </c>
      <c r="N2665" t="str">
        <f t="shared" si="125"/>
        <v>Loyal</v>
      </c>
    </row>
    <row r="2666" spans="1:14" x14ac:dyDescent="0.35">
      <c r="A2666">
        <v>2665</v>
      </c>
      <c r="B2666">
        <v>64</v>
      </c>
      <c r="C2666" t="str">
        <f t="shared" si="123"/>
        <v>Senior</v>
      </c>
      <c r="D2666" t="s">
        <v>16</v>
      </c>
      <c r="E2666" t="s">
        <v>20</v>
      </c>
      <c r="F2666" t="s">
        <v>21</v>
      </c>
      <c r="G2666">
        <v>232.53</v>
      </c>
      <c r="H2666" t="s">
        <v>14</v>
      </c>
      <c r="I2666" t="s">
        <v>15</v>
      </c>
      <c r="J2666">
        <v>4.3</v>
      </c>
      <c r="K2666">
        <v>19</v>
      </c>
      <c r="L2666">
        <f t="shared" si="124"/>
        <v>188.3493</v>
      </c>
      <c r="M2666">
        <v>7</v>
      </c>
      <c r="N2666" t="str">
        <f t="shared" si="125"/>
        <v>Regular</v>
      </c>
    </row>
    <row r="2667" spans="1:14" x14ac:dyDescent="0.35">
      <c r="A2667">
        <v>2666</v>
      </c>
      <c r="B2667">
        <v>31</v>
      </c>
      <c r="C2667" t="str">
        <f t="shared" si="123"/>
        <v>Adult</v>
      </c>
      <c r="D2667" t="s">
        <v>16</v>
      </c>
      <c r="E2667" t="s">
        <v>33</v>
      </c>
      <c r="F2667" t="s">
        <v>38</v>
      </c>
      <c r="G2667">
        <v>112.63</v>
      </c>
      <c r="H2667" t="s">
        <v>14</v>
      </c>
      <c r="I2667" t="s">
        <v>15</v>
      </c>
      <c r="J2667">
        <v>2.7</v>
      </c>
      <c r="K2667">
        <v>8</v>
      </c>
      <c r="L2667">
        <f t="shared" si="124"/>
        <v>103.61960000000001</v>
      </c>
      <c r="M2667">
        <v>4</v>
      </c>
      <c r="N2667" t="str">
        <f t="shared" si="125"/>
        <v>Regular</v>
      </c>
    </row>
    <row r="2668" spans="1:14" x14ac:dyDescent="0.35">
      <c r="A2668">
        <v>2667</v>
      </c>
      <c r="B2668">
        <v>60</v>
      </c>
      <c r="C2668" t="str">
        <f t="shared" si="123"/>
        <v>Adult</v>
      </c>
      <c r="D2668" t="s">
        <v>11</v>
      </c>
      <c r="E2668" t="s">
        <v>12</v>
      </c>
      <c r="F2668" t="s">
        <v>13</v>
      </c>
      <c r="G2668">
        <v>138.91</v>
      </c>
      <c r="H2668" t="s">
        <v>14</v>
      </c>
      <c r="I2668" t="s">
        <v>15</v>
      </c>
      <c r="J2668">
        <v>4.4000000000000004</v>
      </c>
      <c r="K2668">
        <v>13</v>
      </c>
      <c r="L2668">
        <f t="shared" si="124"/>
        <v>120.85169999999999</v>
      </c>
      <c r="M2668">
        <v>4</v>
      </c>
      <c r="N2668" t="str">
        <f t="shared" si="125"/>
        <v>Regular</v>
      </c>
    </row>
    <row r="2669" spans="1:14" x14ac:dyDescent="0.35">
      <c r="A2669">
        <v>2668</v>
      </c>
      <c r="B2669">
        <v>26</v>
      </c>
      <c r="C2669" t="str">
        <f t="shared" si="123"/>
        <v>Youth</v>
      </c>
      <c r="D2669" t="s">
        <v>16</v>
      </c>
      <c r="E2669" t="s">
        <v>33</v>
      </c>
      <c r="F2669" t="s">
        <v>38</v>
      </c>
      <c r="G2669">
        <v>221.47</v>
      </c>
      <c r="H2669" t="s">
        <v>14</v>
      </c>
      <c r="I2669" t="s">
        <v>15</v>
      </c>
      <c r="J2669">
        <v>3.1</v>
      </c>
      <c r="K2669">
        <v>12</v>
      </c>
      <c r="L2669">
        <f t="shared" si="124"/>
        <v>194.89359999999999</v>
      </c>
      <c r="M2669">
        <v>6</v>
      </c>
      <c r="N2669" t="str">
        <f t="shared" si="125"/>
        <v>Regular</v>
      </c>
    </row>
    <row r="2670" spans="1:14" x14ac:dyDescent="0.35">
      <c r="A2670">
        <v>2669</v>
      </c>
      <c r="B2670">
        <v>21</v>
      </c>
      <c r="C2670" t="str">
        <f t="shared" si="123"/>
        <v>Youth</v>
      </c>
      <c r="D2670" t="s">
        <v>11</v>
      </c>
      <c r="E2670" t="s">
        <v>41</v>
      </c>
      <c r="F2670" t="s">
        <v>42</v>
      </c>
      <c r="G2670">
        <v>52.43</v>
      </c>
      <c r="H2670" t="s">
        <v>14</v>
      </c>
      <c r="I2670" t="s">
        <v>37</v>
      </c>
      <c r="J2670">
        <v>3.6</v>
      </c>
      <c r="K2670">
        <v>25</v>
      </c>
      <c r="L2670">
        <f t="shared" si="124"/>
        <v>39.322499999999998</v>
      </c>
      <c r="M2670">
        <v>10</v>
      </c>
      <c r="N2670" t="str">
        <f t="shared" si="125"/>
        <v>Loyal</v>
      </c>
    </row>
    <row r="2671" spans="1:14" x14ac:dyDescent="0.35">
      <c r="A2671">
        <v>2670</v>
      </c>
      <c r="B2671">
        <v>37</v>
      </c>
      <c r="C2671" t="str">
        <f t="shared" si="123"/>
        <v>Adult</v>
      </c>
      <c r="D2671" t="s">
        <v>16</v>
      </c>
      <c r="E2671" t="s">
        <v>20</v>
      </c>
      <c r="F2671" t="s">
        <v>39</v>
      </c>
      <c r="G2671">
        <v>172.83</v>
      </c>
      <c r="H2671" t="s">
        <v>19</v>
      </c>
      <c r="I2671" t="s">
        <v>15</v>
      </c>
      <c r="J2671">
        <v>3.1</v>
      </c>
      <c r="K2671">
        <v>22</v>
      </c>
      <c r="L2671">
        <f t="shared" si="124"/>
        <v>134.8074</v>
      </c>
      <c r="M2671">
        <v>6</v>
      </c>
      <c r="N2671" t="str">
        <f t="shared" si="125"/>
        <v>Regular</v>
      </c>
    </row>
    <row r="2672" spans="1:14" x14ac:dyDescent="0.35">
      <c r="A2672">
        <v>2671</v>
      </c>
      <c r="B2672">
        <v>35</v>
      </c>
      <c r="C2672" t="str">
        <f t="shared" si="123"/>
        <v>Adult</v>
      </c>
      <c r="D2672" t="s">
        <v>11</v>
      </c>
      <c r="E2672" t="s">
        <v>22</v>
      </c>
      <c r="F2672" t="s">
        <v>23</v>
      </c>
      <c r="G2672">
        <v>217.67</v>
      </c>
      <c r="H2672" t="s">
        <v>24</v>
      </c>
      <c r="I2672" t="s">
        <v>15</v>
      </c>
      <c r="J2672">
        <v>3.5</v>
      </c>
      <c r="K2672">
        <v>10</v>
      </c>
      <c r="L2672">
        <f t="shared" si="124"/>
        <v>195.90299999999999</v>
      </c>
      <c r="M2672">
        <v>5</v>
      </c>
      <c r="N2672" t="str">
        <f t="shared" si="125"/>
        <v>Regular</v>
      </c>
    </row>
    <row r="2673" spans="1:14" x14ac:dyDescent="0.35">
      <c r="A2673">
        <v>2672</v>
      </c>
      <c r="B2673">
        <v>29</v>
      </c>
      <c r="C2673" t="str">
        <f t="shared" si="123"/>
        <v>Youth</v>
      </c>
      <c r="D2673" t="s">
        <v>16</v>
      </c>
      <c r="E2673" t="s">
        <v>33</v>
      </c>
      <c r="F2673" t="s">
        <v>40</v>
      </c>
      <c r="G2673">
        <v>217.41</v>
      </c>
      <c r="H2673" t="s">
        <v>14</v>
      </c>
      <c r="I2673" t="s">
        <v>15</v>
      </c>
      <c r="J2673">
        <v>4.3</v>
      </c>
      <c r="K2673">
        <v>14</v>
      </c>
      <c r="L2673">
        <f t="shared" si="124"/>
        <v>186.9726</v>
      </c>
      <c r="M2673">
        <v>7</v>
      </c>
      <c r="N2673" t="str">
        <f t="shared" si="125"/>
        <v>Regular</v>
      </c>
    </row>
    <row r="2674" spans="1:14" x14ac:dyDescent="0.35">
      <c r="A2674">
        <v>2673</v>
      </c>
      <c r="B2674">
        <v>41</v>
      </c>
      <c r="C2674" t="str">
        <f t="shared" si="123"/>
        <v>Adult</v>
      </c>
      <c r="D2674" t="s">
        <v>16</v>
      </c>
      <c r="E2674" t="s">
        <v>33</v>
      </c>
      <c r="F2674" t="s">
        <v>40</v>
      </c>
      <c r="G2674">
        <v>171.5</v>
      </c>
      <c r="H2674" t="s">
        <v>24</v>
      </c>
      <c r="I2674" t="s">
        <v>15</v>
      </c>
      <c r="J2674">
        <v>3.3</v>
      </c>
      <c r="K2674">
        <v>19</v>
      </c>
      <c r="L2674">
        <f t="shared" si="124"/>
        <v>138.91500000000002</v>
      </c>
      <c r="M2674">
        <v>7</v>
      </c>
      <c r="N2674" t="str">
        <f t="shared" si="125"/>
        <v>Regular</v>
      </c>
    </row>
    <row r="2675" spans="1:14" x14ac:dyDescent="0.35">
      <c r="A2675">
        <v>2674</v>
      </c>
      <c r="B2675">
        <v>35</v>
      </c>
      <c r="C2675" t="str">
        <f t="shared" si="123"/>
        <v>Adult</v>
      </c>
      <c r="D2675" t="s">
        <v>16</v>
      </c>
      <c r="E2675" t="s">
        <v>27</v>
      </c>
      <c r="F2675" t="s">
        <v>49</v>
      </c>
      <c r="G2675">
        <v>2366.84</v>
      </c>
      <c r="H2675" t="s">
        <v>24</v>
      </c>
      <c r="I2675" t="s">
        <v>15</v>
      </c>
      <c r="J2675">
        <v>3.6</v>
      </c>
      <c r="K2675">
        <v>26</v>
      </c>
      <c r="L2675">
        <f t="shared" si="124"/>
        <v>1751.4616000000001</v>
      </c>
      <c r="M2675">
        <v>8</v>
      </c>
      <c r="N2675" t="str">
        <f t="shared" si="125"/>
        <v>Loyal</v>
      </c>
    </row>
    <row r="2676" spans="1:14" x14ac:dyDescent="0.35">
      <c r="A2676">
        <v>2675</v>
      </c>
      <c r="B2676">
        <v>70</v>
      </c>
      <c r="C2676" t="str">
        <f t="shared" si="123"/>
        <v>Senior</v>
      </c>
      <c r="D2676" t="s">
        <v>11</v>
      </c>
      <c r="E2676" t="s">
        <v>12</v>
      </c>
      <c r="F2676" t="s">
        <v>56</v>
      </c>
      <c r="G2676">
        <v>169.45</v>
      </c>
      <c r="H2676" t="s">
        <v>19</v>
      </c>
      <c r="I2676" t="s">
        <v>15</v>
      </c>
      <c r="J2676">
        <v>3.1</v>
      </c>
      <c r="K2676">
        <v>15</v>
      </c>
      <c r="L2676">
        <f t="shared" si="124"/>
        <v>144.0325</v>
      </c>
      <c r="M2676">
        <v>5</v>
      </c>
      <c r="N2676" t="str">
        <f t="shared" si="125"/>
        <v>Regular</v>
      </c>
    </row>
    <row r="2677" spans="1:14" x14ac:dyDescent="0.35">
      <c r="A2677">
        <v>2676</v>
      </c>
      <c r="B2677">
        <v>50</v>
      </c>
      <c r="C2677" t="str">
        <f t="shared" si="123"/>
        <v>Adult</v>
      </c>
      <c r="D2677" t="s">
        <v>11</v>
      </c>
      <c r="E2677" t="s">
        <v>12</v>
      </c>
      <c r="F2677" t="s">
        <v>13</v>
      </c>
      <c r="G2677">
        <v>51.73</v>
      </c>
      <c r="H2677" t="s">
        <v>14</v>
      </c>
      <c r="I2677" t="s">
        <v>37</v>
      </c>
      <c r="J2677">
        <v>3.4</v>
      </c>
      <c r="K2677">
        <v>10</v>
      </c>
      <c r="L2677">
        <f t="shared" si="124"/>
        <v>46.556999999999995</v>
      </c>
      <c r="M2677">
        <v>5</v>
      </c>
      <c r="N2677" t="str">
        <f t="shared" si="125"/>
        <v>Regular</v>
      </c>
    </row>
    <row r="2678" spans="1:14" x14ac:dyDescent="0.35">
      <c r="A2678">
        <v>2677</v>
      </c>
      <c r="B2678">
        <v>43</v>
      </c>
      <c r="C2678" t="str">
        <f t="shared" si="123"/>
        <v>Adult</v>
      </c>
      <c r="D2678" t="s">
        <v>11</v>
      </c>
      <c r="E2678" t="s">
        <v>33</v>
      </c>
      <c r="F2678" t="s">
        <v>34</v>
      </c>
      <c r="G2678">
        <v>111.39</v>
      </c>
      <c r="H2678" t="s">
        <v>14</v>
      </c>
      <c r="I2678" t="s">
        <v>15</v>
      </c>
      <c r="J2678">
        <v>2.8</v>
      </c>
      <c r="K2678">
        <v>6</v>
      </c>
      <c r="L2678">
        <f t="shared" si="124"/>
        <v>104.70659999999999</v>
      </c>
      <c r="M2678">
        <v>3</v>
      </c>
      <c r="N2678" t="str">
        <f t="shared" si="125"/>
        <v>New</v>
      </c>
    </row>
    <row r="2679" spans="1:14" x14ac:dyDescent="0.35">
      <c r="A2679">
        <v>2678</v>
      </c>
      <c r="B2679">
        <v>40</v>
      </c>
      <c r="C2679" t="str">
        <f t="shared" si="123"/>
        <v>Adult</v>
      </c>
      <c r="D2679" t="s">
        <v>11</v>
      </c>
      <c r="E2679" t="s">
        <v>33</v>
      </c>
      <c r="F2679" t="s">
        <v>40</v>
      </c>
      <c r="G2679">
        <v>184.33</v>
      </c>
      <c r="H2679" t="s">
        <v>31</v>
      </c>
      <c r="I2679" t="s">
        <v>15</v>
      </c>
      <c r="J2679">
        <v>4.3</v>
      </c>
      <c r="K2679">
        <v>26</v>
      </c>
      <c r="L2679">
        <f t="shared" si="124"/>
        <v>136.4042</v>
      </c>
      <c r="M2679">
        <v>8</v>
      </c>
      <c r="N2679" t="str">
        <f t="shared" si="125"/>
        <v>Loyal</v>
      </c>
    </row>
    <row r="2680" spans="1:14" x14ac:dyDescent="0.35">
      <c r="A2680">
        <v>2679</v>
      </c>
      <c r="B2680">
        <v>32</v>
      </c>
      <c r="C2680" t="str">
        <f t="shared" si="123"/>
        <v>Adult</v>
      </c>
      <c r="D2680" t="s">
        <v>11</v>
      </c>
      <c r="E2680" t="s">
        <v>41</v>
      </c>
      <c r="F2680" t="s">
        <v>46</v>
      </c>
      <c r="G2680">
        <v>110.27</v>
      </c>
      <c r="H2680" t="s">
        <v>24</v>
      </c>
      <c r="I2680" t="s">
        <v>15</v>
      </c>
      <c r="J2680">
        <v>4.4000000000000004</v>
      </c>
      <c r="K2680">
        <v>18</v>
      </c>
      <c r="L2680">
        <f t="shared" si="124"/>
        <v>90.421400000000006</v>
      </c>
      <c r="M2680">
        <v>4</v>
      </c>
      <c r="N2680" t="str">
        <f t="shared" si="125"/>
        <v>Regular</v>
      </c>
    </row>
    <row r="2681" spans="1:14" x14ac:dyDescent="0.35">
      <c r="A2681">
        <v>2680</v>
      </c>
      <c r="B2681">
        <v>61</v>
      </c>
      <c r="C2681" t="str">
        <f t="shared" si="123"/>
        <v>Senior</v>
      </c>
      <c r="D2681" t="s">
        <v>11</v>
      </c>
      <c r="E2681" t="s">
        <v>41</v>
      </c>
      <c r="F2681" t="s">
        <v>45</v>
      </c>
      <c r="G2681">
        <v>79.69</v>
      </c>
      <c r="H2681" t="s">
        <v>14</v>
      </c>
      <c r="I2681" t="s">
        <v>37</v>
      </c>
      <c r="J2681">
        <v>3.3</v>
      </c>
      <c r="K2681">
        <v>18</v>
      </c>
      <c r="L2681">
        <f t="shared" si="124"/>
        <v>65.345799999999997</v>
      </c>
      <c r="M2681">
        <v>4</v>
      </c>
      <c r="N2681" t="str">
        <f t="shared" si="125"/>
        <v>Regular</v>
      </c>
    </row>
    <row r="2682" spans="1:14" x14ac:dyDescent="0.35">
      <c r="A2682">
        <v>2681</v>
      </c>
      <c r="B2682">
        <v>54</v>
      </c>
      <c r="C2682" t="str">
        <f t="shared" si="123"/>
        <v>Adult</v>
      </c>
      <c r="D2682" t="s">
        <v>11</v>
      </c>
      <c r="E2682" t="s">
        <v>29</v>
      </c>
      <c r="F2682" t="s">
        <v>30</v>
      </c>
      <c r="G2682">
        <v>125.21</v>
      </c>
      <c r="H2682" t="s">
        <v>14</v>
      </c>
      <c r="I2682" t="s">
        <v>15</v>
      </c>
      <c r="J2682">
        <v>4.0999999999999996</v>
      </c>
      <c r="K2682">
        <v>8</v>
      </c>
      <c r="L2682">
        <f t="shared" si="124"/>
        <v>115.1932</v>
      </c>
      <c r="M2682">
        <v>4</v>
      </c>
      <c r="N2682" t="str">
        <f t="shared" si="125"/>
        <v>Regular</v>
      </c>
    </row>
    <row r="2683" spans="1:14" x14ac:dyDescent="0.35">
      <c r="A2683">
        <v>2682</v>
      </c>
      <c r="B2683">
        <v>66</v>
      </c>
      <c r="C2683" t="str">
        <f t="shared" si="123"/>
        <v>Senior</v>
      </c>
      <c r="D2683" t="s">
        <v>16</v>
      </c>
      <c r="E2683" t="s">
        <v>25</v>
      </c>
      <c r="F2683" t="s">
        <v>57</v>
      </c>
      <c r="G2683">
        <v>5.08</v>
      </c>
      <c r="H2683" t="s">
        <v>24</v>
      </c>
      <c r="I2683" t="s">
        <v>37</v>
      </c>
      <c r="J2683">
        <v>4.9000000000000004</v>
      </c>
      <c r="K2683">
        <v>17</v>
      </c>
      <c r="L2683">
        <f t="shared" si="124"/>
        <v>4.2164000000000001</v>
      </c>
      <c r="M2683">
        <v>6</v>
      </c>
      <c r="N2683" t="str">
        <f t="shared" si="125"/>
        <v>Regular</v>
      </c>
    </row>
    <row r="2684" spans="1:14" x14ac:dyDescent="0.35">
      <c r="A2684">
        <v>2683</v>
      </c>
      <c r="B2684">
        <v>69</v>
      </c>
      <c r="C2684" t="str">
        <f t="shared" si="123"/>
        <v>Senior</v>
      </c>
      <c r="D2684" t="s">
        <v>11</v>
      </c>
      <c r="E2684" t="s">
        <v>33</v>
      </c>
      <c r="F2684" t="s">
        <v>40</v>
      </c>
      <c r="G2684">
        <v>228.38</v>
      </c>
      <c r="H2684" t="s">
        <v>14</v>
      </c>
      <c r="I2684" t="s">
        <v>15</v>
      </c>
      <c r="J2684">
        <v>4</v>
      </c>
      <c r="K2684">
        <v>14</v>
      </c>
      <c r="L2684">
        <f t="shared" si="124"/>
        <v>196.4068</v>
      </c>
      <c r="M2684">
        <v>7</v>
      </c>
      <c r="N2684" t="str">
        <f t="shared" si="125"/>
        <v>Regular</v>
      </c>
    </row>
    <row r="2685" spans="1:14" x14ac:dyDescent="0.35">
      <c r="A2685">
        <v>2684</v>
      </c>
      <c r="B2685">
        <v>27</v>
      </c>
      <c r="C2685" t="str">
        <f t="shared" si="123"/>
        <v>Youth</v>
      </c>
      <c r="D2685" t="s">
        <v>16</v>
      </c>
      <c r="E2685" t="s">
        <v>33</v>
      </c>
      <c r="F2685" t="s">
        <v>38</v>
      </c>
      <c r="G2685">
        <v>146.57</v>
      </c>
      <c r="H2685" t="s">
        <v>24</v>
      </c>
      <c r="I2685" t="s">
        <v>15</v>
      </c>
      <c r="J2685">
        <v>3.2</v>
      </c>
      <c r="K2685">
        <v>15</v>
      </c>
      <c r="L2685">
        <f t="shared" si="124"/>
        <v>124.58449999999999</v>
      </c>
      <c r="M2685">
        <v>5</v>
      </c>
      <c r="N2685" t="str">
        <f t="shared" si="125"/>
        <v>Regular</v>
      </c>
    </row>
    <row r="2686" spans="1:14" x14ac:dyDescent="0.35">
      <c r="A2686">
        <v>2685</v>
      </c>
      <c r="B2686">
        <v>64</v>
      </c>
      <c r="C2686" t="str">
        <f t="shared" si="123"/>
        <v>Senior</v>
      </c>
      <c r="D2686" t="s">
        <v>11</v>
      </c>
      <c r="E2686" t="s">
        <v>33</v>
      </c>
      <c r="F2686" t="s">
        <v>38</v>
      </c>
      <c r="G2686">
        <v>90.12</v>
      </c>
      <c r="H2686" t="s">
        <v>24</v>
      </c>
      <c r="I2686" t="s">
        <v>15</v>
      </c>
      <c r="J2686">
        <v>5</v>
      </c>
      <c r="K2686">
        <v>13</v>
      </c>
      <c r="L2686">
        <f t="shared" si="124"/>
        <v>78.40440000000001</v>
      </c>
      <c r="M2686">
        <v>4</v>
      </c>
      <c r="N2686" t="str">
        <f t="shared" si="125"/>
        <v>Regular</v>
      </c>
    </row>
    <row r="2687" spans="1:14" x14ac:dyDescent="0.35">
      <c r="A2687">
        <v>2686</v>
      </c>
      <c r="B2687">
        <v>46</v>
      </c>
      <c r="C2687" t="str">
        <f t="shared" si="123"/>
        <v>Adult</v>
      </c>
      <c r="D2687" t="s">
        <v>16</v>
      </c>
      <c r="E2687" t="s">
        <v>20</v>
      </c>
      <c r="F2687" t="s">
        <v>39</v>
      </c>
      <c r="G2687">
        <v>180.39</v>
      </c>
      <c r="H2687" t="s">
        <v>24</v>
      </c>
      <c r="I2687" t="s">
        <v>15</v>
      </c>
      <c r="J2687">
        <v>5</v>
      </c>
      <c r="K2687">
        <v>11</v>
      </c>
      <c r="L2687">
        <f t="shared" si="124"/>
        <v>160.5471</v>
      </c>
      <c r="M2687">
        <v>3</v>
      </c>
      <c r="N2687" t="str">
        <f t="shared" si="125"/>
        <v>New</v>
      </c>
    </row>
    <row r="2688" spans="1:14" x14ac:dyDescent="0.35">
      <c r="A2688">
        <v>2687</v>
      </c>
      <c r="B2688">
        <v>21</v>
      </c>
      <c r="C2688" t="str">
        <f t="shared" si="123"/>
        <v>Youth</v>
      </c>
      <c r="D2688" t="s">
        <v>11</v>
      </c>
      <c r="E2688" t="s">
        <v>33</v>
      </c>
      <c r="F2688" t="s">
        <v>38</v>
      </c>
      <c r="G2688">
        <v>234.56</v>
      </c>
      <c r="H2688" t="s">
        <v>31</v>
      </c>
      <c r="I2688" t="s">
        <v>15</v>
      </c>
      <c r="J2688">
        <v>4.0999999999999996</v>
      </c>
      <c r="K2688">
        <v>15</v>
      </c>
      <c r="L2688">
        <f t="shared" si="124"/>
        <v>199.376</v>
      </c>
      <c r="M2688">
        <v>5</v>
      </c>
      <c r="N2688" t="str">
        <f t="shared" si="125"/>
        <v>Regular</v>
      </c>
    </row>
    <row r="2689" spans="1:14" x14ac:dyDescent="0.35">
      <c r="A2689">
        <v>2688</v>
      </c>
      <c r="B2689">
        <v>31</v>
      </c>
      <c r="C2689" t="str">
        <f t="shared" si="123"/>
        <v>Adult</v>
      </c>
      <c r="D2689" t="s">
        <v>16</v>
      </c>
      <c r="E2689" t="s">
        <v>17</v>
      </c>
      <c r="F2689" t="s">
        <v>42</v>
      </c>
      <c r="G2689">
        <v>172.58</v>
      </c>
      <c r="H2689" t="s">
        <v>14</v>
      </c>
      <c r="I2689" t="s">
        <v>15</v>
      </c>
      <c r="J2689">
        <v>2.4</v>
      </c>
      <c r="K2689">
        <v>18</v>
      </c>
      <c r="L2689">
        <f t="shared" si="124"/>
        <v>141.51560000000003</v>
      </c>
      <c r="M2689">
        <v>4</v>
      </c>
      <c r="N2689" t="str">
        <f t="shared" si="125"/>
        <v>Regular</v>
      </c>
    </row>
    <row r="2690" spans="1:14" x14ac:dyDescent="0.35">
      <c r="A2690">
        <v>2689</v>
      </c>
      <c r="B2690">
        <v>69</v>
      </c>
      <c r="C2690" t="str">
        <f t="shared" si="123"/>
        <v>Senior</v>
      </c>
      <c r="D2690" t="s">
        <v>11</v>
      </c>
      <c r="E2690" t="s">
        <v>33</v>
      </c>
      <c r="F2690" t="s">
        <v>34</v>
      </c>
      <c r="G2690">
        <v>90.11</v>
      </c>
      <c r="H2690" t="s">
        <v>14</v>
      </c>
      <c r="I2690" t="s">
        <v>37</v>
      </c>
      <c r="J2690">
        <v>3.3</v>
      </c>
      <c r="K2690">
        <v>15</v>
      </c>
      <c r="L2690">
        <f t="shared" si="124"/>
        <v>76.593499999999992</v>
      </c>
      <c r="M2690">
        <v>5</v>
      </c>
      <c r="N2690" t="str">
        <f t="shared" si="125"/>
        <v>Regular</v>
      </c>
    </row>
    <row r="2691" spans="1:14" x14ac:dyDescent="0.35">
      <c r="A2691">
        <v>2690</v>
      </c>
      <c r="B2691">
        <v>55</v>
      </c>
      <c r="C2691" t="str">
        <f t="shared" ref="C2691:C2754" si="126">IF(B2691&lt;=30,"Youth",IF(B2691&lt;=45,"Adult",IF(B2691&lt;=60,"Adult","Senior")))</f>
        <v>Adult</v>
      </c>
      <c r="D2691" t="s">
        <v>11</v>
      </c>
      <c r="E2691" t="s">
        <v>41</v>
      </c>
      <c r="F2691" t="s">
        <v>44</v>
      </c>
      <c r="G2691">
        <v>159.87</v>
      </c>
      <c r="H2691" t="s">
        <v>24</v>
      </c>
      <c r="I2691" t="s">
        <v>15</v>
      </c>
      <c r="J2691">
        <v>3.6</v>
      </c>
      <c r="K2691">
        <v>8</v>
      </c>
      <c r="L2691">
        <f t="shared" ref="L2691:L2754" si="127">G2691*(1-K2691/100)</f>
        <v>147.0804</v>
      </c>
      <c r="M2691">
        <v>4</v>
      </c>
      <c r="N2691" t="str">
        <f t="shared" ref="N2691:N2754" si="128">IF(M2691&lt;=3,"New",IF(M2691&lt;=7,"Regular","Loyal"))</f>
        <v>Regular</v>
      </c>
    </row>
    <row r="2692" spans="1:14" x14ac:dyDescent="0.35">
      <c r="A2692">
        <v>2691</v>
      </c>
      <c r="B2692">
        <v>50</v>
      </c>
      <c r="C2692" t="str">
        <f t="shared" si="126"/>
        <v>Adult</v>
      </c>
      <c r="D2692" t="s">
        <v>11</v>
      </c>
      <c r="E2692" t="s">
        <v>33</v>
      </c>
      <c r="F2692" t="s">
        <v>38</v>
      </c>
      <c r="G2692">
        <v>95.51</v>
      </c>
      <c r="H2692" t="s">
        <v>19</v>
      </c>
      <c r="I2692" t="s">
        <v>15</v>
      </c>
      <c r="J2692">
        <v>5</v>
      </c>
      <c r="K2692">
        <v>20</v>
      </c>
      <c r="L2692">
        <f t="shared" si="127"/>
        <v>76.408000000000001</v>
      </c>
      <c r="M2692">
        <v>5</v>
      </c>
      <c r="N2692" t="str">
        <f t="shared" si="128"/>
        <v>Regular</v>
      </c>
    </row>
    <row r="2693" spans="1:14" x14ac:dyDescent="0.35">
      <c r="A2693">
        <v>2692</v>
      </c>
      <c r="B2693">
        <v>68</v>
      </c>
      <c r="C2693" t="str">
        <f t="shared" si="126"/>
        <v>Senior</v>
      </c>
      <c r="D2693" t="s">
        <v>16</v>
      </c>
      <c r="E2693" t="s">
        <v>20</v>
      </c>
      <c r="F2693" t="s">
        <v>39</v>
      </c>
      <c r="G2693">
        <v>84.67</v>
      </c>
      <c r="H2693" t="s">
        <v>14</v>
      </c>
      <c r="I2693" t="s">
        <v>15</v>
      </c>
      <c r="J2693">
        <v>3</v>
      </c>
      <c r="K2693">
        <v>13</v>
      </c>
      <c r="L2693">
        <f t="shared" si="127"/>
        <v>73.662900000000008</v>
      </c>
      <c r="M2693">
        <v>4</v>
      </c>
      <c r="N2693" t="str">
        <f t="shared" si="128"/>
        <v>Regular</v>
      </c>
    </row>
    <row r="2694" spans="1:14" x14ac:dyDescent="0.35">
      <c r="A2694">
        <v>2693</v>
      </c>
      <c r="B2694">
        <v>64</v>
      </c>
      <c r="C2694" t="str">
        <f t="shared" si="126"/>
        <v>Senior</v>
      </c>
      <c r="D2694" t="s">
        <v>16</v>
      </c>
      <c r="E2694" t="s">
        <v>20</v>
      </c>
      <c r="F2694" t="s">
        <v>39</v>
      </c>
      <c r="G2694">
        <v>25.56</v>
      </c>
      <c r="H2694" t="s">
        <v>24</v>
      </c>
      <c r="I2694" t="s">
        <v>37</v>
      </c>
      <c r="J2694">
        <v>3.2</v>
      </c>
      <c r="K2694">
        <v>11</v>
      </c>
      <c r="L2694">
        <f t="shared" si="127"/>
        <v>22.7484</v>
      </c>
      <c r="M2694">
        <v>3</v>
      </c>
      <c r="N2694" t="str">
        <f t="shared" si="128"/>
        <v>New</v>
      </c>
    </row>
    <row r="2695" spans="1:14" x14ac:dyDescent="0.35">
      <c r="A2695">
        <v>2694</v>
      </c>
      <c r="B2695">
        <v>63</v>
      </c>
      <c r="C2695" t="str">
        <f t="shared" si="126"/>
        <v>Senior</v>
      </c>
      <c r="D2695" t="s">
        <v>11</v>
      </c>
      <c r="E2695" t="s">
        <v>29</v>
      </c>
      <c r="F2695" t="s">
        <v>30</v>
      </c>
      <c r="G2695">
        <v>49.07</v>
      </c>
      <c r="H2695" t="s">
        <v>14</v>
      </c>
      <c r="I2695" t="s">
        <v>15</v>
      </c>
      <c r="J2695">
        <v>4.5999999999999996</v>
      </c>
      <c r="K2695">
        <v>6</v>
      </c>
      <c r="L2695">
        <f t="shared" si="127"/>
        <v>46.125799999999998</v>
      </c>
      <c r="M2695">
        <v>3</v>
      </c>
      <c r="N2695" t="str">
        <f t="shared" si="128"/>
        <v>New</v>
      </c>
    </row>
    <row r="2696" spans="1:14" x14ac:dyDescent="0.35">
      <c r="A2696">
        <v>2695</v>
      </c>
      <c r="B2696">
        <v>32</v>
      </c>
      <c r="C2696" t="str">
        <f t="shared" si="126"/>
        <v>Adult</v>
      </c>
      <c r="D2696" t="s">
        <v>16</v>
      </c>
      <c r="E2696" t="s">
        <v>17</v>
      </c>
      <c r="F2696" t="s">
        <v>18</v>
      </c>
      <c r="G2696">
        <v>73.680000000000007</v>
      </c>
      <c r="H2696" t="s">
        <v>19</v>
      </c>
      <c r="I2696" t="s">
        <v>37</v>
      </c>
      <c r="J2696">
        <v>4.5</v>
      </c>
      <c r="K2696">
        <v>22</v>
      </c>
      <c r="L2696">
        <f t="shared" si="127"/>
        <v>57.470400000000005</v>
      </c>
      <c r="M2696">
        <v>6</v>
      </c>
      <c r="N2696" t="str">
        <f t="shared" si="128"/>
        <v>Regular</v>
      </c>
    </row>
    <row r="2697" spans="1:14" x14ac:dyDescent="0.35">
      <c r="A2697">
        <v>2696</v>
      </c>
      <c r="B2697">
        <v>36</v>
      </c>
      <c r="C2697" t="str">
        <f t="shared" si="126"/>
        <v>Adult</v>
      </c>
      <c r="D2697" t="s">
        <v>16</v>
      </c>
      <c r="E2697" t="s">
        <v>20</v>
      </c>
      <c r="F2697" t="s">
        <v>39</v>
      </c>
      <c r="G2697">
        <v>116.83</v>
      </c>
      <c r="H2697" t="s">
        <v>14</v>
      </c>
      <c r="I2697" t="s">
        <v>15</v>
      </c>
      <c r="J2697">
        <v>4</v>
      </c>
      <c r="K2697">
        <v>14</v>
      </c>
      <c r="L2697">
        <f t="shared" si="127"/>
        <v>100.4738</v>
      </c>
      <c r="M2697">
        <v>7</v>
      </c>
      <c r="N2697" t="str">
        <f t="shared" si="128"/>
        <v>Regular</v>
      </c>
    </row>
    <row r="2698" spans="1:14" x14ac:dyDescent="0.35">
      <c r="A2698">
        <v>2697</v>
      </c>
      <c r="B2698">
        <v>49</v>
      </c>
      <c r="C2698" t="str">
        <f t="shared" si="126"/>
        <v>Adult</v>
      </c>
      <c r="D2698" t="s">
        <v>16</v>
      </c>
      <c r="E2698" t="s">
        <v>27</v>
      </c>
      <c r="F2698" t="s">
        <v>28</v>
      </c>
      <c r="G2698">
        <v>1896.33</v>
      </c>
      <c r="H2698" t="s">
        <v>14</v>
      </c>
      <c r="I2698" t="s">
        <v>15</v>
      </c>
      <c r="J2698">
        <v>3.7</v>
      </c>
      <c r="K2698">
        <v>14</v>
      </c>
      <c r="L2698">
        <f t="shared" si="127"/>
        <v>1630.8437999999999</v>
      </c>
      <c r="M2698">
        <v>7</v>
      </c>
      <c r="N2698" t="str">
        <f t="shared" si="128"/>
        <v>Regular</v>
      </c>
    </row>
    <row r="2699" spans="1:14" x14ac:dyDescent="0.35">
      <c r="A2699">
        <v>2698</v>
      </c>
      <c r="B2699">
        <v>48</v>
      </c>
      <c r="C2699" t="str">
        <f t="shared" si="126"/>
        <v>Adult</v>
      </c>
      <c r="D2699" t="s">
        <v>11</v>
      </c>
      <c r="E2699" t="s">
        <v>29</v>
      </c>
      <c r="F2699" t="s">
        <v>55</v>
      </c>
      <c r="G2699">
        <v>27.41</v>
      </c>
      <c r="H2699" t="s">
        <v>19</v>
      </c>
      <c r="I2699" t="s">
        <v>15</v>
      </c>
      <c r="J2699">
        <v>5</v>
      </c>
      <c r="K2699">
        <v>14</v>
      </c>
      <c r="L2699">
        <f t="shared" si="127"/>
        <v>23.572600000000001</v>
      </c>
      <c r="M2699">
        <v>2</v>
      </c>
      <c r="N2699" t="str">
        <f t="shared" si="128"/>
        <v>New</v>
      </c>
    </row>
    <row r="2700" spans="1:14" x14ac:dyDescent="0.35">
      <c r="A2700">
        <v>2699</v>
      </c>
      <c r="B2700">
        <v>57</v>
      </c>
      <c r="C2700" t="str">
        <f t="shared" si="126"/>
        <v>Adult</v>
      </c>
      <c r="D2700" t="s">
        <v>16</v>
      </c>
      <c r="E2700" t="s">
        <v>17</v>
      </c>
      <c r="F2700" t="s">
        <v>42</v>
      </c>
      <c r="G2700">
        <v>160.88</v>
      </c>
      <c r="H2700" t="s">
        <v>31</v>
      </c>
      <c r="I2700" t="s">
        <v>15</v>
      </c>
      <c r="J2700">
        <v>2.9</v>
      </c>
      <c r="K2700">
        <v>20</v>
      </c>
      <c r="L2700">
        <f t="shared" si="127"/>
        <v>128.70400000000001</v>
      </c>
      <c r="M2700">
        <v>5</v>
      </c>
      <c r="N2700" t="str">
        <f t="shared" si="128"/>
        <v>Regular</v>
      </c>
    </row>
    <row r="2701" spans="1:14" x14ac:dyDescent="0.35">
      <c r="A2701">
        <v>2700</v>
      </c>
      <c r="B2701">
        <v>47</v>
      </c>
      <c r="C2701" t="str">
        <f t="shared" si="126"/>
        <v>Adult</v>
      </c>
      <c r="D2701" t="s">
        <v>11</v>
      </c>
      <c r="E2701" t="s">
        <v>29</v>
      </c>
      <c r="F2701" t="s">
        <v>55</v>
      </c>
      <c r="G2701">
        <v>133.68</v>
      </c>
      <c r="H2701" t="s">
        <v>31</v>
      </c>
      <c r="I2701" t="s">
        <v>15</v>
      </c>
      <c r="J2701">
        <v>4.9000000000000004</v>
      </c>
      <c r="K2701">
        <v>12</v>
      </c>
      <c r="L2701">
        <f t="shared" si="127"/>
        <v>117.6384</v>
      </c>
      <c r="M2701">
        <v>1</v>
      </c>
      <c r="N2701" t="str">
        <f t="shared" si="128"/>
        <v>New</v>
      </c>
    </row>
    <row r="2702" spans="1:14" x14ac:dyDescent="0.35">
      <c r="A2702">
        <v>2701</v>
      </c>
      <c r="B2702">
        <v>64</v>
      </c>
      <c r="C2702" t="str">
        <f t="shared" si="126"/>
        <v>Senior</v>
      </c>
      <c r="D2702" t="s">
        <v>16</v>
      </c>
      <c r="E2702" t="s">
        <v>27</v>
      </c>
      <c r="F2702" t="s">
        <v>49</v>
      </c>
      <c r="G2702">
        <v>2526.33</v>
      </c>
      <c r="H2702" t="s">
        <v>19</v>
      </c>
      <c r="I2702" t="s">
        <v>15</v>
      </c>
      <c r="J2702">
        <v>4.7</v>
      </c>
      <c r="K2702">
        <v>11</v>
      </c>
      <c r="L2702">
        <f t="shared" si="127"/>
        <v>2248.4337</v>
      </c>
      <c r="M2702">
        <v>3</v>
      </c>
      <c r="N2702" t="str">
        <f t="shared" si="128"/>
        <v>New</v>
      </c>
    </row>
    <row r="2703" spans="1:14" x14ac:dyDescent="0.35">
      <c r="A2703">
        <v>2702</v>
      </c>
      <c r="B2703">
        <v>43</v>
      </c>
      <c r="C2703" t="str">
        <f t="shared" si="126"/>
        <v>Adult</v>
      </c>
      <c r="D2703" t="s">
        <v>11</v>
      </c>
      <c r="E2703" t="s">
        <v>29</v>
      </c>
      <c r="F2703" t="s">
        <v>30</v>
      </c>
      <c r="G2703">
        <v>52.38</v>
      </c>
      <c r="H2703" t="s">
        <v>19</v>
      </c>
      <c r="I2703" t="s">
        <v>37</v>
      </c>
      <c r="J2703">
        <v>4.5</v>
      </c>
      <c r="K2703">
        <v>13</v>
      </c>
      <c r="L2703">
        <f t="shared" si="127"/>
        <v>45.570599999999999</v>
      </c>
      <c r="M2703">
        <v>4</v>
      </c>
      <c r="N2703" t="str">
        <f t="shared" si="128"/>
        <v>Regular</v>
      </c>
    </row>
    <row r="2704" spans="1:14" x14ac:dyDescent="0.35">
      <c r="A2704">
        <v>2703</v>
      </c>
      <c r="B2704">
        <v>46</v>
      </c>
      <c r="C2704" t="str">
        <f t="shared" si="126"/>
        <v>Adult</v>
      </c>
      <c r="D2704" t="s">
        <v>16</v>
      </c>
      <c r="E2704" t="s">
        <v>33</v>
      </c>
      <c r="F2704" t="s">
        <v>38</v>
      </c>
      <c r="G2704">
        <v>172.43</v>
      </c>
      <c r="H2704" t="s">
        <v>14</v>
      </c>
      <c r="I2704" t="s">
        <v>15</v>
      </c>
      <c r="J2704">
        <v>3.7</v>
      </c>
      <c r="K2704">
        <v>28</v>
      </c>
      <c r="L2704">
        <f t="shared" si="127"/>
        <v>124.14960000000001</v>
      </c>
      <c r="M2704">
        <v>9</v>
      </c>
      <c r="N2704" t="str">
        <f t="shared" si="128"/>
        <v>Loyal</v>
      </c>
    </row>
    <row r="2705" spans="1:14" x14ac:dyDescent="0.35">
      <c r="A2705">
        <v>2704</v>
      </c>
      <c r="B2705">
        <v>31</v>
      </c>
      <c r="C2705" t="str">
        <f t="shared" si="126"/>
        <v>Adult</v>
      </c>
      <c r="D2705" t="s">
        <v>11</v>
      </c>
      <c r="E2705" t="s">
        <v>29</v>
      </c>
      <c r="F2705" t="s">
        <v>30</v>
      </c>
      <c r="G2705">
        <v>22.43</v>
      </c>
      <c r="H2705" t="s">
        <v>19</v>
      </c>
      <c r="I2705" t="s">
        <v>37</v>
      </c>
      <c r="J2705">
        <v>5</v>
      </c>
      <c r="K2705">
        <v>20</v>
      </c>
      <c r="L2705">
        <f t="shared" si="127"/>
        <v>17.943999999999999</v>
      </c>
      <c r="M2705">
        <v>5</v>
      </c>
      <c r="N2705" t="str">
        <f t="shared" si="128"/>
        <v>Regular</v>
      </c>
    </row>
    <row r="2706" spans="1:14" x14ac:dyDescent="0.35">
      <c r="A2706">
        <v>2705</v>
      </c>
      <c r="B2706">
        <v>57</v>
      </c>
      <c r="C2706" t="str">
        <f t="shared" si="126"/>
        <v>Adult</v>
      </c>
      <c r="D2706" t="s">
        <v>11</v>
      </c>
      <c r="E2706" t="s">
        <v>29</v>
      </c>
      <c r="F2706" t="s">
        <v>51</v>
      </c>
      <c r="G2706">
        <v>134.93</v>
      </c>
      <c r="H2706" t="s">
        <v>19</v>
      </c>
      <c r="I2706" t="s">
        <v>15</v>
      </c>
      <c r="J2706">
        <v>4.5</v>
      </c>
      <c r="K2706">
        <v>16</v>
      </c>
      <c r="L2706">
        <f t="shared" si="127"/>
        <v>113.3412</v>
      </c>
      <c r="M2706">
        <v>3</v>
      </c>
      <c r="N2706" t="str">
        <f t="shared" si="128"/>
        <v>New</v>
      </c>
    </row>
    <row r="2707" spans="1:14" x14ac:dyDescent="0.35">
      <c r="A2707">
        <v>2706</v>
      </c>
      <c r="B2707">
        <v>28</v>
      </c>
      <c r="C2707" t="str">
        <f t="shared" si="126"/>
        <v>Youth</v>
      </c>
      <c r="D2707" t="s">
        <v>11</v>
      </c>
      <c r="E2707" t="s">
        <v>29</v>
      </c>
      <c r="F2707" t="s">
        <v>30</v>
      </c>
      <c r="G2707">
        <v>29.51</v>
      </c>
      <c r="H2707" t="s">
        <v>31</v>
      </c>
      <c r="I2707" t="s">
        <v>15</v>
      </c>
      <c r="J2707">
        <v>4.4000000000000004</v>
      </c>
      <c r="K2707">
        <v>16</v>
      </c>
      <c r="L2707">
        <f t="shared" si="127"/>
        <v>24.788399999999999</v>
      </c>
      <c r="M2707">
        <v>8</v>
      </c>
      <c r="N2707" t="str">
        <f t="shared" si="128"/>
        <v>Loyal</v>
      </c>
    </row>
    <row r="2708" spans="1:14" x14ac:dyDescent="0.35">
      <c r="A2708">
        <v>2707</v>
      </c>
      <c r="B2708">
        <v>21</v>
      </c>
      <c r="C2708" t="str">
        <f t="shared" si="126"/>
        <v>Youth</v>
      </c>
      <c r="D2708" t="s">
        <v>16</v>
      </c>
      <c r="E2708" t="s">
        <v>17</v>
      </c>
      <c r="F2708" t="s">
        <v>18</v>
      </c>
      <c r="G2708">
        <v>58.68</v>
      </c>
      <c r="H2708" t="s">
        <v>14</v>
      </c>
      <c r="I2708" t="s">
        <v>15</v>
      </c>
      <c r="J2708">
        <v>3.6</v>
      </c>
      <c r="K2708">
        <v>20</v>
      </c>
      <c r="L2708">
        <f t="shared" si="127"/>
        <v>46.944000000000003</v>
      </c>
      <c r="M2708">
        <v>5</v>
      </c>
      <c r="N2708" t="str">
        <f t="shared" si="128"/>
        <v>Regular</v>
      </c>
    </row>
    <row r="2709" spans="1:14" x14ac:dyDescent="0.35">
      <c r="A2709">
        <v>2708</v>
      </c>
      <c r="B2709">
        <v>31</v>
      </c>
      <c r="C2709" t="str">
        <f t="shared" si="126"/>
        <v>Adult</v>
      </c>
      <c r="D2709" t="s">
        <v>16</v>
      </c>
      <c r="E2709" t="s">
        <v>27</v>
      </c>
      <c r="F2709" t="s">
        <v>49</v>
      </c>
      <c r="G2709">
        <v>2023.48</v>
      </c>
      <c r="H2709" t="s">
        <v>14</v>
      </c>
      <c r="I2709" t="s">
        <v>15</v>
      </c>
      <c r="J2709">
        <v>2.6</v>
      </c>
      <c r="K2709">
        <v>9</v>
      </c>
      <c r="L2709">
        <f t="shared" si="127"/>
        <v>1841.3668</v>
      </c>
      <c r="M2709">
        <v>2</v>
      </c>
      <c r="N2709" t="str">
        <f t="shared" si="128"/>
        <v>New</v>
      </c>
    </row>
    <row r="2710" spans="1:14" x14ac:dyDescent="0.35">
      <c r="A2710">
        <v>2709</v>
      </c>
      <c r="B2710">
        <v>57</v>
      </c>
      <c r="C2710" t="str">
        <f t="shared" si="126"/>
        <v>Adult</v>
      </c>
      <c r="D2710" t="s">
        <v>11</v>
      </c>
      <c r="E2710" t="s">
        <v>29</v>
      </c>
      <c r="F2710" t="s">
        <v>55</v>
      </c>
      <c r="G2710">
        <v>66.39</v>
      </c>
      <c r="H2710" t="s">
        <v>31</v>
      </c>
      <c r="I2710" t="s">
        <v>37</v>
      </c>
      <c r="J2710">
        <v>3.1</v>
      </c>
      <c r="K2710">
        <v>8</v>
      </c>
      <c r="L2710">
        <f t="shared" si="127"/>
        <v>61.078800000000001</v>
      </c>
      <c r="M2710">
        <v>4</v>
      </c>
      <c r="N2710" t="str">
        <f t="shared" si="128"/>
        <v>Regular</v>
      </c>
    </row>
    <row r="2711" spans="1:14" x14ac:dyDescent="0.35">
      <c r="A2711">
        <v>2710</v>
      </c>
      <c r="B2711">
        <v>59</v>
      </c>
      <c r="C2711" t="str">
        <f t="shared" si="126"/>
        <v>Adult</v>
      </c>
      <c r="D2711" t="s">
        <v>16</v>
      </c>
      <c r="E2711" t="s">
        <v>17</v>
      </c>
      <c r="F2711" t="s">
        <v>48</v>
      </c>
      <c r="G2711">
        <v>141.61000000000001</v>
      </c>
      <c r="H2711" t="s">
        <v>31</v>
      </c>
      <c r="I2711" t="s">
        <v>15</v>
      </c>
      <c r="J2711">
        <v>4.0999999999999996</v>
      </c>
      <c r="K2711">
        <v>8</v>
      </c>
      <c r="L2711">
        <f t="shared" si="127"/>
        <v>130.28120000000001</v>
      </c>
      <c r="M2711">
        <v>4</v>
      </c>
      <c r="N2711" t="str">
        <f t="shared" si="128"/>
        <v>Regular</v>
      </c>
    </row>
    <row r="2712" spans="1:14" x14ac:dyDescent="0.35">
      <c r="A2712">
        <v>2711</v>
      </c>
      <c r="B2712">
        <v>21</v>
      </c>
      <c r="C2712" t="str">
        <f t="shared" si="126"/>
        <v>Youth</v>
      </c>
      <c r="D2712" t="s">
        <v>16</v>
      </c>
      <c r="E2712" t="s">
        <v>27</v>
      </c>
      <c r="F2712" t="s">
        <v>49</v>
      </c>
      <c r="G2712">
        <v>2109.6799999999998</v>
      </c>
      <c r="H2712" t="s">
        <v>24</v>
      </c>
      <c r="I2712" t="s">
        <v>15</v>
      </c>
      <c r="J2712">
        <v>3.2</v>
      </c>
      <c r="K2712">
        <v>12</v>
      </c>
      <c r="L2712">
        <f t="shared" si="127"/>
        <v>1856.5183999999999</v>
      </c>
      <c r="M2712">
        <v>6</v>
      </c>
      <c r="N2712" t="str">
        <f t="shared" si="128"/>
        <v>Regular</v>
      </c>
    </row>
    <row r="2713" spans="1:14" x14ac:dyDescent="0.35">
      <c r="A2713">
        <v>2712</v>
      </c>
      <c r="B2713">
        <v>25</v>
      </c>
      <c r="C2713" t="str">
        <f t="shared" si="126"/>
        <v>Youth</v>
      </c>
      <c r="D2713" t="s">
        <v>11</v>
      </c>
      <c r="E2713" t="s">
        <v>25</v>
      </c>
      <c r="F2713" t="s">
        <v>26</v>
      </c>
      <c r="G2713">
        <v>41.72</v>
      </c>
      <c r="H2713" t="s">
        <v>14</v>
      </c>
      <c r="I2713" t="s">
        <v>37</v>
      </c>
      <c r="J2713">
        <v>5</v>
      </c>
      <c r="K2713">
        <v>2</v>
      </c>
      <c r="L2713">
        <f t="shared" si="127"/>
        <v>40.885599999999997</v>
      </c>
      <c r="M2713">
        <v>1</v>
      </c>
      <c r="N2713" t="str">
        <f t="shared" si="128"/>
        <v>New</v>
      </c>
    </row>
    <row r="2714" spans="1:14" x14ac:dyDescent="0.35">
      <c r="A2714">
        <v>2713</v>
      </c>
      <c r="B2714">
        <v>41</v>
      </c>
      <c r="C2714" t="str">
        <f t="shared" si="126"/>
        <v>Adult</v>
      </c>
      <c r="D2714" t="s">
        <v>11</v>
      </c>
      <c r="E2714" t="s">
        <v>29</v>
      </c>
      <c r="F2714" t="s">
        <v>30</v>
      </c>
      <c r="G2714">
        <v>139.88</v>
      </c>
      <c r="H2714" t="s">
        <v>19</v>
      </c>
      <c r="I2714" t="s">
        <v>15</v>
      </c>
      <c r="J2714">
        <v>4.3</v>
      </c>
      <c r="K2714">
        <v>6</v>
      </c>
      <c r="L2714">
        <f t="shared" si="127"/>
        <v>131.4872</v>
      </c>
      <c r="M2714">
        <v>3</v>
      </c>
      <c r="N2714" t="str">
        <f t="shared" si="128"/>
        <v>New</v>
      </c>
    </row>
    <row r="2715" spans="1:14" x14ac:dyDescent="0.35">
      <c r="A2715">
        <v>2714</v>
      </c>
      <c r="B2715">
        <v>46</v>
      </c>
      <c r="C2715" t="str">
        <f t="shared" si="126"/>
        <v>Adult</v>
      </c>
      <c r="D2715" t="s">
        <v>11</v>
      </c>
      <c r="E2715" t="s">
        <v>12</v>
      </c>
      <c r="F2715" t="s">
        <v>50</v>
      </c>
      <c r="G2715">
        <v>39.06</v>
      </c>
      <c r="H2715" t="s">
        <v>24</v>
      </c>
      <c r="I2715" t="s">
        <v>37</v>
      </c>
      <c r="J2715">
        <v>3.2</v>
      </c>
      <c r="K2715">
        <v>12</v>
      </c>
      <c r="L2715">
        <f t="shared" si="127"/>
        <v>34.372800000000005</v>
      </c>
      <c r="M2715">
        <v>6</v>
      </c>
      <c r="N2715" t="str">
        <f t="shared" si="128"/>
        <v>Regular</v>
      </c>
    </row>
    <row r="2716" spans="1:14" x14ac:dyDescent="0.35">
      <c r="A2716">
        <v>2715</v>
      </c>
      <c r="B2716">
        <v>40</v>
      </c>
      <c r="C2716" t="str">
        <f t="shared" si="126"/>
        <v>Adult</v>
      </c>
      <c r="D2716" t="s">
        <v>11</v>
      </c>
      <c r="E2716" t="s">
        <v>29</v>
      </c>
      <c r="F2716" t="s">
        <v>51</v>
      </c>
      <c r="G2716">
        <v>104.69</v>
      </c>
      <c r="H2716" t="s">
        <v>24</v>
      </c>
      <c r="I2716" t="s">
        <v>15</v>
      </c>
      <c r="J2716">
        <v>2.2000000000000002</v>
      </c>
      <c r="K2716">
        <v>17</v>
      </c>
      <c r="L2716">
        <f t="shared" si="127"/>
        <v>86.892699999999991</v>
      </c>
      <c r="M2716">
        <v>6</v>
      </c>
      <c r="N2716" t="str">
        <f t="shared" si="128"/>
        <v>Regular</v>
      </c>
    </row>
    <row r="2717" spans="1:14" x14ac:dyDescent="0.35">
      <c r="A2717">
        <v>2716</v>
      </c>
      <c r="B2717">
        <v>47</v>
      </c>
      <c r="C2717" t="str">
        <f t="shared" si="126"/>
        <v>Adult</v>
      </c>
      <c r="D2717" t="s">
        <v>16</v>
      </c>
      <c r="E2717" t="s">
        <v>17</v>
      </c>
      <c r="F2717" t="s">
        <v>48</v>
      </c>
      <c r="G2717">
        <v>119.05</v>
      </c>
      <c r="H2717" t="s">
        <v>24</v>
      </c>
      <c r="I2717" t="s">
        <v>15</v>
      </c>
      <c r="J2717">
        <v>2.5</v>
      </c>
      <c r="K2717">
        <v>9</v>
      </c>
      <c r="L2717">
        <f t="shared" si="127"/>
        <v>108.3355</v>
      </c>
      <c r="M2717">
        <v>2</v>
      </c>
      <c r="N2717" t="str">
        <f t="shared" si="128"/>
        <v>New</v>
      </c>
    </row>
    <row r="2718" spans="1:14" x14ac:dyDescent="0.35">
      <c r="A2718">
        <v>2717</v>
      </c>
      <c r="B2718">
        <v>53</v>
      </c>
      <c r="C2718" t="str">
        <f t="shared" si="126"/>
        <v>Adult</v>
      </c>
      <c r="D2718" t="s">
        <v>11</v>
      </c>
      <c r="E2718" t="s">
        <v>12</v>
      </c>
      <c r="F2718" t="s">
        <v>50</v>
      </c>
      <c r="G2718">
        <v>158.47</v>
      </c>
      <c r="H2718" t="s">
        <v>31</v>
      </c>
      <c r="I2718" t="s">
        <v>15</v>
      </c>
      <c r="J2718">
        <v>4.4000000000000004</v>
      </c>
      <c r="K2718">
        <v>22</v>
      </c>
      <c r="L2718">
        <f t="shared" si="127"/>
        <v>123.6066</v>
      </c>
      <c r="M2718">
        <v>6</v>
      </c>
      <c r="N2718" t="str">
        <f t="shared" si="128"/>
        <v>Regular</v>
      </c>
    </row>
    <row r="2719" spans="1:14" x14ac:dyDescent="0.35">
      <c r="A2719">
        <v>2718</v>
      </c>
      <c r="B2719">
        <v>34</v>
      </c>
      <c r="C2719" t="str">
        <f t="shared" si="126"/>
        <v>Adult</v>
      </c>
      <c r="D2719" t="s">
        <v>16</v>
      </c>
      <c r="E2719" t="s">
        <v>17</v>
      </c>
      <c r="F2719" t="s">
        <v>42</v>
      </c>
      <c r="G2719">
        <v>111.49</v>
      </c>
      <c r="H2719" t="s">
        <v>19</v>
      </c>
      <c r="I2719" t="s">
        <v>15</v>
      </c>
      <c r="J2719">
        <v>4.5</v>
      </c>
      <c r="K2719">
        <v>18</v>
      </c>
      <c r="L2719">
        <f t="shared" si="127"/>
        <v>91.421800000000005</v>
      </c>
      <c r="M2719">
        <v>4</v>
      </c>
      <c r="N2719" t="str">
        <f t="shared" si="128"/>
        <v>Regular</v>
      </c>
    </row>
    <row r="2720" spans="1:14" x14ac:dyDescent="0.35">
      <c r="A2720">
        <v>2719</v>
      </c>
      <c r="B2720">
        <v>34</v>
      </c>
      <c r="C2720" t="str">
        <f t="shared" si="126"/>
        <v>Adult</v>
      </c>
      <c r="D2720" t="s">
        <v>11</v>
      </c>
      <c r="E2720" t="s">
        <v>33</v>
      </c>
      <c r="F2720" t="s">
        <v>40</v>
      </c>
      <c r="G2720">
        <v>171.91</v>
      </c>
      <c r="H2720" t="s">
        <v>19</v>
      </c>
      <c r="I2720" t="s">
        <v>15</v>
      </c>
      <c r="J2720">
        <v>3.3</v>
      </c>
      <c r="K2720">
        <v>20</v>
      </c>
      <c r="L2720">
        <f t="shared" si="127"/>
        <v>137.52799999999999</v>
      </c>
      <c r="M2720">
        <v>5</v>
      </c>
      <c r="N2720" t="str">
        <f t="shared" si="128"/>
        <v>Regular</v>
      </c>
    </row>
    <row r="2721" spans="1:14" x14ac:dyDescent="0.35">
      <c r="A2721">
        <v>2720</v>
      </c>
      <c r="B2721">
        <v>61</v>
      </c>
      <c r="C2721" t="str">
        <f t="shared" si="126"/>
        <v>Senior</v>
      </c>
      <c r="D2721" t="s">
        <v>11</v>
      </c>
      <c r="E2721" t="s">
        <v>41</v>
      </c>
      <c r="F2721" t="s">
        <v>42</v>
      </c>
      <c r="G2721">
        <v>199.45</v>
      </c>
      <c r="H2721" t="s">
        <v>19</v>
      </c>
      <c r="I2721" t="s">
        <v>15</v>
      </c>
      <c r="J2721">
        <v>3.2</v>
      </c>
      <c r="K2721">
        <v>24</v>
      </c>
      <c r="L2721">
        <f t="shared" si="127"/>
        <v>151.58199999999999</v>
      </c>
      <c r="M2721">
        <v>7</v>
      </c>
      <c r="N2721" t="str">
        <f t="shared" si="128"/>
        <v>Regular</v>
      </c>
    </row>
    <row r="2722" spans="1:14" x14ac:dyDescent="0.35">
      <c r="A2722">
        <v>2721</v>
      </c>
      <c r="B2722">
        <v>29</v>
      </c>
      <c r="C2722" t="str">
        <f t="shared" si="126"/>
        <v>Youth</v>
      </c>
      <c r="D2722" t="s">
        <v>16</v>
      </c>
      <c r="E2722" t="s">
        <v>33</v>
      </c>
      <c r="F2722" t="s">
        <v>40</v>
      </c>
      <c r="G2722">
        <v>201.67</v>
      </c>
      <c r="H2722" t="s">
        <v>31</v>
      </c>
      <c r="I2722" t="s">
        <v>15</v>
      </c>
      <c r="J2722">
        <v>4.0999999999999996</v>
      </c>
      <c r="K2722">
        <v>11</v>
      </c>
      <c r="L2722">
        <f t="shared" si="127"/>
        <v>179.4863</v>
      </c>
      <c r="M2722">
        <v>3</v>
      </c>
      <c r="N2722" t="str">
        <f t="shared" si="128"/>
        <v>New</v>
      </c>
    </row>
    <row r="2723" spans="1:14" x14ac:dyDescent="0.35">
      <c r="A2723">
        <v>2722</v>
      </c>
      <c r="B2723">
        <v>33</v>
      </c>
      <c r="C2723" t="str">
        <f t="shared" si="126"/>
        <v>Adult</v>
      </c>
      <c r="D2723" t="s">
        <v>16</v>
      </c>
      <c r="E2723" t="s">
        <v>25</v>
      </c>
      <c r="F2723" t="s">
        <v>57</v>
      </c>
      <c r="G2723">
        <v>30.08</v>
      </c>
      <c r="H2723" t="s">
        <v>19</v>
      </c>
      <c r="I2723" t="s">
        <v>15</v>
      </c>
      <c r="J2723">
        <v>4.2</v>
      </c>
      <c r="K2723">
        <v>10</v>
      </c>
      <c r="L2723">
        <f t="shared" si="127"/>
        <v>27.071999999999999</v>
      </c>
      <c r="M2723">
        <v>5</v>
      </c>
      <c r="N2723" t="str">
        <f t="shared" si="128"/>
        <v>Regular</v>
      </c>
    </row>
    <row r="2724" spans="1:14" x14ac:dyDescent="0.35">
      <c r="A2724">
        <v>2723</v>
      </c>
      <c r="B2724">
        <v>70</v>
      </c>
      <c r="C2724" t="str">
        <f t="shared" si="126"/>
        <v>Senior</v>
      </c>
      <c r="D2724" t="s">
        <v>11</v>
      </c>
      <c r="E2724" t="s">
        <v>33</v>
      </c>
      <c r="F2724" t="s">
        <v>38</v>
      </c>
      <c r="G2724">
        <v>173.77</v>
      </c>
      <c r="H2724" t="s">
        <v>19</v>
      </c>
      <c r="I2724" t="s">
        <v>15</v>
      </c>
      <c r="J2724">
        <v>4</v>
      </c>
      <c r="K2724">
        <v>12</v>
      </c>
      <c r="L2724">
        <f t="shared" si="127"/>
        <v>152.91760000000002</v>
      </c>
      <c r="M2724">
        <v>6</v>
      </c>
      <c r="N2724" t="str">
        <f t="shared" si="128"/>
        <v>Regular</v>
      </c>
    </row>
    <row r="2725" spans="1:14" x14ac:dyDescent="0.35">
      <c r="A2725">
        <v>2724</v>
      </c>
      <c r="B2725">
        <v>51</v>
      </c>
      <c r="C2725" t="str">
        <f t="shared" si="126"/>
        <v>Adult</v>
      </c>
      <c r="D2725" t="s">
        <v>16</v>
      </c>
      <c r="E2725" t="s">
        <v>20</v>
      </c>
      <c r="F2725" t="s">
        <v>39</v>
      </c>
      <c r="G2725">
        <v>26.65</v>
      </c>
      <c r="H2725" t="s">
        <v>24</v>
      </c>
      <c r="I2725" t="s">
        <v>15</v>
      </c>
      <c r="J2725">
        <v>3.5</v>
      </c>
      <c r="K2725">
        <v>12</v>
      </c>
      <c r="L2725">
        <f t="shared" si="127"/>
        <v>23.451999999999998</v>
      </c>
      <c r="M2725">
        <v>6</v>
      </c>
      <c r="N2725" t="str">
        <f t="shared" si="128"/>
        <v>Regular</v>
      </c>
    </row>
    <row r="2726" spans="1:14" x14ac:dyDescent="0.35">
      <c r="A2726">
        <v>2725</v>
      </c>
      <c r="B2726">
        <v>57</v>
      </c>
      <c r="C2726" t="str">
        <f t="shared" si="126"/>
        <v>Adult</v>
      </c>
      <c r="D2726" t="s">
        <v>16</v>
      </c>
      <c r="E2726" t="s">
        <v>27</v>
      </c>
      <c r="F2726" t="s">
        <v>28</v>
      </c>
      <c r="G2726">
        <v>800.36</v>
      </c>
      <c r="H2726" t="s">
        <v>14</v>
      </c>
      <c r="I2726" t="s">
        <v>15</v>
      </c>
      <c r="J2726">
        <v>4</v>
      </c>
      <c r="K2726">
        <v>22</v>
      </c>
      <c r="L2726">
        <f t="shared" si="127"/>
        <v>624.2808</v>
      </c>
      <c r="M2726">
        <v>6</v>
      </c>
      <c r="N2726" t="str">
        <f t="shared" si="128"/>
        <v>Regular</v>
      </c>
    </row>
    <row r="2727" spans="1:14" x14ac:dyDescent="0.35">
      <c r="A2727">
        <v>2726</v>
      </c>
      <c r="B2727">
        <v>45</v>
      </c>
      <c r="C2727" t="str">
        <f t="shared" si="126"/>
        <v>Adult</v>
      </c>
      <c r="D2727" t="s">
        <v>16</v>
      </c>
      <c r="E2727" t="s">
        <v>17</v>
      </c>
      <c r="F2727" t="s">
        <v>18</v>
      </c>
      <c r="G2727">
        <v>94.82</v>
      </c>
      <c r="H2727" t="s">
        <v>19</v>
      </c>
      <c r="I2727" t="s">
        <v>15</v>
      </c>
      <c r="J2727">
        <v>4.4000000000000004</v>
      </c>
      <c r="K2727">
        <v>19</v>
      </c>
      <c r="L2727">
        <f t="shared" si="127"/>
        <v>76.804199999999994</v>
      </c>
      <c r="M2727">
        <v>7</v>
      </c>
      <c r="N2727" t="str">
        <f t="shared" si="128"/>
        <v>Regular</v>
      </c>
    </row>
    <row r="2728" spans="1:14" x14ac:dyDescent="0.35">
      <c r="A2728">
        <v>2727</v>
      </c>
      <c r="B2728">
        <v>67</v>
      </c>
      <c r="C2728" t="str">
        <f t="shared" si="126"/>
        <v>Senior</v>
      </c>
      <c r="D2728" t="s">
        <v>11</v>
      </c>
      <c r="E2728" t="s">
        <v>22</v>
      </c>
      <c r="F2728" t="s">
        <v>43</v>
      </c>
      <c r="G2728">
        <v>248.77</v>
      </c>
      <c r="H2728" t="s">
        <v>31</v>
      </c>
      <c r="I2728" t="s">
        <v>15</v>
      </c>
      <c r="J2728">
        <v>3.9</v>
      </c>
      <c r="K2728">
        <v>8</v>
      </c>
      <c r="L2728">
        <f t="shared" si="127"/>
        <v>228.86840000000001</v>
      </c>
      <c r="M2728">
        <v>4</v>
      </c>
      <c r="N2728" t="str">
        <f t="shared" si="128"/>
        <v>Regular</v>
      </c>
    </row>
    <row r="2729" spans="1:14" x14ac:dyDescent="0.35">
      <c r="A2729">
        <v>2728</v>
      </c>
      <c r="B2729">
        <v>45</v>
      </c>
      <c r="C2729" t="str">
        <f t="shared" si="126"/>
        <v>Adult</v>
      </c>
      <c r="D2729" t="s">
        <v>11</v>
      </c>
      <c r="E2729" t="s">
        <v>12</v>
      </c>
      <c r="F2729" t="s">
        <v>50</v>
      </c>
      <c r="G2729">
        <v>30.71</v>
      </c>
      <c r="H2729" t="s">
        <v>24</v>
      </c>
      <c r="I2729" t="s">
        <v>37</v>
      </c>
      <c r="J2729">
        <v>3.5</v>
      </c>
      <c r="K2729">
        <v>12</v>
      </c>
      <c r="L2729">
        <f t="shared" si="127"/>
        <v>27.024800000000003</v>
      </c>
      <c r="M2729">
        <v>1</v>
      </c>
      <c r="N2729" t="str">
        <f t="shared" si="128"/>
        <v>New</v>
      </c>
    </row>
    <row r="2730" spans="1:14" x14ac:dyDescent="0.35">
      <c r="A2730">
        <v>2729</v>
      </c>
      <c r="B2730">
        <v>60</v>
      </c>
      <c r="C2730" t="str">
        <f t="shared" si="126"/>
        <v>Adult</v>
      </c>
      <c r="D2730" t="s">
        <v>16</v>
      </c>
      <c r="E2730" t="s">
        <v>20</v>
      </c>
      <c r="F2730" t="s">
        <v>39</v>
      </c>
      <c r="G2730">
        <v>165.51</v>
      </c>
      <c r="H2730" t="s">
        <v>24</v>
      </c>
      <c r="I2730" t="s">
        <v>15</v>
      </c>
      <c r="J2730">
        <v>2.6</v>
      </c>
      <c r="K2730">
        <v>8</v>
      </c>
      <c r="L2730">
        <f t="shared" si="127"/>
        <v>152.26920000000001</v>
      </c>
      <c r="M2730">
        <v>4</v>
      </c>
      <c r="N2730" t="str">
        <f t="shared" si="128"/>
        <v>Regular</v>
      </c>
    </row>
    <row r="2731" spans="1:14" x14ac:dyDescent="0.35">
      <c r="A2731">
        <v>2730</v>
      </c>
      <c r="B2731">
        <v>70</v>
      </c>
      <c r="C2731" t="str">
        <f t="shared" si="126"/>
        <v>Senior</v>
      </c>
      <c r="D2731" t="s">
        <v>11</v>
      </c>
      <c r="E2731" t="s">
        <v>41</v>
      </c>
      <c r="F2731" t="s">
        <v>46</v>
      </c>
      <c r="G2731">
        <v>68.489999999999995</v>
      </c>
      <c r="H2731" t="s">
        <v>14</v>
      </c>
      <c r="I2731" t="s">
        <v>37</v>
      </c>
      <c r="J2731">
        <v>4.7</v>
      </c>
      <c r="K2731">
        <v>14</v>
      </c>
      <c r="L2731">
        <f t="shared" si="127"/>
        <v>58.901399999999995</v>
      </c>
      <c r="M2731">
        <v>2</v>
      </c>
      <c r="N2731" t="str">
        <f t="shared" si="128"/>
        <v>New</v>
      </c>
    </row>
    <row r="2732" spans="1:14" x14ac:dyDescent="0.35">
      <c r="A2732">
        <v>2731</v>
      </c>
      <c r="B2732">
        <v>21</v>
      </c>
      <c r="C2732" t="str">
        <f t="shared" si="126"/>
        <v>Youth</v>
      </c>
      <c r="D2732" t="s">
        <v>16</v>
      </c>
      <c r="E2732" t="s">
        <v>27</v>
      </c>
      <c r="F2732" t="s">
        <v>49</v>
      </c>
      <c r="G2732">
        <v>2061.36</v>
      </c>
      <c r="H2732" t="s">
        <v>19</v>
      </c>
      <c r="I2732" t="s">
        <v>15</v>
      </c>
      <c r="J2732">
        <v>4</v>
      </c>
      <c r="K2732">
        <v>20</v>
      </c>
      <c r="L2732">
        <f t="shared" si="127"/>
        <v>1649.0880000000002</v>
      </c>
      <c r="M2732">
        <v>5</v>
      </c>
      <c r="N2732" t="str">
        <f t="shared" si="128"/>
        <v>Regular</v>
      </c>
    </row>
    <row r="2733" spans="1:14" x14ac:dyDescent="0.35">
      <c r="A2733">
        <v>2732</v>
      </c>
      <c r="B2733">
        <v>42</v>
      </c>
      <c r="C2733" t="str">
        <f t="shared" si="126"/>
        <v>Adult</v>
      </c>
      <c r="D2733" t="s">
        <v>11</v>
      </c>
      <c r="E2733" t="s">
        <v>33</v>
      </c>
      <c r="F2733" t="s">
        <v>38</v>
      </c>
      <c r="G2733">
        <v>45.4</v>
      </c>
      <c r="H2733" t="s">
        <v>24</v>
      </c>
      <c r="I2733" t="s">
        <v>15</v>
      </c>
      <c r="J2733">
        <v>3.5</v>
      </c>
      <c r="K2733">
        <v>19</v>
      </c>
      <c r="L2733">
        <f t="shared" si="127"/>
        <v>36.774000000000001</v>
      </c>
      <c r="M2733">
        <v>7</v>
      </c>
      <c r="N2733" t="str">
        <f t="shared" si="128"/>
        <v>Regular</v>
      </c>
    </row>
    <row r="2734" spans="1:14" x14ac:dyDescent="0.35">
      <c r="A2734">
        <v>2733</v>
      </c>
      <c r="B2734">
        <v>26</v>
      </c>
      <c r="C2734" t="str">
        <f t="shared" si="126"/>
        <v>Youth</v>
      </c>
      <c r="D2734" t="s">
        <v>11</v>
      </c>
      <c r="E2734" t="s">
        <v>41</v>
      </c>
      <c r="F2734" t="s">
        <v>44</v>
      </c>
      <c r="G2734">
        <v>66.62</v>
      </c>
      <c r="H2734" t="s">
        <v>14</v>
      </c>
      <c r="I2734" t="s">
        <v>37</v>
      </c>
      <c r="J2734">
        <v>3.5</v>
      </c>
      <c r="K2734">
        <v>2</v>
      </c>
      <c r="L2734">
        <f t="shared" si="127"/>
        <v>65.287599999999998</v>
      </c>
      <c r="M2734">
        <v>1</v>
      </c>
      <c r="N2734" t="str">
        <f t="shared" si="128"/>
        <v>New</v>
      </c>
    </row>
    <row r="2735" spans="1:14" x14ac:dyDescent="0.35">
      <c r="A2735">
        <v>2734</v>
      </c>
      <c r="B2735">
        <v>69</v>
      </c>
      <c r="C2735" t="str">
        <f t="shared" si="126"/>
        <v>Senior</v>
      </c>
      <c r="D2735" t="s">
        <v>11</v>
      </c>
      <c r="E2735" t="s">
        <v>33</v>
      </c>
      <c r="F2735" t="s">
        <v>38</v>
      </c>
      <c r="G2735">
        <v>43.11</v>
      </c>
      <c r="H2735" t="s">
        <v>14</v>
      </c>
      <c r="I2735" t="s">
        <v>37</v>
      </c>
      <c r="J2735">
        <v>3.4</v>
      </c>
      <c r="K2735">
        <v>2</v>
      </c>
      <c r="L2735">
        <f t="shared" si="127"/>
        <v>42.247799999999998</v>
      </c>
      <c r="M2735">
        <v>1</v>
      </c>
      <c r="N2735" t="str">
        <f t="shared" si="128"/>
        <v>New</v>
      </c>
    </row>
    <row r="2736" spans="1:14" x14ac:dyDescent="0.35">
      <c r="A2736">
        <v>2735</v>
      </c>
      <c r="B2736">
        <v>49</v>
      </c>
      <c r="C2736" t="str">
        <f t="shared" si="126"/>
        <v>Adult</v>
      </c>
      <c r="D2736" t="s">
        <v>16</v>
      </c>
      <c r="E2736" t="s">
        <v>27</v>
      </c>
      <c r="F2736" t="s">
        <v>28</v>
      </c>
      <c r="G2736">
        <v>519.78</v>
      </c>
      <c r="H2736" t="s">
        <v>19</v>
      </c>
      <c r="I2736" t="s">
        <v>15</v>
      </c>
      <c r="J2736">
        <v>3.7</v>
      </c>
      <c r="K2736">
        <v>22</v>
      </c>
      <c r="L2736">
        <f t="shared" si="127"/>
        <v>405.42840000000001</v>
      </c>
      <c r="M2736">
        <v>6</v>
      </c>
      <c r="N2736" t="str">
        <f t="shared" si="128"/>
        <v>Regular</v>
      </c>
    </row>
    <row r="2737" spans="1:14" x14ac:dyDescent="0.35">
      <c r="A2737">
        <v>2736</v>
      </c>
      <c r="B2737">
        <v>28</v>
      </c>
      <c r="C2737" t="str">
        <f t="shared" si="126"/>
        <v>Youth</v>
      </c>
      <c r="D2737" t="s">
        <v>11</v>
      </c>
      <c r="E2737" t="s">
        <v>41</v>
      </c>
      <c r="F2737" t="s">
        <v>42</v>
      </c>
      <c r="G2737">
        <v>167.8</v>
      </c>
      <c r="H2737" t="s">
        <v>19</v>
      </c>
      <c r="I2737" t="s">
        <v>15</v>
      </c>
      <c r="J2737">
        <v>3.8</v>
      </c>
      <c r="K2737">
        <v>19</v>
      </c>
      <c r="L2737">
        <f t="shared" si="127"/>
        <v>135.91800000000001</v>
      </c>
      <c r="M2737">
        <v>7</v>
      </c>
      <c r="N2737" t="str">
        <f t="shared" si="128"/>
        <v>Regular</v>
      </c>
    </row>
    <row r="2738" spans="1:14" x14ac:dyDescent="0.35">
      <c r="A2738">
        <v>2737</v>
      </c>
      <c r="B2738">
        <v>59</v>
      </c>
      <c r="C2738" t="str">
        <f t="shared" si="126"/>
        <v>Adult</v>
      </c>
      <c r="D2738" t="s">
        <v>16</v>
      </c>
      <c r="E2738" t="s">
        <v>22</v>
      </c>
      <c r="F2738" t="s">
        <v>23</v>
      </c>
      <c r="G2738">
        <v>57.56</v>
      </c>
      <c r="H2738" t="s">
        <v>14</v>
      </c>
      <c r="I2738" t="s">
        <v>15</v>
      </c>
      <c r="J2738">
        <v>4.7</v>
      </c>
      <c r="K2738">
        <v>17</v>
      </c>
      <c r="L2738">
        <f t="shared" si="127"/>
        <v>47.774799999999999</v>
      </c>
      <c r="M2738">
        <v>6</v>
      </c>
      <c r="N2738" t="str">
        <f t="shared" si="128"/>
        <v>Regular</v>
      </c>
    </row>
    <row r="2739" spans="1:14" x14ac:dyDescent="0.35">
      <c r="A2739">
        <v>2738</v>
      </c>
      <c r="B2739">
        <v>41</v>
      </c>
      <c r="C2739" t="str">
        <f t="shared" si="126"/>
        <v>Adult</v>
      </c>
      <c r="D2739" t="s">
        <v>11</v>
      </c>
      <c r="E2739" t="s">
        <v>22</v>
      </c>
      <c r="F2739" t="s">
        <v>52</v>
      </c>
      <c r="G2739">
        <v>82.73</v>
      </c>
      <c r="H2739" t="s">
        <v>31</v>
      </c>
      <c r="I2739" t="s">
        <v>37</v>
      </c>
      <c r="J2739">
        <v>3.9</v>
      </c>
      <c r="K2739">
        <v>26</v>
      </c>
      <c r="L2739">
        <f t="shared" si="127"/>
        <v>61.220200000000006</v>
      </c>
      <c r="M2739">
        <v>8</v>
      </c>
      <c r="N2739" t="str">
        <f t="shared" si="128"/>
        <v>Loyal</v>
      </c>
    </row>
    <row r="2740" spans="1:14" x14ac:dyDescent="0.35">
      <c r="A2740">
        <v>2739</v>
      </c>
      <c r="B2740">
        <v>30</v>
      </c>
      <c r="C2740" t="str">
        <f t="shared" si="126"/>
        <v>Youth</v>
      </c>
      <c r="D2740" t="s">
        <v>16</v>
      </c>
      <c r="E2740" t="s">
        <v>27</v>
      </c>
      <c r="F2740" t="s">
        <v>28</v>
      </c>
      <c r="G2740">
        <v>578.64</v>
      </c>
      <c r="H2740" t="s">
        <v>24</v>
      </c>
      <c r="I2740" t="s">
        <v>15</v>
      </c>
      <c r="J2740">
        <v>3.2</v>
      </c>
      <c r="K2740">
        <v>21</v>
      </c>
      <c r="L2740">
        <f t="shared" si="127"/>
        <v>457.12560000000002</v>
      </c>
      <c r="M2740">
        <v>8</v>
      </c>
      <c r="N2740" t="str">
        <f t="shared" si="128"/>
        <v>Loyal</v>
      </c>
    </row>
    <row r="2741" spans="1:14" x14ac:dyDescent="0.35">
      <c r="A2741">
        <v>2740</v>
      </c>
      <c r="B2741">
        <v>69</v>
      </c>
      <c r="C2741" t="str">
        <f t="shared" si="126"/>
        <v>Senior</v>
      </c>
      <c r="D2741" t="s">
        <v>16</v>
      </c>
      <c r="E2741" t="s">
        <v>25</v>
      </c>
      <c r="F2741" t="s">
        <v>26</v>
      </c>
      <c r="G2741">
        <v>65.16</v>
      </c>
      <c r="H2741" t="s">
        <v>14</v>
      </c>
      <c r="I2741" t="s">
        <v>15</v>
      </c>
      <c r="J2741">
        <v>4.2</v>
      </c>
      <c r="K2741">
        <v>11</v>
      </c>
      <c r="L2741">
        <f t="shared" si="127"/>
        <v>57.992399999999996</v>
      </c>
      <c r="M2741">
        <v>3</v>
      </c>
      <c r="N2741" t="str">
        <f t="shared" si="128"/>
        <v>New</v>
      </c>
    </row>
    <row r="2742" spans="1:14" x14ac:dyDescent="0.35">
      <c r="A2742">
        <v>2741</v>
      </c>
      <c r="B2742">
        <v>62</v>
      </c>
      <c r="C2742" t="str">
        <f t="shared" si="126"/>
        <v>Senior</v>
      </c>
      <c r="D2742" t="s">
        <v>11</v>
      </c>
      <c r="E2742" t="s">
        <v>41</v>
      </c>
      <c r="F2742" t="s">
        <v>42</v>
      </c>
      <c r="G2742">
        <v>101.41</v>
      </c>
      <c r="H2742" t="s">
        <v>19</v>
      </c>
      <c r="I2742" t="s">
        <v>15</v>
      </c>
      <c r="J2742">
        <v>3.9</v>
      </c>
      <c r="K2742">
        <v>8</v>
      </c>
      <c r="L2742">
        <f t="shared" si="127"/>
        <v>93.297200000000004</v>
      </c>
      <c r="M2742">
        <v>4</v>
      </c>
      <c r="N2742" t="str">
        <f t="shared" si="128"/>
        <v>Regular</v>
      </c>
    </row>
    <row r="2743" spans="1:14" x14ac:dyDescent="0.35">
      <c r="A2743">
        <v>2742</v>
      </c>
      <c r="B2743">
        <v>33</v>
      </c>
      <c r="C2743" t="str">
        <f t="shared" si="126"/>
        <v>Adult</v>
      </c>
      <c r="D2743" t="s">
        <v>11</v>
      </c>
      <c r="E2743" t="s">
        <v>29</v>
      </c>
      <c r="F2743" t="s">
        <v>30</v>
      </c>
      <c r="G2743">
        <v>110.21</v>
      </c>
      <c r="H2743" t="s">
        <v>24</v>
      </c>
      <c r="I2743" t="s">
        <v>15</v>
      </c>
      <c r="J2743">
        <v>4.0999999999999996</v>
      </c>
      <c r="K2743">
        <v>14</v>
      </c>
      <c r="L2743">
        <f t="shared" si="127"/>
        <v>94.780599999999993</v>
      </c>
      <c r="M2743">
        <v>2</v>
      </c>
      <c r="N2743" t="str">
        <f t="shared" si="128"/>
        <v>New</v>
      </c>
    </row>
    <row r="2744" spans="1:14" x14ac:dyDescent="0.35">
      <c r="A2744">
        <v>2743</v>
      </c>
      <c r="B2744">
        <v>22</v>
      </c>
      <c r="C2744" t="str">
        <f t="shared" si="126"/>
        <v>Youth</v>
      </c>
      <c r="D2744" t="s">
        <v>16</v>
      </c>
      <c r="E2744" t="s">
        <v>20</v>
      </c>
      <c r="F2744" t="s">
        <v>39</v>
      </c>
      <c r="G2744">
        <v>63.38</v>
      </c>
      <c r="H2744" t="s">
        <v>14</v>
      </c>
      <c r="I2744" t="s">
        <v>37</v>
      </c>
      <c r="J2744">
        <v>3</v>
      </c>
      <c r="K2744">
        <v>28</v>
      </c>
      <c r="L2744">
        <f t="shared" si="127"/>
        <v>45.633600000000001</v>
      </c>
      <c r="M2744">
        <v>9</v>
      </c>
      <c r="N2744" t="str">
        <f t="shared" si="128"/>
        <v>Loyal</v>
      </c>
    </row>
    <row r="2745" spans="1:14" x14ac:dyDescent="0.35">
      <c r="A2745">
        <v>2744</v>
      </c>
      <c r="B2745">
        <v>56</v>
      </c>
      <c r="C2745" t="str">
        <f t="shared" si="126"/>
        <v>Adult</v>
      </c>
      <c r="D2745" t="s">
        <v>16</v>
      </c>
      <c r="E2745" t="s">
        <v>17</v>
      </c>
      <c r="F2745" t="s">
        <v>48</v>
      </c>
      <c r="G2745">
        <v>144.24</v>
      </c>
      <c r="H2745" t="s">
        <v>14</v>
      </c>
      <c r="I2745" t="s">
        <v>15</v>
      </c>
      <c r="J2745">
        <v>3.8</v>
      </c>
      <c r="K2745">
        <v>28</v>
      </c>
      <c r="L2745">
        <f t="shared" si="127"/>
        <v>103.8528</v>
      </c>
      <c r="M2745">
        <v>9</v>
      </c>
      <c r="N2745" t="str">
        <f t="shared" si="128"/>
        <v>Loyal</v>
      </c>
    </row>
    <row r="2746" spans="1:14" x14ac:dyDescent="0.35">
      <c r="A2746">
        <v>2745</v>
      </c>
      <c r="B2746">
        <v>37</v>
      </c>
      <c r="C2746" t="str">
        <f t="shared" si="126"/>
        <v>Adult</v>
      </c>
      <c r="D2746" t="s">
        <v>16</v>
      </c>
      <c r="E2746" t="s">
        <v>33</v>
      </c>
      <c r="F2746" t="s">
        <v>38</v>
      </c>
      <c r="G2746">
        <v>235.76</v>
      </c>
      <c r="H2746" t="s">
        <v>24</v>
      </c>
      <c r="I2746" t="s">
        <v>15</v>
      </c>
      <c r="J2746">
        <v>4.5</v>
      </c>
      <c r="K2746">
        <v>28</v>
      </c>
      <c r="L2746">
        <f t="shared" si="127"/>
        <v>169.74719999999999</v>
      </c>
      <c r="M2746">
        <v>9</v>
      </c>
      <c r="N2746" t="str">
        <f t="shared" si="128"/>
        <v>Loyal</v>
      </c>
    </row>
    <row r="2747" spans="1:14" x14ac:dyDescent="0.35">
      <c r="A2747">
        <v>2746</v>
      </c>
      <c r="B2747">
        <v>41</v>
      </c>
      <c r="C2747" t="str">
        <f t="shared" si="126"/>
        <v>Adult</v>
      </c>
      <c r="D2747" t="s">
        <v>11</v>
      </c>
      <c r="E2747" t="s">
        <v>12</v>
      </c>
      <c r="F2747" t="s">
        <v>56</v>
      </c>
      <c r="G2747">
        <v>53.22</v>
      </c>
      <c r="H2747" t="s">
        <v>24</v>
      </c>
      <c r="I2747" t="s">
        <v>37</v>
      </c>
      <c r="J2747">
        <v>2.7</v>
      </c>
      <c r="K2747">
        <v>13</v>
      </c>
      <c r="L2747">
        <f t="shared" si="127"/>
        <v>46.301400000000001</v>
      </c>
      <c r="M2747">
        <v>4</v>
      </c>
      <c r="N2747" t="str">
        <f t="shared" si="128"/>
        <v>Regular</v>
      </c>
    </row>
    <row r="2748" spans="1:14" x14ac:dyDescent="0.35">
      <c r="A2748">
        <v>2747</v>
      </c>
      <c r="B2748">
        <v>66</v>
      </c>
      <c r="C2748" t="str">
        <f t="shared" si="126"/>
        <v>Senior</v>
      </c>
      <c r="D2748" t="s">
        <v>16</v>
      </c>
      <c r="E2748" t="s">
        <v>20</v>
      </c>
      <c r="F2748" t="s">
        <v>36</v>
      </c>
      <c r="G2748">
        <v>50.31</v>
      </c>
      <c r="H2748" t="s">
        <v>19</v>
      </c>
      <c r="I2748" t="s">
        <v>37</v>
      </c>
      <c r="J2748">
        <v>2.6</v>
      </c>
      <c r="K2748">
        <v>18</v>
      </c>
      <c r="L2748">
        <f t="shared" si="127"/>
        <v>41.254200000000004</v>
      </c>
      <c r="M2748">
        <v>4</v>
      </c>
      <c r="N2748" t="str">
        <f t="shared" si="128"/>
        <v>Regular</v>
      </c>
    </row>
    <row r="2749" spans="1:14" x14ac:dyDescent="0.35">
      <c r="A2749">
        <v>2748</v>
      </c>
      <c r="B2749">
        <v>22</v>
      </c>
      <c r="C2749" t="str">
        <f t="shared" si="126"/>
        <v>Youth</v>
      </c>
      <c r="D2749" t="s">
        <v>16</v>
      </c>
      <c r="E2749" t="s">
        <v>27</v>
      </c>
      <c r="F2749" t="s">
        <v>32</v>
      </c>
      <c r="G2749">
        <v>1764.17</v>
      </c>
      <c r="H2749" t="s">
        <v>24</v>
      </c>
      <c r="I2749" t="s">
        <v>15</v>
      </c>
      <c r="J2749">
        <v>4.0999999999999996</v>
      </c>
      <c r="K2749">
        <v>16</v>
      </c>
      <c r="L2749">
        <f t="shared" si="127"/>
        <v>1481.9028000000001</v>
      </c>
      <c r="M2749">
        <v>8</v>
      </c>
      <c r="N2749" t="str">
        <f t="shared" si="128"/>
        <v>Loyal</v>
      </c>
    </row>
    <row r="2750" spans="1:14" x14ac:dyDescent="0.35">
      <c r="A2750">
        <v>2749</v>
      </c>
      <c r="B2750">
        <v>50</v>
      </c>
      <c r="C2750" t="str">
        <f t="shared" si="126"/>
        <v>Adult</v>
      </c>
      <c r="D2750" t="s">
        <v>11</v>
      </c>
      <c r="E2750" t="s">
        <v>29</v>
      </c>
      <c r="F2750" t="s">
        <v>55</v>
      </c>
      <c r="G2750">
        <v>78.25</v>
      </c>
      <c r="H2750" t="s">
        <v>24</v>
      </c>
      <c r="I2750" t="s">
        <v>37</v>
      </c>
      <c r="J2750">
        <v>4.8</v>
      </c>
      <c r="K2750">
        <v>18</v>
      </c>
      <c r="L2750">
        <f t="shared" si="127"/>
        <v>64.165000000000006</v>
      </c>
      <c r="M2750">
        <v>4</v>
      </c>
      <c r="N2750" t="str">
        <f t="shared" si="128"/>
        <v>Regular</v>
      </c>
    </row>
    <row r="2751" spans="1:14" x14ac:dyDescent="0.35">
      <c r="A2751">
        <v>2750</v>
      </c>
      <c r="B2751">
        <v>67</v>
      </c>
      <c r="C2751" t="str">
        <f t="shared" si="126"/>
        <v>Senior</v>
      </c>
      <c r="D2751" t="s">
        <v>16</v>
      </c>
      <c r="E2751" t="s">
        <v>25</v>
      </c>
      <c r="F2751" t="s">
        <v>26</v>
      </c>
      <c r="G2751">
        <v>18.2</v>
      </c>
      <c r="H2751" t="s">
        <v>19</v>
      </c>
      <c r="I2751" t="s">
        <v>15</v>
      </c>
      <c r="J2751">
        <v>3</v>
      </c>
      <c r="K2751">
        <v>14</v>
      </c>
      <c r="L2751">
        <f t="shared" si="127"/>
        <v>15.651999999999999</v>
      </c>
      <c r="M2751">
        <v>7</v>
      </c>
      <c r="N2751" t="str">
        <f t="shared" si="128"/>
        <v>Regular</v>
      </c>
    </row>
    <row r="2752" spans="1:14" x14ac:dyDescent="0.35">
      <c r="A2752">
        <v>2751</v>
      </c>
      <c r="B2752">
        <v>35</v>
      </c>
      <c r="C2752" t="str">
        <f t="shared" si="126"/>
        <v>Adult</v>
      </c>
      <c r="D2752" t="s">
        <v>16</v>
      </c>
      <c r="E2752" t="s">
        <v>22</v>
      </c>
      <c r="F2752" t="s">
        <v>23</v>
      </c>
      <c r="G2752">
        <v>244.27</v>
      </c>
      <c r="H2752" t="s">
        <v>19</v>
      </c>
      <c r="I2752" t="s">
        <v>15</v>
      </c>
      <c r="J2752">
        <v>4.5999999999999996</v>
      </c>
      <c r="K2752">
        <v>12</v>
      </c>
      <c r="L2752">
        <f t="shared" si="127"/>
        <v>214.95760000000001</v>
      </c>
      <c r="M2752">
        <v>1</v>
      </c>
      <c r="N2752" t="str">
        <f t="shared" si="128"/>
        <v>New</v>
      </c>
    </row>
    <row r="2753" spans="1:14" x14ac:dyDescent="0.35">
      <c r="A2753">
        <v>2752</v>
      </c>
      <c r="B2753">
        <v>36</v>
      </c>
      <c r="C2753" t="str">
        <f t="shared" si="126"/>
        <v>Adult</v>
      </c>
      <c r="D2753" t="s">
        <v>16</v>
      </c>
      <c r="E2753" t="s">
        <v>22</v>
      </c>
      <c r="F2753" t="s">
        <v>52</v>
      </c>
      <c r="G2753">
        <v>112.07</v>
      </c>
      <c r="H2753" t="s">
        <v>31</v>
      </c>
      <c r="I2753" t="s">
        <v>15</v>
      </c>
      <c r="J2753">
        <v>3.8</v>
      </c>
      <c r="K2753">
        <v>14</v>
      </c>
      <c r="L2753">
        <f t="shared" si="127"/>
        <v>96.380199999999988</v>
      </c>
      <c r="M2753">
        <v>7</v>
      </c>
      <c r="N2753" t="str">
        <f t="shared" si="128"/>
        <v>Regular</v>
      </c>
    </row>
    <row r="2754" spans="1:14" x14ac:dyDescent="0.35">
      <c r="A2754">
        <v>2753</v>
      </c>
      <c r="B2754">
        <v>22</v>
      </c>
      <c r="C2754" t="str">
        <f t="shared" si="126"/>
        <v>Youth</v>
      </c>
      <c r="D2754" t="s">
        <v>16</v>
      </c>
      <c r="E2754" t="s">
        <v>17</v>
      </c>
      <c r="F2754" t="s">
        <v>48</v>
      </c>
      <c r="G2754">
        <v>116.68</v>
      </c>
      <c r="H2754" t="s">
        <v>31</v>
      </c>
      <c r="I2754" t="s">
        <v>15</v>
      </c>
      <c r="J2754">
        <v>5</v>
      </c>
      <c r="K2754">
        <v>15</v>
      </c>
      <c r="L2754">
        <f t="shared" si="127"/>
        <v>99.177999999999997</v>
      </c>
      <c r="M2754">
        <v>5</v>
      </c>
      <c r="N2754" t="str">
        <f t="shared" si="128"/>
        <v>Regular</v>
      </c>
    </row>
    <row r="2755" spans="1:14" x14ac:dyDescent="0.35">
      <c r="A2755">
        <v>2754</v>
      </c>
      <c r="B2755">
        <v>30</v>
      </c>
      <c r="C2755" t="str">
        <f t="shared" ref="C2755:C2818" si="129">IF(B2755&lt;=30,"Youth",IF(B2755&lt;=45,"Adult",IF(B2755&lt;=60,"Adult","Senior")))</f>
        <v>Youth</v>
      </c>
      <c r="D2755" t="s">
        <v>11</v>
      </c>
      <c r="E2755" t="s">
        <v>25</v>
      </c>
      <c r="F2755" t="s">
        <v>26</v>
      </c>
      <c r="G2755">
        <v>28.54</v>
      </c>
      <c r="H2755" t="s">
        <v>19</v>
      </c>
      <c r="I2755" t="s">
        <v>15</v>
      </c>
      <c r="J2755">
        <v>3.5</v>
      </c>
      <c r="K2755">
        <v>12</v>
      </c>
      <c r="L2755">
        <f t="shared" ref="L2755:L2818" si="130">G2755*(1-K2755/100)</f>
        <v>25.115199999999998</v>
      </c>
      <c r="M2755">
        <v>6</v>
      </c>
      <c r="N2755" t="str">
        <f t="shared" ref="N2755:N2818" si="131">IF(M2755&lt;=3,"New",IF(M2755&lt;=7,"Regular","Loyal"))</f>
        <v>Regular</v>
      </c>
    </row>
    <row r="2756" spans="1:14" x14ac:dyDescent="0.35">
      <c r="A2756">
        <v>2755</v>
      </c>
      <c r="B2756">
        <v>54</v>
      </c>
      <c r="C2756" t="str">
        <f t="shared" si="129"/>
        <v>Adult</v>
      </c>
      <c r="D2756" t="s">
        <v>16</v>
      </c>
      <c r="E2756" t="s">
        <v>27</v>
      </c>
      <c r="F2756" t="s">
        <v>53</v>
      </c>
      <c r="G2756">
        <v>1263.5899999999999</v>
      </c>
      <c r="H2756" t="s">
        <v>24</v>
      </c>
      <c r="I2756" t="s">
        <v>15</v>
      </c>
      <c r="J2756">
        <v>3.3</v>
      </c>
      <c r="K2756">
        <v>8</v>
      </c>
      <c r="L2756">
        <f t="shared" si="130"/>
        <v>1162.5028</v>
      </c>
      <c r="M2756">
        <v>4</v>
      </c>
      <c r="N2756" t="str">
        <f t="shared" si="131"/>
        <v>Regular</v>
      </c>
    </row>
    <row r="2757" spans="1:14" x14ac:dyDescent="0.35">
      <c r="A2757">
        <v>2756</v>
      </c>
      <c r="B2757">
        <v>35</v>
      </c>
      <c r="C2757" t="str">
        <f t="shared" si="129"/>
        <v>Adult</v>
      </c>
      <c r="D2757" t="s">
        <v>16</v>
      </c>
      <c r="E2757" t="s">
        <v>20</v>
      </c>
      <c r="F2757" t="s">
        <v>21</v>
      </c>
      <c r="G2757">
        <v>137.06</v>
      </c>
      <c r="H2757" t="s">
        <v>24</v>
      </c>
      <c r="I2757" t="s">
        <v>15</v>
      </c>
      <c r="J2757">
        <v>3.6</v>
      </c>
      <c r="K2757">
        <v>16</v>
      </c>
      <c r="L2757">
        <f t="shared" si="130"/>
        <v>115.13039999999999</v>
      </c>
      <c r="M2757">
        <v>8</v>
      </c>
      <c r="N2757" t="str">
        <f t="shared" si="131"/>
        <v>Loyal</v>
      </c>
    </row>
    <row r="2758" spans="1:14" x14ac:dyDescent="0.35">
      <c r="A2758">
        <v>2757</v>
      </c>
      <c r="B2758">
        <v>21</v>
      </c>
      <c r="C2758" t="str">
        <f t="shared" si="129"/>
        <v>Youth</v>
      </c>
      <c r="D2758" t="s">
        <v>16</v>
      </c>
      <c r="E2758" t="s">
        <v>25</v>
      </c>
      <c r="F2758" t="s">
        <v>54</v>
      </c>
      <c r="G2758">
        <v>49.98</v>
      </c>
      <c r="H2758" t="s">
        <v>19</v>
      </c>
      <c r="I2758" t="s">
        <v>15</v>
      </c>
      <c r="J2758">
        <v>3.2</v>
      </c>
      <c r="K2758">
        <v>13</v>
      </c>
      <c r="L2758">
        <f t="shared" si="130"/>
        <v>43.482599999999998</v>
      </c>
      <c r="M2758">
        <v>4</v>
      </c>
      <c r="N2758" t="str">
        <f t="shared" si="131"/>
        <v>Regular</v>
      </c>
    </row>
    <row r="2759" spans="1:14" x14ac:dyDescent="0.35">
      <c r="A2759">
        <v>2758</v>
      </c>
      <c r="B2759">
        <v>50</v>
      </c>
      <c r="C2759" t="str">
        <f t="shared" si="129"/>
        <v>Adult</v>
      </c>
      <c r="D2759" t="s">
        <v>11</v>
      </c>
      <c r="E2759" t="s">
        <v>33</v>
      </c>
      <c r="F2759" t="s">
        <v>40</v>
      </c>
      <c r="G2759">
        <v>99.11</v>
      </c>
      <c r="H2759" t="s">
        <v>31</v>
      </c>
      <c r="I2759" t="s">
        <v>37</v>
      </c>
      <c r="J2759">
        <v>4.3</v>
      </c>
      <c r="K2759">
        <v>9</v>
      </c>
      <c r="L2759">
        <f t="shared" si="130"/>
        <v>90.190100000000001</v>
      </c>
      <c r="M2759">
        <v>2</v>
      </c>
      <c r="N2759" t="str">
        <f t="shared" si="131"/>
        <v>New</v>
      </c>
    </row>
    <row r="2760" spans="1:14" x14ac:dyDescent="0.35">
      <c r="A2760">
        <v>2759</v>
      </c>
      <c r="B2760">
        <v>30</v>
      </c>
      <c r="C2760" t="str">
        <f t="shared" si="129"/>
        <v>Youth</v>
      </c>
      <c r="D2760" t="s">
        <v>16</v>
      </c>
      <c r="E2760" t="s">
        <v>27</v>
      </c>
      <c r="F2760" t="s">
        <v>28</v>
      </c>
      <c r="G2760">
        <v>1683.57</v>
      </c>
      <c r="H2760" t="s">
        <v>24</v>
      </c>
      <c r="I2760" t="s">
        <v>15</v>
      </c>
      <c r="J2760">
        <v>3.5</v>
      </c>
      <c r="K2760">
        <v>11</v>
      </c>
      <c r="L2760">
        <f t="shared" si="130"/>
        <v>1498.3772999999999</v>
      </c>
      <c r="M2760">
        <v>3</v>
      </c>
      <c r="N2760" t="str">
        <f t="shared" si="131"/>
        <v>New</v>
      </c>
    </row>
    <row r="2761" spans="1:14" x14ac:dyDescent="0.35">
      <c r="A2761">
        <v>2760</v>
      </c>
      <c r="B2761">
        <v>48</v>
      </c>
      <c r="C2761" t="str">
        <f t="shared" si="129"/>
        <v>Adult</v>
      </c>
      <c r="D2761" t="s">
        <v>11</v>
      </c>
      <c r="E2761" t="s">
        <v>25</v>
      </c>
      <c r="F2761" t="s">
        <v>47</v>
      </c>
      <c r="G2761">
        <v>77.239999999999995</v>
      </c>
      <c r="H2761" t="s">
        <v>31</v>
      </c>
      <c r="I2761" t="s">
        <v>15</v>
      </c>
      <c r="J2761">
        <v>4.7</v>
      </c>
      <c r="K2761">
        <v>28</v>
      </c>
      <c r="L2761">
        <f t="shared" si="130"/>
        <v>55.612799999999993</v>
      </c>
      <c r="M2761">
        <v>9</v>
      </c>
      <c r="N2761" t="str">
        <f t="shared" si="131"/>
        <v>Loyal</v>
      </c>
    </row>
    <row r="2762" spans="1:14" x14ac:dyDescent="0.35">
      <c r="A2762">
        <v>2761</v>
      </c>
      <c r="B2762">
        <v>38</v>
      </c>
      <c r="C2762" t="str">
        <f t="shared" si="129"/>
        <v>Adult</v>
      </c>
      <c r="D2762" t="s">
        <v>11</v>
      </c>
      <c r="E2762" t="s">
        <v>25</v>
      </c>
      <c r="F2762" t="s">
        <v>54</v>
      </c>
      <c r="G2762">
        <v>15.14</v>
      </c>
      <c r="H2762" t="s">
        <v>19</v>
      </c>
      <c r="I2762" t="s">
        <v>15</v>
      </c>
      <c r="J2762">
        <v>3.2</v>
      </c>
      <c r="K2762">
        <v>18</v>
      </c>
      <c r="L2762">
        <f t="shared" si="130"/>
        <v>12.414800000000001</v>
      </c>
      <c r="M2762">
        <v>4</v>
      </c>
      <c r="N2762" t="str">
        <f t="shared" si="131"/>
        <v>Regular</v>
      </c>
    </row>
    <row r="2763" spans="1:14" x14ac:dyDescent="0.35">
      <c r="A2763">
        <v>2762</v>
      </c>
      <c r="B2763">
        <v>62</v>
      </c>
      <c r="C2763" t="str">
        <f t="shared" si="129"/>
        <v>Senior</v>
      </c>
      <c r="D2763" t="s">
        <v>16</v>
      </c>
      <c r="E2763" t="s">
        <v>33</v>
      </c>
      <c r="F2763" t="s">
        <v>38</v>
      </c>
      <c r="G2763">
        <v>43.56</v>
      </c>
      <c r="H2763" t="s">
        <v>24</v>
      </c>
      <c r="I2763" t="s">
        <v>37</v>
      </c>
      <c r="J2763">
        <v>2.6</v>
      </c>
      <c r="K2763">
        <v>24</v>
      </c>
      <c r="L2763">
        <f t="shared" si="130"/>
        <v>33.105600000000003</v>
      </c>
      <c r="M2763">
        <v>7</v>
      </c>
      <c r="N2763" t="str">
        <f t="shared" si="131"/>
        <v>Regular</v>
      </c>
    </row>
    <row r="2764" spans="1:14" x14ac:dyDescent="0.35">
      <c r="A2764">
        <v>2763</v>
      </c>
      <c r="B2764">
        <v>30</v>
      </c>
      <c r="C2764" t="str">
        <f t="shared" si="129"/>
        <v>Youth</v>
      </c>
      <c r="D2764" t="s">
        <v>11</v>
      </c>
      <c r="E2764" t="s">
        <v>29</v>
      </c>
      <c r="F2764" t="s">
        <v>30</v>
      </c>
      <c r="G2764">
        <v>51</v>
      </c>
      <c r="H2764" t="s">
        <v>31</v>
      </c>
      <c r="I2764" t="s">
        <v>37</v>
      </c>
      <c r="J2764">
        <v>4.5</v>
      </c>
      <c r="K2764">
        <v>8</v>
      </c>
      <c r="L2764">
        <f t="shared" si="130"/>
        <v>46.92</v>
      </c>
      <c r="M2764">
        <v>4</v>
      </c>
      <c r="N2764" t="str">
        <f t="shared" si="131"/>
        <v>Regular</v>
      </c>
    </row>
    <row r="2765" spans="1:14" x14ac:dyDescent="0.35">
      <c r="A2765">
        <v>2764</v>
      </c>
      <c r="B2765">
        <v>24</v>
      </c>
      <c r="C2765" t="str">
        <f t="shared" si="129"/>
        <v>Youth</v>
      </c>
      <c r="D2765" t="s">
        <v>11</v>
      </c>
      <c r="E2765" t="s">
        <v>20</v>
      </c>
      <c r="F2765" t="s">
        <v>39</v>
      </c>
      <c r="G2765">
        <v>232.42</v>
      </c>
      <c r="H2765" t="s">
        <v>31</v>
      </c>
      <c r="I2765" t="s">
        <v>15</v>
      </c>
      <c r="J2765">
        <v>2.7</v>
      </c>
      <c r="K2765">
        <v>9</v>
      </c>
      <c r="L2765">
        <f t="shared" si="130"/>
        <v>211.50219999999999</v>
      </c>
      <c r="M2765">
        <v>2</v>
      </c>
      <c r="N2765" t="str">
        <f t="shared" si="131"/>
        <v>New</v>
      </c>
    </row>
    <row r="2766" spans="1:14" x14ac:dyDescent="0.35">
      <c r="A2766">
        <v>2765</v>
      </c>
      <c r="B2766">
        <v>56</v>
      </c>
      <c r="C2766" t="str">
        <f t="shared" si="129"/>
        <v>Adult</v>
      </c>
      <c r="D2766" t="s">
        <v>11</v>
      </c>
      <c r="E2766" t="s">
        <v>29</v>
      </c>
      <c r="F2766" t="s">
        <v>55</v>
      </c>
      <c r="G2766">
        <v>78.209999999999994</v>
      </c>
      <c r="H2766" t="s">
        <v>19</v>
      </c>
      <c r="I2766" t="s">
        <v>37</v>
      </c>
      <c r="J2766">
        <v>5</v>
      </c>
      <c r="K2766">
        <v>22</v>
      </c>
      <c r="L2766">
        <f t="shared" si="130"/>
        <v>61.003799999999998</v>
      </c>
      <c r="M2766">
        <v>6</v>
      </c>
      <c r="N2766" t="str">
        <f t="shared" si="131"/>
        <v>Regular</v>
      </c>
    </row>
    <row r="2767" spans="1:14" x14ac:dyDescent="0.35">
      <c r="A2767">
        <v>2766</v>
      </c>
      <c r="B2767">
        <v>70</v>
      </c>
      <c r="C2767" t="str">
        <f t="shared" si="129"/>
        <v>Senior</v>
      </c>
      <c r="D2767" t="s">
        <v>11</v>
      </c>
      <c r="E2767" t="s">
        <v>25</v>
      </c>
      <c r="F2767" t="s">
        <v>57</v>
      </c>
      <c r="G2767">
        <v>26.36</v>
      </c>
      <c r="H2767" t="s">
        <v>19</v>
      </c>
      <c r="I2767" t="s">
        <v>37</v>
      </c>
      <c r="J2767">
        <v>4.4000000000000004</v>
      </c>
      <c r="K2767">
        <v>10</v>
      </c>
      <c r="L2767">
        <f t="shared" si="130"/>
        <v>23.724</v>
      </c>
      <c r="M2767">
        <v>5</v>
      </c>
      <c r="N2767" t="str">
        <f t="shared" si="131"/>
        <v>Regular</v>
      </c>
    </row>
    <row r="2768" spans="1:14" x14ac:dyDescent="0.35">
      <c r="A2768">
        <v>2767</v>
      </c>
      <c r="B2768">
        <v>22</v>
      </c>
      <c r="C2768" t="str">
        <f t="shared" si="129"/>
        <v>Youth</v>
      </c>
      <c r="D2768" t="s">
        <v>16</v>
      </c>
      <c r="E2768" t="s">
        <v>17</v>
      </c>
      <c r="F2768" t="s">
        <v>48</v>
      </c>
      <c r="G2768">
        <v>59.51</v>
      </c>
      <c r="H2768" t="s">
        <v>24</v>
      </c>
      <c r="I2768" t="s">
        <v>15</v>
      </c>
      <c r="J2768">
        <v>3.3</v>
      </c>
      <c r="K2768">
        <v>16</v>
      </c>
      <c r="L2768">
        <f t="shared" si="130"/>
        <v>49.988399999999999</v>
      </c>
      <c r="M2768">
        <v>3</v>
      </c>
      <c r="N2768" t="str">
        <f t="shared" si="131"/>
        <v>New</v>
      </c>
    </row>
    <row r="2769" spans="1:14" x14ac:dyDescent="0.35">
      <c r="A2769">
        <v>2768</v>
      </c>
      <c r="B2769">
        <v>36</v>
      </c>
      <c r="C2769" t="str">
        <f t="shared" si="129"/>
        <v>Adult</v>
      </c>
      <c r="D2769" t="s">
        <v>11</v>
      </c>
      <c r="E2769" t="s">
        <v>41</v>
      </c>
      <c r="F2769" t="s">
        <v>42</v>
      </c>
      <c r="G2769">
        <v>150.91999999999999</v>
      </c>
      <c r="H2769" t="s">
        <v>31</v>
      </c>
      <c r="I2769" t="s">
        <v>15</v>
      </c>
      <c r="J2769">
        <v>4.0999999999999996</v>
      </c>
      <c r="K2769">
        <v>15</v>
      </c>
      <c r="L2769">
        <f t="shared" si="130"/>
        <v>128.28199999999998</v>
      </c>
      <c r="M2769">
        <v>5</v>
      </c>
      <c r="N2769" t="str">
        <f t="shared" si="131"/>
        <v>Regular</v>
      </c>
    </row>
    <row r="2770" spans="1:14" x14ac:dyDescent="0.35">
      <c r="A2770">
        <v>2769</v>
      </c>
      <c r="B2770">
        <v>47</v>
      </c>
      <c r="C2770" t="str">
        <f t="shared" si="129"/>
        <v>Adult</v>
      </c>
      <c r="D2770" t="s">
        <v>11</v>
      </c>
      <c r="E2770" t="s">
        <v>41</v>
      </c>
      <c r="F2770" t="s">
        <v>45</v>
      </c>
      <c r="G2770">
        <v>148.25</v>
      </c>
      <c r="H2770" t="s">
        <v>19</v>
      </c>
      <c r="I2770" t="s">
        <v>15</v>
      </c>
      <c r="J2770">
        <v>4</v>
      </c>
      <c r="K2770">
        <v>16</v>
      </c>
      <c r="L2770">
        <f t="shared" si="130"/>
        <v>124.53</v>
      </c>
      <c r="M2770">
        <v>3</v>
      </c>
      <c r="N2770" t="str">
        <f t="shared" si="131"/>
        <v>New</v>
      </c>
    </row>
    <row r="2771" spans="1:14" x14ac:dyDescent="0.35">
      <c r="A2771">
        <v>2770</v>
      </c>
      <c r="B2771">
        <v>57</v>
      </c>
      <c r="C2771" t="str">
        <f t="shared" si="129"/>
        <v>Adult</v>
      </c>
      <c r="D2771" t="s">
        <v>16</v>
      </c>
      <c r="E2771" t="s">
        <v>33</v>
      </c>
      <c r="F2771" t="s">
        <v>34</v>
      </c>
      <c r="G2771">
        <v>196.03</v>
      </c>
      <c r="H2771" t="s">
        <v>24</v>
      </c>
      <c r="I2771" t="s">
        <v>15</v>
      </c>
      <c r="J2771">
        <v>4.3</v>
      </c>
      <c r="K2771">
        <v>6</v>
      </c>
      <c r="L2771">
        <f t="shared" si="130"/>
        <v>184.26819999999998</v>
      </c>
      <c r="M2771">
        <v>3</v>
      </c>
      <c r="N2771" t="str">
        <f t="shared" si="131"/>
        <v>New</v>
      </c>
    </row>
    <row r="2772" spans="1:14" x14ac:dyDescent="0.35">
      <c r="A2772">
        <v>2771</v>
      </c>
      <c r="B2772">
        <v>46</v>
      </c>
      <c r="C2772" t="str">
        <f t="shared" si="129"/>
        <v>Adult</v>
      </c>
      <c r="D2772" t="s">
        <v>16</v>
      </c>
      <c r="E2772" t="s">
        <v>27</v>
      </c>
      <c r="F2772" t="s">
        <v>49</v>
      </c>
      <c r="G2772">
        <v>853.51</v>
      </c>
      <c r="H2772" t="s">
        <v>19</v>
      </c>
      <c r="I2772" t="s">
        <v>15</v>
      </c>
      <c r="J2772">
        <v>2.7</v>
      </c>
      <c r="K2772">
        <v>11</v>
      </c>
      <c r="L2772">
        <f t="shared" si="130"/>
        <v>759.62390000000005</v>
      </c>
      <c r="M2772">
        <v>3</v>
      </c>
      <c r="N2772" t="str">
        <f t="shared" si="131"/>
        <v>New</v>
      </c>
    </row>
    <row r="2773" spans="1:14" x14ac:dyDescent="0.35">
      <c r="A2773">
        <v>2772</v>
      </c>
      <c r="B2773">
        <v>62</v>
      </c>
      <c r="C2773" t="str">
        <f t="shared" si="129"/>
        <v>Senior</v>
      </c>
      <c r="D2773" t="s">
        <v>16</v>
      </c>
      <c r="E2773" t="s">
        <v>27</v>
      </c>
      <c r="F2773" t="s">
        <v>53</v>
      </c>
      <c r="G2773">
        <v>1899.51</v>
      </c>
      <c r="H2773" t="s">
        <v>14</v>
      </c>
      <c r="I2773" t="s">
        <v>15</v>
      </c>
      <c r="J2773">
        <v>4.2</v>
      </c>
      <c r="K2773">
        <v>24</v>
      </c>
      <c r="L2773">
        <f t="shared" si="130"/>
        <v>1443.6276</v>
      </c>
      <c r="M2773">
        <v>7</v>
      </c>
      <c r="N2773" t="str">
        <f t="shared" si="131"/>
        <v>Regular</v>
      </c>
    </row>
    <row r="2774" spans="1:14" x14ac:dyDescent="0.35">
      <c r="A2774">
        <v>2773</v>
      </c>
      <c r="B2774">
        <v>20</v>
      </c>
      <c r="C2774" t="str">
        <f t="shared" si="129"/>
        <v>Youth</v>
      </c>
      <c r="D2774" t="s">
        <v>16</v>
      </c>
      <c r="E2774" t="s">
        <v>17</v>
      </c>
      <c r="F2774" t="s">
        <v>35</v>
      </c>
      <c r="G2774">
        <v>89.5</v>
      </c>
      <c r="H2774" t="s">
        <v>14</v>
      </c>
      <c r="I2774" t="s">
        <v>15</v>
      </c>
      <c r="J2774">
        <v>4.3</v>
      </c>
      <c r="K2774">
        <v>28</v>
      </c>
      <c r="L2774">
        <f t="shared" si="130"/>
        <v>64.44</v>
      </c>
      <c r="M2774">
        <v>9</v>
      </c>
      <c r="N2774" t="str">
        <f t="shared" si="131"/>
        <v>Loyal</v>
      </c>
    </row>
    <row r="2775" spans="1:14" x14ac:dyDescent="0.35">
      <c r="A2775">
        <v>2774</v>
      </c>
      <c r="B2775">
        <v>61</v>
      </c>
      <c r="C2775" t="str">
        <f t="shared" si="129"/>
        <v>Senior</v>
      </c>
      <c r="D2775" t="s">
        <v>16</v>
      </c>
      <c r="E2775" t="s">
        <v>20</v>
      </c>
      <c r="F2775" t="s">
        <v>39</v>
      </c>
      <c r="G2775">
        <v>30.95</v>
      </c>
      <c r="H2775" t="s">
        <v>24</v>
      </c>
      <c r="I2775" t="s">
        <v>15</v>
      </c>
      <c r="J2775">
        <v>3.5</v>
      </c>
      <c r="K2775">
        <v>17</v>
      </c>
      <c r="L2775">
        <f t="shared" si="130"/>
        <v>25.688499999999998</v>
      </c>
      <c r="M2775">
        <v>6</v>
      </c>
      <c r="N2775" t="str">
        <f t="shared" si="131"/>
        <v>Regular</v>
      </c>
    </row>
    <row r="2776" spans="1:14" x14ac:dyDescent="0.35">
      <c r="A2776">
        <v>2775</v>
      </c>
      <c r="B2776">
        <v>48</v>
      </c>
      <c r="C2776" t="str">
        <f t="shared" si="129"/>
        <v>Adult</v>
      </c>
      <c r="D2776" t="s">
        <v>16</v>
      </c>
      <c r="E2776" t="s">
        <v>22</v>
      </c>
      <c r="F2776" t="s">
        <v>52</v>
      </c>
      <c r="G2776">
        <v>297.56</v>
      </c>
      <c r="H2776" t="s">
        <v>24</v>
      </c>
      <c r="I2776" t="s">
        <v>15</v>
      </c>
      <c r="J2776">
        <v>5</v>
      </c>
      <c r="K2776">
        <v>18</v>
      </c>
      <c r="L2776">
        <f t="shared" si="130"/>
        <v>243.99920000000003</v>
      </c>
      <c r="M2776">
        <v>4</v>
      </c>
      <c r="N2776" t="str">
        <f t="shared" si="131"/>
        <v>Regular</v>
      </c>
    </row>
    <row r="2777" spans="1:14" x14ac:dyDescent="0.35">
      <c r="A2777">
        <v>2776</v>
      </c>
      <c r="B2777">
        <v>52</v>
      </c>
      <c r="C2777" t="str">
        <f t="shared" si="129"/>
        <v>Adult</v>
      </c>
      <c r="D2777" t="s">
        <v>16</v>
      </c>
      <c r="E2777" t="s">
        <v>17</v>
      </c>
      <c r="F2777" t="s">
        <v>42</v>
      </c>
      <c r="G2777">
        <v>169.71</v>
      </c>
      <c r="H2777" t="s">
        <v>24</v>
      </c>
      <c r="I2777" t="s">
        <v>15</v>
      </c>
      <c r="J2777">
        <v>4.3</v>
      </c>
      <c r="K2777">
        <v>19</v>
      </c>
      <c r="L2777">
        <f t="shared" si="130"/>
        <v>137.46510000000001</v>
      </c>
      <c r="M2777">
        <v>7</v>
      </c>
      <c r="N2777" t="str">
        <f t="shared" si="131"/>
        <v>Regular</v>
      </c>
    </row>
    <row r="2778" spans="1:14" x14ac:dyDescent="0.35">
      <c r="A2778">
        <v>2777</v>
      </c>
      <c r="B2778">
        <v>60</v>
      </c>
      <c r="C2778" t="str">
        <f t="shared" si="129"/>
        <v>Adult</v>
      </c>
      <c r="D2778" t="s">
        <v>11</v>
      </c>
      <c r="E2778" t="s">
        <v>41</v>
      </c>
      <c r="F2778" t="s">
        <v>44</v>
      </c>
      <c r="G2778">
        <v>97.73</v>
      </c>
      <c r="H2778" t="s">
        <v>24</v>
      </c>
      <c r="I2778" t="s">
        <v>15</v>
      </c>
      <c r="J2778">
        <v>4</v>
      </c>
      <c r="K2778">
        <v>19</v>
      </c>
      <c r="L2778">
        <f t="shared" si="130"/>
        <v>79.161300000000011</v>
      </c>
      <c r="M2778">
        <v>7</v>
      </c>
      <c r="N2778" t="str">
        <f t="shared" si="131"/>
        <v>Regular</v>
      </c>
    </row>
    <row r="2779" spans="1:14" x14ac:dyDescent="0.35">
      <c r="A2779">
        <v>2778</v>
      </c>
      <c r="B2779">
        <v>23</v>
      </c>
      <c r="C2779" t="str">
        <f t="shared" si="129"/>
        <v>Youth</v>
      </c>
      <c r="D2779" t="s">
        <v>16</v>
      </c>
      <c r="E2779" t="s">
        <v>22</v>
      </c>
      <c r="F2779" t="s">
        <v>43</v>
      </c>
      <c r="G2779">
        <v>92.52</v>
      </c>
      <c r="H2779" t="s">
        <v>14</v>
      </c>
      <c r="I2779" t="s">
        <v>15</v>
      </c>
      <c r="J2779">
        <v>3.3</v>
      </c>
      <c r="K2779">
        <v>8</v>
      </c>
      <c r="L2779">
        <f t="shared" si="130"/>
        <v>85.118399999999994</v>
      </c>
      <c r="M2779">
        <v>4</v>
      </c>
      <c r="N2779" t="str">
        <f t="shared" si="131"/>
        <v>Regular</v>
      </c>
    </row>
    <row r="2780" spans="1:14" x14ac:dyDescent="0.35">
      <c r="A2780">
        <v>2779</v>
      </c>
      <c r="B2780">
        <v>43</v>
      </c>
      <c r="C2780" t="str">
        <f t="shared" si="129"/>
        <v>Adult</v>
      </c>
      <c r="D2780" t="s">
        <v>16</v>
      </c>
      <c r="E2780" t="s">
        <v>20</v>
      </c>
      <c r="F2780" t="s">
        <v>39</v>
      </c>
      <c r="G2780">
        <v>217.59</v>
      </c>
      <c r="H2780" t="s">
        <v>31</v>
      </c>
      <c r="I2780" t="s">
        <v>15</v>
      </c>
      <c r="J2780">
        <v>4.0999999999999996</v>
      </c>
      <c r="K2780">
        <v>10</v>
      </c>
      <c r="L2780">
        <f t="shared" si="130"/>
        <v>195.83100000000002</v>
      </c>
      <c r="M2780">
        <v>5</v>
      </c>
      <c r="N2780" t="str">
        <f t="shared" si="131"/>
        <v>Regular</v>
      </c>
    </row>
    <row r="2781" spans="1:14" x14ac:dyDescent="0.35">
      <c r="A2781">
        <v>2780</v>
      </c>
      <c r="B2781">
        <v>27</v>
      </c>
      <c r="C2781" t="str">
        <f t="shared" si="129"/>
        <v>Youth</v>
      </c>
      <c r="D2781" t="s">
        <v>16</v>
      </c>
      <c r="E2781" t="s">
        <v>33</v>
      </c>
      <c r="F2781" t="s">
        <v>38</v>
      </c>
      <c r="G2781">
        <v>144.94999999999999</v>
      </c>
      <c r="H2781" t="s">
        <v>31</v>
      </c>
      <c r="I2781" t="s">
        <v>15</v>
      </c>
      <c r="J2781">
        <v>4.5999999999999996</v>
      </c>
      <c r="K2781">
        <v>13</v>
      </c>
      <c r="L2781">
        <f t="shared" si="130"/>
        <v>126.10649999999998</v>
      </c>
      <c r="M2781">
        <v>4</v>
      </c>
      <c r="N2781" t="str">
        <f t="shared" si="131"/>
        <v>Regular</v>
      </c>
    </row>
    <row r="2782" spans="1:14" x14ac:dyDescent="0.35">
      <c r="A2782">
        <v>2781</v>
      </c>
      <c r="B2782">
        <v>37</v>
      </c>
      <c r="C2782" t="str">
        <f t="shared" si="129"/>
        <v>Adult</v>
      </c>
      <c r="D2782" t="s">
        <v>11</v>
      </c>
      <c r="E2782" t="s">
        <v>41</v>
      </c>
      <c r="F2782" t="s">
        <v>44</v>
      </c>
      <c r="G2782">
        <v>95.24</v>
      </c>
      <c r="H2782" t="s">
        <v>24</v>
      </c>
      <c r="I2782" t="s">
        <v>37</v>
      </c>
      <c r="J2782">
        <v>4.0999999999999996</v>
      </c>
      <c r="K2782">
        <v>17</v>
      </c>
      <c r="L2782">
        <f t="shared" si="130"/>
        <v>79.049199999999999</v>
      </c>
      <c r="M2782">
        <v>6</v>
      </c>
      <c r="N2782" t="str">
        <f t="shared" si="131"/>
        <v>Regular</v>
      </c>
    </row>
    <row r="2783" spans="1:14" x14ac:dyDescent="0.35">
      <c r="A2783">
        <v>2782</v>
      </c>
      <c r="B2783">
        <v>20</v>
      </c>
      <c r="C2783" t="str">
        <f t="shared" si="129"/>
        <v>Youth</v>
      </c>
      <c r="D2783" t="s">
        <v>11</v>
      </c>
      <c r="E2783" t="s">
        <v>22</v>
      </c>
      <c r="F2783" t="s">
        <v>23</v>
      </c>
      <c r="G2783">
        <v>291.95</v>
      </c>
      <c r="H2783" t="s">
        <v>31</v>
      </c>
      <c r="I2783" t="s">
        <v>15</v>
      </c>
      <c r="J2783">
        <v>2.8</v>
      </c>
      <c r="K2783">
        <v>20</v>
      </c>
      <c r="L2783">
        <f t="shared" si="130"/>
        <v>233.56</v>
      </c>
      <c r="M2783">
        <v>5</v>
      </c>
      <c r="N2783" t="str">
        <f t="shared" si="131"/>
        <v>Regular</v>
      </c>
    </row>
    <row r="2784" spans="1:14" x14ac:dyDescent="0.35">
      <c r="A2784">
        <v>2783</v>
      </c>
      <c r="B2784">
        <v>44</v>
      </c>
      <c r="C2784" t="str">
        <f t="shared" si="129"/>
        <v>Adult</v>
      </c>
      <c r="D2784" t="s">
        <v>16</v>
      </c>
      <c r="E2784" t="s">
        <v>17</v>
      </c>
      <c r="F2784" t="s">
        <v>35</v>
      </c>
      <c r="G2784">
        <v>154.18</v>
      </c>
      <c r="H2784" t="s">
        <v>31</v>
      </c>
      <c r="I2784" t="s">
        <v>15</v>
      </c>
      <c r="J2784">
        <v>4.5</v>
      </c>
      <c r="K2784">
        <v>16</v>
      </c>
      <c r="L2784">
        <f t="shared" si="130"/>
        <v>129.5112</v>
      </c>
      <c r="M2784">
        <v>8</v>
      </c>
      <c r="N2784" t="str">
        <f t="shared" si="131"/>
        <v>Loyal</v>
      </c>
    </row>
    <row r="2785" spans="1:14" x14ac:dyDescent="0.35">
      <c r="A2785">
        <v>2784</v>
      </c>
      <c r="B2785">
        <v>20</v>
      </c>
      <c r="C2785" t="str">
        <f t="shared" si="129"/>
        <v>Youth</v>
      </c>
      <c r="D2785" t="s">
        <v>11</v>
      </c>
      <c r="E2785" t="s">
        <v>29</v>
      </c>
      <c r="F2785" t="s">
        <v>51</v>
      </c>
      <c r="G2785">
        <v>51.67</v>
      </c>
      <c r="H2785" t="s">
        <v>19</v>
      </c>
      <c r="I2785" t="s">
        <v>37</v>
      </c>
      <c r="J2785">
        <v>3.5</v>
      </c>
      <c r="K2785">
        <v>12</v>
      </c>
      <c r="L2785">
        <f t="shared" si="130"/>
        <v>45.4696</v>
      </c>
      <c r="M2785">
        <v>6</v>
      </c>
      <c r="N2785" t="str">
        <f t="shared" si="131"/>
        <v>Regular</v>
      </c>
    </row>
    <row r="2786" spans="1:14" x14ac:dyDescent="0.35">
      <c r="A2786">
        <v>2785</v>
      </c>
      <c r="B2786">
        <v>43</v>
      </c>
      <c r="C2786" t="str">
        <f t="shared" si="129"/>
        <v>Adult</v>
      </c>
      <c r="D2786" t="s">
        <v>11</v>
      </c>
      <c r="E2786" t="s">
        <v>29</v>
      </c>
      <c r="F2786" t="s">
        <v>55</v>
      </c>
      <c r="G2786">
        <v>137.75</v>
      </c>
      <c r="H2786" t="s">
        <v>19</v>
      </c>
      <c r="I2786" t="s">
        <v>15</v>
      </c>
      <c r="J2786">
        <v>4.0999999999999996</v>
      </c>
      <c r="K2786">
        <v>20</v>
      </c>
      <c r="L2786">
        <f t="shared" si="130"/>
        <v>110.2</v>
      </c>
      <c r="M2786">
        <v>5</v>
      </c>
      <c r="N2786" t="str">
        <f t="shared" si="131"/>
        <v>Regular</v>
      </c>
    </row>
    <row r="2787" spans="1:14" x14ac:dyDescent="0.35">
      <c r="A2787">
        <v>2786</v>
      </c>
      <c r="B2787">
        <v>46</v>
      </c>
      <c r="C2787" t="str">
        <f t="shared" si="129"/>
        <v>Adult</v>
      </c>
      <c r="D2787" t="s">
        <v>11</v>
      </c>
      <c r="E2787" t="s">
        <v>33</v>
      </c>
      <c r="F2787" t="s">
        <v>40</v>
      </c>
      <c r="G2787">
        <v>106.59</v>
      </c>
      <c r="H2787" t="s">
        <v>24</v>
      </c>
      <c r="I2787" t="s">
        <v>15</v>
      </c>
      <c r="J2787">
        <v>4.9000000000000004</v>
      </c>
      <c r="K2787">
        <v>26</v>
      </c>
      <c r="L2787">
        <f t="shared" si="130"/>
        <v>78.876599999999996</v>
      </c>
      <c r="M2787">
        <v>8</v>
      </c>
      <c r="N2787" t="str">
        <f t="shared" si="131"/>
        <v>Loyal</v>
      </c>
    </row>
    <row r="2788" spans="1:14" x14ac:dyDescent="0.35">
      <c r="A2788">
        <v>2787</v>
      </c>
      <c r="B2788">
        <v>30</v>
      </c>
      <c r="C2788" t="str">
        <f t="shared" si="129"/>
        <v>Youth</v>
      </c>
      <c r="D2788" t="s">
        <v>11</v>
      </c>
      <c r="E2788" t="s">
        <v>12</v>
      </c>
      <c r="F2788" t="s">
        <v>56</v>
      </c>
      <c r="G2788">
        <v>119.64</v>
      </c>
      <c r="H2788" t="s">
        <v>19</v>
      </c>
      <c r="I2788" t="s">
        <v>15</v>
      </c>
      <c r="J2788">
        <v>3.8</v>
      </c>
      <c r="K2788">
        <v>13</v>
      </c>
      <c r="L2788">
        <f t="shared" si="130"/>
        <v>104.0868</v>
      </c>
      <c r="M2788">
        <v>4</v>
      </c>
      <c r="N2788" t="str">
        <f t="shared" si="131"/>
        <v>Regular</v>
      </c>
    </row>
    <row r="2789" spans="1:14" x14ac:dyDescent="0.35">
      <c r="A2789">
        <v>2788</v>
      </c>
      <c r="B2789">
        <v>22</v>
      </c>
      <c r="C2789" t="str">
        <f t="shared" si="129"/>
        <v>Youth</v>
      </c>
      <c r="D2789" t="s">
        <v>11</v>
      </c>
      <c r="E2789" t="s">
        <v>29</v>
      </c>
      <c r="F2789" t="s">
        <v>51</v>
      </c>
      <c r="G2789">
        <v>90.97</v>
      </c>
      <c r="H2789" t="s">
        <v>19</v>
      </c>
      <c r="I2789" t="s">
        <v>15</v>
      </c>
      <c r="J2789">
        <v>4</v>
      </c>
      <c r="K2789">
        <v>14</v>
      </c>
      <c r="L2789">
        <f t="shared" si="130"/>
        <v>78.234200000000001</v>
      </c>
      <c r="M2789">
        <v>2</v>
      </c>
      <c r="N2789" t="str">
        <f t="shared" si="131"/>
        <v>New</v>
      </c>
    </row>
    <row r="2790" spans="1:14" x14ac:dyDescent="0.35">
      <c r="A2790">
        <v>2789</v>
      </c>
      <c r="B2790">
        <v>57</v>
      </c>
      <c r="C2790" t="str">
        <f t="shared" si="129"/>
        <v>Adult</v>
      </c>
      <c r="D2790" t="s">
        <v>11</v>
      </c>
      <c r="E2790" t="s">
        <v>22</v>
      </c>
      <c r="F2790" t="s">
        <v>23</v>
      </c>
      <c r="G2790">
        <v>106.31</v>
      </c>
      <c r="H2790" t="s">
        <v>19</v>
      </c>
      <c r="I2790" t="s">
        <v>15</v>
      </c>
      <c r="J2790">
        <v>2.4</v>
      </c>
      <c r="K2790">
        <v>15</v>
      </c>
      <c r="L2790">
        <f t="shared" si="130"/>
        <v>90.363500000000002</v>
      </c>
      <c r="M2790">
        <v>5</v>
      </c>
      <c r="N2790" t="str">
        <f t="shared" si="131"/>
        <v>Regular</v>
      </c>
    </row>
    <row r="2791" spans="1:14" x14ac:dyDescent="0.35">
      <c r="A2791">
        <v>2790</v>
      </c>
      <c r="B2791">
        <v>50</v>
      </c>
      <c r="C2791" t="str">
        <f t="shared" si="129"/>
        <v>Adult</v>
      </c>
      <c r="D2791" t="s">
        <v>16</v>
      </c>
      <c r="E2791" t="s">
        <v>33</v>
      </c>
      <c r="F2791" t="s">
        <v>38</v>
      </c>
      <c r="G2791">
        <v>116.45</v>
      </c>
      <c r="H2791" t="s">
        <v>31</v>
      </c>
      <c r="I2791" t="s">
        <v>15</v>
      </c>
      <c r="J2791">
        <v>3.7</v>
      </c>
      <c r="K2791">
        <v>18</v>
      </c>
      <c r="L2791">
        <f t="shared" si="130"/>
        <v>95.489000000000004</v>
      </c>
      <c r="M2791">
        <v>9</v>
      </c>
      <c r="N2791" t="str">
        <f t="shared" si="131"/>
        <v>Loyal</v>
      </c>
    </row>
    <row r="2792" spans="1:14" x14ac:dyDescent="0.35">
      <c r="A2792">
        <v>2791</v>
      </c>
      <c r="B2792">
        <v>61</v>
      </c>
      <c r="C2792" t="str">
        <f t="shared" si="129"/>
        <v>Senior</v>
      </c>
      <c r="D2792" t="s">
        <v>16</v>
      </c>
      <c r="E2792" t="s">
        <v>33</v>
      </c>
      <c r="F2792" t="s">
        <v>38</v>
      </c>
      <c r="G2792">
        <v>166.25</v>
      </c>
      <c r="H2792" t="s">
        <v>24</v>
      </c>
      <c r="I2792" t="s">
        <v>15</v>
      </c>
      <c r="J2792">
        <v>4.3</v>
      </c>
      <c r="K2792">
        <v>8</v>
      </c>
      <c r="L2792">
        <f t="shared" si="130"/>
        <v>152.95000000000002</v>
      </c>
      <c r="M2792">
        <v>4</v>
      </c>
      <c r="N2792" t="str">
        <f t="shared" si="131"/>
        <v>Regular</v>
      </c>
    </row>
    <row r="2793" spans="1:14" x14ac:dyDescent="0.35">
      <c r="A2793">
        <v>2792</v>
      </c>
      <c r="B2793">
        <v>38</v>
      </c>
      <c r="C2793" t="str">
        <f t="shared" si="129"/>
        <v>Adult</v>
      </c>
      <c r="D2793" t="s">
        <v>16</v>
      </c>
      <c r="E2793" t="s">
        <v>33</v>
      </c>
      <c r="F2793" t="s">
        <v>34</v>
      </c>
      <c r="G2793">
        <v>204.4</v>
      </c>
      <c r="H2793" t="s">
        <v>19</v>
      </c>
      <c r="I2793" t="s">
        <v>15</v>
      </c>
      <c r="J2793">
        <v>4.7</v>
      </c>
      <c r="K2793">
        <v>6</v>
      </c>
      <c r="L2793">
        <f t="shared" si="130"/>
        <v>192.136</v>
      </c>
      <c r="M2793">
        <v>3</v>
      </c>
      <c r="N2793" t="str">
        <f t="shared" si="131"/>
        <v>New</v>
      </c>
    </row>
    <row r="2794" spans="1:14" x14ac:dyDescent="0.35">
      <c r="A2794">
        <v>2793</v>
      </c>
      <c r="B2794">
        <v>37</v>
      </c>
      <c r="C2794" t="str">
        <f t="shared" si="129"/>
        <v>Adult</v>
      </c>
      <c r="D2794" t="s">
        <v>16</v>
      </c>
      <c r="E2794" t="s">
        <v>20</v>
      </c>
      <c r="F2794" t="s">
        <v>39</v>
      </c>
      <c r="G2794">
        <v>239.14</v>
      </c>
      <c r="H2794" t="s">
        <v>24</v>
      </c>
      <c r="I2794" t="s">
        <v>15</v>
      </c>
      <c r="J2794">
        <v>2.2000000000000002</v>
      </c>
      <c r="K2794">
        <v>15</v>
      </c>
      <c r="L2794">
        <f t="shared" si="130"/>
        <v>203.26899999999998</v>
      </c>
      <c r="M2794">
        <v>5</v>
      </c>
      <c r="N2794" t="str">
        <f t="shared" si="131"/>
        <v>Regular</v>
      </c>
    </row>
    <row r="2795" spans="1:14" x14ac:dyDescent="0.35">
      <c r="A2795">
        <v>2794</v>
      </c>
      <c r="B2795">
        <v>37</v>
      </c>
      <c r="C2795" t="str">
        <f t="shared" si="129"/>
        <v>Adult</v>
      </c>
      <c r="D2795" t="s">
        <v>16</v>
      </c>
      <c r="E2795" t="s">
        <v>33</v>
      </c>
      <c r="F2795" t="s">
        <v>38</v>
      </c>
      <c r="G2795">
        <v>174.28</v>
      </c>
      <c r="H2795" t="s">
        <v>19</v>
      </c>
      <c r="I2795" t="s">
        <v>15</v>
      </c>
      <c r="J2795">
        <v>3.2</v>
      </c>
      <c r="K2795">
        <v>15</v>
      </c>
      <c r="L2795">
        <f t="shared" si="130"/>
        <v>148.13800000000001</v>
      </c>
      <c r="M2795">
        <v>5</v>
      </c>
      <c r="N2795" t="str">
        <f t="shared" si="131"/>
        <v>Regular</v>
      </c>
    </row>
    <row r="2796" spans="1:14" x14ac:dyDescent="0.35">
      <c r="A2796">
        <v>2795</v>
      </c>
      <c r="B2796">
        <v>30</v>
      </c>
      <c r="C2796" t="str">
        <f t="shared" si="129"/>
        <v>Youth</v>
      </c>
      <c r="D2796" t="s">
        <v>16</v>
      </c>
      <c r="E2796" t="s">
        <v>33</v>
      </c>
      <c r="F2796" t="s">
        <v>34</v>
      </c>
      <c r="G2796">
        <v>54.8</v>
      </c>
      <c r="H2796" t="s">
        <v>31</v>
      </c>
      <c r="I2796" t="s">
        <v>37</v>
      </c>
      <c r="J2796">
        <v>3.6</v>
      </c>
      <c r="K2796">
        <v>22</v>
      </c>
      <c r="L2796">
        <f t="shared" si="130"/>
        <v>42.744</v>
      </c>
      <c r="M2796">
        <v>6</v>
      </c>
      <c r="N2796" t="str">
        <f t="shared" si="131"/>
        <v>Regular</v>
      </c>
    </row>
    <row r="2797" spans="1:14" x14ac:dyDescent="0.35">
      <c r="A2797">
        <v>2796</v>
      </c>
      <c r="B2797">
        <v>32</v>
      </c>
      <c r="C2797" t="str">
        <f t="shared" si="129"/>
        <v>Adult</v>
      </c>
      <c r="D2797" t="s">
        <v>11</v>
      </c>
      <c r="E2797" t="s">
        <v>20</v>
      </c>
      <c r="F2797" t="s">
        <v>39</v>
      </c>
      <c r="G2797">
        <v>65.040000000000006</v>
      </c>
      <c r="H2797" t="s">
        <v>31</v>
      </c>
      <c r="I2797" t="s">
        <v>37</v>
      </c>
      <c r="J2797">
        <v>4.9000000000000004</v>
      </c>
      <c r="K2797">
        <v>15</v>
      </c>
      <c r="L2797">
        <f t="shared" si="130"/>
        <v>55.284000000000006</v>
      </c>
      <c r="M2797">
        <v>5</v>
      </c>
      <c r="N2797" t="str">
        <f t="shared" si="131"/>
        <v>Regular</v>
      </c>
    </row>
    <row r="2798" spans="1:14" x14ac:dyDescent="0.35">
      <c r="A2798">
        <v>2797</v>
      </c>
      <c r="B2798">
        <v>29</v>
      </c>
      <c r="C2798" t="str">
        <f t="shared" si="129"/>
        <v>Youth</v>
      </c>
      <c r="D2798" t="s">
        <v>16</v>
      </c>
      <c r="E2798" t="s">
        <v>20</v>
      </c>
      <c r="F2798" t="s">
        <v>36</v>
      </c>
      <c r="G2798">
        <v>121.15</v>
      </c>
      <c r="H2798" t="s">
        <v>19</v>
      </c>
      <c r="I2798" t="s">
        <v>15</v>
      </c>
      <c r="J2798">
        <v>3.4</v>
      </c>
      <c r="K2798">
        <v>4</v>
      </c>
      <c r="L2798">
        <f t="shared" si="130"/>
        <v>116.304</v>
      </c>
      <c r="M2798">
        <v>2</v>
      </c>
      <c r="N2798" t="str">
        <f t="shared" si="131"/>
        <v>New</v>
      </c>
    </row>
    <row r="2799" spans="1:14" x14ac:dyDescent="0.35">
      <c r="A2799">
        <v>2798</v>
      </c>
      <c r="B2799">
        <v>37</v>
      </c>
      <c r="C2799" t="str">
        <f t="shared" si="129"/>
        <v>Adult</v>
      </c>
      <c r="D2799" t="s">
        <v>11</v>
      </c>
      <c r="E2799" t="s">
        <v>29</v>
      </c>
      <c r="F2799" t="s">
        <v>30</v>
      </c>
      <c r="G2799">
        <v>111.74</v>
      </c>
      <c r="H2799" t="s">
        <v>19</v>
      </c>
      <c r="I2799" t="s">
        <v>15</v>
      </c>
      <c r="J2799">
        <v>4.5999999999999996</v>
      </c>
      <c r="K2799">
        <v>11</v>
      </c>
      <c r="L2799">
        <f t="shared" si="130"/>
        <v>99.448599999999999</v>
      </c>
      <c r="M2799">
        <v>3</v>
      </c>
      <c r="N2799" t="str">
        <f t="shared" si="131"/>
        <v>New</v>
      </c>
    </row>
    <row r="2800" spans="1:14" x14ac:dyDescent="0.35">
      <c r="A2800">
        <v>2799</v>
      </c>
      <c r="B2800">
        <v>38</v>
      </c>
      <c r="C2800" t="str">
        <f t="shared" si="129"/>
        <v>Adult</v>
      </c>
      <c r="D2800" t="s">
        <v>11</v>
      </c>
      <c r="E2800" t="s">
        <v>29</v>
      </c>
      <c r="F2800" t="s">
        <v>51</v>
      </c>
      <c r="G2800">
        <v>142.9</v>
      </c>
      <c r="H2800" t="s">
        <v>14</v>
      </c>
      <c r="I2800" t="s">
        <v>15</v>
      </c>
      <c r="J2800">
        <v>3.8</v>
      </c>
      <c r="K2800">
        <v>7</v>
      </c>
      <c r="L2800">
        <f t="shared" si="130"/>
        <v>132.89699999999999</v>
      </c>
      <c r="M2800">
        <v>1</v>
      </c>
      <c r="N2800" t="str">
        <f t="shared" si="131"/>
        <v>New</v>
      </c>
    </row>
    <row r="2801" spans="1:14" x14ac:dyDescent="0.35">
      <c r="A2801">
        <v>2800</v>
      </c>
      <c r="B2801">
        <v>61</v>
      </c>
      <c r="C2801" t="str">
        <f t="shared" si="129"/>
        <v>Senior</v>
      </c>
      <c r="D2801" t="s">
        <v>16</v>
      </c>
      <c r="E2801" t="s">
        <v>20</v>
      </c>
      <c r="F2801" t="s">
        <v>39</v>
      </c>
      <c r="G2801">
        <v>85.18</v>
      </c>
      <c r="H2801" t="s">
        <v>24</v>
      </c>
      <c r="I2801" t="s">
        <v>37</v>
      </c>
      <c r="J2801">
        <v>2.7</v>
      </c>
      <c r="K2801">
        <v>4</v>
      </c>
      <c r="L2801">
        <f t="shared" si="130"/>
        <v>81.772800000000004</v>
      </c>
      <c r="M2801">
        <v>2</v>
      </c>
      <c r="N2801" t="str">
        <f t="shared" si="131"/>
        <v>New</v>
      </c>
    </row>
    <row r="2802" spans="1:14" x14ac:dyDescent="0.35">
      <c r="A2802">
        <v>2801</v>
      </c>
      <c r="B2802">
        <v>25</v>
      </c>
      <c r="C2802" t="str">
        <f t="shared" si="129"/>
        <v>Youth</v>
      </c>
      <c r="D2802" t="s">
        <v>11</v>
      </c>
      <c r="E2802" t="s">
        <v>12</v>
      </c>
      <c r="F2802" t="s">
        <v>56</v>
      </c>
      <c r="G2802">
        <v>137.33000000000001</v>
      </c>
      <c r="H2802" t="s">
        <v>31</v>
      </c>
      <c r="I2802" t="s">
        <v>15</v>
      </c>
      <c r="J2802">
        <v>4.7</v>
      </c>
      <c r="K2802">
        <v>20</v>
      </c>
      <c r="L2802">
        <f t="shared" si="130"/>
        <v>109.86400000000002</v>
      </c>
      <c r="M2802">
        <v>10</v>
      </c>
      <c r="N2802" t="str">
        <f t="shared" si="131"/>
        <v>Loyal</v>
      </c>
    </row>
    <row r="2803" spans="1:14" x14ac:dyDescent="0.35">
      <c r="A2803">
        <v>2802</v>
      </c>
      <c r="B2803">
        <v>60</v>
      </c>
      <c r="C2803" t="str">
        <f t="shared" si="129"/>
        <v>Adult</v>
      </c>
      <c r="D2803" t="s">
        <v>16</v>
      </c>
      <c r="E2803" t="s">
        <v>33</v>
      </c>
      <c r="F2803" t="s">
        <v>38</v>
      </c>
      <c r="G2803">
        <v>82.73</v>
      </c>
      <c r="H2803" t="s">
        <v>19</v>
      </c>
      <c r="I2803" t="s">
        <v>37</v>
      </c>
      <c r="J2803">
        <v>3.6</v>
      </c>
      <c r="K2803">
        <v>8</v>
      </c>
      <c r="L2803">
        <f t="shared" si="130"/>
        <v>76.11160000000001</v>
      </c>
      <c r="M2803">
        <v>4</v>
      </c>
      <c r="N2803" t="str">
        <f t="shared" si="131"/>
        <v>Regular</v>
      </c>
    </row>
    <row r="2804" spans="1:14" x14ac:dyDescent="0.35">
      <c r="A2804">
        <v>2803</v>
      </c>
      <c r="B2804">
        <v>25</v>
      </c>
      <c r="C2804" t="str">
        <f t="shared" si="129"/>
        <v>Youth</v>
      </c>
      <c r="D2804" t="s">
        <v>16</v>
      </c>
      <c r="E2804" t="s">
        <v>17</v>
      </c>
      <c r="F2804" t="s">
        <v>48</v>
      </c>
      <c r="G2804">
        <v>186.21</v>
      </c>
      <c r="H2804" t="s">
        <v>14</v>
      </c>
      <c r="I2804" t="s">
        <v>15</v>
      </c>
      <c r="J2804">
        <v>3.8</v>
      </c>
      <c r="K2804">
        <v>9</v>
      </c>
      <c r="L2804">
        <f t="shared" si="130"/>
        <v>169.45110000000003</v>
      </c>
      <c r="M2804">
        <v>2</v>
      </c>
      <c r="N2804" t="str">
        <f t="shared" si="131"/>
        <v>New</v>
      </c>
    </row>
    <row r="2805" spans="1:14" x14ac:dyDescent="0.35">
      <c r="A2805">
        <v>2804</v>
      </c>
      <c r="B2805">
        <v>23</v>
      </c>
      <c r="C2805" t="str">
        <f t="shared" si="129"/>
        <v>Youth</v>
      </c>
      <c r="D2805" t="s">
        <v>11</v>
      </c>
      <c r="E2805" t="s">
        <v>33</v>
      </c>
      <c r="F2805" t="s">
        <v>34</v>
      </c>
      <c r="G2805">
        <v>211.98</v>
      </c>
      <c r="H2805" t="s">
        <v>14</v>
      </c>
      <c r="I2805" t="s">
        <v>15</v>
      </c>
      <c r="J2805">
        <v>3.8</v>
      </c>
      <c r="K2805">
        <v>15</v>
      </c>
      <c r="L2805">
        <f t="shared" si="130"/>
        <v>180.18299999999999</v>
      </c>
      <c r="M2805">
        <v>5</v>
      </c>
      <c r="N2805" t="str">
        <f t="shared" si="131"/>
        <v>Regular</v>
      </c>
    </row>
    <row r="2806" spans="1:14" x14ac:dyDescent="0.35">
      <c r="A2806">
        <v>2805</v>
      </c>
      <c r="B2806">
        <v>48</v>
      </c>
      <c r="C2806" t="str">
        <f t="shared" si="129"/>
        <v>Adult</v>
      </c>
      <c r="D2806" t="s">
        <v>11</v>
      </c>
      <c r="E2806" t="s">
        <v>29</v>
      </c>
      <c r="F2806" t="s">
        <v>30</v>
      </c>
      <c r="G2806">
        <v>36.46</v>
      </c>
      <c r="H2806" t="s">
        <v>24</v>
      </c>
      <c r="I2806" t="s">
        <v>15</v>
      </c>
      <c r="J2806">
        <v>4.5999999999999996</v>
      </c>
      <c r="K2806">
        <v>18</v>
      </c>
      <c r="L2806">
        <f t="shared" si="130"/>
        <v>29.897200000000002</v>
      </c>
      <c r="M2806">
        <v>4</v>
      </c>
      <c r="N2806" t="str">
        <f t="shared" si="131"/>
        <v>Regular</v>
      </c>
    </row>
    <row r="2807" spans="1:14" x14ac:dyDescent="0.35">
      <c r="A2807">
        <v>2806</v>
      </c>
      <c r="B2807">
        <v>41</v>
      </c>
      <c r="C2807" t="str">
        <f t="shared" si="129"/>
        <v>Adult</v>
      </c>
      <c r="D2807" t="s">
        <v>11</v>
      </c>
      <c r="E2807" t="s">
        <v>29</v>
      </c>
      <c r="F2807" t="s">
        <v>51</v>
      </c>
      <c r="G2807">
        <v>120.18</v>
      </c>
      <c r="H2807" t="s">
        <v>19</v>
      </c>
      <c r="I2807" t="s">
        <v>15</v>
      </c>
      <c r="J2807">
        <v>4</v>
      </c>
      <c r="K2807">
        <v>14</v>
      </c>
      <c r="L2807">
        <f t="shared" si="130"/>
        <v>103.3548</v>
      </c>
      <c r="M2807">
        <v>7</v>
      </c>
      <c r="N2807" t="str">
        <f t="shared" si="131"/>
        <v>Regular</v>
      </c>
    </row>
    <row r="2808" spans="1:14" x14ac:dyDescent="0.35">
      <c r="A2808">
        <v>2807</v>
      </c>
      <c r="B2808">
        <v>44</v>
      </c>
      <c r="C2808" t="str">
        <f t="shared" si="129"/>
        <v>Adult</v>
      </c>
      <c r="D2808" t="s">
        <v>16</v>
      </c>
      <c r="E2808" t="s">
        <v>17</v>
      </c>
      <c r="F2808" t="s">
        <v>42</v>
      </c>
      <c r="G2808">
        <v>133.57</v>
      </c>
      <c r="H2808" t="s">
        <v>19</v>
      </c>
      <c r="I2808" t="s">
        <v>15</v>
      </c>
      <c r="J2808">
        <v>4.0999999999999996</v>
      </c>
      <c r="K2808">
        <v>24</v>
      </c>
      <c r="L2808">
        <f t="shared" si="130"/>
        <v>101.5132</v>
      </c>
      <c r="M2808">
        <v>7</v>
      </c>
      <c r="N2808" t="str">
        <f t="shared" si="131"/>
        <v>Regular</v>
      </c>
    </row>
    <row r="2809" spans="1:14" x14ac:dyDescent="0.35">
      <c r="A2809">
        <v>2808</v>
      </c>
      <c r="B2809">
        <v>22</v>
      </c>
      <c r="C2809" t="str">
        <f t="shared" si="129"/>
        <v>Youth</v>
      </c>
      <c r="D2809" t="s">
        <v>16</v>
      </c>
      <c r="E2809" t="s">
        <v>33</v>
      </c>
      <c r="F2809" t="s">
        <v>38</v>
      </c>
      <c r="G2809">
        <v>156.66</v>
      </c>
      <c r="H2809" t="s">
        <v>24</v>
      </c>
      <c r="I2809" t="s">
        <v>15</v>
      </c>
      <c r="J2809">
        <v>4</v>
      </c>
      <c r="K2809">
        <v>13</v>
      </c>
      <c r="L2809">
        <f t="shared" si="130"/>
        <v>136.29419999999999</v>
      </c>
      <c r="M2809">
        <v>4</v>
      </c>
      <c r="N2809" t="str">
        <f t="shared" si="131"/>
        <v>Regular</v>
      </c>
    </row>
    <row r="2810" spans="1:14" x14ac:dyDescent="0.35">
      <c r="A2810">
        <v>2809</v>
      </c>
      <c r="B2810">
        <v>28</v>
      </c>
      <c r="C2810" t="str">
        <f t="shared" si="129"/>
        <v>Youth</v>
      </c>
      <c r="D2810" t="s">
        <v>11</v>
      </c>
      <c r="E2810" t="s">
        <v>12</v>
      </c>
      <c r="F2810" t="s">
        <v>13</v>
      </c>
      <c r="G2810">
        <v>28.16</v>
      </c>
      <c r="H2810" t="s">
        <v>24</v>
      </c>
      <c r="I2810" t="s">
        <v>37</v>
      </c>
      <c r="J2810">
        <v>4.4000000000000004</v>
      </c>
      <c r="K2810">
        <v>22</v>
      </c>
      <c r="L2810">
        <f t="shared" si="130"/>
        <v>21.9648</v>
      </c>
      <c r="M2810">
        <v>6</v>
      </c>
      <c r="N2810" t="str">
        <f t="shared" si="131"/>
        <v>Regular</v>
      </c>
    </row>
    <row r="2811" spans="1:14" x14ac:dyDescent="0.35">
      <c r="A2811">
        <v>2810</v>
      </c>
      <c r="B2811">
        <v>27</v>
      </c>
      <c r="C2811" t="str">
        <f t="shared" si="129"/>
        <v>Youth</v>
      </c>
      <c r="D2811" t="s">
        <v>16</v>
      </c>
      <c r="E2811" t="s">
        <v>17</v>
      </c>
      <c r="F2811" t="s">
        <v>18</v>
      </c>
      <c r="G2811">
        <v>143.88999999999999</v>
      </c>
      <c r="H2811" t="s">
        <v>31</v>
      </c>
      <c r="I2811" t="s">
        <v>15</v>
      </c>
      <c r="J2811">
        <v>3.9</v>
      </c>
      <c r="K2811">
        <v>19</v>
      </c>
      <c r="L2811">
        <f t="shared" si="130"/>
        <v>116.5509</v>
      </c>
      <c r="M2811">
        <v>7</v>
      </c>
      <c r="N2811" t="str">
        <f t="shared" si="131"/>
        <v>Regular</v>
      </c>
    </row>
    <row r="2812" spans="1:14" x14ac:dyDescent="0.35">
      <c r="A2812">
        <v>2811</v>
      </c>
      <c r="B2812">
        <v>55</v>
      </c>
      <c r="C2812" t="str">
        <f t="shared" si="129"/>
        <v>Adult</v>
      </c>
      <c r="D2812" t="s">
        <v>16</v>
      </c>
      <c r="E2812" t="s">
        <v>33</v>
      </c>
      <c r="F2812" t="s">
        <v>38</v>
      </c>
      <c r="G2812">
        <v>70.59</v>
      </c>
      <c r="H2812" t="s">
        <v>14</v>
      </c>
      <c r="I2812" t="s">
        <v>15</v>
      </c>
      <c r="J2812">
        <v>4.4000000000000004</v>
      </c>
      <c r="K2812">
        <v>16</v>
      </c>
      <c r="L2812">
        <f t="shared" si="130"/>
        <v>59.2956</v>
      </c>
      <c r="M2812">
        <v>3</v>
      </c>
      <c r="N2812" t="str">
        <f t="shared" si="131"/>
        <v>New</v>
      </c>
    </row>
    <row r="2813" spans="1:14" x14ac:dyDescent="0.35">
      <c r="A2813">
        <v>2812</v>
      </c>
      <c r="B2813">
        <v>52</v>
      </c>
      <c r="C2813" t="str">
        <f t="shared" si="129"/>
        <v>Adult</v>
      </c>
      <c r="D2813" t="s">
        <v>11</v>
      </c>
      <c r="E2813" t="s">
        <v>20</v>
      </c>
      <c r="F2813" t="s">
        <v>21</v>
      </c>
      <c r="G2813">
        <v>172.51</v>
      </c>
      <c r="H2813" t="s">
        <v>19</v>
      </c>
      <c r="I2813" t="s">
        <v>15</v>
      </c>
      <c r="J2813">
        <v>3.3</v>
      </c>
      <c r="K2813">
        <v>12</v>
      </c>
      <c r="L2813">
        <f t="shared" si="130"/>
        <v>151.80879999999999</v>
      </c>
      <c r="M2813">
        <v>6</v>
      </c>
      <c r="N2813" t="str">
        <f t="shared" si="131"/>
        <v>Regular</v>
      </c>
    </row>
    <row r="2814" spans="1:14" x14ac:dyDescent="0.35">
      <c r="A2814">
        <v>2813</v>
      </c>
      <c r="B2814">
        <v>49</v>
      </c>
      <c r="C2814" t="str">
        <f t="shared" si="129"/>
        <v>Adult</v>
      </c>
      <c r="D2814" t="s">
        <v>11</v>
      </c>
      <c r="E2814" t="s">
        <v>29</v>
      </c>
      <c r="F2814" t="s">
        <v>51</v>
      </c>
      <c r="G2814">
        <v>67.349999999999994</v>
      </c>
      <c r="H2814" t="s">
        <v>24</v>
      </c>
      <c r="I2814" t="s">
        <v>37</v>
      </c>
      <c r="J2814">
        <v>4.0999999999999996</v>
      </c>
      <c r="K2814">
        <v>4</v>
      </c>
      <c r="L2814">
        <f t="shared" si="130"/>
        <v>64.655999999999992</v>
      </c>
      <c r="M2814">
        <v>2</v>
      </c>
      <c r="N2814" t="str">
        <f t="shared" si="131"/>
        <v>New</v>
      </c>
    </row>
    <row r="2815" spans="1:14" x14ac:dyDescent="0.35">
      <c r="A2815">
        <v>2814</v>
      </c>
      <c r="B2815">
        <v>40</v>
      </c>
      <c r="C2815" t="str">
        <f t="shared" si="129"/>
        <v>Adult</v>
      </c>
      <c r="D2815" t="s">
        <v>16</v>
      </c>
      <c r="E2815" t="s">
        <v>25</v>
      </c>
      <c r="F2815" t="s">
        <v>26</v>
      </c>
      <c r="G2815">
        <v>21.13</v>
      </c>
      <c r="H2815" t="s">
        <v>31</v>
      </c>
      <c r="I2815" t="s">
        <v>37</v>
      </c>
      <c r="J2815">
        <v>3</v>
      </c>
      <c r="K2815">
        <v>6</v>
      </c>
      <c r="L2815">
        <f t="shared" si="130"/>
        <v>19.862199999999998</v>
      </c>
      <c r="M2815">
        <v>3</v>
      </c>
      <c r="N2815" t="str">
        <f t="shared" si="131"/>
        <v>New</v>
      </c>
    </row>
    <row r="2816" spans="1:14" x14ac:dyDescent="0.35">
      <c r="A2816">
        <v>2815</v>
      </c>
      <c r="B2816">
        <v>39</v>
      </c>
      <c r="C2816" t="str">
        <f t="shared" si="129"/>
        <v>Adult</v>
      </c>
      <c r="D2816" t="s">
        <v>11</v>
      </c>
      <c r="E2816" t="s">
        <v>29</v>
      </c>
      <c r="F2816" t="s">
        <v>30</v>
      </c>
      <c r="G2816">
        <v>63.42</v>
      </c>
      <c r="H2816" t="s">
        <v>14</v>
      </c>
      <c r="I2816" t="s">
        <v>15</v>
      </c>
      <c r="J2816">
        <v>3.7</v>
      </c>
      <c r="K2816">
        <v>13</v>
      </c>
      <c r="L2816">
        <f t="shared" si="130"/>
        <v>55.175400000000003</v>
      </c>
      <c r="M2816">
        <v>4</v>
      </c>
      <c r="N2816" t="str">
        <f t="shared" si="131"/>
        <v>Regular</v>
      </c>
    </row>
    <row r="2817" spans="1:14" x14ac:dyDescent="0.35">
      <c r="A2817">
        <v>2816</v>
      </c>
      <c r="B2817">
        <v>32</v>
      </c>
      <c r="C2817" t="str">
        <f t="shared" si="129"/>
        <v>Adult</v>
      </c>
      <c r="D2817" t="s">
        <v>11</v>
      </c>
      <c r="E2817" t="s">
        <v>41</v>
      </c>
      <c r="F2817" t="s">
        <v>46</v>
      </c>
      <c r="G2817">
        <v>39.659999999999997</v>
      </c>
      <c r="H2817" t="s">
        <v>24</v>
      </c>
      <c r="I2817" t="s">
        <v>15</v>
      </c>
      <c r="J2817">
        <v>3.5</v>
      </c>
      <c r="K2817">
        <v>15</v>
      </c>
      <c r="L2817">
        <f t="shared" si="130"/>
        <v>33.710999999999999</v>
      </c>
      <c r="M2817">
        <v>5</v>
      </c>
      <c r="N2817" t="str">
        <f t="shared" si="131"/>
        <v>Regular</v>
      </c>
    </row>
    <row r="2818" spans="1:14" x14ac:dyDescent="0.35">
      <c r="A2818">
        <v>2817</v>
      </c>
      <c r="B2818">
        <v>63</v>
      </c>
      <c r="C2818" t="str">
        <f t="shared" si="129"/>
        <v>Senior</v>
      </c>
      <c r="D2818" t="s">
        <v>11</v>
      </c>
      <c r="E2818" t="s">
        <v>41</v>
      </c>
      <c r="F2818" t="s">
        <v>44</v>
      </c>
      <c r="G2818">
        <v>81.34</v>
      </c>
      <c r="H2818" t="s">
        <v>31</v>
      </c>
      <c r="I2818" t="s">
        <v>15</v>
      </c>
      <c r="J2818">
        <v>5</v>
      </c>
      <c r="K2818">
        <v>24</v>
      </c>
      <c r="L2818">
        <f t="shared" si="130"/>
        <v>61.818400000000004</v>
      </c>
      <c r="M2818">
        <v>7</v>
      </c>
      <c r="N2818" t="str">
        <f t="shared" si="131"/>
        <v>Regular</v>
      </c>
    </row>
    <row r="2819" spans="1:14" x14ac:dyDescent="0.35">
      <c r="A2819">
        <v>2818</v>
      </c>
      <c r="B2819">
        <v>43</v>
      </c>
      <c r="C2819" t="str">
        <f t="shared" ref="C2819:C2882" si="132">IF(B2819&lt;=30,"Youth",IF(B2819&lt;=45,"Adult",IF(B2819&lt;=60,"Adult","Senior")))</f>
        <v>Adult</v>
      </c>
      <c r="D2819" t="s">
        <v>16</v>
      </c>
      <c r="E2819" t="s">
        <v>25</v>
      </c>
      <c r="F2819" t="s">
        <v>54</v>
      </c>
      <c r="G2819">
        <v>41.52</v>
      </c>
      <c r="H2819" t="s">
        <v>19</v>
      </c>
      <c r="I2819" t="s">
        <v>15</v>
      </c>
      <c r="J2819">
        <v>4</v>
      </c>
      <c r="K2819">
        <v>16</v>
      </c>
      <c r="L2819">
        <f t="shared" ref="L2819:L2882" si="133">G2819*(1-K2819/100)</f>
        <v>34.876800000000003</v>
      </c>
      <c r="M2819">
        <v>3</v>
      </c>
      <c r="N2819" t="str">
        <f t="shared" ref="N2819:N2882" si="134">IF(M2819&lt;=3,"New",IF(M2819&lt;=7,"Regular","Loyal"))</f>
        <v>New</v>
      </c>
    </row>
    <row r="2820" spans="1:14" x14ac:dyDescent="0.35">
      <c r="A2820">
        <v>2819</v>
      </c>
      <c r="B2820">
        <v>22</v>
      </c>
      <c r="C2820" t="str">
        <f t="shared" si="132"/>
        <v>Youth</v>
      </c>
      <c r="D2820" t="s">
        <v>16</v>
      </c>
      <c r="E2820" t="s">
        <v>17</v>
      </c>
      <c r="F2820" t="s">
        <v>18</v>
      </c>
      <c r="G2820">
        <v>148.99</v>
      </c>
      <c r="H2820" t="s">
        <v>14</v>
      </c>
      <c r="I2820" t="s">
        <v>15</v>
      </c>
      <c r="J2820">
        <v>3.8</v>
      </c>
      <c r="K2820">
        <v>0</v>
      </c>
      <c r="L2820">
        <f t="shared" si="133"/>
        <v>148.99</v>
      </c>
      <c r="M2820">
        <v>0</v>
      </c>
      <c r="N2820" t="str">
        <f t="shared" si="134"/>
        <v>New</v>
      </c>
    </row>
    <row r="2821" spans="1:14" x14ac:dyDescent="0.35">
      <c r="A2821">
        <v>2820</v>
      </c>
      <c r="B2821">
        <v>39</v>
      </c>
      <c r="C2821" t="str">
        <f t="shared" si="132"/>
        <v>Adult</v>
      </c>
      <c r="D2821" t="s">
        <v>16</v>
      </c>
      <c r="E2821" t="s">
        <v>20</v>
      </c>
      <c r="F2821" t="s">
        <v>36</v>
      </c>
      <c r="G2821">
        <v>72.52</v>
      </c>
      <c r="H2821" t="s">
        <v>14</v>
      </c>
      <c r="I2821" t="s">
        <v>15</v>
      </c>
      <c r="J2821">
        <v>4.0999999999999996</v>
      </c>
      <c r="K2821">
        <v>32</v>
      </c>
      <c r="L2821">
        <f t="shared" si="133"/>
        <v>49.313599999999994</v>
      </c>
      <c r="M2821">
        <v>11</v>
      </c>
      <c r="N2821" t="str">
        <f t="shared" si="134"/>
        <v>Loyal</v>
      </c>
    </row>
    <row r="2822" spans="1:14" x14ac:dyDescent="0.35">
      <c r="A2822">
        <v>2821</v>
      </c>
      <c r="B2822">
        <v>50</v>
      </c>
      <c r="C2822" t="str">
        <f t="shared" si="132"/>
        <v>Adult</v>
      </c>
      <c r="D2822" t="s">
        <v>16</v>
      </c>
      <c r="E2822" t="s">
        <v>20</v>
      </c>
      <c r="F2822" t="s">
        <v>36</v>
      </c>
      <c r="G2822">
        <v>51.45</v>
      </c>
      <c r="H2822" t="s">
        <v>31</v>
      </c>
      <c r="I2822" t="s">
        <v>15</v>
      </c>
      <c r="J2822">
        <v>4.8</v>
      </c>
      <c r="K2822">
        <v>21</v>
      </c>
      <c r="L2822">
        <f t="shared" si="133"/>
        <v>40.645500000000006</v>
      </c>
      <c r="M2822">
        <v>8</v>
      </c>
      <c r="N2822" t="str">
        <f t="shared" si="134"/>
        <v>Loyal</v>
      </c>
    </row>
    <row r="2823" spans="1:14" x14ac:dyDescent="0.35">
      <c r="A2823">
        <v>2822</v>
      </c>
      <c r="B2823">
        <v>62</v>
      </c>
      <c r="C2823" t="str">
        <f t="shared" si="132"/>
        <v>Senior</v>
      </c>
      <c r="D2823" t="s">
        <v>11</v>
      </c>
      <c r="E2823" t="s">
        <v>22</v>
      </c>
      <c r="F2823" t="s">
        <v>23</v>
      </c>
      <c r="G2823">
        <v>267.63</v>
      </c>
      <c r="H2823" t="s">
        <v>31</v>
      </c>
      <c r="I2823" t="s">
        <v>15</v>
      </c>
      <c r="J2823">
        <v>4</v>
      </c>
      <c r="K2823">
        <v>15</v>
      </c>
      <c r="L2823">
        <f t="shared" si="133"/>
        <v>227.4855</v>
      </c>
      <c r="M2823">
        <v>5</v>
      </c>
      <c r="N2823" t="str">
        <f t="shared" si="134"/>
        <v>Regular</v>
      </c>
    </row>
    <row r="2824" spans="1:14" x14ac:dyDescent="0.35">
      <c r="A2824">
        <v>2823</v>
      </c>
      <c r="B2824">
        <v>34</v>
      </c>
      <c r="C2824" t="str">
        <f t="shared" si="132"/>
        <v>Adult</v>
      </c>
      <c r="D2824" t="s">
        <v>16</v>
      </c>
      <c r="E2824" t="s">
        <v>17</v>
      </c>
      <c r="F2824" t="s">
        <v>35</v>
      </c>
      <c r="G2824">
        <v>173.49</v>
      </c>
      <c r="H2824" t="s">
        <v>31</v>
      </c>
      <c r="I2824" t="s">
        <v>15</v>
      </c>
      <c r="J2824">
        <v>3.6</v>
      </c>
      <c r="K2824">
        <v>16</v>
      </c>
      <c r="L2824">
        <f t="shared" si="133"/>
        <v>145.73160000000001</v>
      </c>
      <c r="M2824">
        <v>8</v>
      </c>
      <c r="N2824" t="str">
        <f t="shared" si="134"/>
        <v>Loyal</v>
      </c>
    </row>
    <row r="2825" spans="1:14" x14ac:dyDescent="0.35">
      <c r="A2825">
        <v>2824</v>
      </c>
      <c r="B2825">
        <v>58</v>
      </c>
      <c r="C2825" t="str">
        <f t="shared" si="132"/>
        <v>Adult</v>
      </c>
      <c r="D2825" t="s">
        <v>16</v>
      </c>
      <c r="E2825" t="s">
        <v>25</v>
      </c>
      <c r="F2825" t="s">
        <v>26</v>
      </c>
      <c r="G2825">
        <v>27.45</v>
      </c>
      <c r="H2825" t="s">
        <v>14</v>
      </c>
      <c r="I2825" t="s">
        <v>15</v>
      </c>
      <c r="J2825">
        <v>3.3</v>
      </c>
      <c r="K2825">
        <v>18</v>
      </c>
      <c r="L2825">
        <f t="shared" si="133"/>
        <v>22.509</v>
      </c>
      <c r="M2825">
        <v>4</v>
      </c>
      <c r="N2825" t="str">
        <f t="shared" si="134"/>
        <v>Regular</v>
      </c>
    </row>
    <row r="2826" spans="1:14" x14ac:dyDescent="0.35">
      <c r="A2826">
        <v>2825</v>
      </c>
      <c r="B2826">
        <v>36</v>
      </c>
      <c r="C2826" t="str">
        <f t="shared" si="132"/>
        <v>Adult</v>
      </c>
      <c r="D2826" t="s">
        <v>11</v>
      </c>
      <c r="E2826" t="s">
        <v>12</v>
      </c>
      <c r="F2826" t="s">
        <v>50</v>
      </c>
      <c r="G2826">
        <v>112.43</v>
      </c>
      <c r="H2826" t="s">
        <v>31</v>
      </c>
      <c r="I2826" t="s">
        <v>15</v>
      </c>
      <c r="J2826">
        <v>4.5</v>
      </c>
      <c r="K2826">
        <v>14</v>
      </c>
      <c r="L2826">
        <f t="shared" si="133"/>
        <v>96.689800000000005</v>
      </c>
      <c r="M2826">
        <v>2</v>
      </c>
      <c r="N2826" t="str">
        <f t="shared" si="134"/>
        <v>New</v>
      </c>
    </row>
    <row r="2827" spans="1:14" x14ac:dyDescent="0.35">
      <c r="A2827">
        <v>2826</v>
      </c>
      <c r="B2827">
        <v>30</v>
      </c>
      <c r="C2827" t="str">
        <f t="shared" si="132"/>
        <v>Youth</v>
      </c>
      <c r="D2827" t="s">
        <v>16</v>
      </c>
      <c r="E2827" t="s">
        <v>20</v>
      </c>
      <c r="F2827" t="s">
        <v>21</v>
      </c>
      <c r="G2827">
        <v>78.09</v>
      </c>
      <c r="H2827" t="s">
        <v>24</v>
      </c>
      <c r="I2827" t="s">
        <v>15</v>
      </c>
      <c r="J2827">
        <v>4.7</v>
      </c>
      <c r="K2827">
        <v>15</v>
      </c>
      <c r="L2827">
        <f t="shared" si="133"/>
        <v>66.376500000000007</v>
      </c>
      <c r="M2827">
        <v>5</v>
      </c>
      <c r="N2827" t="str">
        <f t="shared" si="134"/>
        <v>Regular</v>
      </c>
    </row>
    <row r="2828" spans="1:14" x14ac:dyDescent="0.35">
      <c r="A2828">
        <v>2827</v>
      </c>
      <c r="B2828">
        <v>42</v>
      </c>
      <c r="C2828" t="str">
        <f t="shared" si="132"/>
        <v>Adult</v>
      </c>
      <c r="D2828" t="s">
        <v>11</v>
      </c>
      <c r="E2828" t="s">
        <v>33</v>
      </c>
      <c r="F2828" t="s">
        <v>34</v>
      </c>
      <c r="G2828">
        <v>169.66</v>
      </c>
      <c r="H2828" t="s">
        <v>19</v>
      </c>
      <c r="I2828" t="s">
        <v>15</v>
      </c>
      <c r="J2828">
        <v>3.8</v>
      </c>
      <c r="K2828">
        <v>11</v>
      </c>
      <c r="L2828">
        <f t="shared" si="133"/>
        <v>150.9974</v>
      </c>
      <c r="M2828">
        <v>3</v>
      </c>
      <c r="N2828" t="str">
        <f t="shared" si="134"/>
        <v>New</v>
      </c>
    </row>
    <row r="2829" spans="1:14" x14ac:dyDescent="0.35">
      <c r="A2829">
        <v>2828</v>
      </c>
      <c r="B2829">
        <v>50</v>
      </c>
      <c r="C2829" t="str">
        <f t="shared" si="132"/>
        <v>Adult</v>
      </c>
      <c r="D2829" t="s">
        <v>16</v>
      </c>
      <c r="E2829" t="s">
        <v>17</v>
      </c>
      <c r="F2829" t="s">
        <v>48</v>
      </c>
      <c r="G2829">
        <v>163.03</v>
      </c>
      <c r="H2829" t="s">
        <v>19</v>
      </c>
      <c r="I2829" t="s">
        <v>15</v>
      </c>
      <c r="J2829">
        <v>4.5999999999999996</v>
      </c>
      <c r="K2829">
        <v>14</v>
      </c>
      <c r="L2829">
        <f t="shared" si="133"/>
        <v>140.20580000000001</v>
      </c>
      <c r="M2829">
        <v>2</v>
      </c>
      <c r="N2829" t="str">
        <f t="shared" si="134"/>
        <v>New</v>
      </c>
    </row>
    <row r="2830" spans="1:14" x14ac:dyDescent="0.35">
      <c r="A2830">
        <v>2829</v>
      </c>
      <c r="B2830">
        <v>63</v>
      </c>
      <c r="C2830" t="str">
        <f t="shared" si="132"/>
        <v>Senior</v>
      </c>
      <c r="D2830" t="s">
        <v>11</v>
      </c>
      <c r="E2830" t="s">
        <v>20</v>
      </c>
      <c r="F2830" t="s">
        <v>21</v>
      </c>
      <c r="G2830">
        <v>194.67</v>
      </c>
      <c r="H2830" t="s">
        <v>24</v>
      </c>
      <c r="I2830" t="s">
        <v>15</v>
      </c>
      <c r="J2830">
        <v>3.8</v>
      </c>
      <c r="K2830">
        <v>15</v>
      </c>
      <c r="L2830">
        <f t="shared" si="133"/>
        <v>165.46949999999998</v>
      </c>
      <c r="M2830">
        <v>5</v>
      </c>
      <c r="N2830" t="str">
        <f t="shared" si="134"/>
        <v>Regular</v>
      </c>
    </row>
    <row r="2831" spans="1:14" x14ac:dyDescent="0.35">
      <c r="A2831">
        <v>2830</v>
      </c>
      <c r="B2831">
        <v>50</v>
      </c>
      <c r="C2831" t="str">
        <f t="shared" si="132"/>
        <v>Adult</v>
      </c>
      <c r="D2831" t="s">
        <v>11</v>
      </c>
      <c r="E2831" t="s">
        <v>20</v>
      </c>
      <c r="F2831" t="s">
        <v>21</v>
      </c>
      <c r="G2831">
        <v>82.53</v>
      </c>
      <c r="H2831" t="s">
        <v>19</v>
      </c>
      <c r="I2831" t="s">
        <v>15</v>
      </c>
      <c r="J2831">
        <v>3.7</v>
      </c>
      <c r="K2831">
        <v>16</v>
      </c>
      <c r="L2831">
        <f t="shared" si="133"/>
        <v>69.325199999999995</v>
      </c>
      <c r="M2831">
        <v>3</v>
      </c>
      <c r="N2831" t="str">
        <f t="shared" si="134"/>
        <v>New</v>
      </c>
    </row>
    <row r="2832" spans="1:14" x14ac:dyDescent="0.35">
      <c r="A2832">
        <v>2831</v>
      </c>
      <c r="B2832">
        <v>49</v>
      </c>
      <c r="C2832" t="str">
        <f t="shared" si="132"/>
        <v>Adult</v>
      </c>
      <c r="D2832" t="s">
        <v>11</v>
      </c>
      <c r="E2832" t="s">
        <v>41</v>
      </c>
      <c r="F2832" t="s">
        <v>45</v>
      </c>
      <c r="G2832">
        <v>146.27000000000001</v>
      </c>
      <c r="H2832" t="s">
        <v>24</v>
      </c>
      <c r="I2832" t="s">
        <v>15</v>
      </c>
      <c r="J2832">
        <v>2.9</v>
      </c>
      <c r="K2832">
        <v>10</v>
      </c>
      <c r="L2832">
        <f t="shared" si="133"/>
        <v>131.643</v>
      </c>
      <c r="M2832">
        <v>5</v>
      </c>
      <c r="N2832" t="str">
        <f t="shared" si="134"/>
        <v>Regular</v>
      </c>
    </row>
    <row r="2833" spans="1:14" x14ac:dyDescent="0.35">
      <c r="A2833">
        <v>2832</v>
      </c>
      <c r="B2833">
        <v>27</v>
      </c>
      <c r="C2833" t="str">
        <f t="shared" si="132"/>
        <v>Youth</v>
      </c>
      <c r="D2833" t="s">
        <v>11</v>
      </c>
      <c r="E2833" t="s">
        <v>20</v>
      </c>
      <c r="F2833" t="s">
        <v>39</v>
      </c>
      <c r="G2833">
        <v>175.05</v>
      </c>
      <c r="H2833" t="s">
        <v>19</v>
      </c>
      <c r="I2833" t="s">
        <v>15</v>
      </c>
      <c r="J2833">
        <v>2.7</v>
      </c>
      <c r="K2833">
        <v>18</v>
      </c>
      <c r="L2833">
        <f t="shared" si="133"/>
        <v>143.54100000000003</v>
      </c>
      <c r="M2833">
        <v>9</v>
      </c>
      <c r="N2833" t="str">
        <f t="shared" si="134"/>
        <v>Loyal</v>
      </c>
    </row>
    <row r="2834" spans="1:14" x14ac:dyDescent="0.35">
      <c r="A2834">
        <v>2833</v>
      </c>
      <c r="B2834">
        <v>21</v>
      </c>
      <c r="C2834" t="str">
        <f t="shared" si="132"/>
        <v>Youth</v>
      </c>
      <c r="D2834" t="s">
        <v>11</v>
      </c>
      <c r="E2834" t="s">
        <v>41</v>
      </c>
      <c r="F2834" t="s">
        <v>46</v>
      </c>
      <c r="G2834">
        <v>170.15</v>
      </c>
      <c r="H2834" t="s">
        <v>19</v>
      </c>
      <c r="I2834" t="s">
        <v>15</v>
      </c>
      <c r="J2834">
        <v>3.3</v>
      </c>
      <c r="K2834">
        <v>14</v>
      </c>
      <c r="L2834">
        <f t="shared" si="133"/>
        <v>146.32900000000001</v>
      </c>
      <c r="M2834">
        <v>7</v>
      </c>
      <c r="N2834" t="str">
        <f t="shared" si="134"/>
        <v>Regular</v>
      </c>
    </row>
    <row r="2835" spans="1:14" x14ac:dyDescent="0.35">
      <c r="A2835">
        <v>2834</v>
      </c>
      <c r="B2835">
        <v>42</v>
      </c>
      <c r="C2835" t="str">
        <f t="shared" si="132"/>
        <v>Adult</v>
      </c>
      <c r="D2835" t="s">
        <v>11</v>
      </c>
      <c r="E2835" t="s">
        <v>22</v>
      </c>
      <c r="F2835" t="s">
        <v>43</v>
      </c>
      <c r="G2835">
        <v>91.56</v>
      </c>
      <c r="H2835" t="s">
        <v>31</v>
      </c>
      <c r="I2835" t="s">
        <v>37</v>
      </c>
      <c r="J2835">
        <v>5</v>
      </c>
      <c r="K2835">
        <v>15</v>
      </c>
      <c r="L2835">
        <f t="shared" si="133"/>
        <v>77.825999999999993</v>
      </c>
      <c r="M2835">
        <v>5</v>
      </c>
      <c r="N2835" t="str">
        <f t="shared" si="134"/>
        <v>Regular</v>
      </c>
    </row>
    <row r="2836" spans="1:14" x14ac:dyDescent="0.35">
      <c r="A2836">
        <v>2835</v>
      </c>
      <c r="B2836">
        <v>54</v>
      </c>
      <c r="C2836" t="str">
        <f t="shared" si="132"/>
        <v>Adult</v>
      </c>
      <c r="D2836" t="s">
        <v>16</v>
      </c>
      <c r="E2836" t="s">
        <v>20</v>
      </c>
      <c r="F2836" t="s">
        <v>36</v>
      </c>
      <c r="G2836">
        <v>188.44</v>
      </c>
      <c r="H2836" t="s">
        <v>19</v>
      </c>
      <c r="I2836" t="s">
        <v>15</v>
      </c>
      <c r="J2836">
        <v>4.8</v>
      </c>
      <c r="K2836">
        <v>24</v>
      </c>
      <c r="L2836">
        <f t="shared" si="133"/>
        <v>143.21440000000001</v>
      </c>
      <c r="M2836">
        <v>7</v>
      </c>
      <c r="N2836" t="str">
        <f t="shared" si="134"/>
        <v>Regular</v>
      </c>
    </row>
    <row r="2837" spans="1:14" x14ac:dyDescent="0.35">
      <c r="A2837">
        <v>2836</v>
      </c>
      <c r="B2837">
        <v>47</v>
      </c>
      <c r="C2837" t="str">
        <f t="shared" si="132"/>
        <v>Adult</v>
      </c>
      <c r="D2837" t="s">
        <v>16</v>
      </c>
      <c r="E2837" t="s">
        <v>27</v>
      </c>
      <c r="F2837" t="s">
        <v>49</v>
      </c>
      <c r="G2837">
        <v>585.1</v>
      </c>
      <c r="H2837" t="s">
        <v>14</v>
      </c>
      <c r="I2837" t="s">
        <v>15</v>
      </c>
      <c r="J2837">
        <v>3.6</v>
      </c>
      <c r="K2837">
        <v>14</v>
      </c>
      <c r="L2837">
        <f t="shared" si="133"/>
        <v>503.18600000000004</v>
      </c>
      <c r="M2837">
        <v>2</v>
      </c>
      <c r="N2837" t="str">
        <f t="shared" si="134"/>
        <v>New</v>
      </c>
    </row>
    <row r="2838" spans="1:14" x14ac:dyDescent="0.35">
      <c r="A2838">
        <v>2837</v>
      </c>
      <c r="B2838">
        <v>62</v>
      </c>
      <c r="C2838" t="str">
        <f t="shared" si="132"/>
        <v>Senior</v>
      </c>
      <c r="D2838" t="s">
        <v>16</v>
      </c>
      <c r="E2838" t="s">
        <v>25</v>
      </c>
      <c r="F2838" t="s">
        <v>47</v>
      </c>
      <c r="G2838">
        <v>72.41</v>
      </c>
      <c r="H2838" t="s">
        <v>31</v>
      </c>
      <c r="I2838" t="s">
        <v>37</v>
      </c>
      <c r="J2838">
        <v>2.8</v>
      </c>
      <c r="K2838">
        <v>14</v>
      </c>
      <c r="L2838">
        <f t="shared" si="133"/>
        <v>62.272599999999997</v>
      </c>
      <c r="M2838">
        <v>7</v>
      </c>
      <c r="N2838" t="str">
        <f t="shared" si="134"/>
        <v>Regular</v>
      </c>
    </row>
    <row r="2839" spans="1:14" x14ac:dyDescent="0.35">
      <c r="A2839">
        <v>2838</v>
      </c>
      <c r="B2839">
        <v>55</v>
      </c>
      <c r="C2839" t="str">
        <f t="shared" si="132"/>
        <v>Adult</v>
      </c>
      <c r="D2839" t="s">
        <v>11</v>
      </c>
      <c r="E2839" t="s">
        <v>41</v>
      </c>
      <c r="F2839" t="s">
        <v>45</v>
      </c>
      <c r="G2839">
        <v>148.16</v>
      </c>
      <c r="H2839" t="s">
        <v>14</v>
      </c>
      <c r="I2839" t="s">
        <v>15</v>
      </c>
      <c r="J2839">
        <v>3.8</v>
      </c>
      <c r="K2839">
        <v>14</v>
      </c>
      <c r="L2839">
        <f t="shared" si="133"/>
        <v>127.41759999999999</v>
      </c>
      <c r="M2839">
        <v>7</v>
      </c>
      <c r="N2839" t="str">
        <f t="shared" si="134"/>
        <v>Regular</v>
      </c>
    </row>
    <row r="2840" spans="1:14" x14ac:dyDescent="0.35">
      <c r="A2840">
        <v>2839</v>
      </c>
      <c r="B2840">
        <v>65</v>
      </c>
      <c r="C2840" t="str">
        <f t="shared" si="132"/>
        <v>Senior</v>
      </c>
      <c r="D2840" t="s">
        <v>16</v>
      </c>
      <c r="E2840" t="s">
        <v>17</v>
      </c>
      <c r="F2840" t="s">
        <v>35</v>
      </c>
      <c r="G2840">
        <v>30.58</v>
      </c>
      <c r="H2840" t="s">
        <v>24</v>
      </c>
      <c r="I2840" t="s">
        <v>37</v>
      </c>
      <c r="J2840">
        <v>2.5</v>
      </c>
      <c r="K2840">
        <v>11</v>
      </c>
      <c r="L2840">
        <f t="shared" si="133"/>
        <v>27.216200000000001</v>
      </c>
      <c r="M2840">
        <v>3</v>
      </c>
      <c r="N2840" t="str">
        <f t="shared" si="134"/>
        <v>New</v>
      </c>
    </row>
    <row r="2841" spans="1:14" x14ac:dyDescent="0.35">
      <c r="A2841">
        <v>2840</v>
      </c>
      <c r="B2841">
        <v>23</v>
      </c>
      <c r="C2841" t="str">
        <f t="shared" si="132"/>
        <v>Youth</v>
      </c>
      <c r="D2841" t="s">
        <v>11</v>
      </c>
      <c r="E2841" t="s">
        <v>12</v>
      </c>
      <c r="F2841" t="s">
        <v>50</v>
      </c>
      <c r="G2841">
        <v>48.53</v>
      </c>
      <c r="H2841" t="s">
        <v>24</v>
      </c>
      <c r="I2841" t="s">
        <v>37</v>
      </c>
      <c r="J2841">
        <v>3.1</v>
      </c>
      <c r="K2841">
        <v>10</v>
      </c>
      <c r="L2841">
        <f t="shared" si="133"/>
        <v>43.677</v>
      </c>
      <c r="M2841">
        <v>5</v>
      </c>
      <c r="N2841" t="str">
        <f t="shared" si="134"/>
        <v>Regular</v>
      </c>
    </row>
    <row r="2842" spans="1:14" x14ac:dyDescent="0.35">
      <c r="A2842">
        <v>2841</v>
      </c>
      <c r="B2842">
        <v>49</v>
      </c>
      <c r="C2842" t="str">
        <f t="shared" si="132"/>
        <v>Adult</v>
      </c>
      <c r="D2842" t="s">
        <v>11</v>
      </c>
      <c r="E2842" t="s">
        <v>41</v>
      </c>
      <c r="F2842" t="s">
        <v>44</v>
      </c>
      <c r="G2842">
        <v>72.069999999999993</v>
      </c>
      <c r="H2842" t="s">
        <v>19</v>
      </c>
      <c r="I2842" t="s">
        <v>37</v>
      </c>
      <c r="J2842">
        <v>2.7</v>
      </c>
      <c r="K2842">
        <v>6</v>
      </c>
      <c r="L2842">
        <f t="shared" si="133"/>
        <v>67.745799999999988</v>
      </c>
      <c r="M2842">
        <v>3</v>
      </c>
      <c r="N2842" t="str">
        <f t="shared" si="134"/>
        <v>New</v>
      </c>
    </row>
    <row r="2843" spans="1:14" x14ac:dyDescent="0.35">
      <c r="A2843">
        <v>2842</v>
      </c>
      <c r="B2843">
        <v>64</v>
      </c>
      <c r="C2843" t="str">
        <f t="shared" si="132"/>
        <v>Senior</v>
      </c>
      <c r="D2843" t="s">
        <v>11</v>
      </c>
      <c r="E2843" t="s">
        <v>33</v>
      </c>
      <c r="F2843" t="s">
        <v>34</v>
      </c>
      <c r="G2843">
        <v>173.87</v>
      </c>
      <c r="H2843" t="s">
        <v>24</v>
      </c>
      <c r="I2843" t="s">
        <v>15</v>
      </c>
      <c r="J2843">
        <v>3.1</v>
      </c>
      <c r="K2843">
        <v>15</v>
      </c>
      <c r="L2843">
        <f t="shared" si="133"/>
        <v>147.7895</v>
      </c>
      <c r="M2843">
        <v>5</v>
      </c>
      <c r="N2843" t="str">
        <f t="shared" si="134"/>
        <v>Regular</v>
      </c>
    </row>
    <row r="2844" spans="1:14" x14ac:dyDescent="0.35">
      <c r="A2844">
        <v>2843</v>
      </c>
      <c r="B2844">
        <v>20</v>
      </c>
      <c r="C2844" t="str">
        <f t="shared" si="132"/>
        <v>Youth</v>
      </c>
      <c r="D2844" t="s">
        <v>11</v>
      </c>
      <c r="E2844" t="s">
        <v>41</v>
      </c>
      <c r="F2844" t="s">
        <v>45</v>
      </c>
      <c r="G2844">
        <v>167.76</v>
      </c>
      <c r="H2844" t="s">
        <v>19</v>
      </c>
      <c r="I2844" t="s">
        <v>15</v>
      </c>
      <c r="J2844">
        <v>4.2</v>
      </c>
      <c r="K2844">
        <v>20</v>
      </c>
      <c r="L2844">
        <f t="shared" si="133"/>
        <v>134.208</v>
      </c>
      <c r="M2844">
        <v>5</v>
      </c>
      <c r="N2844" t="str">
        <f t="shared" si="134"/>
        <v>Regular</v>
      </c>
    </row>
    <row r="2845" spans="1:14" x14ac:dyDescent="0.35">
      <c r="A2845">
        <v>2844</v>
      </c>
      <c r="B2845">
        <v>28</v>
      </c>
      <c r="C2845" t="str">
        <f t="shared" si="132"/>
        <v>Youth</v>
      </c>
      <c r="D2845" t="s">
        <v>16</v>
      </c>
      <c r="E2845" t="s">
        <v>27</v>
      </c>
      <c r="F2845" t="s">
        <v>32</v>
      </c>
      <c r="G2845">
        <v>581.89</v>
      </c>
      <c r="H2845" t="s">
        <v>31</v>
      </c>
      <c r="I2845" t="s">
        <v>15</v>
      </c>
      <c r="J2845">
        <v>3</v>
      </c>
      <c r="K2845">
        <v>10</v>
      </c>
      <c r="L2845">
        <f t="shared" si="133"/>
        <v>523.70100000000002</v>
      </c>
      <c r="M2845">
        <v>5</v>
      </c>
      <c r="N2845" t="str">
        <f t="shared" si="134"/>
        <v>Regular</v>
      </c>
    </row>
    <row r="2846" spans="1:14" x14ac:dyDescent="0.35">
      <c r="A2846">
        <v>2845</v>
      </c>
      <c r="B2846">
        <v>66</v>
      </c>
      <c r="C2846" t="str">
        <f t="shared" si="132"/>
        <v>Senior</v>
      </c>
      <c r="D2846" t="s">
        <v>11</v>
      </c>
      <c r="E2846" t="s">
        <v>33</v>
      </c>
      <c r="F2846" t="s">
        <v>38</v>
      </c>
      <c r="G2846">
        <v>100.1</v>
      </c>
      <c r="H2846" t="s">
        <v>14</v>
      </c>
      <c r="I2846" t="s">
        <v>15</v>
      </c>
      <c r="J2846">
        <v>3.6</v>
      </c>
      <c r="K2846">
        <v>11</v>
      </c>
      <c r="L2846">
        <f t="shared" si="133"/>
        <v>89.088999999999999</v>
      </c>
      <c r="M2846">
        <v>3</v>
      </c>
      <c r="N2846" t="str">
        <f t="shared" si="134"/>
        <v>New</v>
      </c>
    </row>
    <row r="2847" spans="1:14" x14ac:dyDescent="0.35">
      <c r="A2847">
        <v>2846</v>
      </c>
      <c r="B2847">
        <v>57</v>
      </c>
      <c r="C2847" t="str">
        <f t="shared" si="132"/>
        <v>Adult</v>
      </c>
      <c r="D2847" t="s">
        <v>11</v>
      </c>
      <c r="E2847" t="s">
        <v>29</v>
      </c>
      <c r="F2847" t="s">
        <v>51</v>
      </c>
      <c r="G2847">
        <v>28.82</v>
      </c>
      <c r="H2847" t="s">
        <v>24</v>
      </c>
      <c r="I2847" t="s">
        <v>37</v>
      </c>
      <c r="J2847">
        <v>3.3</v>
      </c>
      <c r="K2847">
        <v>16</v>
      </c>
      <c r="L2847">
        <f t="shared" si="133"/>
        <v>24.2088</v>
      </c>
      <c r="M2847">
        <v>3</v>
      </c>
      <c r="N2847" t="str">
        <f t="shared" si="134"/>
        <v>New</v>
      </c>
    </row>
    <row r="2848" spans="1:14" x14ac:dyDescent="0.35">
      <c r="A2848">
        <v>2847</v>
      </c>
      <c r="B2848">
        <v>48</v>
      </c>
      <c r="C2848" t="str">
        <f t="shared" si="132"/>
        <v>Adult</v>
      </c>
      <c r="D2848" t="s">
        <v>16</v>
      </c>
      <c r="E2848" t="s">
        <v>17</v>
      </c>
      <c r="F2848" t="s">
        <v>35</v>
      </c>
      <c r="G2848">
        <v>150.38</v>
      </c>
      <c r="H2848" t="s">
        <v>24</v>
      </c>
      <c r="I2848" t="s">
        <v>15</v>
      </c>
      <c r="J2848">
        <v>3.7</v>
      </c>
      <c r="K2848">
        <v>24</v>
      </c>
      <c r="L2848">
        <f t="shared" si="133"/>
        <v>114.28879999999999</v>
      </c>
      <c r="M2848">
        <v>7</v>
      </c>
      <c r="N2848" t="str">
        <f t="shared" si="134"/>
        <v>Regular</v>
      </c>
    </row>
    <row r="2849" spans="1:14" x14ac:dyDescent="0.35">
      <c r="A2849">
        <v>2848</v>
      </c>
      <c r="B2849">
        <v>39</v>
      </c>
      <c r="C2849" t="str">
        <f t="shared" si="132"/>
        <v>Adult</v>
      </c>
      <c r="D2849" t="s">
        <v>11</v>
      </c>
      <c r="E2849" t="s">
        <v>41</v>
      </c>
      <c r="F2849" t="s">
        <v>42</v>
      </c>
      <c r="G2849">
        <v>193.29</v>
      </c>
      <c r="H2849" t="s">
        <v>19</v>
      </c>
      <c r="I2849" t="s">
        <v>15</v>
      </c>
      <c r="J2849">
        <v>2.9</v>
      </c>
      <c r="K2849">
        <v>15</v>
      </c>
      <c r="L2849">
        <f t="shared" si="133"/>
        <v>164.29649999999998</v>
      </c>
      <c r="M2849">
        <v>5</v>
      </c>
      <c r="N2849" t="str">
        <f t="shared" si="134"/>
        <v>Regular</v>
      </c>
    </row>
    <row r="2850" spans="1:14" x14ac:dyDescent="0.35">
      <c r="A2850">
        <v>2849</v>
      </c>
      <c r="B2850">
        <v>58</v>
      </c>
      <c r="C2850" t="str">
        <f t="shared" si="132"/>
        <v>Adult</v>
      </c>
      <c r="D2850" t="s">
        <v>16</v>
      </c>
      <c r="E2850" t="s">
        <v>33</v>
      </c>
      <c r="F2850" t="s">
        <v>40</v>
      </c>
      <c r="G2850">
        <v>80.52</v>
      </c>
      <c r="H2850" t="s">
        <v>31</v>
      </c>
      <c r="I2850" t="s">
        <v>37</v>
      </c>
      <c r="J2850">
        <v>3.7</v>
      </c>
      <c r="K2850">
        <v>15</v>
      </c>
      <c r="L2850">
        <f t="shared" si="133"/>
        <v>68.441999999999993</v>
      </c>
      <c r="M2850">
        <v>5</v>
      </c>
      <c r="N2850" t="str">
        <f t="shared" si="134"/>
        <v>Regular</v>
      </c>
    </row>
    <row r="2851" spans="1:14" x14ac:dyDescent="0.35">
      <c r="A2851">
        <v>2850</v>
      </c>
      <c r="B2851">
        <v>64</v>
      </c>
      <c r="C2851" t="str">
        <f t="shared" si="132"/>
        <v>Senior</v>
      </c>
      <c r="D2851" t="s">
        <v>11</v>
      </c>
      <c r="E2851" t="s">
        <v>25</v>
      </c>
      <c r="F2851" t="s">
        <v>57</v>
      </c>
      <c r="G2851">
        <v>19.96</v>
      </c>
      <c r="H2851" t="s">
        <v>14</v>
      </c>
      <c r="I2851" t="s">
        <v>37</v>
      </c>
      <c r="J2851">
        <v>3</v>
      </c>
      <c r="K2851">
        <v>6</v>
      </c>
      <c r="L2851">
        <f t="shared" si="133"/>
        <v>18.7624</v>
      </c>
      <c r="M2851">
        <v>3</v>
      </c>
      <c r="N2851" t="str">
        <f t="shared" si="134"/>
        <v>New</v>
      </c>
    </row>
    <row r="2852" spans="1:14" x14ac:dyDescent="0.35">
      <c r="A2852">
        <v>2851</v>
      </c>
      <c r="B2852">
        <v>38</v>
      </c>
      <c r="C2852" t="str">
        <f t="shared" si="132"/>
        <v>Adult</v>
      </c>
      <c r="D2852" t="s">
        <v>11</v>
      </c>
      <c r="E2852" t="s">
        <v>29</v>
      </c>
      <c r="F2852" t="s">
        <v>55</v>
      </c>
      <c r="G2852">
        <v>81.760000000000005</v>
      </c>
      <c r="H2852" t="s">
        <v>31</v>
      </c>
      <c r="I2852" t="s">
        <v>37</v>
      </c>
      <c r="J2852">
        <v>4.0999999999999996</v>
      </c>
      <c r="K2852">
        <v>8</v>
      </c>
      <c r="L2852">
        <f t="shared" si="133"/>
        <v>75.219200000000015</v>
      </c>
      <c r="M2852">
        <v>4</v>
      </c>
      <c r="N2852" t="str">
        <f t="shared" si="134"/>
        <v>Regular</v>
      </c>
    </row>
    <row r="2853" spans="1:14" x14ac:dyDescent="0.35">
      <c r="A2853">
        <v>2852</v>
      </c>
      <c r="B2853">
        <v>47</v>
      </c>
      <c r="C2853" t="str">
        <f t="shared" si="132"/>
        <v>Adult</v>
      </c>
      <c r="D2853" t="s">
        <v>16</v>
      </c>
      <c r="E2853" t="s">
        <v>25</v>
      </c>
      <c r="F2853" t="s">
        <v>47</v>
      </c>
      <c r="G2853">
        <v>19.760000000000002</v>
      </c>
      <c r="H2853" t="s">
        <v>31</v>
      </c>
      <c r="I2853" t="s">
        <v>37</v>
      </c>
      <c r="J2853">
        <v>3.8</v>
      </c>
      <c r="K2853">
        <v>9</v>
      </c>
      <c r="L2853">
        <f t="shared" si="133"/>
        <v>17.981600000000004</v>
      </c>
      <c r="M2853">
        <v>2</v>
      </c>
      <c r="N2853" t="str">
        <f t="shared" si="134"/>
        <v>New</v>
      </c>
    </row>
    <row r="2854" spans="1:14" x14ac:dyDescent="0.35">
      <c r="A2854">
        <v>2853</v>
      </c>
      <c r="B2854">
        <v>49</v>
      </c>
      <c r="C2854" t="str">
        <f t="shared" si="132"/>
        <v>Adult</v>
      </c>
      <c r="D2854" t="s">
        <v>11</v>
      </c>
      <c r="E2854" t="s">
        <v>41</v>
      </c>
      <c r="F2854" t="s">
        <v>46</v>
      </c>
      <c r="G2854">
        <v>73.31</v>
      </c>
      <c r="H2854" t="s">
        <v>19</v>
      </c>
      <c r="I2854" t="s">
        <v>37</v>
      </c>
      <c r="J2854">
        <v>3.5</v>
      </c>
      <c r="K2854">
        <v>20</v>
      </c>
      <c r="L2854">
        <f t="shared" si="133"/>
        <v>58.648000000000003</v>
      </c>
      <c r="M2854">
        <v>5</v>
      </c>
      <c r="N2854" t="str">
        <f t="shared" si="134"/>
        <v>Regular</v>
      </c>
    </row>
    <row r="2855" spans="1:14" x14ac:dyDescent="0.35">
      <c r="A2855">
        <v>2854</v>
      </c>
      <c r="B2855">
        <v>30</v>
      </c>
      <c r="C2855" t="str">
        <f t="shared" si="132"/>
        <v>Youth</v>
      </c>
      <c r="D2855" t="s">
        <v>16</v>
      </c>
      <c r="E2855" t="s">
        <v>20</v>
      </c>
      <c r="F2855" t="s">
        <v>36</v>
      </c>
      <c r="G2855">
        <v>95.37</v>
      </c>
      <c r="H2855" t="s">
        <v>31</v>
      </c>
      <c r="I2855" t="s">
        <v>37</v>
      </c>
      <c r="J2855">
        <v>4.2</v>
      </c>
      <c r="K2855">
        <v>17</v>
      </c>
      <c r="L2855">
        <f t="shared" si="133"/>
        <v>79.1571</v>
      </c>
      <c r="M2855">
        <v>6</v>
      </c>
      <c r="N2855" t="str">
        <f t="shared" si="134"/>
        <v>Regular</v>
      </c>
    </row>
    <row r="2856" spans="1:14" x14ac:dyDescent="0.35">
      <c r="A2856">
        <v>2855</v>
      </c>
      <c r="B2856">
        <v>24</v>
      </c>
      <c r="C2856" t="str">
        <f t="shared" si="132"/>
        <v>Youth</v>
      </c>
      <c r="D2856" t="s">
        <v>11</v>
      </c>
      <c r="E2856" t="s">
        <v>12</v>
      </c>
      <c r="F2856" t="s">
        <v>13</v>
      </c>
      <c r="G2856">
        <v>105.91</v>
      </c>
      <c r="H2856" t="s">
        <v>14</v>
      </c>
      <c r="I2856" t="s">
        <v>15</v>
      </c>
      <c r="J2856">
        <v>3.9</v>
      </c>
      <c r="K2856">
        <v>19</v>
      </c>
      <c r="L2856">
        <f t="shared" si="133"/>
        <v>85.787100000000009</v>
      </c>
      <c r="M2856">
        <v>7</v>
      </c>
      <c r="N2856" t="str">
        <f t="shared" si="134"/>
        <v>Regular</v>
      </c>
    </row>
    <row r="2857" spans="1:14" x14ac:dyDescent="0.35">
      <c r="A2857">
        <v>2856</v>
      </c>
      <c r="B2857">
        <v>68</v>
      </c>
      <c r="C2857" t="str">
        <f t="shared" si="132"/>
        <v>Senior</v>
      </c>
      <c r="D2857" t="s">
        <v>16</v>
      </c>
      <c r="E2857" t="s">
        <v>17</v>
      </c>
      <c r="F2857" t="s">
        <v>18</v>
      </c>
      <c r="G2857">
        <v>82.8</v>
      </c>
      <c r="H2857" t="s">
        <v>24</v>
      </c>
      <c r="I2857" t="s">
        <v>15</v>
      </c>
      <c r="J2857">
        <v>3.6</v>
      </c>
      <c r="K2857">
        <v>8</v>
      </c>
      <c r="L2857">
        <f t="shared" si="133"/>
        <v>76.176000000000002</v>
      </c>
      <c r="M2857">
        <v>4</v>
      </c>
      <c r="N2857" t="str">
        <f t="shared" si="134"/>
        <v>Regular</v>
      </c>
    </row>
    <row r="2858" spans="1:14" x14ac:dyDescent="0.35">
      <c r="A2858">
        <v>2857</v>
      </c>
      <c r="B2858">
        <v>68</v>
      </c>
      <c r="C2858" t="str">
        <f t="shared" si="132"/>
        <v>Senior</v>
      </c>
      <c r="D2858" t="s">
        <v>16</v>
      </c>
      <c r="E2858" t="s">
        <v>22</v>
      </c>
      <c r="F2858" t="s">
        <v>23</v>
      </c>
      <c r="G2858">
        <v>260.13</v>
      </c>
      <c r="H2858" t="s">
        <v>31</v>
      </c>
      <c r="I2858" t="s">
        <v>15</v>
      </c>
      <c r="J2858">
        <v>4</v>
      </c>
      <c r="K2858">
        <v>24</v>
      </c>
      <c r="L2858">
        <f t="shared" si="133"/>
        <v>197.69880000000001</v>
      </c>
      <c r="M2858">
        <v>7</v>
      </c>
      <c r="N2858" t="str">
        <f t="shared" si="134"/>
        <v>Regular</v>
      </c>
    </row>
    <row r="2859" spans="1:14" x14ac:dyDescent="0.35">
      <c r="A2859">
        <v>2858</v>
      </c>
      <c r="B2859">
        <v>55</v>
      </c>
      <c r="C2859" t="str">
        <f t="shared" si="132"/>
        <v>Adult</v>
      </c>
      <c r="D2859" t="s">
        <v>11</v>
      </c>
      <c r="E2859" t="s">
        <v>33</v>
      </c>
      <c r="F2859" t="s">
        <v>40</v>
      </c>
      <c r="G2859">
        <v>196.79</v>
      </c>
      <c r="H2859" t="s">
        <v>31</v>
      </c>
      <c r="I2859" t="s">
        <v>15</v>
      </c>
      <c r="J2859">
        <v>3.7</v>
      </c>
      <c r="K2859">
        <v>10</v>
      </c>
      <c r="L2859">
        <f t="shared" si="133"/>
        <v>177.11099999999999</v>
      </c>
      <c r="M2859">
        <v>5</v>
      </c>
      <c r="N2859" t="str">
        <f t="shared" si="134"/>
        <v>Regular</v>
      </c>
    </row>
    <row r="2860" spans="1:14" x14ac:dyDescent="0.35">
      <c r="A2860">
        <v>2859</v>
      </c>
      <c r="B2860">
        <v>47</v>
      </c>
      <c r="C2860" t="str">
        <f t="shared" si="132"/>
        <v>Adult</v>
      </c>
      <c r="D2860" t="s">
        <v>11</v>
      </c>
      <c r="E2860" t="s">
        <v>29</v>
      </c>
      <c r="F2860" t="s">
        <v>30</v>
      </c>
      <c r="G2860">
        <v>137.02000000000001</v>
      </c>
      <c r="H2860" t="s">
        <v>31</v>
      </c>
      <c r="I2860" t="s">
        <v>15</v>
      </c>
      <c r="J2860">
        <v>3.7</v>
      </c>
      <c r="K2860">
        <v>14</v>
      </c>
      <c r="L2860">
        <f t="shared" si="133"/>
        <v>117.83720000000001</v>
      </c>
      <c r="M2860">
        <v>7</v>
      </c>
      <c r="N2860" t="str">
        <f t="shared" si="134"/>
        <v>Regular</v>
      </c>
    </row>
    <row r="2861" spans="1:14" x14ac:dyDescent="0.35">
      <c r="A2861">
        <v>2860</v>
      </c>
      <c r="B2861">
        <v>31</v>
      </c>
      <c r="C2861" t="str">
        <f t="shared" si="132"/>
        <v>Adult</v>
      </c>
      <c r="D2861" t="s">
        <v>16</v>
      </c>
      <c r="E2861" t="s">
        <v>25</v>
      </c>
      <c r="F2861" t="s">
        <v>47</v>
      </c>
      <c r="G2861">
        <v>61.33</v>
      </c>
      <c r="H2861" t="s">
        <v>19</v>
      </c>
      <c r="I2861" t="s">
        <v>15</v>
      </c>
      <c r="J2861">
        <v>3.6</v>
      </c>
      <c r="K2861">
        <v>16</v>
      </c>
      <c r="L2861">
        <f t="shared" si="133"/>
        <v>51.517199999999995</v>
      </c>
      <c r="M2861">
        <v>3</v>
      </c>
      <c r="N2861" t="str">
        <f t="shared" si="134"/>
        <v>New</v>
      </c>
    </row>
    <row r="2862" spans="1:14" x14ac:dyDescent="0.35">
      <c r="A2862">
        <v>2861</v>
      </c>
      <c r="B2862">
        <v>38</v>
      </c>
      <c r="C2862" t="str">
        <f t="shared" si="132"/>
        <v>Adult</v>
      </c>
      <c r="D2862" t="s">
        <v>16</v>
      </c>
      <c r="E2862" t="s">
        <v>20</v>
      </c>
      <c r="F2862" t="s">
        <v>21</v>
      </c>
      <c r="G2862">
        <v>152.38999999999999</v>
      </c>
      <c r="H2862" t="s">
        <v>24</v>
      </c>
      <c r="I2862" t="s">
        <v>15</v>
      </c>
      <c r="J2862">
        <v>5</v>
      </c>
      <c r="K2862">
        <v>18</v>
      </c>
      <c r="L2862">
        <f t="shared" si="133"/>
        <v>124.9598</v>
      </c>
      <c r="M2862">
        <v>9</v>
      </c>
      <c r="N2862" t="str">
        <f t="shared" si="134"/>
        <v>Loyal</v>
      </c>
    </row>
    <row r="2863" spans="1:14" x14ac:dyDescent="0.35">
      <c r="A2863">
        <v>2862</v>
      </c>
      <c r="B2863">
        <v>50</v>
      </c>
      <c r="C2863" t="str">
        <f t="shared" si="132"/>
        <v>Adult</v>
      </c>
      <c r="D2863" t="s">
        <v>11</v>
      </c>
      <c r="E2863" t="s">
        <v>41</v>
      </c>
      <c r="F2863" t="s">
        <v>46</v>
      </c>
      <c r="G2863">
        <v>35.770000000000003</v>
      </c>
      <c r="H2863" t="s">
        <v>14</v>
      </c>
      <c r="I2863" t="s">
        <v>37</v>
      </c>
      <c r="J2863">
        <v>3.8</v>
      </c>
      <c r="K2863">
        <v>10</v>
      </c>
      <c r="L2863">
        <f t="shared" si="133"/>
        <v>32.193000000000005</v>
      </c>
      <c r="M2863">
        <v>5</v>
      </c>
      <c r="N2863" t="str">
        <f t="shared" si="134"/>
        <v>Regular</v>
      </c>
    </row>
    <row r="2864" spans="1:14" x14ac:dyDescent="0.35">
      <c r="A2864">
        <v>2863</v>
      </c>
      <c r="B2864">
        <v>33</v>
      </c>
      <c r="C2864" t="str">
        <f t="shared" si="132"/>
        <v>Adult</v>
      </c>
      <c r="D2864" t="s">
        <v>11</v>
      </c>
      <c r="E2864" t="s">
        <v>25</v>
      </c>
      <c r="F2864" t="s">
        <v>57</v>
      </c>
      <c r="G2864">
        <v>46.73</v>
      </c>
      <c r="H2864" t="s">
        <v>31</v>
      </c>
      <c r="I2864" t="s">
        <v>15</v>
      </c>
      <c r="J2864">
        <v>3.5</v>
      </c>
      <c r="K2864">
        <v>11</v>
      </c>
      <c r="L2864">
        <f t="shared" si="133"/>
        <v>41.589700000000001</v>
      </c>
      <c r="M2864">
        <v>3</v>
      </c>
      <c r="N2864" t="str">
        <f t="shared" si="134"/>
        <v>New</v>
      </c>
    </row>
    <row r="2865" spans="1:14" x14ac:dyDescent="0.35">
      <c r="A2865">
        <v>2864</v>
      </c>
      <c r="B2865">
        <v>35</v>
      </c>
      <c r="C2865" t="str">
        <f t="shared" si="132"/>
        <v>Adult</v>
      </c>
      <c r="D2865" t="s">
        <v>16</v>
      </c>
      <c r="E2865" t="s">
        <v>17</v>
      </c>
      <c r="F2865" t="s">
        <v>18</v>
      </c>
      <c r="G2865">
        <v>129.83000000000001</v>
      </c>
      <c r="H2865" t="s">
        <v>19</v>
      </c>
      <c r="I2865" t="s">
        <v>15</v>
      </c>
      <c r="J2865">
        <v>4</v>
      </c>
      <c r="K2865">
        <v>21</v>
      </c>
      <c r="L2865">
        <f t="shared" si="133"/>
        <v>102.56570000000002</v>
      </c>
      <c r="M2865">
        <v>8</v>
      </c>
      <c r="N2865" t="str">
        <f t="shared" si="134"/>
        <v>Loyal</v>
      </c>
    </row>
    <row r="2866" spans="1:14" x14ac:dyDescent="0.35">
      <c r="A2866">
        <v>2865</v>
      </c>
      <c r="B2866">
        <v>47</v>
      </c>
      <c r="C2866" t="str">
        <f t="shared" si="132"/>
        <v>Adult</v>
      </c>
      <c r="D2866" t="s">
        <v>16</v>
      </c>
      <c r="E2866" t="s">
        <v>20</v>
      </c>
      <c r="F2866" t="s">
        <v>36</v>
      </c>
      <c r="G2866">
        <v>223.95</v>
      </c>
      <c r="H2866" t="s">
        <v>24</v>
      </c>
      <c r="I2866" t="s">
        <v>15</v>
      </c>
      <c r="J2866">
        <v>4.8</v>
      </c>
      <c r="K2866">
        <v>24</v>
      </c>
      <c r="L2866">
        <f t="shared" si="133"/>
        <v>170.202</v>
      </c>
      <c r="M2866">
        <v>7</v>
      </c>
      <c r="N2866" t="str">
        <f t="shared" si="134"/>
        <v>Regular</v>
      </c>
    </row>
    <row r="2867" spans="1:14" x14ac:dyDescent="0.35">
      <c r="A2867">
        <v>2866</v>
      </c>
      <c r="B2867">
        <v>28</v>
      </c>
      <c r="C2867" t="str">
        <f t="shared" si="132"/>
        <v>Youth</v>
      </c>
      <c r="D2867" t="s">
        <v>11</v>
      </c>
      <c r="E2867" t="s">
        <v>29</v>
      </c>
      <c r="F2867" t="s">
        <v>55</v>
      </c>
      <c r="G2867">
        <v>30.28</v>
      </c>
      <c r="H2867" t="s">
        <v>19</v>
      </c>
      <c r="I2867" t="s">
        <v>37</v>
      </c>
      <c r="J2867">
        <v>5</v>
      </c>
      <c r="K2867">
        <v>17</v>
      </c>
      <c r="L2867">
        <f t="shared" si="133"/>
        <v>25.132400000000001</v>
      </c>
      <c r="M2867">
        <v>6</v>
      </c>
      <c r="N2867" t="str">
        <f t="shared" si="134"/>
        <v>Regular</v>
      </c>
    </row>
    <row r="2868" spans="1:14" x14ac:dyDescent="0.35">
      <c r="A2868">
        <v>2867</v>
      </c>
      <c r="B2868">
        <v>55</v>
      </c>
      <c r="C2868" t="str">
        <f t="shared" si="132"/>
        <v>Adult</v>
      </c>
      <c r="D2868" t="s">
        <v>16</v>
      </c>
      <c r="E2868" t="s">
        <v>20</v>
      </c>
      <c r="F2868" t="s">
        <v>39</v>
      </c>
      <c r="G2868">
        <v>228.55</v>
      </c>
      <c r="H2868" t="s">
        <v>31</v>
      </c>
      <c r="I2868" t="s">
        <v>15</v>
      </c>
      <c r="J2868">
        <v>4.9000000000000004</v>
      </c>
      <c r="K2868">
        <v>28</v>
      </c>
      <c r="L2868">
        <f t="shared" si="133"/>
        <v>164.55600000000001</v>
      </c>
      <c r="M2868">
        <v>9</v>
      </c>
      <c r="N2868" t="str">
        <f t="shared" si="134"/>
        <v>Loyal</v>
      </c>
    </row>
    <row r="2869" spans="1:14" x14ac:dyDescent="0.35">
      <c r="A2869">
        <v>2868</v>
      </c>
      <c r="B2869">
        <v>57</v>
      </c>
      <c r="C2869" t="str">
        <f t="shared" si="132"/>
        <v>Adult</v>
      </c>
      <c r="D2869" t="s">
        <v>16</v>
      </c>
      <c r="E2869" t="s">
        <v>20</v>
      </c>
      <c r="F2869" t="s">
        <v>39</v>
      </c>
      <c r="G2869">
        <v>195.53</v>
      </c>
      <c r="H2869" t="s">
        <v>24</v>
      </c>
      <c r="I2869" t="s">
        <v>15</v>
      </c>
      <c r="J2869">
        <v>3.4</v>
      </c>
      <c r="K2869">
        <v>10</v>
      </c>
      <c r="L2869">
        <f t="shared" si="133"/>
        <v>175.977</v>
      </c>
      <c r="M2869">
        <v>5</v>
      </c>
      <c r="N2869" t="str">
        <f t="shared" si="134"/>
        <v>Regular</v>
      </c>
    </row>
    <row r="2870" spans="1:14" x14ac:dyDescent="0.35">
      <c r="A2870">
        <v>2869</v>
      </c>
      <c r="B2870">
        <v>59</v>
      </c>
      <c r="C2870" t="str">
        <f t="shared" si="132"/>
        <v>Adult</v>
      </c>
      <c r="D2870" t="s">
        <v>16</v>
      </c>
      <c r="E2870" t="s">
        <v>33</v>
      </c>
      <c r="F2870" t="s">
        <v>34</v>
      </c>
      <c r="G2870">
        <v>131.44</v>
      </c>
      <c r="H2870" t="s">
        <v>14</v>
      </c>
      <c r="I2870" t="s">
        <v>15</v>
      </c>
      <c r="J2870">
        <v>3.2</v>
      </c>
      <c r="K2870">
        <v>15</v>
      </c>
      <c r="L2870">
        <f t="shared" si="133"/>
        <v>111.72399999999999</v>
      </c>
      <c r="M2870">
        <v>5</v>
      </c>
      <c r="N2870" t="str">
        <f t="shared" si="134"/>
        <v>Regular</v>
      </c>
    </row>
    <row r="2871" spans="1:14" x14ac:dyDescent="0.35">
      <c r="A2871">
        <v>2870</v>
      </c>
      <c r="B2871">
        <v>27</v>
      </c>
      <c r="C2871" t="str">
        <f t="shared" si="132"/>
        <v>Youth</v>
      </c>
      <c r="D2871" t="s">
        <v>16</v>
      </c>
      <c r="E2871" t="s">
        <v>20</v>
      </c>
      <c r="F2871" t="s">
        <v>36</v>
      </c>
      <c r="G2871">
        <v>118.81</v>
      </c>
      <c r="H2871" t="s">
        <v>14</v>
      </c>
      <c r="I2871" t="s">
        <v>15</v>
      </c>
      <c r="J2871">
        <v>2.2000000000000002</v>
      </c>
      <c r="K2871">
        <v>8</v>
      </c>
      <c r="L2871">
        <f t="shared" si="133"/>
        <v>109.30520000000001</v>
      </c>
      <c r="M2871">
        <v>4</v>
      </c>
      <c r="N2871" t="str">
        <f t="shared" si="134"/>
        <v>Regular</v>
      </c>
    </row>
    <row r="2872" spans="1:14" x14ac:dyDescent="0.35">
      <c r="A2872">
        <v>2871</v>
      </c>
      <c r="B2872">
        <v>62</v>
      </c>
      <c r="C2872" t="str">
        <f t="shared" si="132"/>
        <v>Senior</v>
      </c>
      <c r="D2872" t="s">
        <v>11</v>
      </c>
      <c r="E2872" t="s">
        <v>41</v>
      </c>
      <c r="F2872" t="s">
        <v>45</v>
      </c>
      <c r="G2872">
        <v>117.38</v>
      </c>
      <c r="H2872" t="s">
        <v>24</v>
      </c>
      <c r="I2872" t="s">
        <v>15</v>
      </c>
      <c r="J2872">
        <v>4.5</v>
      </c>
      <c r="K2872">
        <v>10</v>
      </c>
      <c r="L2872">
        <f t="shared" si="133"/>
        <v>105.642</v>
      </c>
      <c r="M2872">
        <v>5</v>
      </c>
      <c r="N2872" t="str">
        <f t="shared" si="134"/>
        <v>Regular</v>
      </c>
    </row>
    <row r="2873" spans="1:14" x14ac:dyDescent="0.35">
      <c r="A2873">
        <v>2872</v>
      </c>
      <c r="B2873">
        <v>58</v>
      </c>
      <c r="C2873" t="str">
        <f t="shared" si="132"/>
        <v>Adult</v>
      </c>
      <c r="D2873" t="s">
        <v>11</v>
      </c>
      <c r="E2873" t="s">
        <v>33</v>
      </c>
      <c r="F2873" t="s">
        <v>34</v>
      </c>
      <c r="G2873">
        <v>143.71</v>
      </c>
      <c r="H2873" t="s">
        <v>24</v>
      </c>
      <c r="I2873" t="s">
        <v>15</v>
      </c>
      <c r="J2873">
        <v>2.8</v>
      </c>
      <c r="K2873">
        <v>14</v>
      </c>
      <c r="L2873">
        <f t="shared" si="133"/>
        <v>123.59060000000001</v>
      </c>
      <c r="M2873">
        <v>2</v>
      </c>
      <c r="N2873" t="str">
        <f t="shared" si="134"/>
        <v>New</v>
      </c>
    </row>
    <row r="2874" spans="1:14" x14ac:dyDescent="0.35">
      <c r="A2874">
        <v>2873</v>
      </c>
      <c r="B2874">
        <v>21</v>
      </c>
      <c r="C2874" t="str">
        <f t="shared" si="132"/>
        <v>Youth</v>
      </c>
      <c r="D2874" t="s">
        <v>16</v>
      </c>
      <c r="E2874" t="s">
        <v>20</v>
      </c>
      <c r="F2874" t="s">
        <v>21</v>
      </c>
      <c r="G2874">
        <v>85.22</v>
      </c>
      <c r="H2874" t="s">
        <v>19</v>
      </c>
      <c r="I2874" t="s">
        <v>37</v>
      </c>
      <c r="J2874">
        <v>4.5999999999999996</v>
      </c>
      <c r="K2874">
        <v>28</v>
      </c>
      <c r="L2874">
        <f t="shared" si="133"/>
        <v>61.358399999999996</v>
      </c>
      <c r="M2874">
        <v>9</v>
      </c>
      <c r="N2874" t="str">
        <f t="shared" si="134"/>
        <v>Loyal</v>
      </c>
    </row>
    <row r="2875" spans="1:14" x14ac:dyDescent="0.35">
      <c r="A2875">
        <v>2874</v>
      </c>
      <c r="B2875">
        <v>48</v>
      </c>
      <c r="C2875" t="str">
        <f t="shared" si="132"/>
        <v>Adult</v>
      </c>
      <c r="D2875" t="s">
        <v>11</v>
      </c>
      <c r="E2875" t="s">
        <v>41</v>
      </c>
      <c r="F2875" t="s">
        <v>46</v>
      </c>
      <c r="G2875">
        <v>135.59</v>
      </c>
      <c r="H2875" t="s">
        <v>19</v>
      </c>
      <c r="I2875" t="s">
        <v>15</v>
      </c>
      <c r="J2875">
        <v>4.2</v>
      </c>
      <c r="K2875">
        <v>21</v>
      </c>
      <c r="L2875">
        <f t="shared" si="133"/>
        <v>107.1161</v>
      </c>
      <c r="M2875">
        <v>8</v>
      </c>
      <c r="N2875" t="str">
        <f t="shared" si="134"/>
        <v>Loyal</v>
      </c>
    </row>
    <row r="2876" spans="1:14" x14ac:dyDescent="0.35">
      <c r="A2876">
        <v>2875</v>
      </c>
      <c r="B2876">
        <v>33</v>
      </c>
      <c r="C2876" t="str">
        <f t="shared" si="132"/>
        <v>Adult</v>
      </c>
      <c r="D2876" t="s">
        <v>11</v>
      </c>
      <c r="E2876" t="s">
        <v>20</v>
      </c>
      <c r="F2876" t="s">
        <v>39</v>
      </c>
      <c r="G2876">
        <v>249.24</v>
      </c>
      <c r="H2876" t="s">
        <v>24</v>
      </c>
      <c r="I2876" t="s">
        <v>15</v>
      </c>
      <c r="J2876">
        <v>4.3</v>
      </c>
      <c r="K2876">
        <v>6</v>
      </c>
      <c r="L2876">
        <f t="shared" si="133"/>
        <v>234.28559999999999</v>
      </c>
      <c r="M2876">
        <v>3</v>
      </c>
      <c r="N2876" t="str">
        <f t="shared" si="134"/>
        <v>New</v>
      </c>
    </row>
    <row r="2877" spans="1:14" x14ac:dyDescent="0.35">
      <c r="A2877">
        <v>2876</v>
      </c>
      <c r="B2877">
        <v>41</v>
      </c>
      <c r="C2877" t="str">
        <f t="shared" si="132"/>
        <v>Adult</v>
      </c>
      <c r="D2877" t="s">
        <v>16</v>
      </c>
      <c r="E2877" t="s">
        <v>17</v>
      </c>
      <c r="F2877" t="s">
        <v>35</v>
      </c>
      <c r="G2877">
        <v>127.61</v>
      </c>
      <c r="H2877" t="s">
        <v>31</v>
      </c>
      <c r="I2877" t="s">
        <v>15</v>
      </c>
      <c r="J2877">
        <v>4</v>
      </c>
      <c r="K2877">
        <v>14</v>
      </c>
      <c r="L2877">
        <f t="shared" si="133"/>
        <v>109.74459999999999</v>
      </c>
      <c r="M2877">
        <v>2</v>
      </c>
      <c r="N2877" t="str">
        <f t="shared" si="134"/>
        <v>New</v>
      </c>
    </row>
    <row r="2878" spans="1:14" x14ac:dyDescent="0.35">
      <c r="A2878">
        <v>2877</v>
      </c>
      <c r="B2878">
        <v>68</v>
      </c>
      <c r="C2878" t="str">
        <f t="shared" si="132"/>
        <v>Senior</v>
      </c>
      <c r="D2878" t="s">
        <v>16</v>
      </c>
      <c r="E2878" t="s">
        <v>27</v>
      </c>
      <c r="F2878" t="s">
        <v>28</v>
      </c>
      <c r="G2878">
        <v>2121.4</v>
      </c>
      <c r="H2878" t="s">
        <v>19</v>
      </c>
      <c r="I2878" t="s">
        <v>15</v>
      </c>
      <c r="J2878">
        <v>3.6</v>
      </c>
      <c r="K2878">
        <v>4</v>
      </c>
      <c r="L2878">
        <f t="shared" si="133"/>
        <v>2036.5440000000001</v>
      </c>
      <c r="M2878">
        <v>2</v>
      </c>
      <c r="N2878" t="str">
        <f t="shared" si="134"/>
        <v>New</v>
      </c>
    </row>
    <row r="2879" spans="1:14" x14ac:dyDescent="0.35">
      <c r="A2879">
        <v>2878</v>
      </c>
      <c r="B2879">
        <v>64</v>
      </c>
      <c r="C2879" t="str">
        <f t="shared" si="132"/>
        <v>Senior</v>
      </c>
      <c r="D2879" t="s">
        <v>16</v>
      </c>
      <c r="E2879" t="s">
        <v>17</v>
      </c>
      <c r="F2879" t="s">
        <v>42</v>
      </c>
      <c r="G2879">
        <v>129.65</v>
      </c>
      <c r="H2879" t="s">
        <v>31</v>
      </c>
      <c r="I2879" t="s">
        <v>15</v>
      </c>
      <c r="J2879">
        <v>3.5</v>
      </c>
      <c r="K2879">
        <v>16</v>
      </c>
      <c r="L2879">
        <f t="shared" si="133"/>
        <v>108.90600000000001</v>
      </c>
      <c r="M2879">
        <v>3</v>
      </c>
      <c r="N2879" t="str">
        <f t="shared" si="134"/>
        <v>New</v>
      </c>
    </row>
    <row r="2880" spans="1:14" x14ac:dyDescent="0.35">
      <c r="A2880">
        <v>2879</v>
      </c>
      <c r="B2880">
        <v>54</v>
      </c>
      <c r="C2880" t="str">
        <f t="shared" si="132"/>
        <v>Adult</v>
      </c>
      <c r="D2880" t="s">
        <v>16</v>
      </c>
      <c r="E2880" t="s">
        <v>33</v>
      </c>
      <c r="F2880" t="s">
        <v>34</v>
      </c>
      <c r="G2880">
        <v>67.94</v>
      </c>
      <c r="H2880" t="s">
        <v>14</v>
      </c>
      <c r="I2880" t="s">
        <v>37</v>
      </c>
      <c r="J2880">
        <v>3.7</v>
      </c>
      <c r="K2880">
        <v>18</v>
      </c>
      <c r="L2880">
        <f t="shared" si="133"/>
        <v>55.710799999999999</v>
      </c>
      <c r="M2880">
        <v>9</v>
      </c>
      <c r="N2880" t="str">
        <f t="shared" si="134"/>
        <v>Loyal</v>
      </c>
    </row>
    <row r="2881" spans="1:14" x14ac:dyDescent="0.35">
      <c r="A2881">
        <v>2880</v>
      </c>
      <c r="B2881">
        <v>55</v>
      </c>
      <c r="C2881" t="str">
        <f t="shared" si="132"/>
        <v>Adult</v>
      </c>
      <c r="D2881" t="s">
        <v>16</v>
      </c>
      <c r="E2881" t="s">
        <v>20</v>
      </c>
      <c r="F2881" t="s">
        <v>21</v>
      </c>
      <c r="G2881">
        <v>236.33</v>
      </c>
      <c r="H2881" t="s">
        <v>31</v>
      </c>
      <c r="I2881" t="s">
        <v>15</v>
      </c>
      <c r="J2881">
        <v>2.6</v>
      </c>
      <c r="K2881">
        <v>13</v>
      </c>
      <c r="L2881">
        <f t="shared" si="133"/>
        <v>205.6071</v>
      </c>
      <c r="M2881">
        <v>4</v>
      </c>
      <c r="N2881" t="str">
        <f t="shared" si="134"/>
        <v>Regular</v>
      </c>
    </row>
    <row r="2882" spans="1:14" x14ac:dyDescent="0.35">
      <c r="A2882">
        <v>2881</v>
      </c>
      <c r="B2882">
        <v>49</v>
      </c>
      <c r="C2882" t="str">
        <f t="shared" si="132"/>
        <v>Adult</v>
      </c>
      <c r="D2882" t="s">
        <v>16</v>
      </c>
      <c r="E2882" t="s">
        <v>27</v>
      </c>
      <c r="F2882" t="s">
        <v>53</v>
      </c>
      <c r="G2882">
        <v>2447.8000000000002</v>
      </c>
      <c r="H2882" t="s">
        <v>14</v>
      </c>
      <c r="I2882" t="s">
        <v>15</v>
      </c>
      <c r="J2882">
        <v>2.8</v>
      </c>
      <c r="K2882">
        <v>13</v>
      </c>
      <c r="L2882">
        <f t="shared" si="133"/>
        <v>2129.5860000000002</v>
      </c>
      <c r="M2882">
        <v>4</v>
      </c>
      <c r="N2882" t="str">
        <f t="shared" si="134"/>
        <v>Regular</v>
      </c>
    </row>
    <row r="2883" spans="1:14" x14ac:dyDescent="0.35">
      <c r="A2883">
        <v>2882</v>
      </c>
      <c r="B2883">
        <v>26</v>
      </c>
      <c r="C2883" t="str">
        <f t="shared" ref="C2883:C2946" si="135">IF(B2883&lt;=30,"Youth",IF(B2883&lt;=45,"Adult",IF(B2883&lt;=60,"Adult","Senior")))</f>
        <v>Youth</v>
      </c>
      <c r="D2883" t="s">
        <v>16</v>
      </c>
      <c r="E2883" t="s">
        <v>27</v>
      </c>
      <c r="F2883" t="s">
        <v>28</v>
      </c>
      <c r="G2883">
        <v>1922.9</v>
      </c>
      <c r="H2883" t="s">
        <v>14</v>
      </c>
      <c r="I2883" t="s">
        <v>15</v>
      </c>
      <c r="J2883">
        <v>2.9</v>
      </c>
      <c r="K2883">
        <v>8</v>
      </c>
      <c r="L2883">
        <f t="shared" ref="L2883:L2946" si="136">G2883*(1-K2883/100)</f>
        <v>1769.0680000000002</v>
      </c>
      <c r="M2883">
        <v>4</v>
      </c>
      <c r="N2883" t="str">
        <f t="shared" ref="N2883:N2946" si="137">IF(M2883&lt;=3,"New",IF(M2883&lt;=7,"Regular","Loyal"))</f>
        <v>Regular</v>
      </c>
    </row>
    <row r="2884" spans="1:14" x14ac:dyDescent="0.35">
      <c r="A2884">
        <v>2883</v>
      </c>
      <c r="B2884">
        <v>54</v>
      </c>
      <c r="C2884" t="str">
        <f t="shared" si="135"/>
        <v>Adult</v>
      </c>
      <c r="D2884" t="s">
        <v>16</v>
      </c>
      <c r="E2884" t="s">
        <v>27</v>
      </c>
      <c r="F2884" t="s">
        <v>32</v>
      </c>
      <c r="G2884">
        <v>1252.53</v>
      </c>
      <c r="H2884" t="s">
        <v>31</v>
      </c>
      <c r="I2884" t="s">
        <v>15</v>
      </c>
      <c r="J2884">
        <v>3.9</v>
      </c>
      <c r="K2884">
        <v>2</v>
      </c>
      <c r="L2884">
        <f t="shared" si="136"/>
        <v>1227.4793999999999</v>
      </c>
      <c r="M2884">
        <v>1</v>
      </c>
      <c r="N2884" t="str">
        <f t="shared" si="137"/>
        <v>New</v>
      </c>
    </row>
    <row r="2885" spans="1:14" x14ac:dyDescent="0.35">
      <c r="A2885">
        <v>2884</v>
      </c>
      <c r="B2885">
        <v>40</v>
      </c>
      <c r="C2885" t="str">
        <f t="shared" si="135"/>
        <v>Adult</v>
      </c>
      <c r="D2885" t="s">
        <v>11</v>
      </c>
      <c r="E2885" t="s">
        <v>41</v>
      </c>
      <c r="F2885" t="s">
        <v>46</v>
      </c>
      <c r="G2885">
        <v>144.26</v>
      </c>
      <c r="H2885" t="s">
        <v>31</v>
      </c>
      <c r="I2885" t="s">
        <v>15</v>
      </c>
      <c r="J2885">
        <v>3.9</v>
      </c>
      <c r="K2885">
        <v>10</v>
      </c>
      <c r="L2885">
        <f t="shared" si="136"/>
        <v>129.834</v>
      </c>
      <c r="M2885">
        <v>5</v>
      </c>
      <c r="N2885" t="str">
        <f t="shared" si="137"/>
        <v>Regular</v>
      </c>
    </row>
    <row r="2886" spans="1:14" x14ac:dyDescent="0.35">
      <c r="A2886">
        <v>2885</v>
      </c>
      <c r="B2886">
        <v>42</v>
      </c>
      <c r="C2886" t="str">
        <f t="shared" si="135"/>
        <v>Adult</v>
      </c>
      <c r="D2886" t="s">
        <v>16</v>
      </c>
      <c r="E2886" t="s">
        <v>33</v>
      </c>
      <c r="F2886" t="s">
        <v>40</v>
      </c>
      <c r="G2886">
        <v>227.07</v>
      </c>
      <c r="H2886" t="s">
        <v>14</v>
      </c>
      <c r="I2886" t="s">
        <v>15</v>
      </c>
      <c r="J2886">
        <v>2.8</v>
      </c>
      <c r="K2886">
        <v>13</v>
      </c>
      <c r="L2886">
        <f t="shared" si="136"/>
        <v>197.55089999999998</v>
      </c>
      <c r="M2886">
        <v>4</v>
      </c>
      <c r="N2886" t="str">
        <f t="shared" si="137"/>
        <v>Regular</v>
      </c>
    </row>
    <row r="2887" spans="1:14" x14ac:dyDescent="0.35">
      <c r="A2887">
        <v>2886</v>
      </c>
      <c r="B2887">
        <v>20</v>
      </c>
      <c r="C2887" t="str">
        <f t="shared" si="135"/>
        <v>Youth</v>
      </c>
      <c r="D2887" t="s">
        <v>11</v>
      </c>
      <c r="E2887" t="s">
        <v>12</v>
      </c>
      <c r="F2887" t="s">
        <v>50</v>
      </c>
      <c r="G2887">
        <v>104.38</v>
      </c>
      <c r="H2887" t="s">
        <v>31</v>
      </c>
      <c r="I2887" t="s">
        <v>15</v>
      </c>
      <c r="J2887">
        <v>5</v>
      </c>
      <c r="K2887">
        <v>21</v>
      </c>
      <c r="L2887">
        <f t="shared" si="136"/>
        <v>82.4602</v>
      </c>
      <c r="M2887">
        <v>8</v>
      </c>
      <c r="N2887" t="str">
        <f t="shared" si="137"/>
        <v>Loyal</v>
      </c>
    </row>
    <row r="2888" spans="1:14" x14ac:dyDescent="0.35">
      <c r="A2888">
        <v>2887</v>
      </c>
      <c r="B2888">
        <v>51</v>
      </c>
      <c r="C2888" t="str">
        <f t="shared" si="135"/>
        <v>Adult</v>
      </c>
      <c r="D2888" t="s">
        <v>16</v>
      </c>
      <c r="E2888" t="s">
        <v>17</v>
      </c>
      <c r="F2888" t="s">
        <v>18</v>
      </c>
      <c r="G2888">
        <v>168.21</v>
      </c>
      <c r="H2888" t="s">
        <v>19</v>
      </c>
      <c r="I2888" t="s">
        <v>15</v>
      </c>
      <c r="J2888">
        <v>3.3</v>
      </c>
      <c r="K2888">
        <v>13</v>
      </c>
      <c r="L2888">
        <f t="shared" si="136"/>
        <v>146.34270000000001</v>
      </c>
      <c r="M2888">
        <v>4</v>
      </c>
      <c r="N2888" t="str">
        <f t="shared" si="137"/>
        <v>Regular</v>
      </c>
    </row>
    <row r="2889" spans="1:14" x14ac:dyDescent="0.35">
      <c r="A2889">
        <v>2888</v>
      </c>
      <c r="B2889">
        <v>37</v>
      </c>
      <c r="C2889" t="str">
        <f t="shared" si="135"/>
        <v>Adult</v>
      </c>
      <c r="D2889" t="s">
        <v>11</v>
      </c>
      <c r="E2889" t="s">
        <v>29</v>
      </c>
      <c r="F2889" t="s">
        <v>30</v>
      </c>
      <c r="G2889">
        <v>95.35</v>
      </c>
      <c r="H2889" t="s">
        <v>14</v>
      </c>
      <c r="I2889" t="s">
        <v>15</v>
      </c>
      <c r="J2889">
        <v>4.4000000000000004</v>
      </c>
      <c r="K2889">
        <v>12</v>
      </c>
      <c r="L2889">
        <f t="shared" si="136"/>
        <v>83.908000000000001</v>
      </c>
      <c r="M2889">
        <v>6</v>
      </c>
      <c r="N2889" t="str">
        <f t="shared" si="137"/>
        <v>Regular</v>
      </c>
    </row>
    <row r="2890" spans="1:14" x14ac:dyDescent="0.35">
      <c r="A2890">
        <v>2889</v>
      </c>
      <c r="B2890">
        <v>45</v>
      </c>
      <c r="C2890" t="str">
        <f t="shared" si="135"/>
        <v>Adult</v>
      </c>
      <c r="D2890" t="s">
        <v>11</v>
      </c>
      <c r="E2890" t="s">
        <v>41</v>
      </c>
      <c r="F2890" t="s">
        <v>45</v>
      </c>
      <c r="G2890">
        <v>30.38</v>
      </c>
      <c r="H2890" t="s">
        <v>19</v>
      </c>
      <c r="I2890" t="s">
        <v>37</v>
      </c>
      <c r="J2890">
        <v>4.2</v>
      </c>
      <c r="K2890">
        <v>30</v>
      </c>
      <c r="L2890">
        <f t="shared" si="136"/>
        <v>21.265999999999998</v>
      </c>
      <c r="M2890">
        <v>10</v>
      </c>
      <c r="N2890" t="str">
        <f t="shared" si="137"/>
        <v>Loyal</v>
      </c>
    </row>
    <row r="2891" spans="1:14" x14ac:dyDescent="0.35">
      <c r="A2891">
        <v>2890</v>
      </c>
      <c r="B2891">
        <v>57</v>
      </c>
      <c r="C2891" t="str">
        <f t="shared" si="135"/>
        <v>Adult</v>
      </c>
      <c r="D2891" t="s">
        <v>16</v>
      </c>
      <c r="E2891" t="s">
        <v>20</v>
      </c>
      <c r="F2891" t="s">
        <v>36</v>
      </c>
      <c r="G2891">
        <v>197.01</v>
      </c>
      <c r="H2891" t="s">
        <v>14</v>
      </c>
      <c r="I2891" t="s">
        <v>15</v>
      </c>
      <c r="J2891">
        <v>3.8</v>
      </c>
      <c r="K2891">
        <v>11</v>
      </c>
      <c r="L2891">
        <f t="shared" si="136"/>
        <v>175.3389</v>
      </c>
      <c r="M2891">
        <v>3</v>
      </c>
      <c r="N2891" t="str">
        <f t="shared" si="137"/>
        <v>New</v>
      </c>
    </row>
    <row r="2892" spans="1:14" x14ac:dyDescent="0.35">
      <c r="A2892">
        <v>2891</v>
      </c>
      <c r="B2892">
        <v>33</v>
      </c>
      <c r="C2892" t="str">
        <f t="shared" si="135"/>
        <v>Adult</v>
      </c>
      <c r="D2892" t="s">
        <v>11</v>
      </c>
      <c r="E2892" t="s">
        <v>12</v>
      </c>
      <c r="F2892" t="s">
        <v>50</v>
      </c>
      <c r="G2892">
        <v>136.04</v>
      </c>
      <c r="H2892" t="s">
        <v>19</v>
      </c>
      <c r="I2892" t="s">
        <v>15</v>
      </c>
      <c r="J2892">
        <v>3.6</v>
      </c>
      <c r="K2892">
        <v>12</v>
      </c>
      <c r="L2892">
        <f t="shared" si="136"/>
        <v>119.7152</v>
      </c>
      <c r="M2892">
        <v>1</v>
      </c>
      <c r="N2892" t="str">
        <f t="shared" si="137"/>
        <v>New</v>
      </c>
    </row>
    <row r="2893" spans="1:14" x14ac:dyDescent="0.35">
      <c r="A2893">
        <v>2892</v>
      </c>
      <c r="B2893">
        <v>41</v>
      </c>
      <c r="C2893" t="str">
        <f t="shared" si="135"/>
        <v>Adult</v>
      </c>
      <c r="D2893" t="s">
        <v>11</v>
      </c>
      <c r="E2893" t="s">
        <v>29</v>
      </c>
      <c r="F2893" t="s">
        <v>55</v>
      </c>
      <c r="G2893">
        <v>110.69</v>
      </c>
      <c r="H2893" t="s">
        <v>31</v>
      </c>
      <c r="I2893" t="s">
        <v>15</v>
      </c>
      <c r="J2893">
        <v>3.6</v>
      </c>
      <c r="K2893">
        <v>13</v>
      </c>
      <c r="L2893">
        <f t="shared" si="136"/>
        <v>96.300299999999993</v>
      </c>
      <c r="M2893">
        <v>4</v>
      </c>
      <c r="N2893" t="str">
        <f t="shared" si="137"/>
        <v>Regular</v>
      </c>
    </row>
    <row r="2894" spans="1:14" x14ac:dyDescent="0.35">
      <c r="A2894">
        <v>2893</v>
      </c>
      <c r="B2894">
        <v>21</v>
      </c>
      <c r="C2894" t="str">
        <f t="shared" si="135"/>
        <v>Youth</v>
      </c>
      <c r="D2894" t="s">
        <v>11</v>
      </c>
      <c r="E2894" t="s">
        <v>12</v>
      </c>
      <c r="F2894" t="s">
        <v>50</v>
      </c>
      <c r="G2894">
        <v>49.93</v>
      </c>
      <c r="H2894" t="s">
        <v>14</v>
      </c>
      <c r="I2894" t="s">
        <v>37</v>
      </c>
      <c r="J2894">
        <v>4.3</v>
      </c>
      <c r="K2894">
        <v>14</v>
      </c>
      <c r="L2894">
        <f t="shared" si="136"/>
        <v>42.939799999999998</v>
      </c>
      <c r="M2894">
        <v>2</v>
      </c>
      <c r="N2894" t="str">
        <f t="shared" si="137"/>
        <v>New</v>
      </c>
    </row>
    <row r="2895" spans="1:14" x14ac:dyDescent="0.35">
      <c r="A2895">
        <v>2894</v>
      </c>
      <c r="B2895">
        <v>49</v>
      </c>
      <c r="C2895" t="str">
        <f t="shared" si="135"/>
        <v>Adult</v>
      </c>
      <c r="D2895" t="s">
        <v>11</v>
      </c>
      <c r="E2895" t="s">
        <v>12</v>
      </c>
      <c r="F2895" t="s">
        <v>13</v>
      </c>
      <c r="G2895">
        <v>143.66999999999999</v>
      </c>
      <c r="H2895" t="s">
        <v>24</v>
      </c>
      <c r="I2895" t="s">
        <v>15</v>
      </c>
      <c r="J2895">
        <v>3.2</v>
      </c>
      <c r="K2895">
        <v>6</v>
      </c>
      <c r="L2895">
        <f t="shared" si="136"/>
        <v>135.04979999999998</v>
      </c>
      <c r="M2895">
        <v>3</v>
      </c>
      <c r="N2895" t="str">
        <f t="shared" si="137"/>
        <v>New</v>
      </c>
    </row>
    <row r="2896" spans="1:14" x14ac:dyDescent="0.35">
      <c r="A2896">
        <v>2895</v>
      </c>
      <c r="B2896">
        <v>65</v>
      </c>
      <c r="C2896" t="str">
        <f t="shared" si="135"/>
        <v>Senior</v>
      </c>
      <c r="D2896" t="s">
        <v>16</v>
      </c>
      <c r="E2896" t="s">
        <v>22</v>
      </c>
      <c r="F2896" t="s">
        <v>23</v>
      </c>
      <c r="G2896">
        <v>107.46</v>
      </c>
      <c r="H2896" t="s">
        <v>31</v>
      </c>
      <c r="I2896" t="s">
        <v>15</v>
      </c>
      <c r="J2896">
        <v>3.7</v>
      </c>
      <c r="K2896">
        <v>10</v>
      </c>
      <c r="L2896">
        <f t="shared" si="136"/>
        <v>96.713999999999999</v>
      </c>
      <c r="M2896">
        <v>5</v>
      </c>
      <c r="N2896" t="str">
        <f t="shared" si="137"/>
        <v>Regular</v>
      </c>
    </row>
    <row r="2897" spans="1:14" x14ac:dyDescent="0.35">
      <c r="A2897">
        <v>2896</v>
      </c>
      <c r="B2897">
        <v>55</v>
      </c>
      <c r="C2897" t="str">
        <f t="shared" si="135"/>
        <v>Adult</v>
      </c>
      <c r="D2897" t="s">
        <v>16</v>
      </c>
      <c r="E2897" t="s">
        <v>20</v>
      </c>
      <c r="F2897" t="s">
        <v>36</v>
      </c>
      <c r="G2897">
        <v>206.53</v>
      </c>
      <c r="H2897" t="s">
        <v>14</v>
      </c>
      <c r="I2897" t="s">
        <v>15</v>
      </c>
      <c r="J2897">
        <v>4.8</v>
      </c>
      <c r="K2897">
        <v>16</v>
      </c>
      <c r="L2897">
        <f t="shared" si="136"/>
        <v>173.48519999999999</v>
      </c>
      <c r="M2897">
        <v>3</v>
      </c>
      <c r="N2897" t="str">
        <f t="shared" si="137"/>
        <v>New</v>
      </c>
    </row>
    <row r="2898" spans="1:14" x14ac:dyDescent="0.35">
      <c r="A2898">
        <v>2897</v>
      </c>
      <c r="B2898">
        <v>59</v>
      </c>
      <c r="C2898" t="str">
        <f t="shared" si="135"/>
        <v>Adult</v>
      </c>
      <c r="D2898" t="s">
        <v>16</v>
      </c>
      <c r="E2898" t="s">
        <v>27</v>
      </c>
      <c r="F2898" t="s">
        <v>32</v>
      </c>
      <c r="G2898">
        <v>1202.92</v>
      </c>
      <c r="H2898" t="s">
        <v>24</v>
      </c>
      <c r="I2898" t="s">
        <v>15</v>
      </c>
      <c r="J2898">
        <v>3.1</v>
      </c>
      <c r="K2898">
        <v>18</v>
      </c>
      <c r="L2898">
        <f t="shared" si="136"/>
        <v>986.39440000000013</v>
      </c>
      <c r="M2898">
        <v>4</v>
      </c>
      <c r="N2898" t="str">
        <f t="shared" si="137"/>
        <v>Regular</v>
      </c>
    </row>
    <row r="2899" spans="1:14" x14ac:dyDescent="0.35">
      <c r="A2899">
        <v>2898</v>
      </c>
      <c r="B2899">
        <v>56</v>
      </c>
      <c r="C2899" t="str">
        <f t="shared" si="135"/>
        <v>Adult</v>
      </c>
      <c r="D2899" t="s">
        <v>11</v>
      </c>
      <c r="E2899" t="s">
        <v>29</v>
      </c>
      <c r="F2899" t="s">
        <v>30</v>
      </c>
      <c r="G2899">
        <v>137.71</v>
      </c>
      <c r="H2899" t="s">
        <v>24</v>
      </c>
      <c r="I2899" t="s">
        <v>15</v>
      </c>
      <c r="J2899">
        <v>3.7</v>
      </c>
      <c r="K2899">
        <v>7</v>
      </c>
      <c r="L2899">
        <f t="shared" si="136"/>
        <v>128.0703</v>
      </c>
      <c r="M2899">
        <v>1</v>
      </c>
      <c r="N2899" t="str">
        <f t="shared" si="137"/>
        <v>New</v>
      </c>
    </row>
    <row r="2900" spans="1:14" x14ac:dyDescent="0.35">
      <c r="A2900">
        <v>2899</v>
      </c>
      <c r="B2900">
        <v>40</v>
      </c>
      <c r="C2900" t="str">
        <f t="shared" si="135"/>
        <v>Adult</v>
      </c>
      <c r="D2900" t="s">
        <v>11</v>
      </c>
      <c r="E2900" t="s">
        <v>33</v>
      </c>
      <c r="F2900" t="s">
        <v>34</v>
      </c>
      <c r="G2900">
        <v>208.5</v>
      </c>
      <c r="H2900" t="s">
        <v>31</v>
      </c>
      <c r="I2900" t="s">
        <v>15</v>
      </c>
      <c r="J2900">
        <v>4.3</v>
      </c>
      <c r="K2900">
        <v>30</v>
      </c>
      <c r="L2900">
        <f t="shared" si="136"/>
        <v>145.94999999999999</v>
      </c>
      <c r="M2900">
        <v>10</v>
      </c>
      <c r="N2900" t="str">
        <f t="shared" si="137"/>
        <v>Loyal</v>
      </c>
    </row>
    <row r="2901" spans="1:14" x14ac:dyDescent="0.35">
      <c r="A2901">
        <v>2900</v>
      </c>
      <c r="B2901">
        <v>48</v>
      </c>
      <c r="C2901" t="str">
        <f t="shared" si="135"/>
        <v>Adult</v>
      </c>
      <c r="D2901" t="s">
        <v>16</v>
      </c>
      <c r="E2901" t="s">
        <v>17</v>
      </c>
      <c r="F2901" t="s">
        <v>48</v>
      </c>
      <c r="G2901">
        <v>188.32</v>
      </c>
      <c r="H2901" t="s">
        <v>14</v>
      </c>
      <c r="I2901" t="s">
        <v>15</v>
      </c>
      <c r="J2901">
        <v>4.0999999999999996</v>
      </c>
      <c r="K2901">
        <v>24</v>
      </c>
      <c r="L2901">
        <f t="shared" si="136"/>
        <v>143.1232</v>
      </c>
      <c r="M2901">
        <v>12</v>
      </c>
      <c r="N2901" t="str">
        <f t="shared" si="137"/>
        <v>Loyal</v>
      </c>
    </row>
    <row r="2902" spans="1:14" x14ac:dyDescent="0.35">
      <c r="A2902">
        <v>2901</v>
      </c>
      <c r="B2902">
        <v>30</v>
      </c>
      <c r="C2902" t="str">
        <f t="shared" si="135"/>
        <v>Youth</v>
      </c>
      <c r="D2902" t="s">
        <v>16</v>
      </c>
      <c r="E2902" t="s">
        <v>22</v>
      </c>
      <c r="F2902" t="s">
        <v>52</v>
      </c>
      <c r="G2902">
        <v>38.31</v>
      </c>
      <c r="H2902" t="s">
        <v>31</v>
      </c>
      <c r="I2902" t="s">
        <v>15</v>
      </c>
      <c r="J2902">
        <v>3.2</v>
      </c>
      <c r="K2902">
        <v>14</v>
      </c>
      <c r="L2902">
        <f t="shared" si="136"/>
        <v>32.946600000000004</v>
      </c>
      <c r="M2902">
        <v>7</v>
      </c>
      <c r="N2902" t="str">
        <f t="shared" si="137"/>
        <v>Regular</v>
      </c>
    </row>
    <row r="2903" spans="1:14" x14ac:dyDescent="0.35">
      <c r="A2903">
        <v>2902</v>
      </c>
      <c r="B2903">
        <v>41</v>
      </c>
      <c r="C2903" t="str">
        <f t="shared" si="135"/>
        <v>Adult</v>
      </c>
      <c r="D2903" t="s">
        <v>11</v>
      </c>
      <c r="E2903" t="s">
        <v>25</v>
      </c>
      <c r="F2903" t="s">
        <v>54</v>
      </c>
      <c r="G2903">
        <v>58.38</v>
      </c>
      <c r="H2903" t="s">
        <v>31</v>
      </c>
      <c r="I2903" t="s">
        <v>37</v>
      </c>
      <c r="J2903">
        <v>2.2999999999999998</v>
      </c>
      <c r="K2903">
        <v>10</v>
      </c>
      <c r="L2903">
        <f t="shared" si="136"/>
        <v>52.542000000000002</v>
      </c>
      <c r="M2903">
        <v>5</v>
      </c>
      <c r="N2903" t="str">
        <f t="shared" si="137"/>
        <v>Regular</v>
      </c>
    </row>
    <row r="2904" spans="1:14" x14ac:dyDescent="0.35">
      <c r="A2904">
        <v>2903</v>
      </c>
      <c r="B2904">
        <v>58</v>
      </c>
      <c r="C2904" t="str">
        <f t="shared" si="135"/>
        <v>Adult</v>
      </c>
      <c r="D2904" t="s">
        <v>16</v>
      </c>
      <c r="E2904" t="s">
        <v>27</v>
      </c>
      <c r="F2904" t="s">
        <v>53</v>
      </c>
      <c r="G2904">
        <v>824.07</v>
      </c>
      <c r="H2904" t="s">
        <v>19</v>
      </c>
      <c r="I2904" t="s">
        <v>15</v>
      </c>
      <c r="J2904">
        <v>3.8</v>
      </c>
      <c r="K2904">
        <v>10</v>
      </c>
      <c r="L2904">
        <f t="shared" si="136"/>
        <v>741.66300000000001</v>
      </c>
      <c r="M2904">
        <v>5</v>
      </c>
      <c r="N2904" t="str">
        <f t="shared" si="137"/>
        <v>Regular</v>
      </c>
    </row>
    <row r="2905" spans="1:14" x14ac:dyDescent="0.35">
      <c r="A2905">
        <v>2904</v>
      </c>
      <c r="B2905">
        <v>47</v>
      </c>
      <c r="C2905" t="str">
        <f t="shared" si="135"/>
        <v>Adult</v>
      </c>
      <c r="D2905" t="s">
        <v>11</v>
      </c>
      <c r="E2905" t="s">
        <v>22</v>
      </c>
      <c r="F2905" t="s">
        <v>23</v>
      </c>
      <c r="G2905">
        <v>123.62</v>
      </c>
      <c r="H2905" t="s">
        <v>14</v>
      </c>
      <c r="I2905" t="s">
        <v>15</v>
      </c>
      <c r="J2905">
        <v>3</v>
      </c>
      <c r="K2905">
        <v>6</v>
      </c>
      <c r="L2905">
        <f t="shared" si="136"/>
        <v>116.2028</v>
      </c>
      <c r="M2905">
        <v>3</v>
      </c>
      <c r="N2905" t="str">
        <f t="shared" si="137"/>
        <v>New</v>
      </c>
    </row>
    <row r="2906" spans="1:14" x14ac:dyDescent="0.35">
      <c r="A2906">
        <v>2905</v>
      </c>
      <c r="B2906">
        <v>61</v>
      </c>
      <c r="C2906" t="str">
        <f t="shared" si="135"/>
        <v>Senior</v>
      </c>
      <c r="D2906" t="s">
        <v>16</v>
      </c>
      <c r="E2906" t="s">
        <v>27</v>
      </c>
      <c r="F2906" t="s">
        <v>53</v>
      </c>
      <c r="G2906">
        <v>1368.88</v>
      </c>
      <c r="H2906" t="s">
        <v>24</v>
      </c>
      <c r="I2906" t="s">
        <v>15</v>
      </c>
      <c r="J2906">
        <v>2.8</v>
      </c>
      <c r="K2906">
        <v>4</v>
      </c>
      <c r="L2906">
        <f t="shared" si="136"/>
        <v>1314.1248000000001</v>
      </c>
      <c r="M2906">
        <v>2</v>
      </c>
      <c r="N2906" t="str">
        <f t="shared" si="137"/>
        <v>New</v>
      </c>
    </row>
    <row r="2907" spans="1:14" x14ac:dyDescent="0.35">
      <c r="A2907">
        <v>2906</v>
      </c>
      <c r="B2907">
        <v>50</v>
      </c>
      <c r="C2907" t="str">
        <f t="shared" si="135"/>
        <v>Adult</v>
      </c>
      <c r="D2907" t="s">
        <v>16</v>
      </c>
      <c r="E2907" t="s">
        <v>25</v>
      </c>
      <c r="F2907" t="s">
        <v>54</v>
      </c>
      <c r="G2907">
        <v>58.24</v>
      </c>
      <c r="H2907" t="s">
        <v>19</v>
      </c>
      <c r="I2907" t="s">
        <v>15</v>
      </c>
      <c r="J2907">
        <v>3.1</v>
      </c>
      <c r="K2907">
        <v>16</v>
      </c>
      <c r="L2907">
        <f t="shared" si="136"/>
        <v>48.921599999999998</v>
      </c>
      <c r="M2907">
        <v>3</v>
      </c>
      <c r="N2907" t="str">
        <f t="shared" si="137"/>
        <v>New</v>
      </c>
    </row>
    <row r="2908" spans="1:14" x14ac:dyDescent="0.35">
      <c r="A2908">
        <v>2907</v>
      </c>
      <c r="B2908">
        <v>69</v>
      </c>
      <c r="C2908" t="str">
        <f t="shared" si="135"/>
        <v>Senior</v>
      </c>
      <c r="D2908" t="s">
        <v>16</v>
      </c>
      <c r="E2908" t="s">
        <v>20</v>
      </c>
      <c r="F2908" t="s">
        <v>39</v>
      </c>
      <c r="G2908">
        <v>168.81</v>
      </c>
      <c r="H2908" t="s">
        <v>19</v>
      </c>
      <c r="I2908" t="s">
        <v>15</v>
      </c>
      <c r="J2908">
        <v>3.2</v>
      </c>
      <c r="K2908">
        <v>36</v>
      </c>
      <c r="L2908">
        <f t="shared" si="136"/>
        <v>108.03840000000001</v>
      </c>
      <c r="M2908">
        <v>13</v>
      </c>
      <c r="N2908" t="str">
        <f t="shared" si="137"/>
        <v>Loyal</v>
      </c>
    </row>
    <row r="2909" spans="1:14" x14ac:dyDescent="0.35">
      <c r="A2909">
        <v>2908</v>
      </c>
      <c r="B2909">
        <v>48</v>
      </c>
      <c r="C2909" t="str">
        <f t="shared" si="135"/>
        <v>Adult</v>
      </c>
      <c r="D2909" t="s">
        <v>11</v>
      </c>
      <c r="E2909" t="s">
        <v>41</v>
      </c>
      <c r="F2909" t="s">
        <v>42</v>
      </c>
      <c r="G2909">
        <v>146.69</v>
      </c>
      <c r="H2909" t="s">
        <v>24</v>
      </c>
      <c r="I2909" t="s">
        <v>15</v>
      </c>
      <c r="J2909">
        <v>3.5</v>
      </c>
      <c r="K2909">
        <v>20</v>
      </c>
      <c r="L2909">
        <f t="shared" si="136"/>
        <v>117.352</v>
      </c>
      <c r="M2909">
        <v>5</v>
      </c>
      <c r="N2909" t="str">
        <f t="shared" si="137"/>
        <v>Regular</v>
      </c>
    </row>
    <row r="2910" spans="1:14" x14ac:dyDescent="0.35">
      <c r="A2910">
        <v>2909</v>
      </c>
      <c r="B2910">
        <v>40</v>
      </c>
      <c r="C2910" t="str">
        <f t="shared" si="135"/>
        <v>Adult</v>
      </c>
      <c r="D2910" t="s">
        <v>16</v>
      </c>
      <c r="E2910" t="s">
        <v>22</v>
      </c>
      <c r="F2910" t="s">
        <v>43</v>
      </c>
      <c r="G2910">
        <v>155.94999999999999</v>
      </c>
      <c r="H2910" t="s">
        <v>24</v>
      </c>
      <c r="I2910" t="s">
        <v>15</v>
      </c>
      <c r="J2910">
        <v>3.3</v>
      </c>
      <c r="K2910">
        <v>16</v>
      </c>
      <c r="L2910">
        <f t="shared" si="136"/>
        <v>130.99799999999999</v>
      </c>
      <c r="M2910">
        <v>3</v>
      </c>
      <c r="N2910" t="str">
        <f t="shared" si="137"/>
        <v>New</v>
      </c>
    </row>
    <row r="2911" spans="1:14" x14ac:dyDescent="0.35">
      <c r="A2911">
        <v>2910</v>
      </c>
      <c r="B2911">
        <v>29</v>
      </c>
      <c r="C2911" t="str">
        <f t="shared" si="135"/>
        <v>Youth</v>
      </c>
      <c r="D2911" t="s">
        <v>11</v>
      </c>
      <c r="E2911" t="s">
        <v>22</v>
      </c>
      <c r="F2911" t="s">
        <v>43</v>
      </c>
      <c r="G2911">
        <v>243.83</v>
      </c>
      <c r="H2911" t="s">
        <v>19</v>
      </c>
      <c r="I2911" t="s">
        <v>15</v>
      </c>
      <c r="J2911">
        <v>4.5</v>
      </c>
      <c r="K2911">
        <v>12</v>
      </c>
      <c r="L2911">
        <f t="shared" si="136"/>
        <v>214.57040000000001</v>
      </c>
      <c r="M2911">
        <v>6</v>
      </c>
      <c r="N2911" t="str">
        <f t="shared" si="137"/>
        <v>Regular</v>
      </c>
    </row>
    <row r="2912" spans="1:14" x14ac:dyDescent="0.35">
      <c r="A2912">
        <v>2911</v>
      </c>
      <c r="B2912">
        <v>67</v>
      </c>
      <c r="C2912" t="str">
        <f t="shared" si="135"/>
        <v>Senior</v>
      </c>
      <c r="D2912" t="s">
        <v>16</v>
      </c>
      <c r="E2912" t="s">
        <v>27</v>
      </c>
      <c r="F2912" t="s">
        <v>53</v>
      </c>
      <c r="G2912">
        <v>1908.28</v>
      </c>
      <c r="H2912" t="s">
        <v>19</v>
      </c>
      <c r="I2912" t="s">
        <v>15</v>
      </c>
      <c r="J2912">
        <v>4</v>
      </c>
      <c r="K2912">
        <v>24</v>
      </c>
      <c r="L2912">
        <f t="shared" si="136"/>
        <v>1450.2927999999999</v>
      </c>
      <c r="M2912">
        <v>7</v>
      </c>
      <c r="N2912" t="str">
        <f t="shared" si="137"/>
        <v>Regular</v>
      </c>
    </row>
    <row r="2913" spans="1:14" x14ac:dyDescent="0.35">
      <c r="A2913">
        <v>2912</v>
      </c>
      <c r="B2913">
        <v>70</v>
      </c>
      <c r="C2913" t="str">
        <f t="shared" si="135"/>
        <v>Senior</v>
      </c>
      <c r="D2913" t="s">
        <v>16</v>
      </c>
      <c r="E2913" t="s">
        <v>33</v>
      </c>
      <c r="F2913" t="s">
        <v>38</v>
      </c>
      <c r="G2913">
        <v>73.739999999999995</v>
      </c>
      <c r="H2913" t="s">
        <v>31</v>
      </c>
      <c r="I2913" t="s">
        <v>15</v>
      </c>
      <c r="J2913">
        <v>3.4</v>
      </c>
      <c r="K2913">
        <v>20</v>
      </c>
      <c r="L2913">
        <f t="shared" si="136"/>
        <v>58.991999999999997</v>
      </c>
      <c r="M2913">
        <v>5</v>
      </c>
      <c r="N2913" t="str">
        <f t="shared" si="137"/>
        <v>Regular</v>
      </c>
    </row>
    <row r="2914" spans="1:14" x14ac:dyDescent="0.35">
      <c r="A2914">
        <v>2913</v>
      </c>
      <c r="B2914">
        <v>38</v>
      </c>
      <c r="C2914" t="str">
        <f t="shared" si="135"/>
        <v>Adult</v>
      </c>
      <c r="D2914" t="s">
        <v>11</v>
      </c>
      <c r="E2914" t="s">
        <v>41</v>
      </c>
      <c r="F2914" t="s">
        <v>44</v>
      </c>
      <c r="G2914">
        <v>74.12</v>
      </c>
      <c r="H2914" t="s">
        <v>31</v>
      </c>
      <c r="I2914" t="s">
        <v>37</v>
      </c>
      <c r="J2914">
        <v>4.3</v>
      </c>
      <c r="K2914">
        <v>18</v>
      </c>
      <c r="L2914">
        <f t="shared" si="136"/>
        <v>60.778400000000005</v>
      </c>
      <c r="M2914">
        <v>4</v>
      </c>
      <c r="N2914" t="str">
        <f t="shared" si="137"/>
        <v>Regular</v>
      </c>
    </row>
    <row r="2915" spans="1:14" x14ac:dyDescent="0.35">
      <c r="A2915">
        <v>2914</v>
      </c>
      <c r="B2915">
        <v>23</v>
      </c>
      <c r="C2915" t="str">
        <f t="shared" si="135"/>
        <v>Youth</v>
      </c>
      <c r="D2915" t="s">
        <v>11</v>
      </c>
      <c r="E2915" t="s">
        <v>41</v>
      </c>
      <c r="F2915" t="s">
        <v>45</v>
      </c>
      <c r="G2915">
        <v>44.28</v>
      </c>
      <c r="H2915" t="s">
        <v>31</v>
      </c>
      <c r="I2915" t="s">
        <v>37</v>
      </c>
      <c r="J2915">
        <v>4.9000000000000004</v>
      </c>
      <c r="K2915">
        <v>15</v>
      </c>
      <c r="L2915">
        <f t="shared" si="136"/>
        <v>37.637999999999998</v>
      </c>
      <c r="M2915">
        <v>5</v>
      </c>
      <c r="N2915" t="str">
        <f t="shared" si="137"/>
        <v>Regular</v>
      </c>
    </row>
    <row r="2916" spans="1:14" x14ac:dyDescent="0.35">
      <c r="A2916">
        <v>2915</v>
      </c>
      <c r="B2916">
        <v>47</v>
      </c>
      <c r="C2916" t="str">
        <f t="shared" si="135"/>
        <v>Adult</v>
      </c>
      <c r="D2916" t="s">
        <v>16</v>
      </c>
      <c r="E2916" t="s">
        <v>33</v>
      </c>
      <c r="F2916" t="s">
        <v>34</v>
      </c>
      <c r="G2916">
        <v>174.96</v>
      </c>
      <c r="H2916" t="s">
        <v>14</v>
      </c>
      <c r="I2916" t="s">
        <v>15</v>
      </c>
      <c r="J2916">
        <v>5</v>
      </c>
      <c r="K2916">
        <v>9</v>
      </c>
      <c r="L2916">
        <f t="shared" si="136"/>
        <v>159.21360000000001</v>
      </c>
      <c r="M2916">
        <v>2</v>
      </c>
      <c r="N2916" t="str">
        <f t="shared" si="137"/>
        <v>New</v>
      </c>
    </row>
    <row r="2917" spans="1:14" x14ac:dyDescent="0.35">
      <c r="A2917">
        <v>2916</v>
      </c>
      <c r="B2917">
        <v>42</v>
      </c>
      <c r="C2917" t="str">
        <f t="shared" si="135"/>
        <v>Adult</v>
      </c>
      <c r="D2917" t="s">
        <v>11</v>
      </c>
      <c r="E2917" t="s">
        <v>12</v>
      </c>
      <c r="F2917" t="s">
        <v>50</v>
      </c>
      <c r="G2917">
        <v>137.86000000000001</v>
      </c>
      <c r="H2917" t="s">
        <v>31</v>
      </c>
      <c r="I2917" t="s">
        <v>15</v>
      </c>
      <c r="J2917">
        <v>5</v>
      </c>
      <c r="K2917">
        <v>12</v>
      </c>
      <c r="L2917">
        <f t="shared" si="136"/>
        <v>121.31680000000001</v>
      </c>
      <c r="M2917">
        <v>1</v>
      </c>
      <c r="N2917" t="str">
        <f t="shared" si="137"/>
        <v>New</v>
      </c>
    </row>
    <row r="2918" spans="1:14" x14ac:dyDescent="0.35">
      <c r="A2918">
        <v>2917</v>
      </c>
      <c r="B2918">
        <v>69</v>
      </c>
      <c r="C2918" t="str">
        <f t="shared" si="135"/>
        <v>Senior</v>
      </c>
      <c r="D2918" t="s">
        <v>16</v>
      </c>
      <c r="E2918" t="s">
        <v>17</v>
      </c>
      <c r="F2918" t="s">
        <v>35</v>
      </c>
      <c r="G2918">
        <v>172.24</v>
      </c>
      <c r="H2918" t="s">
        <v>14</v>
      </c>
      <c r="I2918" t="s">
        <v>15</v>
      </c>
      <c r="J2918">
        <v>4.3</v>
      </c>
      <c r="K2918">
        <v>18</v>
      </c>
      <c r="L2918">
        <f t="shared" si="136"/>
        <v>141.23680000000002</v>
      </c>
      <c r="M2918">
        <v>9</v>
      </c>
      <c r="N2918" t="str">
        <f t="shared" si="137"/>
        <v>Loyal</v>
      </c>
    </row>
    <row r="2919" spans="1:14" x14ac:dyDescent="0.35">
      <c r="A2919">
        <v>2918</v>
      </c>
      <c r="B2919">
        <v>59</v>
      </c>
      <c r="C2919" t="str">
        <f t="shared" si="135"/>
        <v>Adult</v>
      </c>
      <c r="D2919" t="s">
        <v>11</v>
      </c>
      <c r="E2919" t="s">
        <v>12</v>
      </c>
      <c r="F2919" t="s">
        <v>56</v>
      </c>
      <c r="G2919">
        <v>99.13</v>
      </c>
      <c r="H2919" t="s">
        <v>24</v>
      </c>
      <c r="I2919" t="s">
        <v>15</v>
      </c>
      <c r="J2919">
        <v>3.5</v>
      </c>
      <c r="K2919">
        <v>18</v>
      </c>
      <c r="L2919">
        <f t="shared" si="136"/>
        <v>81.286600000000007</v>
      </c>
      <c r="M2919">
        <v>4</v>
      </c>
      <c r="N2919" t="str">
        <f t="shared" si="137"/>
        <v>Regular</v>
      </c>
    </row>
    <row r="2920" spans="1:14" x14ac:dyDescent="0.35">
      <c r="A2920">
        <v>2919</v>
      </c>
      <c r="B2920">
        <v>67</v>
      </c>
      <c r="C2920" t="str">
        <f t="shared" si="135"/>
        <v>Senior</v>
      </c>
      <c r="D2920" t="s">
        <v>11</v>
      </c>
      <c r="E2920" t="s">
        <v>41</v>
      </c>
      <c r="F2920" t="s">
        <v>44</v>
      </c>
      <c r="G2920">
        <v>149.36000000000001</v>
      </c>
      <c r="H2920" t="s">
        <v>14</v>
      </c>
      <c r="I2920" t="s">
        <v>15</v>
      </c>
      <c r="J2920">
        <v>3.8</v>
      </c>
      <c r="K2920">
        <v>20</v>
      </c>
      <c r="L2920">
        <f t="shared" si="136"/>
        <v>119.48800000000001</v>
      </c>
      <c r="M2920">
        <v>10</v>
      </c>
      <c r="N2920" t="str">
        <f t="shared" si="137"/>
        <v>Loyal</v>
      </c>
    </row>
    <row r="2921" spans="1:14" x14ac:dyDescent="0.35">
      <c r="A2921">
        <v>2920</v>
      </c>
      <c r="B2921">
        <v>47</v>
      </c>
      <c r="C2921" t="str">
        <f t="shared" si="135"/>
        <v>Adult</v>
      </c>
      <c r="D2921" t="s">
        <v>11</v>
      </c>
      <c r="E2921" t="s">
        <v>33</v>
      </c>
      <c r="F2921" t="s">
        <v>34</v>
      </c>
      <c r="G2921">
        <v>58.36</v>
      </c>
      <c r="H2921" t="s">
        <v>14</v>
      </c>
      <c r="I2921" t="s">
        <v>37</v>
      </c>
      <c r="J2921">
        <v>3.1</v>
      </c>
      <c r="K2921">
        <v>16</v>
      </c>
      <c r="L2921">
        <f t="shared" si="136"/>
        <v>49.022399999999998</v>
      </c>
      <c r="M2921">
        <v>3</v>
      </c>
      <c r="N2921" t="str">
        <f t="shared" si="137"/>
        <v>New</v>
      </c>
    </row>
    <row r="2922" spans="1:14" x14ac:dyDescent="0.35">
      <c r="A2922">
        <v>2921</v>
      </c>
      <c r="B2922">
        <v>40</v>
      </c>
      <c r="C2922" t="str">
        <f t="shared" si="135"/>
        <v>Adult</v>
      </c>
      <c r="D2922" t="s">
        <v>16</v>
      </c>
      <c r="E2922" t="s">
        <v>20</v>
      </c>
      <c r="F2922" t="s">
        <v>36</v>
      </c>
      <c r="G2922">
        <v>108.91</v>
      </c>
      <c r="H2922" t="s">
        <v>19</v>
      </c>
      <c r="I2922" t="s">
        <v>15</v>
      </c>
      <c r="J2922">
        <v>3.6</v>
      </c>
      <c r="K2922">
        <v>12</v>
      </c>
      <c r="L2922">
        <f t="shared" si="136"/>
        <v>95.840800000000002</v>
      </c>
      <c r="M2922">
        <v>6</v>
      </c>
      <c r="N2922" t="str">
        <f t="shared" si="137"/>
        <v>Regular</v>
      </c>
    </row>
    <row r="2923" spans="1:14" x14ac:dyDescent="0.35">
      <c r="A2923">
        <v>2922</v>
      </c>
      <c r="B2923">
        <v>42</v>
      </c>
      <c r="C2923" t="str">
        <f t="shared" si="135"/>
        <v>Adult</v>
      </c>
      <c r="D2923" t="s">
        <v>16</v>
      </c>
      <c r="E2923" t="s">
        <v>20</v>
      </c>
      <c r="F2923" t="s">
        <v>39</v>
      </c>
      <c r="G2923">
        <v>74.2</v>
      </c>
      <c r="H2923" t="s">
        <v>19</v>
      </c>
      <c r="I2923" t="s">
        <v>15</v>
      </c>
      <c r="J2923">
        <v>2.7</v>
      </c>
      <c r="K2923">
        <v>8</v>
      </c>
      <c r="L2923">
        <f t="shared" si="136"/>
        <v>68.26400000000001</v>
      </c>
      <c r="M2923">
        <v>4</v>
      </c>
      <c r="N2923" t="str">
        <f t="shared" si="137"/>
        <v>Regular</v>
      </c>
    </row>
    <row r="2924" spans="1:14" x14ac:dyDescent="0.35">
      <c r="A2924">
        <v>2923</v>
      </c>
      <c r="B2924">
        <v>63</v>
      </c>
      <c r="C2924" t="str">
        <f t="shared" si="135"/>
        <v>Senior</v>
      </c>
      <c r="D2924" t="s">
        <v>11</v>
      </c>
      <c r="E2924" t="s">
        <v>25</v>
      </c>
      <c r="F2924" t="s">
        <v>26</v>
      </c>
      <c r="G2924">
        <v>35.58</v>
      </c>
      <c r="H2924" t="s">
        <v>14</v>
      </c>
      <c r="I2924" t="s">
        <v>15</v>
      </c>
      <c r="J2924">
        <v>2.9</v>
      </c>
      <c r="K2924">
        <v>19</v>
      </c>
      <c r="L2924">
        <f t="shared" si="136"/>
        <v>28.819800000000001</v>
      </c>
      <c r="M2924">
        <v>7</v>
      </c>
      <c r="N2924" t="str">
        <f t="shared" si="137"/>
        <v>Regular</v>
      </c>
    </row>
    <row r="2925" spans="1:14" x14ac:dyDescent="0.35">
      <c r="A2925">
        <v>2924</v>
      </c>
      <c r="B2925">
        <v>45</v>
      </c>
      <c r="C2925" t="str">
        <f t="shared" si="135"/>
        <v>Adult</v>
      </c>
      <c r="D2925" t="s">
        <v>16</v>
      </c>
      <c r="E2925" t="s">
        <v>20</v>
      </c>
      <c r="F2925" t="s">
        <v>39</v>
      </c>
      <c r="G2925">
        <v>56.1</v>
      </c>
      <c r="H2925" t="s">
        <v>24</v>
      </c>
      <c r="I2925" t="s">
        <v>15</v>
      </c>
      <c r="J2925">
        <v>3.4</v>
      </c>
      <c r="K2925">
        <v>15</v>
      </c>
      <c r="L2925">
        <f t="shared" si="136"/>
        <v>47.685000000000002</v>
      </c>
      <c r="M2925">
        <v>5</v>
      </c>
      <c r="N2925" t="str">
        <f t="shared" si="137"/>
        <v>Regular</v>
      </c>
    </row>
    <row r="2926" spans="1:14" x14ac:dyDescent="0.35">
      <c r="A2926">
        <v>2925</v>
      </c>
      <c r="B2926">
        <v>51</v>
      </c>
      <c r="C2926" t="str">
        <f t="shared" si="135"/>
        <v>Adult</v>
      </c>
      <c r="D2926" t="s">
        <v>16</v>
      </c>
      <c r="E2926" t="s">
        <v>33</v>
      </c>
      <c r="F2926" t="s">
        <v>34</v>
      </c>
      <c r="G2926">
        <v>67.650000000000006</v>
      </c>
      <c r="H2926" t="s">
        <v>24</v>
      </c>
      <c r="I2926" t="s">
        <v>15</v>
      </c>
      <c r="J2926">
        <v>4.3</v>
      </c>
      <c r="K2926">
        <v>13</v>
      </c>
      <c r="L2926">
        <f t="shared" si="136"/>
        <v>58.855500000000006</v>
      </c>
      <c r="M2926">
        <v>4</v>
      </c>
      <c r="N2926" t="str">
        <f t="shared" si="137"/>
        <v>Regular</v>
      </c>
    </row>
    <row r="2927" spans="1:14" x14ac:dyDescent="0.35">
      <c r="A2927">
        <v>2926</v>
      </c>
      <c r="B2927">
        <v>66</v>
      </c>
      <c r="C2927" t="str">
        <f t="shared" si="135"/>
        <v>Senior</v>
      </c>
      <c r="D2927" t="s">
        <v>16</v>
      </c>
      <c r="E2927" t="s">
        <v>27</v>
      </c>
      <c r="F2927" t="s">
        <v>28</v>
      </c>
      <c r="G2927">
        <v>2242.8000000000002</v>
      </c>
      <c r="H2927" t="s">
        <v>19</v>
      </c>
      <c r="I2927" t="s">
        <v>15</v>
      </c>
      <c r="J2927">
        <v>4.4000000000000004</v>
      </c>
      <c r="K2927">
        <v>12</v>
      </c>
      <c r="L2927">
        <f t="shared" si="136"/>
        <v>1973.6640000000002</v>
      </c>
      <c r="M2927">
        <v>1</v>
      </c>
      <c r="N2927" t="str">
        <f t="shared" si="137"/>
        <v>New</v>
      </c>
    </row>
    <row r="2928" spans="1:14" x14ac:dyDescent="0.35">
      <c r="A2928">
        <v>2927</v>
      </c>
      <c r="B2928">
        <v>25</v>
      </c>
      <c r="C2928" t="str">
        <f t="shared" si="135"/>
        <v>Youth</v>
      </c>
      <c r="D2928" t="s">
        <v>16</v>
      </c>
      <c r="E2928" t="s">
        <v>17</v>
      </c>
      <c r="F2928" t="s">
        <v>42</v>
      </c>
      <c r="G2928">
        <v>135.66999999999999</v>
      </c>
      <c r="H2928" t="s">
        <v>19</v>
      </c>
      <c r="I2928" t="s">
        <v>15</v>
      </c>
      <c r="J2928">
        <v>4.5</v>
      </c>
      <c r="K2928">
        <v>8</v>
      </c>
      <c r="L2928">
        <f t="shared" si="136"/>
        <v>124.81639999999999</v>
      </c>
      <c r="M2928">
        <v>4</v>
      </c>
      <c r="N2928" t="str">
        <f t="shared" si="137"/>
        <v>Regular</v>
      </c>
    </row>
    <row r="2929" spans="1:14" x14ac:dyDescent="0.35">
      <c r="A2929">
        <v>2928</v>
      </c>
      <c r="B2929">
        <v>55</v>
      </c>
      <c r="C2929" t="str">
        <f t="shared" si="135"/>
        <v>Adult</v>
      </c>
      <c r="D2929" t="s">
        <v>16</v>
      </c>
      <c r="E2929" t="s">
        <v>20</v>
      </c>
      <c r="F2929" t="s">
        <v>21</v>
      </c>
      <c r="G2929">
        <v>96.63</v>
      </c>
      <c r="H2929" t="s">
        <v>24</v>
      </c>
      <c r="I2929" t="s">
        <v>15</v>
      </c>
      <c r="J2929">
        <v>3.9</v>
      </c>
      <c r="K2929">
        <v>6</v>
      </c>
      <c r="L2929">
        <f t="shared" si="136"/>
        <v>90.832199999999986</v>
      </c>
      <c r="M2929">
        <v>3</v>
      </c>
      <c r="N2929" t="str">
        <f t="shared" si="137"/>
        <v>New</v>
      </c>
    </row>
    <row r="2930" spans="1:14" x14ac:dyDescent="0.35">
      <c r="A2930">
        <v>2929</v>
      </c>
      <c r="B2930">
        <v>41</v>
      </c>
      <c r="C2930" t="str">
        <f t="shared" si="135"/>
        <v>Adult</v>
      </c>
      <c r="D2930" t="s">
        <v>11</v>
      </c>
      <c r="E2930" t="s">
        <v>29</v>
      </c>
      <c r="F2930" t="s">
        <v>30</v>
      </c>
      <c r="G2930">
        <v>34.42</v>
      </c>
      <c r="H2930" t="s">
        <v>19</v>
      </c>
      <c r="I2930" t="s">
        <v>37</v>
      </c>
      <c r="J2930">
        <v>4.3</v>
      </c>
      <c r="K2930">
        <v>26</v>
      </c>
      <c r="L2930">
        <f t="shared" si="136"/>
        <v>25.470800000000001</v>
      </c>
      <c r="M2930">
        <v>8</v>
      </c>
      <c r="N2930" t="str">
        <f t="shared" si="137"/>
        <v>Loyal</v>
      </c>
    </row>
    <row r="2931" spans="1:14" x14ac:dyDescent="0.35">
      <c r="A2931">
        <v>2930</v>
      </c>
      <c r="B2931">
        <v>64</v>
      </c>
      <c r="C2931" t="str">
        <f t="shared" si="135"/>
        <v>Senior</v>
      </c>
      <c r="D2931" t="s">
        <v>11</v>
      </c>
      <c r="E2931" t="s">
        <v>12</v>
      </c>
      <c r="F2931" t="s">
        <v>56</v>
      </c>
      <c r="G2931">
        <v>108.39</v>
      </c>
      <c r="H2931" t="s">
        <v>24</v>
      </c>
      <c r="I2931" t="s">
        <v>15</v>
      </c>
      <c r="J2931">
        <v>3.3</v>
      </c>
      <c r="K2931">
        <v>10</v>
      </c>
      <c r="L2931">
        <f t="shared" si="136"/>
        <v>97.551000000000002</v>
      </c>
      <c r="M2931">
        <v>5</v>
      </c>
      <c r="N2931" t="str">
        <f t="shared" si="137"/>
        <v>Regular</v>
      </c>
    </row>
    <row r="2932" spans="1:14" x14ac:dyDescent="0.35">
      <c r="A2932">
        <v>2931</v>
      </c>
      <c r="B2932">
        <v>67</v>
      </c>
      <c r="C2932" t="str">
        <f t="shared" si="135"/>
        <v>Senior</v>
      </c>
      <c r="D2932" t="s">
        <v>16</v>
      </c>
      <c r="E2932" t="s">
        <v>33</v>
      </c>
      <c r="F2932" t="s">
        <v>38</v>
      </c>
      <c r="G2932">
        <v>96.2</v>
      </c>
      <c r="H2932" t="s">
        <v>19</v>
      </c>
      <c r="I2932" t="s">
        <v>15</v>
      </c>
      <c r="J2932">
        <v>3.1</v>
      </c>
      <c r="K2932">
        <v>5</v>
      </c>
      <c r="L2932">
        <f t="shared" si="136"/>
        <v>91.39</v>
      </c>
      <c r="M2932">
        <v>0</v>
      </c>
      <c r="N2932" t="str">
        <f t="shared" si="137"/>
        <v>New</v>
      </c>
    </row>
    <row r="2933" spans="1:14" x14ac:dyDescent="0.35">
      <c r="A2933">
        <v>2932</v>
      </c>
      <c r="B2933">
        <v>23</v>
      </c>
      <c r="C2933" t="str">
        <f t="shared" si="135"/>
        <v>Youth</v>
      </c>
      <c r="D2933" t="s">
        <v>11</v>
      </c>
      <c r="E2933" t="s">
        <v>29</v>
      </c>
      <c r="F2933" t="s">
        <v>55</v>
      </c>
      <c r="G2933">
        <v>50.94</v>
      </c>
      <c r="H2933" t="s">
        <v>14</v>
      </c>
      <c r="I2933" t="s">
        <v>37</v>
      </c>
      <c r="J2933">
        <v>1.9</v>
      </c>
      <c r="K2933">
        <v>14</v>
      </c>
      <c r="L2933">
        <f t="shared" si="136"/>
        <v>43.808399999999999</v>
      </c>
      <c r="M2933">
        <v>2</v>
      </c>
      <c r="N2933" t="str">
        <f t="shared" si="137"/>
        <v>New</v>
      </c>
    </row>
    <row r="2934" spans="1:14" x14ac:dyDescent="0.35">
      <c r="A2934">
        <v>2933</v>
      </c>
      <c r="B2934">
        <v>49</v>
      </c>
      <c r="C2934" t="str">
        <f t="shared" si="135"/>
        <v>Adult</v>
      </c>
      <c r="D2934" t="s">
        <v>16</v>
      </c>
      <c r="E2934" t="s">
        <v>33</v>
      </c>
      <c r="F2934" t="s">
        <v>40</v>
      </c>
      <c r="G2934">
        <v>122.8</v>
      </c>
      <c r="H2934" t="s">
        <v>19</v>
      </c>
      <c r="I2934" t="s">
        <v>15</v>
      </c>
      <c r="J2934">
        <v>2.8</v>
      </c>
      <c r="K2934">
        <v>21</v>
      </c>
      <c r="L2934">
        <f t="shared" si="136"/>
        <v>97.012</v>
      </c>
      <c r="M2934">
        <v>8</v>
      </c>
      <c r="N2934" t="str">
        <f t="shared" si="137"/>
        <v>Loyal</v>
      </c>
    </row>
    <row r="2935" spans="1:14" x14ac:dyDescent="0.35">
      <c r="A2935">
        <v>2934</v>
      </c>
      <c r="B2935">
        <v>53</v>
      </c>
      <c r="C2935" t="str">
        <f t="shared" si="135"/>
        <v>Adult</v>
      </c>
      <c r="D2935" t="s">
        <v>16</v>
      </c>
      <c r="E2935" t="s">
        <v>17</v>
      </c>
      <c r="F2935" t="s">
        <v>48</v>
      </c>
      <c r="G2935">
        <v>198.47</v>
      </c>
      <c r="H2935" t="s">
        <v>19</v>
      </c>
      <c r="I2935" t="s">
        <v>15</v>
      </c>
      <c r="J2935">
        <v>3.4</v>
      </c>
      <c r="K2935">
        <v>9</v>
      </c>
      <c r="L2935">
        <f t="shared" si="136"/>
        <v>180.60769999999999</v>
      </c>
      <c r="M2935">
        <v>2</v>
      </c>
      <c r="N2935" t="str">
        <f t="shared" si="137"/>
        <v>New</v>
      </c>
    </row>
    <row r="2936" spans="1:14" x14ac:dyDescent="0.35">
      <c r="A2936">
        <v>2935</v>
      </c>
      <c r="B2936">
        <v>58</v>
      </c>
      <c r="C2936" t="str">
        <f t="shared" si="135"/>
        <v>Adult</v>
      </c>
      <c r="D2936" t="s">
        <v>16</v>
      </c>
      <c r="E2936" t="s">
        <v>27</v>
      </c>
      <c r="F2936" t="s">
        <v>53</v>
      </c>
      <c r="G2936">
        <v>1495.44</v>
      </c>
      <c r="H2936" t="s">
        <v>14</v>
      </c>
      <c r="I2936" t="s">
        <v>15</v>
      </c>
      <c r="J2936">
        <v>3.8</v>
      </c>
      <c r="K2936">
        <v>6</v>
      </c>
      <c r="L2936">
        <f t="shared" si="136"/>
        <v>1405.7136</v>
      </c>
      <c r="M2936">
        <v>3</v>
      </c>
      <c r="N2936" t="str">
        <f t="shared" si="137"/>
        <v>New</v>
      </c>
    </row>
    <row r="2937" spans="1:14" x14ac:dyDescent="0.35">
      <c r="A2937">
        <v>2936</v>
      </c>
      <c r="B2937">
        <v>37</v>
      </c>
      <c r="C2937" t="str">
        <f t="shared" si="135"/>
        <v>Adult</v>
      </c>
      <c r="D2937" t="s">
        <v>11</v>
      </c>
      <c r="E2937" t="s">
        <v>29</v>
      </c>
      <c r="F2937" t="s">
        <v>30</v>
      </c>
      <c r="G2937">
        <v>91.16</v>
      </c>
      <c r="H2937" t="s">
        <v>14</v>
      </c>
      <c r="I2937" t="s">
        <v>37</v>
      </c>
      <c r="J2937">
        <v>4.5</v>
      </c>
      <c r="K2937">
        <v>12</v>
      </c>
      <c r="L2937">
        <f t="shared" si="136"/>
        <v>80.220799999999997</v>
      </c>
      <c r="M2937">
        <v>6</v>
      </c>
      <c r="N2937" t="str">
        <f t="shared" si="137"/>
        <v>Regular</v>
      </c>
    </row>
    <row r="2938" spans="1:14" x14ac:dyDescent="0.35">
      <c r="A2938">
        <v>2937</v>
      </c>
      <c r="B2938">
        <v>64</v>
      </c>
      <c r="C2938" t="str">
        <f t="shared" si="135"/>
        <v>Senior</v>
      </c>
      <c r="D2938" t="s">
        <v>16</v>
      </c>
      <c r="E2938" t="s">
        <v>22</v>
      </c>
      <c r="F2938" t="s">
        <v>52</v>
      </c>
      <c r="G2938">
        <v>145.24</v>
      </c>
      <c r="H2938" t="s">
        <v>19</v>
      </c>
      <c r="I2938" t="s">
        <v>15</v>
      </c>
      <c r="J2938">
        <v>3.4</v>
      </c>
      <c r="K2938">
        <v>19</v>
      </c>
      <c r="L2938">
        <f t="shared" si="136"/>
        <v>117.64440000000002</v>
      </c>
      <c r="M2938">
        <v>7</v>
      </c>
      <c r="N2938" t="str">
        <f t="shared" si="137"/>
        <v>Regular</v>
      </c>
    </row>
    <row r="2939" spans="1:14" x14ac:dyDescent="0.35">
      <c r="A2939">
        <v>2938</v>
      </c>
      <c r="B2939">
        <v>21</v>
      </c>
      <c r="C2939" t="str">
        <f t="shared" si="135"/>
        <v>Youth</v>
      </c>
      <c r="D2939" t="s">
        <v>11</v>
      </c>
      <c r="E2939" t="s">
        <v>29</v>
      </c>
      <c r="F2939" t="s">
        <v>51</v>
      </c>
      <c r="G2939">
        <v>31.76</v>
      </c>
      <c r="H2939" t="s">
        <v>14</v>
      </c>
      <c r="I2939" t="s">
        <v>37</v>
      </c>
      <c r="J2939">
        <v>4.0999999999999996</v>
      </c>
      <c r="K2939">
        <v>19</v>
      </c>
      <c r="L2939">
        <f t="shared" si="136"/>
        <v>25.725600000000004</v>
      </c>
      <c r="M2939">
        <v>7</v>
      </c>
      <c r="N2939" t="str">
        <f t="shared" si="137"/>
        <v>Regular</v>
      </c>
    </row>
    <row r="2940" spans="1:14" x14ac:dyDescent="0.35">
      <c r="A2940">
        <v>2939</v>
      </c>
      <c r="B2940">
        <v>50</v>
      </c>
      <c r="C2940" t="str">
        <f t="shared" si="135"/>
        <v>Adult</v>
      </c>
      <c r="D2940" t="s">
        <v>16</v>
      </c>
      <c r="E2940" t="s">
        <v>27</v>
      </c>
      <c r="F2940" t="s">
        <v>28</v>
      </c>
      <c r="G2940">
        <v>1363.84</v>
      </c>
      <c r="H2940" t="s">
        <v>14</v>
      </c>
      <c r="I2940" t="s">
        <v>15</v>
      </c>
      <c r="J2940">
        <v>4.2</v>
      </c>
      <c r="K2940">
        <v>20</v>
      </c>
      <c r="L2940">
        <f t="shared" si="136"/>
        <v>1091.0719999999999</v>
      </c>
      <c r="M2940">
        <v>10</v>
      </c>
      <c r="N2940" t="str">
        <f t="shared" si="137"/>
        <v>Loyal</v>
      </c>
    </row>
    <row r="2941" spans="1:14" x14ac:dyDescent="0.35">
      <c r="A2941">
        <v>2940</v>
      </c>
      <c r="B2941">
        <v>27</v>
      </c>
      <c r="C2941" t="str">
        <f t="shared" si="135"/>
        <v>Youth</v>
      </c>
      <c r="D2941" t="s">
        <v>11</v>
      </c>
      <c r="E2941" t="s">
        <v>41</v>
      </c>
      <c r="F2941" t="s">
        <v>45</v>
      </c>
      <c r="G2941">
        <v>49.97</v>
      </c>
      <c r="H2941" t="s">
        <v>14</v>
      </c>
      <c r="I2941" t="s">
        <v>37</v>
      </c>
      <c r="J2941">
        <v>3.7</v>
      </c>
      <c r="K2941">
        <v>13</v>
      </c>
      <c r="L2941">
        <f t="shared" si="136"/>
        <v>43.4739</v>
      </c>
      <c r="M2941">
        <v>4</v>
      </c>
      <c r="N2941" t="str">
        <f t="shared" si="137"/>
        <v>Regular</v>
      </c>
    </row>
    <row r="2942" spans="1:14" x14ac:dyDescent="0.35">
      <c r="A2942">
        <v>2941</v>
      </c>
      <c r="B2942">
        <v>22</v>
      </c>
      <c r="C2942" t="str">
        <f t="shared" si="135"/>
        <v>Youth</v>
      </c>
      <c r="D2942" t="s">
        <v>16</v>
      </c>
      <c r="E2942" t="s">
        <v>27</v>
      </c>
      <c r="F2942" t="s">
        <v>28</v>
      </c>
      <c r="G2942">
        <v>1428.39</v>
      </c>
      <c r="H2942" t="s">
        <v>31</v>
      </c>
      <c r="I2942" t="s">
        <v>15</v>
      </c>
      <c r="J2942">
        <v>3.6</v>
      </c>
      <c r="K2942">
        <v>24</v>
      </c>
      <c r="L2942">
        <f t="shared" si="136"/>
        <v>1085.5764000000001</v>
      </c>
      <c r="M2942">
        <v>7</v>
      </c>
      <c r="N2942" t="str">
        <f t="shared" si="137"/>
        <v>Regular</v>
      </c>
    </row>
    <row r="2943" spans="1:14" x14ac:dyDescent="0.35">
      <c r="A2943">
        <v>2942</v>
      </c>
      <c r="B2943">
        <v>63</v>
      </c>
      <c r="C2943" t="str">
        <f t="shared" si="135"/>
        <v>Senior</v>
      </c>
      <c r="D2943" t="s">
        <v>16</v>
      </c>
      <c r="E2943" t="s">
        <v>22</v>
      </c>
      <c r="F2943" t="s">
        <v>23</v>
      </c>
      <c r="G2943">
        <v>208.41</v>
      </c>
      <c r="H2943" t="s">
        <v>14</v>
      </c>
      <c r="I2943" t="s">
        <v>15</v>
      </c>
      <c r="J2943">
        <v>4.2</v>
      </c>
      <c r="K2943">
        <v>30</v>
      </c>
      <c r="L2943">
        <f t="shared" si="136"/>
        <v>145.887</v>
      </c>
      <c r="M2943">
        <v>10</v>
      </c>
      <c r="N2943" t="str">
        <f t="shared" si="137"/>
        <v>Loyal</v>
      </c>
    </row>
    <row r="2944" spans="1:14" x14ac:dyDescent="0.35">
      <c r="A2944">
        <v>2943</v>
      </c>
      <c r="B2944">
        <v>28</v>
      </c>
      <c r="C2944" t="str">
        <f t="shared" si="135"/>
        <v>Youth</v>
      </c>
      <c r="D2944" t="s">
        <v>11</v>
      </c>
      <c r="E2944" t="s">
        <v>33</v>
      </c>
      <c r="F2944" t="s">
        <v>40</v>
      </c>
      <c r="G2944">
        <v>220.01</v>
      </c>
      <c r="H2944" t="s">
        <v>19</v>
      </c>
      <c r="I2944" t="s">
        <v>15</v>
      </c>
      <c r="J2944">
        <v>2.7</v>
      </c>
      <c r="K2944">
        <v>15</v>
      </c>
      <c r="L2944">
        <f t="shared" si="136"/>
        <v>187.0085</v>
      </c>
      <c r="M2944">
        <v>5</v>
      </c>
      <c r="N2944" t="str">
        <f t="shared" si="137"/>
        <v>Regular</v>
      </c>
    </row>
    <row r="2945" spans="1:14" x14ac:dyDescent="0.35">
      <c r="A2945">
        <v>2944</v>
      </c>
      <c r="B2945">
        <v>48</v>
      </c>
      <c r="C2945" t="str">
        <f t="shared" si="135"/>
        <v>Adult</v>
      </c>
      <c r="D2945" t="s">
        <v>16</v>
      </c>
      <c r="E2945" t="s">
        <v>27</v>
      </c>
      <c r="F2945" t="s">
        <v>28</v>
      </c>
      <c r="G2945">
        <v>1710.27</v>
      </c>
      <c r="H2945" t="s">
        <v>24</v>
      </c>
      <c r="I2945" t="s">
        <v>15</v>
      </c>
      <c r="J2945">
        <v>3.9</v>
      </c>
      <c r="K2945">
        <v>11</v>
      </c>
      <c r="L2945">
        <f t="shared" si="136"/>
        <v>1522.1403</v>
      </c>
      <c r="M2945">
        <v>3</v>
      </c>
      <c r="N2945" t="str">
        <f t="shared" si="137"/>
        <v>New</v>
      </c>
    </row>
    <row r="2946" spans="1:14" x14ac:dyDescent="0.35">
      <c r="A2946">
        <v>2945</v>
      </c>
      <c r="B2946">
        <v>31</v>
      </c>
      <c r="C2946" t="str">
        <f t="shared" si="135"/>
        <v>Adult</v>
      </c>
      <c r="D2946" t="s">
        <v>16</v>
      </c>
      <c r="E2946" t="s">
        <v>20</v>
      </c>
      <c r="F2946" t="s">
        <v>36</v>
      </c>
      <c r="G2946">
        <v>234.56</v>
      </c>
      <c r="H2946" t="s">
        <v>24</v>
      </c>
      <c r="I2946" t="s">
        <v>15</v>
      </c>
      <c r="J2946">
        <v>4.3</v>
      </c>
      <c r="K2946">
        <v>18</v>
      </c>
      <c r="L2946">
        <f t="shared" si="136"/>
        <v>192.33920000000001</v>
      </c>
      <c r="M2946">
        <v>4</v>
      </c>
      <c r="N2946" t="str">
        <f t="shared" si="137"/>
        <v>Regular</v>
      </c>
    </row>
    <row r="2947" spans="1:14" x14ac:dyDescent="0.35">
      <c r="A2947">
        <v>2946</v>
      </c>
      <c r="B2947">
        <v>29</v>
      </c>
      <c r="C2947" t="str">
        <f t="shared" ref="C2947:C3010" si="138">IF(B2947&lt;=30,"Youth",IF(B2947&lt;=45,"Adult",IF(B2947&lt;=60,"Adult","Senior")))</f>
        <v>Youth</v>
      </c>
      <c r="D2947" t="s">
        <v>11</v>
      </c>
      <c r="E2947" t="s">
        <v>33</v>
      </c>
      <c r="F2947" t="s">
        <v>34</v>
      </c>
      <c r="G2947">
        <v>146.87</v>
      </c>
      <c r="H2947" t="s">
        <v>14</v>
      </c>
      <c r="I2947" t="s">
        <v>15</v>
      </c>
      <c r="J2947">
        <v>3.4</v>
      </c>
      <c r="K2947">
        <v>6</v>
      </c>
      <c r="L2947">
        <f t="shared" ref="L2947:L3010" si="139">G2947*(1-K2947/100)</f>
        <v>138.05779999999999</v>
      </c>
      <c r="M2947">
        <v>3</v>
      </c>
      <c r="N2947" t="str">
        <f t="shared" ref="N2947:N3010" si="140">IF(M2947&lt;=3,"New",IF(M2947&lt;=7,"Regular","Loyal"))</f>
        <v>New</v>
      </c>
    </row>
    <row r="2948" spans="1:14" x14ac:dyDescent="0.35">
      <c r="A2948">
        <v>2947</v>
      </c>
      <c r="B2948">
        <v>62</v>
      </c>
      <c r="C2948" t="str">
        <f t="shared" si="138"/>
        <v>Senior</v>
      </c>
      <c r="D2948" t="s">
        <v>11</v>
      </c>
      <c r="E2948" t="s">
        <v>12</v>
      </c>
      <c r="F2948" t="s">
        <v>13</v>
      </c>
      <c r="G2948">
        <v>20.66</v>
      </c>
      <c r="H2948" t="s">
        <v>19</v>
      </c>
      <c r="I2948" t="s">
        <v>15</v>
      </c>
      <c r="J2948">
        <v>4.7</v>
      </c>
      <c r="K2948">
        <v>10</v>
      </c>
      <c r="L2948">
        <f t="shared" si="139"/>
        <v>18.594000000000001</v>
      </c>
      <c r="M2948">
        <v>5</v>
      </c>
      <c r="N2948" t="str">
        <f t="shared" si="140"/>
        <v>Regular</v>
      </c>
    </row>
    <row r="2949" spans="1:14" x14ac:dyDescent="0.35">
      <c r="A2949">
        <v>2948</v>
      </c>
      <c r="B2949">
        <v>37</v>
      </c>
      <c r="C2949" t="str">
        <f t="shared" si="138"/>
        <v>Adult</v>
      </c>
      <c r="D2949" t="s">
        <v>11</v>
      </c>
      <c r="E2949" t="s">
        <v>29</v>
      </c>
      <c r="F2949" t="s">
        <v>30</v>
      </c>
      <c r="G2949">
        <v>97.9</v>
      </c>
      <c r="H2949" t="s">
        <v>14</v>
      </c>
      <c r="I2949" t="s">
        <v>15</v>
      </c>
      <c r="J2949">
        <v>4.2</v>
      </c>
      <c r="K2949">
        <v>14</v>
      </c>
      <c r="L2949">
        <f t="shared" si="139"/>
        <v>84.194000000000003</v>
      </c>
      <c r="M2949">
        <v>7</v>
      </c>
      <c r="N2949" t="str">
        <f t="shared" si="140"/>
        <v>Regular</v>
      </c>
    </row>
    <row r="2950" spans="1:14" x14ac:dyDescent="0.35">
      <c r="A2950">
        <v>2949</v>
      </c>
      <c r="B2950">
        <v>51</v>
      </c>
      <c r="C2950" t="str">
        <f t="shared" si="138"/>
        <v>Adult</v>
      </c>
      <c r="D2950" t="s">
        <v>16</v>
      </c>
      <c r="E2950" t="s">
        <v>27</v>
      </c>
      <c r="F2950" t="s">
        <v>28</v>
      </c>
      <c r="G2950">
        <v>1172.28</v>
      </c>
      <c r="H2950" t="s">
        <v>24</v>
      </c>
      <c r="I2950" t="s">
        <v>15</v>
      </c>
      <c r="J2950">
        <v>4.0999999999999996</v>
      </c>
      <c r="K2950">
        <v>6</v>
      </c>
      <c r="L2950">
        <f t="shared" si="139"/>
        <v>1101.9431999999999</v>
      </c>
      <c r="M2950">
        <v>3</v>
      </c>
      <c r="N2950" t="str">
        <f t="shared" si="140"/>
        <v>New</v>
      </c>
    </row>
    <row r="2951" spans="1:14" x14ac:dyDescent="0.35">
      <c r="A2951">
        <v>2950</v>
      </c>
      <c r="B2951">
        <v>52</v>
      </c>
      <c r="C2951" t="str">
        <f t="shared" si="138"/>
        <v>Adult</v>
      </c>
      <c r="D2951" t="s">
        <v>11</v>
      </c>
      <c r="E2951" t="s">
        <v>12</v>
      </c>
      <c r="F2951" t="s">
        <v>56</v>
      </c>
      <c r="G2951">
        <v>48.23</v>
      </c>
      <c r="H2951" t="s">
        <v>31</v>
      </c>
      <c r="I2951" t="s">
        <v>15</v>
      </c>
      <c r="J2951">
        <v>3.4</v>
      </c>
      <c r="K2951">
        <v>4</v>
      </c>
      <c r="L2951">
        <f t="shared" si="139"/>
        <v>46.300799999999995</v>
      </c>
      <c r="M2951">
        <v>2</v>
      </c>
      <c r="N2951" t="str">
        <f t="shared" si="140"/>
        <v>New</v>
      </c>
    </row>
    <row r="2952" spans="1:14" x14ac:dyDescent="0.35">
      <c r="A2952">
        <v>2951</v>
      </c>
      <c r="B2952">
        <v>53</v>
      </c>
      <c r="C2952" t="str">
        <f t="shared" si="138"/>
        <v>Adult</v>
      </c>
      <c r="D2952" t="s">
        <v>11</v>
      </c>
      <c r="E2952" t="s">
        <v>12</v>
      </c>
      <c r="F2952" t="s">
        <v>56</v>
      </c>
      <c r="G2952">
        <v>60.58</v>
      </c>
      <c r="H2952" t="s">
        <v>31</v>
      </c>
      <c r="I2952" t="s">
        <v>15</v>
      </c>
      <c r="J2952">
        <v>4.5999999999999996</v>
      </c>
      <c r="K2952">
        <v>11</v>
      </c>
      <c r="L2952">
        <f t="shared" si="139"/>
        <v>53.916199999999996</v>
      </c>
      <c r="M2952">
        <v>3</v>
      </c>
      <c r="N2952" t="str">
        <f t="shared" si="140"/>
        <v>New</v>
      </c>
    </row>
    <row r="2953" spans="1:14" x14ac:dyDescent="0.35">
      <c r="A2953">
        <v>2952</v>
      </c>
      <c r="B2953">
        <v>67</v>
      </c>
      <c r="C2953" t="str">
        <f t="shared" si="138"/>
        <v>Senior</v>
      </c>
      <c r="D2953" t="s">
        <v>11</v>
      </c>
      <c r="E2953" t="s">
        <v>41</v>
      </c>
      <c r="F2953" t="s">
        <v>46</v>
      </c>
      <c r="G2953">
        <v>153.51</v>
      </c>
      <c r="H2953" t="s">
        <v>24</v>
      </c>
      <c r="I2953" t="s">
        <v>15</v>
      </c>
      <c r="J2953">
        <v>4</v>
      </c>
      <c r="K2953">
        <v>8</v>
      </c>
      <c r="L2953">
        <f t="shared" si="139"/>
        <v>141.22919999999999</v>
      </c>
      <c r="M2953">
        <v>4</v>
      </c>
      <c r="N2953" t="str">
        <f t="shared" si="140"/>
        <v>Regular</v>
      </c>
    </row>
    <row r="2954" spans="1:14" x14ac:dyDescent="0.35">
      <c r="A2954">
        <v>2953</v>
      </c>
      <c r="B2954">
        <v>70</v>
      </c>
      <c r="C2954" t="str">
        <f t="shared" si="138"/>
        <v>Senior</v>
      </c>
      <c r="D2954" t="s">
        <v>11</v>
      </c>
      <c r="E2954" t="s">
        <v>33</v>
      </c>
      <c r="F2954" t="s">
        <v>40</v>
      </c>
      <c r="G2954">
        <v>116.7</v>
      </c>
      <c r="H2954" t="s">
        <v>19</v>
      </c>
      <c r="I2954" t="s">
        <v>15</v>
      </c>
      <c r="J2954">
        <v>4.5999999999999996</v>
      </c>
      <c r="K2954">
        <v>18</v>
      </c>
      <c r="L2954">
        <f t="shared" si="139"/>
        <v>95.694000000000003</v>
      </c>
      <c r="M2954">
        <v>4</v>
      </c>
      <c r="N2954" t="str">
        <f t="shared" si="140"/>
        <v>Regular</v>
      </c>
    </row>
    <row r="2955" spans="1:14" x14ac:dyDescent="0.35">
      <c r="A2955">
        <v>2954</v>
      </c>
      <c r="B2955">
        <v>37</v>
      </c>
      <c r="C2955" t="str">
        <f t="shared" si="138"/>
        <v>Adult</v>
      </c>
      <c r="D2955" t="s">
        <v>16</v>
      </c>
      <c r="E2955" t="s">
        <v>20</v>
      </c>
      <c r="F2955" t="s">
        <v>36</v>
      </c>
      <c r="G2955">
        <v>41.88</v>
      </c>
      <c r="H2955" t="s">
        <v>31</v>
      </c>
      <c r="I2955" t="s">
        <v>37</v>
      </c>
      <c r="J2955">
        <v>3.6</v>
      </c>
      <c r="K2955">
        <v>15</v>
      </c>
      <c r="L2955">
        <f t="shared" si="139"/>
        <v>35.597999999999999</v>
      </c>
      <c r="M2955">
        <v>5</v>
      </c>
      <c r="N2955" t="str">
        <f t="shared" si="140"/>
        <v>Regular</v>
      </c>
    </row>
    <row r="2956" spans="1:14" x14ac:dyDescent="0.35">
      <c r="A2956">
        <v>2955</v>
      </c>
      <c r="B2956">
        <v>44</v>
      </c>
      <c r="C2956" t="str">
        <f t="shared" si="138"/>
        <v>Adult</v>
      </c>
      <c r="D2956" t="s">
        <v>11</v>
      </c>
      <c r="E2956" t="s">
        <v>25</v>
      </c>
      <c r="F2956" t="s">
        <v>47</v>
      </c>
      <c r="G2956">
        <v>43.31</v>
      </c>
      <c r="H2956" t="s">
        <v>14</v>
      </c>
      <c r="I2956" t="s">
        <v>37</v>
      </c>
      <c r="J2956">
        <v>3.9</v>
      </c>
      <c r="K2956">
        <v>20</v>
      </c>
      <c r="L2956">
        <f t="shared" si="139"/>
        <v>34.648000000000003</v>
      </c>
      <c r="M2956">
        <v>10</v>
      </c>
      <c r="N2956" t="str">
        <f t="shared" si="140"/>
        <v>Loyal</v>
      </c>
    </row>
    <row r="2957" spans="1:14" x14ac:dyDescent="0.35">
      <c r="A2957">
        <v>2956</v>
      </c>
      <c r="B2957">
        <v>57</v>
      </c>
      <c r="C2957" t="str">
        <f t="shared" si="138"/>
        <v>Adult</v>
      </c>
      <c r="D2957" t="s">
        <v>11</v>
      </c>
      <c r="E2957" t="s">
        <v>41</v>
      </c>
      <c r="F2957" t="s">
        <v>46</v>
      </c>
      <c r="G2957">
        <v>186.86</v>
      </c>
      <c r="H2957" t="s">
        <v>14</v>
      </c>
      <c r="I2957" t="s">
        <v>15</v>
      </c>
      <c r="J2957">
        <v>2.9</v>
      </c>
      <c r="K2957">
        <v>9</v>
      </c>
      <c r="L2957">
        <f t="shared" si="139"/>
        <v>170.04260000000002</v>
      </c>
      <c r="M2957">
        <v>2</v>
      </c>
      <c r="N2957" t="str">
        <f t="shared" si="140"/>
        <v>New</v>
      </c>
    </row>
    <row r="2958" spans="1:14" x14ac:dyDescent="0.35">
      <c r="A2958">
        <v>2957</v>
      </c>
      <c r="B2958">
        <v>61</v>
      </c>
      <c r="C2958" t="str">
        <f t="shared" si="138"/>
        <v>Senior</v>
      </c>
      <c r="D2958" t="s">
        <v>16</v>
      </c>
      <c r="E2958" t="s">
        <v>22</v>
      </c>
      <c r="F2958" t="s">
        <v>23</v>
      </c>
      <c r="G2958">
        <v>151.26</v>
      </c>
      <c r="H2958" t="s">
        <v>24</v>
      </c>
      <c r="I2958" t="s">
        <v>15</v>
      </c>
      <c r="J2958">
        <v>4.4000000000000004</v>
      </c>
      <c r="K2958">
        <v>11</v>
      </c>
      <c r="L2958">
        <f t="shared" si="139"/>
        <v>134.62139999999999</v>
      </c>
      <c r="M2958">
        <v>3</v>
      </c>
      <c r="N2958" t="str">
        <f t="shared" si="140"/>
        <v>New</v>
      </c>
    </row>
    <row r="2959" spans="1:14" x14ac:dyDescent="0.35">
      <c r="A2959">
        <v>2958</v>
      </c>
      <c r="B2959">
        <v>66</v>
      </c>
      <c r="C2959" t="str">
        <f t="shared" si="138"/>
        <v>Senior</v>
      </c>
      <c r="D2959" t="s">
        <v>11</v>
      </c>
      <c r="E2959" t="s">
        <v>29</v>
      </c>
      <c r="F2959" t="s">
        <v>30</v>
      </c>
      <c r="G2959">
        <v>130.44999999999999</v>
      </c>
      <c r="H2959" t="s">
        <v>14</v>
      </c>
      <c r="I2959" t="s">
        <v>15</v>
      </c>
      <c r="J2959">
        <v>3.5</v>
      </c>
      <c r="K2959">
        <v>14</v>
      </c>
      <c r="L2959">
        <f t="shared" si="139"/>
        <v>112.18699999999998</v>
      </c>
      <c r="M2959">
        <v>7</v>
      </c>
      <c r="N2959" t="str">
        <f t="shared" si="140"/>
        <v>Regular</v>
      </c>
    </row>
    <row r="2960" spans="1:14" x14ac:dyDescent="0.35">
      <c r="A2960">
        <v>2959</v>
      </c>
      <c r="B2960">
        <v>28</v>
      </c>
      <c r="C2960" t="str">
        <f t="shared" si="138"/>
        <v>Youth</v>
      </c>
      <c r="D2960" t="s">
        <v>16</v>
      </c>
      <c r="E2960" t="s">
        <v>17</v>
      </c>
      <c r="F2960" t="s">
        <v>48</v>
      </c>
      <c r="G2960">
        <v>172.56</v>
      </c>
      <c r="H2960" t="s">
        <v>24</v>
      </c>
      <c r="I2960" t="s">
        <v>15</v>
      </c>
      <c r="J2960">
        <v>4.2</v>
      </c>
      <c r="K2960">
        <v>20</v>
      </c>
      <c r="L2960">
        <f t="shared" si="139"/>
        <v>138.048</v>
      </c>
      <c r="M2960">
        <v>5</v>
      </c>
      <c r="N2960" t="str">
        <f t="shared" si="140"/>
        <v>Regular</v>
      </c>
    </row>
    <row r="2961" spans="1:14" x14ac:dyDescent="0.35">
      <c r="A2961">
        <v>2960</v>
      </c>
      <c r="B2961">
        <v>44</v>
      </c>
      <c r="C2961" t="str">
        <f t="shared" si="138"/>
        <v>Adult</v>
      </c>
      <c r="D2961" t="s">
        <v>11</v>
      </c>
      <c r="E2961" t="s">
        <v>25</v>
      </c>
      <c r="F2961" t="s">
        <v>47</v>
      </c>
      <c r="G2961">
        <v>65.95</v>
      </c>
      <c r="H2961" t="s">
        <v>19</v>
      </c>
      <c r="I2961" t="s">
        <v>37</v>
      </c>
      <c r="J2961">
        <v>2.7</v>
      </c>
      <c r="K2961">
        <v>10</v>
      </c>
      <c r="L2961">
        <f t="shared" si="139"/>
        <v>59.355000000000004</v>
      </c>
      <c r="M2961">
        <v>5</v>
      </c>
      <c r="N2961" t="str">
        <f t="shared" si="140"/>
        <v>Regular</v>
      </c>
    </row>
    <row r="2962" spans="1:14" x14ac:dyDescent="0.35">
      <c r="A2962">
        <v>2961</v>
      </c>
      <c r="B2962">
        <v>61</v>
      </c>
      <c r="C2962" t="str">
        <f t="shared" si="138"/>
        <v>Senior</v>
      </c>
      <c r="D2962" t="s">
        <v>11</v>
      </c>
      <c r="E2962" t="s">
        <v>41</v>
      </c>
      <c r="F2962" t="s">
        <v>46</v>
      </c>
      <c r="G2962">
        <v>87.4</v>
      </c>
      <c r="H2962" t="s">
        <v>31</v>
      </c>
      <c r="I2962" t="s">
        <v>37</v>
      </c>
      <c r="J2962">
        <v>3</v>
      </c>
      <c r="K2962">
        <v>20</v>
      </c>
      <c r="L2962">
        <f t="shared" si="139"/>
        <v>69.92</v>
      </c>
      <c r="M2962">
        <v>5</v>
      </c>
      <c r="N2962" t="str">
        <f t="shared" si="140"/>
        <v>Regular</v>
      </c>
    </row>
    <row r="2963" spans="1:14" x14ac:dyDescent="0.35">
      <c r="A2963">
        <v>2962</v>
      </c>
      <c r="B2963">
        <v>38</v>
      </c>
      <c r="C2963" t="str">
        <f t="shared" si="138"/>
        <v>Adult</v>
      </c>
      <c r="D2963" t="s">
        <v>16</v>
      </c>
      <c r="E2963" t="s">
        <v>17</v>
      </c>
      <c r="F2963" t="s">
        <v>18</v>
      </c>
      <c r="G2963">
        <v>186.66</v>
      </c>
      <c r="H2963" t="s">
        <v>31</v>
      </c>
      <c r="I2963" t="s">
        <v>15</v>
      </c>
      <c r="J2963">
        <v>4.5999999999999996</v>
      </c>
      <c r="K2963">
        <v>16</v>
      </c>
      <c r="L2963">
        <f t="shared" si="139"/>
        <v>156.7944</v>
      </c>
      <c r="M2963">
        <v>3</v>
      </c>
      <c r="N2963" t="str">
        <f t="shared" si="140"/>
        <v>New</v>
      </c>
    </row>
    <row r="2964" spans="1:14" x14ac:dyDescent="0.35">
      <c r="A2964">
        <v>2963</v>
      </c>
      <c r="B2964">
        <v>40</v>
      </c>
      <c r="C2964" t="str">
        <f t="shared" si="138"/>
        <v>Adult</v>
      </c>
      <c r="D2964" t="s">
        <v>11</v>
      </c>
      <c r="E2964" t="s">
        <v>12</v>
      </c>
      <c r="F2964" t="s">
        <v>13</v>
      </c>
      <c r="G2964">
        <v>41.27</v>
      </c>
      <c r="H2964" t="s">
        <v>24</v>
      </c>
      <c r="I2964" t="s">
        <v>15</v>
      </c>
      <c r="J2964">
        <v>3.4</v>
      </c>
      <c r="K2964">
        <v>4</v>
      </c>
      <c r="L2964">
        <f t="shared" si="139"/>
        <v>39.619199999999999</v>
      </c>
      <c r="M2964">
        <v>2</v>
      </c>
      <c r="N2964" t="str">
        <f t="shared" si="140"/>
        <v>New</v>
      </c>
    </row>
    <row r="2965" spans="1:14" x14ac:dyDescent="0.35">
      <c r="A2965">
        <v>2964</v>
      </c>
      <c r="B2965">
        <v>36</v>
      </c>
      <c r="C2965" t="str">
        <f t="shared" si="138"/>
        <v>Adult</v>
      </c>
      <c r="D2965" t="s">
        <v>11</v>
      </c>
      <c r="E2965" t="s">
        <v>29</v>
      </c>
      <c r="F2965" t="s">
        <v>30</v>
      </c>
      <c r="G2965">
        <v>131.26</v>
      </c>
      <c r="H2965" t="s">
        <v>24</v>
      </c>
      <c r="I2965" t="s">
        <v>15</v>
      </c>
      <c r="J2965">
        <v>2.9</v>
      </c>
      <c r="K2965">
        <v>16</v>
      </c>
      <c r="L2965">
        <f t="shared" si="139"/>
        <v>110.25839999999999</v>
      </c>
      <c r="M2965">
        <v>3</v>
      </c>
      <c r="N2965" t="str">
        <f t="shared" si="140"/>
        <v>New</v>
      </c>
    </row>
    <row r="2966" spans="1:14" x14ac:dyDescent="0.35">
      <c r="A2966">
        <v>2965</v>
      </c>
      <c r="B2966">
        <v>68</v>
      </c>
      <c r="C2966" t="str">
        <f t="shared" si="138"/>
        <v>Senior</v>
      </c>
      <c r="D2966" t="s">
        <v>11</v>
      </c>
      <c r="E2966" t="s">
        <v>29</v>
      </c>
      <c r="F2966" t="s">
        <v>51</v>
      </c>
      <c r="G2966">
        <v>57.54</v>
      </c>
      <c r="H2966" t="s">
        <v>14</v>
      </c>
      <c r="I2966" t="s">
        <v>15</v>
      </c>
      <c r="J2966">
        <v>4</v>
      </c>
      <c r="K2966">
        <v>22</v>
      </c>
      <c r="L2966">
        <f t="shared" si="139"/>
        <v>44.8812</v>
      </c>
      <c r="M2966">
        <v>6</v>
      </c>
      <c r="N2966" t="str">
        <f t="shared" si="140"/>
        <v>Regular</v>
      </c>
    </row>
    <row r="2967" spans="1:14" x14ac:dyDescent="0.35">
      <c r="A2967">
        <v>2966</v>
      </c>
      <c r="B2967">
        <v>59</v>
      </c>
      <c r="C2967" t="str">
        <f t="shared" si="138"/>
        <v>Adult</v>
      </c>
      <c r="D2967" t="s">
        <v>16</v>
      </c>
      <c r="E2967" t="s">
        <v>20</v>
      </c>
      <c r="F2967" t="s">
        <v>39</v>
      </c>
      <c r="G2967">
        <v>51.46</v>
      </c>
      <c r="H2967" t="s">
        <v>31</v>
      </c>
      <c r="I2967" t="s">
        <v>15</v>
      </c>
      <c r="J2967">
        <v>4.4000000000000004</v>
      </c>
      <c r="K2967">
        <v>11</v>
      </c>
      <c r="L2967">
        <f t="shared" si="139"/>
        <v>45.799399999999999</v>
      </c>
      <c r="M2967">
        <v>3</v>
      </c>
      <c r="N2967" t="str">
        <f t="shared" si="140"/>
        <v>New</v>
      </c>
    </row>
    <row r="2968" spans="1:14" x14ac:dyDescent="0.35">
      <c r="A2968">
        <v>2967</v>
      </c>
      <c r="B2968">
        <v>34</v>
      </c>
      <c r="C2968" t="str">
        <f t="shared" si="138"/>
        <v>Adult</v>
      </c>
      <c r="D2968" t="s">
        <v>16</v>
      </c>
      <c r="E2968" t="s">
        <v>20</v>
      </c>
      <c r="F2968" t="s">
        <v>21</v>
      </c>
      <c r="G2968">
        <v>73.63</v>
      </c>
      <c r="H2968" t="s">
        <v>19</v>
      </c>
      <c r="I2968" t="s">
        <v>37</v>
      </c>
      <c r="J2968">
        <v>4.5</v>
      </c>
      <c r="K2968">
        <v>34</v>
      </c>
      <c r="L2968">
        <f t="shared" si="139"/>
        <v>48.59579999999999</v>
      </c>
      <c r="M2968">
        <v>12</v>
      </c>
      <c r="N2968" t="str">
        <f t="shared" si="140"/>
        <v>Loyal</v>
      </c>
    </row>
    <row r="2969" spans="1:14" x14ac:dyDescent="0.35">
      <c r="A2969">
        <v>2968</v>
      </c>
      <c r="B2969">
        <v>40</v>
      </c>
      <c r="C2969" t="str">
        <f t="shared" si="138"/>
        <v>Adult</v>
      </c>
      <c r="D2969" t="s">
        <v>11</v>
      </c>
      <c r="E2969" t="s">
        <v>33</v>
      </c>
      <c r="F2969" t="s">
        <v>38</v>
      </c>
      <c r="G2969">
        <v>169.28</v>
      </c>
      <c r="H2969" t="s">
        <v>19</v>
      </c>
      <c r="I2969" t="s">
        <v>15</v>
      </c>
      <c r="J2969">
        <v>4.7</v>
      </c>
      <c r="K2969">
        <v>11</v>
      </c>
      <c r="L2969">
        <f t="shared" si="139"/>
        <v>150.6592</v>
      </c>
      <c r="M2969">
        <v>3</v>
      </c>
      <c r="N2969" t="str">
        <f t="shared" si="140"/>
        <v>New</v>
      </c>
    </row>
    <row r="2970" spans="1:14" x14ac:dyDescent="0.35">
      <c r="A2970">
        <v>2969</v>
      </c>
      <c r="B2970">
        <v>67</v>
      </c>
      <c r="C2970" t="str">
        <f t="shared" si="138"/>
        <v>Senior</v>
      </c>
      <c r="D2970" t="s">
        <v>16</v>
      </c>
      <c r="E2970" t="s">
        <v>17</v>
      </c>
      <c r="F2970" t="s">
        <v>42</v>
      </c>
      <c r="G2970">
        <v>168.33</v>
      </c>
      <c r="H2970" t="s">
        <v>14</v>
      </c>
      <c r="I2970" t="s">
        <v>15</v>
      </c>
      <c r="J2970">
        <v>3.3</v>
      </c>
      <c r="K2970">
        <v>20</v>
      </c>
      <c r="L2970">
        <f t="shared" si="139"/>
        <v>134.66400000000002</v>
      </c>
      <c r="M2970">
        <v>5</v>
      </c>
      <c r="N2970" t="str">
        <f t="shared" si="140"/>
        <v>Regular</v>
      </c>
    </row>
    <row r="2971" spans="1:14" x14ac:dyDescent="0.35">
      <c r="A2971">
        <v>2970</v>
      </c>
      <c r="B2971">
        <v>63</v>
      </c>
      <c r="C2971" t="str">
        <f t="shared" si="138"/>
        <v>Senior</v>
      </c>
      <c r="D2971" t="s">
        <v>11</v>
      </c>
      <c r="E2971" t="s">
        <v>12</v>
      </c>
      <c r="F2971" t="s">
        <v>13</v>
      </c>
      <c r="G2971">
        <v>45.25</v>
      </c>
      <c r="H2971" t="s">
        <v>31</v>
      </c>
      <c r="I2971" t="s">
        <v>37</v>
      </c>
      <c r="J2971">
        <v>4.4000000000000004</v>
      </c>
      <c r="K2971">
        <v>13</v>
      </c>
      <c r="L2971">
        <f t="shared" si="139"/>
        <v>39.3675</v>
      </c>
      <c r="M2971">
        <v>4</v>
      </c>
      <c r="N2971" t="str">
        <f t="shared" si="140"/>
        <v>Regular</v>
      </c>
    </row>
    <row r="2972" spans="1:14" x14ac:dyDescent="0.35">
      <c r="A2972">
        <v>2971</v>
      </c>
      <c r="B2972">
        <v>39</v>
      </c>
      <c r="C2972" t="str">
        <f t="shared" si="138"/>
        <v>Adult</v>
      </c>
      <c r="D2972" t="s">
        <v>16</v>
      </c>
      <c r="E2972" t="s">
        <v>33</v>
      </c>
      <c r="F2972" t="s">
        <v>40</v>
      </c>
      <c r="G2972">
        <v>213.65</v>
      </c>
      <c r="H2972" t="s">
        <v>19</v>
      </c>
      <c r="I2972" t="s">
        <v>15</v>
      </c>
      <c r="J2972">
        <v>3.3</v>
      </c>
      <c r="K2972">
        <v>8</v>
      </c>
      <c r="L2972">
        <f t="shared" si="139"/>
        <v>196.55800000000002</v>
      </c>
      <c r="M2972">
        <v>4</v>
      </c>
      <c r="N2972" t="str">
        <f t="shared" si="140"/>
        <v>Regular</v>
      </c>
    </row>
    <row r="2973" spans="1:14" x14ac:dyDescent="0.35">
      <c r="A2973">
        <v>2972</v>
      </c>
      <c r="B2973">
        <v>55</v>
      </c>
      <c r="C2973" t="str">
        <f t="shared" si="138"/>
        <v>Adult</v>
      </c>
      <c r="D2973" t="s">
        <v>11</v>
      </c>
      <c r="E2973" t="s">
        <v>12</v>
      </c>
      <c r="F2973" t="s">
        <v>50</v>
      </c>
      <c r="G2973">
        <v>33.590000000000003</v>
      </c>
      <c r="H2973" t="s">
        <v>31</v>
      </c>
      <c r="I2973" t="s">
        <v>15</v>
      </c>
      <c r="J2973">
        <v>3.1</v>
      </c>
      <c r="K2973">
        <v>20</v>
      </c>
      <c r="L2973">
        <f t="shared" si="139"/>
        <v>26.872000000000003</v>
      </c>
      <c r="M2973">
        <v>5</v>
      </c>
      <c r="N2973" t="str">
        <f t="shared" si="140"/>
        <v>Regular</v>
      </c>
    </row>
    <row r="2974" spans="1:14" x14ac:dyDescent="0.35">
      <c r="A2974">
        <v>2973</v>
      </c>
      <c r="B2974">
        <v>27</v>
      </c>
      <c r="C2974" t="str">
        <f t="shared" si="138"/>
        <v>Youth</v>
      </c>
      <c r="D2974" t="s">
        <v>16</v>
      </c>
      <c r="E2974" t="s">
        <v>17</v>
      </c>
      <c r="F2974" t="s">
        <v>48</v>
      </c>
      <c r="G2974">
        <v>163.62</v>
      </c>
      <c r="H2974" t="s">
        <v>24</v>
      </c>
      <c r="I2974" t="s">
        <v>15</v>
      </c>
      <c r="J2974">
        <v>4.0999999999999996</v>
      </c>
      <c r="K2974">
        <v>10</v>
      </c>
      <c r="L2974">
        <f t="shared" si="139"/>
        <v>147.25800000000001</v>
      </c>
      <c r="M2974">
        <v>5</v>
      </c>
      <c r="N2974" t="str">
        <f t="shared" si="140"/>
        <v>Regular</v>
      </c>
    </row>
    <row r="2975" spans="1:14" x14ac:dyDescent="0.35">
      <c r="A2975">
        <v>2974</v>
      </c>
      <c r="B2975">
        <v>49</v>
      </c>
      <c r="C2975" t="str">
        <f t="shared" si="138"/>
        <v>Adult</v>
      </c>
      <c r="D2975" t="s">
        <v>11</v>
      </c>
      <c r="E2975" t="s">
        <v>29</v>
      </c>
      <c r="F2975" t="s">
        <v>51</v>
      </c>
      <c r="G2975">
        <v>56.06</v>
      </c>
      <c r="H2975" t="s">
        <v>24</v>
      </c>
      <c r="I2975" t="s">
        <v>15</v>
      </c>
      <c r="J2975">
        <v>2.8</v>
      </c>
      <c r="K2975">
        <v>18</v>
      </c>
      <c r="L2975">
        <f t="shared" si="139"/>
        <v>45.969200000000008</v>
      </c>
      <c r="M2975">
        <v>4</v>
      </c>
      <c r="N2975" t="str">
        <f t="shared" si="140"/>
        <v>Regular</v>
      </c>
    </row>
    <row r="2976" spans="1:14" x14ac:dyDescent="0.35">
      <c r="A2976">
        <v>2975</v>
      </c>
      <c r="B2976">
        <v>54</v>
      </c>
      <c r="C2976" t="str">
        <f t="shared" si="138"/>
        <v>Adult</v>
      </c>
      <c r="D2976" t="s">
        <v>11</v>
      </c>
      <c r="E2976" t="s">
        <v>41</v>
      </c>
      <c r="F2976" t="s">
        <v>45</v>
      </c>
      <c r="G2976">
        <v>131.24</v>
      </c>
      <c r="H2976" t="s">
        <v>24</v>
      </c>
      <c r="I2976" t="s">
        <v>15</v>
      </c>
      <c r="J2976">
        <v>3.5</v>
      </c>
      <c r="K2976">
        <v>24</v>
      </c>
      <c r="L2976">
        <f t="shared" si="139"/>
        <v>99.742400000000004</v>
      </c>
      <c r="M2976">
        <v>7</v>
      </c>
      <c r="N2976" t="str">
        <f t="shared" si="140"/>
        <v>Regular</v>
      </c>
    </row>
    <row r="2977" spans="1:14" x14ac:dyDescent="0.35">
      <c r="A2977">
        <v>2976</v>
      </c>
      <c r="B2977">
        <v>64</v>
      </c>
      <c r="C2977" t="str">
        <f t="shared" si="138"/>
        <v>Senior</v>
      </c>
      <c r="D2977" t="s">
        <v>16</v>
      </c>
      <c r="E2977" t="s">
        <v>20</v>
      </c>
      <c r="F2977" t="s">
        <v>36</v>
      </c>
      <c r="G2977">
        <v>118.46</v>
      </c>
      <c r="H2977" t="s">
        <v>14</v>
      </c>
      <c r="I2977" t="s">
        <v>15</v>
      </c>
      <c r="J2977">
        <v>2.9</v>
      </c>
      <c r="K2977">
        <v>13</v>
      </c>
      <c r="L2977">
        <f t="shared" si="139"/>
        <v>103.06019999999999</v>
      </c>
      <c r="M2977">
        <v>4</v>
      </c>
      <c r="N2977" t="str">
        <f t="shared" si="140"/>
        <v>Regular</v>
      </c>
    </row>
    <row r="2978" spans="1:14" x14ac:dyDescent="0.35">
      <c r="A2978">
        <v>2977</v>
      </c>
      <c r="B2978">
        <v>24</v>
      </c>
      <c r="C2978" t="str">
        <f t="shared" si="138"/>
        <v>Youth</v>
      </c>
      <c r="D2978" t="s">
        <v>16</v>
      </c>
      <c r="E2978" t="s">
        <v>20</v>
      </c>
      <c r="F2978" t="s">
        <v>36</v>
      </c>
      <c r="G2978">
        <v>153.78</v>
      </c>
      <c r="H2978" t="s">
        <v>14</v>
      </c>
      <c r="I2978" t="s">
        <v>15</v>
      </c>
      <c r="J2978">
        <v>3.5</v>
      </c>
      <c r="K2978">
        <v>24</v>
      </c>
      <c r="L2978">
        <f t="shared" si="139"/>
        <v>116.8728</v>
      </c>
      <c r="M2978">
        <v>7</v>
      </c>
      <c r="N2978" t="str">
        <f t="shared" si="140"/>
        <v>Regular</v>
      </c>
    </row>
    <row r="2979" spans="1:14" x14ac:dyDescent="0.35">
      <c r="A2979">
        <v>2978</v>
      </c>
      <c r="B2979">
        <v>58</v>
      </c>
      <c r="C2979" t="str">
        <f t="shared" si="138"/>
        <v>Adult</v>
      </c>
      <c r="D2979" t="s">
        <v>16</v>
      </c>
      <c r="E2979" t="s">
        <v>27</v>
      </c>
      <c r="F2979" t="s">
        <v>53</v>
      </c>
      <c r="G2979">
        <v>2236.23</v>
      </c>
      <c r="H2979" t="s">
        <v>19</v>
      </c>
      <c r="I2979" t="s">
        <v>15</v>
      </c>
      <c r="J2979">
        <v>3.1</v>
      </c>
      <c r="K2979">
        <v>22</v>
      </c>
      <c r="L2979">
        <f t="shared" si="139"/>
        <v>1744.2594000000001</v>
      </c>
      <c r="M2979">
        <v>6</v>
      </c>
      <c r="N2979" t="str">
        <f t="shared" si="140"/>
        <v>Regular</v>
      </c>
    </row>
    <row r="2980" spans="1:14" x14ac:dyDescent="0.35">
      <c r="A2980">
        <v>2979</v>
      </c>
      <c r="B2980">
        <v>33</v>
      </c>
      <c r="C2980" t="str">
        <f t="shared" si="138"/>
        <v>Adult</v>
      </c>
      <c r="D2980" t="s">
        <v>11</v>
      </c>
      <c r="E2980" t="s">
        <v>33</v>
      </c>
      <c r="F2980" t="s">
        <v>38</v>
      </c>
      <c r="G2980">
        <v>64.489999999999995</v>
      </c>
      <c r="H2980" t="s">
        <v>31</v>
      </c>
      <c r="I2980" t="s">
        <v>37</v>
      </c>
      <c r="J2980">
        <v>4.2</v>
      </c>
      <c r="K2980">
        <v>2</v>
      </c>
      <c r="L2980">
        <f t="shared" si="139"/>
        <v>63.200199999999995</v>
      </c>
      <c r="M2980">
        <v>1</v>
      </c>
      <c r="N2980" t="str">
        <f t="shared" si="140"/>
        <v>New</v>
      </c>
    </row>
    <row r="2981" spans="1:14" x14ac:dyDescent="0.35">
      <c r="A2981">
        <v>2980</v>
      </c>
      <c r="B2981">
        <v>66</v>
      </c>
      <c r="C2981" t="str">
        <f t="shared" si="138"/>
        <v>Senior</v>
      </c>
      <c r="D2981" t="s">
        <v>11</v>
      </c>
      <c r="E2981" t="s">
        <v>33</v>
      </c>
      <c r="F2981" t="s">
        <v>38</v>
      </c>
      <c r="G2981">
        <v>228.23</v>
      </c>
      <c r="H2981" t="s">
        <v>24</v>
      </c>
      <c r="I2981" t="s">
        <v>15</v>
      </c>
      <c r="J2981">
        <v>3.3</v>
      </c>
      <c r="K2981">
        <v>26</v>
      </c>
      <c r="L2981">
        <f t="shared" si="139"/>
        <v>168.89019999999999</v>
      </c>
      <c r="M2981">
        <v>8</v>
      </c>
      <c r="N2981" t="str">
        <f t="shared" si="140"/>
        <v>Loyal</v>
      </c>
    </row>
    <row r="2982" spans="1:14" x14ac:dyDescent="0.35">
      <c r="A2982">
        <v>2981</v>
      </c>
      <c r="B2982">
        <v>50</v>
      </c>
      <c r="C2982" t="str">
        <f t="shared" si="138"/>
        <v>Adult</v>
      </c>
      <c r="D2982" t="s">
        <v>11</v>
      </c>
      <c r="E2982" t="s">
        <v>12</v>
      </c>
      <c r="F2982" t="s">
        <v>13</v>
      </c>
      <c r="G2982">
        <v>30.91</v>
      </c>
      <c r="H2982" t="s">
        <v>31</v>
      </c>
      <c r="I2982" t="s">
        <v>15</v>
      </c>
      <c r="J2982">
        <v>3.9</v>
      </c>
      <c r="K2982">
        <v>26</v>
      </c>
      <c r="L2982">
        <f t="shared" si="139"/>
        <v>22.8734</v>
      </c>
      <c r="M2982">
        <v>8</v>
      </c>
      <c r="N2982" t="str">
        <f t="shared" si="140"/>
        <v>Loyal</v>
      </c>
    </row>
    <row r="2983" spans="1:14" x14ac:dyDescent="0.35">
      <c r="A2983">
        <v>2982</v>
      </c>
      <c r="B2983">
        <v>39</v>
      </c>
      <c r="C2983" t="str">
        <f t="shared" si="138"/>
        <v>Adult</v>
      </c>
      <c r="D2983" t="s">
        <v>11</v>
      </c>
      <c r="E2983" t="s">
        <v>33</v>
      </c>
      <c r="F2983" t="s">
        <v>34</v>
      </c>
      <c r="G2983">
        <v>113.51</v>
      </c>
      <c r="H2983" t="s">
        <v>19</v>
      </c>
      <c r="I2983" t="s">
        <v>15</v>
      </c>
      <c r="J2983">
        <v>3.4</v>
      </c>
      <c r="K2983">
        <v>8</v>
      </c>
      <c r="L2983">
        <f t="shared" si="139"/>
        <v>104.42920000000001</v>
      </c>
      <c r="M2983">
        <v>4</v>
      </c>
      <c r="N2983" t="str">
        <f t="shared" si="140"/>
        <v>Regular</v>
      </c>
    </row>
    <row r="2984" spans="1:14" x14ac:dyDescent="0.35">
      <c r="A2984">
        <v>2983</v>
      </c>
      <c r="B2984">
        <v>43</v>
      </c>
      <c r="C2984" t="str">
        <f t="shared" si="138"/>
        <v>Adult</v>
      </c>
      <c r="D2984" t="s">
        <v>16</v>
      </c>
      <c r="E2984" t="s">
        <v>17</v>
      </c>
      <c r="F2984" t="s">
        <v>42</v>
      </c>
      <c r="G2984">
        <v>144.69999999999999</v>
      </c>
      <c r="H2984" t="s">
        <v>24</v>
      </c>
      <c r="I2984" t="s">
        <v>15</v>
      </c>
      <c r="J2984">
        <v>5</v>
      </c>
      <c r="K2984">
        <v>16</v>
      </c>
      <c r="L2984">
        <f t="shared" si="139"/>
        <v>121.54799999999999</v>
      </c>
      <c r="M2984">
        <v>3</v>
      </c>
      <c r="N2984" t="str">
        <f t="shared" si="140"/>
        <v>New</v>
      </c>
    </row>
    <row r="2985" spans="1:14" x14ac:dyDescent="0.35">
      <c r="A2985">
        <v>2984</v>
      </c>
      <c r="B2985">
        <v>64</v>
      </c>
      <c r="C2985" t="str">
        <f t="shared" si="138"/>
        <v>Senior</v>
      </c>
      <c r="D2985" t="s">
        <v>16</v>
      </c>
      <c r="E2985" t="s">
        <v>33</v>
      </c>
      <c r="F2985" t="s">
        <v>40</v>
      </c>
      <c r="G2985">
        <v>52.88</v>
      </c>
      <c r="H2985" t="s">
        <v>24</v>
      </c>
      <c r="I2985" t="s">
        <v>15</v>
      </c>
      <c r="J2985">
        <v>3.1</v>
      </c>
      <c r="K2985">
        <v>6</v>
      </c>
      <c r="L2985">
        <f t="shared" si="139"/>
        <v>49.7072</v>
      </c>
      <c r="M2985">
        <v>3</v>
      </c>
      <c r="N2985" t="str">
        <f t="shared" si="140"/>
        <v>New</v>
      </c>
    </row>
    <row r="2986" spans="1:14" x14ac:dyDescent="0.35">
      <c r="A2986">
        <v>2985</v>
      </c>
      <c r="B2986">
        <v>47</v>
      </c>
      <c r="C2986" t="str">
        <f t="shared" si="138"/>
        <v>Adult</v>
      </c>
      <c r="D2986" t="s">
        <v>11</v>
      </c>
      <c r="E2986" t="s">
        <v>33</v>
      </c>
      <c r="F2986" t="s">
        <v>40</v>
      </c>
      <c r="G2986">
        <v>68.52</v>
      </c>
      <c r="H2986" t="s">
        <v>14</v>
      </c>
      <c r="I2986" t="s">
        <v>37</v>
      </c>
      <c r="J2986">
        <v>3.4</v>
      </c>
      <c r="K2986">
        <v>21</v>
      </c>
      <c r="L2986">
        <f t="shared" si="139"/>
        <v>54.130800000000001</v>
      </c>
      <c r="M2986">
        <v>8</v>
      </c>
      <c r="N2986" t="str">
        <f t="shared" si="140"/>
        <v>Loyal</v>
      </c>
    </row>
    <row r="2987" spans="1:14" x14ac:dyDescent="0.35">
      <c r="A2987">
        <v>2986</v>
      </c>
      <c r="B2987">
        <v>26</v>
      </c>
      <c r="C2987" t="str">
        <f t="shared" si="138"/>
        <v>Youth</v>
      </c>
      <c r="D2987" t="s">
        <v>16</v>
      </c>
      <c r="E2987" t="s">
        <v>25</v>
      </c>
      <c r="F2987" t="s">
        <v>54</v>
      </c>
      <c r="G2987">
        <v>48.19</v>
      </c>
      <c r="H2987" t="s">
        <v>19</v>
      </c>
      <c r="I2987" t="s">
        <v>37</v>
      </c>
      <c r="J2987">
        <v>3.5</v>
      </c>
      <c r="K2987">
        <v>12</v>
      </c>
      <c r="L2987">
        <f t="shared" si="139"/>
        <v>42.407199999999996</v>
      </c>
      <c r="M2987">
        <v>6</v>
      </c>
      <c r="N2987" t="str">
        <f t="shared" si="140"/>
        <v>Regular</v>
      </c>
    </row>
    <row r="2988" spans="1:14" x14ac:dyDescent="0.35">
      <c r="A2988">
        <v>2987</v>
      </c>
      <c r="B2988">
        <v>60</v>
      </c>
      <c r="C2988" t="str">
        <f t="shared" si="138"/>
        <v>Adult</v>
      </c>
      <c r="D2988" t="s">
        <v>16</v>
      </c>
      <c r="E2988" t="s">
        <v>17</v>
      </c>
      <c r="F2988" t="s">
        <v>35</v>
      </c>
      <c r="G2988">
        <v>33.909999999999997</v>
      </c>
      <c r="H2988" t="s">
        <v>24</v>
      </c>
      <c r="I2988" t="s">
        <v>15</v>
      </c>
      <c r="J2988">
        <v>4.5999999999999996</v>
      </c>
      <c r="K2988">
        <v>26</v>
      </c>
      <c r="L2988">
        <f t="shared" si="139"/>
        <v>25.093399999999995</v>
      </c>
      <c r="M2988">
        <v>8</v>
      </c>
      <c r="N2988" t="str">
        <f t="shared" si="140"/>
        <v>Loyal</v>
      </c>
    </row>
    <row r="2989" spans="1:14" x14ac:dyDescent="0.35">
      <c r="A2989">
        <v>2988</v>
      </c>
      <c r="B2989">
        <v>35</v>
      </c>
      <c r="C2989" t="str">
        <f t="shared" si="138"/>
        <v>Adult</v>
      </c>
      <c r="D2989" t="s">
        <v>11</v>
      </c>
      <c r="E2989" t="s">
        <v>41</v>
      </c>
      <c r="F2989" t="s">
        <v>42</v>
      </c>
      <c r="G2989">
        <v>59.43</v>
      </c>
      <c r="H2989" t="s">
        <v>14</v>
      </c>
      <c r="I2989" t="s">
        <v>37</v>
      </c>
      <c r="J2989">
        <v>2.9</v>
      </c>
      <c r="K2989">
        <v>10</v>
      </c>
      <c r="L2989">
        <f t="shared" si="139"/>
        <v>53.487000000000002</v>
      </c>
      <c r="M2989">
        <v>5</v>
      </c>
      <c r="N2989" t="str">
        <f t="shared" si="140"/>
        <v>Regular</v>
      </c>
    </row>
    <row r="2990" spans="1:14" x14ac:dyDescent="0.35">
      <c r="A2990">
        <v>2989</v>
      </c>
      <c r="B2990">
        <v>32</v>
      </c>
      <c r="C2990" t="str">
        <f t="shared" si="138"/>
        <v>Adult</v>
      </c>
      <c r="D2990" t="s">
        <v>11</v>
      </c>
      <c r="E2990" t="s">
        <v>12</v>
      </c>
      <c r="F2990" t="s">
        <v>50</v>
      </c>
      <c r="G2990">
        <v>65.63</v>
      </c>
      <c r="H2990" t="s">
        <v>24</v>
      </c>
      <c r="I2990" t="s">
        <v>15</v>
      </c>
      <c r="J2990">
        <v>3.7</v>
      </c>
      <c r="K2990">
        <v>15</v>
      </c>
      <c r="L2990">
        <f t="shared" si="139"/>
        <v>55.785499999999992</v>
      </c>
      <c r="M2990">
        <v>5</v>
      </c>
      <c r="N2990" t="str">
        <f t="shared" si="140"/>
        <v>Regular</v>
      </c>
    </row>
    <row r="2991" spans="1:14" x14ac:dyDescent="0.35">
      <c r="A2991">
        <v>2990</v>
      </c>
      <c r="B2991">
        <v>33</v>
      </c>
      <c r="C2991" t="str">
        <f t="shared" si="138"/>
        <v>Adult</v>
      </c>
      <c r="D2991" t="s">
        <v>11</v>
      </c>
      <c r="E2991" t="s">
        <v>41</v>
      </c>
      <c r="F2991" t="s">
        <v>46</v>
      </c>
      <c r="G2991">
        <v>57.6</v>
      </c>
      <c r="H2991" t="s">
        <v>24</v>
      </c>
      <c r="I2991" t="s">
        <v>15</v>
      </c>
      <c r="J2991">
        <v>3.6</v>
      </c>
      <c r="K2991">
        <v>6</v>
      </c>
      <c r="L2991">
        <f t="shared" si="139"/>
        <v>54.143999999999998</v>
      </c>
      <c r="M2991">
        <v>3</v>
      </c>
      <c r="N2991" t="str">
        <f t="shared" si="140"/>
        <v>New</v>
      </c>
    </row>
    <row r="2992" spans="1:14" x14ac:dyDescent="0.35">
      <c r="A2992">
        <v>2991</v>
      </c>
      <c r="B2992">
        <v>36</v>
      </c>
      <c r="C2992" t="str">
        <f t="shared" si="138"/>
        <v>Adult</v>
      </c>
      <c r="D2992" t="s">
        <v>11</v>
      </c>
      <c r="E2992" t="s">
        <v>12</v>
      </c>
      <c r="F2992" t="s">
        <v>13</v>
      </c>
      <c r="G2992">
        <v>128.58000000000001</v>
      </c>
      <c r="H2992" t="s">
        <v>14</v>
      </c>
      <c r="I2992" t="s">
        <v>15</v>
      </c>
      <c r="J2992">
        <v>3.6</v>
      </c>
      <c r="K2992">
        <v>8</v>
      </c>
      <c r="L2992">
        <f t="shared" si="139"/>
        <v>118.29360000000001</v>
      </c>
      <c r="M2992">
        <v>4</v>
      </c>
      <c r="N2992" t="str">
        <f t="shared" si="140"/>
        <v>Regular</v>
      </c>
    </row>
    <row r="2993" spans="1:14" x14ac:dyDescent="0.35">
      <c r="A2993">
        <v>2992</v>
      </c>
      <c r="B2993">
        <v>31</v>
      </c>
      <c r="C2993" t="str">
        <f t="shared" si="138"/>
        <v>Adult</v>
      </c>
      <c r="D2993" t="s">
        <v>16</v>
      </c>
      <c r="E2993" t="s">
        <v>33</v>
      </c>
      <c r="F2993" t="s">
        <v>38</v>
      </c>
      <c r="G2993">
        <v>162.09</v>
      </c>
      <c r="H2993" t="s">
        <v>14</v>
      </c>
      <c r="I2993" t="s">
        <v>15</v>
      </c>
      <c r="J2993">
        <v>4.0999999999999996</v>
      </c>
      <c r="K2993">
        <v>12</v>
      </c>
      <c r="L2993">
        <f t="shared" si="139"/>
        <v>142.63920000000002</v>
      </c>
      <c r="M2993">
        <v>6</v>
      </c>
      <c r="N2993" t="str">
        <f t="shared" si="140"/>
        <v>Regular</v>
      </c>
    </row>
    <row r="2994" spans="1:14" x14ac:dyDescent="0.35">
      <c r="A2994">
        <v>2993</v>
      </c>
      <c r="B2994">
        <v>38</v>
      </c>
      <c r="C2994" t="str">
        <f t="shared" si="138"/>
        <v>Adult</v>
      </c>
      <c r="D2994" t="s">
        <v>11</v>
      </c>
      <c r="E2994" t="s">
        <v>12</v>
      </c>
      <c r="F2994" t="s">
        <v>50</v>
      </c>
      <c r="G2994">
        <v>43.25</v>
      </c>
      <c r="H2994" t="s">
        <v>24</v>
      </c>
      <c r="I2994" t="s">
        <v>15</v>
      </c>
      <c r="J2994">
        <v>5</v>
      </c>
      <c r="K2994">
        <v>10</v>
      </c>
      <c r="L2994">
        <f t="shared" si="139"/>
        <v>38.925000000000004</v>
      </c>
      <c r="M2994">
        <v>5</v>
      </c>
      <c r="N2994" t="str">
        <f t="shared" si="140"/>
        <v>Regular</v>
      </c>
    </row>
    <row r="2995" spans="1:14" x14ac:dyDescent="0.35">
      <c r="A2995">
        <v>2994</v>
      </c>
      <c r="B2995">
        <v>42</v>
      </c>
      <c r="C2995" t="str">
        <f t="shared" si="138"/>
        <v>Adult</v>
      </c>
      <c r="D2995" t="s">
        <v>11</v>
      </c>
      <c r="E2995" t="s">
        <v>41</v>
      </c>
      <c r="F2995" t="s">
        <v>45</v>
      </c>
      <c r="G2995">
        <v>181.64</v>
      </c>
      <c r="H2995" t="s">
        <v>14</v>
      </c>
      <c r="I2995" t="s">
        <v>15</v>
      </c>
      <c r="J2995">
        <v>2.8</v>
      </c>
      <c r="K2995">
        <v>26</v>
      </c>
      <c r="L2995">
        <f t="shared" si="139"/>
        <v>134.4136</v>
      </c>
      <c r="M2995">
        <v>8</v>
      </c>
      <c r="N2995" t="str">
        <f t="shared" si="140"/>
        <v>Loyal</v>
      </c>
    </row>
    <row r="2996" spans="1:14" x14ac:dyDescent="0.35">
      <c r="A2996">
        <v>2995</v>
      </c>
      <c r="B2996">
        <v>48</v>
      </c>
      <c r="C2996" t="str">
        <f t="shared" si="138"/>
        <v>Adult</v>
      </c>
      <c r="D2996" t="s">
        <v>16</v>
      </c>
      <c r="E2996" t="s">
        <v>27</v>
      </c>
      <c r="F2996" t="s">
        <v>53</v>
      </c>
      <c r="G2996">
        <v>1720.89</v>
      </c>
      <c r="H2996" t="s">
        <v>19</v>
      </c>
      <c r="I2996" t="s">
        <v>15</v>
      </c>
      <c r="J2996">
        <v>3.5</v>
      </c>
      <c r="K2996">
        <v>16</v>
      </c>
      <c r="L2996">
        <f t="shared" si="139"/>
        <v>1445.5476000000001</v>
      </c>
      <c r="M2996">
        <v>3</v>
      </c>
      <c r="N2996" t="str">
        <f t="shared" si="140"/>
        <v>New</v>
      </c>
    </row>
    <row r="2997" spans="1:14" x14ac:dyDescent="0.35">
      <c r="A2997">
        <v>2996</v>
      </c>
      <c r="B2997">
        <v>53</v>
      </c>
      <c r="C2997" t="str">
        <f t="shared" si="138"/>
        <v>Adult</v>
      </c>
      <c r="D2997" t="s">
        <v>16</v>
      </c>
      <c r="E2997" t="s">
        <v>20</v>
      </c>
      <c r="F2997" t="s">
        <v>21</v>
      </c>
      <c r="G2997">
        <v>239.85</v>
      </c>
      <c r="H2997" t="s">
        <v>24</v>
      </c>
      <c r="I2997" t="s">
        <v>15</v>
      </c>
      <c r="J2997">
        <v>4.0999999999999996</v>
      </c>
      <c r="K2997">
        <v>17</v>
      </c>
      <c r="L2997">
        <f t="shared" si="139"/>
        <v>199.07549999999998</v>
      </c>
      <c r="M2997">
        <v>6</v>
      </c>
      <c r="N2997" t="str">
        <f t="shared" si="140"/>
        <v>Regular</v>
      </c>
    </row>
    <row r="2998" spans="1:14" x14ac:dyDescent="0.35">
      <c r="A2998">
        <v>2997</v>
      </c>
      <c r="B2998">
        <v>26</v>
      </c>
      <c r="C2998" t="str">
        <f t="shared" si="138"/>
        <v>Youth</v>
      </c>
      <c r="D2998" t="s">
        <v>11</v>
      </c>
      <c r="E2998" t="s">
        <v>29</v>
      </c>
      <c r="F2998" t="s">
        <v>55</v>
      </c>
      <c r="G2998">
        <v>66.38</v>
      </c>
      <c r="H2998" t="s">
        <v>19</v>
      </c>
      <c r="I2998" t="s">
        <v>37</v>
      </c>
      <c r="J2998">
        <v>3.8</v>
      </c>
      <c r="K2998">
        <v>10</v>
      </c>
      <c r="L2998">
        <f t="shared" si="139"/>
        <v>59.741999999999997</v>
      </c>
      <c r="M2998">
        <v>5</v>
      </c>
      <c r="N2998" t="str">
        <f t="shared" si="140"/>
        <v>Regular</v>
      </c>
    </row>
    <row r="2999" spans="1:14" x14ac:dyDescent="0.35">
      <c r="A2999">
        <v>2998</v>
      </c>
      <c r="B2999">
        <v>22</v>
      </c>
      <c r="C2999" t="str">
        <f t="shared" si="138"/>
        <v>Youth</v>
      </c>
      <c r="D2999" t="s">
        <v>11</v>
      </c>
      <c r="E2999" t="s">
        <v>29</v>
      </c>
      <c r="F2999" t="s">
        <v>55</v>
      </c>
      <c r="G2999">
        <v>47.67</v>
      </c>
      <c r="H2999" t="s">
        <v>24</v>
      </c>
      <c r="I2999" t="s">
        <v>37</v>
      </c>
      <c r="J2999">
        <v>3</v>
      </c>
      <c r="K2999">
        <v>15</v>
      </c>
      <c r="L2999">
        <f t="shared" si="139"/>
        <v>40.519500000000001</v>
      </c>
      <c r="M2999">
        <v>5</v>
      </c>
      <c r="N2999" t="str">
        <f t="shared" si="140"/>
        <v>Regular</v>
      </c>
    </row>
    <row r="3000" spans="1:14" x14ac:dyDescent="0.35">
      <c r="A3000">
        <v>2999</v>
      </c>
      <c r="B3000">
        <v>52</v>
      </c>
      <c r="C3000" t="str">
        <f t="shared" si="138"/>
        <v>Adult</v>
      </c>
      <c r="D3000" t="s">
        <v>16</v>
      </c>
      <c r="E3000" t="s">
        <v>33</v>
      </c>
      <c r="F3000" t="s">
        <v>34</v>
      </c>
      <c r="G3000">
        <v>156.88</v>
      </c>
      <c r="H3000" t="s">
        <v>14</v>
      </c>
      <c r="I3000" t="s">
        <v>15</v>
      </c>
      <c r="J3000">
        <v>3.5</v>
      </c>
      <c r="K3000">
        <v>15</v>
      </c>
      <c r="L3000">
        <f t="shared" si="139"/>
        <v>133.34799999999998</v>
      </c>
      <c r="M3000">
        <v>5</v>
      </c>
      <c r="N3000" t="str">
        <f t="shared" si="140"/>
        <v>Regular</v>
      </c>
    </row>
    <row r="3001" spans="1:14" x14ac:dyDescent="0.35">
      <c r="A3001">
        <v>3000</v>
      </c>
      <c r="B3001">
        <v>37</v>
      </c>
      <c r="C3001" t="str">
        <f t="shared" si="138"/>
        <v>Adult</v>
      </c>
      <c r="D3001" t="s">
        <v>11</v>
      </c>
      <c r="E3001" t="s">
        <v>33</v>
      </c>
      <c r="F3001" t="s">
        <v>40</v>
      </c>
      <c r="G3001">
        <v>176.28</v>
      </c>
      <c r="H3001" t="s">
        <v>19</v>
      </c>
      <c r="I3001" t="s">
        <v>15</v>
      </c>
      <c r="J3001">
        <v>4.7</v>
      </c>
      <c r="K3001">
        <v>20</v>
      </c>
      <c r="L3001">
        <f t="shared" si="139"/>
        <v>141.024</v>
      </c>
      <c r="M3001">
        <v>5</v>
      </c>
      <c r="N3001" t="str">
        <f t="shared" si="140"/>
        <v>Regular</v>
      </c>
    </row>
    <row r="3002" spans="1:14" x14ac:dyDescent="0.35">
      <c r="A3002">
        <v>3001</v>
      </c>
      <c r="B3002">
        <v>35</v>
      </c>
      <c r="C3002" t="str">
        <f t="shared" si="138"/>
        <v>Adult</v>
      </c>
      <c r="D3002" t="s">
        <v>11</v>
      </c>
      <c r="E3002" t="s">
        <v>29</v>
      </c>
      <c r="F3002" t="s">
        <v>55</v>
      </c>
      <c r="G3002">
        <v>46.97</v>
      </c>
      <c r="H3002" t="s">
        <v>14</v>
      </c>
      <c r="I3002" t="s">
        <v>15</v>
      </c>
      <c r="J3002">
        <v>4.2</v>
      </c>
      <c r="K3002">
        <v>12</v>
      </c>
      <c r="L3002">
        <f t="shared" si="139"/>
        <v>41.333599999999997</v>
      </c>
      <c r="M3002">
        <v>6</v>
      </c>
      <c r="N3002" t="str">
        <f t="shared" si="140"/>
        <v>Regular</v>
      </c>
    </row>
    <row r="3003" spans="1:14" x14ac:dyDescent="0.35">
      <c r="A3003">
        <v>3002</v>
      </c>
      <c r="B3003">
        <v>69</v>
      </c>
      <c r="C3003" t="str">
        <f t="shared" si="138"/>
        <v>Senior</v>
      </c>
      <c r="D3003" t="s">
        <v>16</v>
      </c>
      <c r="E3003" t="s">
        <v>27</v>
      </c>
      <c r="F3003" t="s">
        <v>49</v>
      </c>
      <c r="G3003">
        <v>1404.38</v>
      </c>
      <c r="H3003" t="s">
        <v>24</v>
      </c>
      <c r="I3003" t="s">
        <v>15</v>
      </c>
      <c r="J3003">
        <v>2.5</v>
      </c>
      <c r="K3003">
        <v>13</v>
      </c>
      <c r="L3003">
        <f t="shared" si="139"/>
        <v>1221.8106</v>
      </c>
      <c r="M3003">
        <v>4</v>
      </c>
      <c r="N3003" t="str">
        <f t="shared" si="140"/>
        <v>Regular</v>
      </c>
    </row>
    <row r="3004" spans="1:14" x14ac:dyDescent="0.35">
      <c r="A3004">
        <v>3003</v>
      </c>
      <c r="B3004">
        <v>59</v>
      </c>
      <c r="C3004" t="str">
        <f t="shared" si="138"/>
        <v>Adult</v>
      </c>
      <c r="D3004" t="s">
        <v>11</v>
      </c>
      <c r="E3004" t="s">
        <v>33</v>
      </c>
      <c r="F3004" t="s">
        <v>34</v>
      </c>
      <c r="G3004">
        <v>112.23</v>
      </c>
      <c r="H3004" t="s">
        <v>19</v>
      </c>
      <c r="I3004" t="s">
        <v>15</v>
      </c>
      <c r="J3004">
        <v>3.6</v>
      </c>
      <c r="K3004">
        <v>10</v>
      </c>
      <c r="L3004">
        <f t="shared" si="139"/>
        <v>101.00700000000001</v>
      </c>
      <c r="M3004">
        <v>5</v>
      </c>
      <c r="N3004" t="str">
        <f t="shared" si="140"/>
        <v>Regular</v>
      </c>
    </row>
    <row r="3005" spans="1:14" x14ac:dyDescent="0.35">
      <c r="A3005">
        <v>3004</v>
      </c>
      <c r="B3005">
        <v>44</v>
      </c>
      <c r="C3005" t="str">
        <f t="shared" si="138"/>
        <v>Adult</v>
      </c>
      <c r="D3005" t="s">
        <v>11</v>
      </c>
      <c r="E3005" t="s">
        <v>12</v>
      </c>
      <c r="F3005" t="s">
        <v>56</v>
      </c>
      <c r="G3005">
        <v>124.3</v>
      </c>
      <c r="H3005" t="s">
        <v>19</v>
      </c>
      <c r="I3005" t="s">
        <v>15</v>
      </c>
      <c r="J3005">
        <v>3.7</v>
      </c>
      <c r="K3005">
        <v>21</v>
      </c>
      <c r="L3005">
        <f t="shared" si="139"/>
        <v>98.197000000000003</v>
      </c>
      <c r="M3005">
        <v>8</v>
      </c>
      <c r="N3005" t="str">
        <f t="shared" si="140"/>
        <v>Loyal</v>
      </c>
    </row>
    <row r="3006" spans="1:14" x14ac:dyDescent="0.35">
      <c r="A3006">
        <v>3005</v>
      </c>
      <c r="B3006">
        <v>37</v>
      </c>
      <c r="C3006" t="str">
        <f t="shared" si="138"/>
        <v>Adult</v>
      </c>
      <c r="D3006" t="s">
        <v>16</v>
      </c>
      <c r="E3006" t="s">
        <v>20</v>
      </c>
      <c r="F3006" t="s">
        <v>36</v>
      </c>
      <c r="G3006">
        <v>145.11000000000001</v>
      </c>
      <c r="H3006" t="s">
        <v>19</v>
      </c>
      <c r="I3006" t="s">
        <v>15</v>
      </c>
      <c r="J3006">
        <v>2.4</v>
      </c>
      <c r="K3006">
        <v>20</v>
      </c>
      <c r="L3006">
        <f t="shared" si="139"/>
        <v>116.08800000000002</v>
      </c>
      <c r="M3006">
        <v>5</v>
      </c>
      <c r="N3006" t="str">
        <f t="shared" si="140"/>
        <v>Regular</v>
      </c>
    </row>
    <row r="3007" spans="1:14" x14ac:dyDescent="0.35">
      <c r="A3007">
        <v>3006</v>
      </c>
      <c r="B3007">
        <v>63</v>
      </c>
      <c r="C3007" t="str">
        <f t="shared" si="138"/>
        <v>Senior</v>
      </c>
      <c r="D3007" t="s">
        <v>16</v>
      </c>
      <c r="E3007" t="s">
        <v>33</v>
      </c>
      <c r="F3007" t="s">
        <v>40</v>
      </c>
      <c r="G3007">
        <v>214.22</v>
      </c>
      <c r="H3007" t="s">
        <v>14</v>
      </c>
      <c r="I3007" t="s">
        <v>15</v>
      </c>
      <c r="J3007">
        <v>3.3</v>
      </c>
      <c r="K3007">
        <v>19</v>
      </c>
      <c r="L3007">
        <f t="shared" si="139"/>
        <v>173.51820000000001</v>
      </c>
      <c r="M3007">
        <v>7</v>
      </c>
      <c r="N3007" t="str">
        <f t="shared" si="140"/>
        <v>Regular</v>
      </c>
    </row>
    <row r="3008" spans="1:14" x14ac:dyDescent="0.35">
      <c r="A3008">
        <v>3007</v>
      </c>
      <c r="B3008">
        <v>42</v>
      </c>
      <c r="C3008" t="str">
        <f t="shared" si="138"/>
        <v>Adult</v>
      </c>
      <c r="D3008" t="s">
        <v>11</v>
      </c>
      <c r="E3008" t="s">
        <v>29</v>
      </c>
      <c r="F3008" t="s">
        <v>51</v>
      </c>
      <c r="G3008">
        <v>24.73</v>
      </c>
      <c r="H3008" t="s">
        <v>19</v>
      </c>
      <c r="I3008" t="s">
        <v>15</v>
      </c>
      <c r="J3008">
        <v>3.6</v>
      </c>
      <c r="K3008">
        <v>15</v>
      </c>
      <c r="L3008">
        <f t="shared" si="139"/>
        <v>21.020499999999998</v>
      </c>
      <c r="M3008">
        <v>5</v>
      </c>
      <c r="N3008" t="str">
        <f t="shared" si="140"/>
        <v>Regular</v>
      </c>
    </row>
    <row r="3009" spans="1:14" x14ac:dyDescent="0.35">
      <c r="A3009">
        <v>3008</v>
      </c>
      <c r="B3009">
        <v>38</v>
      </c>
      <c r="C3009" t="str">
        <f t="shared" si="138"/>
        <v>Adult</v>
      </c>
      <c r="D3009" t="s">
        <v>16</v>
      </c>
      <c r="E3009" t="s">
        <v>20</v>
      </c>
      <c r="F3009" t="s">
        <v>36</v>
      </c>
      <c r="G3009">
        <v>158.99</v>
      </c>
      <c r="H3009" t="s">
        <v>24</v>
      </c>
      <c r="I3009" t="s">
        <v>15</v>
      </c>
      <c r="J3009">
        <v>3.4</v>
      </c>
      <c r="K3009">
        <v>13</v>
      </c>
      <c r="L3009">
        <f t="shared" si="139"/>
        <v>138.32130000000001</v>
      </c>
      <c r="M3009">
        <v>4</v>
      </c>
      <c r="N3009" t="str">
        <f t="shared" si="140"/>
        <v>Regular</v>
      </c>
    </row>
    <row r="3010" spans="1:14" x14ac:dyDescent="0.35">
      <c r="A3010">
        <v>3009</v>
      </c>
      <c r="B3010">
        <v>46</v>
      </c>
      <c r="C3010" t="str">
        <f t="shared" si="138"/>
        <v>Adult</v>
      </c>
      <c r="D3010" t="s">
        <v>11</v>
      </c>
      <c r="E3010" t="s">
        <v>20</v>
      </c>
      <c r="F3010" t="s">
        <v>36</v>
      </c>
      <c r="G3010">
        <v>234.34</v>
      </c>
      <c r="H3010" t="s">
        <v>19</v>
      </c>
      <c r="I3010" t="s">
        <v>15</v>
      </c>
      <c r="J3010">
        <v>3.4</v>
      </c>
      <c r="K3010">
        <v>6</v>
      </c>
      <c r="L3010">
        <f t="shared" si="139"/>
        <v>220.27959999999999</v>
      </c>
      <c r="M3010">
        <v>3</v>
      </c>
      <c r="N3010" t="str">
        <f t="shared" si="140"/>
        <v>New</v>
      </c>
    </row>
    <row r="3011" spans="1:14" x14ac:dyDescent="0.35">
      <c r="A3011">
        <v>3010</v>
      </c>
      <c r="B3011">
        <v>42</v>
      </c>
      <c r="C3011" t="str">
        <f t="shared" ref="C3011:C3074" si="141">IF(B3011&lt;=30,"Youth",IF(B3011&lt;=45,"Adult",IF(B3011&lt;=60,"Adult","Senior")))</f>
        <v>Adult</v>
      </c>
      <c r="D3011" t="s">
        <v>11</v>
      </c>
      <c r="E3011" t="s">
        <v>41</v>
      </c>
      <c r="F3011" t="s">
        <v>42</v>
      </c>
      <c r="G3011">
        <v>31.48</v>
      </c>
      <c r="H3011" t="s">
        <v>24</v>
      </c>
      <c r="I3011" t="s">
        <v>37</v>
      </c>
      <c r="J3011">
        <v>3.1</v>
      </c>
      <c r="K3011">
        <v>10</v>
      </c>
      <c r="L3011">
        <f t="shared" ref="L3011:L3074" si="142">G3011*(1-K3011/100)</f>
        <v>28.332000000000001</v>
      </c>
      <c r="M3011">
        <v>5</v>
      </c>
      <c r="N3011" t="str">
        <f t="shared" ref="N3011:N3074" si="143">IF(M3011&lt;=3,"New",IF(M3011&lt;=7,"Regular","Loyal"))</f>
        <v>Regular</v>
      </c>
    </row>
    <row r="3012" spans="1:14" x14ac:dyDescent="0.35">
      <c r="A3012">
        <v>3011</v>
      </c>
      <c r="B3012">
        <v>23</v>
      </c>
      <c r="C3012" t="str">
        <f t="shared" si="141"/>
        <v>Youth</v>
      </c>
      <c r="D3012" t="s">
        <v>11</v>
      </c>
      <c r="E3012" t="s">
        <v>41</v>
      </c>
      <c r="F3012" t="s">
        <v>42</v>
      </c>
      <c r="G3012">
        <v>134.30000000000001</v>
      </c>
      <c r="H3012" t="s">
        <v>14</v>
      </c>
      <c r="I3012" t="s">
        <v>15</v>
      </c>
      <c r="J3012">
        <v>3.9</v>
      </c>
      <c r="K3012">
        <v>22</v>
      </c>
      <c r="L3012">
        <f t="shared" si="142"/>
        <v>104.75400000000002</v>
      </c>
      <c r="M3012">
        <v>6</v>
      </c>
      <c r="N3012" t="str">
        <f t="shared" si="143"/>
        <v>Regular</v>
      </c>
    </row>
    <row r="3013" spans="1:14" x14ac:dyDescent="0.35">
      <c r="A3013">
        <v>3012</v>
      </c>
      <c r="B3013">
        <v>48</v>
      </c>
      <c r="C3013" t="str">
        <f t="shared" si="141"/>
        <v>Adult</v>
      </c>
      <c r="D3013" t="s">
        <v>16</v>
      </c>
      <c r="E3013" t="s">
        <v>17</v>
      </c>
      <c r="F3013" t="s">
        <v>48</v>
      </c>
      <c r="G3013">
        <v>51.38</v>
      </c>
      <c r="H3013" t="s">
        <v>24</v>
      </c>
      <c r="I3013" t="s">
        <v>15</v>
      </c>
      <c r="J3013">
        <v>5</v>
      </c>
      <c r="K3013">
        <v>2</v>
      </c>
      <c r="L3013">
        <f t="shared" si="142"/>
        <v>50.352400000000003</v>
      </c>
      <c r="M3013">
        <v>1</v>
      </c>
      <c r="N3013" t="str">
        <f t="shared" si="143"/>
        <v>New</v>
      </c>
    </row>
    <row r="3014" spans="1:14" x14ac:dyDescent="0.35">
      <c r="A3014">
        <v>3013</v>
      </c>
      <c r="B3014">
        <v>51</v>
      </c>
      <c r="C3014" t="str">
        <f t="shared" si="141"/>
        <v>Adult</v>
      </c>
      <c r="D3014" t="s">
        <v>16</v>
      </c>
      <c r="E3014" t="s">
        <v>27</v>
      </c>
      <c r="F3014" t="s">
        <v>49</v>
      </c>
      <c r="G3014">
        <v>2375.0300000000002</v>
      </c>
      <c r="H3014" t="s">
        <v>24</v>
      </c>
      <c r="I3014" t="s">
        <v>15</v>
      </c>
      <c r="J3014">
        <v>2.5</v>
      </c>
      <c r="K3014">
        <v>8</v>
      </c>
      <c r="L3014">
        <f t="shared" si="142"/>
        <v>2185.0276000000003</v>
      </c>
      <c r="M3014">
        <v>4</v>
      </c>
      <c r="N3014" t="str">
        <f t="shared" si="143"/>
        <v>Regular</v>
      </c>
    </row>
    <row r="3015" spans="1:14" x14ac:dyDescent="0.35">
      <c r="A3015">
        <v>3014</v>
      </c>
      <c r="B3015">
        <v>53</v>
      </c>
      <c r="C3015" t="str">
        <f t="shared" si="141"/>
        <v>Adult</v>
      </c>
      <c r="D3015" t="s">
        <v>16</v>
      </c>
      <c r="E3015" t="s">
        <v>20</v>
      </c>
      <c r="F3015" t="s">
        <v>36</v>
      </c>
      <c r="G3015">
        <v>52.21</v>
      </c>
      <c r="H3015" t="s">
        <v>14</v>
      </c>
      <c r="I3015" t="s">
        <v>15</v>
      </c>
      <c r="J3015">
        <v>3.6</v>
      </c>
      <c r="K3015">
        <v>6</v>
      </c>
      <c r="L3015">
        <f t="shared" si="142"/>
        <v>49.077399999999997</v>
      </c>
      <c r="M3015">
        <v>3</v>
      </c>
      <c r="N3015" t="str">
        <f t="shared" si="143"/>
        <v>New</v>
      </c>
    </row>
    <row r="3016" spans="1:14" x14ac:dyDescent="0.35">
      <c r="A3016">
        <v>3015</v>
      </c>
      <c r="B3016">
        <v>38</v>
      </c>
      <c r="C3016" t="str">
        <f t="shared" si="141"/>
        <v>Adult</v>
      </c>
      <c r="D3016" t="s">
        <v>11</v>
      </c>
      <c r="E3016" t="s">
        <v>33</v>
      </c>
      <c r="F3016" t="s">
        <v>34</v>
      </c>
      <c r="G3016">
        <v>241.96</v>
      </c>
      <c r="H3016" t="s">
        <v>31</v>
      </c>
      <c r="I3016" t="s">
        <v>15</v>
      </c>
      <c r="J3016">
        <v>2.6</v>
      </c>
      <c r="K3016">
        <v>18</v>
      </c>
      <c r="L3016">
        <f t="shared" si="142"/>
        <v>198.40720000000002</v>
      </c>
      <c r="M3016">
        <v>4</v>
      </c>
      <c r="N3016" t="str">
        <f t="shared" si="143"/>
        <v>Regular</v>
      </c>
    </row>
    <row r="3017" spans="1:14" x14ac:dyDescent="0.35">
      <c r="A3017">
        <v>3016</v>
      </c>
      <c r="B3017">
        <v>23</v>
      </c>
      <c r="C3017" t="str">
        <f t="shared" si="141"/>
        <v>Youth</v>
      </c>
      <c r="D3017" t="s">
        <v>11</v>
      </c>
      <c r="E3017" t="s">
        <v>12</v>
      </c>
      <c r="F3017" t="s">
        <v>56</v>
      </c>
      <c r="G3017">
        <v>64.06</v>
      </c>
      <c r="H3017" t="s">
        <v>19</v>
      </c>
      <c r="I3017" t="s">
        <v>37</v>
      </c>
      <c r="J3017">
        <v>3.7</v>
      </c>
      <c r="K3017">
        <v>9</v>
      </c>
      <c r="L3017">
        <f t="shared" si="142"/>
        <v>58.294600000000003</v>
      </c>
      <c r="M3017">
        <v>2</v>
      </c>
      <c r="N3017" t="str">
        <f t="shared" si="143"/>
        <v>New</v>
      </c>
    </row>
    <row r="3018" spans="1:14" x14ac:dyDescent="0.35">
      <c r="A3018">
        <v>3017</v>
      </c>
      <c r="B3018">
        <v>25</v>
      </c>
      <c r="C3018" t="str">
        <f t="shared" si="141"/>
        <v>Youth</v>
      </c>
      <c r="D3018" t="s">
        <v>11</v>
      </c>
      <c r="E3018" t="s">
        <v>41</v>
      </c>
      <c r="F3018" t="s">
        <v>42</v>
      </c>
      <c r="G3018">
        <v>59.55</v>
      </c>
      <c r="H3018" t="s">
        <v>19</v>
      </c>
      <c r="I3018" t="s">
        <v>15</v>
      </c>
      <c r="J3018">
        <v>4.0999999999999996</v>
      </c>
      <c r="K3018">
        <v>22</v>
      </c>
      <c r="L3018">
        <f t="shared" si="142"/>
        <v>46.448999999999998</v>
      </c>
      <c r="M3018">
        <v>6</v>
      </c>
      <c r="N3018" t="str">
        <f t="shared" si="143"/>
        <v>Regular</v>
      </c>
    </row>
    <row r="3019" spans="1:14" x14ac:dyDescent="0.35">
      <c r="A3019">
        <v>3018</v>
      </c>
      <c r="B3019">
        <v>63</v>
      </c>
      <c r="C3019" t="str">
        <f t="shared" si="141"/>
        <v>Senior</v>
      </c>
      <c r="D3019" t="s">
        <v>16</v>
      </c>
      <c r="E3019" t="s">
        <v>33</v>
      </c>
      <c r="F3019" t="s">
        <v>38</v>
      </c>
      <c r="G3019">
        <v>91.21</v>
      </c>
      <c r="H3019" t="s">
        <v>24</v>
      </c>
      <c r="I3019" t="s">
        <v>15</v>
      </c>
      <c r="J3019">
        <v>4.0999999999999996</v>
      </c>
      <c r="K3019">
        <v>32</v>
      </c>
      <c r="L3019">
        <f t="shared" si="142"/>
        <v>62.022799999999989</v>
      </c>
      <c r="M3019">
        <v>11</v>
      </c>
      <c r="N3019" t="str">
        <f t="shared" si="143"/>
        <v>Loyal</v>
      </c>
    </row>
    <row r="3020" spans="1:14" x14ac:dyDescent="0.35">
      <c r="A3020">
        <v>3019</v>
      </c>
      <c r="B3020">
        <v>63</v>
      </c>
      <c r="C3020" t="str">
        <f t="shared" si="141"/>
        <v>Senior</v>
      </c>
      <c r="D3020" t="s">
        <v>16</v>
      </c>
      <c r="E3020" t="s">
        <v>17</v>
      </c>
      <c r="F3020" t="s">
        <v>48</v>
      </c>
      <c r="G3020">
        <v>112.01</v>
      </c>
      <c r="H3020" t="s">
        <v>14</v>
      </c>
      <c r="I3020" t="s">
        <v>15</v>
      </c>
      <c r="J3020">
        <v>4</v>
      </c>
      <c r="K3020">
        <v>8</v>
      </c>
      <c r="L3020">
        <f t="shared" si="142"/>
        <v>103.04920000000001</v>
      </c>
      <c r="M3020">
        <v>4</v>
      </c>
      <c r="N3020" t="str">
        <f t="shared" si="143"/>
        <v>Regular</v>
      </c>
    </row>
    <row r="3021" spans="1:14" x14ac:dyDescent="0.35">
      <c r="A3021">
        <v>3020</v>
      </c>
      <c r="B3021">
        <v>47</v>
      </c>
      <c r="C3021" t="str">
        <f t="shared" si="141"/>
        <v>Adult</v>
      </c>
      <c r="D3021" t="s">
        <v>16</v>
      </c>
      <c r="E3021" t="s">
        <v>27</v>
      </c>
      <c r="F3021" t="s">
        <v>49</v>
      </c>
      <c r="G3021">
        <v>2830.66</v>
      </c>
      <c r="H3021" t="s">
        <v>31</v>
      </c>
      <c r="I3021" t="s">
        <v>15</v>
      </c>
      <c r="J3021">
        <v>3.5</v>
      </c>
      <c r="K3021">
        <v>16</v>
      </c>
      <c r="L3021">
        <f t="shared" si="142"/>
        <v>2377.7543999999998</v>
      </c>
      <c r="M3021">
        <v>3</v>
      </c>
      <c r="N3021" t="str">
        <f t="shared" si="143"/>
        <v>New</v>
      </c>
    </row>
    <row r="3022" spans="1:14" x14ac:dyDescent="0.35">
      <c r="A3022">
        <v>3021</v>
      </c>
      <c r="B3022">
        <v>67</v>
      </c>
      <c r="C3022" t="str">
        <f t="shared" si="141"/>
        <v>Senior</v>
      </c>
      <c r="D3022" t="s">
        <v>16</v>
      </c>
      <c r="E3022" t="s">
        <v>27</v>
      </c>
      <c r="F3022" t="s">
        <v>28</v>
      </c>
      <c r="G3022">
        <v>804.82</v>
      </c>
      <c r="H3022" t="s">
        <v>24</v>
      </c>
      <c r="I3022" t="s">
        <v>15</v>
      </c>
      <c r="J3022">
        <v>3.8</v>
      </c>
      <c r="K3022">
        <v>9</v>
      </c>
      <c r="L3022">
        <f t="shared" si="142"/>
        <v>732.38620000000003</v>
      </c>
      <c r="M3022">
        <v>2</v>
      </c>
      <c r="N3022" t="str">
        <f t="shared" si="143"/>
        <v>New</v>
      </c>
    </row>
    <row r="3023" spans="1:14" x14ac:dyDescent="0.35">
      <c r="A3023">
        <v>3022</v>
      </c>
      <c r="B3023">
        <v>35</v>
      </c>
      <c r="C3023" t="str">
        <f t="shared" si="141"/>
        <v>Adult</v>
      </c>
      <c r="D3023" t="s">
        <v>16</v>
      </c>
      <c r="E3023" t="s">
        <v>17</v>
      </c>
      <c r="F3023" t="s">
        <v>48</v>
      </c>
      <c r="G3023">
        <v>62.73</v>
      </c>
      <c r="H3023" t="s">
        <v>31</v>
      </c>
      <c r="I3023" t="s">
        <v>37</v>
      </c>
      <c r="J3023">
        <v>3.6</v>
      </c>
      <c r="K3023">
        <v>15</v>
      </c>
      <c r="L3023">
        <f t="shared" si="142"/>
        <v>53.320499999999996</v>
      </c>
      <c r="M3023">
        <v>5</v>
      </c>
      <c r="N3023" t="str">
        <f t="shared" si="143"/>
        <v>Regular</v>
      </c>
    </row>
    <row r="3024" spans="1:14" x14ac:dyDescent="0.35">
      <c r="A3024">
        <v>3023</v>
      </c>
      <c r="B3024">
        <v>43</v>
      </c>
      <c r="C3024" t="str">
        <f t="shared" si="141"/>
        <v>Adult</v>
      </c>
      <c r="D3024" t="s">
        <v>11</v>
      </c>
      <c r="E3024" t="s">
        <v>29</v>
      </c>
      <c r="F3024" t="s">
        <v>51</v>
      </c>
      <c r="G3024">
        <v>20.09</v>
      </c>
      <c r="H3024" t="s">
        <v>24</v>
      </c>
      <c r="I3024" t="s">
        <v>37</v>
      </c>
      <c r="J3024">
        <v>2.7</v>
      </c>
      <c r="K3024">
        <v>20</v>
      </c>
      <c r="L3024">
        <f t="shared" si="142"/>
        <v>16.071999999999999</v>
      </c>
      <c r="M3024">
        <v>5</v>
      </c>
      <c r="N3024" t="str">
        <f t="shared" si="143"/>
        <v>Regular</v>
      </c>
    </row>
    <row r="3025" spans="1:14" x14ac:dyDescent="0.35">
      <c r="A3025">
        <v>3024</v>
      </c>
      <c r="B3025">
        <v>60</v>
      </c>
      <c r="C3025" t="str">
        <f t="shared" si="141"/>
        <v>Adult</v>
      </c>
      <c r="D3025" t="s">
        <v>11</v>
      </c>
      <c r="E3025" t="s">
        <v>33</v>
      </c>
      <c r="F3025" t="s">
        <v>38</v>
      </c>
      <c r="G3025">
        <v>52.98</v>
      </c>
      <c r="H3025" t="s">
        <v>19</v>
      </c>
      <c r="I3025" t="s">
        <v>15</v>
      </c>
      <c r="J3025">
        <v>4.2</v>
      </c>
      <c r="K3025">
        <v>4</v>
      </c>
      <c r="L3025">
        <f t="shared" si="142"/>
        <v>50.860799999999998</v>
      </c>
      <c r="M3025">
        <v>2</v>
      </c>
      <c r="N3025" t="str">
        <f t="shared" si="143"/>
        <v>New</v>
      </c>
    </row>
    <row r="3026" spans="1:14" x14ac:dyDescent="0.35">
      <c r="A3026">
        <v>3025</v>
      </c>
      <c r="B3026">
        <v>56</v>
      </c>
      <c r="C3026" t="str">
        <f t="shared" si="141"/>
        <v>Adult</v>
      </c>
      <c r="D3026" t="s">
        <v>11</v>
      </c>
      <c r="E3026" t="s">
        <v>41</v>
      </c>
      <c r="F3026" t="s">
        <v>45</v>
      </c>
      <c r="G3026">
        <v>80.959999999999994</v>
      </c>
      <c r="H3026" t="s">
        <v>19</v>
      </c>
      <c r="I3026" t="s">
        <v>15</v>
      </c>
      <c r="J3026">
        <v>3.4</v>
      </c>
      <c r="K3026">
        <v>12</v>
      </c>
      <c r="L3026">
        <f t="shared" si="142"/>
        <v>71.244799999999998</v>
      </c>
      <c r="M3026">
        <v>6</v>
      </c>
      <c r="N3026" t="str">
        <f t="shared" si="143"/>
        <v>Regular</v>
      </c>
    </row>
    <row r="3027" spans="1:14" x14ac:dyDescent="0.35">
      <c r="A3027">
        <v>3026</v>
      </c>
      <c r="B3027">
        <v>46</v>
      </c>
      <c r="C3027" t="str">
        <f t="shared" si="141"/>
        <v>Adult</v>
      </c>
      <c r="D3027" t="s">
        <v>16</v>
      </c>
      <c r="E3027" t="s">
        <v>17</v>
      </c>
      <c r="F3027" t="s">
        <v>48</v>
      </c>
      <c r="G3027">
        <v>173.68</v>
      </c>
      <c r="H3027" t="s">
        <v>19</v>
      </c>
      <c r="I3027" t="s">
        <v>15</v>
      </c>
      <c r="J3027">
        <v>5</v>
      </c>
      <c r="K3027">
        <v>17</v>
      </c>
      <c r="L3027">
        <f t="shared" si="142"/>
        <v>144.15440000000001</v>
      </c>
      <c r="M3027">
        <v>6</v>
      </c>
      <c r="N3027" t="str">
        <f t="shared" si="143"/>
        <v>Regular</v>
      </c>
    </row>
    <row r="3028" spans="1:14" x14ac:dyDescent="0.35">
      <c r="A3028">
        <v>3027</v>
      </c>
      <c r="B3028">
        <v>63</v>
      </c>
      <c r="C3028" t="str">
        <f t="shared" si="141"/>
        <v>Senior</v>
      </c>
      <c r="D3028" t="s">
        <v>16</v>
      </c>
      <c r="E3028" t="s">
        <v>17</v>
      </c>
      <c r="F3028" t="s">
        <v>48</v>
      </c>
      <c r="G3028">
        <v>116.37</v>
      </c>
      <c r="H3028" t="s">
        <v>24</v>
      </c>
      <c r="I3028" t="s">
        <v>15</v>
      </c>
      <c r="J3028">
        <v>3.3</v>
      </c>
      <c r="K3028">
        <v>26</v>
      </c>
      <c r="L3028">
        <f t="shared" si="142"/>
        <v>86.113799999999998</v>
      </c>
      <c r="M3028">
        <v>8</v>
      </c>
      <c r="N3028" t="str">
        <f t="shared" si="143"/>
        <v>Loyal</v>
      </c>
    </row>
    <row r="3029" spans="1:14" x14ac:dyDescent="0.35">
      <c r="A3029">
        <v>3028</v>
      </c>
      <c r="B3029">
        <v>44</v>
      </c>
      <c r="C3029" t="str">
        <f t="shared" si="141"/>
        <v>Adult</v>
      </c>
      <c r="D3029" t="s">
        <v>11</v>
      </c>
      <c r="E3029" t="s">
        <v>41</v>
      </c>
      <c r="F3029" t="s">
        <v>44</v>
      </c>
      <c r="G3029">
        <v>139.86000000000001</v>
      </c>
      <c r="H3029" t="s">
        <v>31</v>
      </c>
      <c r="I3029" t="s">
        <v>15</v>
      </c>
      <c r="J3029">
        <v>3.5</v>
      </c>
      <c r="K3029">
        <v>11</v>
      </c>
      <c r="L3029">
        <f t="shared" si="142"/>
        <v>124.47540000000001</v>
      </c>
      <c r="M3029">
        <v>3</v>
      </c>
      <c r="N3029" t="str">
        <f t="shared" si="143"/>
        <v>New</v>
      </c>
    </row>
    <row r="3030" spans="1:14" x14ac:dyDescent="0.35">
      <c r="A3030">
        <v>3029</v>
      </c>
      <c r="B3030">
        <v>46</v>
      </c>
      <c r="C3030" t="str">
        <f t="shared" si="141"/>
        <v>Adult</v>
      </c>
      <c r="D3030" t="s">
        <v>11</v>
      </c>
      <c r="E3030" t="s">
        <v>12</v>
      </c>
      <c r="F3030" t="s">
        <v>56</v>
      </c>
      <c r="G3030">
        <v>169.04</v>
      </c>
      <c r="H3030" t="s">
        <v>24</v>
      </c>
      <c r="I3030" t="s">
        <v>15</v>
      </c>
      <c r="J3030">
        <v>3</v>
      </c>
      <c r="K3030">
        <v>15</v>
      </c>
      <c r="L3030">
        <f t="shared" si="142"/>
        <v>143.684</v>
      </c>
      <c r="M3030">
        <v>5</v>
      </c>
      <c r="N3030" t="str">
        <f t="shared" si="143"/>
        <v>Regular</v>
      </c>
    </row>
    <row r="3031" spans="1:14" x14ac:dyDescent="0.35">
      <c r="A3031">
        <v>3030</v>
      </c>
      <c r="B3031">
        <v>44</v>
      </c>
      <c r="C3031" t="str">
        <f t="shared" si="141"/>
        <v>Adult</v>
      </c>
      <c r="D3031" t="s">
        <v>16</v>
      </c>
      <c r="E3031" t="s">
        <v>27</v>
      </c>
      <c r="F3031" t="s">
        <v>32</v>
      </c>
      <c r="G3031">
        <v>2810.41</v>
      </c>
      <c r="H3031" t="s">
        <v>24</v>
      </c>
      <c r="I3031" t="s">
        <v>15</v>
      </c>
      <c r="J3031">
        <v>4.4000000000000004</v>
      </c>
      <c r="K3031">
        <v>8</v>
      </c>
      <c r="L3031">
        <f t="shared" si="142"/>
        <v>2585.5772000000002</v>
      </c>
      <c r="M3031">
        <v>4</v>
      </c>
      <c r="N3031" t="str">
        <f t="shared" si="143"/>
        <v>Regular</v>
      </c>
    </row>
    <row r="3032" spans="1:14" x14ac:dyDescent="0.35">
      <c r="A3032">
        <v>3031</v>
      </c>
      <c r="B3032">
        <v>46</v>
      </c>
      <c r="C3032" t="str">
        <f t="shared" si="141"/>
        <v>Adult</v>
      </c>
      <c r="D3032" t="s">
        <v>11</v>
      </c>
      <c r="E3032" t="s">
        <v>41</v>
      </c>
      <c r="F3032" t="s">
        <v>44</v>
      </c>
      <c r="G3032">
        <v>152.01</v>
      </c>
      <c r="H3032" t="s">
        <v>31</v>
      </c>
      <c r="I3032" t="s">
        <v>15</v>
      </c>
      <c r="J3032">
        <v>2.6</v>
      </c>
      <c r="K3032">
        <v>11</v>
      </c>
      <c r="L3032">
        <f t="shared" si="142"/>
        <v>135.28889999999998</v>
      </c>
      <c r="M3032">
        <v>3</v>
      </c>
      <c r="N3032" t="str">
        <f t="shared" si="143"/>
        <v>New</v>
      </c>
    </row>
    <row r="3033" spans="1:14" x14ac:dyDescent="0.35">
      <c r="A3033">
        <v>3032</v>
      </c>
      <c r="B3033">
        <v>50</v>
      </c>
      <c r="C3033" t="str">
        <f t="shared" si="141"/>
        <v>Adult</v>
      </c>
      <c r="D3033" t="s">
        <v>16</v>
      </c>
      <c r="E3033" t="s">
        <v>27</v>
      </c>
      <c r="F3033" t="s">
        <v>53</v>
      </c>
      <c r="G3033">
        <v>908.32</v>
      </c>
      <c r="H3033" t="s">
        <v>14</v>
      </c>
      <c r="I3033" t="s">
        <v>15</v>
      </c>
      <c r="J3033">
        <v>2.8</v>
      </c>
      <c r="K3033">
        <v>8</v>
      </c>
      <c r="L3033">
        <f t="shared" si="142"/>
        <v>835.65440000000012</v>
      </c>
      <c r="M3033">
        <v>4</v>
      </c>
      <c r="N3033" t="str">
        <f t="shared" si="143"/>
        <v>Regular</v>
      </c>
    </row>
    <row r="3034" spans="1:14" x14ac:dyDescent="0.35">
      <c r="A3034">
        <v>3033</v>
      </c>
      <c r="B3034">
        <v>57</v>
      </c>
      <c r="C3034" t="str">
        <f t="shared" si="141"/>
        <v>Adult</v>
      </c>
      <c r="D3034" t="s">
        <v>11</v>
      </c>
      <c r="E3034" t="s">
        <v>41</v>
      </c>
      <c r="F3034" t="s">
        <v>44</v>
      </c>
      <c r="G3034">
        <v>194</v>
      </c>
      <c r="H3034" t="s">
        <v>24</v>
      </c>
      <c r="I3034" t="s">
        <v>15</v>
      </c>
      <c r="J3034">
        <v>2.9</v>
      </c>
      <c r="K3034">
        <v>2</v>
      </c>
      <c r="L3034">
        <f t="shared" si="142"/>
        <v>190.12</v>
      </c>
      <c r="M3034">
        <v>1</v>
      </c>
      <c r="N3034" t="str">
        <f t="shared" si="143"/>
        <v>New</v>
      </c>
    </row>
    <row r="3035" spans="1:14" x14ac:dyDescent="0.35">
      <c r="A3035">
        <v>3034</v>
      </c>
      <c r="B3035">
        <v>28</v>
      </c>
      <c r="C3035" t="str">
        <f t="shared" si="141"/>
        <v>Youth</v>
      </c>
      <c r="D3035" t="s">
        <v>16</v>
      </c>
      <c r="E3035" t="s">
        <v>33</v>
      </c>
      <c r="F3035" t="s">
        <v>34</v>
      </c>
      <c r="G3035">
        <v>239.55</v>
      </c>
      <c r="H3035" t="s">
        <v>19</v>
      </c>
      <c r="I3035" t="s">
        <v>15</v>
      </c>
      <c r="J3035">
        <v>4.5999999999999996</v>
      </c>
      <c r="K3035">
        <v>20</v>
      </c>
      <c r="L3035">
        <f t="shared" si="142"/>
        <v>191.64000000000001</v>
      </c>
      <c r="M3035">
        <v>5</v>
      </c>
      <c r="N3035" t="str">
        <f t="shared" si="143"/>
        <v>Regular</v>
      </c>
    </row>
    <row r="3036" spans="1:14" x14ac:dyDescent="0.35">
      <c r="A3036">
        <v>3035</v>
      </c>
      <c r="B3036">
        <v>38</v>
      </c>
      <c r="C3036" t="str">
        <f t="shared" si="141"/>
        <v>Adult</v>
      </c>
      <c r="D3036" t="s">
        <v>16</v>
      </c>
      <c r="E3036" t="s">
        <v>27</v>
      </c>
      <c r="F3036" t="s">
        <v>49</v>
      </c>
      <c r="G3036">
        <v>2591.6999999999998</v>
      </c>
      <c r="H3036" t="s">
        <v>14</v>
      </c>
      <c r="I3036" t="s">
        <v>15</v>
      </c>
      <c r="J3036">
        <v>3.3</v>
      </c>
      <c r="K3036">
        <v>26</v>
      </c>
      <c r="L3036">
        <f t="shared" si="142"/>
        <v>1917.8579999999999</v>
      </c>
      <c r="M3036">
        <v>8</v>
      </c>
      <c r="N3036" t="str">
        <f t="shared" si="143"/>
        <v>Loyal</v>
      </c>
    </row>
    <row r="3037" spans="1:14" x14ac:dyDescent="0.35">
      <c r="A3037">
        <v>3036</v>
      </c>
      <c r="B3037">
        <v>57</v>
      </c>
      <c r="C3037" t="str">
        <f t="shared" si="141"/>
        <v>Adult</v>
      </c>
      <c r="D3037" t="s">
        <v>11</v>
      </c>
      <c r="E3037" t="s">
        <v>41</v>
      </c>
      <c r="F3037" t="s">
        <v>45</v>
      </c>
      <c r="G3037">
        <v>165.49</v>
      </c>
      <c r="H3037" t="s">
        <v>31</v>
      </c>
      <c r="I3037" t="s">
        <v>15</v>
      </c>
      <c r="J3037">
        <v>4.7</v>
      </c>
      <c r="K3037">
        <v>13</v>
      </c>
      <c r="L3037">
        <f t="shared" si="142"/>
        <v>143.97630000000001</v>
      </c>
      <c r="M3037">
        <v>4</v>
      </c>
      <c r="N3037" t="str">
        <f t="shared" si="143"/>
        <v>Regular</v>
      </c>
    </row>
    <row r="3038" spans="1:14" x14ac:dyDescent="0.35">
      <c r="A3038">
        <v>3037</v>
      </c>
      <c r="B3038">
        <v>22</v>
      </c>
      <c r="C3038" t="str">
        <f t="shared" si="141"/>
        <v>Youth</v>
      </c>
      <c r="D3038" t="s">
        <v>16</v>
      </c>
      <c r="E3038" t="s">
        <v>33</v>
      </c>
      <c r="F3038" t="s">
        <v>38</v>
      </c>
      <c r="G3038">
        <v>41.92</v>
      </c>
      <c r="H3038" t="s">
        <v>24</v>
      </c>
      <c r="I3038" t="s">
        <v>15</v>
      </c>
      <c r="J3038">
        <v>3.9</v>
      </c>
      <c r="K3038">
        <v>11</v>
      </c>
      <c r="L3038">
        <f t="shared" si="142"/>
        <v>37.308800000000005</v>
      </c>
      <c r="M3038">
        <v>3</v>
      </c>
      <c r="N3038" t="str">
        <f t="shared" si="143"/>
        <v>New</v>
      </c>
    </row>
    <row r="3039" spans="1:14" x14ac:dyDescent="0.35">
      <c r="A3039">
        <v>3038</v>
      </c>
      <c r="B3039">
        <v>29</v>
      </c>
      <c r="C3039" t="str">
        <f t="shared" si="141"/>
        <v>Youth</v>
      </c>
      <c r="D3039" t="s">
        <v>16</v>
      </c>
      <c r="E3039" t="s">
        <v>20</v>
      </c>
      <c r="F3039" t="s">
        <v>39</v>
      </c>
      <c r="G3039">
        <v>236.09</v>
      </c>
      <c r="H3039" t="s">
        <v>31</v>
      </c>
      <c r="I3039" t="s">
        <v>15</v>
      </c>
      <c r="J3039">
        <v>2.7</v>
      </c>
      <c r="K3039">
        <v>13</v>
      </c>
      <c r="L3039">
        <f t="shared" si="142"/>
        <v>205.39830000000001</v>
      </c>
      <c r="M3039">
        <v>4</v>
      </c>
      <c r="N3039" t="str">
        <f t="shared" si="143"/>
        <v>Regular</v>
      </c>
    </row>
    <row r="3040" spans="1:14" x14ac:dyDescent="0.35">
      <c r="A3040">
        <v>3039</v>
      </c>
      <c r="B3040">
        <v>26</v>
      </c>
      <c r="C3040" t="str">
        <f t="shared" si="141"/>
        <v>Youth</v>
      </c>
      <c r="D3040" t="s">
        <v>16</v>
      </c>
      <c r="E3040" t="s">
        <v>27</v>
      </c>
      <c r="F3040" t="s">
        <v>49</v>
      </c>
      <c r="G3040">
        <v>1687.69</v>
      </c>
      <c r="H3040" t="s">
        <v>31</v>
      </c>
      <c r="I3040" t="s">
        <v>15</v>
      </c>
      <c r="J3040">
        <v>2.4</v>
      </c>
      <c r="K3040">
        <v>12</v>
      </c>
      <c r="L3040">
        <f t="shared" si="142"/>
        <v>1485.1672000000001</v>
      </c>
      <c r="M3040">
        <v>6</v>
      </c>
      <c r="N3040" t="str">
        <f t="shared" si="143"/>
        <v>Regular</v>
      </c>
    </row>
    <row r="3041" spans="1:14" x14ac:dyDescent="0.35">
      <c r="A3041">
        <v>3040</v>
      </c>
      <c r="B3041">
        <v>40</v>
      </c>
      <c r="C3041" t="str">
        <f t="shared" si="141"/>
        <v>Adult</v>
      </c>
      <c r="D3041" t="s">
        <v>16</v>
      </c>
      <c r="E3041" t="s">
        <v>17</v>
      </c>
      <c r="F3041" t="s">
        <v>35</v>
      </c>
      <c r="G3041">
        <v>144.61000000000001</v>
      </c>
      <c r="H3041" t="s">
        <v>14</v>
      </c>
      <c r="I3041" t="s">
        <v>15</v>
      </c>
      <c r="J3041">
        <v>3.6</v>
      </c>
      <c r="K3041">
        <v>22</v>
      </c>
      <c r="L3041">
        <f t="shared" si="142"/>
        <v>112.79580000000001</v>
      </c>
      <c r="M3041">
        <v>6</v>
      </c>
      <c r="N3041" t="str">
        <f t="shared" si="143"/>
        <v>Regular</v>
      </c>
    </row>
    <row r="3042" spans="1:14" x14ac:dyDescent="0.35">
      <c r="A3042">
        <v>3041</v>
      </c>
      <c r="B3042">
        <v>59</v>
      </c>
      <c r="C3042" t="str">
        <f t="shared" si="141"/>
        <v>Adult</v>
      </c>
      <c r="D3042" t="s">
        <v>16</v>
      </c>
      <c r="E3042" t="s">
        <v>25</v>
      </c>
      <c r="F3042" t="s">
        <v>57</v>
      </c>
      <c r="G3042">
        <v>60.41</v>
      </c>
      <c r="H3042" t="s">
        <v>14</v>
      </c>
      <c r="I3042" t="s">
        <v>37</v>
      </c>
      <c r="J3042">
        <v>3.7</v>
      </c>
      <c r="K3042">
        <v>13</v>
      </c>
      <c r="L3042">
        <f t="shared" si="142"/>
        <v>52.556699999999999</v>
      </c>
      <c r="M3042">
        <v>4</v>
      </c>
      <c r="N3042" t="str">
        <f t="shared" si="143"/>
        <v>Regular</v>
      </c>
    </row>
    <row r="3043" spans="1:14" x14ac:dyDescent="0.35">
      <c r="A3043">
        <v>3042</v>
      </c>
      <c r="B3043">
        <v>42</v>
      </c>
      <c r="C3043" t="str">
        <f t="shared" si="141"/>
        <v>Adult</v>
      </c>
      <c r="D3043" t="s">
        <v>11</v>
      </c>
      <c r="E3043" t="s">
        <v>33</v>
      </c>
      <c r="F3043" t="s">
        <v>40</v>
      </c>
      <c r="G3043">
        <v>176.41</v>
      </c>
      <c r="H3043" t="s">
        <v>19</v>
      </c>
      <c r="I3043" t="s">
        <v>15</v>
      </c>
      <c r="J3043">
        <v>4.2</v>
      </c>
      <c r="K3043">
        <v>16</v>
      </c>
      <c r="L3043">
        <f t="shared" si="142"/>
        <v>148.18439999999998</v>
      </c>
      <c r="M3043">
        <v>3</v>
      </c>
      <c r="N3043" t="str">
        <f t="shared" si="143"/>
        <v>New</v>
      </c>
    </row>
    <row r="3044" spans="1:14" x14ac:dyDescent="0.35">
      <c r="A3044">
        <v>3043</v>
      </c>
      <c r="B3044">
        <v>66</v>
      </c>
      <c r="C3044" t="str">
        <f t="shared" si="141"/>
        <v>Senior</v>
      </c>
      <c r="D3044" t="s">
        <v>11</v>
      </c>
      <c r="E3044" t="s">
        <v>29</v>
      </c>
      <c r="F3044" t="s">
        <v>55</v>
      </c>
      <c r="G3044">
        <v>46.02</v>
      </c>
      <c r="H3044" t="s">
        <v>19</v>
      </c>
      <c r="I3044" t="s">
        <v>15</v>
      </c>
      <c r="J3044">
        <v>3.2</v>
      </c>
      <c r="K3044">
        <v>26</v>
      </c>
      <c r="L3044">
        <f t="shared" si="142"/>
        <v>34.0548</v>
      </c>
      <c r="M3044">
        <v>8</v>
      </c>
      <c r="N3044" t="str">
        <f t="shared" si="143"/>
        <v>Loyal</v>
      </c>
    </row>
    <row r="3045" spans="1:14" x14ac:dyDescent="0.35">
      <c r="A3045">
        <v>3044</v>
      </c>
      <c r="B3045">
        <v>50</v>
      </c>
      <c r="C3045" t="str">
        <f t="shared" si="141"/>
        <v>Adult</v>
      </c>
      <c r="D3045" t="s">
        <v>16</v>
      </c>
      <c r="E3045" t="s">
        <v>27</v>
      </c>
      <c r="F3045" t="s">
        <v>49</v>
      </c>
      <c r="G3045">
        <v>1517.4</v>
      </c>
      <c r="H3045" t="s">
        <v>31</v>
      </c>
      <c r="I3045" t="s">
        <v>15</v>
      </c>
      <c r="J3045">
        <v>3.6</v>
      </c>
      <c r="K3045">
        <v>18</v>
      </c>
      <c r="L3045">
        <f t="shared" si="142"/>
        <v>1244.2680000000003</v>
      </c>
      <c r="M3045">
        <v>9</v>
      </c>
      <c r="N3045" t="str">
        <f t="shared" si="143"/>
        <v>Loyal</v>
      </c>
    </row>
    <row r="3046" spans="1:14" x14ac:dyDescent="0.35">
      <c r="A3046">
        <v>3045</v>
      </c>
      <c r="B3046">
        <v>51</v>
      </c>
      <c r="C3046" t="str">
        <f t="shared" si="141"/>
        <v>Adult</v>
      </c>
      <c r="D3046" t="s">
        <v>11</v>
      </c>
      <c r="E3046" t="s">
        <v>29</v>
      </c>
      <c r="F3046" t="s">
        <v>55</v>
      </c>
      <c r="G3046">
        <v>86.79</v>
      </c>
      <c r="H3046" t="s">
        <v>19</v>
      </c>
      <c r="I3046" t="s">
        <v>37</v>
      </c>
      <c r="J3046">
        <v>3.5</v>
      </c>
      <c r="K3046">
        <v>19</v>
      </c>
      <c r="L3046">
        <f t="shared" si="142"/>
        <v>70.299900000000008</v>
      </c>
      <c r="M3046">
        <v>7</v>
      </c>
      <c r="N3046" t="str">
        <f t="shared" si="143"/>
        <v>Regular</v>
      </c>
    </row>
    <row r="3047" spans="1:14" x14ac:dyDescent="0.35">
      <c r="A3047">
        <v>3046</v>
      </c>
      <c r="B3047">
        <v>40</v>
      </c>
      <c r="C3047" t="str">
        <f t="shared" si="141"/>
        <v>Adult</v>
      </c>
      <c r="D3047" t="s">
        <v>11</v>
      </c>
      <c r="E3047" t="s">
        <v>41</v>
      </c>
      <c r="F3047" t="s">
        <v>46</v>
      </c>
      <c r="G3047">
        <v>41.97</v>
      </c>
      <c r="H3047" t="s">
        <v>31</v>
      </c>
      <c r="I3047" t="s">
        <v>15</v>
      </c>
      <c r="J3047">
        <v>3.5</v>
      </c>
      <c r="K3047">
        <v>10</v>
      </c>
      <c r="L3047">
        <f t="shared" si="142"/>
        <v>37.773000000000003</v>
      </c>
      <c r="M3047">
        <v>5</v>
      </c>
      <c r="N3047" t="str">
        <f t="shared" si="143"/>
        <v>Regular</v>
      </c>
    </row>
    <row r="3048" spans="1:14" x14ac:dyDescent="0.35">
      <c r="A3048">
        <v>3047</v>
      </c>
      <c r="B3048">
        <v>35</v>
      </c>
      <c r="C3048" t="str">
        <f t="shared" si="141"/>
        <v>Adult</v>
      </c>
      <c r="D3048" t="s">
        <v>11</v>
      </c>
      <c r="E3048" t="s">
        <v>29</v>
      </c>
      <c r="F3048" t="s">
        <v>55</v>
      </c>
      <c r="G3048">
        <v>149.18</v>
      </c>
      <c r="H3048" t="s">
        <v>19</v>
      </c>
      <c r="I3048" t="s">
        <v>15</v>
      </c>
      <c r="J3048">
        <v>4.7</v>
      </c>
      <c r="K3048">
        <v>28</v>
      </c>
      <c r="L3048">
        <f t="shared" si="142"/>
        <v>107.4096</v>
      </c>
      <c r="M3048">
        <v>9</v>
      </c>
      <c r="N3048" t="str">
        <f t="shared" si="143"/>
        <v>Loyal</v>
      </c>
    </row>
    <row r="3049" spans="1:14" x14ac:dyDescent="0.35">
      <c r="A3049">
        <v>3048</v>
      </c>
      <c r="B3049">
        <v>30</v>
      </c>
      <c r="C3049" t="str">
        <f t="shared" si="141"/>
        <v>Youth</v>
      </c>
      <c r="D3049" t="s">
        <v>11</v>
      </c>
      <c r="E3049" t="s">
        <v>41</v>
      </c>
      <c r="F3049" t="s">
        <v>45</v>
      </c>
      <c r="G3049">
        <v>142.34</v>
      </c>
      <c r="H3049" t="s">
        <v>24</v>
      </c>
      <c r="I3049" t="s">
        <v>15</v>
      </c>
      <c r="J3049">
        <v>2.9</v>
      </c>
      <c r="K3049">
        <v>19</v>
      </c>
      <c r="L3049">
        <f t="shared" si="142"/>
        <v>115.29540000000001</v>
      </c>
      <c r="M3049">
        <v>7</v>
      </c>
      <c r="N3049" t="str">
        <f t="shared" si="143"/>
        <v>Regular</v>
      </c>
    </row>
    <row r="3050" spans="1:14" x14ac:dyDescent="0.35">
      <c r="A3050">
        <v>3049</v>
      </c>
      <c r="B3050">
        <v>68</v>
      </c>
      <c r="C3050" t="str">
        <f t="shared" si="141"/>
        <v>Senior</v>
      </c>
      <c r="D3050" t="s">
        <v>16</v>
      </c>
      <c r="E3050" t="s">
        <v>20</v>
      </c>
      <c r="F3050" t="s">
        <v>39</v>
      </c>
      <c r="G3050">
        <v>149.12</v>
      </c>
      <c r="H3050" t="s">
        <v>14</v>
      </c>
      <c r="I3050" t="s">
        <v>15</v>
      </c>
      <c r="J3050">
        <v>4.7</v>
      </c>
      <c r="K3050">
        <v>30</v>
      </c>
      <c r="L3050">
        <f t="shared" si="142"/>
        <v>104.384</v>
      </c>
      <c r="M3050">
        <v>10</v>
      </c>
      <c r="N3050" t="str">
        <f t="shared" si="143"/>
        <v>Loyal</v>
      </c>
    </row>
    <row r="3051" spans="1:14" x14ac:dyDescent="0.35">
      <c r="A3051">
        <v>3050</v>
      </c>
      <c r="B3051">
        <v>34</v>
      </c>
      <c r="C3051" t="str">
        <f t="shared" si="141"/>
        <v>Adult</v>
      </c>
      <c r="D3051" t="s">
        <v>11</v>
      </c>
      <c r="E3051" t="s">
        <v>33</v>
      </c>
      <c r="F3051" t="s">
        <v>34</v>
      </c>
      <c r="G3051">
        <v>222.74</v>
      </c>
      <c r="H3051" t="s">
        <v>24</v>
      </c>
      <c r="I3051" t="s">
        <v>15</v>
      </c>
      <c r="J3051">
        <v>4</v>
      </c>
      <c r="K3051">
        <v>18</v>
      </c>
      <c r="L3051">
        <f t="shared" si="142"/>
        <v>182.64680000000001</v>
      </c>
      <c r="M3051">
        <v>4</v>
      </c>
      <c r="N3051" t="str">
        <f t="shared" si="143"/>
        <v>Regular</v>
      </c>
    </row>
    <row r="3052" spans="1:14" x14ac:dyDescent="0.35">
      <c r="A3052">
        <v>3051</v>
      </c>
      <c r="B3052">
        <v>37</v>
      </c>
      <c r="C3052" t="str">
        <f t="shared" si="141"/>
        <v>Adult</v>
      </c>
      <c r="D3052" t="s">
        <v>11</v>
      </c>
      <c r="E3052" t="s">
        <v>12</v>
      </c>
      <c r="F3052" t="s">
        <v>56</v>
      </c>
      <c r="G3052">
        <v>23.58</v>
      </c>
      <c r="H3052" t="s">
        <v>24</v>
      </c>
      <c r="I3052" t="s">
        <v>15</v>
      </c>
      <c r="J3052">
        <v>3.2</v>
      </c>
      <c r="K3052">
        <v>18</v>
      </c>
      <c r="L3052">
        <f t="shared" si="142"/>
        <v>19.335599999999999</v>
      </c>
      <c r="M3052">
        <v>4</v>
      </c>
      <c r="N3052" t="str">
        <f t="shared" si="143"/>
        <v>Regular</v>
      </c>
    </row>
    <row r="3053" spans="1:14" x14ac:dyDescent="0.35">
      <c r="A3053">
        <v>3052</v>
      </c>
      <c r="B3053">
        <v>48</v>
      </c>
      <c r="C3053" t="str">
        <f t="shared" si="141"/>
        <v>Adult</v>
      </c>
      <c r="D3053" t="s">
        <v>16</v>
      </c>
      <c r="E3053" t="s">
        <v>27</v>
      </c>
      <c r="F3053" t="s">
        <v>49</v>
      </c>
      <c r="G3053">
        <v>1298.54</v>
      </c>
      <c r="H3053" t="s">
        <v>24</v>
      </c>
      <c r="I3053" t="s">
        <v>15</v>
      </c>
      <c r="J3053">
        <v>3.5</v>
      </c>
      <c r="K3053">
        <v>10</v>
      </c>
      <c r="L3053">
        <f t="shared" si="142"/>
        <v>1168.6859999999999</v>
      </c>
      <c r="M3053">
        <v>0</v>
      </c>
      <c r="N3053" t="str">
        <f t="shared" si="143"/>
        <v>New</v>
      </c>
    </row>
    <row r="3054" spans="1:14" x14ac:dyDescent="0.35">
      <c r="A3054">
        <v>3053</v>
      </c>
      <c r="B3054">
        <v>57</v>
      </c>
      <c r="C3054" t="str">
        <f t="shared" si="141"/>
        <v>Adult</v>
      </c>
      <c r="D3054" t="s">
        <v>11</v>
      </c>
      <c r="E3054" t="s">
        <v>12</v>
      </c>
      <c r="F3054" t="s">
        <v>50</v>
      </c>
      <c r="G3054">
        <v>147.6</v>
      </c>
      <c r="H3054" t="s">
        <v>31</v>
      </c>
      <c r="I3054" t="s">
        <v>15</v>
      </c>
      <c r="J3054">
        <v>4</v>
      </c>
      <c r="K3054">
        <v>24</v>
      </c>
      <c r="L3054">
        <f t="shared" si="142"/>
        <v>112.176</v>
      </c>
      <c r="M3054">
        <v>7</v>
      </c>
      <c r="N3054" t="str">
        <f t="shared" si="143"/>
        <v>Regular</v>
      </c>
    </row>
    <row r="3055" spans="1:14" x14ac:dyDescent="0.35">
      <c r="A3055">
        <v>3054</v>
      </c>
      <c r="B3055">
        <v>46</v>
      </c>
      <c r="C3055" t="str">
        <f t="shared" si="141"/>
        <v>Adult</v>
      </c>
      <c r="D3055" t="s">
        <v>16</v>
      </c>
      <c r="E3055" t="s">
        <v>27</v>
      </c>
      <c r="F3055" t="s">
        <v>28</v>
      </c>
      <c r="G3055">
        <v>1161.0899999999999</v>
      </c>
      <c r="H3055" t="s">
        <v>14</v>
      </c>
      <c r="I3055" t="s">
        <v>15</v>
      </c>
      <c r="J3055">
        <v>4.8</v>
      </c>
      <c r="K3055">
        <v>10</v>
      </c>
      <c r="L3055">
        <f t="shared" si="142"/>
        <v>1044.981</v>
      </c>
      <c r="M3055">
        <v>5</v>
      </c>
      <c r="N3055" t="str">
        <f t="shared" si="143"/>
        <v>Regular</v>
      </c>
    </row>
    <row r="3056" spans="1:14" x14ac:dyDescent="0.35">
      <c r="A3056">
        <v>3055</v>
      </c>
      <c r="B3056">
        <v>51</v>
      </c>
      <c r="C3056" t="str">
        <f t="shared" si="141"/>
        <v>Adult</v>
      </c>
      <c r="D3056" t="s">
        <v>11</v>
      </c>
      <c r="E3056" t="s">
        <v>33</v>
      </c>
      <c r="F3056" t="s">
        <v>40</v>
      </c>
      <c r="G3056">
        <v>203.75</v>
      </c>
      <c r="H3056" t="s">
        <v>14</v>
      </c>
      <c r="I3056" t="s">
        <v>15</v>
      </c>
      <c r="J3056">
        <v>3.4</v>
      </c>
      <c r="K3056">
        <v>11</v>
      </c>
      <c r="L3056">
        <f t="shared" si="142"/>
        <v>181.33750000000001</v>
      </c>
      <c r="M3056">
        <v>3</v>
      </c>
      <c r="N3056" t="str">
        <f t="shared" si="143"/>
        <v>New</v>
      </c>
    </row>
    <row r="3057" spans="1:14" x14ac:dyDescent="0.35">
      <c r="A3057">
        <v>3056</v>
      </c>
      <c r="B3057">
        <v>57</v>
      </c>
      <c r="C3057" t="str">
        <f t="shared" si="141"/>
        <v>Adult</v>
      </c>
      <c r="D3057" t="s">
        <v>11</v>
      </c>
      <c r="E3057" t="s">
        <v>22</v>
      </c>
      <c r="F3057" t="s">
        <v>43</v>
      </c>
      <c r="G3057">
        <v>145.76</v>
      </c>
      <c r="H3057" t="s">
        <v>31</v>
      </c>
      <c r="I3057" t="s">
        <v>15</v>
      </c>
      <c r="J3057">
        <v>3.2</v>
      </c>
      <c r="K3057">
        <v>14</v>
      </c>
      <c r="L3057">
        <f t="shared" si="142"/>
        <v>125.35359999999999</v>
      </c>
      <c r="M3057">
        <v>7</v>
      </c>
      <c r="N3057" t="str">
        <f t="shared" si="143"/>
        <v>Regular</v>
      </c>
    </row>
    <row r="3058" spans="1:14" x14ac:dyDescent="0.35">
      <c r="A3058">
        <v>3057</v>
      </c>
      <c r="B3058">
        <v>70</v>
      </c>
      <c r="C3058" t="str">
        <f t="shared" si="141"/>
        <v>Senior</v>
      </c>
      <c r="D3058" t="s">
        <v>11</v>
      </c>
      <c r="E3058" t="s">
        <v>33</v>
      </c>
      <c r="F3058" t="s">
        <v>34</v>
      </c>
      <c r="G3058">
        <v>221.59</v>
      </c>
      <c r="H3058" t="s">
        <v>19</v>
      </c>
      <c r="I3058" t="s">
        <v>15</v>
      </c>
      <c r="J3058">
        <v>3.8</v>
      </c>
      <c r="K3058">
        <v>13</v>
      </c>
      <c r="L3058">
        <f t="shared" si="142"/>
        <v>192.7833</v>
      </c>
      <c r="M3058">
        <v>4</v>
      </c>
      <c r="N3058" t="str">
        <f t="shared" si="143"/>
        <v>Regular</v>
      </c>
    </row>
    <row r="3059" spans="1:14" x14ac:dyDescent="0.35">
      <c r="A3059">
        <v>3058</v>
      </c>
      <c r="B3059">
        <v>22</v>
      </c>
      <c r="C3059" t="str">
        <f t="shared" si="141"/>
        <v>Youth</v>
      </c>
      <c r="D3059" t="s">
        <v>11</v>
      </c>
      <c r="E3059" t="s">
        <v>41</v>
      </c>
      <c r="F3059" t="s">
        <v>42</v>
      </c>
      <c r="G3059">
        <v>142.09</v>
      </c>
      <c r="H3059" t="s">
        <v>31</v>
      </c>
      <c r="I3059" t="s">
        <v>15</v>
      </c>
      <c r="J3059">
        <v>3.7</v>
      </c>
      <c r="K3059">
        <v>14</v>
      </c>
      <c r="L3059">
        <f t="shared" si="142"/>
        <v>122.1974</v>
      </c>
      <c r="M3059">
        <v>2</v>
      </c>
      <c r="N3059" t="str">
        <f t="shared" si="143"/>
        <v>New</v>
      </c>
    </row>
    <row r="3060" spans="1:14" x14ac:dyDescent="0.35">
      <c r="A3060">
        <v>3059</v>
      </c>
      <c r="B3060">
        <v>46</v>
      </c>
      <c r="C3060" t="str">
        <f t="shared" si="141"/>
        <v>Adult</v>
      </c>
      <c r="D3060" t="s">
        <v>16</v>
      </c>
      <c r="E3060" t="s">
        <v>17</v>
      </c>
      <c r="F3060" t="s">
        <v>42</v>
      </c>
      <c r="G3060">
        <v>149.84</v>
      </c>
      <c r="H3060" t="s">
        <v>24</v>
      </c>
      <c r="I3060" t="s">
        <v>15</v>
      </c>
      <c r="J3060">
        <v>3.9</v>
      </c>
      <c r="K3060">
        <v>8</v>
      </c>
      <c r="L3060">
        <f t="shared" si="142"/>
        <v>137.8528</v>
      </c>
      <c r="M3060">
        <v>4</v>
      </c>
      <c r="N3060" t="str">
        <f t="shared" si="143"/>
        <v>Regular</v>
      </c>
    </row>
    <row r="3061" spans="1:14" x14ac:dyDescent="0.35">
      <c r="A3061">
        <v>3060</v>
      </c>
      <c r="B3061">
        <v>33</v>
      </c>
      <c r="C3061" t="str">
        <f t="shared" si="141"/>
        <v>Adult</v>
      </c>
      <c r="D3061" t="s">
        <v>11</v>
      </c>
      <c r="E3061" t="s">
        <v>29</v>
      </c>
      <c r="F3061" t="s">
        <v>30</v>
      </c>
      <c r="G3061">
        <v>47.94</v>
      </c>
      <c r="H3061" t="s">
        <v>14</v>
      </c>
      <c r="I3061" t="s">
        <v>37</v>
      </c>
      <c r="J3061">
        <v>3.8</v>
      </c>
      <c r="K3061">
        <v>12</v>
      </c>
      <c r="L3061">
        <f t="shared" si="142"/>
        <v>42.187199999999997</v>
      </c>
      <c r="M3061">
        <v>6</v>
      </c>
      <c r="N3061" t="str">
        <f t="shared" si="143"/>
        <v>Regular</v>
      </c>
    </row>
    <row r="3062" spans="1:14" x14ac:dyDescent="0.35">
      <c r="A3062">
        <v>3061</v>
      </c>
      <c r="B3062">
        <v>28</v>
      </c>
      <c r="C3062" t="str">
        <f t="shared" si="141"/>
        <v>Youth</v>
      </c>
      <c r="D3062" t="s">
        <v>16</v>
      </c>
      <c r="E3062" t="s">
        <v>25</v>
      </c>
      <c r="F3062" t="s">
        <v>54</v>
      </c>
      <c r="G3062">
        <v>11.62</v>
      </c>
      <c r="H3062" t="s">
        <v>14</v>
      </c>
      <c r="I3062" t="s">
        <v>15</v>
      </c>
      <c r="J3062">
        <v>3.7</v>
      </c>
      <c r="K3062">
        <v>9</v>
      </c>
      <c r="L3062">
        <f t="shared" si="142"/>
        <v>10.574199999999999</v>
      </c>
      <c r="M3062">
        <v>2</v>
      </c>
      <c r="N3062" t="str">
        <f t="shared" si="143"/>
        <v>New</v>
      </c>
    </row>
    <row r="3063" spans="1:14" x14ac:dyDescent="0.35">
      <c r="A3063">
        <v>3062</v>
      </c>
      <c r="B3063">
        <v>39</v>
      </c>
      <c r="C3063" t="str">
        <f t="shared" si="141"/>
        <v>Adult</v>
      </c>
      <c r="D3063" t="s">
        <v>11</v>
      </c>
      <c r="E3063" t="s">
        <v>41</v>
      </c>
      <c r="F3063" t="s">
        <v>46</v>
      </c>
      <c r="G3063">
        <v>119.77</v>
      </c>
      <c r="H3063" t="s">
        <v>24</v>
      </c>
      <c r="I3063" t="s">
        <v>15</v>
      </c>
      <c r="J3063">
        <v>4</v>
      </c>
      <c r="K3063">
        <v>24</v>
      </c>
      <c r="L3063">
        <f t="shared" si="142"/>
        <v>91.025199999999998</v>
      </c>
      <c r="M3063">
        <v>7</v>
      </c>
      <c r="N3063" t="str">
        <f t="shared" si="143"/>
        <v>Regular</v>
      </c>
    </row>
    <row r="3064" spans="1:14" x14ac:dyDescent="0.35">
      <c r="A3064">
        <v>3063</v>
      </c>
      <c r="B3064">
        <v>60</v>
      </c>
      <c r="C3064" t="str">
        <f t="shared" si="141"/>
        <v>Adult</v>
      </c>
      <c r="D3064" t="s">
        <v>16</v>
      </c>
      <c r="E3064" t="s">
        <v>17</v>
      </c>
      <c r="F3064" t="s">
        <v>35</v>
      </c>
      <c r="G3064">
        <v>188.39</v>
      </c>
      <c r="H3064" t="s">
        <v>31</v>
      </c>
      <c r="I3064" t="s">
        <v>15</v>
      </c>
      <c r="J3064">
        <v>3.4</v>
      </c>
      <c r="K3064">
        <v>23</v>
      </c>
      <c r="L3064">
        <f t="shared" si="142"/>
        <v>145.06029999999998</v>
      </c>
      <c r="M3064">
        <v>9</v>
      </c>
      <c r="N3064" t="str">
        <f t="shared" si="143"/>
        <v>Loyal</v>
      </c>
    </row>
    <row r="3065" spans="1:14" x14ac:dyDescent="0.35">
      <c r="A3065">
        <v>3064</v>
      </c>
      <c r="B3065">
        <v>37</v>
      </c>
      <c r="C3065" t="str">
        <f t="shared" si="141"/>
        <v>Adult</v>
      </c>
      <c r="D3065" t="s">
        <v>16</v>
      </c>
      <c r="E3065" t="s">
        <v>25</v>
      </c>
      <c r="F3065" t="s">
        <v>54</v>
      </c>
      <c r="G3065">
        <v>70.239999999999995</v>
      </c>
      <c r="H3065" t="s">
        <v>14</v>
      </c>
      <c r="I3065" t="s">
        <v>37</v>
      </c>
      <c r="J3065">
        <v>4.3</v>
      </c>
      <c r="K3065">
        <v>28</v>
      </c>
      <c r="L3065">
        <f t="shared" si="142"/>
        <v>50.572799999999994</v>
      </c>
      <c r="M3065">
        <v>9</v>
      </c>
      <c r="N3065" t="str">
        <f t="shared" si="143"/>
        <v>Loyal</v>
      </c>
    </row>
    <row r="3066" spans="1:14" x14ac:dyDescent="0.35">
      <c r="A3066">
        <v>3065</v>
      </c>
      <c r="B3066">
        <v>40</v>
      </c>
      <c r="C3066" t="str">
        <f t="shared" si="141"/>
        <v>Adult</v>
      </c>
      <c r="D3066" t="s">
        <v>11</v>
      </c>
      <c r="E3066" t="s">
        <v>41</v>
      </c>
      <c r="F3066" t="s">
        <v>45</v>
      </c>
      <c r="G3066">
        <v>167.11</v>
      </c>
      <c r="H3066" t="s">
        <v>24</v>
      </c>
      <c r="I3066" t="s">
        <v>15</v>
      </c>
      <c r="J3066">
        <v>3.9</v>
      </c>
      <c r="K3066">
        <v>20</v>
      </c>
      <c r="L3066">
        <f t="shared" si="142"/>
        <v>133.68800000000002</v>
      </c>
      <c r="M3066">
        <v>5</v>
      </c>
      <c r="N3066" t="str">
        <f t="shared" si="143"/>
        <v>Regular</v>
      </c>
    </row>
    <row r="3067" spans="1:14" x14ac:dyDescent="0.35">
      <c r="A3067">
        <v>3066</v>
      </c>
      <c r="B3067">
        <v>56</v>
      </c>
      <c r="C3067" t="str">
        <f t="shared" si="141"/>
        <v>Adult</v>
      </c>
      <c r="D3067" t="s">
        <v>16</v>
      </c>
      <c r="E3067" t="s">
        <v>17</v>
      </c>
      <c r="F3067" t="s">
        <v>42</v>
      </c>
      <c r="G3067">
        <v>108.75</v>
      </c>
      <c r="H3067" t="s">
        <v>14</v>
      </c>
      <c r="I3067" t="s">
        <v>15</v>
      </c>
      <c r="J3067">
        <v>4.4000000000000004</v>
      </c>
      <c r="K3067">
        <v>22</v>
      </c>
      <c r="L3067">
        <f t="shared" si="142"/>
        <v>84.825000000000003</v>
      </c>
      <c r="M3067">
        <v>6</v>
      </c>
      <c r="N3067" t="str">
        <f t="shared" si="143"/>
        <v>Regular</v>
      </c>
    </row>
    <row r="3068" spans="1:14" x14ac:dyDescent="0.35">
      <c r="A3068">
        <v>3067</v>
      </c>
      <c r="B3068">
        <v>42</v>
      </c>
      <c r="C3068" t="str">
        <f t="shared" si="141"/>
        <v>Adult</v>
      </c>
      <c r="D3068" t="s">
        <v>16</v>
      </c>
      <c r="E3068" t="s">
        <v>33</v>
      </c>
      <c r="F3068" t="s">
        <v>34</v>
      </c>
      <c r="G3068">
        <v>234.89</v>
      </c>
      <c r="H3068" t="s">
        <v>24</v>
      </c>
      <c r="I3068" t="s">
        <v>15</v>
      </c>
      <c r="J3068">
        <v>4.0999999999999996</v>
      </c>
      <c r="K3068">
        <v>4</v>
      </c>
      <c r="L3068">
        <f t="shared" si="142"/>
        <v>225.49439999999998</v>
      </c>
      <c r="M3068">
        <v>2</v>
      </c>
      <c r="N3068" t="str">
        <f t="shared" si="143"/>
        <v>New</v>
      </c>
    </row>
    <row r="3069" spans="1:14" x14ac:dyDescent="0.35">
      <c r="A3069">
        <v>3068</v>
      </c>
      <c r="B3069">
        <v>35</v>
      </c>
      <c r="C3069" t="str">
        <f t="shared" si="141"/>
        <v>Adult</v>
      </c>
      <c r="D3069" t="s">
        <v>11</v>
      </c>
      <c r="E3069" t="s">
        <v>33</v>
      </c>
      <c r="F3069" t="s">
        <v>40</v>
      </c>
      <c r="G3069">
        <v>203.24</v>
      </c>
      <c r="H3069" t="s">
        <v>19</v>
      </c>
      <c r="I3069" t="s">
        <v>15</v>
      </c>
      <c r="J3069">
        <v>3.8</v>
      </c>
      <c r="K3069">
        <v>20</v>
      </c>
      <c r="L3069">
        <f t="shared" si="142"/>
        <v>162.59200000000001</v>
      </c>
      <c r="M3069">
        <v>5</v>
      </c>
      <c r="N3069" t="str">
        <f t="shared" si="143"/>
        <v>Regular</v>
      </c>
    </row>
    <row r="3070" spans="1:14" x14ac:dyDescent="0.35">
      <c r="A3070">
        <v>3069</v>
      </c>
      <c r="B3070">
        <v>31</v>
      </c>
      <c r="C3070" t="str">
        <f t="shared" si="141"/>
        <v>Adult</v>
      </c>
      <c r="D3070" t="s">
        <v>16</v>
      </c>
      <c r="E3070" t="s">
        <v>33</v>
      </c>
      <c r="F3070" t="s">
        <v>34</v>
      </c>
      <c r="G3070">
        <v>118.39</v>
      </c>
      <c r="H3070" t="s">
        <v>24</v>
      </c>
      <c r="I3070" t="s">
        <v>15</v>
      </c>
      <c r="J3070">
        <v>4.4000000000000004</v>
      </c>
      <c r="K3070">
        <v>15</v>
      </c>
      <c r="L3070">
        <f t="shared" si="142"/>
        <v>100.6315</v>
      </c>
      <c r="M3070">
        <v>5</v>
      </c>
      <c r="N3070" t="str">
        <f t="shared" si="143"/>
        <v>Regular</v>
      </c>
    </row>
    <row r="3071" spans="1:14" x14ac:dyDescent="0.35">
      <c r="A3071">
        <v>3070</v>
      </c>
      <c r="B3071">
        <v>66</v>
      </c>
      <c r="C3071" t="str">
        <f t="shared" si="141"/>
        <v>Senior</v>
      </c>
      <c r="D3071" t="s">
        <v>11</v>
      </c>
      <c r="E3071" t="s">
        <v>29</v>
      </c>
      <c r="F3071" t="s">
        <v>30</v>
      </c>
      <c r="G3071">
        <v>105.89</v>
      </c>
      <c r="H3071" t="s">
        <v>19</v>
      </c>
      <c r="I3071" t="s">
        <v>15</v>
      </c>
      <c r="J3071">
        <v>3.5</v>
      </c>
      <c r="K3071">
        <v>26</v>
      </c>
      <c r="L3071">
        <f t="shared" si="142"/>
        <v>78.358599999999996</v>
      </c>
      <c r="M3071">
        <v>8</v>
      </c>
      <c r="N3071" t="str">
        <f t="shared" si="143"/>
        <v>Loyal</v>
      </c>
    </row>
    <row r="3072" spans="1:14" x14ac:dyDescent="0.35">
      <c r="A3072">
        <v>3071</v>
      </c>
      <c r="B3072">
        <v>59</v>
      </c>
      <c r="C3072" t="str">
        <f t="shared" si="141"/>
        <v>Adult</v>
      </c>
      <c r="D3072" t="s">
        <v>16</v>
      </c>
      <c r="E3072" t="s">
        <v>27</v>
      </c>
      <c r="F3072" t="s">
        <v>28</v>
      </c>
      <c r="G3072">
        <v>2313.37</v>
      </c>
      <c r="H3072" t="s">
        <v>31</v>
      </c>
      <c r="I3072" t="s">
        <v>15</v>
      </c>
      <c r="J3072">
        <v>3</v>
      </c>
      <c r="K3072">
        <v>18</v>
      </c>
      <c r="L3072">
        <f t="shared" si="142"/>
        <v>1896.9634000000001</v>
      </c>
      <c r="M3072">
        <v>4</v>
      </c>
      <c r="N3072" t="str">
        <f t="shared" si="143"/>
        <v>Regular</v>
      </c>
    </row>
    <row r="3073" spans="1:14" x14ac:dyDescent="0.35">
      <c r="A3073">
        <v>3072</v>
      </c>
      <c r="B3073">
        <v>34</v>
      </c>
      <c r="C3073" t="str">
        <f t="shared" si="141"/>
        <v>Adult</v>
      </c>
      <c r="D3073" t="s">
        <v>11</v>
      </c>
      <c r="E3073" t="s">
        <v>22</v>
      </c>
      <c r="F3073" t="s">
        <v>23</v>
      </c>
      <c r="G3073">
        <v>158.41999999999999</v>
      </c>
      <c r="H3073" t="s">
        <v>24</v>
      </c>
      <c r="I3073" t="s">
        <v>15</v>
      </c>
      <c r="J3073">
        <v>4.7</v>
      </c>
      <c r="K3073">
        <v>17</v>
      </c>
      <c r="L3073">
        <f t="shared" si="142"/>
        <v>131.48859999999999</v>
      </c>
      <c r="M3073">
        <v>6</v>
      </c>
      <c r="N3073" t="str">
        <f t="shared" si="143"/>
        <v>Regular</v>
      </c>
    </row>
    <row r="3074" spans="1:14" x14ac:dyDescent="0.35">
      <c r="A3074">
        <v>3073</v>
      </c>
      <c r="B3074">
        <v>33</v>
      </c>
      <c r="C3074" t="str">
        <f t="shared" si="141"/>
        <v>Adult</v>
      </c>
      <c r="D3074" t="s">
        <v>16</v>
      </c>
      <c r="E3074" t="s">
        <v>20</v>
      </c>
      <c r="F3074" t="s">
        <v>36</v>
      </c>
      <c r="G3074">
        <v>59.3</v>
      </c>
      <c r="H3074" t="s">
        <v>19</v>
      </c>
      <c r="I3074" t="s">
        <v>15</v>
      </c>
      <c r="J3074">
        <v>3</v>
      </c>
      <c r="K3074">
        <v>18</v>
      </c>
      <c r="L3074">
        <f t="shared" si="142"/>
        <v>48.626000000000005</v>
      </c>
      <c r="M3074">
        <v>4</v>
      </c>
      <c r="N3074" t="str">
        <f t="shared" si="143"/>
        <v>Regular</v>
      </c>
    </row>
    <row r="3075" spans="1:14" x14ac:dyDescent="0.35">
      <c r="A3075">
        <v>3074</v>
      </c>
      <c r="B3075">
        <v>40</v>
      </c>
      <c r="C3075" t="str">
        <f t="shared" ref="C3075:C3138" si="144">IF(B3075&lt;=30,"Youth",IF(B3075&lt;=45,"Adult",IF(B3075&lt;=60,"Adult","Senior")))</f>
        <v>Adult</v>
      </c>
      <c r="D3075" t="s">
        <v>16</v>
      </c>
      <c r="E3075" t="s">
        <v>17</v>
      </c>
      <c r="F3075" t="s">
        <v>18</v>
      </c>
      <c r="G3075">
        <v>191.84</v>
      </c>
      <c r="H3075" t="s">
        <v>31</v>
      </c>
      <c r="I3075" t="s">
        <v>15</v>
      </c>
      <c r="J3075">
        <v>3.5</v>
      </c>
      <c r="K3075">
        <v>21</v>
      </c>
      <c r="L3075">
        <f t="shared" ref="L3075:L3138" si="145">G3075*(1-K3075/100)</f>
        <v>151.55360000000002</v>
      </c>
      <c r="M3075">
        <v>8</v>
      </c>
      <c r="N3075" t="str">
        <f t="shared" ref="N3075:N3138" si="146">IF(M3075&lt;=3,"New",IF(M3075&lt;=7,"Regular","Loyal"))</f>
        <v>Loyal</v>
      </c>
    </row>
    <row r="3076" spans="1:14" x14ac:dyDescent="0.35">
      <c r="A3076">
        <v>3075</v>
      </c>
      <c r="B3076">
        <v>38</v>
      </c>
      <c r="C3076" t="str">
        <f t="shared" si="144"/>
        <v>Adult</v>
      </c>
      <c r="D3076" t="s">
        <v>11</v>
      </c>
      <c r="E3076" t="s">
        <v>22</v>
      </c>
      <c r="F3076" t="s">
        <v>52</v>
      </c>
      <c r="G3076">
        <v>164.04</v>
      </c>
      <c r="H3076" t="s">
        <v>31</v>
      </c>
      <c r="I3076" t="s">
        <v>15</v>
      </c>
      <c r="J3076">
        <v>3.9</v>
      </c>
      <c r="K3076">
        <v>12</v>
      </c>
      <c r="L3076">
        <f t="shared" si="145"/>
        <v>144.3552</v>
      </c>
      <c r="M3076">
        <v>6</v>
      </c>
      <c r="N3076" t="str">
        <f t="shared" si="146"/>
        <v>Regular</v>
      </c>
    </row>
    <row r="3077" spans="1:14" x14ac:dyDescent="0.35">
      <c r="A3077">
        <v>3076</v>
      </c>
      <c r="B3077">
        <v>65</v>
      </c>
      <c r="C3077" t="str">
        <f t="shared" si="144"/>
        <v>Senior</v>
      </c>
      <c r="D3077" t="s">
        <v>16</v>
      </c>
      <c r="E3077" t="s">
        <v>33</v>
      </c>
      <c r="F3077" t="s">
        <v>40</v>
      </c>
      <c r="G3077">
        <v>84.56</v>
      </c>
      <c r="H3077" t="s">
        <v>31</v>
      </c>
      <c r="I3077" t="s">
        <v>15</v>
      </c>
      <c r="J3077">
        <v>3.3</v>
      </c>
      <c r="K3077">
        <v>15</v>
      </c>
      <c r="L3077">
        <f t="shared" si="145"/>
        <v>71.876000000000005</v>
      </c>
      <c r="M3077">
        <v>5</v>
      </c>
      <c r="N3077" t="str">
        <f t="shared" si="146"/>
        <v>Regular</v>
      </c>
    </row>
    <row r="3078" spans="1:14" x14ac:dyDescent="0.35">
      <c r="A3078">
        <v>3077</v>
      </c>
      <c r="B3078">
        <v>37</v>
      </c>
      <c r="C3078" t="str">
        <f t="shared" si="144"/>
        <v>Adult</v>
      </c>
      <c r="D3078" t="s">
        <v>11</v>
      </c>
      <c r="E3078" t="s">
        <v>41</v>
      </c>
      <c r="F3078" t="s">
        <v>44</v>
      </c>
      <c r="G3078">
        <v>54.47</v>
      </c>
      <c r="H3078" t="s">
        <v>14</v>
      </c>
      <c r="I3078" t="s">
        <v>37</v>
      </c>
      <c r="J3078">
        <v>3.9</v>
      </c>
      <c r="K3078">
        <v>15</v>
      </c>
      <c r="L3078">
        <f t="shared" si="145"/>
        <v>46.299499999999995</v>
      </c>
      <c r="M3078">
        <v>5</v>
      </c>
      <c r="N3078" t="str">
        <f t="shared" si="146"/>
        <v>Regular</v>
      </c>
    </row>
    <row r="3079" spans="1:14" x14ac:dyDescent="0.35">
      <c r="A3079">
        <v>3078</v>
      </c>
      <c r="B3079">
        <v>37</v>
      </c>
      <c r="C3079" t="str">
        <f t="shared" si="144"/>
        <v>Adult</v>
      </c>
      <c r="D3079" t="s">
        <v>11</v>
      </c>
      <c r="E3079" t="s">
        <v>29</v>
      </c>
      <c r="F3079" t="s">
        <v>51</v>
      </c>
      <c r="G3079">
        <v>52.5</v>
      </c>
      <c r="H3079" t="s">
        <v>24</v>
      </c>
      <c r="I3079" t="s">
        <v>15</v>
      </c>
      <c r="J3079">
        <v>4.3</v>
      </c>
      <c r="K3079">
        <v>21</v>
      </c>
      <c r="L3079">
        <f t="shared" si="145"/>
        <v>41.475000000000001</v>
      </c>
      <c r="M3079">
        <v>8</v>
      </c>
      <c r="N3079" t="str">
        <f t="shared" si="146"/>
        <v>Loyal</v>
      </c>
    </row>
    <row r="3080" spans="1:14" x14ac:dyDescent="0.35">
      <c r="A3080">
        <v>3079</v>
      </c>
      <c r="B3080">
        <v>46</v>
      </c>
      <c r="C3080" t="str">
        <f t="shared" si="144"/>
        <v>Adult</v>
      </c>
      <c r="D3080" t="s">
        <v>16</v>
      </c>
      <c r="E3080" t="s">
        <v>27</v>
      </c>
      <c r="F3080" t="s">
        <v>49</v>
      </c>
      <c r="G3080">
        <v>1239.45</v>
      </c>
      <c r="H3080" t="s">
        <v>19</v>
      </c>
      <c r="I3080" t="s">
        <v>15</v>
      </c>
      <c r="J3080">
        <v>4.0999999999999996</v>
      </c>
      <c r="K3080">
        <v>13</v>
      </c>
      <c r="L3080">
        <f t="shared" si="145"/>
        <v>1078.3215</v>
      </c>
      <c r="M3080">
        <v>4</v>
      </c>
      <c r="N3080" t="str">
        <f t="shared" si="146"/>
        <v>Regular</v>
      </c>
    </row>
    <row r="3081" spans="1:14" x14ac:dyDescent="0.35">
      <c r="A3081">
        <v>3080</v>
      </c>
      <c r="B3081">
        <v>30</v>
      </c>
      <c r="C3081" t="str">
        <f t="shared" si="144"/>
        <v>Youth</v>
      </c>
      <c r="D3081" t="s">
        <v>11</v>
      </c>
      <c r="E3081" t="s">
        <v>41</v>
      </c>
      <c r="F3081" t="s">
        <v>44</v>
      </c>
      <c r="G3081">
        <v>99.88</v>
      </c>
      <c r="H3081" t="s">
        <v>24</v>
      </c>
      <c r="I3081" t="s">
        <v>15</v>
      </c>
      <c r="J3081">
        <v>3.3</v>
      </c>
      <c r="K3081">
        <v>14</v>
      </c>
      <c r="L3081">
        <f t="shared" si="145"/>
        <v>85.896799999999999</v>
      </c>
      <c r="M3081">
        <v>2</v>
      </c>
      <c r="N3081" t="str">
        <f t="shared" si="146"/>
        <v>New</v>
      </c>
    </row>
    <row r="3082" spans="1:14" x14ac:dyDescent="0.35">
      <c r="A3082">
        <v>3081</v>
      </c>
      <c r="B3082">
        <v>42</v>
      </c>
      <c r="C3082" t="str">
        <f t="shared" si="144"/>
        <v>Adult</v>
      </c>
      <c r="D3082" t="s">
        <v>11</v>
      </c>
      <c r="E3082" t="s">
        <v>33</v>
      </c>
      <c r="F3082" t="s">
        <v>38</v>
      </c>
      <c r="G3082">
        <v>73.33</v>
      </c>
      <c r="H3082" t="s">
        <v>31</v>
      </c>
      <c r="I3082" t="s">
        <v>37</v>
      </c>
      <c r="J3082">
        <v>4.5999999999999996</v>
      </c>
      <c r="K3082">
        <v>22</v>
      </c>
      <c r="L3082">
        <f t="shared" si="145"/>
        <v>57.197400000000002</v>
      </c>
      <c r="M3082">
        <v>6</v>
      </c>
      <c r="N3082" t="str">
        <f t="shared" si="146"/>
        <v>Regular</v>
      </c>
    </row>
    <row r="3083" spans="1:14" x14ac:dyDescent="0.35">
      <c r="A3083">
        <v>3082</v>
      </c>
      <c r="B3083">
        <v>25</v>
      </c>
      <c r="C3083" t="str">
        <f t="shared" si="144"/>
        <v>Youth</v>
      </c>
      <c r="D3083" t="s">
        <v>16</v>
      </c>
      <c r="E3083" t="s">
        <v>27</v>
      </c>
      <c r="F3083" t="s">
        <v>28</v>
      </c>
      <c r="G3083">
        <v>727.7</v>
      </c>
      <c r="H3083" t="s">
        <v>19</v>
      </c>
      <c r="I3083" t="s">
        <v>15</v>
      </c>
      <c r="J3083">
        <v>3.6</v>
      </c>
      <c r="K3083">
        <v>18</v>
      </c>
      <c r="L3083">
        <f t="shared" si="145"/>
        <v>596.71400000000006</v>
      </c>
      <c r="M3083">
        <v>4</v>
      </c>
      <c r="N3083" t="str">
        <f t="shared" si="146"/>
        <v>Regular</v>
      </c>
    </row>
    <row r="3084" spans="1:14" x14ac:dyDescent="0.35">
      <c r="A3084">
        <v>3083</v>
      </c>
      <c r="B3084">
        <v>48</v>
      </c>
      <c r="C3084" t="str">
        <f t="shared" si="144"/>
        <v>Adult</v>
      </c>
      <c r="D3084" t="s">
        <v>11</v>
      </c>
      <c r="E3084" t="s">
        <v>12</v>
      </c>
      <c r="F3084" t="s">
        <v>50</v>
      </c>
      <c r="G3084">
        <v>59.04</v>
      </c>
      <c r="H3084" t="s">
        <v>24</v>
      </c>
      <c r="I3084" t="s">
        <v>15</v>
      </c>
      <c r="J3084">
        <v>4.0999999999999996</v>
      </c>
      <c r="K3084">
        <v>18</v>
      </c>
      <c r="L3084">
        <f t="shared" si="145"/>
        <v>48.412800000000004</v>
      </c>
      <c r="M3084">
        <v>9</v>
      </c>
      <c r="N3084" t="str">
        <f t="shared" si="146"/>
        <v>Loyal</v>
      </c>
    </row>
    <row r="3085" spans="1:14" x14ac:dyDescent="0.35">
      <c r="A3085">
        <v>3084</v>
      </c>
      <c r="B3085">
        <v>39</v>
      </c>
      <c r="C3085" t="str">
        <f t="shared" si="144"/>
        <v>Adult</v>
      </c>
      <c r="D3085" t="s">
        <v>11</v>
      </c>
      <c r="E3085" t="s">
        <v>20</v>
      </c>
      <c r="F3085" t="s">
        <v>36</v>
      </c>
      <c r="G3085">
        <v>178.47</v>
      </c>
      <c r="H3085" t="s">
        <v>31</v>
      </c>
      <c r="I3085" t="s">
        <v>15</v>
      </c>
      <c r="J3085">
        <v>3.2</v>
      </c>
      <c r="K3085">
        <v>10</v>
      </c>
      <c r="L3085">
        <f t="shared" si="145"/>
        <v>160.62299999999999</v>
      </c>
      <c r="M3085">
        <v>5</v>
      </c>
      <c r="N3085" t="str">
        <f t="shared" si="146"/>
        <v>Regular</v>
      </c>
    </row>
    <row r="3086" spans="1:14" x14ac:dyDescent="0.35">
      <c r="A3086">
        <v>3085</v>
      </c>
      <c r="B3086">
        <v>51</v>
      </c>
      <c r="C3086" t="str">
        <f t="shared" si="144"/>
        <v>Adult</v>
      </c>
      <c r="D3086" t="s">
        <v>11</v>
      </c>
      <c r="E3086" t="s">
        <v>12</v>
      </c>
      <c r="F3086" t="s">
        <v>50</v>
      </c>
      <c r="G3086">
        <v>150.63999999999999</v>
      </c>
      <c r="H3086" t="s">
        <v>19</v>
      </c>
      <c r="I3086" t="s">
        <v>15</v>
      </c>
      <c r="J3086">
        <v>3.6</v>
      </c>
      <c r="K3086">
        <v>17</v>
      </c>
      <c r="L3086">
        <f t="shared" si="145"/>
        <v>125.03119999999998</v>
      </c>
      <c r="M3086">
        <v>6</v>
      </c>
      <c r="N3086" t="str">
        <f t="shared" si="146"/>
        <v>Regular</v>
      </c>
    </row>
    <row r="3087" spans="1:14" x14ac:dyDescent="0.35">
      <c r="A3087">
        <v>3086</v>
      </c>
      <c r="B3087">
        <v>54</v>
      </c>
      <c r="C3087" t="str">
        <f t="shared" si="144"/>
        <v>Adult</v>
      </c>
      <c r="D3087" t="s">
        <v>16</v>
      </c>
      <c r="E3087" t="s">
        <v>33</v>
      </c>
      <c r="F3087" t="s">
        <v>34</v>
      </c>
      <c r="G3087">
        <v>93.5</v>
      </c>
      <c r="H3087" t="s">
        <v>24</v>
      </c>
      <c r="I3087" t="s">
        <v>37</v>
      </c>
      <c r="J3087">
        <v>3</v>
      </c>
      <c r="K3087">
        <v>17</v>
      </c>
      <c r="L3087">
        <f t="shared" si="145"/>
        <v>77.60499999999999</v>
      </c>
      <c r="M3087">
        <v>6</v>
      </c>
      <c r="N3087" t="str">
        <f t="shared" si="146"/>
        <v>Regular</v>
      </c>
    </row>
    <row r="3088" spans="1:14" x14ac:dyDescent="0.35">
      <c r="A3088">
        <v>3087</v>
      </c>
      <c r="B3088">
        <v>52</v>
      </c>
      <c r="C3088" t="str">
        <f t="shared" si="144"/>
        <v>Adult</v>
      </c>
      <c r="D3088" t="s">
        <v>16</v>
      </c>
      <c r="E3088" t="s">
        <v>17</v>
      </c>
      <c r="F3088" t="s">
        <v>35</v>
      </c>
      <c r="G3088">
        <v>37.229999999999997</v>
      </c>
      <c r="H3088" t="s">
        <v>24</v>
      </c>
      <c r="I3088" t="s">
        <v>15</v>
      </c>
      <c r="J3088">
        <v>3.9</v>
      </c>
      <c r="K3088">
        <v>9</v>
      </c>
      <c r="L3088">
        <f t="shared" si="145"/>
        <v>33.879300000000001</v>
      </c>
      <c r="M3088">
        <v>2</v>
      </c>
      <c r="N3088" t="str">
        <f t="shared" si="146"/>
        <v>New</v>
      </c>
    </row>
    <row r="3089" spans="1:14" x14ac:dyDescent="0.35">
      <c r="A3089">
        <v>3088</v>
      </c>
      <c r="B3089">
        <v>52</v>
      </c>
      <c r="C3089" t="str">
        <f t="shared" si="144"/>
        <v>Adult</v>
      </c>
      <c r="D3089" t="s">
        <v>11</v>
      </c>
      <c r="E3089" t="s">
        <v>33</v>
      </c>
      <c r="F3089" t="s">
        <v>38</v>
      </c>
      <c r="G3089">
        <v>203.27</v>
      </c>
      <c r="H3089" t="s">
        <v>31</v>
      </c>
      <c r="I3089" t="s">
        <v>15</v>
      </c>
      <c r="J3089">
        <v>4.5999999999999996</v>
      </c>
      <c r="K3089">
        <v>4</v>
      </c>
      <c r="L3089">
        <f t="shared" si="145"/>
        <v>195.13920000000002</v>
      </c>
      <c r="M3089">
        <v>2</v>
      </c>
      <c r="N3089" t="str">
        <f t="shared" si="146"/>
        <v>New</v>
      </c>
    </row>
    <row r="3090" spans="1:14" x14ac:dyDescent="0.35">
      <c r="A3090">
        <v>3089</v>
      </c>
      <c r="B3090">
        <v>26</v>
      </c>
      <c r="C3090" t="str">
        <f t="shared" si="144"/>
        <v>Youth</v>
      </c>
      <c r="D3090" t="s">
        <v>16</v>
      </c>
      <c r="E3090" t="s">
        <v>20</v>
      </c>
      <c r="F3090" t="s">
        <v>21</v>
      </c>
      <c r="G3090">
        <v>178.08</v>
      </c>
      <c r="H3090" t="s">
        <v>24</v>
      </c>
      <c r="I3090" t="s">
        <v>15</v>
      </c>
      <c r="J3090">
        <v>3.9</v>
      </c>
      <c r="K3090">
        <v>4</v>
      </c>
      <c r="L3090">
        <f t="shared" si="145"/>
        <v>170.95680000000002</v>
      </c>
      <c r="M3090">
        <v>2</v>
      </c>
      <c r="N3090" t="str">
        <f t="shared" si="146"/>
        <v>New</v>
      </c>
    </row>
    <row r="3091" spans="1:14" x14ac:dyDescent="0.35">
      <c r="A3091">
        <v>3090</v>
      </c>
      <c r="B3091">
        <v>66</v>
      </c>
      <c r="C3091" t="str">
        <f t="shared" si="144"/>
        <v>Senior</v>
      </c>
      <c r="D3091" t="s">
        <v>11</v>
      </c>
      <c r="E3091" t="s">
        <v>12</v>
      </c>
      <c r="F3091" t="s">
        <v>56</v>
      </c>
      <c r="G3091">
        <v>110.97</v>
      </c>
      <c r="H3091" t="s">
        <v>24</v>
      </c>
      <c r="I3091" t="s">
        <v>15</v>
      </c>
      <c r="J3091">
        <v>3.7</v>
      </c>
      <c r="K3091">
        <v>13</v>
      </c>
      <c r="L3091">
        <f t="shared" si="145"/>
        <v>96.543899999999994</v>
      </c>
      <c r="M3091">
        <v>4</v>
      </c>
      <c r="N3091" t="str">
        <f t="shared" si="146"/>
        <v>Regular</v>
      </c>
    </row>
    <row r="3092" spans="1:14" x14ac:dyDescent="0.35">
      <c r="A3092">
        <v>3091</v>
      </c>
      <c r="B3092">
        <v>67</v>
      </c>
      <c r="C3092" t="str">
        <f t="shared" si="144"/>
        <v>Senior</v>
      </c>
      <c r="D3092" t="s">
        <v>16</v>
      </c>
      <c r="E3092" t="s">
        <v>27</v>
      </c>
      <c r="F3092" t="s">
        <v>28</v>
      </c>
      <c r="G3092">
        <v>2107.08</v>
      </c>
      <c r="H3092" t="s">
        <v>31</v>
      </c>
      <c r="I3092" t="s">
        <v>15</v>
      </c>
      <c r="J3092">
        <v>4.5</v>
      </c>
      <c r="K3092">
        <v>10</v>
      </c>
      <c r="L3092">
        <f t="shared" si="145"/>
        <v>1896.3720000000001</v>
      </c>
      <c r="M3092">
        <v>5</v>
      </c>
      <c r="N3092" t="str">
        <f t="shared" si="146"/>
        <v>Regular</v>
      </c>
    </row>
    <row r="3093" spans="1:14" x14ac:dyDescent="0.35">
      <c r="A3093">
        <v>3092</v>
      </c>
      <c r="B3093">
        <v>30</v>
      </c>
      <c r="C3093" t="str">
        <f t="shared" si="144"/>
        <v>Youth</v>
      </c>
      <c r="D3093" t="s">
        <v>11</v>
      </c>
      <c r="E3093" t="s">
        <v>12</v>
      </c>
      <c r="F3093" t="s">
        <v>13</v>
      </c>
      <c r="G3093">
        <v>143.83000000000001</v>
      </c>
      <c r="H3093" t="s">
        <v>19</v>
      </c>
      <c r="I3093" t="s">
        <v>15</v>
      </c>
      <c r="J3093">
        <v>3.8</v>
      </c>
      <c r="K3093">
        <v>19</v>
      </c>
      <c r="L3093">
        <f t="shared" si="145"/>
        <v>116.50230000000002</v>
      </c>
      <c r="M3093">
        <v>7</v>
      </c>
      <c r="N3093" t="str">
        <f t="shared" si="146"/>
        <v>Regular</v>
      </c>
    </row>
    <row r="3094" spans="1:14" x14ac:dyDescent="0.35">
      <c r="A3094">
        <v>3093</v>
      </c>
      <c r="B3094">
        <v>37</v>
      </c>
      <c r="C3094" t="str">
        <f t="shared" si="144"/>
        <v>Adult</v>
      </c>
      <c r="D3094" t="s">
        <v>16</v>
      </c>
      <c r="E3094" t="s">
        <v>20</v>
      </c>
      <c r="F3094" t="s">
        <v>39</v>
      </c>
      <c r="G3094">
        <v>140.4</v>
      </c>
      <c r="H3094" t="s">
        <v>19</v>
      </c>
      <c r="I3094" t="s">
        <v>15</v>
      </c>
      <c r="J3094">
        <v>3.8</v>
      </c>
      <c r="K3094">
        <v>15</v>
      </c>
      <c r="L3094">
        <f t="shared" si="145"/>
        <v>119.34</v>
      </c>
      <c r="M3094">
        <v>5</v>
      </c>
      <c r="N3094" t="str">
        <f t="shared" si="146"/>
        <v>Regular</v>
      </c>
    </row>
    <row r="3095" spans="1:14" x14ac:dyDescent="0.35">
      <c r="A3095">
        <v>3094</v>
      </c>
      <c r="B3095">
        <v>64</v>
      </c>
      <c r="C3095" t="str">
        <f t="shared" si="144"/>
        <v>Senior</v>
      </c>
      <c r="D3095" t="s">
        <v>11</v>
      </c>
      <c r="E3095" t="s">
        <v>29</v>
      </c>
      <c r="F3095" t="s">
        <v>51</v>
      </c>
      <c r="G3095">
        <v>145.84</v>
      </c>
      <c r="H3095" t="s">
        <v>24</v>
      </c>
      <c r="I3095" t="s">
        <v>15</v>
      </c>
      <c r="J3095">
        <v>4</v>
      </c>
      <c r="K3095">
        <v>4</v>
      </c>
      <c r="L3095">
        <f t="shared" si="145"/>
        <v>140.00639999999999</v>
      </c>
      <c r="M3095">
        <v>2</v>
      </c>
      <c r="N3095" t="str">
        <f t="shared" si="146"/>
        <v>New</v>
      </c>
    </row>
    <row r="3096" spans="1:14" x14ac:dyDescent="0.35">
      <c r="A3096">
        <v>3095</v>
      </c>
      <c r="B3096">
        <v>43</v>
      </c>
      <c r="C3096" t="str">
        <f t="shared" si="144"/>
        <v>Adult</v>
      </c>
      <c r="D3096" t="s">
        <v>16</v>
      </c>
      <c r="E3096" t="s">
        <v>22</v>
      </c>
      <c r="F3096" t="s">
        <v>23</v>
      </c>
      <c r="G3096">
        <v>50.1</v>
      </c>
      <c r="H3096" t="s">
        <v>19</v>
      </c>
      <c r="I3096" t="s">
        <v>37</v>
      </c>
      <c r="J3096">
        <v>4.5</v>
      </c>
      <c r="K3096">
        <v>22</v>
      </c>
      <c r="L3096">
        <f t="shared" si="145"/>
        <v>39.078000000000003</v>
      </c>
      <c r="M3096">
        <v>6</v>
      </c>
      <c r="N3096" t="str">
        <f t="shared" si="146"/>
        <v>Regular</v>
      </c>
    </row>
    <row r="3097" spans="1:14" x14ac:dyDescent="0.35">
      <c r="A3097">
        <v>3096</v>
      </c>
      <c r="B3097">
        <v>56</v>
      </c>
      <c r="C3097" t="str">
        <f t="shared" si="144"/>
        <v>Adult</v>
      </c>
      <c r="D3097" t="s">
        <v>16</v>
      </c>
      <c r="E3097" t="s">
        <v>27</v>
      </c>
      <c r="F3097" t="s">
        <v>49</v>
      </c>
      <c r="G3097">
        <v>1390.67</v>
      </c>
      <c r="H3097" t="s">
        <v>19</v>
      </c>
      <c r="I3097" t="s">
        <v>15</v>
      </c>
      <c r="J3097">
        <v>4.4000000000000004</v>
      </c>
      <c r="K3097">
        <v>20</v>
      </c>
      <c r="L3097">
        <f t="shared" si="145"/>
        <v>1112.5360000000001</v>
      </c>
      <c r="M3097">
        <v>5</v>
      </c>
      <c r="N3097" t="str">
        <f t="shared" si="146"/>
        <v>Regular</v>
      </c>
    </row>
    <row r="3098" spans="1:14" x14ac:dyDescent="0.35">
      <c r="A3098">
        <v>3097</v>
      </c>
      <c r="B3098">
        <v>42</v>
      </c>
      <c r="C3098" t="str">
        <f t="shared" si="144"/>
        <v>Adult</v>
      </c>
      <c r="D3098" t="s">
        <v>11</v>
      </c>
      <c r="E3098" t="s">
        <v>20</v>
      </c>
      <c r="F3098" t="s">
        <v>39</v>
      </c>
      <c r="G3098">
        <v>54.94</v>
      </c>
      <c r="H3098" t="s">
        <v>31</v>
      </c>
      <c r="I3098" t="s">
        <v>37</v>
      </c>
      <c r="J3098">
        <v>4</v>
      </c>
      <c r="K3098">
        <v>8</v>
      </c>
      <c r="L3098">
        <f t="shared" si="145"/>
        <v>50.544800000000002</v>
      </c>
      <c r="M3098">
        <v>4</v>
      </c>
      <c r="N3098" t="str">
        <f t="shared" si="146"/>
        <v>Regular</v>
      </c>
    </row>
    <row r="3099" spans="1:14" x14ac:dyDescent="0.35">
      <c r="A3099">
        <v>3098</v>
      </c>
      <c r="B3099">
        <v>61</v>
      </c>
      <c r="C3099" t="str">
        <f t="shared" si="144"/>
        <v>Senior</v>
      </c>
      <c r="D3099" t="s">
        <v>16</v>
      </c>
      <c r="E3099" t="s">
        <v>33</v>
      </c>
      <c r="F3099" t="s">
        <v>38</v>
      </c>
      <c r="G3099">
        <v>214.2</v>
      </c>
      <c r="H3099" t="s">
        <v>19</v>
      </c>
      <c r="I3099" t="s">
        <v>15</v>
      </c>
      <c r="J3099">
        <v>4.9000000000000004</v>
      </c>
      <c r="K3099">
        <v>20</v>
      </c>
      <c r="L3099">
        <f t="shared" si="145"/>
        <v>171.36</v>
      </c>
      <c r="M3099">
        <v>5</v>
      </c>
      <c r="N3099" t="str">
        <f t="shared" si="146"/>
        <v>Regular</v>
      </c>
    </row>
    <row r="3100" spans="1:14" x14ac:dyDescent="0.35">
      <c r="A3100">
        <v>3099</v>
      </c>
      <c r="B3100">
        <v>66</v>
      </c>
      <c r="C3100" t="str">
        <f t="shared" si="144"/>
        <v>Senior</v>
      </c>
      <c r="D3100" t="s">
        <v>16</v>
      </c>
      <c r="E3100" t="s">
        <v>17</v>
      </c>
      <c r="F3100" t="s">
        <v>48</v>
      </c>
      <c r="G3100">
        <v>115.35</v>
      </c>
      <c r="H3100" t="s">
        <v>24</v>
      </c>
      <c r="I3100" t="s">
        <v>15</v>
      </c>
      <c r="J3100">
        <v>4.4000000000000004</v>
      </c>
      <c r="K3100">
        <v>8</v>
      </c>
      <c r="L3100">
        <f t="shared" si="145"/>
        <v>106.122</v>
      </c>
      <c r="M3100">
        <v>4</v>
      </c>
      <c r="N3100" t="str">
        <f t="shared" si="146"/>
        <v>Regular</v>
      </c>
    </row>
    <row r="3101" spans="1:14" x14ac:dyDescent="0.35">
      <c r="A3101">
        <v>3100</v>
      </c>
      <c r="B3101">
        <v>43</v>
      </c>
      <c r="C3101" t="str">
        <f t="shared" si="144"/>
        <v>Adult</v>
      </c>
      <c r="D3101" t="s">
        <v>16</v>
      </c>
      <c r="E3101" t="s">
        <v>20</v>
      </c>
      <c r="F3101" t="s">
        <v>39</v>
      </c>
      <c r="G3101">
        <v>38.090000000000003</v>
      </c>
      <c r="H3101" t="s">
        <v>14</v>
      </c>
      <c r="I3101" t="s">
        <v>37</v>
      </c>
      <c r="J3101">
        <v>4.2</v>
      </c>
      <c r="K3101">
        <v>20</v>
      </c>
      <c r="L3101">
        <f t="shared" si="145"/>
        <v>30.472000000000005</v>
      </c>
      <c r="M3101">
        <v>5</v>
      </c>
      <c r="N3101" t="str">
        <f t="shared" si="146"/>
        <v>Regular</v>
      </c>
    </row>
    <row r="3102" spans="1:14" x14ac:dyDescent="0.35">
      <c r="A3102">
        <v>3101</v>
      </c>
      <c r="B3102">
        <v>22</v>
      </c>
      <c r="C3102" t="str">
        <f t="shared" si="144"/>
        <v>Youth</v>
      </c>
      <c r="D3102" t="s">
        <v>16</v>
      </c>
      <c r="E3102" t="s">
        <v>27</v>
      </c>
      <c r="F3102" t="s">
        <v>49</v>
      </c>
      <c r="G3102">
        <v>1683.66</v>
      </c>
      <c r="H3102" t="s">
        <v>14</v>
      </c>
      <c r="I3102" t="s">
        <v>15</v>
      </c>
      <c r="J3102">
        <v>4.5</v>
      </c>
      <c r="K3102">
        <v>20</v>
      </c>
      <c r="L3102">
        <f t="shared" si="145"/>
        <v>1346.9280000000001</v>
      </c>
      <c r="M3102">
        <v>5</v>
      </c>
      <c r="N3102" t="str">
        <f t="shared" si="146"/>
        <v>Regular</v>
      </c>
    </row>
    <row r="3103" spans="1:14" x14ac:dyDescent="0.35">
      <c r="A3103">
        <v>3102</v>
      </c>
      <c r="B3103">
        <v>21</v>
      </c>
      <c r="C3103" t="str">
        <f t="shared" si="144"/>
        <v>Youth</v>
      </c>
      <c r="D3103" t="s">
        <v>16</v>
      </c>
      <c r="E3103" t="s">
        <v>27</v>
      </c>
      <c r="F3103" t="s">
        <v>49</v>
      </c>
      <c r="G3103">
        <v>1599.75</v>
      </c>
      <c r="H3103" t="s">
        <v>31</v>
      </c>
      <c r="I3103" t="s">
        <v>15</v>
      </c>
      <c r="J3103">
        <v>4.2</v>
      </c>
      <c r="K3103">
        <v>20</v>
      </c>
      <c r="L3103">
        <f t="shared" si="145"/>
        <v>1279.8000000000002</v>
      </c>
      <c r="M3103">
        <v>5</v>
      </c>
      <c r="N3103" t="str">
        <f t="shared" si="146"/>
        <v>Regular</v>
      </c>
    </row>
    <row r="3104" spans="1:14" x14ac:dyDescent="0.35">
      <c r="A3104">
        <v>3103</v>
      </c>
      <c r="B3104">
        <v>70</v>
      </c>
      <c r="C3104" t="str">
        <f t="shared" si="144"/>
        <v>Senior</v>
      </c>
      <c r="D3104" t="s">
        <v>11</v>
      </c>
      <c r="E3104" t="s">
        <v>12</v>
      </c>
      <c r="F3104" t="s">
        <v>56</v>
      </c>
      <c r="G3104">
        <v>55.1</v>
      </c>
      <c r="H3104" t="s">
        <v>14</v>
      </c>
      <c r="I3104" t="s">
        <v>37</v>
      </c>
      <c r="J3104">
        <v>3.7</v>
      </c>
      <c r="K3104">
        <v>18</v>
      </c>
      <c r="L3104">
        <f t="shared" si="145"/>
        <v>45.182000000000002</v>
      </c>
      <c r="M3104">
        <v>4</v>
      </c>
      <c r="N3104" t="str">
        <f t="shared" si="146"/>
        <v>Regular</v>
      </c>
    </row>
    <row r="3105" spans="1:14" x14ac:dyDescent="0.35">
      <c r="A3105">
        <v>3104</v>
      </c>
      <c r="B3105">
        <v>20</v>
      </c>
      <c r="C3105" t="str">
        <f t="shared" si="144"/>
        <v>Youth</v>
      </c>
      <c r="D3105" t="s">
        <v>11</v>
      </c>
      <c r="E3105" t="s">
        <v>22</v>
      </c>
      <c r="F3105" t="s">
        <v>23</v>
      </c>
      <c r="G3105">
        <v>246.01</v>
      </c>
      <c r="H3105" t="s">
        <v>19</v>
      </c>
      <c r="I3105" t="s">
        <v>15</v>
      </c>
      <c r="J3105">
        <v>4.4000000000000004</v>
      </c>
      <c r="K3105">
        <v>24</v>
      </c>
      <c r="L3105">
        <f t="shared" si="145"/>
        <v>186.9676</v>
      </c>
      <c r="M3105">
        <v>7</v>
      </c>
      <c r="N3105" t="str">
        <f t="shared" si="146"/>
        <v>Regular</v>
      </c>
    </row>
    <row r="3106" spans="1:14" x14ac:dyDescent="0.35">
      <c r="A3106">
        <v>3105</v>
      </c>
      <c r="B3106">
        <v>24</v>
      </c>
      <c r="C3106" t="str">
        <f t="shared" si="144"/>
        <v>Youth</v>
      </c>
      <c r="D3106" t="s">
        <v>11</v>
      </c>
      <c r="E3106" t="s">
        <v>20</v>
      </c>
      <c r="F3106" t="s">
        <v>39</v>
      </c>
      <c r="G3106">
        <v>235.97</v>
      </c>
      <c r="H3106" t="s">
        <v>19</v>
      </c>
      <c r="I3106" t="s">
        <v>15</v>
      </c>
      <c r="J3106">
        <v>3.8</v>
      </c>
      <c r="K3106">
        <v>14</v>
      </c>
      <c r="L3106">
        <f t="shared" si="145"/>
        <v>202.9342</v>
      </c>
      <c r="M3106">
        <v>2</v>
      </c>
      <c r="N3106" t="str">
        <f t="shared" si="146"/>
        <v>New</v>
      </c>
    </row>
    <row r="3107" spans="1:14" x14ac:dyDescent="0.35">
      <c r="A3107">
        <v>3106</v>
      </c>
      <c r="B3107">
        <v>53</v>
      </c>
      <c r="C3107" t="str">
        <f t="shared" si="144"/>
        <v>Adult</v>
      </c>
      <c r="D3107" t="s">
        <v>16</v>
      </c>
      <c r="E3107" t="s">
        <v>20</v>
      </c>
      <c r="F3107" t="s">
        <v>36</v>
      </c>
      <c r="G3107">
        <v>249.3</v>
      </c>
      <c r="H3107" t="s">
        <v>24</v>
      </c>
      <c r="I3107" t="s">
        <v>15</v>
      </c>
      <c r="J3107">
        <v>3.9</v>
      </c>
      <c r="K3107">
        <v>18</v>
      </c>
      <c r="L3107">
        <f t="shared" si="145"/>
        <v>204.42600000000002</v>
      </c>
      <c r="M3107">
        <v>4</v>
      </c>
      <c r="N3107" t="str">
        <f t="shared" si="146"/>
        <v>Regular</v>
      </c>
    </row>
    <row r="3108" spans="1:14" x14ac:dyDescent="0.35">
      <c r="A3108">
        <v>3107</v>
      </c>
      <c r="B3108">
        <v>44</v>
      </c>
      <c r="C3108" t="str">
        <f t="shared" si="144"/>
        <v>Adult</v>
      </c>
      <c r="D3108" t="s">
        <v>16</v>
      </c>
      <c r="E3108" t="s">
        <v>17</v>
      </c>
      <c r="F3108" t="s">
        <v>48</v>
      </c>
      <c r="G3108">
        <v>105.92</v>
      </c>
      <c r="H3108" t="s">
        <v>14</v>
      </c>
      <c r="I3108" t="s">
        <v>15</v>
      </c>
      <c r="J3108">
        <v>3.9</v>
      </c>
      <c r="K3108">
        <v>25</v>
      </c>
      <c r="L3108">
        <f t="shared" si="145"/>
        <v>79.44</v>
      </c>
      <c r="M3108">
        <v>10</v>
      </c>
      <c r="N3108" t="str">
        <f t="shared" si="146"/>
        <v>Loyal</v>
      </c>
    </row>
    <row r="3109" spans="1:14" x14ac:dyDescent="0.35">
      <c r="A3109">
        <v>3108</v>
      </c>
      <c r="B3109">
        <v>54</v>
      </c>
      <c r="C3109" t="str">
        <f t="shared" si="144"/>
        <v>Adult</v>
      </c>
      <c r="D3109" t="s">
        <v>11</v>
      </c>
      <c r="E3109" t="s">
        <v>33</v>
      </c>
      <c r="F3109" t="s">
        <v>34</v>
      </c>
      <c r="G3109">
        <v>104.74</v>
      </c>
      <c r="H3109" t="s">
        <v>31</v>
      </c>
      <c r="I3109" t="s">
        <v>15</v>
      </c>
      <c r="J3109">
        <v>3.2</v>
      </c>
      <c r="K3109">
        <v>16</v>
      </c>
      <c r="L3109">
        <f t="shared" si="145"/>
        <v>87.981599999999986</v>
      </c>
      <c r="M3109">
        <v>8</v>
      </c>
      <c r="N3109" t="str">
        <f t="shared" si="146"/>
        <v>Loyal</v>
      </c>
    </row>
    <row r="3110" spans="1:14" x14ac:dyDescent="0.35">
      <c r="A3110">
        <v>3109</v>
      </c>
      <c r="B3110">
        <v>62</v>
      </c>
      <c r="C3110" t="str">
        <f t="shared" si="144"/>
        <v>Senior</v>
      </c>
      <c r="D3110" t="s">
        <v>11</v>
      </c>
      <c r="E3110" t="s">
        <v>25</v>
      </c>
      <c r="F3110" t="s">
        <v>57</v>
      </c>
      <c r="G3110">
        <v>41.33</v>
      </c>
      <c r="H3110" t="s">
        <v>31</v>
      </c>
      <c r="I3110" t="s">
        <v>37</v>
      </c>
      <c r="J3110">
        <v>2.1</v>
      </c>
      <c r="K3110">
        <v>10</v>
      </c>
      <c r="L3110">
        <f t="shared" si="145"/>
        <v>37.197000000000003</v>
      </c>
      <c r="M3110">
        <v>5</v>
      </c>
      <c r="N3110" t="str">
        <f t="shared" si="146"/>
        <v>Regular</v>
      </c>
    </row>
    <row r="3111" spans="1:14" x14ac:dyDescent="0.35">
      <c r="A3111">
        <v>3110</v>
      </c>
      <c r="B3111">
        <v>40</v>
      </c>
      <c r="C3111" t="str">
        <f t="shared" si="144"/>
        <v>Adult</v>
      </c>
      <c r="D3111" t="s">
        <v>11</v>
      </c>
      <c r="E3111" t="s">
        <v>41</v>
      </c>
      <c r="F3111" t="s">
        <v>45</v>
      </c>
      <c r="G3111">
        <v>164.97</v>
      </c>
      <c r="H3111" t="s">
        <v>19</v>
      </c>
      <c r="I3111" t="s">
        <v>15</v>
      </c>
      <c r="J3111">
        <v>4.3</v>
      </c>
      <c r="K3111">
        <v>22</v>
      </c>
      <c r="L3111">
        <f t="shared" si="145"/>
        <v>128.67660000000001</v>
      </c>
      <c r="M3111">
        <v>6</v>
      </c>
      <c r="N3111" t="str">
        <f t="shared" si="146"/>
        <v>Regular</v>
      </c>
    </row>
    <row r="3112" spans="1:14" x14ac:dyDescent="0.35">
      <c r="A3112">
        <v>3111</v>
      </c>
      <c r="B3112">
        <v>52</v>
      </c>
      <c r="C3112" t="str">
        <f t="shared" si="144"/>
        <v>Adult</v>
      </c>
      <c r="D3112" t="s">
        <v>16</v>
      </c>
      <c r="E3112" t="s">
        <v>27</v>
      </c>
      <c r="F3112" t="s">
        <v>53</v>
      </c>
      <c r="G3112">
        <v>1788.15</v>
      </c>
      <c r="H3112" t="s">
        <v>24</v>
      </c>
      <c r="I3112" t="s">
        <v>15</v>
      </c>
      <c r="J3112">
        <v>4.5999999999999996</v>
      </c>
      <c r="K3112">
        <v>8</v>
      </c>
      <c r="L3112">
        <f t="shared" si="145"/>
        <v>1645.0980000000002</v>
      </c>
      <c r="M3112">
        <v>4</v>
      </c>
      <c r="N3112" t="str">
        <f t="shared" si="146"/>
        <v>Regular</v>
      </c>
    </row>
    <row r="3113" spans="1:14" x14ac:dyDescent="0.35">
      <c r="A3113">
        <v>3112</v>
      </c>
      <c r="B3113">
        <v>52</v>
      </c>
      <c r="C3113" t="str">
        <f t="shared" si="144"/>
        <v>Adult</v>
      </c>
      <c r="D3113" t="s">
        <v>16</v>
      </c>
      <c r="E3113" t="s">
        <v>33</v>
      </c>
      <c r="F3113" t="s">
        <v>40</v>
      </c>
      <c r="G3113">
        <v>157.54</v>
      </c>
      <c r="H3113" t="s">
        <v>19</v>
      </c>
      <c r="I3113" t="s">
        <v>15</v>
      </c>
      <c r="J3113">
        <v>3.5</v>
      </c>
      <c r="K3113">
        <v>11</v>
      </c>
      <c r="L3113">
        <f t="shared" si="145"/>
        <v>140.2106</v>
      </c>
      <c r="M3113">
        <v>3</v>
      </c>
      <c r="N3113" t="str">
        <f t="shared" si="146"/>
        <v>New</v>
      </c>
    </row>
    <row r="3114" spans="1:14" x14ac:dyDescent="0.35">
      <c r="A3114">
        <v>3113</v>
      </c>
      <c r="B3114">
        <v>44</v>
      </c>
      <c r="C3114" t="str">
        <f t="shared" si="144"/>
        <v>Adult</v>
      </c>
      <c r="D3114" t="s">
        <v>11</v>
      </c>
      <c r="E3114" t="s">
        <v>33</v>
      </c>
      <c r="F3114" t="s">
        <v>38</v>
      </c>
      <c r="G3114">
        <v>222.1</v>
      </c>
      <c r="H3114" t="s">
        <v>19</v>
      </c>
      <c r="I3114" t="s">
        <v>15</v>
      </c>
      <c r="J3114">
        <v>2.6</v>
      </c>
      <c r="K3114">
        <v>10</v>
      </c>
      <c r="L3114">
        <f t="shared" si="145"/>
        <v>199.89</v>
      </c>
      <c r="M3114">
        <v>5</v>
      </c>
      <c r="N3114" t="str">
        <f t="shared" si="146"/>
        <v>Regular</v>
      </c>
    </row>
    <row r="3115" spans="1:14" x14ac:dyDescent="0.35">
      <c r="A3115">
        <v>3114</v>
      </c>
      <c r="B3115">
        <v>56</v>
      </c>
      <c r="C3115" t="str">
        <f t="shared" si="144"/>
        <v>Adult</v>
      </c>
      <c r="D3115" t="s">
        <v>11</v>
      </c>
      <c r="E3115" t="s">
        <v>33</v>
      </c>
      <c r="F3115" t="s">
        <v>40</v>
      </c>
      <c r="G3115">
        <v>149.21</v>
      </c>
      <c r="H3115" t="s">
        <v>24</v>
      </c>
      <c r="I3115" t="s">
        <v>15</v>
      </c>
      <c r="J3115">
        <v>4.0999999999999996</v>
      </c>
      <c r="K3115">
        <v>17</v>
      </c>
      <c r="L3115">
        <f t="shared" si="145"/>
        <v>123.8443</v>
      </c>
      <c r="M3115">
        <v>6</v>
      </c>
      <c r="N3115" t="str">
        <f t="shared" si="146"/>
        <v>Regular</v>
      </c>
    </row>
    <row r="3116" spans="1:14" x14ac:dyDescent="0.35">
      <c r="A3116">
        <v>3115</v>
      </c>
      <c r="B3116">
        <v>52</v>
      </c>
      <c r="C3116" t="str">
        <f t="shared" si="144"/>
        <v>Adult</v>
      </c>
      <c r="D3116" t="s">
        <v>11</v>
      </c>
      <c r="E3116" t="s">
        <v>41</v>
      </c>
      <c r="F3116" t="s">
        <v>44</v>
      </c>
      <c r="G3116">
        <v>153.09</v>
      </c>
      <c r="H3116" t="s">
        <v>24</v>
      </c>
      <c r="I3116" t="s">
        <v>15</v>
      </c>
      <c r="J3116">
        <v>3.8</v>
      </c>
      <c r="K3116">
        <v>8</v>
      </c>
      <c r="L3116">
        <f t="shared" si="145"/>
        <v>140.84280000000001</v>
      </c>
      <c r="M3116">
        <v>4</v>
      </c>
      <c r="N3116" t="str">
        <f t="shared" si="146"/>
        <v>Regular</v>
      </c>
    </row>
    <row r="3117" spans="1:14" x14ac:dyDescent="0.35">
      <c r="A3117">
        <v>3116</v>
      </c>
      <c r="B3117">
        <v>55</v>
      </c>
      <c r="C3117" t="str">
        <f t="shared" si="144"/>
        <v>Adult</v>
      </c>
      <c r="D3117" t="s">
        <v>11</v>
      </c>
      <c r="E3117" t="s">
        <v>25</v>
      </c>
      <c r="F3117" t="s">
        <v>57</v>
      </c>
      <c r="G3117">
        <v>68.41</v>
      </c>
      <c r="H3117" t="s">
        <v>19</v>
      </c>
      <c r="I3117" t="s">
        <v>37</v>
      </c>
      <c r="J3117">
        <v>4.5999999999999996</v>
      </c>
      <c r="K3117">
        <v>14</v>
      </c>
      <c r="L3117">
        <f t="shared" si="145"/>
        <v>58.832599999999999</v>
      </c>
      <c r="M3117">
        <v>2</v>
      </c>
      <c r="N3117" t="str">
        <f t="shared" si="146"/>
        <v>New</v>
      </c>
    </row>
    <row r="3118" spans="1:14" x14ac:dyDescent="0.35">
      <c r="A3118">
        <v>3117</v>
      </c>
      <c r="B3118">
        <v>55</v>
      </c>
      <c r="C3118" t="str">
        <f t="shared" si="144"/>
        <v>Adult</v>
      </c>
      <c r="D3118" t="s">
        <v>11</v>
      </c>
      <c r="E3118" t="s">
        <v>12</v>
      </c>
      <c r="F3118" t="s">
        <v>56</v>
      </c>
      <c r="G3118">
        <v>160.25</v>
      </c>
      <c r="H3118" t="s">
        <v>31</v>
      </c>
      <c r="I3118" t="s">
        <v>15</v>
      </c>
      <c r="J3118">
        <v>3.5</v>
      </c>
      <c r="K3118">
        <v>6</v>
      </c>
      <c r="L3118">
        <f t="shared" si="145"/>
        <v>150.63499999999999</v>
      </c>
      <c r="M3118">
        <v>3</v>
      </c>
      <c r="N3118" t="str">
        <f t="shared" si="146"/>
        <v>New</v>
      </c>
    </row>
    <row r="3119" spans="1:14" x14ac:dyDescent="0.35">
      <c r="A3119">
        <v>3118</v>
      </c>
      <c r="B3119">
        <v>70</v>
      </c>
      <c r="C3119" t="str">
        <f t="shared" si="144"/>
        <v>Senior</v>
      </c>
      <c r="D3119" t="s">
        <v>11</v>
      </c>
      <c r="E3119" t="s">
        <v>12</v>
      </c>
      <c r="F3119" t="s">
        <v>13</v>
      </c>
      <c r="G3119">
        <v>63.39</v>
      </c>
      <c r="H3119" t="s">
        <v>14</v>
      </c>
      <c r="I3119" t="s">
        <v>37</v>
      </c>
      <c r="J3119">
        <v>3.3</v>
      </c>
      <c r="K3119">
        <v>14</v>
      </c>
      <c r="L3119">
        <f t="shared" si="145"/>
        <v>54.5154</v>
      </c>
      <c r="M3119">
        <v>2</v>
      </c>
      <c r="N3119" t="str">
        <f t="shared" si="146"/>
        <v>New</v>
      </c>
    </row>
    <row r="3120" spans="1:14" x14ac:dyDescent="0.35">
      <c r="A3120">
        <v>3119</v>
      </c>
      <c r="B3120">
        <v>69</v>
      </c>
      <c r="C3120" t="str">
        <f t="shared" si="144"/>
        <v>Senior</v>
      </c>
      <c r="D3120" t="s">
        <v>16</v>
      </c>
      <c r="E3120" t="s">
        <v>20</v>
      </c>
      <c r="F3120" t="s">
        <v>39</v>
      </c>
      <c r="G3120">
        <v>95.03</v>
      </c>
      <c r="H3120" t="s">
        <v>24</v>
      </c>
      <c r="I3120" t="s">
        <v>15</v>
      </c>
      <c r="J3120">
        <v>2.8</v>
      </c>
      <c r="K3120">
        <v>16</v>
      </c>
      <c r="L3120">
        <f t="shared" si="145"/>
        <v>79.825199999999995</v>
      </c>
      <c r="M3120">
        <v>3</v>
      </c>
      <c r="N3120" t="str">
        <f t="shared" si="146"/>
        <v>New</v>
      </c>
    </row>
    <row r="3121" spans="1:14" x14ac:dyDescent="0.35">
      <c r="A3121">
        <v>3120</v>
      </c>
      <c r="B3121">
        <v>38</v>
      </c>
      <c r="C3121" t="str">
        <f t="shared" si="144"/>
        <v>Adult</v>
      </c>
      <c r="D3121" t="s">
        <v>11</v>
      </c>
      <c r="E3121" t="s">
        <v>12</v>
      </c>
      <c r="F3121" t="s">
        <v>50</v>
      </c>
      <c r="G3121">
        <v>171.81</v>
      </c>
      <c r="H3121" t="s">
        <v>31</v>
      </c>
      <c r="I3121" t="s">
        <v>15</v>
      </c>
      <c r="J3121">
        <v>4.5999999999999996</v>
      </c>
      <c r="K3121">
        <v>26</v>
      </c>
      <c r="L3121">
        <f t="shared" si="145"/>
        <v>127.13939999999999</v>
      </c>
      <c r="M3121">
        <v>8</v>
      </c>
      <c r="N3121" t="str">
        <f t="shared" si="146"/>
        <v>Loyal</v>
      </c>
    </row>
    <row r="3122" spans="1:14" x14ac:dyDescent="0.35">
      <c r="A3122">
        <v>3121</v>
      </c>
      <c r="B3122">
        <v>53</v>
      </c>
      <c r="C3122" t="str">
        <f t="shared" si="144"/>
        <v>Adult</v>
      </c>
      <c r="D3122" t="s">
        <v>11</v>
      </c>
      <c r="E3122" t="s">
        <v>41</v>
      </c>
      <c r="F3122" t="s">
        <v>44</v>
      </c>
      <c r="G3122">
        <v>195</v>
      </c>
      <c r="H3122" t="s">
        <v>24</v>
      </c>
      <c r="I3122" t="s">
        <v>15</v>
      </c>
      <c r="J3122">
        <v>3.6</v>
      </c>
      <c r="K3122">
        <v>14</v>
      </c>
      <c r="L3122">
        <f t="shared" si="145"/>
        <v>167.7</v>
      </c>
      <c r="M3122">
        <v>7</v>
      </c>
      <c r="N3122" t="str">
        <f t="shared" si="146"/>
        <v>Regular</v>
      </c>
    </row>
    <row r="3123" spans="1:14" x14ac:dyDescent="0.35">
      <c r="A3123">
        <v>3122</v>
      </c>
      <c r="B3123">
        <v>51</v>
      </c>
      <c r="C3123" t="str">
        <f t="shared" si="144"/>
        <v>Adult</v>
      </c>
      <c r="D3123" t="s">
        <v>16</v>
      </c>
      <c r="E3123" t="s">
        <v>27</v>
      </c>
      <c r="F3123" t="s">
        <v>53</v>
      </c>
      <c r="G3123">
        <v>2502.92</v>
      </c>
      <c r="H3123" t="s">
        <v>14</v>
      </c>
      <c r="I3123" t="s">
        <v>15</v>
      </c>
      <c r="J3123">
        <v>1.9</v>
      </c>
      <c r="K3123">
        <v>28</v>
      </c>
      <c r="L3123">
        <f t="shared" si="145"/>
        <v>1802.1024</v>
      </c>
      <c r="M3123">
        <v>9</v>
      </c>
      <c r="N3123" t="str">
        <f t="shared" si="146"/>
        <v>Loyal</v>
      </c>
    </row>
    <row r="3124" spans="1:14" x14ac:dyDescent="0.35">
      <c r="A3124">
        <v>3123</v>
      </c>
      <c r="B3124">
        <v>29</v>
      </c>
      <c r="C3124" t="str">
        <f t="shared" si="144"/>
        <v>Youth</v>
      </c>
      <c r="D3124" t="s">
        <v>11</v>
      </c>
      <c r="E3124" t="s">
        <v>33</v>
      </c>
      <c r="F3124" t="s">
        <v>34</v>
      </c>
      <c r="G3124">
        <v>133.44</v>
      </c>
      <c r="H3124" t="s">
        <v>24</v>
      </c>
      <c r="I3124" t="s">
        <v>15</v>
      </c>
      <c r="J3124">
        <v>5</v>
      </c>
      <c r="K3124">
        <v>20</v>
      </c>
      <c r="L3124">
        <f t="shared" si="145"/>
        <v>106.75200000000001</v>
      </c>
      <c r="M3124">
        <v>5</v>
      </c>
      <c r="N3124" t="str">
        <f t="shared" si="146"/>
        <v>Regular</v>
      </c>
    </row>
    <row r="3125" spans="1:14" x14ac:dyDescent="0.35">
      <c r="A3125">
        <v>3124</v>
      </c>
      <c r="B3125">
        <v>20</v>
      </c>
      <c r="C3125" t="str">
        <f t="shared" si="144"/>
        <v>Youth</v>
      </c>
      <c r="D3125" t="s">
        <v>11</v>
      </c>
      <c r="E3125" t="s">
        <v>12</v>
      </c>
      <c r="F3125" t="s">
        <v>50</v>
      </c>
      <c r="G3125">
        <v>142.21</v>
      </c>
      <c r="H3125" t="s">
        <v>31</v>
      </c>
      <c r="I3125" t="s">
        <v>15</v>
      </c>
      <c r="J3125">
        <v>3.8</v>
      </c>
      <c r="K3125">
        <v>13</v>
      </c>
      <c r="L3125">
        <f t="shared" si="145"/>
        <v>123.7227</v>
      </c>
      <c r="M3125">
        <v>4</v>
      </c>
      <c r="N3125" t="str">
        <f t="shared" si="146"/>
        <v>Regular</v>
      </c>
    </row>
    <row r="3126" spans="1:14" x14ac:dyDescent="0.35">
      <c r="A3126">
        <v>3125</v>
      </c>
      <c r="B3126">
        <v>28</v>
      </c>
      <c r="C3126" t="str">
        <f t="shared" si="144"/>
        <v>Youth</v>
      </c>
      <c r="D3126" t="s">
        <v>16</v>
      </c>
      <c r="E3126" t="s">
        <v>20</v>
      </c>
      <c r="F3126" t="s">
        <v>21</v>
      </c>
      <c r="G3126">
        <v>107.86</v>
      </c>
      <c r="H3126" t="s">
        <v>24</v>
      </c>
      <c r="I3126" t="s">
        <v>15</v>
      </c>
      <c r="J3126">
        <v>2.8</v>
      </c>
      <c r="K3126">
        <v>15</v>
      </c>
      <c r="L3126">
        <f t="shared" si="145"/>
        <v>91.680999999999997</v>
      </c>
      <c r="M3126">
        <v>5</v>
      </c>
      <c r="N3126" t="str">
        <f t="shared" si="146"/>
        <v>Regular</v>
      </c>
    </row>
    <row r="3127" spans="1:14" x14ac:dyDescent="0.35">
      <c r="A3127">
        <v>3126</v>
      </c>
      <c r="B3127">
        <v>57</v>
      </c>
      <c r="C3127" t="str">
        <f t="shared" si="144"/>
        <v>Adult</v>
      </c>
      <c r="D3127" t="s">
        <v>16</v>
      </c>
      <c r="E3127" t="s">
        <v>17</v>
      </c>
      <c r="F3127" t="s">
        <v>35</v>
      </c>
      <c r="G3127">
        <v>142.37</v>
      </c>
      <c r="H3127" t="s">
        <v>31</v>
      </c>
      <c r="I3127" t="s">
        <v>15</v>
      </c>
      <c r="J3127">
        <v>4.3</v>
      </c>
      <c r="K3127">
        <v>11</v>
      </c>
      <c r="L3127">
        <f t="shared" si="145"/>
        <v>126.7093</v>
      </c>
      <c r="M3127">
        <v>3</v>
      </c>
      <c r="N3127" t="str">
        <f t="shared" si="146"/>
        <v>New</v>
      </c>
    </row>
    <row r="3128" spans="1:14" x14ac:dyDescent="0.35">
      <c r="A3128">
        <v>3127</v>
      </c>
      <c r="B3128">
        <v>56</v>
      </c>
      <c r="C3128" t="str">
        <f t="shared" si="144"/>
        <v>Adult</v>
      </c>
      <c r="D3128" t="s">
        <v>16</v>
      </c>
      <c r="E3128" t="s">
        <v>20</v>
      </c>
      <c r="F3128" t="s">
        <v>36</v>
      </c>
      <c r="G3128">
        <v>198.31</v>
      </c>
      <c r="H3128" t="s">
        <v>31</v>
      </c>
      <c r="I3128" t="s">
        <v>15</v>
      </c>
      <c r="J3128">
        <v>4.3</v>
      </c>
      <c r="K3128">
        <v>25</v>
      </c>
      <c r="L3128">
        <f t="shared" si="145"/>
        <v>148.73250000000002</v>
      </c>
      <c r="M3128">
        <v>10</v>
      </c>
      <c r="N3128" t="str">
        <f t="shared" si="146"/>
        <v>Loyal</v>
      </c>
    </row>
    <row r="3129" spans="1:14" x14ac:dyDescent="0.35">
      <c r="A3129">
        <v>3128</v>
      </c>
      <c r="B3129">
        <v>27</v>
      </c>
      <c r="C3129" t="str">
        <f t="shared" si="144"/>
        <v>Youth</v>
      </c>
      <c r="D3129" t="s">
        <v>11</v>
      </c>
      <c r="E3129" t="s">
        <v>29</v>
      </c>
      <c r="F3129" t="s">
        <v>30</v>
      </c>
      <c r="G3129">
        <v>34.44</v>
      </c>
      <c r="H3129" t="s">
        <v>24</v>
      </c>
      <c r="I3129" t="s">
        <v>15</v>
      </c>
      <c r="J3129">
        <v>3.4</v>
      </c>
      <c r="K3129">
        <v>4</v>
      </c>
      <c r="L3129">
        <f t="shared" si="145"/>
        <v>33.062399999999997</v>
      </c>
      <c r="M3129">
        <v>2</v>
      </c>
      <c r="N3129" t="str">
        <f t="shared" si="146"/>
        <v>New</v>
      </c>
    </row>
    <row r="3130" spans="1:14" x14ac:dyDescent="0.35">
      <c r="A3130">
        <v>3129</v>
      </c>
      <c r="B3130">
        <v>61</v>
      </c>
      <c r="C3130" t="str">
        <f t="shared" si="144"/>
        <v>Senior</v>
      </c>
      <c r="D3130" t="s">
        <v>11</v>
      </c>
      <c r="E3130" t="s">
        <v>25</v>
      </c>
      <c r="F3130" t="s">
        <v>26</v>
      </c>
      <c r="G3130">
        <v>22.87</v>
      </c>
      <c r="H3130" t="s">
        <v>31</v>
      </c>
      <c r="I3130" t="s">
        <v>37</v>
      </c>
      <c r="J3130">
        <v>3.6</v>
      </c>
      <c r="K3130">
        <v>13</v>
      </c>
      <c r="L3130">
        <f t="shared" si="145"/>
        <v>19.896900000000002</v>
      </c>
      <c r="M3130">
        <v>4</v>
      </c>
      <c r="N3130" t="str">
        <f t="shared" si="146"/>
        <v>Regular</v>
      </c>
    </row>
    <row r="3131" spans="1:14" x14ac:dyDescent="0.35">
      <c r="A3131">
        <v>3130</v>
      </c>
      <c r="B3131">
        <v>44</v>
      </c>
      <c r="C3131" t="str">
        <f t="shared" si="144"/>
        <v>Adult</v>
      </c>
      <c r="D3131" t="s">
        <v>16</v>
      </c>
      <c r="E3131" t="s">
        <v>33</v>
      </c>
      <c r="F3131" t="s">
        <v>34</v>
      </c>
      <c r="G3131">
        <v>143.16999999999999</v>
      </c>
      <c r="H3131" t="s">
        <v>31</v>
      </c>
      <c r="I3131" t="s">
        <v>15</v>
      </c>
      <c r="J3131">
        <v>5</v>
      </c>
      <c r="K3131">
        <v>15</v>
      </c>
      <c r="L3131">
        <f t="shared" si="145"/>
        <v>121.69449999999999</v>
      </c>
      <c r="M3131">
        <v>5</v>
      </c>
      <c r="N3131" t="str">
        <f t="shared" si="146"/>
        <v>Regular</v>
      </c>
    </row>
    <row r="3132" spans="1:14" x14ac:dyDescent="0.35">
      <c r="A3132">
        <v>3131</v>
      </c>
      <c r="B3132">
        <v>67</v>
      </c>
      <c r="C3132" t="str">
        <f t="shared" si="144"/>
        <v>Senior</v>
      </c>
      <c r="D3132" t="s">
        <v>16</v>
      </c>
      <c r="E3132" t="s">
        <v>27</v>
      </c>
      <c r="F3132" t="s">
        <v>53</v>
      </c>
      <c r="G3132">
        <v>2411.19</v>
      </c>
      <c r="H3132" t="s">
        <v>24</v>
      </c>
      <c r="I3132" t="s">
        <v>15</v>
      </c>
      <c r="J3132">
        <v>3.1</v>
      </c>
      <c r="K3132">
        <v>9</v>
      </c>
      <c r="L3132">
        <f t="shared" si="145"/>
        <v>2194.1829000000002</v>
      </c>
      <c r="M3132">
        <v>2</v>
      </c>
      <c r="N3132" t="str">
        <f t="shared" si="146"/>
        <v>New</v>
      </c>
    </row>
    <row r="3133" spans="1:14" x14ac:dyDescent="0.35">
      <c r="A3133">
        <v>3132</v>
      </c>
      <c r="B3133">
        <v>26</v>
      </c>
      <c r="C3133" t="str">
        <f t="shared" si="144"/>
        <v>Youth</v>
      </c>
      <c r="D3133" t="s">
        <v>16</v>
      </c>
      <c r="E3133" t="s">
        <v>33</v>
      </c>
      <c r="F3133" t="s">
        <v>34</v>
      </c>
      <c r="G3133">
        <v>130.13999999999999</v>
      </c>
      <c r="H3133" t="s">
        <v>19</v>
      </c>
      <c r="I3133" t="s">
        <v>15</v>
      </c>
      <c r="J3133">
        <v>4</v>
      </c>
      <c r="K3133">
        <v>29</v>
      </c>
      <c r="L3133">
        <f t="shared" si="145"/>
        <v>92.399399999999986</v>
      </c>
      <c r="M3133">
        <v>12</v>
      </c>
      <c r="N3133" t="str">
        <f t="shared" si="146"/>
        <v>Loyal</v>
      </c>
    </row>
    <row r="3134" spans="1:14" x14ac:dyDescent="0.35">
      <c r="A3134">
        <v>3133</v>
      </c>
      <c r="B3134">
        <v>69</v>
      </c>
      <c r="C3134" t="str">
        <f t="shared" si="144"/>
        <v>Senior</v>
      </c>
      <c r="D3134" t="s">
        <v>11</v>
      </c>
      <c r="E3134" t="s">
        <v>29</v>
      </c>
      <c r="F3134" t="s">
        <v>30</v>
      </c>
      <c r="G3134">
        <v>52.81</v>
      </c>
      <c r="H3134" t="s">
        <v>31</v>
      </c>
      <c r="I3134" t="s">
        <v>15</v>
      </c>
      <c r="J3134">
        <v>4.3</v>
      </c>
      <c r="K3134">
        <v>19</v>
      </c>
      <c r="L3134">
        <f t="shared" si="145"/>
        <v>42.776100000000007</v>
      </c>
      <c r="M3134">
        <v>7</v>
      </c>
      <c r="N3134" t="str">
        <f t="shared" si="146"/>
        <v>Regular</v>
      </c>
    </row>
    <row r="3135" spans="1:14" x14ac:dyDescent="0.35">
      <c r="A3135">
        <v>3134</v>
      </c>
      <c r="B3135">
        <v>62</v>
      </c>
      <c r="C3135" t="str">
        <f t="shared" si="144"/>
        <v>Senior</v>
      </c>
      <c r="D3135" t="s">
        <v>16</v>
      </c>
      <c r="E3135" t="s">
        <v>33</v>
      </c>
      <c r="F3135" t="s">
        <v>40</v>
      </c>
      <c r="G3135">
        <v>232.72</v>
      </c>
      <c r="H3135" t="s">
        <v>19</v>
      </c>
      <c r="I3135" t="s">
        <v>15</v>
      </c>
      <c r="J3135">
        <v>3.7</v>
      </c>
      <c r="K3135">
        <v>13</v>
      </c>
      <c r="L3135">
        <f t="shared" si="145"/>
        <v>202.46639999999999</v>
      </c>
      <c r="M3135">
        <v>4</v>
      </c>
      <c r="N3135" t="str">
        <f t="shared" si="146"/>
        <v>Regular</v>
      </c>
    </row>
    <row r="3136" spans="1:14" x14ac:dyDescent="0.35">
      <c r="A3136">
        <v>3135</v>
      </c>
      <c r="B3136">
        <v>47</v>
      </c>
      <c r="C3136" t="str">
        <f t="shared" si="144"/>
        <v>Adult</v>
      </c>
      <c r="D3136" t="s">
        <v>11</v>
      </c>
      <c r="E3136" t="s">
        <v>29</v>
      </c>
      <c r="F3136" t="s">
        <v>51</v>
      </c>
      <c r="G3136">
        <v>38.049999999999997</v>
      </c>
      <c r="H3136" t="s">
        <v>31</v>
      </c>
      <c r="I3136" t="s">
        <v>37</v>
      </c>
      <c r="J3136">
        <v>3.4</v>
      </c>
      <c r="K3136">
        <v>23</v>
      </c>
      <c r="L3136">
        <f t="shared" si="145"/>
        <v>29.298499999999997</v>
      </c>
      <c r="M3136">
        <v>9</v>
      </c>
      <c r="N3136" t="str">
        <f t="shared" si="146"/>
        <v>Loyal</v>
      </c>
    </row>
    <row r="3137" spans="1:14" x14ac:dyDescent="0.35">
      <c r="A3137">
        <v>3136</v>
      </c>
      <c r="B3137">
        <v>62</v>
      </c>
      <c r="C3137" t="str">
        <f t="shared" si="144"/>
        <v>Senior</v>
      </c>
      <c r="D3137" t="s">
        <v>16</v>
      </c>
      <c r="E3137" t="s">
        <v>22</v>
      </c>
      <c r="F3137" t="s">
        <v>52</v>
      </c>
      <c r="G3137">
        <v>203.78</v>
      </c>
      <c r="H3137" t="s">
        <v>31</v>
      </c>
      <c r="I3137" t="s">
        <v>15</v>
      </c>
      <c r="J3137">
        <v>3.4</v>
      </c>
      <c r="K3137">
        <v>18</v>
      </c>
      <c r="L3137">
        <f t="shared" si="145"/>
        <v>167.09960000000001</v>
      </c>
      <c r="M3137">
        <v>4</v>
      </c>
      <c r="N3137" t="str">
        <f t="shared" si="146"/>
        <v>Regular</v>
      </c>
    </row>
    <row r="3138" spans="1:14" x14ac:dyDescent="0.35">
      <c r="A3138">
        <v>3137</v>
      </c>
      <c r="B3138">
        <v>49</v>
      </c>
      <c r="C3138" t="str">
        <f t="shared" si="144"/>
        <v>Adult</v>
      </c>
      <c r="D3138" t="s">
        <v>16</v>
      </c>
      <c r="E3138" t="s">
        <v>22</v>
      </c>
      <c r="F3138" t="s">
        <v>23</v>
      </c>
      <c r="G3138">
        <v>73.31</v>
      </c>
      <c r="H3138" t="s">
        <v>19</v>
      </c>
      <c r="I3138" t="s">
        <v>37</v>
      </c>
      <c r="J3138">
        <v>4.5</v>
      </c>
      <c r="K3138">
        <v>22</v>
      </c>
      <c r="L3138">
        <f t="shared" si="145"/>
        <v>57.181800000000003</v>
      </c>
      <c r="M3138">
        <v>6</v>
      </c>
      <c r="N3138" t="str">
        <f t="shared" si="146"/>
        <v>Regular</v>
      </c>
    </row>
    <row r="3139" spans="1:14" x14ac:dyDescent="0.35">
      <c r="A3139">
        <v>3138</v>
      </c>
      <c r="B3139">
        <v>52</v>
      </c>
      <c r="C3139" t="str">
        <f t="shared" ref="C3139:C3202" si="147">IF(B3139&lt;=30,"Youth",IF(B3139&lt;=45,"Adult",IF(B3139&lt;=60,"Adult","Senior")))</f>
        <v>Adult</v>
      </c>
      <c r="D3139" t="s">
        <v>16</v>
      </c>
      <c r="E3139" t="s">
        <v>33</v>
      </c>
      <c r="F3139" t="s">
        <v>38</v>
      </c>
      <c r="G3139">
        <v>68.930000000000007</v>
      </c>
      <c r="H3139" t="s">
        <v>24</v>
      </c>
      <c r="I3139" t="s">
        <v>37</v>
      </c>
      <c r="J3139">
        <v>2.2999999999999998</v>
      </c>
      <c r="K3139">
        <v>24</v>
      </c>
      <c r="L3139">
        <f t="shared" ref="L3139:L3202" si="148">G3139*(1-K3139/100)</f>
        <v>52.386800000000008</v>
      </c>
      <c r="M3139">
        <v>7</v>
      </c>
      <c r="N3139" t="str">
        <f t="shared" ref="N3139:N3202" si="149">IF(M3139&lt;=3,"New",IF(M3139&lt;=7,"Regular","Loyal"))</f>
        <v>Regular</v>
      </c>
    </row>
    <row r="3140" spans="1:14" x14ac:dyDescent="0.35">
      <c r="A3140">
        <v>3139</v>
      </c>
      <c r="B3140">
        <v>67</v>
      </c>
      <c r="C3140" t="str">
        <f t="shared" si="147"/>
        <v>Senior</v>
      </c>
      <c r="D3140" t="s">
        <v>16</v>
      </c>
      <c r="E3140" t="s">
        <v>33</v>
      </c>
      <c r="F3140" t="s">
        <v>38</v>
      </c>
      <c r="G3140">
        <v>55.02</v>
      </c>
      <c r="H3140" t="s">
        <v>14</v>
      </c>
      <c r="I3140" t="s">
        <v>37</v>
      </c>
      <c r="J3140">
        <v>3.4</v>
      </c>
      <c r="K3140">
        <v>23</v>
      </c>
      <c r="L3140">
        <f t="shared" si="148"/>
        <v>42.365400000000001</v>
      </c>
      <c r="M3140">
        <v>9</v>
      </c>
      <c r="N3140" t="str">
        <f t="shared" si="149"/>
        <v>Loyal</v>
      </c>
    </row>
    <row r="3141" spans="1:14" x14ac:dyDescent="0.35">
      <c r="A3141">
        <v>3140</v>
      </c>
      <c r="B3141">
        <v>34</v>
      </c>
      <c r="C3141" t="str">
        <f t="shared" si="147"/>
        <v>Adult</v>
      </c>
      <c r="D3141" t="s">
        <v>11</v>
      </c>
      <c r="E3141" t="s">
        <v>20</v>
      </c>
      <c r="F3141" t="s">
        <v>36</v>
      </c>
      <c r="G3141">
        <v>199.1</v>
      </c>
      <c r="H3141" t="s">
        <v>14</v>
      </c>
      <c r="I3141" t="s">
        <v>15</v>
      </c>
      <c r="J3141">
        <v>4.3</v>
      </c>
      <c r="K3141">
        <v>11</v>
      </c>
      <c r="L3141">
        <f t="shared" si="148"/>
        <v>177.19899999999998</v>
      </c>
      <c r="M3141">
        <v>3</v>
      </c>
      <c r="N3141" t="str">
        <f t="shared" si="149"/>
        <v>New</v>
      </c>
    </row>
    <row r="3142" spans="1:14" x14ac:dyDescent="0.35">
      <c r="A3142">
        <v>3141</v>
      </c>
      <c r="B3142">
        <v>43</v>
      </c>
      <c r="C3142" t="str">
        <f t="shared" si="147"/>
        <v>Adult</v>
      </c>
      <c r="D3142" t="s">
        <v>16</v>
      </c>
      <c r="E3142" t="s">
        <v>27</v>
      </c>
      <c r="F3142" t="s">
        <v>32</v>
      </c>
      <c r="G3142">
        <v>1988.61</v>
      </c>
      <c r="H3142" t="s">
        <v>19</v>
      </c>
      <c r="I3142" t="s">
        <v>15</v>
      </c>
      <c r="J3142">
        <v>3.8</v>
      </c>
      <c r="K3142">
        <v>17</v>
      </c>
      <c r="L3142">
        <f t="shared" si="148"/>
        <v>1650.5462999999997</v>
      </c>
      <c r="M3142">
        <v>6</v>
      </c>
      <c r="N3142" t="str">
        <f t="shared" si="149"/>
        <v>Regular</v>
      </c>
    </row>
    <row r="3143" spans="1:14" x14ac:dyDescent="0.35">
      <c r="A3143">
        <v>3142</v>
      </c>
      <c r="B3143">
        <v>60</v>
      </c>
      <c r="C3143" t="str">
        <f t="shared" si="147"/>
        <v>Adult</v>
      </c>
      <c r="D3143" t="s">
        <v>11</v>
      </c>
      <c r="E3143" t="s">
        <v>41</v>
      </c>
      <c r="F3143" t="s">
        <v>45</v>
      </c>
      <c r="G3143">
        <v>118.52</v>
      </c>
      <c r="H3143" t="s">
        <v>24</v>
      </c>
      <c r="I3143" t="s">
        <v>15</v>
      </c>
      <c r="J3143">
        <v>3.4</v>
      </c>
      <c r="K3143">
        <v>16</v>
      </c>
      <c r="L3143">
        <f t="shared" si="148"/>
        <v>99.556799999999996</v>
      </c>
      <c r="M3143">
        <v>3</v>
      </c>
      <c r="N3143" t="str">
        <f t="shared" si="149"/>
        <v>New</v>
      </c>
    </row>
    <row r="3144" spans="1:14" x14ac:dyDescent="0.35">
      <c r="A3144">
        <v>3143</v>
      </c>
      <c r="B3144">
        <v>45</v>
      </c>
      <c r="C3144" t="str">
        <f t="shared" si="147"/>
        <v>Adult</v>
      </c>
      <c r="D3144" t="s">
        <v>11</v>
      </c>
      <c r="E3144" t="s">
        <v>33</v>
      </c>
      <c r="F3144" t="s">
        <v>38</v>
      </c>
      <c r="G3144">
        <v>80.17</v>
      </c>
      <c r="H3144" t="s">
        <v>31</v>
      </c>
      <c r="I3144" t="s">
        <v>37</v>
      </c>
      <c r="J3144">
        <v>3.7</v>
      </c>
      <c r="K3144">
        <v>22</v>
      </c>
      <c r="L3144">
        <f t="shared" si="148"/>
        <v>62.532600000000002</v>
      </c>
      <c r="M3144">
        <v>6</v>
      </c>
      <c r="N3144" t="str">
        <f t="shared" si="149"/>
        <v>Regular</v>
      </c>
    </row>
    <row r="3145" spans="1:14" x14ac:dyDescent="0.35">
      <c r="A3145">
        <v>3144</v>
      </c>
      <c r="B3145">
        <v>53</v>
      </c>
      <c r="C3145" t="str">
        <f t="shared" si="147"/>
        <v>Adult</v>
      </c>
      <c r="D3145" t="s">
        <v>16</v>
      </c>
      <c r="E3145" t="s">
        <v>27</v>
      </c>
      <c r="F3145" t="s">
        <v>49</v>
      </c>
      <c r="G3145">
        <v>2987.4</v>
      </c>
      <c r="H3145" t="s">
        <v>31</v>
      </c>
      <c r="I3145" t="s">
        <v>15</v>
      </c>
      <c r="J3145">
        <v>3.4</v>
      </c>
      <c r="K3145">
        <v>16</v>
      </c>
      <c r="L3145">
        <f t="shared" si="148"/>
        <v>2509.4160000000002</v>
      </c>
      <c r="M3145">
        <v>3</v>
      </c>
      <c r="N3145" t="str">
        <f t="shared" si="149"/>
        <v>New</v>
      </c>
    </row>
    <row r="3146" spans="1:14" x14ac:dyDescent="0.35">
      <c r="A3146">
        <v>3145</v>
      </c>
      <c r="B3146">
        <v>58</v>
      </c>
      <c r="C3146" t="str">
        <f t="shared" si="147"/>
        <v>Adult</v>
      </c>
      <c r="D3146" t="s">
        <v>11</v>
      </c>
      <c r="E3146" t="s">
        <v>12</v>
      </c>
      <c r="F3146" t="s">
        <v>13</v>
      </c>
      <c r="G3146">
        <v>101.38</v>
      </c>
      <c r="H3146" t="s">
        <v>14</v>
      </c>
      <c r="I3146" t="s">
        <v>15</v>
      </c>
      <c r="J3146">
        <v>3.3</v>
      </c>
      <c r="K3146">
        <v>18</v>
      </c>
      <c r="L3146">
        <f t="shared" si="148"/>
        <v>83.131600000000006</v>
      </c>
      <c r="M3146">
        <v>4</v>
      </c>
      <c r="N3146" t="str">
        <f t="shared" si="149"/>
        <v>Regular</v>
      </c>
    </row>
    <row r="3147" spans="1:14" x14ac:dyDescent="0.35">
      <c r="A3147">
        <v>3146</v>
      </c>
      <c r="B3147">
        <v>62</v>
      </c>
      <c r="C3147" t="str">
        <f t="shared" si="147"/>
        <v>Senior</v>
      </c>
      <c r="D3147" t="s">
        <v>11</v>
      </c>
      <c r="E3147" t="s">
        <v>33</v>
      </c>
      <c r="F3147" t="s">
        <v>38</v>
      </c>
      <c r="G3147">
        <v>120.82</v>
      </c>
      <c r="H3147" t="s">
        <v>24</v>
      </c>
      <c r="I3147" t="s">
        <v>15</v>
      </c>
      <c r="J3147">
        <v>5</v>
      </c>
      <c r="K3147">
        <v>22</v>
      </c>
      <c r="L3147">
        <f t="shared" si="148"/>
        <v>94.239599999999996</v>
      </c>
      <c r="M3147">
        <v>6</v>
      </c>
      <c r="N3147" t="str">
        <f t="shared" si="149"/>
        <v>Regular</v>
      </c>
    </row>
    <row r="3148" spans="1:14" x14ac:dyDescent="0.35">
      <c r="A3148">
        <v>3147</v>
      </c>
      <c r="B3148">
        <v>45</v>
      </c>
      <c r="C3148" t="str">
        <f t="shared" si="147"/>
        <v>Adult</v>
      </c>
      <c r="D3148" t="s">
        <v>16</v>
      </c>
      <c r="E3148" t="s">
        <v>20</v>
      </c>
      <c r="F3148" t="s">
        <v>36</v>
      </c>
      <c r="G3148">
        <v>152.08000000000001</v>
      </c>
      <c r="H3148" t="s">
        <v>14</v>
      </c>
      <c r="I3148" t="s">
        <v>15</v>
      </c>
      <c r="J3148">
        <v>3.6</v>
      </c>
      <c r="K3148">
        <v>8</v>
      </c>
      <c r="L3148">
        <f t="shared" si="148"/>
        <v>139.91360000000003</v>
      </c>
      <c r="M3148">
        <v>4</v>
      </c>
      <c r="N3148" t="str">
        <f t="shared" si="149"/>
        <v>Regular</v>
      </c>
    </row>
    <row r="3149" spans="1:14" x14ac:dyDescent="0.35">
      <c r="A3149">
        <v>3148</v>
      </c>
      <c r="B3149">
        <v>28</v>
      </c>
      <c r="C3149" t="str">
        <f t="shared" si="147"/>
        <v>Youth</v>
      </c>
      <c r="D3149" t="s">
        <v>11</v>
      </c>
      <c r="E3149" t="s">
        <v>12</v>
      </c>
      <c r="F3149" t="s">
        <v>56</v>
      </c>
      <c r="G3149">
        <v>28.4</v>
      </c>
      <c r="H3149" t="s">
        <v>24</v>
      </c>
      <c r="I3149" t="s">
        <v>15</v>
      </c>
      <c r="J3149">
        <v>3.5</v>
      </c>
      <c r="K3149">
        <v>14</v>
      </c>
      <c r="L3149">
        <f t="shared" si="148"/>
        <v>24.423999999999999</v>
      </c>
      <c r="M3149">
        <v>2</v>
      </c>
      <c r="N3149" t="str">
        <f t="shared" si="149"/>
        <v>New</v>
      </c>
    </row>
    <row r="3150" spans="1:14" x14ac:dyDescent="0.35">
      <c r="A3150">
        <v>3149</v>
      </c>
      <c r="B3150">
        <v>59</v>
      </c>
      <c r="C3150" t="str">
        <f t="shared" si="147"/>
        <v>Adult</v>
      </c>
      <c r="D3150" t="s">
        <v>11</v>
      </c>
      <c r="E3150" t="s">
        <v>20</v>
      </c>
      <c r="F3150" t="s">
        <v>36</v>
      </c>
      <c r="G3150">
        <v>27.33</v>
      </c>
      <c r="H3150" t="s">
        <v>19</v>
      </c>
      <c r="I3150" t="s">
        <v>15</v>
      </c>
      <c r="J3150">
        <v>4.5</v>
      </c>
      <c r="K3150">
        <v>19</v>
      </c>
      <c r="L3150">
        <f t="shared" si="148"/>
        <v>22.1373</v>
      </c>
      <c r="M3150">
        <v>7</v>
      </c>
      <c r="N3150" t="str">
        <f t="shared" si="149"/>
        <v>Regular</v>
      </c>
    </row>
    <row r="3151" spans="1:14" x14ac:dyDescent="0.35">
      <c r="A3151">
        <v>3150</v>
      </c>
      <c r="B3151">
        <v>70</v>
      </c>
      <c r="C3151" t="str">
        <f t="shared" si="147"/>
        <v>Senior</v>
      </c>
      <c r="D3151" t="s">
        <v>11</v>
      </c>
      <c r="E3151" t="s">
        <v>20</v>
      </c>
      <c r="F3151" t="s">
        <v>36</v>
      </c>
      <c r="G3151">
        <v>62.01</v>
      </c>
      <c r="H3151" t="s">
        <v>14</v>
      </c>
      <c r="I3151" t="s">
        <v>15</v>
      </c>
      <c r="J3151">
        <v>3.2</v>
      </c>
      <c r="K3151">
        <v>11</v>
      </c>
      <c r="L3151">
        <f t="shared" si="148"/>
        <v>55.188899999999997</v>
      </c>
      <c r="M3151">
        <v>3</v>
      </c>
      <c r="N3151" t="str">
        <f t="shared" si="149"/>
        <v>New</v>
      </c>
    </row>
    <row r="3152" spans="1:14" x14ac:dyDescent="0.35">
      <c r="A3152">
        <v>3151</v>
      </c>
      <c r="B3152">
        <v>32</v>
      </c>
      <c r="C3152" t="str">
        <f t="shared" si="147"/>
        <v>Adult</v>
      </c>
      <c r="D3152" t="s">
        <v>16</v>
      </c>
      <c r="E3152" t="s">
        <v>33</v>
      </c>
      <c r="F3152" t="s">
        <v>38</v>
      </c>
      <c r="G3152">
        <v>244.65</v>
      </c>
      <c r="H3152" t="s">
        <v>14</v>
      </c>
      <c r="I3152" t="s">
        <v>15</v>
      </c>
      <c r="J3152">
        <v>3.2</v>
      </c>
      <c r="K3152">
        <v>20</v>
      </c>
      <c r="L3152">
        <f t="shared" si="148"/>
        <v>195.72000000000003</v>
      </c>
      <c r="M3152">
        <v>5</v>
      </c>
      <c r="N3152" t="str">
        <f t="shared" si="149"/>
        <v>Regular</v>
      </c>
    </row>
    <row r="3153" spans="1:14" x14ac:dyDescent="0.35">
      <c r="A3153">
        <v>3152</v>
      </c>
      <c r="B3153">
        <v>30</v>
      </c>
      <c r="C3153" t="str">
        <f t="shared" si="147"/>
        <v>Youth</v>
      </c>
      <c r="D3153" t="s">
        <v>16</v>
      </c>
      <c r="E3153" t="s">
        <v>27</v>
      </c>
      <c r="F3153" t="s">
        <v>49</v>
      </c>
      <c r="G3153">
        <v>1948.26</v>
      </c>
      <c r="H3153" t="s">
        <v>31</v>
      </c>
      <c r="I3153" t="s">
        <v>15</v>
      </c>
      <c r="J3153">
        <v>4.2</v>
      </c>
      <c r="K3153">
        <v>22</v>
      </c>
      <c r="L3153">
        <f t="shared" si="148"/>
        <v>1519.6428000000001</v>
      </c>
      <c r="M3153">
        <v>6</v>
      </c>
      <c r="N3153" t="str">
        <f t="shared" si="149"/>
        <v>Regular</v>
      </c>
    </row>
    <row r="3154" spans="1:14" x14ac:dyDescent="0.35">
      <c r="A3154">
        <v>3153</v>
      </c>
      <c r="B3154">
        <v>41</v>
      </c>
      <c r="C3154" t="str">
        <f t="shared" si="147"/>
        <v>Adult</v>
      </c>
      <c r="D3154" t="s">
        <v>16</v>
      </c>
      <c r="E3154" t="s">
        <v>20</v>
      </c>
      <c r="F3154" t="s">
        <v>39</v>
      </c>
      <c r="G3154">
        <v>125.2</v>
      </c>
      <c r="H3154" t="s">
        <v>24</v>
      </c>
      <c r="I3154" t="s">
        <v>15</v>
      </c>
      <c r="J3154">
        <v>3.7</v>
      </c>
      <c r="K3154">
        <v>8</v>
      </c>
      <c r="L3154">
        <f t="shared" si="148"/>
        <v>115.18400000000001</v>
      </c>
      <c r="M3154">
        <v>4</v>
      </c>
      <c r="N3154" t="str">
        <f t="shared" si="149"/>
        <v>Regular</v>
      </c>
    </row>
    <row r="3155" spans="1:14" x14ac:dyDescent="0.35">
      <c r="A3155">
        <v>3154</v>
      </c>
      <c r="B3155">
        <v>28</v>
      </c>
      <c r="C3155" t="str">
        <f t="shared" si="147"/>
        <v>Youth</v>
      </c>
      <c r="D3155" t="s">
        <v>16</v>
      </c>
      <c r="E3155" t="s">
        <v>20</v>
      </c>
      <c r="F3155" t="s">
        <v>39</v>
      </c>
      <c r="G3155">
        <v>181.02</v>
      </c>
      <c r="H3155" t="s">
        <v>14</v>
      </c>
      <c r="I3155" t="s">
        <v>15</v>
      </c>
      <c r="J3155">
        <v>4.3</v>
      </c>
      <c r="K3155">
        <v>6</v>
      </c>
      <c r="L3155">
        <f t="shared" si="148"/>
        <v>170.15880000000001</v>
      </c>
      <c r="M3155">
        <v>3</v>
      </c>
      <c r="N3155" t="str">
        <f t="shared" si="149"/>
        <v>New</v>
      </c>
    </row>
    <row r="3156" spans="1:14" x14ac:dyDescent="0.35">
      <c r="A3156">
        <v>3155</v>
      </c>
      <c r="B3156">
        <v>34</v>
      </c>
      <c r="C3156" t="str">
        <f t="shared" si="147"/>
        <v>Adult</v>
      </c>
      <c r="D3156" t="s">
        <v>11</v>
      </c>
      <c r="E3156" t="s">
        <v>20</v>
      </c>
      <c r="F3156" t="s">
        <v>21</v>
      </c>
      <c r="G3156">
        <v>44.83</v>
      </c>
      <c r="H3156" t="s">
        <v>19</v>
      </c>
      <c r="I3156" t="s">
        <v>37</v>
      </c>
      <c r="J3156">
        <v>3.5</v>
      </c>
      <c r="K3156">
        <v>12</v>
      </c>
      <c r="L3156">
        <f t="shared" si="148"/>
        <v>39.450400000000002</v>
      </c>
      <c r="M3156">
        <v>6</v>
      </c>
      <c r="N3156" t="str">
        <f t="shared" si="149"/>
        <v>Regular</v>
      </c>
    </row>
    <row r="3157" spans="1:14" x14ac:dyDescent="0.35">
      <c r="A3157">
        <v>3156</v>
      </c>
      <c r="B3157">
        <v>60</v>
      </c>
      <c r="C3157" t="str">
        <f t="shared" si="147"/>
        <v>Adult</v>
      </c>
      <c r="D3157" t="s">
        <v>11</v>
      </c>
      <c r="E3157" t="s">
        <v>29</v>
      </c>
      <c r="F3157" t="s">
        <v>30</v>
      </c>
      <c r="G3157">
        <v>142.97</v>
      </c>
      <c r="H3157" t="s">
        <v>31</v>
      </c>
      <c r="I3157" t="s">
        <v>15</v>
      </c>
      <c r="J3157">
        <v>5</v>
      </c>
      <c r="K3157">
        <v>34</v>
      </c>
      <c r="L3157">
        <f t="shared" si="148"/>
        <v>94.360199999999992</v>
      </c>
      <c r="M3157">
        <v>12</v>
      </c>
      <c r="N3157" t="str">
        <f t="shared" si="149"/>
        <v>Loyal</v>
      </c>
    </row>
    <row r="3158" spans="1:14" x14ac:dyDescent="0.35">
      <c r="A3158">
        <v>3157</v>
      </c>
      <c r="B3158">
        <v>25</v>
      </c>
      <c r="C3158" t="str">
        <f t="shared" si="147"/>
        <v>Youth</v>
      </c>
      <c r="D3158" t="s">
        <v>11</v>
      </c>
      <c r="E3158" t="s">
        <v>12</v>
      </c>
      <c r="F3158" t="s">
        <v>13</v>
      </c>
      <c r="G3158">
        <v>147.25</v>
      </c>
      <c r="H3158" t="s">
        <v>31</v>
      </c>
      <c r="I3158" t="s">
        <v>15</v>
      </c>
      <c r="J3158">
        <v>3.3</v>
      </c>
      <c r="K3158">
        <v>6</v>
      </c>
      <c r="L3158">
        <f t="shared" si="148"/>
        <v>138.41499999999999</v>
      </c>
      <c r="M3158">
        <v>3</v>
      </c>
      <c r="N3158" t="str">
        <f t="shared" si="149"/>
        <v>New</v>
      </c>
    </row>
    <row r="3159" spans="1:14" x14ac:dyDescent="0.35">
      <c r="A3159">
        <v>3158</v>
      </c>
      <c r="B3159">
        <v>23</v>
      </c>
      <c r="C3159" t="str">
        <f t="shared" si="147"/>
        <v>Youth</v>
      </c>
      <c r="D3159" t="s">
        <v>16</v>
      </c>
      <c r="E3159" t="s">
        <v>27</v>
      </c>
      <c r="F3159" t="s">
        <v>32</v>
      </c>
      <c r="G3159">
        <v>2464.0300000000002</v>
      </c>
      <c r="H3159" t="s">
        <v>31</v>
      </c>
      <c r="I3159" t="s">
        <v>15</v>
      </c>
      <c r="J3159">
        <v>3</v>
      </c>
      <c r="K3159">
        <v>9</v>
      </c>
      <c r="L3159">
        <f t="shared" si="148"/>
        <v>2242.2673000000004</v>
      </c>
      <c r="M3159">
        <v>2</v>
      </c>
      <c r="N3159" t="str">
        <f t="shared" si="149"/>
        <v>New</v>
      </c>
    </row>
    <row r="3160" spans="1:14" x14ac:dyDescent="0.35">
      <c r="A3160">
        <v>3159</v>
      </c>
      <c r="B3160">
        <v>42</v>
      </c>
      <c r="C3160" t="str">
        <f t="shared" si="147"/>
        <v>Adult</v>
      </c>
      <c r="D3160" t="s">
        <v>11</v>
      </c>
      <c r="E3160" t="s">
        <v>41</v>
      </c>
      <c r="F3160" t="s">
        <v>45</v>
      </c>
      <c r="G3160">
        <v>40.69</v>
      </c>
      <c r="H3160" t="s">
        <v>14</v>
      </c>
      <c r="I3160" t="s">
        <v>15</v>
      </c>
      <c r="J3160">
        <v>3.5</v>
      </c>
      <c r="K3160">
        <v>18</v>
      </c>
      <c r="L3160">
        <f t="shared" si="148"/>
        <v>33.3658</v>
      </c>
      <c r="M3160">
        <v>4</v>
      </c>
      <c r="N3160" t="str">
        <f t="shared" si="149"/>
        <v>Regular</v>
      </c>
    </row>
    <row r="3161" spans="1:14" x14ac:dyDescent="0.35">
      <c r="A3161">
        <v>3160</v>
      </c>
      <c r="B3161">
        <v>70</v>
      </c>
      <c r="C3161" t="str">
        <f t="shared" si="147"/>
        <v>Senior</v>
      </c>
      <c r="D3161" t="s">
        <v>16</v>
      </c>
      <c r="E3161" t="s">
        <v>27</v>
      </c>
      <c r="F3161" t="s">
        <v>53</v>
      </c>
      <c r="G3161">
        <v>2039.35</v>
      </c>
      <c r="H3161" t="s">
        <v>19</v>
      </c>
      <c r="I3161" t="s">
        <v>15</v>
      </c>
      <c r="J3161">
        <v>4.7</v>
      </c>
      <c r="K3161">
        <v>16</v>
      </c>
      <c r="L3161">
        <f t="shared" si="148"/>
        <v>1713.0539999999999</v>
      </c>
      <c r="M3161">
        <v>3</v>
      </c>
      <c r="N3161" t="str">
        <f t="shared" si="149"/>
        <v>New</v>
      </c>
    </row>
    <row r="3162" spans="1:14" x14ac:dyDescent="0.35">
      <c r="A3162">
        <v>3161</v>
      </c>
      <c r="B3162">
        <v>43</v>
      </c>
      <c r="C3162" t="str">
        <f t="shared" si="147"/>
        <v>Adult</v>
      </c>
      <c r="D3162" t="s">
        <v>11</v>
      </c>
      <c r="E3162" t="s">
        <v>12</v>
      </c>
      <c r="F3162" t="s">
        <v>13</v>
      </c>
      <c r="G3162">
        <v>140.85</v>
      </c>
      <c r="H3162" t="s">
        <v>31</v>
      </c>
      <c r="I3162" t="s">
        <v>15</v>
      </c>
      <c r="J3162">
        <v>3.9</v>
      </c>
      <c r="K3162">
        <v>8</v>
      </c>
      <c r="L3162">
        <f t="shared" si="148"/>
        <v>129.58199999999999</v>
      </c>
      <c r="M3162">
        <v>4</v>
      </c>
      <c r="N3162" t="str">
        <f t="shared" si="149"/>
        <v>Regular</v>
      </c>
    </row>
    <row r="3163" spans="1:14" x14ac:dyDescent="0.35">
      <c r="A3163">
        <v>3162</v>
      </c>
      <c r="B3163">
        <v>59</v>
      </c>
      <c r="C3163" t="str">
        <f t="shared" si="147"/>
        <v>Adult</v>
      </c>
      <c r="D3163" t="s">
        <v>16</v>
      </c>
      <c r="E3163" t="s">
        <v>17</v>
      </c>
      <c r="F3163" t="s">
        <v>42</v>
      </c>
      <c r="G3163">
        <v>126.38</v>
      </c>
      <c r="H3163" t="s">
        <v>24</v>
      </c>
      <c r="I3163" t="s">
        <v>15</v>
      </c>
      <c r="J3163">
        <v>4</v>
      </c>
      <c r="K3163">
        <v>4</v>
      </c>
      <c r="L3163">
        <f t="shared" si="148"/>
        <v>121.3248</v>
      </c>
      <c r="M3163">
        <v>2</v>
      </c>
      <c r="N3163" t="str">
        <f t="shared" si="149"/>
        <v>New</v>
      </c>
    </row>
    <row r="3164" spans="1:14" x14ac:dyDescent="0.35">
      <c r="A3164">
        <v>3163</v>
      </c>
      <c r="B3164">
        <v>46</v>
      </c>
      <c r="C3164" t="str">
        <f t="shared" si="147"/>
        <v>Adult</v>
      </c>
      <c r="D3164" t="s">
        <v>16</v>
      </c>
      <c r="E3164" t="s">
        <v>33</v>
      </c>
      <c r="F3164" t="s">
        <v>38</v>
      </c>
      <c r="G3164">
        <v>136.72999999999999</v>
      </c>
      <c r="H3164" t="s">
        <v>19</v>
      </c>
      <c r="I3164" t="s">
        <v>15</v>
      </c>
      <c r="J3164">
        <v>4.5999999999999996</v>
      </c>
      <c r="K3164">
        <v>17</v>
      </c>
      <c r="L3164">
        <f t="shared" si="148"/>
        <v>113.48589999999999</v>
      </c>
      <c r="M3164">
        <v>6</v>
      </c>
      <c r="N3164" t="str">
        <f t="shared" si="149"/>
        <v>Regular</v>
      </c>
    </row>
    <row r="3165" spans="1:14" x14ac:dyDescent="0.35">
      <c r="A3165">
        <v>3164</v>
      </c>
      <c r="B3165">
        <v>26</v>
      </c>
      <c r="C3165" t="str">
        <f t="shared" si="147"/>
        <v>Youth</v>
      </c>
      <c r="D3165" t="s">
        <v>11</v>
      </c>
      <c r="E3165" t="s">
        <v>29</v>
      </c>
      <c r="F3165" t="s">
        <v>51</v>
      </c>
      <c r="G3165">
        <v>32.35</v>
      </c>
      <c r="H3165" t="s">
        <v>19</v>
      </c>
      <c r="I3165" t="s">
        <v>15</v>
      </c>
      <c r="J3165">
        <v>4.4000000000000004</v>
      </c>
      <c r="K3165">
        <v>25</v>
      </c>
      <c r="L3165">
        <f t="shared" si="148"/>
        <v>24.262500000000003</v>
      </c>
      <c r="M3165">
        <v>10</v>
      </c>
      <c r="N3165" t="str">
        <f t="shared" si="149"/>
        <v>Loyal</v>
      </c>
    </row>
    <row r="3166" spans="1:14" x14ac:dyDescent="0.35">
      <c r="A3166">
        <v>3165</v>
      </c>
      <c r="B3166">
        <v>51</v>
      </c>
      <c r="C3166" t="str">
        <f t="shared" si="147"/>
        <v>Adult</v>
      </c>
      <c r="D3166" t="s">
        <v>11</v>
      </c>
      <c r="E3166" t="s">
        <v>41</v>
      </c>
      <c r="F3166" t="s">
        <v>45</v>
      </c>
      <c r="G3166">
        <v>104</v>
      </c>
      <c r="H3166" t="s">
        <v>14</v>
      </c>
      <c r="I3166" t="s">
        <v>15</v>
      </c>
      <c r="J3166">
        <v>4.2</v>
      </c>
      <c r="K3166">
        <v>14</v>
      </c>
      <c r="L3166">
        <f t="shared" si="148"/>
        <v>89.44</v>
      </c>
      <c r="M3166">
        <v>2</v>
      </c>
      <c r="N3166" t="str">
        <f t="shared" si="149"/>
        <v>New</v>
      </c>
    </row>
    <row r="3167" spans="1:14" x14ac:dyDescent="0.35">
      <c r="A3167">
        <v>3166</v>
      </c>
      <c r="B3167">
        <v>28</v>
      </c>
      <c r="C3167" t="str">
        <f t="shared" si="147"/>
        <v>Youth</v>
      </c>
      <c r="D3167" t="s">
        <v>11</v>
      </c>
      <c r="E3167" t="s">
        <v>29</v>
      </c>
      <c r="F3167" t="s">
        <v>51</v>
      </c>
      <c r="G3167">
        <v>128.02000000000001</v>
      </c>
      <c r="H3167" t="s">
        <v>24</v>
      </c>
      <c r="I3167" t="s">
        <v>15</v>
      </c>
      <c r="J3167">
        <v>3.6</v>
      </c>
      <c r="K3167">
        <v>15</v>
      </c>
      <c r="L3167">
        <f t="shared" si="148"/>
        <v>108.81700000000001</v>
      </c>
      <c r="M3167">
        <v>5</v>
      </c>
      <c r="N3167" t="str">
        <f t="shared" si="149"/>
        <v>Regular</v>
      </c>
    </row>
    <row r="3168" spans="1:14" x14ac:dyDescent="0.35">
      <c r="A3168">
        <v>3167</v>
      </c>
      <c r="B3168">
        <v>31</v>
      </c>
      <c r="C3168" t="str">
        <f t="shared" si="147"/>
        <v>Adult</v>
      </c>
      <c r="D3168" t="s">
        <v>11</v>
      </c>
      <c r="E3168" t="s">
        <v>33</v>
      </c>
      <c r="F3168" t="s">
        <v>34</v>
      </c>
      <c r="G3168">
        <v>59.9</v>
      </c>
      <c r="H3168" t="s">
        <v>31</v>
      </c>
      <c r="I3168" t="s">
        <v>37</v>
      </c>
      <c r="J3168">
        <v>3.4</v>
      </c>
      <c r="K3168">
        <v>22</v>
      </c>
      <c r="L3168">
        <f t="shared" si="148"/>
        <v>46.722000000000001</v>
      </c>
      <c r="M3168">
        <v>6</v>
      </c>
      <c r="N3168" t="str">
        <f t="shared" si="149"/>
        <v>Regular</v>
      </c>
    </row>
    <row r="3169" spans="1:14" x14ac:dyDescent="0.35">
      <c r="A3169">
        <v>3168</v>
      </c>
      <c r="B3169">
        <v>57</v>
      </c>
      <c r="C3169" t="str">
        <f t="shared" si="147"/>
        <v>Adult</v>
      </c>
      <c r="D3169" t="s">
        <v>16</v>
      </c>
      <c r="E3169" t="s">
        <v>27</v>
      </c>
      <c r="F3169" t="s">
        <v>32</v>
      </c>
      <c r="G3169">
        <v>2940.66</v>
      </c>
      <c r="H3169" t="s">
        <v>14</v>
      </c>
      <c r="I3169" t="s">
        <v>15</v>
      </c>
      <c r="J3169">
        <v>3.1</v>
      </c>
      <c r="K3169">
        <v>10</v>
      </c>
      <c r="L3169">
        <f t="shared" si="148"/>
        <v>2646.5940000000001</v>
      </c>
      <c r="M3169">
        <v>5</v>
      </c>
      <c r="N3169" t="str">
        <f t="shared" si="149"/>
        <v>Regular</v>
      </c>
    </row>
    <row r="3170" spans="1:14" x14ac:dyDescent="0.35">
      <c r="A3170">
        <v>3169</v>
      </c>
      <c r="B3170">
        <v>60</v>
      </c>
      <c r="C3170" t="str">
        <f t="shared" si="147"/>
        <v>Adult</v>
      </c>
      <c r="D3170" t="s">
        <v>16</v>
      </c>
      <c r="E3170" t="s">
        <v>20</v>
      </c>
      <c r="F3170" t="s">
        <v>39</v>
      </c>
      <c r="G3170">
        <v>99.99</v>
      </c>
      <c r="H3170" t="s">
        <v>14</v>
      </c>
      <c r="I3170" t="s">
        <v>37</v>
      </c>
      <c r="J3170">
        <v>2.5</v>
      </c>
      <c r="K3170">
        <v>18</v>
      </c>
      <c r="L3170">
        <f t="shared" si="148"/>
        <v>81.991799999999998</v>
      </c>
      <c r="M3170">
        <v>4</v>
      </c>
      <c r="N3170" t="str">
        <f t="shared" si="149"/>
        <v>Regular</v>
      </c>
    </row>
    <row r="3171" spans="1:14" x14ac:dyDescent="0.35">
      <c r="A3171">
        <v>3170</v>
      </c>
      <c r="B3171">
        <v>43</v>
      </c>
      <c r="C3171" t="str">
        <f t="shared" si="147"/>
        <v>Adult</v>
      </c>
      <c r="D3171" t="s">
        <v>11</v>
      </c>
      <c r="E3171" t="s">
        <v>12</v>
      </c>
      <c r="F3171" t="s">
        <v>56</v>
      </c>
      <c r="G3171">
        <v>35.090000000000003</v>
      </c>
      <c r="H3171" t="s">
        <v>19</v>
      </c>
      <c r="I3171" t="s">
        <v>15</v>
      </c>
      <c r="J3171">
        <v>4.5</v>
      </c>
      <c r="K3171">
        <v>20</v>
      </c>
      <c r="L3171">
        <f t="shared" si="148"/>
        <v>28.072000000000003</v>
      </c>
      <c r="M3171">
        <v>5</v>
      </c>
      <c r="N3171" t="str">
        <f t="shared" si="149"/>
        <v>Regular</v>
      </c>
    </row>
    <row r="3172" spans="1:14" x14ac:dyDescent="0.35">
      <c r="A3172">
        <v>3171</v>
      </c>
      <c r="B3172">
        <v>32</v>
      </c>
      <c r="C3172" t="str">
        <f t="shared" si="147"/>
        <v>Adult</v>
      </c>
      <c r="D3172" t="s">
        <v>16</v>
      </c>
      <c r="E3172" t="s">
        <v>17</v>
      </c>
      <c r="F3172" t="s">
        <v>42</v>
      </c>
      <c r="G3172">
        <v>174.21</v>
      </c>
      <c r="H3172" t="s">
        <v>31</v>
      </c>
      <c r="I3172" t="s">
        <v>15</v>
      </c>
      <c r="J3172">
        <v>3.2</v>
      </c>
      <c r="K3172">
        <v>8</v>
      </c>
      <c r="L3172">
        <f t="shared" si="148"/>
        <v>160.2732</v>
      </c>
      <c r="M3172">
        <v>4</v>
      </c>
      <c r="N3172" t="str">
        <f t="shared" si="149"/>
        <v>Regular</v>
      </c>
    </row>
    <row r="3173" spans="1:14" x14ac:dyDescent="0.35">
      <c r="A3173">
        <v>3172</v>
      </c>
      <c r="B3173">
        <v>52</v>
      </c>
      <c r="C3173" t="str">
        <f t="shared" si="147"/>
        <v>Adult</v>
      </c>
      <c r="D3173" t="s">
        <v>16</v>
      </c>
      <c r="E3173" t="s">
        <v>27</v>
      </c>
      <c r="F3173" t="s">
        <v>49</v>
      </c>
      <c r="G3173">
        <v>1090.05</v>
      </c>
      <c r="H3173" t="s">
        <v>24</v>
      </c>
      <c r="I3173" t="s">
        <v>15</v>
      </c>
      <c r="J3173">
        <v>3.6</v>
      </c>
      <c r="K3173">
        <v>13</v>
      </c>
      <c r="L3173">
        <f t="shared" si="148"/>
        <v>948.34349999999995</v>
      </c>
      <c r="M3173">
        <v>4</v>
      </c>
      <c r="N3173" t="str">
        <f t="shared" si="149"/>
        <v>Regular</v>
      </c>
    </row>
    <row r="3174" spans="1:14" x14ac:dyDescent="0.35">
      <c r="A3174">
        <v>3173</v>
      </c>
      <c r="B3174">
        <v>69</v>
      </c>
      <c r="C3174" t="str">
        <f t="shared" si="147"/>
        <v>Senior</v>
      </c>
      <c r="D3174" t="s">
        <v>16</v>
      </c>
      <c r="E3174" t="s">
        <v>20</v>
      </c>
      <c r="F3174" t="s">
        <v>36</v>
      </c>
      <c r="G3174">
        <v>36.799999999999997</v>
      </c>
      <c r="H3174" t="s">
        <v>31</v>
      </c>
      <c r="I3174" t="s">
        <v>15</v>
      </c>
      <c r="J3174">
        <v>3.7</v>
      </c>
      <c r="K3174">
        <v>30</v>
      </c>
      <c r="L3174">
        <f t="shared" si="148"/>
        <v>25.759999999999998</v>
      </c>
      <c r="M3174">
        <v>10</v>
      </c>
      <c r="N3174" t="str">
        <f t="shared" si="149"/>
        <v>Loyal</v>
      </c>
    </row>
    <row r="3175" spans="1:14" x14ac:dyDescent="0.35">
      <c r="A3175">
        <v>3174</v>
      </c>
      <c r="B3175">
        <v>64</v>
      </c>
      <c r="C3175" t="str">
        <f t="shared" si="147"/>
        <v>Senior</v>
      </c>
      <c r="D3175" t="s">
        <v>16</v>
      </c>
      <c r="E3175" t="s">
        <v>20</v>
      </c>
      <c r="F3175" t="s">
        <v>39</v>
      </c>
      <c r="G3175">
        <v>242.59</v>
      </c>
      <c r="H3175" t="s">
        <v>24</v>
      </c>
      <c r="I3175" t="s">
        <v>15</v>
      </c>
      <c r="J3175">
        <v>4.3</v>
      </c>
      <c r="K3175">
        <v>9</v>
      </c>
      <c r="L3175">
        <f t="shared" si="148"/>
        <v>220.7569</v>
      </c>
      <c r="M3175">
        <v>2</v>
      </c>
      <c r="N3175" t="str">
        <f t="shared" si="149"/>
        <v>New</v>
      </c>
    </row>
    <row r="3176" spans="1:14" x14ac:dyDescent="0.35">
      <c r="A3176">
        <v>3175</v>
      </c>
      <c r="B3176">
        <v>68</v>
      </c>
      <c r="C3176" t="str">
        <f t="shared" si="147"/>
        <v>Senior</v>
      </c>
      <c r="D3176" t="s">
        <v>16</v>
      </c>
      <c r="E3176" t="s">
        <v>27</v>
      </c>
      <c r="F3176" t="s">
        <v>32</v>
      </c>
      <c r="G3176">
        <v>1208.17</v>
      </c>
      <c r="H3176" t="s">
        <v>19</v>
      </c>
      <c r="I3176" t="s">
        <v>15</v>
      </c>
      <c r="J3176">
        <v>3.6</v>
      </c>
      <c r="K3176">
        <v>12</v>
      </c>
      <c r="L3176">
        <f t="shared" si="148"/>
        <v>1063.1896000000002</v>
      </c>
      <c r="M3176">
        <v>6</v>
      </c>
      <c r="N3176" t="str">
        <f t="shared" si="149"/>
        <v>Regular</v>
      </c>
    </row>
    <row r="3177" spans="1:14" x14ac:dyDescent="0.35">
      <c r="A3177">
        <v>3176</v>
      </c>
      <c r="B3177">
        <v>24</v>
      </c>
      <c r="C3177" t="str">
        <f t="shared" si="147"/>
        <v>Youth</v>
      </c>
      <c r="D3177" t="s">
        <v>11</v>
      </c>
      <c r="E3177" t="s">
        <v>33</v>
      </c>
      <c r="F3177" t="s">
        <v>38</v>
      </c>
      <c r="G3177">
        <v>144.41999999999999</v>
      </c>
      <c r="H3177" t="s">
        <v>31</v>
      </c>
      <c r="I3177" t="s">
        <v>15</v>
      </c>
      <c r="J3177">
        <v>4.4000000000000004</v>
      </c>
      <c r="K3177">
        <v>4</v>
      </c>
      <c r="L3177">
        <f t="shared" si="148"/>
        <v>138.64319999999998</v>
      </c>
      <c r="M3177">
        <v>2</v>
      </c>
      <c r="N3177" t="str">
        <f t="shared" si="149"/>
        <v>New</v>
      </c>
    </row>
    <row r="3178" spans="1:14" x14ac:dyDescent="0.35">
      <c r="A3178">
        <v>3177</v>
      </c>
      <c r="B3178">
        <v>57</v>
      </c>
      <c r="C3178" t="str">
        <f t="shared" si="147"/>
        <v>Adult</v>
      </c>
      <c r="D3178" t="s">
        <v>16</v>
      </c>
      <c r="E3178" t="s">
        <v>17</v>
      </c>
      <c r="F3178" t="s">
        <v>18</v>
      </c>
      <c r="G3178">
        <v>74.47</v>
      </c>
      <c r="H3178" t="s">
        <v>14</v>
      </c>
      <c r="I3178" t="s">
        <v>37</v>
      </c>
      <c r="J3178">
        <v>3.2</v>
      </c>
      <c r="K3178">
        <v>16</v>
      </c>
      <c r="L3178">
        <f t="shared" si="148"/>
        <v>62.5548</v>
      </c>
      <c r="M3178">
        <v>3</v>
      </c>
      <c r="N3178" t="str">
        <f t="shared" si="149"/>
        <v>New</v>
      </c>
    </row>
    <row r="3179" spans="1:14" x14ac:dyDescent="0.35">
      <c r="A3179">
        <v>3178</v>
      </c>
      <c r="B3179">
        <v>22</v>
      </c>
      <c r="C3179" t="str">
        <f t="shared" si="147"/>
        <v>Youth</v>
      </c>
      <c r="D3179" t="s">
        <v>11</v>
      </c>
      <c r="E3179" t="s">
        <v>33</v>
      </c>
      <c r="F3179" t="s">
        <v>34</v>
      </c>
      <c r="G3179">
        <v>248.95</v>
      </c>
      <c r="H3179" t="s">
        <v>19</v>
      </c>
      <c r="I3179" t="s">
        <v>15</v>
      </c>
      <c r="J3179">
        <v>2.7</v>
      </c>
      <c r="K3179">
        <v>10</v>
      </c>
      <c r="L3179">
        <f t="shared" si="148"/>
        <v>224.05500000000001</v>
      </c>
      <c r="M3179">
        <v>5</v>
      </c>
      <c r="N3179" t="str">
        <f t="shared" si="149"/>
        <v>Regular</v>
      </c>
    </row>
    <row r="3180" spans="1:14" x14ac:dyDescent="0.35">
      <c r="A3180">
        <v>3179</v>
      </c>
      <c r="B3180">
        <v>49</v>
      </c>
      <c r="C3180" t="str">
        <f t="shared" si="147"/>
        <v>Adult</v>
      </c>
      <c r="D3180" t="s">
        <v>16</v>
      </c>
      <c r="E3180" t="s">
        <v>20</v>
      </c>
      <c r="F3180" t="s">
        <v>36</v>
      </c>
      <c r="G3180">
        <v>84.57</v>
      </c>
      <c r="H3180" t="s">
        <v>24</v>
      </c>
      <c r="I3180" t="s">
        <v>15</v>
      </c>
      <c r="J3180">
        <v>3.3</v>
      </c>
      <c r="K3180">
        <v>18</v>
      </c>
      <c r="L3180">
        <f t="shared" si="148"/>
        <v>69.347399999999993</v>
      </c>
      <c r="M3180">
        <v>4</v>
      </c>
      <c r="N3180" t="str">
        <f t="shared" si="149"/>
        <v>Regular</v>
      </c>
    </row>
    <row r="3181" spans="1:14" x14ac:dyDescent="0.35">
      <c r="A3181">
        <v>3180</v>
      </c>
      <c r="B3181">
        <v>65</v>
      </c>
      <c r="C3181" t="str">
        <f t="shared" si="147"/>
        <v>Senior</v>
      </c>
      <c r="D3181" t="s">
        <v>11</v>
      </c>
      <c r="E3181" t="s">
        <v>33</v>
      </c>
      <c r="F3181" t="s">
        <v>34</v>
      </c>
      <c r="G3181">
        <v>182.69</v>
      </c>
      <c r="H3181" t="s">
        <v>24</v>
      </c>
      <c r="I3181" t="s">
        <v>15</v>
      </c>
      <c r="J3181">
        <v>4.2</v>
      </c>
      <c r="K3181">
        <v>8</v>
      </c>
      <c r="L3181">
        <f t="shared" si="148"/>
        <v>168.07480000000001</v>
      </c>
      <c r="M3181">
        <v>4</v>
      </c>
      <c r="N3181" t="str">
        <f t="shared" si="149"/>
        <v>Regular</v>
      </c>
    </row>
    <row r="3182" spans="1:14" x14ac:dyDescent="0.35">
      <c r="A3182">
        <v>3181</v>
      </c>
      <c r="B3182">
        <v>63</v>
      </c>
      <c r="C3182" t="str">
        <f t="shared" si="147"/>
        <v>Senior</v>
      </c>
      <c r="D3182" t="s">
        <v>11</v>
      </c>
      <c r="E3182" t="s">
        <v>33</v>
      </c>
      <c r="F3182" t="s">
        <v>38</v>
      </c>
      <c r="G3182">
        <v>95.84</v>
      </c>
      <c r="H3182" t="s">
        <v>24</v>
      </c>
      <c r="I3182" t="s">
        <v>15</v>
      </c>
      <c r="J3182">
        <v>2.5</v>
      </c>
      <c r="K3182">
        <v>11</v>
      </c>
      <c r="L3182">
        <f t="shared" si="148"/>
        <v>85.297600000000003</v>
      </c>
      <c r="M3182">
        <v>3</v>
      </c>
      <c r="N3182" t="str">
        <f t="shared" si="149"/>
        <v>New</v>
      </c>
    </row>
    <row r="3183" spans="1:14" x14ac:dyDescent="0.35">
      <c r="A3183">
        <v>3182</v>
      </c>
      <c r="B3183">
        <v>37</v>
      </c>
      <c r="C3183" t="str">
        <f t="shared" si="147"/>
        <v>Adult</v>
      </c>
      <c r="D3183" t="s">
        <v>16</v>
      </c>
      <c r="E3183" t="s">
        <v>17</v>
      </c>
      <c r="F3183" t="s">
        <v>18</v>
      </c>
      <c r="G3183">
        <v>174.37</v>
      </c>
      <c r="H3183" t="s">
        <v>31</v>
      </c>
      <c r="I3183" t="s">
        <v>15</v>
      </c>
      <c r="J3183">
        <v>4.3</v>
      </c>
      <c r="K3183">
        <v>8</v>
      </c>
      <c r="L3183">
        <f t="shared" si="148"/>
        <v>160.4204</v>
      </c>
      <c r="M3183">
        <v>4</v>
      </c>
      <c r="N3183" t="str">
        <f t="shared" si="149"/>
        <v>Regular</v>
      </c>
    </row>
    <row r="3184" spans="1:14" x14ac:dyDescent="0.35">
      <c r="A3184">
        <v>3183</v>
      </c>
      <c r="B3184">
        <v>35</v>
      </c>
      <c r="C3184" t="str">
        <f t="shared" si="147"/>
        <v>Adult</v>
      </c>
      <c r="D3184" t="s">
        <v>16</v>
      </c>
      <c r="E3184" t="s">
        <v>20</v>
      </c>
      <c r="F3184" t="s">
        <v>21</v>
      </c>
      <c r="G3184">
        <v>203.49</v>
      </c>
      <c r="H3184" t="s">
        <v>19</v>
      </c>
      <c r="I3184" t="s">
        <v>15</v>
      </c>
      <c r="J3184">
        <v>2.8</v>
      </c>
      <c r="K3184">
        <v>6</v>
      </c>
      <c r="L3184">
        <f t="shared" si="148"/>
        <v>191.28059999999999</v>
      </c>
      <c r="M3184">
        <v>3</v>
      </c>
      <c r="N3184" t="str">
        <f t="shared" si="149"/>
        <v>New</v>
      </c>
    </row>
    <row r="3185" spans="1:14" x14ac:dyDescent="0.35">
      <c r="A3185">
        <v>3184</v>
      </c>
      <c r="B3185">
        <v>22</v>
      </c>
      <c r="C3185" t="str">
        <f t="shared" si="147"/>
        <v>Youth</v>
      </c>
      <c r="D3185" t="s">
        <v>16</v>
      </c>
      <c r="E3185" t="s">
        <v>33</v>
      </c>
      <c r="F3185" t="s">
        <v>34</v>
      </c>
      <c r="G3185">
        <v>125.93</v>
      </c>
      <c r="H3185" t="s">
        <v>31</v>
      </c>
      <c r="I3185" t="s">
        <v>15</v>
      </c>
      <c r="J3185">
        <v>4.8</v>
      </c>
      <c r="K3185">
        <v>10</v>
      </c>
      <c r="L3185">
        <f t="shared" si="148"/>
        <v>113.337</v>
      </c>
      <c r="M3185">
        <v>5</v>
      </c>
      <c r="N3185" t="str">
        <f t="shared" si="149"/>
        <v>Regular</v>
      </c>
    </row>
    <row r="3186" spans="1:14" x14ac:dyDescent="0.35">
      <c r="A3186">
        <v>3185</v>
      </c>
      <c r="B3186">
        <v>40</v>
      </c>
      <c r="C3186" t="str">
        <f t="shared" si="147"/>
        <v>Adult</v>
      </c>
      <c r="D3186" t="s">
        <v>11</v>
      </c>
      <c r="E3186" t="s">
        <v>12</v>
      </c>
      <c r="F3186" t="s">
        <v>13</v>
      </c>
      <c r="G3186">
        <v>59.58</v>
      </c>
      <c r="H3186" t="s">
        <v>31</v>
      </c>
      <c r="I3186" t="s">
        <v>37</v>
      </c>
      <c r="J3186">
        <v>3.1</v>
      </c>
      <c r="K3186">
        <v>10</v>
      </c>
      <c r="L3186">
        <f t="shared" si="148"/>
        <v>53.622</v>
      </c>
      <c r="M3186">
        <v>5</v>
      </c>
      <c r="N3186" t="str">
        <f t="shared" si="149"/>
        <v>Regular</v>
      </c>
    </row>
    <row r="3187" spans="1:14" x14ac:dyDescent="0.35">
      <c r="A3187">
        <v>3186</v>
      </c>
      <c r="B3187">
        <v>40</v>
      </c>
      <c r="C3187" t="str">
        <f t="shared" si="147"/>
        <v>Adult</v>
      </c>
      <c r="D3187" t="s">
        <v>16</v>
      </c>
      <c r="E3187" t="s">
        <v>20</v>
      </c>
      <c r="F3187" t="s">
        <v>36</v>
      </c>
      <c r="G3187">
        <v>82.63</v>
      </c>
      <c r="H3187" t="s">
        <v>19</v>
      </c>
      <c r="I3187" t="s">
        <v>15</v>
      </c>
      <c r="J3187">
        <v>2.7</v>
      </c>
      <c r="K3187">
        <v>13</v>
      </c>
      <c r="L3187">
        <f t="shared" si="148"/>
        <v>71.888099999999994</v>
      </c>
      <c r="M3187">
        <v>4</v>
      </c>
      <c r="N3187" t="str">
        <f t="shared" si="149"/>
        <v>Regular</v>
      </c>
    </row>
    <row r="3188" spans="1:14" x14ac:dyDescent="0.35">
      <c r="A3188">
        <v>3187</v>
      </c>
      <c r="B3188">
        <v>68</v>
      </c>
      <c r="C3188" t="str">
        <f t="shared" si="147"/>
        <v>Senior</v>
      </c>
      <c r="D3188" t="s">
        <v>11</v>
      </c>
      <c r="E3188" t="s">
        <v>22</v>
      </c>
      <c r="F3188" t="s">
        <v>43</v>
      </c>
      <c r="G3188">
        <v>178.28</v>
      </c>
      <c r="H3188" t="s">
        <v>19</v>
      </c>
      <c r="I3188" t="s">
        <v>15</v>
      </c>
      <c r="J3188">
        <v>3.2</v>
      </c>
      <c r="K3188">
        <v>15</v>
      </c>
      <c r="L3188">
        <f t="shared" si="148"/>
        <v>151.53800000000001</v>
      </c>
      <c r="M3188">
        <v>5</v>
      </c>
      <c r="N3188" t="str">
        <f t="shared" si="149"/>
        <v>Regular</v>
      </c>
    </row>
    <row r="3189" spans="1:14" x14ac:dyDescent="0.35">
      <c r="A3189">
        <v>3188</v>
      </c>
      <c r="B3189">
        <v>46</v>
      </c>
      <c r="C3189" t="str">
        <f t="shared" si="147"/>
        <v>Adult</v>
      </c>
      <c r="D3189" t="s">
        <v>16</v>
      </c>
      <c r="E3189" t="s">
        <v>20</v>
      </c>
      <c r="F3189" t="s">
        <v>21</v>
      </c>
      <c r="G3189">
        <v>205.44</v>
      </c>
      <c r="H3189" t="s">
        <v>24</v>
      </c>
      <c r="I3189" t="s">
        <v>15</v>
      </c>
      <c r="J3189">
        <v>3.2</v>
      </c>
      <c r="K3189">
        <v>16</v>
      </c>
      <c r="L3189">
        <f t="shared" si="148"/>
        <v>172.56959999999998</v>
      </c>
      <c r="M3189">
        <v>8</v>
      </c>
      <c r="N3189" t="str">
        <f t="shared" si="149"/>
        <v>Loyal</v>
      </c>
    </row>
    <row r="3190" spans="1:14" x14ac:dyDescent="0.35">
      <c r="A3190">
        <v>3189</v>
      </c>
      <c r="B3190">
        <v>35</v>
      </c>
      <c r="C3190" t="str">
        <f t="shared" si="147"/>
        <v>Adult</v>
      </c>
      <c r="D3190" t="s">
        <v>16</v>
      </c>
      <c r="E3190" t="s">
        <v>17</v>
      </c>
      <c r="F3190" t="s">
        <v>18</v>
      </c>
      <c r="G3190">
        <v>165.66</v>
      </c>
      <c r="H3190" t="s">
        <v>19</v>
      </c>
      <c r="I3190" t="s">
        <v>15</v>
      </c>
      <c r="J3190">
        <v>2.9</v>
      </c>
      <c r="K3190">
        <v>12</v>
      </c>
      <c r="L3190">
        <f t="shared" si="148"/>
        <v>145.7808</v>
      </c>
      <c r="M3190">
        <v>6</v>
      </c>
      <c r="N3190" t="str">
        <f t="shared" si="149"/>
        <v>Regular</v>
      </c>
    </row>
    <row r="3191" spans="1:14" x14ac:dyDescent="0.35">
      <c r="A3191">
        <v>3190</v>
      </c>
      <c r="B3191">
        <v>28</v>
      </c>
      <c r="C3191" t="str">
        <f t="shared" si="147"/>
        <v>Youth</v>
      </c>
      <c r="D3191" t="s">
        <v>16</v>
      </c>
      <c r="E3191" t="s">
        <v>25</v>
      </c>
      <c r="F3191" t="s">
        <v>26</v>
      </c>
      <c r="G3191">
        <v>30.88</v>
      </c>
      <c r="H3191" t="s">
        <v>31</v>
      </c>
      <c r="I3191" t="s">
        <v>37</v>
      </c>
      <c r="J3191">
        <v>4.0999999999999996</v>
      </c>
      <c r="K3191">
        <v>8</v>
      </c>
      <c r="L3191">
        <f t="shared" si="148"/>
        <v>28.409600000000001</v>
      </c>
      <c r="M3191">
        <v>4</v>
      </c>
      <c r="N3191" t="str">
        <f t="shared" si="149"/>
        <v>Regular</v>
      </c>
    </row>
    <row r="3192" spans="1:14" x14ac:dyDescent="0.35">
      <c r="A3192">
        <v>3191</v>
      </c>
      <c r="B3192">
        <v>66</v>
      </c>
      <c r="C3192" t="str">
        <f t="shared" si="147"/>
        <v>Senior</v>
      </c>
      <c r="D3192" t="s">
        <v>16</v>
      </c>
      <c r="E3192" t="s">
        <v>17</v>
      </c>
      <c r="F3192" t="s">
        <v>48</v>
      </c>
      <c r="G3192">
        <v>38.61</v>
      </c>
      <c r="H3192" t="s">
        <v>31</v>
      </c>
      <c r="I3192" t="s">
        <v>37</v>
      </c>
      <c r="J3192">
        <v>2.9</v>
      </c>
      <c r="K3192">
        <v>15</v>
      </c>
      <c r="L3192">
        <f t="shared" si="148"/>
        <v>32.8185</v>
      </c>
      <c r="M3192">
        <v>5</v>
      </c>
      <c r="N3192" t="str">
        <f t="shared" si="149"/>
        <v>Regular</v>
      </c>
    </row>
    <row r="3193" spans="1:14" x14ac:dyDescent="0.35">
      <c r="A3193">
        <v>3192</v>
      </c>
      <c r="B3193">
        <v>41</v>
      </c>
      <c r="C3193" t="str">
        <f t="shared" si="147"/>
        <v>Adult</v>
      </c>
      <c r="D3193" t="s">
        <v>11</v>
      </c>
      <c r="E3193" t="s">
        <v>12</v>
      </c>
      <c r="F3193" t="s">
        <v>13</v>
      </c>
      <c r="G3193">
        <v>45.01</v>
      </c>
      <c r="H3193" t="s">
        <v>19</v>
      </c>
      <c r="I3193" t="s">
        <v>37</v>
      </c>
      <c r="J3193">
        <v>4.7</v>
      </c>
      <c r="K3193">
        <v>22</v>
      </c>
      <c r="L3193">
        <f t="shared" si="148"/>
        <v>35.107799999999997</v>
      </c>
      <c r="M3193">
        <v>6</v>
      </c>
      <c r="N3193" t="str">
        <f t="shared" si="149"/>
        <v>Regular</v>
      </c>
    </row>
    <row r="3194" spans="1:14" x14ac:dyDescent="0.35">
      <c r="A3194">
        <v>3193</v>
      </c>
      <c r="B3194">
        <v>57</v>
      </c>
      <c r="C3194" t="str">
        <f t="shared" si="147"/>
        <v>Adult</v>
      </c>
      <c r="D3194" t="s">
        <v>16</v>
      </c>
      <c r="E3194" t="s">
        <v>20</v>
      </c>
      <c r="F3194" t="s">
        <v>39</v>
      </c>
      <c r="G3194">
        <v>175.22</v>
      </c>
      <c r="H3194" t="s">
        <v>14</v>
      </c>
      <c r="I3194" t="s">
        <v>15</v>
      </c>
      <c r="J3194">
        <v>3.6</v>
      </c>
      <c r="K3194">
        <v>22</v>
      </c>
      <c r="L3194">
        <f t="shared" si="148"/>
        <v>136.67160000000001</v>
      </c>
      <c r="M3194">
        <v>6</v>
      </c>
      <c r="N3194" t="str">
        <f t="shared" si="149"/>
        <v>Regular</v>
      </c>
    </row>
    <row r="3195" spans="1:14" x14ac:dyDescent="0.35">
      <c r="A3195">
        <v>3194</v>
      </c>
      <c r="B3195">
        <v>22</v>
      </c>
      <c r="C3195" t="str">
        <f t="shared" si="147"/>
        <v>Youth</v>
      </c>
      <c r="D3195" t="s">
        <v>16</v>
      </c>
      <c r="E3195" t="s">
        <v>33</v>
      </c>
      <c r="F3195" t="s">
        <v>38</v>
      </c>
      <c r="G3195">
        <v>243.43</v>
      </c>
      <c r="H3195" t="s">
        <v>24</v>
      </c>
      <c r="I3195" t="s">
        <v>15</v>
      </c>
      <c r="J3195">
        <v>4</v>
      </c>
      <c r="K3195">
        <v>12</v>
      </c>
      <c r="L3195">
        <f t="shared" si="148"/>
        <v>214.2184</v>
      </c>
      <c r="M3195">
        <v>6</v>
      </c>
      <c r="N3195" t="str">
        <f t="shared" si="149"/>
        <v>Regular</v>
      </c>
    </row>
    <row r="3196" spans="1:14" x14ac:dyDescent="0.35">
      <c r="A3196">
        <v>3195</v>
      </c>
      <c r="B3196">
        <v>62</v>
      </c>
      <c r="C3196" t="str">
        <f t="shared" si="147"/>
        <v>Senior</v>
      </c>
      <c r="D3196" t="s">
        <v>11</v>
      </c>
      <c r="E3196" t="s">
        <v>41</v>
      </c>
      <c r="F3196" t="s">
        <v>46</v>
      </c>
      <c r="G3196">
        <v>117.16</v>
      </c>
      <c r="H3196" t="s">
        <v>31</v>
      </c>
      <c r="I3196" t="s">
        <v>15</v>
      </c>
      <c r="J3196">
        <v>3.9</v>
      </c>
      <c r="K3196">
        <v>23</v>
      </c>
      <c r="L3196">
        <f t="shared" si="148"/>
        <v>90.213200000000001</v>
      </c>
      <c r="M3196">
        <v>9</v>
      </c>
      <c r="N3196" t="str">
        <f t="shared" si="149"/>
        <v>Loyal</v>
      </c>
    </row>
    <row r="3197" spans="1:14" x14ac:dyDescent="0.35">
      <c r="A3197">
        <v>3196</v>
      </c>
      <c r="B3197">
        <v>56</v>
      </c>
      <c r="C3197" t="str">
        <f t="shared" si="147"/>
        <v>Adult</v>
      </c>
      <c r="D3197" t="s">
        <v>11</v>
      </c>
      <c r="E3197" t="s">
        <v>29</v>
      </c>
      <c r="F3197" t="s">
        <v>55</v>
      </c>
      <c r="G3197">
        <v>58.22</v>
      </c>
      <c r="H3197" t="s">
        <v>24</v>
      </c>
      <c r="I3197" t="s">
        <v>37</v>
      </c>
      <c r="J3197">
        <v>2.8</v>
      </c>
      <c r="K3197">
        <v>20</v>
      </c>
      <c r="L3197">
        <f t="shared" si="148"/>
        <v>46.576000000000001</v>
      </c>
      <c r="M3197">
        <v>5</v>
      </c>
      <c r="N3197" t="str">
        <f t="shared" si="149"/>
        <v>Regular</v>
      </c>
    </row>
    <row r="3198" spans="1:14" x14ac:dyDescent="0.35">
      <c r="A3198">
        <v>3197</v>
      </c>
      <c r="B3198">
        <v>21</v>
      </c>
      <c r="C3198" t="str">
        <f t="shared" si="147"/>
        <v>Youth</v>
      </c>
      <c r="D3198" t="s">
        <v>16</v>
      </c>
      <c r="E3198" t="s">
        <v>33</v>
      </c>
      <c r="F3198" t="s">
        <v>40</v>
      </c>
      <c r="G3198">
        <v>155.55000000000001</v>
      </c>
      <c r="H3198" t="s">
        <v>14</v>
      </c>
      <c r="I3198" t="s">
        <v>15</v>
      </c>
      <c r="J3198">
        <v>5</v>
      </c>
      <c r="K3198">
        <v>30</v>
      </c>
      <c r="L3198">
        <f t="shared" si="148"/>
        <v>108.88500000000001</v>
      </c>
      <c r="M3198">
        <v>10</v>
      </c>
      <c r="N3198" t="str">
        <f t="shared" si="149"/>
        <v>Loyal</v>
      </c>
    </row>
    <row r="3199" spans="1:14" x14ac:dyDescent="0.35">
      <c r="A3199">
        <v>3198</v>
      </c>
      <c r="B3199">
        <v>44</v>
      </c>
      <c r="C3199" t="str">
        <f t="shared" si="147"/>
        <v>Adult</v>
      </c>
      <c r="D3199" t="s">
        <v>16</v>
      </c>
      <c r="E3199" t="s">
        <v>17</v>
      </c>
      <c r="F3199" t="s">
        <v>35</v>
      </c>
      <c r="G3199">
        <v>121.79</v>
      </c>
      <c r="H3199" t="s">
        <v>24</v>
      </c>
      <c r="I3199" t="s">
        <v>15</v>
      </c>
      <c r="J3199">
        <v>4.8</v>
      </c>
      <c r="K3199">
        <v>16</v>
      </c>
      <c r="L3199">
        <f t="shared" si="148"/>
        <v>102.3036</v>
      </c>
      <c r="M3199">
        <v>3</v>
      </c>
      <c r="N3199" t="str">
        <f t="shared" si="149"/>
        <v>New</v>
      </c>
    </row>
    <row r="3200" spans="1:14" x14ac:dyDescent="0.35">
      <c r="A3200">
        <v>3199</v>
      </c>
      <c r="B3200">
        <v>24</v>
      </c>
      <c r="C3200" t="str">
        <f t="shared" si="147"/>
        <v>Youth</v>
      </c>
      <c r="D3200" t="s">
        <v>16</v>
      </c>
      <c r="E3200" t="s">
        <v>17</v>
      </c>
      <c r="F3200" t="s">
        <v>48</v>
      </c>
      <c r="G3200">
        <v>77.77</v>
      </c>
      <c r="H3200" t="s">
        <v>31</v>
      </c>
      <c r="I3200" t="s">
        <v>37</v>
      </c>
      <c r="J3200">
        <v>3</v>
      </c>
      <c r="K3200">
        <v>25</v>
      </c>
      <c r="L3200">
        <f t="shared" si="148"/>
        <v>58.327500000000001</v>
      </c>
      <c r="M3200">
        <v>10</v>
      </c>
      <c r="N3200" t="str">
        <f t="shared" si="149"/>
        <v>Loyal</v>
      </c>
    </row>
    <row r="3201" spans="1:14" x14ac:dyDescent="0.35">
      <c r="A3201">
        <v>3200</v>
      </c>
      <c r="B3201">
        <v>34</v>
      </c>
      <c r="C3201" t="str">
        <f t="shared" si="147"/>
        <v>Adult</v>
      </c>
      <c r="D3201" t="s">
        <v>16</v>
      </c>
      <c r="E3201" t="s">
        <v>20</v>
      </c>
      <c r="F3201" t="s">
        <v>36</v>
      </c>
      <c r="G3201">
        <v>91.22</v>
      </c>
      <c r="H3201" t="s">
        <v>19</v>
      </c>
      <c r="I3201" t="s">
        <v>37</v>
      </c>
      <c r="J3201">
        <v>3.2</v>
      </c>
      <c r="K3201">
        <v>14</v>
      </c>
      <c r="L3201">
        <f t="shared" si="148"/>
        <v>78.449200000000005</v>
      </c>
      <c r="M3201">
        <v>2</v>
      </c>
      <c r="N3201" t="str">
        <f t="shared" si="149"/>
        <v>New</v>
      </c>
    </row>
    <row r="3202" spans="1:14" x14ac:dyDescent="0.35">
      <c r="A3202">
        <v>3201</v>
      </c>
      <c r="B3202">
        <v>68</v>
      </c>
      <c r="C3202" t="str">
        <f t="shared" si="147"/>
        <v>Senior</v>
      </c>
      <c r="D3202" t="s">
        <v>11</v>
      </c>
      <c r="E3202" t="s">
        <v>33</v>
      </c>
      <c r="F3202" t="s">
        <v>38</v>
      </c>
      <c r="G3202">
        <v>49.34</v>
      </c>
      <c r="H3202" t="s">
        <v>31</v>
      </c>
      <c r="I3202" t="s">
        <v>37</v>
      </c>
      <c r="J3202">
        <v>3.8</v>
      </c>
      <c r="K3202">
        <v>22</v>
      </c>
      <c r="L3202">
        <f t="shared" si="148"/>
        <v>38.485200000000006</v>
      </c>
      <c r="M3202">
        <v>6</v>
      </c>
      <c r="N3202" t="str">
        <f t="shared" si="149"/>
        <v>Regular</v>
      </c>
    </row>
    <row r="3203" spans="1:14" x14ac:dyDescent="0.35">
      <c r="A3203">
        <v>3202</v>
      </c>
      <c r="B3203">
        <v>59</v>
      </c>
      <c r="C3203" t="str">
        <f t="shared" ref="C3203:C3266" si="150">IF(B3203&lt;=30,"Youth",IF(B3203&lt;=45,"Adult",IF(B3203&lt;=60,"Adult","Senior")))</f>
        <v>Adult</v>
      </c>
      <c r="D3203" t="s">
        <v>16</v>
      </c>
      <c r="E3203" t="s">
        <v>27</v>
      </c>
      <c r="F3203" t="s">
        <v>32</v>
      </c>
      <c r="G3203">
        <v>1412.35</v>
      </c>
      <c r="H3203" t="s">
        <v>19</v>
      </c>
      <c r="I3203" t="s">
        <v>15</v>
      </c>
      <c r="J3203">
        <v>2.8</v>
      </c>
      <c r="K3203">
        <v>11</v>
      </c>
      <c r="L3203">
        <f t="shared" ref="L3203:L3266" si="151">G3203*(1-K3203/100)</f>
        <v>1256.9914999999999</v>
      </c>
      <c r="M3203">
        <v>3</v>
      </c>
      <c r="N3203" t="str">
        <f t="shared" ref="N3203:N3266" si="152">IF(M3203&lt;=3,"New",IF(M3203&lt;=7,"Regular","Loyal"))</f>
        <v>New</v>
      </c>
    </row>
    <row r="3204" spans="1:14" x14ac:dyDescent="0.35">
      <c r="A3204">
        <v>3203</v>
      </c>
      <c r="B3204">
        <v>70</v>
      </c>
      <c r="C3204" t="str">
        <f t="shared" si="150"/>
        <v>Senior</v>
      </c>
      <c r="D3204" t="s">
        <v>11</v>
      </c>
      <c r="E3204" t="s">
        <v>20</v>
      </c>
      <c r="F3204" t="s">
        <v>39</v>
      </c>
      <c r="G3204">
        <v>191.53</v>
      </c>
      <c r="H3204" t="s">
        <v>14</v>
      </c>
      <c r="I3204" t="s">
        <v>15</v>
      </c>
      <c r="J3204">
        <v>3</v>
      </c>
      <c r="K3204">
        <v>9</v>
      </c>
      <c r="L3204">
        <f t="shared" si="151"/>
        <v>174.29230000000001</v>
      </c>
      <c r="M3204">
        <v>2</v>
      </c>
      <c r="N3204" t="str">
        <f t="shared" si="152"/>
        <v>New</v>
      </c>
    </row>
    <row r="3205" spans="1:14" x14ac:dyDescent="0.35">
      <c r="A3205">
        <v>3204</v>
      </c>
      <c r="B3205">
        <v>70</v>
      </c>
      <c r="C3205" t="str">
        <f t="shared" si="150"/>
        <v>Senior</v>
      </c>
      <c r="D3205" t="s">
        <v>11</v>
      </c>
      <c r="E3205" t="s">
        <v>29</v>
      </c>
      <c r="F3205" t="s">
        <v>30</v>
      </c>
      <c r="G3205">
        <v>132.43</v>
      </c>
      <c r="H3205" t="s">
        <v>31</v>
      </c>
      <c r="I3205" t="s">
        <v>15</v>
      </c>
      <c r="J3205">
        <v>4.3</v>
      </c>
      <c r="K3205">
        <v>16</v>
      </c>
      <c r="L3205">
        <f t="shared" si="151"/>
        <v>111.24120000000001</v>
      </c>
      <c r="M3205">
        <v>3</v>
      </c>
      <c r="N3205" t="str">
        <f t="shared" si="152"/>
        <v>New</v>
      </c>
    </row>
    <row r="3206" spans="1:14" x14ac:dyDescent="0.35">
      <c r="A3206">
        <v>3205</v>
      </c>
      <c r="B3206">
        <v>48</v>
      </c>
      <c r="C3206" t="str">
        <f t="shared" si="150"/>
        <v>Adult</v>
      </c>
      <c r="D3206" t="s">
        <v>11</v>
      </c>
      <c r="E3206" t="s">
        <v>29</v>
      </c>
      <c r="F3206" t="s">
        <v>55</v>
      </c>
      <c r="G3206">
        <v>69.75</v>
      </c>
      <c r="H3206" t="s">
        <v>24</v>
      </c>
      <c r="I3206" t="s">
        <v>15</v>
      </c>
      <c r="J3206">
        <v>3.7</v>
      </c>
      <c r="K3206">
        <v>2</v>
      </c>
      <c r="L3206">
        <f t="shared" si="151"/>
        <v>68.355000000000004</v>
      </c>
      <c r="M3206">
        <v>1</v>
      </c>
      <c r="N3206" t="str">
        <f t="shared" si="152"/>
        <v>New</v>
      </c>
    </row>
    <row r="3207" spans="1:14" x14ac:dyDescent="0.35">
      <c r="A3207">
        <v>3206</v>
      </c>
      <c r="B3207">
        <v>35</v>
      </c>
      <c r="C3207" t="str">
        <f t="shared" si="150"/>
        <v>Adult</v>
      </c>
      <c r="D3207" t="s">
        <v>16</v>
      </c>
      <c r="E3207" t="s">
        <v>33</v>
      </c>
      <c r="F3207" t="s">
        <v>34</v>
      </c>
      <c r="G3207">
        <v>85.09</v>
      </c>
      <c r="H3207" t="s">
        <v>19</v>
      </c>
      <c r="I3207" t="s">
        <v>15</v>
      </c>
      <c r="J3207">
        <v>2.8</v>
      </c>
      <c r="K3207">
        <v>20</v>
      </c>
      <c r="L3207">
        <f t="shared" si="151"/>
        <v>68.072000000000003</v>
      </c>
      <c r="M3207">
        <v>5</v>
      </c>
      <c r="N3207" t="str">
        <f t="shared" si="152"/>
        <v>Regular</v>
      </c>
    </row>
    <row r="3208" spans="1:14" x14ac:dyDescent="0.35">
      <c r="A3208">
        <v>3207</v>
      </c>
      <c r="B3208">
        <v>61</v>
      </c>
      <c r="C3208" t="str">
        <f t="shared" si="150"/>
        <v>Senior</v>
      </c>
      <c r="D3208" t="s">
        <v>16</v>
      </c>
      <c r="E3208" t="s">
        <v>17</v>
      </c>
      <c r="F3208" t="s">
        <v>18</v>
      </c>
      <c r="G3208">
        <v>46.79</v>
      </c>
      <c r="H3208" t="s">
        <v>24</v>
      </c>
      <c r="I3208" t="s">
        <v>37</v>
      </c>
      <c r="J3208">
        <v>3.8</v>
      </c>
      <c r="K3208">
        <v>13</v>
      </c>
      <c r="L3208">
        <f t="shared" si="151"/>
        <v>40.707299999999996</v>
      </c>
      <c r="M3208">
        <v>4</v>
      </c>
      <c r="N3208" t="str">
        <f t="shared" si="152"/>
        <v>Regular</v>
      </c>
    </row>
    <row r="3209" spans="1:14" x14ac:dyDescent="0.35">
      <c r="A3209">
        <v>3208</v>
      </c>
      <c r="B3209">
        <v>55</v>
      </c>
      <c r="C3209" t="str">
        <f t="shared" si="150"/>
        <v>Adult</v>
      </c>
      <c r="D3209" t="s">
        <v>16</v>
      </c>
      <c r="E3209" t="s">
        <v>20</v>
      </c>
      <c r="F3209" t="s">
        <v>21</v>
      </c>
      <c r="G3209">
        <v>164.44</v>
      </c>
      <c r="H3209" t="s">
        <v>14</v>
      </c>
      <c r="I3209" t="s">
        <v>15</v>
      </c>
      <c r="J3209">
        <v>3.7</v>
      </c>
      <c r="K3209">
        <v>12</v>
      </c>
      <c r="L3209">
        <f t="shared" si="151"/>
        <v>144.7072</v>
      </c>
      <c r="M3209">
        <v>6</v>
      </c>
      <c r="N3209" t="str">
        <f t="shared" si="152"/>
        <v>Regular</v>
      </c>
    </row>
    <row r="3210" spans="1:14" x14ac:dyDescent="0.35">
      <c r="A3210">
        <v>3209</v>
      </c>
      <c r="B3210">
        <v>50</v>
      </c>
      <c r="C3210" t="str">
        <f t="shared" si="150"/>
        <v>Adult</v>
      </c>
      <c r="D3210" t="s">
        <v>16</v>
      </c>
      <c r="E3210" t="s">
        <v>17</v>
      </c>
      <c r="F3210" t="s">
        <v>48</v>
      </c>
      <c r="G3210">
        <v>73.98</v>
      </c>
      <c r="H3210" t="s">
        <v>19</v>
      </c>
      <c r="I3210" t="s">
        <v>15</v>
      </c>
      <c r="J3210">
        <v>5</v>
      </c>
      <c r="K3210">
        <v>23</v>
      </c>
      <c r="L3210">
        <f t="shared" si="151"/>
        <v>56.964600000000004</v>
      </c>
      <c r="M3210">
        <v>9</v>
      </c>
      <c r="N3210" t="str">
        <f t="shared" si="152"/>
        <v>Loyal</v>
      </c>
    </row>
    <row r="3211" spans="1:14" x14ac:dyDescent="0.35">
      <c r="A3211">
        <v>3210</v>
      </c>
      <c r="B3211">
        <v>23</v>
      </c>
      <c r="C3211" t="str">
        <f t="shared" si="150"/>
        <v>Youth</v>
      </c>
      <c r="D3211" t="s">
        <v>11</v>
      </c>
      <c r="E3211" t="s">
        <v>29</v>
      </c>
      <c r="F3211" t="s">
        <v>51</v>
      </c>
      <c r="G3211">
        <v>145.91</v>
      </c>
      <c r="H3211" t="s">
        <v>31</v>
      </c>
      <c r="I3211" t="s">
        <v>15</v>
      </c>
      <c r="J3211">
        <v>3.3</v>
      </c>
      <c r="K3211">
        <v>18</v>
      </c>
      <c r="L3211">
        <f t="shared" si="151"/>
        <v>119.64620000000001</v>
      </c>
      <c r="M3211">
        <v>4</v>
      </c>
      <c r="N3211" t="str">
        <f t="shared" si="152"/>
        <v>Regular</v>
      </c>
    </row>
    <row r="3212" spans="1:14" x14ac:dyDescent="0.35">
      <c r="A3212">
        <v>3211</v>
      </c>
      <c r="B3212">
        <v>26</v>
      </c>
      <c r="C3212" t="str">
        <f t="shared" si="150"/>
        <v>Youth</v>
      </c>
      <c r="D3212" t="s">
        <v>16</v>
      </c>
      <c r="E3212" t="s">
        <v>33</v>
      </c>
      <c r="F3212" t="s">
        <v>38</v>
      </c>
      <c r="G3212">
        <v>189.03</v>
      </c>
      <c r="H3212" t="s">
        <v>31</v>
      </c>
      <c r="I3212" t="s">
        <v>15</v>
      </c>
      <c r="J3212">
        <v>4.2</v>
      </c>
      <c r="K3212">
        <v>10</v>
      </c>
      <c r="L3212">
        <f t="shared" si="151"/>
        <v>170.12700000000001</v>
      </c>
      <c r="M3212">
        <v>5</v>
      </c>
      <c r="N3212" t="str">
        <f t="shared" si="152"/>
        <v>Regular</v>
      </c>
    </row>
    <row r="3213" spans="1:14" x14ac:dyDescent="0.35">
      <c r="A3213">
        <v>3212</v>
      </c>
      <c r="B3213">
        <v>41</v>
      </c>
      <c r="C3213" t="str">
        <f t="shared" si="150"/>
        <v>Adult</v>
      </c>
      <c r="D3213" t="s">
        <v>11</v>
      </c>
      <c r="E3213" t="s">
        <v>29</v>
      </c>
      <c r="F3213" t="s">
        <v>51</v>
      </c>
      <c r="G3213">
        <v>105.87</v>
      </c>
      <c r="H3213" t="s">
        <v>31</v>
      </c>
      <c r="I3213" t="s">
        <v>15</v>
      </c>
      <c r="J3213">
        <v>4.9000000000000004</v>
      </c>
      <c r="K3213">
        <v>13</v>
      </c>
      <c r="L3213">
        <f t="shared" si="151"/>
        <v>92.10690000000001</v>
      </c>
      <c r="M3213">
        <v>4</v>
      </c>
      <c r="N3213" t="str">
        <f t="shared" si="152"/>
        <v>Regular</v>
      </c>
    </row>
    <row r="3214" spans="1:14" x14ac:dyDescent="0.35">
      <c r="A3214">
        <v>3213</v>
      </c>
      <c r="B3214">
        <v>45</v>
      </c>
      <c r="C3214" t="str">
        <f t="shared" si="150"/>
        <v>Adult</v>
      </c>
      <c r="D3214" t="s">
        <v>16</v>
      </c>
      <c r="E3214" t="s">
        <v>22</v>
      </c>
      <c r="F3214" t="s">
        <v>23</v>
      </c>
      <c r="G3214">
        <v>170.97</v>
      </c>
      <c r="H3214" t="s">
        <v>24</v>
      </c>
      <c r="I3214" t="s">
        <v>15</v>
      </c>
      <c r="J3214">
        <v>4.4000000000000004</v>
      </c>
      <c r="K3214">
        <v>12</v>
      </c>
      <c r="L3214">
        <f t="shared" si="151"/>
        <v>150.45359999999999</v>
      </c>
      <c r="M3214">
        <v>6</v>
      </c>
      <c r="N3214" t="str">
        <f t="shared" si="152"/>
        <v>Regular</v>
      </c>
    </row>
    <row r="3215" spans="1:14" x14ac:dyDescent="0.35">
      <c r="A3215">
        <v>3214</v>
      </c>
      <c r="B3215">
        <v>27</v>
      </c>
      <c r="C3215" t="str">
        <f t="shared" si="150"/>
        <v>Youth</v>
      </c>
      <c r="D3215" t="s">
        <v>11</v>
      </c>
      <c r="E3215" t="s">
        <v>33</v>
      </c>
      <c r="F3215" t="s">
        <v>40</v>
      </c>
      <c r="G3215">
        <v>77.2</v>
      </c>
      <c r="H3215" t="s">
        <v>24</v>
      </c>
      <c r="I3215" t="s">
        <v>37</v>
      </c>
      <c r="J3215">
        <v>4.2</v>
      </c>
      <c r="K3215">
        <v>15</v>
      </c>
      <c r="L3215">
        <f t="shared" si="151"/>
        <v>65.62</v>
      </c>
      <c r="M3215">
        <v>5</v>
      </c>
      <c r="N3215" t="str">
        <f t="shared" si="152"/>
        <v>Regular</v>
      </c>
    </row>
    <row r="3216" spans="1:14" x14ac:dyDescent="0.35">
      <c r="A3216">
        <v>3215</v>
      </c>
      <c r="B3216">
        <v>21</v>
      </c>
      <c r="C3216" t="str">
        <f t="shared" si="150"/>
        <v>Youth</v>
      </c>
      <c r="D3216" t="s">
        <v>11</v>
      </c>
      <c r="E3216" t="s">
        <v>29</v>
      </c>
      <c r="F3216" t="s">
        <v>55</v>
      </c>
      <c r="G3216">
        <v>147</v>
      </c>
      <c r="H3216" t="s">
        <v>24</v>
      </c>
      <c r="I3216" t="s">
        <v>15</v>
      </c>
      <c r="J3216">
        <v>3.4</v>
      </c>
      <c r="K3216">
        <v>8</v>
      </c>
      <c r="L3216">
        <f t="shared" si="151"/>
        <v>135.24</v>
      </c>
      <c r="M3216">
        <v>4</v>
      </c>
      <c r="N3216" t="str">
        <f t="shared" si="152"/>
        <v>Regular</v>
      </c>
    </row>
    <row r="3217" spans="1:14" x14ac:dyDescent="0.35">
      <c r="A3217">
        <v>3216</v>
      </c>
      <c r="B3217">
        <v>46</v>
      </c>
      <c r="C3217" t="str">
        <f t="shared" si="150"/>
        <v>Adult</v>
      </c>
      <c r="D3217" t="s">
        <v>11</v>
      </c>
      <c r="E3217" t="s">
        <v>41</v>
      </c>
      <c r="F3217" t="s">
        <v>44</v>
      </c>
      <c r="G3217">
        <v>30.57</v>
      </c>
      <c r="H3217" t="s">
        <v>24</v>
      </c>
      <c r="I3217" t="s">
        <v>15</v>
      </c>
      <c r="J3217">
        <v>4.2</v>
      </c>
      <c r="K3217">
        <v>6</v>
      </c>
      <c r="L3217">
        <f t="shared" si="151"/>
        <v>28.735799999999998</v>
      </c>
      <c r="M3217">
        <v>3</v>
      </c>
      <c r="N3217" t="str">
        <f t="shared" si="152"/>
        <v>New</v>
      </c>
    </row>
    <row r="3218" spans="1:14" x14ac:dyDescent="0.35">
      <c r="A3218">
        <v>3217</v>
      </c>
      <c r="B3218">
        <v>23</v>
      </c>
      <c r="C3218" t="str">
        <f t="shared" si="150"/>
        <v>Youth</v>
      </c>
      <c r="D3218" t="s">
        <v>16</v>
      </c>
      <c r="E3218" t="s">
        <v>33</v>
      </c>
      <c r="F3218" t="s">
        <v>40</v>
      </c>
      <c r="G3218">
        <v>232.37</v>
      </c>
      <c r="H3218" t="s">
        <v>14</v>
      </c>
      <c r="I3218" t="s">
        <v>15</v>
      </c>
      <c r="J3218">
        <v>4.2</v>
      </c>
      <c r="K3218">
        <v>23</v>
      </c>
      <c r="L3218">
        <f t="shared" si="151"/>
        <v>178.92490000000001</v>
      </c>
      <c r="M3218">
        <v>9</v>
      </c>
      <c r="N3218" t="str">
        <f t="shared" si="152"/>
        <v>Loyal</v>
      </c>
    </row>
    <row r="3219" spans="1:14" x14ac:dyDescent="0.35">
      <c r="A3219">
        <v>3218</v>
      </c>
      <c r="B3219">
        <v>59</v>
      </c>
      <c r="C3219" t="str">
        <f t="shared" si="150"/>
        <v>Adult</v>
      </c>
      <c r="D3219" t="s">
        <v>16</v>
      </c>
      <c r="E3219" t="s">
        <v>20</v>
      </c>
      <c r="F3219" t="s">
        <v>36</v>
      </c>
      <c r="G3219">
        <v>234.52</v>
      </c>
      <c r="H3219" t="s">
        <v>24</v>
      </c>
      <c r="I3219" t="s">
        <v>15</v>
      </c>
      <c r="J3219">
        <v>4.0999999999999996</v>
      </c>
      <c r="K3219">
        <v>22</v>
      </c>
      <c r="L3219">
        <f t="shared" si="151"/>
        <v>182.9256</v>
      </c>
      <c r="M3219">
        <v>6</v>
      </c>
      <c r="N3219" t="str">
        <f t="shared" si="152"/>
        <v>Regular</v>
      </c>
    </row>
    <row r="3220" spans="1:14" x14ac:dyDescent="0.35">
      <c r="A3220">
        <v>3219</v>
      </c>
      <c r="B3220">
        <v>52</v>
      </c>
      <c r="C3220" t="str">
        <f t="shared" si="150"/>
        <v>Adult</v>
      </c>
      <c r="D3220" t="s">
        <v>11</v>
      </c>
      <c r="E3220" t="s">
        <v>29</v>
      </c>
      <c r="F3220" t="s">
        <v>30</v>
      </c>
      <c r="G3220">
        <v>130.99</v>
      </c>
      <c r="H3220" t="s">
        <v>24</v>
      </c>
      <c r="I3220" t="s">
        <v>15</v>
      </c>
      <c r="J3220">
        <v>5</v>
      </c>
      <c r="K3220">
        <v>24</v>
      </c>
      <c r="L3220">
        <f t="shared" si="151"/>
        <v>99.552400000000006</v>
      </c>
      <c r="M3220">
        <v>7</v>
      </c>
      <c r="N3220" t="str">
        <f t="shared" si="152"/>
        <v>Regular</v>
      </c>
    </row>
    <row r="3221" spans="1:14" x14ac:dyDescent="0.35">
      <c r="A3221">
        <v>3220</v>
      </c>
      <c r="B3221">
        <v>36</v>
      </c>
      <c r="C3221" t="str">
        <f t="shared" si="150"/>
        <v>Adult</v>
      </c>
      <c r="D3221" t="s">
        <v>16</v>
      </c>
      <c r="E3221" t="s">
        <v>20</v>
      </c>
      <c r="F3221" t="s">
        <v>21</v>
      </c>
      <c r="G3221">
        <v>51.47</v>
      </c>
      <c r="H3221" t="s">
        <v>24</v>
      </c>
      <c r="I3221" t="s">
        <v>15</v>
      </c>
      <c r="J3221">
        <v>2.4</v>
      </c>
      <c r="K3221">
        <v>6</v>
      </c>
      <c r="L3221">
        <f t="shared" si="151"/>
        <v>48.381799999999998</v>
      </c>
      <c r="M3221">
        <v>3</v>
      </c>
      <c r="N3221" t="str">
        <f t="shared" si="152"/>
        <v>New</v>
      </c>
    </row>
    <row r="3222" spans="1:14" x14ac:dyDescent="0.35">
      <c r="A3222">
        <v>3221</v>
      </c>
      <c r="B3222">
        <v>40</v>
      </c>
      <c r="C3222" t="str">
        <f t="shared" si="150"/>
        <v>Adult</v>
      </c>
      <c r="D3222" t="s">
        <v>11</v>
      </c>
      <c r="E3222" t="s">
        <v>12</v>
      </c>
      <c r="F3222" t="s">
        <v>50</v>
      </c>
      <c r="G3222">
        <v>160.63</v>
      </c>
      <c r="H3222" t="s">
        <v>31</v>
      </c>
      <c r="I3222" t="s">
        <v>15</v>
      </c>
      <c r="J3222">
        <v>2.8</v>
      </c>
      <c r="K3222">
        <v>14</v>
      </c>
      <c r="L3222">
        <f t="shared" si="151"/>
        <v>138.14179999999999</v>
      </c>
      <c r="M3222">
        <v>7</v>
      </c>
      <c r="N3222" t="str">
        <f t="shared" si="152"/>
        <v>Regular</v>
      </c>
    </row>
    <row r="3223" spans="1:14" x14ac:dyDescent="0.35">
      <c r="A3223">
        <v>3222</v>
      </c>
      <c r="B3223">
        <v>50</v>
      </c>
      <c r="C3223" t="str">
        <f t="shared" si="150"/>
        <v>Adult</v>
      </c>
      <c r="D3223" t="s">
        <v>16</v>
      </c>
      <c r="E3223" t="s">
        <v>22</v>
      </c>
      <c r="F3223" t="s">
        <v>52</v>
      </c>
      <c r="G3223">
        <v>122.41</v>
      </c>
      <c r="H3223" t="s">
        <v>19</v>
      </c>
      <c r="I3223" t="s">
        <v>15</v>
      </c>
      <c r="J3223">
        <v>3.9</v>
      </c>
      <c r="K3223">
        <v>16</v>
      </c>
      <c r="L3223">
        <f t="shared" si="151"/>
        <v>102.8244</v>
      </c>
      <c r="M3223">
        <v>8</v>
      </c>
      <c r="N3223" t="str">
        <f t="shared" si="152"/>
        <v>Loyal</v>
      </c>
    </row>
    <row r="3224" spans="1:14" x14ac:dyDescent="0.35">
      <c r="A3224">
        <v>3223</v>
      </c>
      <c r="B3224">
        <v>39</v>
      </c>
      <c r="C3224" t="str">
        <f t="shared" si="150"/>
        <v>Adult</v>
      </c>
      <c r="D3224" t="s">
        <v>16</v>
      </c>
      <c r="E3224" t="s">
        <v>22</v>
      </c>
      <c r="F3224" t="s">
        <v>43</v>
      </c>
      <c r="G3224">
        <v>113.22</v>
      </c>
      <c r="H3224" t="s">
        <v>19</v>
      </c>
      <c r="I3224" t="s">
        <v>15</v>
      </c>
      <c r="J3224">
        <v>3.1</v>
      </c>
      <c r="K3224">
        <v>30</v>
      </c>
      <c r="L3224">
        <f t="shared" si="151"/>
        <v>79.253999999999991</v>
      </c>
      <c r="M3224">
        <v>10</v>
      </c>
      <c r="N3224" t="str">
        <f t="shared" si="152"/>
        <v>Loyal</v>
      </c>
    </row>
    <row r="3225" spans="1:14" x14ac:dyDescent="0.35">
      <c r="A3225">
        <v>3224</v>
      </c>
      <c r="B3225">
        <v>65</v>
      </c>
      <c r="C3225" t="str">
        <f t="shared" si="150"/>
        <v>Senior</v>
      </c>
      <c r="D3225" t="s">
        <v>11</v>
      </c>
      <c r="E3225" t="s">
        <v>29</v>
      </c>
      <c r="F3225" t="s">
        <v>51</v>
      </c>
      <c r="G3225">
        <v>84.88</v>
      </c>
      <c r="H3225" t="s">
        <v>24</v>
      </c>
      <c r="I3225" t="s">
        <v>37</v>
      </c>
      <c r="J3225">
        <v>2.7</v>
      </c>
      <c r="K3225">
        <v>18</v>
      </c>
      <c r="L3225">
        <f t="shared" si="151"/>
        <v>69.601600000000005</v>
      </c>
      <c r="M3225">
        <v>4</v>
      </c>
      <c r="N3225" t="str">
        <f t="shared" si="152"/>
        <v>Regular</v>
      </c>
    </row>
    <row r="3226" spans="1:14" x14ac:dyDescent="0.35">
      <c r="A3226">
        <v>3225</v>
      </c>
      <c r="B3226">
        <v>52</v>
      </c>
      <c r="C3226" t="str">
        <f t="shared" si="150"/>
        <v>Adult</v>
      </c>
      <c r="D3226" t="s">
        <v>11</v>
      </c>
      <c r="E3226" t="s">
        <v>29</v>
      </c>
      <c r="F3226" t="s">
        <v>55</v>
      </c>
      <c r="G3226">
        <v>22.73</v>
      </c>
      <c r="H3226" t="s">
        <v>19</v>
      </c>
      <c r="I3226" t="s">
        <v>15</v>
      </c>
      <c r="J3226">
        <v>3.4</v>
      </c>
      <c r="K3226">
        <v>6</v>
      </c>
      <c r="L3226">
        <f t="shared" si="151"/>
        <v>21.366199999999999</v>
      </c>
      <c r="M3226">
        <v>3</v>
      </c>
      <c r="N3226" t="str">
        <f t="shared" si="152"/>
        <v>New</v>
      </c>
    </row>
    <row r="3227" spans="1:14" x14ac:dyDescent="0.35">
      <c r="A3227">
        <v>3226</v>
      </c>
      <c r="B3227">
        <v>54</v>
      </c>
      <c r="C3227" t="str">
        <f t="shared" si="150"/>
        <v>Adult</v>
      </c>
      <c r="D3227" t="s">
        <v>11</v>
      </c>
      <c r="E3227" t="s">
        <v>33</v>
      </c>
      <c r="F3227" t="s">
        <v>40</v>
      </c>
      <c r="G3227">
        <v>226.11</v>
      </c>
      <c r="H3227" t="s">
        <v>31</v>
      </c>
      <c r="I3227" t="s">
        <v>15</v>
      </c>
      <c r="J3227">
        <v>4.5</v>
      </c>
      <c r="K3227">
        <v>17</v>
      </c>
      <c r="L3227">
        <f t="shared" si="151"/>
        <v>187.6713</v>
      </c>
      <c r="M3227">
        <v>6</v>
      </c>
      <c r="N3227" t="str">
        <f t="shared" si="152"/>
        <v>Regular</v>
      </c>
    </row>
    <row r="3228" spans="1:14" x14ac:dyDescent="0.35">
      <c r="A3228">
        <v>3227</v>
      </c>
      <c r="B3228">
        <v>64</v>
      </c>
      <c r="C3228" t="str">
        <f t="shared" si="150"/>
        <v>Senior</v>
      </c>
      <c r="D3228" t="s">
        <v>11</v>
      </c>
      <c r="E3228" t="s">
        <v>20</v>
      </c>
      <c r="F3228" t="s">
        <v>36</v>
      </c>
      <c r="G3228">
        <v>208.59</v>
      </c>
      <c r="H3228" t="s">
        <v>19</v>
      </c>
      <c r="I3228" t="s">
        <v>15</v>
      </c>
      <c r="J3228">
        <v>2.8</v>
      </c>
      <c r="K3228">
        <v>8</v>
      </c>
      <c r="L3228">
        <f t="shared" si="151"/>
        <v>191.90280000000001</v>
      </c>
      <c r="M3228">
        <v>4</v>
      </c>
      <c r="N3228" t="str">
        <f t="shared" si="152"/>
        <v>Regular</v>
      </c>
    </row>
    <row r="3229" spans="1:14" x14ac:dyDescent="0.35">
      <c r="A3229">
        <v>3228</v>
      </c>
      <c r="B3229">
        <v>53</v>
      </c>
      <c r="C3229" t="str">
        <f t="shared" si="150"/>
        <v>Adult</v>
      </c>
      <c r="D3229" t="s">
        <v>16</v>
      </c>
      <c r="E3229" t="s">
        <v>20</v>
      </c>
      <c r="F3229" t="s">
        <v>21</v>
      </c>
      <c r="G3229">
        <v>120.33</v>
      </c>
      <c r="H3229" t="s">
        <v>19</v>
      </c>
      <c r="I3229" t="s">
        <v>15</v>
      </c>
      <c r="J3229">
        <v>3.7</v>
      </c>
      <c r="K3229">
        <v>6</v>
      </c>
      <c r="L3229">
        <f t="shared" si="151"/>
        <v>113.11019999999999</v>
      </c>
      <c r="M3229">
        <v>3</v>
      </c>
      <c r="N3229" t="str">
        <f t="shared" si="152"/>
        <v>New</v>
      </c>
    </row>
    <row r="3230" spans="1:14" x14ac:dyDescent="0.35">
      <c r="A3230">
        <v>3229</v>
      </c>
      <c r="B3230">
        <v>29</v>
      </c>
      <c r="C3230" t="str">
        <f t="shared" si="150"/>
        <v>Youth</v>
      </c>
      <c r="D3230" t="s">
        <v>16</v>
      </c>
      <c r="E3230" t="s">
        <v>25</v>
      </c>
      <c r="F3230" t="s">
        <v>47</v>
      </c>
      <c r="G3230">
        <v>41.86</v>
      </c>
      <c r="H3230" t="s">
        <v>19</v>
      </c>
      <c r="I3230" t="s">
        <v>37</v>
      </c>
      <c r="J3230">
        <v>4</v>
      </c>
      <c r="K3230">
        <v>18</v>
      </c>
      <c r="L3230">
        <f t="shared" si="151"/>
        <v>34.325200000000002</v>
      </c>
      <c r="M3230">
        <v>4</v>
      </c>
      <c r="N3230" t="str">
        <f t="shared" si="152"/>
        <v>Regular</v>
      </c>
    </row>
    <row r="3231" spans="1:14" x14ac:dyDescent="0.35">
      <c r="A3231">
        <v>3230</v>
      </c>
      <c r="B3231">
        <v>50</v>
      </c>
      <c r="C3231" t="str">
        <f t="shared" si="150"/>
        <v>Adult</v>
      </c>
      <c r="D3231" t="s">
        <v>16</v>
      </c>
      <c r="E3231" t="s">
        <v>20</v>
      </c>
      <c r="F3231" t="s">
        <v>39</v>
      </c>
      <c r="G3231">
        <v>31.06</v>
      </c>
      <c r="H3231" t="s">
        <v>24</v>
      </c>
      <c r="I3231" t="s">
        <v>15</v>
      </c>
      <c r="J3231">
        <v>3</v>
      </c>
      <c r="K3231">
        <v>12</v>
      </c>
      <c r="L3231">
        <f t="shared" si="151"/>
        <v>27.332799999999999</v>
      </c>
      <c r="M3231">
        <v>6</v>
      </c>
      <c r="N3231" t="str">
        <f t="shared" si="152"/>
        <v>Regular</v>
      </c>
    </row>
    <row r="3232" spans="1:14" x14ac:dyDescent="0.35">
      <c r="A3232">
        <v>3231</v>
      </c>
      <c r="B3232">
        <v>51</v>
      </c>
      <c r="C3232" t="str">
        <f t="shared" si="150"/>
        <v>Adult</v>
      </c>
      <c r="D3232" t="s">
        <v>16</v>
      </c>
      <c r="E3232" t="s">
        <v>33</v>
      </c>
      <c r="F3232" t="s">
        <v>38</v>
      </c>
      <c r="G3232">
        <v>46.87</v>
      </c>
      <c r="H3232" t="s">
        <v>31</v>
      </c>
      <c r="I3232" t="s">
        <v>37</v>
      </c>
      <c r="J3232">
        <v>3.5</v>
      </c>
      <c r="K3232">
        <v>15</v>
      </c>
      <c r="L3232">
        <f t="shared" si="151"/>
        <v>39.839499999999994</v>
      </c>
      <c r="M3232">
        <v>5</v>
      </c>
      <c r="N3232" t="str">
        <f t="shared" si="152"/>
        <v>Regular</v>
      </c>
    </row>
    <row r="3233" spans="1:14" x14ac:dyDescent="0.35">
      <c r="A3233">
        <v>3232</v>
      </c>
      <c r="B3233">
        <v>70</v>
      </c>
      <c r="C3233" t="str">
        <f t="shared" si="150"/>
        <v>Senior</v>
      </c>
      <c r="D3233" t="s">
        <v>11</v>
      </c>
      <c r="E3233" t="s">
        <v>12</v>
      </c>
      <c r="F3233" t="s">
        <v>56</v>
      </c>
      <c r="G3233">
        <v>124.66</v>
      </c>
      <c r="H3233" t="s">
        <v>19</v>
      </c>
      <c r="I3233" t="s">
        <v>15</v>
      </c>
      <c r="J3233">
        <v>4.5999999999999996</v>
      </c>
      <c r="K3233">
        <v>19</v>
      </c>
      <c r="L3233">
        <f t="shared" si="151"/>
        <v>100.97460000000001</v>
      </c>
      <c r="M3233">
        <v>7</v>
      </c>
      <c r="N3233" t="str">
        <f t="shared" si="152"/>
        <v>Regular</v>
      </c>
    </row>
    <row r="3234" spans="1:14" x14ac:dyDescent="0.35">
      <c r="A3234">
        <v>3233</v>
      </c>
      <c r="B3234">
        <v>32</v>
      </c>
      <c r="C3234" t="str">
        <f t="shared" si="150"/>
        <v>Adult</v>
      </c>
      <c r="D3234" t="s">
        <v>11</v>
      </c>
      <c r="E3234" t="s">
        <v>22</v>
      </c>
      <c r="F3234" t="s">
        <v>43</v>
      </c>
      <c r="G3234">
        <v>101.07</v>
      </c>
      <c r="H3234" t="s">
        <v>24</v>
      </c>
      <c r="I3234" t="s">
        <v>15</v>
      </c>
      <c r="J3234">
        <v>3.6</v>
      </c>
      <c r="K3234">
        <v>6</v>
      </c>
      <c r="L3234">
        <f t="shared" si="151"/>
        <v>95.005799999999994</v>
      </c>
      <c r="M3234">
        <v>3</v>
      </c>
      <c r="N3234" t="str">
        <f t="shared" si="152"/>
        <v>New</v>
      </c>
    </row>
    <row r="3235" spans="1:14" x14ac:dyDescent="0.35">
      <c r="A3235">
        <v>3234</v>
      </c>
      <c r="B3235">
        <v>69</v>
      </c>
      <c r="C3235" t="str">
        <f t="shared" si="150"/>
        <v>Senior</v>
      </c>
      <c r="D3235" t="s">
        <v>16</v>
      </c>
      <c r="E3235" t="s">
        <v>20</v>
      </c>
      <c r="F3235" t="s">
        <v>21</v>
      </c>
      <c r="G3235">
        <v>169.69</v>
      </c>
      <c r="H3235" t="s">
        <v>14</v>
      </c>
      <c r="I3235" t="s">
        <v>15</v>
      </c>
      <c r="J3235">
        <v>3.8</v>
      </c>
      <c r="K3235">
        <v>4</v>
      </c>
      <c r="L3235">
        <f t="shared" si="151"/>
        <v>162.9024</v>
      </c>
      <c r="M3235">
        <v>2</v>
      </c>
      <c r="N3235" t="str">
        <f t="shared" si="152"/>
        <v>New</v>
      </c>
    </row>
    <row r="3236" spans="1:14" x14ac:dyDescent="0.35">
      <c r="A3236">
        <v>3235</v>
      </c>
      <c r="B3236">
        <v>38</v>
      </c>
      <c r="C3236" t="str">
        <f t="shared" si="150"/>
        <v>Adult</v>
      </c>
      <c r="D3236" t="s">
        <v>11</v>
      </c>
      <c r="E3236" t="s">
        <v>12</v>
      </c>
      <c r="F3236" t="s">
        <v>13</v>
      </c>
      <c r="G3236">
        <v>123.74</v>
      </c>
      <c r="H3236" t="s">
        <v>14</v>
      </c>
      <c r="I3236" t="s">
        <v>15</v>
      </c>
      <c r="J3236">
        <v>3.8</v>
      </c>
      <c r="K3236">
        <v>14</v>
      </c>
      <c r="L3236">
        <f t="shared" si="151"/>
        <v>106.4164</v>
      </c>
      <c r="M3236">
        <v>7</v>
      </c>
      <c r="N3236" t="str">
        <f t="shared" si="152"/>
        <v>Regular</v>
      </c>
    </row>
    <row r="3237" spans="1:14" x14ac:dyDescent="0.35">
      <c r="A3237">
        <v>3236</v>
      </c>
      <c r="B3237">
        <v>45</v>
      </c>
      <c r="C3237" t="str">
        <f t="shared" si="150"/>
        <v>Adult</v>
      </c>
      <c r="D3237" t="s">
        <v>16</v>
      </c>
      <c r="E3237" t="s">
        <v>33</v>
      </c>
      <c r="F3237" t="s">
        <v>40</v>
      </c>
      <c r="G3237">
        <v>118.39</v>
      </c>
      <c r="H3237" t="s">
        <v>24</v>
      </c>
      <c r="I3237" t="s">
        <v>15</v>
      </c>
      <c r="J3237">
        <v>5</v>
      </c>
      <c r="K3237">
        <v>18</v>
      </c>
      <c r="L3237">
        <f t="shared" si="151"/>
        <v>97.079800000000006</v>
      </c>
      <c r="M3237">
        <v>4</v>
      </c>
      <c r="N3237" t="str">
        <f t="shared" si="152"/>
        <v>Regular</v>
      </c>
    </row>
    <row r="3238" spans="1:14" x14ac:dyDescent="0.35">
      <c r="A3238">
        <v>3237</v>
      </c>
      <c r="B3238">
        <v>47</v>
      </c>
      <c r="C3238" t="str">
        <f t="shared" si="150"/>
        <v>Adult</v>
      </c>
      <c r="D3238" t="s">
        <v>11</v>
      </c>
      <c r="E3238" t="s">
        <v>12</v>
      </c>
      <c r="F3238" t="s">
        <v>13</v>
      </c>
      <c r="G3238">
        <v>167.42</v>
      </c>
      <c r="H3238" t="s">
        <v>14</v>
      </c>
      <c r="I3238" t="s">
        <v>15</v>
      </c>
      <c r="J3238">
        <v>4.0999999999999996</v>
      </c>
      <c r="K3238">
        <v>13</v>
      </c>
      <c r="L3238">
        <f t="shared" si="151"/>
        <v>145.65539999999999</v>
      </c>
      <c r="M3238">
        <v>4</v>
      </c>
      <c r="N3238" t="str">
        <f t="shared" si="152"/>
        <v>Regular</v>
      </c>
    </row>
    <row r="3239" spans="1:14" x14ac:dyDescent="0.35">
      <c r="A3239">
        <v>3238</v>
      </c>
      <c r="B3239">
        <v>65</v>
      </c>
      <c r="C3239" t="str">
        <f t="shared" si="150"/>
        <v>Senior</v>
      </c>
      <c r="D3239" t="s">
        <v>16</v>
      </c>
      <c r="E3239" t="s">
        <v>22</v>
      </c>
      <c r="F3239" t="s">
        <v>23</v>
      </c>
      <c r="G3239">
        <v>113.63</v>
      </c>
      <c r="H3239" t="s">
        <v>14</v>
      </c>
      <c r="I3239" t="s">
        <v>15</v>
      </c>
      <c r="J3239">
        <v>3.2</v>
      </c>
      <c r="K3239">
        <v>8</v>
      </c>
      <c r="L3239">
        <f t="shared" si="151"/>
        <v>104.53960000000001</v>
      </c>
      <c r="M3239">
        <v>4</v>
      </c>
      <c r="N3239" t="str">
        <f t="shared" si="152"/>
        <v>Regular</v>
      </c>
    </row>
    <row r="3240" spans="1:14" x14ac:dyDescent="0.35">
      <c r="A3240">
        <v>3239</v>
      </c>
      <c r="B3240">
        <v>62</v>
      </c>
      <c r="C3240" t="str">
        <f t="shared" si="150"/>
        <v>Senior</v>
      </c>
      <c r="D3240" t="s">
        <v>11</v>
      </c>
      <c r="E3240" t="s">
        <v>12</v>
      </c>
      <c r="F3240" t="s">
        <v>13</v>
      </c>
      <c r="G3240">
        <v>61.6</v>
      </c>
      <c r="H3240" t="s">
        <v>14</v>
      </c>
      <c r="I3240" t="s">
        <v>15</v>
      </c>
      <c r="J3240">
        <v>3.9</v>
      </c>
      <c r="K3240">
        <v>10</v>
      </c>
      <c r="L3240">
        <f t="shared" si="151"/>
        <v>55.440000000000005</v>
      </c>
      <c r="M3240">
        <v>5</v>
      </c>
      <c r="N3240" t="str">
        <f t="shared" si="152"/>
        <v>Regular</v>
      </c>
    </row>
    <row r="3241" spans="1:14" x14ac:dyDescent="0.35">
      <c r="A3241">
        <v>3240</v>
      </c>
      <c r="B3241">
        <v>41</v>
      </c>
      <c r="C3241" t="str">
        <f t="shared" si="150"/>
        <v>Adult</v>
      </c>
      <c r="D3241" t="s">
        <v>11</v>
      </c>
      <c r="E3241" t="s">
        <v>29</v>
      </c>
      <c r="F3241" t="s">
        <v>51</v>
      </c>
      <c r="G3241">
        <v>29.6</v>
      </c>
      <c r="H3241" t="s">
        <v>14</v>
      </c>
      <c r="I3241" t="s">
        <v>15</v>
      </c>
      <c r="J3241">
        <v>3.5</v>
      </c>
      <c r="K3241">
        <v>8</v>
      </c>
      <c r="L3241">
        <f t="shared" si="151"/>
        <v>27.232000000000003</v>
      </c>
      <c r="M3241">
        <v>4</v>
      </c>
      <c r="N3241" t="str">
        <f t="shared" si="152"/>
        <v>Regular</v>
      </c>
    </row>
    <row r="3242" spans="1:14" x14ac:dyDescent="0.35">
      <c r="A3242">
        <v>3241</v>
      </c>
      <c r="B3242">
        <v>60</v>
      </c>
      <c r="C3242" t="str">
        <f t="shared" si="150"/>
        <v>Adult</v>
      </c>
      <c r="D3242" t="s">
        <v>11</v>
      </c>
      <c r="E3242" t="s">
        <v>29</v>
      </c>
      <c r="F3242" t="s">
        <v>51</v>
      </c>
      <c r="G3242">
        <v>29.4</v>
      </c>
      <c r="H3242" t="s">
        <v>14</v>
      </c>
      <c r="I3242" t="s">
        <v>37</v>
      </c>
      <c r="J3242">
        <v>4.2</v>
      </c>
      <c r="K3242">
        <v>11</v>
      </c>
      <c r="L3242">
        <f t="shared" si="151"/>
        <v>26.166</v>
      </c>
      <c r="M3242">
        <v>3</v>
      </c>
      <c r="N3242" t="str">
        <f t="shared" si="152"/>
        <v>New</v>
      </c>
    </row>
    <row r="3243" spans="1:14" x14ac:dyDescent="0.35">
      <c r="A3243">
        <v>3242</v>
      </c>
      <c r="B3243">
        <v>36</v>
      </c>
      <c r="C3243" t="str">
        <f t="shared" si="150"/>
        <v>Adult</v>
      </c>
      <c r="D3243" t="s">
        <v>11</v>
      </c>
      <c r="E3243" t="s">
        <v>20</v>
      </c>
      <c r="F3243" t="s">
        <v>36</v>
      </c>
      <c r="G3243">
        <v>172.71</v>
      </c>
      <c r="H3243" t="s">
        <v>31</v>
      </c>
      <c r="I3243" t="s">
        <v>15</v>
      </c>
      <c r="J3243">
        <v>4.4000000000000004</v>
      </c>
      <c r="K3243">
        <v>12</v>
      </c>
      <c r="L3243">
        <f t="shared" si="151"/>
        <v>151.98480000000001</v>
      </c>
      <c r="M3243">
        <v>6</v>
      </c>
      <c r="N3243" t="str">
        <f t="shared" si="152"/>
        <v>Regular</v>
      </c>
    </row>
    <row r="3244" spans="1:14" x14ac:dyDescent="0.35">
      <c r="A3244">
        <v>3243</v>
      </c>
      <c r="B3244">
        <v>47</v>
      </c>
      <c r="C3244" t="str">
        <f t="shared" si="150"/>
        <v>Adult</v>
      </c>
      <c r="D3244" t="s">
        <v>16</v>
      </c>
      <c r="E3244" t="s">
        <v>33</v>
      </c>
      <c r="F3244" t="s">
        <v>38</v>
      </c>
      <c r="G3244">
        <v>142.61000000000001</v>
      </c>
      <c r="H3244" t="s">
        <v>24</v>
      </c>
      <c r="I3244" t="s">
        <v>15</v>
      </c>
      <c r="J3244">
        <v>3.8</v>
      </c>
      <c r="K3244">
        <v>20</v>
      </c>
      <c r="L3244">
        <f t="shared" si="151"/>
        <v>114.08800000000002</v>
      </c>
      <c r="M3244">
        <v>5</v>
      </c>
      <c r="N3244" t="str">
        <f t="shared" si="152"/>
        <v>Regular</v>
      </c>
    </row>
    <row r="3245" spans="1:14" x14ac:dyDescent="0.35">
      <c r="A3245">
        <v>3244</v>
      </c>
      <c r="B3245">
        <v>66</v>
      </c>
      <c r="C3245" t="str">
        <f t="shared" si="150"/>
        <v>Senior</v>
      </c>
      <c r="D3245" t="s">
        <v>11</v>
      </c>
      <c r="E3245" t="s">
        <v>33</v>
      </c>
      <c r="F3245" t="s">
        <v>38</v>
      </c>
      <c r="G3245">
        <v>214.77</v>
      </c>
      <c r="H3245" t="s">
        <v>19</v>
      </c>
      <c r="I3245" t="s">
        <v>15</v>
      </c>
      <c r="J3245">
        <v>2.9</v>
      </c>
      <c r="K3245">
        <v>11</v>
      </c>
      <c r="L3245">
        <f t="shared" si="151"/>
        <v>191.14530000000002</v>
      </c>
      <c r="M3245">
        <v>3</v>
      </c>
      <c r="N3245" t="str">
        <f t="shared" si="152"/>
        <v>New</v>
      </c>
    </row>
    <row r="3246" spans="1:14" x14ac:dyDescent="0.35">
      <c r="A3246">
        <v>3245</v>
      </c>
      <c r="B3246">
        <v>50</v>
      </c>
      <c r="C3246" t="str">
        <f t="shared" si="150"/>
        <v>Adult</v>
      </c>
      <c r="D3246" t="s">
        <v>16</v>
      </c>
      <c r="E3246" t="s">
        <v>17</v>
      </c>
      <c r="F3246" t="s">
        <v>35</v>
      </c>
      <c r="G3246">
        <v>178.6</v>
      </c>
      <c r="H3246" t="s">
        <v>19</v>
      </c>
      <c r="I3246" t="s">
        <v>15</v>
      </c>
      <c r="J3246">
        <v>3.6</v>
      </c>
      <c r="K3246">
        <v>11</v>
      </c>
      <c r="L3246">
        <f t="shared" si="151"/>
        <v>158.95400000000001</v>
      </c>
      <c r="M3246">
        <v>3</v>
      </c>
      <c r="N3246" t="str">
        <f t="shared" si="152"/>
        <v>New</v>
      </c>
    </row>
    <row r="3247" spans="1:14" x14ac:dyDescent="0.35">
      <c r="A3247">
        <v>3246</v>
      </c>
      <c r="B3247">
        <v>55</v>
      </c>
      <c r="C3247" t="str">
        <f t="shared" si="150"/>
        <v>Adult</v>
      </c>
      <c r="D3247" t="s">
        <v>11</v>
      </c>
      <c r="E3247" t="s">
        <v>22</v>
      </c>
      <c r="F3247" t="s">
        <v>52</v>
      </c>
      <c r="G3247">
        <v>41.18</v>
      </c>
      <c r="H3247" t="s">
        <v>19</v>
      </c>
      <c r="I3247" t="s">
        <v>15</v>
      </c>
      <c r="J3247">
        <v>4.8</v>
      </c>
      <c r="K3247">
        <v>18</v>
      </c>
      <c r="L3247">
        <f t="shared" si="151"/>
        <v>33.767600000000002</v>
      </c>
      <c r="M3247">
        <v>9</v>
      </c>
      <c r="N3247" t="str">
        <f t="shared" si="152"/>
        <v>Loyal</v>
      </c>
    </row>
    <row r="3248" spans="1:14" x14ac:dyDescent="0.35">
      <c r="A3248">
        <v>3247</v>
      </c>
      <c r="B3248">
        <v>54</v>
      </c>
      <c r="C3248" t="str">
        <f t="shared" si="150"/>
        <v>Adult</v>
      </c>
      <c r="D3248" t="s">
        <v>11</v>
      </c>
      <c r="E3248" t="s">
        <v>29</v>
      </c>
      <c r="F3248" t="s">
        <v>55</v>
      </c>
      <c r="G3248">
        <v>117.16</v>
      </c>
      <c r="H3248" t="s">
        <v>24</v>
      </c>
      <c r="I3248" t="s">
        <v>15</v>
      </c>
      <c r="J3248">
        <v>4.3</v>
      </c>
      <c r="K3248">
        <v>28</v>
      </c>
      <c r="L3248">
        <f t="shared" si="151"/>
        <v>84.355199999999996</v>
      </c>
      <c r="M3248">
        <v>9</v>
      </c>
      <c r="N3248" t="str">
        <f t="shared" si="152"/>
        <v>Loyal</v>
      </c>
    </row>
    <row r="3249" spans="1:14" x14ac:dyDescent="0.35">
      <c r="A3249">
        <v>3248</v>
      </c>
      <c r="B3249">
        <v>21</v>
      </c>
      <c r="C3249" t="str">
        <f t="shared" si="150"/>
        <v>Youth</v>
      </c>
      <c r="D3249" t="s">
        <v>16</v>
      </c>
      <c r="E3249" t="s">
        <v>20</v>
      </c>
      <c r="F3249" t="s">
        <v>39</v>
      </c>
      <c r="G3249">
        <v>65.959999999999994</v>
      </c>
      <c r="H3249" t="s">
        <v>31</v>
      </c>
      <c r="I3249" t="s">
        <v>15</v>
      </c>
      <c r="J3249">
        <v>5</v>
      </c>
      <c r="K3249">
        <v>22</v>
      </c>
      <c r="L3249">
        <f t="shared" si="151"/>
        <v>51.448799999999999</v>
      </c>
      <c r="M3249">
        <v>6</v>
      </c>
      <c r="N3249" t="str">
        <f t="shared" si="152"/>
        <v>Regular</v>
      </c>
    </row>
    <row r="3250" spans="1:14" x14ac:dyDescent="0.35">
      <c r="A3250">
        <v>3249</v>
      </c>
      <c r="B3250">
        <v>41</v>
      </c>
      <c r="C3250" t="str">
        <f t="shared" si="150"/>
        <v>Adult</v>
      </c>
      <c r="D3250" t="s">
        <v>11</v>
      </c>
      <c r="E3250" t="s">
        <v>29</v>
      </c>
      <c r="F3250" t="s">
        <v>30</v>
      </c>
      <c r="G3250">
        <v>48.64</v>
      </c>
      <c r="H3250" t="s">
        <v>31</v>
      </c>
      <c r="I3250" t="s">
        <v>15</v>
      </c>
      <c r="J3250">
        <v>2.7</v>
      </c>
      <c r="K3250">
        <v>8</v>
      </c>
      <c r="L3250">
        <f t="shared" si="151"/>
        <v>44.748800000000003</v>
      </c>
      <c r="M3250">
        <v>4</v>
      </c>
      <c r="N3250" t="str">
        <f t="shared" si="152"/>
        <v>Regular</v>
      </c>
    </row>
    <row r="3251" spans="1:14" x14ac:dyDescent="0.35">
      <c r="A3251">
        <v>3250</v>
      </c>
      <c r="B3251">
        <v>58</v>
      </c>
      <c r="C3251" t="str">
        <f t="shared" si="150"/>
        <v>Adult</v>
      </c>
      <c r="D3251" t="s">
        <v>16</v>
      </c>
      <c r="E3251" t="s">
        <v>20</v>
      </c>
      <c r="F3251" t="s">
        <v>39</v>
      </c>
      <c r="G3251">
        <v>246.31</v>
      </c>
      <c r="H3251" t="s">
        <v>24</v>
      </c>
      <c r="I3251" t="s">
        <v>15</v>
      </c>
      <c r="J3251">
        <v>3.9</v>
      </c>
      <c r="K3251">
        <v>20</v>
      </c>
      <c r="L3251">
        <f t="shared" si="151"/>
        <v>197.048</v>
      </c>
      <c r="M3251">
        <v>5</v>
      </c>
      <c r="N3251" t="str">
        <f t="shared" si="152"/>
        <v>Regular</v>
      </c>
    </row>
    <row r="3252" spans="1:14" x14ac:dyDescent="0.35">
      <c r="A3252">
        <v>3251</v>
      </c>
      <c r="B3252">
        <v>56</v>
      </c>
      <c r="C3252" t="str">
        <f t="shared" si="150"/>
        <v>Adult</v>
      </c>
      <c r="D3252" t="s">
        <v>16</v>
      </c>
      <c r="E3252" t="s">
        <v>27</v>
      </c>
      <c r="F3252" t="s">
        <v>28</v>
      </c>
      <c r="G3252">
        <v>648.62</v>
      </c>
      <c r="H3252" t="s">
        <v>31</v>
      </c>
      <c r="I3252" t="s">
        <v>15</v>
      </c>
      <c r="J3252">
        <v>3.3</v>
      </c>
      <c r="K3252">
        <v>12</v>
      </c>
      <c r="L3252">
        <f t="shared" si="151"/>
        <v>570.78560000000004</v>
      </c>
      <c r="M3252">
        <v>6</v>
      </c>
      <c r="N3252" t="str">
        <f t="shared" si="152"/>
        <v>Regular</v>
      </c>
    </row>
    <row r="3253" spans="1:14" x14ac:dyDescent="0.35">
      <c r="A3253">
        <v>3252</v>
      </c>
      <c r="B3253">
        <v>51</v>
      </c>
      <c r="C3253" t="str">
        <f t="shared" si="150"/>
        <v>Adult</v>
      </c>
      <c r="D3253" t="s">
        <v>11</v>
      </c>
      <c r="E3253" t="s">
        <v>25</v>
      </c>
      <c r="F3253" t="s">
        <v>26</v>
      </c>
      <c r="G3253">
        <v>67.67</v>
      </c>
      <c r="H3253" t="s">
        <v>14</v>
      </c>
      <c r="I3253" t="s">
        <v>37</v>
      </c>
      <c r="J3253">
        <v>3.9</v>
      </c>
      <c r="K3253">
        <v>18</v>
      </c>
      <c r="L3253">
        <f t="shared" si="151"/>
        <v>55.489400000000003</v>
      </c>
      <c r="M3253">
        <v>4</v>
      </c>
      <c r="N3253" t="str">
        <f t="shared" si="152"/>
        <v>Regular</v>
      </c>
    </row>
    <row r="3254" spans="1:14" x14ac:dyDescent="0.35">
      <c r="A3254">
        <v>3253</v>
      </c>
      <c r="B3254">
        <v>38</v>
      </c>
      <c r="C3254" t="str">
        <f t="shared" si="150"/>
        <v>Adult</v>
      </c>
      <c r="D3254" t="s">
        <v>16</v>
      </c>
      <c r="E3254" t="s">
        <v>17</v>
      </c>
      <c r="F3254" t="s">
        <v>35</v>
      </c>
      <c r="G3254">
        <v>154.49</v>
      </c>
      <c r="H3254" t="s">
        <v>14</v>
      </c>
      <c r="I3254" t="s">
        <v>15</v>
      </c>
      <c r="J3254">
        <v>3.2</v>
      </c>
      <c r="K3254">
        <v>11</v>
      </c>
      <c r="L3254">
        <f t="shared" si="151"/>
        <v>137.49610000000001</v>
      </c>
      <c r="M3254">
        <v>3</v>
      </c>
      <c r="N3254" t="str">
        <f t="shared" si="152"/>
        <v>New</v>
      </c>
    </row>
    <row r="3255" spans="1:14" x14ac:dyDescent="0.35">
      <c r="A3255">
        <v>3254</v>
      </c>
      <c r="B3255">
        <v>29</v>
      </c>
      <c r="C3255" t="str">
        <f t="shared" si="150"/>
        <v>Youth</v>
      </c>
      <c r="D3255" t="s">
        <v>16</v>
      </c>
      <c r="E3255" t="s">
        <v>20</v>
      </c>
      <c r="F3255" t="s">
        <v>36</v>
      </c>
      <c r="G3255">
        <v>51.12</v>
      </c>
      <c r="H3255" t="s">
        <v>19</v>
      </c>
      <c r="I3255" t="s">
        <v>15</v>
      </c>
      <c r="J3255">
        <v>4.9000000000000004</v>
      </c>
      <c r="K3255">
        <v>30</v>
      </c>
      <c r="L3255">
        <f t="shared" si="151"/>
        <v>35.783999999999999</v>
      </c>
      <c r="M3255">
        <v>10</v>
      </c>
      <c r="N3255" t="str">
        <f t="shared" si="152"/>
        <v>Loyal</v>
      </c>
    </row>
    <row r="3256" spans="1:14" x14ac:dyDescent="0.35">
      <c r="A3256">
        <v>3255</v>
      </c>
      <c r="B3256">
        <v>70</v>
      </c>
      <c r="C3256" t="str">
        <f t="shared" si="150"/>
        <v>Senior</v>
      </c>
      <c r="D3256" t="s">
        <v>11</v>
      </c>
      <c r="E3256" t="s">
        <v>12</v>
      </c>
      <c r="F3256" t="s">
        <v>56</v>
      </c>
      <c r="G3256">
        <v>115.94</v>
      </c>
      <c r="H3256" t="s">
        <v>19</v>
      </c>
      <c r="I3256" t="s">
        <v>15</v>
      </c>
      <c r="J3256">
        <v>4.4000000000000004</v>
      </c>
      <c r="K3256">
        <v>6</v>
      </c>
      <c r="L3256">
        <f t="shared" si="151"/>
        <v>108.9836</v>
      </c>
      <c r="M3256">
        <v>3</v>
      </c>
      <c r="N3256" t="str">
        <f t="shared" si="152"/>
        <v>New</v>
      </c>
    </row>
    <row r="3257" spans="1:14" x14ac:dyDescent="0.35">
      <c r="A3257">
        <v>3256</v>
      </c>
      <c r="B3257">
        <v>49</v>
      </c>
      <c r="C3257" t="str">
        <f t="shared" si="150"/>
        <v>Adult</v>
      </c>
      <c r="D3257" t="s">
        <v>11</v>
      </c>
      <c r="E3257" t="s">
        <v>29</v>
      </c>
      <c r="F3257" t="s">
        <v>30</v>
      </c>
      <c r="G3257">
        <v>132.49</v>
      </c>
      <c r="H3257" t="s">
        <v>24</v>
      </c>
      <c r="I3257" t="s">
        <v>15</v>
      </c>
      <c r="J3257">
        <v>2.2999999999999998</v>
      </c>
      <c r="K3257">
        <v>15</v>
      </c>
      <c r="L3257">
        <f t="shared" si="151"/>
        <v>112.6165</v>
      </c>
      <c r="M3257">
        <v>5</v>
      </c>
      <c r="N3257" t="str">
        <f t="shared" si="152"/>
        <v>Regular</v>
      </c>
    </row>
    <row r="3258" spans="1:14" x14ac:dyDescent="0.35">
      <c r="A3258">
        <v>3257</v>
      </c>
      <c r="B3258">
        <v>69</v>
      </c>
      <c r="C3258" t="str">
        <f t="shared" si="150"/>
        <v>Senior</v>
      </c>
      <c r="D3258" t="s">
        <v>16</v>
      </c>
      <c r="E3258" t="s">
        <v>33</v>
      </c>
      <c r="F3258" t="s">
        <v>38</v>
      </c>
      <c r="G3258">
        <v>194.63</v>
      </c>
      <c r="H3258" t="s">
        <v>24</v>
      </c>
      <c r="I3258" t="s">
        <v>15</v>
      </c>
      <c r="J3258">
        <v>4.7</v>
      </c>
      <c r="K3258">
        <v>9</v>
      </c>
      <c r="L3258">
        <f t="shared" si="151"/>
        <v>177.11330000000001</v>
      </c>
      <c r="M3258">
        <v>2</v>
      </c>
      <c r="N3258" t="str">
        <f t="shared" si="152"/>
        <v>New</v>
      </c>
    </row>
    <row r="3259" spans="1:14" x14ac:dyDescent="0.35">
      <c r="A3259">
        <v>3258</v>
      </c>
      <c r="B3259">
        <v>34</v>
      </c>
      <c r="C3259" t="str">
        <f t="shared" si="150"/>
        <v>Adult</v>
      </c>
      <c r="D3259" t="s">
        <v>16</v>
      </c>
      <c r="E3259" t="s">
        <v>33</v>
      </c>
      <c r="F3259" t="s">
        <v>34</v>
      </c>
      <c r="G3259">
        <v>113.73</v>
      </c>
      <c r="H3259" t="s">
        <v>14</v>
      </c>
      <c r="I3259" t="s">
        <v>15</v>
      </c>
      <c r="J3259">
        <v>3.6</v>
      </c>
      <c r="K3259">
        <v>21</v>
      </c>
      <c r="L3259">
        <f t="shared" si="151"/>
        <v>89.846700000000013</v>
      </c>
      <c r="M3259">
        <v>8</v>
      </c>
      <c r="N3259" t="str">
        <f t="shared" si="152"/>
        <v>Loyal</v>
      </c>
    </row>
    <row r="3260" spans="1:14" x14ac:dyDescent="0.35">
      <c r="A3260">
        <v>3259</v>
      </c>
      <c r="B3260">
        <v>58</v>
      </c>
      <c r="C3260" t="str">
        <f t="shared" si="150"/>
        <v>Adult</v>
      </c>
      <c r="D3260" t="s">
        <v>11</v>
      </c>
      <c r="E3260" t="s">
        <v>20</v>
      </c>
      <c r="F3260" t="s">
        <v>36</v>
      </c>
      <c r="G3260">
        <v>84.1</v>
      </c>
      <c r="H3260" t="s">
        <v>19</v>
      </c>
      <c r="I3260" t="s">
        <v>15</v>
      </c>
      <c r="J3260">
        <v>3.8</v>
      </c>
      <c r="K3260">
        <v>16</v>
      </c>
      <c r="L3260">
        <f t="shared" si="151"/>
        <v>70.643999999999991</v>
      </c>
      <c r="M3260">
        <v>3</v>
      </c>
      <c r="N3260" t="str">
        <f t="shared" si="152"/>
        <v>New</v>
      </c>
    </row>
    <row r="3261" spans="1:14" x14ac:dyDescent="0.35">
      <c r="A3261">
        <v>3260</v>
      </c>
      <c r="B3261">
        <v>60</v>
      </c>
      <c r="C3261" t="str">
        <f t="shared" si="150"/>
        <v>Adult</v>
      </c>
      <c r="D3261" t="s">
        <v>16</v>
      </c>
      <c r="E3261" t="s">
        <v>27</v>
      </c>
      <c r="F3261" t="s">
        <v>32</v>
      </c>
      <c r="G3261">
        <v>2936.08</v>
      </c>
      <c r="H3261" t="s">
        <v>31</v>
      </c>
      <c r="I3261" t="s">
        <v>15</v>
      </c>
      <c r="J3261">
        <v>5</v>
      </c>
      <c r="K3261">
        <v>20</v>
      </c>
      <c r="L3261">
        <f t="shared" si="151"/>
        <v>2348.864</v>
      </c>
      <c r="M3261">
        <v>5</v>
      </c>
      <c r="N3261" t="str">
        <f t="shared" si="152"/>
        <v>Regular</v>
      </c>
    </row>
    <row r="3262" spans="1:14" x14ac:dyDescent="0.35">
      <c r="A3262">
        <v>3261</v>
      </c>
      <c r="B3262">
        <v>51</v>
      </c>
      <c r="C3262" t="str">
        <f t="shared" si="150"/>
        <v>Adult</v>
      </c>
      <c r="D3262" t="s">
        <v>16</v>
      </c>
      <c r="E3262" t="s">
        <v>27</v>
      </c>
      <c r="F3262" t="s">
        <v>32</v>
      </c>
      <c r="G3262">
        <v>1369.63</v>
      </c>
      <c r="H3262" t="s">
        <v>31</v>
      </c>
      <c r="I3262" t="s">
        <v>15</v>
      </c>
      <c r="J3262">
        <v>3</v>
      </c>
      <c r="K3262">
        <v>10</v>
      </c>
      <c r="L3262">
        <f t="shared" si="151"/>
        <v>1232.6670000000001</v>
      </c>
      <c r="M3262">
        <v>5</v>
      </c>
      <c r="N3262" t="str">
        <f t="shared" si="152"/>
        <v>Regular</v>
      </c>
    </row>
    <row r="3263" spans="1:14" x14ac:dyDescent="0.35">
      <c r="A3263">
        <v>3262</v>
      </c>
      <c r="B3263">
        <v>68</v>
      </c>
      <c r="C3263" t="str">
        <f t="shared" si="150"/>
        <v>Senior</v>
      </c>
      <c r="D3263" t="s">
        <v>11</v>
      </c>
      <c r="E3263" t="s">
        <v>29</v>
      </c>
      <c r="F3263" t="s">
        <v>51</v>
      </c>
      <c r="G3263">
        <v>23.21</v>
      </c>
      <c r="H3263" t="s">
        <v>14</v>
      </c>
      <c r="I3263" t="s">
        <v>15</v>
      </c>
      <c r="J3263">
        <v>5</v>
      </c>
      <c r="K3263">
        <v>11</v>
      </c>
      <c r="L3263">
        <f t="shared" si="151"/>
        <v>20.6569</v>
      </c>
      <c r="M3263">
        <v>3</v>
      </c>
      <c r="N3263" t="str">
        <f t="shared" si="152"/>
        <v>New</v>
      </c>
    </row>
    <row r="3264" spans="1:14" x14ac:dyDescent="0.35">
      <c r="A3264">
        <v>3263</v>
      </c>
      <c r="B3264">
        <v>40</v>
      </c>
      <c r="C3264" t="str">
        <f t="shared" si="150"/>
        <v>Adult</v>
      </c>
      <c r="D3264" t="s">
        <v>16</v>
      </c>
      <c r="E3264" t="s">
        <v>20</v>
      </c>
      <c r="F3264" t="s">
        <v>36</v>
      </c>
      <c r="G3264">
        <v>231.3</v>
      </c>
      <c r="H3264" t="s">
        <v>24</v>
      </c>
      <c r="I3264" t="s">
        <v>15</v>
      </c>
      <c r="J3264">
        <v>4</v>
      </c>
      <c r="K3264">
        <v>8</v>
      </c>
      <c r="L3264">
        <f t="shared" si="151"/>
        <v>212.79600000000002</v>
      </c>
      <c r="M3264">
        <v>4</v>
      </c>
      <c r="N3264" t="str">
        <f t="shared" si="152"/>
        <v>Regular</v>
      </c>
    </row>
    <row r="3265" spans="1:14" x14ac:dyDescent="0.35">
      <c r="A3265">
        <v>3264</v>
      </c>
      <c r="B3265">
        <v>31</v>
      </c>
      <c r="C3265" t="str">
        <f t="shared" si="150"/>
        <v>Adult</v>
      </c>
      <c r="D3265" t="s">
        <v>16</v>
      </c>
      <c r="E3265" t="s">
        <v>20</v>
      </c>
      <c r="F3265" t="s">
        <v>21</v>
      </c>
      <c r="G3265">
        <v>212.05</v>
      </c>
      <c r="H3265" t="s">
        <v>14</v>
      </c>
      <c r="I3265" t="s">
        <v>15</v>
      </c>
      <c r="J3265">
        <v>3.5</v>
      </c>
      <c r="K3265">
        <v>15</v>
      </c>
      <c r="L3265">
        <f t="shared" si="151"/>
        <v>180.24250000000001</v>
      </c>
      <c r="M3265">
        <v>5</v>
      </c>
      <c r="N3265" t="str">
        <f t="shared" si="152"/>
        <v>Regular</v>
      </c>
    </row>
    <row r="3266" spans="1:14" x14ac:dyDescent="0.35">
      <c r="A3266">
        <v>3265</v>
      </c>
      <c r="B3266">
        <v>20</v>
      </c>
      <c r="C3266" t="str">
        <f t="shared" si="150"/>
        <v>Youth</v>
      </c>
      <c r="D3266" t="s">
        <v>11</v>
      </c>
      <c r="E3266" t="s">
        <v>41</v>
      </c>
      <c r="F3266" t="s">
        <v>45</v>
      </c>
      <c r="G3266">
        <v>78.09</v>
      </c>
      <c r="H3266" t="s">
        <v>24</v>
      </c>
      <c r="I3266" t="s">
        <v>37</v>
      </c>
      <c r="J3266">
        <v>4.0999999999999996</v>
      </c>
      <c r="K3266">
        <v>8</v>
      </c>
      <c r="L3266">
        <f t="shared" si="151"/>
        <v>71.842800000000011</v>
      </c>
      <c r="M3266">
        <v>4</v>
      </c>
      <c r="N3266" t="str">
        <f t="shared" si="152"/>
        <v>Regular</v>
      </c>
    </row>
    <row r="3267" spans="1:14" x14ac:dyDescent="0.35">
      <c r="A3267">
        <v>3266</v>
      </c>
      <c r="B3267">
        <v>35</v>
      </c>
      <c r="C3267" t="str">
        <f t="shared" ref="C3267:C3330" si="153">IF(B3267&lt;=30,"Youth",IF(B3267&lt;=45,"Adult",IF(B3267&lt;=60,"Adult","Senior")))</f>
        <v>Adult</v>
      </c>
      <c r="D3267" t="s">
        <v>16</v>
      </c>
      <c r="E3267" t="s">
        <v>20</v>
      </c>
      <c r="F3267" t="s">
        <v>36</v>
      </c>
      <c r="G3267">
        <v>189.56</v>
      </c>
      <c r="H3267" t="s">
        <v>14</v>
      </c>
      <c r="I3267" t="s">
        <v>15</v>
      </c>
      <c r="J3267">
        <v>4.5</v>
      </c>
      <c r="K3267">
        <v>11</v>
      </c>
      <c r="L3267">
        <f t="shared" ref="L3267:L3330" si="154">G3267*(1-K3267/100)</f>
        <v>168.70840000000001</v>
      </c>
      <c r="M3267">
        <v>3</v>
      </c>
      <c r="N3267" t="str">
        <f t="shared" ref="N3267:N3330" si="155">IF(M3267&lt;=3,"New",IF(M3267&lt;=7,"Regular","Loyal"))</f>
        <v>New</v>
      </c>
    </row>
    <row r="3268" spans="1:14" x14ac:dyDescent="0.35">
      <c r="A3268">
        <v>3267</v>
      </c>
      <c r="B3268">
        <v>39</v>
      </c>
      <c r="C3268" t="str">
        <f t="shared" si="153"/>
        <v>Adult</v>
      </c>
      <c r="D3268" t="s">
        <v>11</v>
      </c>
      <c r="E3268" t="s">
        <v>33</v>
      </c>
      <c r="F3268" t="s">
        <v>34</v>
      </c>
      <c r="G3268">
        <v>143.79</v>
      </c>
      <c r="H3268" t="s">
        <v>31</v>
      </c>
      <c r="I3268" t="s">
        <v>15</v>
      </c>
      <c r="J3268">
        <v>4.9000000000000004</v>
      </c>
      <c r="K3268">
        <v>16</v>
      </c>
      <c r="L3268">
        <f t="shared" si="154"/>
        <v>120.78359999999999</v>
      </c>
      <c r="M3268">
        <v>3</v>
      </c>
      <c r="N3268" t="str">
        <f t="shared" si="155"/>
        <v>New</v>
      </c>
    </row>
    <row r="3269" spans="1:14" x14ac:dyDescent="0.35">
      <c r="A3269">
        <v>3268</v>
      </c>
      <c r="B3269">
        <v>56</v>
      </c>
      <c r="C3269" t="str">
        <f t="shared" si="153"/>
        <v>Adult</v>
      </c>
      <c r="D3269" t="s">
        <v>16</v>
      </c>
      <c r="E3269" t="s">
        <v>25</v>
      </c>
      <c r="F3269" t="s">
        <v>26</v>
      </c>
      <c r="G3269">
        <v>43.68</v>
      </c>
      <c r="H3269" t="s">
        <v>31</v>
      </c>
      <c r="I3269" t="s">
        <v>37</v>
      </c>
      <c r="J3269">
        <v>3.9</v>
      </c>
      <c r="K3269">
        <v>27</v>
      </c>
      <c r="L3269">
        <f t="shared" si="154"/>
        <v>31.886399999999998</v>
      </c>
      <c r="M3269">
        <v>11</v>
      </c>
      <c r="N3269" t="str">
        <f t="shared" si="155"/>
        <v>Loyal</v>
      </c>
    </row>
    <row r="3270" spans="1:14" x14ac:dyDescent="0.35">
      <c r="A3270">
        <v>3269</v>
      </c>
      <c r="B3270">
        <v>58</v>
      </c>
      <c r="C3270" t="str">
        <f t="shared" si="153"/>
        <v>Adult</v>
      </c>
      <c r="D3270" t="s">
        <v>11</v>
      </c>
      <c r="E3270" t="s">
        <v>29</v>
      </c>
      <c r="F3270" t="s">
        <v>55</v>
      </c>
      <c r="G3270">
        <v>68.569999999999993</v>
      </c>
      <c r="H3270" t="s">
        <v>14</v>
      </c>
      <c r="I3270" t="s">
        <v>15</v>
      </c>
      <c r="J3270">
        <v>4.3</v>
      </c>
      <c r="K3270">
        <v>18</v>
      </c>
      <c r="L3270">
        <f t="shared" si="154"/>
        <v>56.227399999999996</v>
      </c>
      <c r="M3270">
        <v>4</v>
      </c>
      <c r="N3270" t="str">
        <f t="shared" si="155"/>
        <v>Regular</v>
      </c>
    </row>
    <row r="3271" spans="1:14" x14ac:dyDescent="0.35">
      <c r="A3271">
        <v>3270</v>
      </c>
      <c r="B3271">
        <v>68</v>
      </c>
      <c r="C3271" t="str">
        <f t="shared" si="153"/>
        <v>Senior</v>
      </c>
      <c r="D3271" t="s">
        <v>11</v>
      </c>
      <c r="E3271" t="s">
        <v>33</v>
      </c>
      <c r="F3271" t="s">
        <v>38</v>
      </c>
      <c r="G3271">
        <v>69.56</v>
      </c>
      <c r="H3271" t="s">
        <v>24</v>
      </c>
      <c r="I3271" t="s">
        <v>37</v>
      </c>
      <c r="J3271">
        <v>4.9000000000000004</v>
      </c>
      <c r="K3271">
        <v>21</v>
      </c>
      <c r="L3271">
        <f t="shared" si="154"/>
        <v>54.952400000000004</v>
      </c>
      <c r="M3271">
        <v>8</v>
      </c>
      <c r="N3271" t="str">
        <f t="shared" si="155"/>
        <v>Loyal</v>
      </c>
    </row>
    <row r="3272" spans="1:14" x14ac:dyDescent="0.35">
      <c r="A3272">
        <v>3271</v>
      </c>
      <c r="B3272">
        <v>22</v>
      </c>
      <c r="C3272" t="str">
        <f t="shared" si="153"/>
        <v>Youth</v>
      </c>
      <c r="D3272" t="s">
        <v>11</v>
      </c>
      <c r="E3272" t="s">
        <v>22</v>
      </c>
      <c r="F3272" t="s">
        <v>43</v>
      </c>
      <c r="G3272">
        <v>242.3</v>
      </c>
      <c r="H3272" t="s">
        <v>14</v>
      </c>
      <c r="I3272" t="s">
        <v>15</v>
      </c>
      <c r="J3272">
        <v>4.5</v>
      </c>
      <c r="K3272">
        <v>22</v>
      </c>
      <c r="L3272">
        <f t="shared" si="154"/>
        <v>188.99400000000003</v>
      </c>
      <c r="M3272">
        <v>6</v>
      </c>
      <c r="N3272" t="str">
        <f t="shared" si="155"/>
        <v>Regular</v>
      </c>
    </row>
    <row r="3273" spans="1:14" x14ac:dyDescent="0.35">
      <c r="A3273">
        <v>3272</v>
      </c>
      <c r="B3273">
        <v>20</v>
      </c>
      <c r="C3273" t="str">
        <f t="shared" si="153"/>
        <v>Youth</v>
      </c>
      <c r="D3273" t="s">
        <v>11</v>
      </c>
      <c r="E3273" t="s">
        <v>29</v>
      </c>
      <c r="F3273" t="s">
        <v>30</v>
      </c>
      <c r="G3273">
        <v>140.19999999999999</v>
      </c>
      <c r="H3273" t="s">
        <v>19</v>
      </c>
      <c r="I3273" t="s">
        <v>15</v>
      </c>
      <c r="J3273">
        <v>4.0999999999999996</v>
      </c>
      <c r="K3273">
        <v>19</v>
      </c>
      <c r="L3273">
        <f t="shared" si="154"/>
        <v>113.562</v>
      </c>
      <c r="M3273">
        <v>7</v>
      </c>
      <c r="N3273" t="str">
        <f t="shared" si="155"/>
        <v>Regular</v>
      </c>
    </row>
    <row r="3274" spans="1:14" x14ac:dyDescent="0.35">
      <c r="A3274">
        <v>3273</v>
      </c>
      <c r="B3274">
        <v>64</v>
      </c>
      <c r="C3274" t="str">
        <f t="shared" si="153"/>
        <v>Senior</v>
      </c>
      <c r="D3274" t="s">
        <v>16</v>
      </c>
      <c r="E3274" t="s">
        <v>22</v>
      </c>
      <c r="F3274" t="s">
        <v>23</v>
      </c>
      <c r="G3274">
        <v>79.900000000000006</v>
      </c>
      <c r="H3274" t="s">
        <v>19</v>
      </c>
      <c r="I3274" t="s">
        <v>15</v>
      </c>
      <c r="J3274">
        <v>3.3</v>
      </c>
      <c r="K3274">
        <v>26</v>
      </c>
      <c r="L3274">
        <f t="shared" si="154"/>
        <v>59.126000000000005</v>
      </c>
      <c r="M3274">
        <v>8</v>
      </c>
      <c r="N3274" t="str">
        <f t="shared" si="155"/>
        <v>Loyal</v>
      </c>
    </row>
    <row r="3275" spans="1:14" x14ac:dyDescent="0.35">
      <c r="A3275">
        <v>3274</v>
      </c>
      <c r="B3275">
        <v>33</v>
      </c>
      <c r="C3275" t="str">
        <f t="shared" si="153"/>
        <v>Adult</v>
      </c>
      <c r="D3275" t="s">
        <v>16</v>
      </c>
      <c r="E3275" t="s">
        <v>33</v>
      </c>
      <c r="F3275" t="s">
        <v>38</v>
      </c>
      <c r="G3275">
        <v>248.65</v>
      </c>
      <c r="H3275" t="s">
        <v>14</v>
      </c>
      <c r="I3275" t="s">
        <v>15</v>
      </c>
      <c r="J3275">
        <v>3.8</v>
      </c>
      <c r="K3275">
        <v>15</v>
      </c>
      <c r="L3275">
        <f t="shared" si="154"/>
        <v>211.35249999999999</v>
      </c>
      <c r="M3275">
        <v>5</v>
      </c>
      <c r="N3275" t="str">
        <f t="shared" si="155"/>
        <v>Regular</v>
      </c>
    </row>
    <row r="3276" spans="1:14" x14ac:dyDescent="0.35">
      <c r="A3276">
        <v>3275</v>
      </c>
      <c r="B3276">
        <v>45</v>
      </c>
      <c r="C3276" t="str">
        <f t="shared" si="153"/>
        <v>Adult</v>
      </c>
      <c r="D3276" t="s">
        <v>16</v>
      </c>
      <c r="E3276" t="s">
        <v>33</v>
      </c>
      <c r="F3276" t="s">
        <v>40</v>
      </c>
      <c r="G3276">
        <v>227.4</v>
      </c>
      <c r="H3276" t="s">
        <v>24</v>
      </c>
      <c r="I3276" t="s">
        <v>15</v>
      </c>
      <c r="J3276">
        <v>3.8</v>
      </c>
      <c r="K3276">
        <v>15</v>
      </c>
      <c r="L3276">
        <f t="shared" si="154"/>
        <v>193.29</v>
      </c>
      <c r="M3276">
        <v>5</v>
      </c>
      <c r="N3276" t="str">
        <f t="shared" si="155"/>
        <v>Regular</v>
      </c>
    </row>
    <row r="3277" spans="1:14" x14ac:dyDescent="0.35">
      <c r="A3277">
        <v>3276</v>
      </c>
      <c r="B3277">
        <v>24</v>
      </c>
      <c r="C3277" t="str">
        <f t="shared" si="153"/>
        <v>Youth</v>
      </c>
      <c r="D3277" t="s">
        <v>16</v>
      </c>
      <c r="E3277" t="s">
        <v>20</v>
      </c>
      <c r="F3277" t="s">
        <v>39</v>
      </c>
      <c r="G3277">
        <v>153.18</v>
      </c>
      <c r="H3277" t="s">
        <v>19</v>
      </c>
      <c r="I3277" t="s">
        <v>15</v>
      </c>
      <c r="J3277">
        <v>3.2</v>
      </c>
      <c r="K3277">
        <v>15</v>
      </c>
      <c r="L3277">
        <f t="shared" si="154"/>
        <v>130.203</v>
      </c>
      <c r="M3277">
        <v>5</v>
      </c>
      <c r="N3277" t="str">
        <f t="shared" si="155"/>
        <v>Regular</v>
      </c>
    </row>
    <row r="3278" spans="1:14" x14ac:dyDescent="0.35">
      <c r="A3278">
        <v>3277</v>
      </c>
      <c r="B3278">
        <v>24</v>
      </c>
      <c r="C3278" t="str">
        <f t="shared" si="153"/>
        <v>Youth</v>
      </c>
      <c r="D3278" t="s">
        <v>16</v>
      </c>
      <c r="E3278" t="s">
        <v>17</v>
      </c>
      <c r="F3278" t="s">
        <v>35</v>
      </c>
      <c r="G3278">
        <v>101.1</v>
      </c>
      <c r="H3278" t="s">
        <v>19</v>
      </c>
      <c r="I3278" t="s">
        <v>15</v>
      </c>
      <c r="J3278">
        <v>2.9</v>
      </c>
      <c r="K3278">
        <v>10</v>
      </c>
      <c r="L3278">
        <f t="shared" si="154"/>
        <v>90.99</v>
      </c>
      <c r="M3278">
        <v>5</v>
      </c>
      <c r="N3278" t="str">
        <f t="shared" si="155"/>
        <v>Regular</v>
      </c>
    </row>
    <row r="3279" spans="1:14" x14ac:dyDescent="0.35">
      <c r="A3279">
        <v>3278</v>
      </c>
      <c r="B3279">
        <v>70</v>
      </c>
      <c r="C3279" t="str">
        <f t="shared" si="153"/>
        <v>Senior</v>
      </c>
      <c r="D3279" t="s">
        <v>16</v>
      </c>
      <c r="E3279" t="s">
        <v>17</v>
      </c>
      <c r="F3279" t="s">
        <v>48</v>
      </c>
      <c r="G3279">
        <v>128.5</v>
      </c>
      <c r="H3279" t="s">
        <v>31</v>
      </c>
      <c r="I3279" t="s">
        <v>15</v>
      </c>
      <c r="J3279">
        <v>4.4000000000000004</v>
      </c>
      <c r="K3279">
        <v>17</v>
      </c>
      <c r="L3279">
        <f t="shared" si="154"/>
        <v>106.655</v>
      </c>
      <c r="M3279">
        <v>6</v>
      </c>
      <c r="N3279" t="str">
        <f t="shared" si="155"/>
        <v>Regular</v>
      </c>
    </row>
    <row r="3280" spans="1:14" x14ac:dyDescent="0.35">
      <c r="A3280">
        <v>3279</v>
      </c>
      <c r="B3280">
        <v>49</v>
      </c>
      <c r="C3280" t="str">
        <f t="shared" si="153"/>
        <v>Adult</v>
      </c>
      <c r="D3280" t="s">
        <v>11</v>
      </c>
      <c r="E3280" t="s">
        <v>20</v>
      </c>
      <c r="F3280" t="s">
        <v>36</v>
      </c>
      <c r="G3280">
        <v>93.21</v>
      </c>
      <c r="H3280" t="s">
        <v>31</v>
      </c>
      <c r="I3280" t="s">
        <v>37</v>
      </c>
      <c r="J3280">
        <v>4</v>
      </c>
      <c r="K3280">
        <v>8</v>
      </c>
      <c r="L3280">
        <f t="shared" si="154"/>
        <v>85.753199999999993</v>
      </c>
      <c r="M3280">
        <v>4</v>
      </c>
      <c r="N3280" t="str">
        <f t="shared" si="155"/>
        <v>Regular</v>
      </c>
    </row>
    <row r="3281" spans="1:14" x14ac:dyDescent="0.35">
      <c r="A3281">
        <v>3280</v>
      </c>
      <c r="B3281">
        <v>69</v>
      </c>
      <c r="C3281" t="str">
        <f t="shared" si="153"/>
        <v>Senior</v>
      </c>
      <c r="D3281" t="s">
        <v>16</v>
      </c>
      <c r="E3281" t="s">
        <v>17</v>
      </c>
      <c r="F3281" t="s">
        <v>35</v>
      </c>
      <c r="G3281">
        <v>120.7</v>
      </c>
      <c r="H3281" t="s">
        <v>24</v>
      </c>
      <c r="I3281" t="s">
        <v>15</v>
      </c>
      <c r="J3281">
        <v>3.9</v>
      </c>
      <c r="K3281">
        <v>10</v>
      </c>
      <c r="L3281">
        <f t="shared" si="154"/>
        <v>108.63000000000001</v>
      </c>
      <c r="M3281">
        <v>5</v>
      </c>
      <c r="N3281" t="str">
        <f t="shared" si="155"/>
        <v>Regular</v>
      </c>
    </row>
    <row r="3282" spans="1:14" x14ac:dyDescent="0.35">
      <c r="A3282">
        <v>3281</v>
      </c>
      <c r="B3282">
        <v>36</v>
      </c>
      <c r="C3282" t="str">
        <f t="shared" si="153"/>
        <v>Adult</v>
      </c>
      <c r="D3282" t="s">
        <v>16</v>
      </c>
      <c r="E3282" t="s">
        <v>17</v>
      </c>
      <c r="F3282" t="s">
        <v>18</v>
      </c>
      <c r="G3282">
        <v>76.16</v>
      </c>
      <c r="H3282" t="s">
        <v>31</v>
      </c>
      <c r="I3282" t="s">
        <v>37</v>
      </c>
      <c r="J3282">
        <v>4.3</v>
      </c>
      <c r="K3282">
        <v>10</v>
      </c>
      <c r="L3282">
        <f t="shared" si="154"/>
        <v>68.543999999999997</v>
      </c>
      <c r="M3282">
        <v>5</v>
      </c>
      <c r="N3282" t="str">
        <f t="shared" si="155"/>
        <v>Regular</v>
      </c>
    </row>
    <row r="3283" spans="1:14" x14ac:dyDescent="0.35">
      <c r="A3283">
        <v>3282</v>
      </c>
      <c r="B3283">
        <v>25</v>
      </c>
      <c r="C3283" t="str">
        <f t="shared" si="153"/>
        <v>Youth</v>
      </c>
      <c r="D3283" t="s">
        <v>16</v>
      </c>
      <c r="E3283" t="s">
        <v>20</v>
      </c>
      <c r="F3283" t="s">
        <v>36</v>
      </c>
      <c r="G3283">
        <v>226.66</v>
      </c>
      <c r="H3283" t="s">
        <v>24</v>
      </c>
      <c r="I3283" t="s">
        <v>15</v>
      </c>
      <c r="J3283">
        <v>3.8</v>
      </c>
      <c r="K3283">
        <v>24</v>
      </c>
      <c r="L3283">
        <f t="shared" si="154"/>
        <v>172.26159999999999</v>
      </c>
      <c r="M3283">
        <v>7</v>
      </c>
      <c r="N3283" t="str">
        <f t="shared" si="155"/>
        <v>Regular</v>
      </c>
    </row>
    <row r="3284" spans="1:14" x14ac:dyDescent="0.35">
      <c r="A3284">
        <v>3283</v>
      </c>
      <c r="B3284">
        <v>63</v>
      </c>
      <c r="C3284" t="str">
        <f t="shared" si="153"/>
        <v>Senior</v>
      </c>
      <c r="D3284" t="s">
        <v>16</v>
      </c>
      <c r="E3284" t="s">
        <v>20</v>
      </c>
      <c r="F3284" t="s">
        <v>36</v>
      </c>
      <c r="G3284">
        <v>130.19999999999999</v>
      </c>
      <c r="H3284" t="s">
        <v>24</v>
      </c>
      <c r="I3284" t="s">
        <v>15</v>
      </c>
      <c r="J3284">
        <v>2.6</v>
      </c>
      <c r="K3284">
        <v>4</v>
      </c>
      <c r="L3284">
        <f t="shared" si="154"/>
        <v>124.99199999999999</v>
      </c>
      <c r="M3284">
        <v>2</v>
      </c>
      <c r="N3284" t="str">
        <f t="shared" si="155"/>
        <v>New</v>
      </c>
    </row>
    <row r="3285" spans="1:14" x14ac:dyDescent="0.35">
      <c r="A3285">
        <v>3284</v>
      </c>
      <c r="B3285">
        <v>57</v>
      </c>
      <c r="C3285" t="str">
        <f t="shared" si="153"/>
        <v>Adult</v>
      </c>
      <c r="D3285" t="s">
        <v>16</v>
      </c>
      <c r="E3285" t="s">
        <v>33</v>
      </c>
      <c r="F3285" t="s">
        <v>38</v>
      </c>
      <c r="G3285">
        <v>52.67</v>
      </c>
      <c r="H3285" t="s">
        <v>24</v>
      </c>
      <c r="I3285" t="s">
        <v>15</v>
      </c>
      <c r="J3285">
        <v>4.3</v>
      </c>
      <c r="K3285">
        <v>16</v>
      </c>
      <c r="L3285">
        <f t="shared" si="154"/>
        <v>44.242800000000003</v>
      </c>
      <c r="M3285">
        <v>3</v>
      </c>
      <c r="N3285" t="str">
        <f t="shared" si="155"/>
        <v>New</v>
      </c>
    </row>
    <row r="3286" spans="1:14" x14ac:dyDescent="0.35">
      <c r="A3286">
        <v>3285</v>
      </c>
      <c r="B3286">
        <v>21</v>
      </c>
      <c r="C3286" t="str">
        <f t="shared" si="153"/>
        <v>Youth</v>
      </c>
      <c r="D3286" t="s">
        <v>11</v>
      </c>
      <c r="E3286" t="s">
        <v>41</v>
      </c>
      <c r="F3286" t="s">
        <v>42</v>
      </c>
      <c r="G3286">
        <v>151.32</v>
      </c>
      <c r="H3286" t="s">
        <v>31</v>
      </c>
      <c r="I3286" t="s">
        <v>15</v>
      </c>
      <c r="J3286">
        <v>3</v>
      </c>
      <c r="K3286">
        <v>24</v>
      </c>
      <c r="L3286">
        <f t="shared" si="154"/>
        <v>115.00319999999999</v>
      </c>
      <c r="M3286">
        <v>7</v>
      </c>
      <c r="N3286" t="str">
        <f t="shared" si="155"/>
        <v>Regular</v>
      </c>
    </row>
    <row r="3287" spans="1:14" x14ac:dyDescent="0.35">
      <c r="A3287">
        <v>3286</v>
      </c>
      <c r="B3287">
        <v>57</v>
      </c>
      <c r="C3287" t="str">
        <f t="shared" si="153"/>
        <v>Adult</v>
      </c>
      <c r="D3287" t="s">
        <v>16</v>
      </c>
      <c r="E3287" t="s">
        <v>33</v>
      </c>
      <c r="F3287" t="s">
        <v>40</v>
      </c>
      <c r="G3287">
        <v>49.11</v>
      </c>
      <c r="H3287" t="s">
        <v>14</v>
      </c>
      <c r="I3287" t="s">
        <v>37</v>
      </c>
      <c r="J3287">
        <v>3.3</v>
      </c>
      <c r="K3287">
        <v>18</v>
      </c>
      <c r="L3287">
        <f t="shared" si="154"/>
        <v>40.270200000000003</v>
      </c>
      <c r="M3287">
        <v>4</v>
      </c>
      <c r="N3287" t="str">
        <f t="shared" si="155"/>
        <v>Regular</v>
      </c>
    </row>
    <row r="3288" spans="1:14" x14ac:dyDescent="0.35">
      <c r="A3288">
        <v>3287</v>
      </c>
      <c r="B3288">
        <v>50</v>
      </c>
      <c r="C3288" t="str">
        <f t="shared" si="153"/>
        <v>Adult</v>
      </c>
      <c r="D3288" t="s">
        <v>11</v>
      </c>
      <c r="E3288" t="s">
        <v>29</v>
      </c>
      <c r="F3288" t="s">
        <v>55</v>
      </c>
      <c r="G3288">
        <v>71.64</v>
      </c>
      <c r="H3288" t="s">
        <v>24</v>
      </c>
      <c r="I3288" t="s">
        <v>37</v>
      </c>
      <c r="J3288">
        <v>4.5</v>
      </c>
      <c r="K3288">
        <v>20</v>
      </c>
      <c r="L3288">
        <f t="shared" si="154"/>
        <v>57.312000000000005</v>
      </c>
      <c r="M3288">
        <v>5</v>
      </c>
      <c r="N3288" t="str">
        <f t="shared" si="155"/>
        <v>Regular</v>
      </c>
    </row>
    <row r="3289" spans="1:14" x14ac:dyDescent="0.35">
      <c r="A3289">
        <v>3288</v>
      </c>
      <c r="B3289">
        <v>30</v>
      </c>
      <c r="C3289" t="str">
        <f t="shared" si="153"/>
        <v>Youth</v>
      </c>
      <c r="D3289" t="s">
        <v>16</v>
      </c>
      <c r="E3289" t="s">
        <v>22</v>
      </c>
      <c r="F3289" t="s">
        <v>43</v>
      </c>
      <c r="G3289">
        <v>165.95</v>
      </c>
      <c r="H3289" t="s">
        <v>14</v>
      </c>
      <c r="I3289" t="s">
        <v>15</v>
      </c>
      <c r="J3289">
        <v>4.5</v>
      </c>
      <c r="K3289">
        <v>18</v>
      </c>
      <c r="L3289">
        <f t="shared" si="154"/>
        <v>136.07900000000001</v>
      </c>
      <c r="M3289">
        <v>4</v>
      </c>
      <c r="N3289" t="str">
        <f t="shared" si="155"/>
        <v>Regular</v>
      </c>
    </row>
    <row r="3290" spans="1:14" x14ac:dyDescent="0.35">
      <c r="A3290">
        <v>3289</v>
      </c>
      <c r="B3290">
        <v>62</v>
      </c>
      <c r="C3290" t="str">
        <f t="shared" si="153"/>
        <v>Senior</v>
      </c>
      <c r="D3290" t="s">
        <v>16</v>
      </c>
      <c r="E3290" t="s">
        <v>20</v>
      </c>
      <c r="F3290" t="s">
        <v>21</v>
      </c>
      <c r="G3290">
        <v>248.99</v>
      </c>
      <c r="H3290" t="s">
        <v>14</v>
      </c>
      <c r="I3290" t="s">
        <v>15</v>
      </c>
      <c r="J3290">
        <v>2.8</v>
      </c>
      <c r="K3290">
        <v>13</v>
      </c>
      <c r="L3290">
        <f t="shared" si="154"/>
        <v>216.62130000000002</v>
      </c>
      <c r="M3290">
        <v>4</v>
      </c>
      <c r="N3290" t="str">
        <f t="shared" si="155"/>
        <v>Regular</v>
      </c>
    </row>
    <row r="3291" spans="1:14" x14ac:dyDescent="0.35">
      <c r="A3291">
        <v>3290</v>
      </c>
      <c r="B3291">
        <v>35</v>
      </c>
      <c r="C3291" t="str">
        <f t="shared" si="153"/>
        <v>Adult</v>
      </c>
      <c r="D3291" t="s">
        <v>16</v>
      </c>
      <c r="E3291" t="s">
        <v>27</v>
      </c>
      <c r="F3291" t="s">
        <v>49</v>
      </c>
      <c r="G3291">
        <v>2952.94</v>
      </c>
      <c r="H3291" t="s">
        <v>19</v>
      </c>
      <c r="I3291" t="s">
        <v>15</v>
      </c>
      <c r="J3291">
        <v>3</v>
      </c>
      <c r="K3291">
        <v>11</v>
      </c>
      <c r="L3291">
        <f t="shared" si="154"/>
        <v>2628.1166000000003</v>
      </c>
      <c r="M3291">
        <v>3</v>
      </c>
      <c r="N3291" t="str">
        <f t="shared" si="155"/>
        <v>New</v>
      </c>
    </row>
    <row r="3292" spans="1:14" x14ac:dyDescent="0.35">
      <c r="A3292">
        <v>3291</v>
      </c>
      <c r="B3292">
        <v>20</v>
      </c>
      <c r="C3292" t="str">
        <f t="shared" si="153"/>
        <v>Youth</v>
      </c>
      <c r="D3292" t="s">
        <v>16</v>
      </c>
      <c r="E3292" t="s">
        <v>20</v>
      </c>
      <c r="F3292" t="s">
        <v>21</v>
      </c>
      <c r="G3292">
        <v>226.69</v>
      </c>
      <c r="H3292" t="s">
        <v>31</v>
      </c>
      <c r="I3292" t="s">
        <v>15</v>
      </c>
      <c r="J3292">
        <v>4</v>
      </c>
      <c r="K3292">
        <v>17</v>
      </c>
      <c r="L3292">
        <f t="shared" si="154"/>
        <v>188.15269999999998</v>
      </c>
      <c r="M3292">
        <v>6</v>
      </c>
      <c r="N3292" t="str">
        <f t="shared" si="155"/>
        <v>Regular</v>
      </c>
    </row>
    <row r="3293" spans="1:14" x14ac:dyDescent="0.35">
      <c r="A3293">
        <v>3292</v>
      </c>
      <c r="B3293">
        <v>41</v>
      </c>
      <c r="C3293" t="str">
        <f t="shared" si="153"/>
        <v>Adult</v>
      </c>
      <c r="D3293" t="s">
        <v>16</v>
      </c>
      <c r="E3293" t="s">
        <v>17</v>
      </c>
      <c r="F3293" t="s">
        <v>35</v>
      </c>
      <c r="G3293">
        <v>136.81</v>
      </c>
      <c r="H3293" t="s">
        <v>14</v>
      </c>
      <c r="I3293" t="s">
        <v>15</v>
      </c>
      <c r="J3293">
        <v>4</v>
      </c>
      <c r="K3293">
        <v>9</v>
      </c>
      <c r="L3293">
        <f t="shared" si="154"/>
        <v>124.4971</v>
      </c>
      <c r="M3293">
        <v>2</v>
      </c>
      <c r="N3293" t="str">
        <f t="shared" si="155"/>
        <v>New</v>
      </c>
    </row>
    <row r="3294" spans="1:14" x14ac:dyDescent="0.35">
      <c r="A3294">
        <v>3293</v>
      </c>
      <c r="B3294">
        <v>60</v>
      </c>
      <c r="C3294" t="str">
        <f t="shared" si="153"/>
        <v>Adult</v>
      </c>
      <c r="D3294" t="s">
        <v>11</v>
      </c>
      <c r="E3294" t="s">
        <v>33</v>
      </c>
      <c r="F3294" t="s">
        <v>34</v>
      </c>
      <c r="G3294">
        <v>191.66</v>
      </c>
      <c r="H3294" t="s">
        <v>19</v>
      </c>
      <c r="I3294" t="s">
        <v>15</v>
      </c>
      <c r="J3294">
        <v>5</v>
      </c>
      <c r="K3294">
        <v>9</v>
      </c>
      <c r="L3294">
        <f t="shared" si="154"/>
        <v>174.41060000000002</v>
      </c>
      <c r="M3294">
        <v>2</v>
      </c>
      <c r="N3294" t="str">
        <f t="shared" si="155"/>
        <v>New</v>
      </c>
    </row>
    <row r="3295" spans="1:14" x14ac:dyDescent="0.35">
      <c r="A3295">
        <v>3294</v>
      </c>
      <c r="B3295">
        <v>34</v>
      </c>
      <c r="C3295" t="str">
        <f t="shared" si="153"/>
        <v>Adult</v>
      </c>
      <c r="D3295" t="s">
        <v>11</v>
      </c>
      <c r="E3295" t="s">
        <v>41</v>
      </c>
      <c r="F3295" t="s">
        <v>46</v>
      </c>
      <c r="G3295">
        <v>82.77</v>
      </c>
      <c r="H3295" t="s">
        <v>24</v>
      </c>
      <c r="I3295" t="s">
        <v>37</v>
      </c>
      <c r="J3295">
        <v>3.5</v>
      </c>
      <c r="K3295">
        <v>32</v>
      </c>
      <c r="L3295">
        <f t="shared" si="154"/>
        <v>56.283599999999993</v>
      </c>
      <c r="M3295">
        <v>11</v>
      </c>
      <c r="N3295" t="str">
        <f t="shared" si="155"/>
        <v>Loyal</v>
      </c>
    </row>
    <row r="3296" spans="1:14" x14ac:dyDescent="0.35">
      <c r="A3296">
        <v>3295</v>
      </c>
      <c r="B3296">
        <v>52</v>
      </c>
      <c r="C3296" t="str">
        <f t="shared" si="153"/>
        <v>Adult</v>
      </c>
      <c r="D3296" t="s">
        <v>11</v>
      </c>
      <c r="E3296" t="s">
        <v>33</v>
      </c>
      <c r="F3296" t="s">
        <v>38</v>
      </c>
      <c r="G3296">
        <v>50.19</v>
      </c>
      <c r="H3296" t="s">
        <v>31</v>
      </c>
      <c r="I3296" t="s">
        <v>15</v>
      </c>
      <c r="J3296">
        <v>4.2</v>
      </c>
      <c r="K3296">
        <v>17</v>
      </c>
      <c r="L3296">
        <f t="shared" si="154"/>
        <v>41.657699999999998</v>
      </c>
      <c r="M3296">
        <v>6</v>
      </c>
      <c r="N3296" t="str">
        <f t="shared" si="155"/>
        <v>Regular</v>
      </c>
    </row>
    <row r="3297" spans="1:14" x14ac:dyDescent="0.35">
      <c r="A3297">
        <v>3296</v>
      </c>
      <c r="B3297">
        <v>43</v>
      </c>
      <c r="C3297" t="str">
        <f t="shared" si="153"/>
        <v>Adult</v>
      </c>
      <c r="D3297" t="s">
        <v>11</v>
      </c>
      <c r="E3297" t="s">
        <v>12</v>
      </c>
      <c r="F3297" t="s">
        <v>50</v>
      </c>
      <c r="G3297">
        <v>170.71</v>
      </c>
      <c r="H3297" t="s">
        <v>24</v>
      </c>
      <c r="I3297" t="s">
        <v>15</v>
      </c>
      <c r="J3297">
        <v>3</v>
      </c>
      <c r="K3297">
        <v>15</v>
      </c>
      <c r="L3297">
        <f t="shared" si="154"/>
        <v>145.1035</v>
      </c>
      <c r="M3297">
        <v>5</v>
      </c>
      <c r="N3297" t="str">
        <f t="shared" si="155"/>
        <v>Regular</v>
      </c>
    </row>
    <row r="3298" spans="1:14" x14ac:dyDescent="0.35">
      <c r="A3298">
        <v>3297</v>
      </c>
      <c r="B3298">
        <v>22</v>
      </c>
      <c r="C3298" t="str">
        <f t="shared" si="153"/>
        <v>Youth</v>
      </c>
      <c r="D3298" t="s">
        <v>16</v>
      </c>
      <c r="E3298" t="s">
        <v>17</v>
      </c>
      <c r="F3298" t="s">
        <v>48</v>
      </c>
      <c r="G3298">
        <v>57.55</v>
      </c>
      <c r="H3298" t="s">
        <v>31</v>
      </c>
      <c r="I3298" t="s">
        <v>37</v>
      </c>
      <c r="J3298">
        <v>3.4</v>
      </c>
      <c r="K3298">
        <v>10</v>
      </c>
      <c r="L3298">
        <f t="shared" si="154"/>
        <v>51.795000000000002</v>
      </c>
      <c r="M3298">
        <v>5</v>
      </c>
      <c r="N3298" t="str">
        <f t="shared" si="155"/>
        <v>Regular</v>
      </c>
    </row>
    <row r="3299" spans="1:14" x14ac:dyDescent="0.35">
      <c r="A3299">
        <v>3298</v>
      </c>
      <c r="B3299">
        <v>25</v>
      </c>
      <c r="C3299" t="str">
        <f t="shared" si="153"/>
        <v>Youth</v>
      </c>
      <c r="D3299" t="s">
        <v>16</v>
      </c>
      <c r="E3299" t="s">
        <v>27</v>
      </c>
      <c r="F3299" t="s">
        <v>32</v>
      </c>
      <c r="G3299">
        <v>1659.69</v>
      </c>
      <c r="H3299" t="s">
        <v>14</v>
      </c>
      <c r="I3299" t="s">
        <v>15</v>
      </c>
      <c r="J3299">
        <v>4.0999999999999996</v>
      </c>
      <c r="K3299">
        <v>11</v>
      </c>
      <c r="L3299">
        <f t="shared" si="154"/>
        <v>1477.1241</v>
      </c>
      <c r="M3299">
        <v>3</v>
      </c>
      <c r="N3299" t="str">
        <f t="shared" si="155"/>
        <v>New</v>
      </c>
    </row>
    <row r="3300" spans="1:14" x14ac:dyDescent="0.35">
      <c r="A3300">
        <v>3299</v>
      </c>
      <c r="B3300">
        <v>50</v>
      </c>
      <c r="C3300" t="str">
        <f t="shared" si="153"/>
        <v>Adult</v>
      </c>
      <c r="D3300" t="s">
        <v>16</v>
      </c>
      <c r="E3300" t="s">
        <v>20</v>
      </c>
      <c r="F3300" t="s">
        <v>21</v>
      </c>
      <c r="G3300">
        <v>99.86</v>
      </c>
      <c r="H3300" t="s">
        <v>19</v>
      </c>
      <c r="I3300" t="s">
        <v>15</v>
      </c>
      <c r="J3300">
        <v>3.2</v>
      </c>
      <c r="K3300">
        <v>22</v>
      </c>
      <c r="L3300">
        <f t="shared" si="154"/>
        <v>77.890799999999999</v>
      </c>
      <c r="M3300">
        <v>6</v>
      </c>
      <c r="N3300" t="str">
        <f t="shared" si="155"/>
        <v>Regular</v>
      </c>
    </row>
    <row r="3301" spans="1:14" x14ac:dyDescent="0.35">
      <c r="A3301">
        <v>3300</v>
      </c>
      <c r="B3301">
        <v>61</v>
      </c>
      <c r="C3301" t="str">
        <f t="shared" si="153"/>
        <v>Senior</v>
      </c>
      <c r="D3301" t="s">
        <v>11</v>
      </c>
      <c r="E3301" t="s">
        <v>33</v>
      </c>
      <c r="F3301" t="s">
        <v>34</v>
      </c>
      <c r="G3301">
        <v>101.31</v>
      </c>
      <c r="H3301" t="s">
        <v>31</v>
      </c>
      <c r="I3301" t="s">
        <v>15</v>
      </c>
      <c r="J3301">
        <v>3.6</v>
      </c>
      <c r="K3301">
        <v>16</v>
      </c>
      <c r="L3301">
        <f t="shared" si="154"/>
        <v>85.100399999999993</v>
      </c>
      <c r="M3301">
        <v>3</v>
      </c>
      <c r="N3301" t="str">
        <f t="shared" si="155"/>
        <v>New</v>
      </c>
    </row>
    <row r="3302" spans="1:14" x14ac:dyDescent="0.35">
      <c r="A3302">
        <v>3301</v>
      </c>
      <c r="B3302">
        <v>37</v>
      </c>
      <c r="C3302" t="str">
        <f t="shared" si="153"/>
        <v>Adult</v>
      </c>
      <c r="D3302" t="s">
        <v>16</v>
      </c>
      <c r="E3302" t="s">
        <v>27</v>
      </c>
      <c r="F3302" t="s">
        <v>49</v>
      </c>
      <c r="G3302">
        <v>1894.44</v>
      </c>
      <c r="H3302" t="s">
        <v>24</v>
      </c>
      <c r="I3302" t="s">
        <v>15</v>
      </c>
      <c r="J3302">
        <v>4.3</v>
      </c>
      <c r="K3302">
        <v>12</v>
      </c>
      <c r="L3302">
        <f t="shared" si="154"/>
        <v>1667.1072000000001</v>
      </c>
      <c r="M3302">
        <v>6</v>
      </c>
      <c r="N3302" t="str">
        <f t="shared" si="155"/>
        <v>Regular</v>
      </c>
    </row>
    <row r="3303" spans="1:14" x14ac:dyDescent="0.35">
      <c r="A3303">
        <v>3302</v>
      </c>
      <c r="B3303">
        <v>44</v>
      </c>
      <c r="C3303" t="str">
        <f t="shared" si="153"/>
        <v>Adult</v>
      </c>
      <c r="D3303" t="s">
        <v>11</v>
      </c>
      <c r="E3303" t="s">
        <v>33</v>
      </c>
      <c r="F3303" t="s">
        <v>40</v>
      </c>
      <c r="G3303">
        <v>110.78</v>
      </c>
      <c r="H3303" t="s">
        <v>19</v>
      </c>
      <c r="I3303" t="s">
        <v>15</v>
      </c>
      <c r="J3303">
        <v>3.3</v>
      </c>
      <c r="K3303">
        <v>20</v>
      </c>
      <c r="L3303">
        <f t="shared" si="154"/>
        <v>88.624000000000009</v>
      </c>
      <c r="M3303">
        <v>5</v>
      </c>
      <c r="N3303" t="str">
        <f t="shared" si="155"/>
        <v>Regular</v>
      </c>
    </row>
    <row r="3304" spans="1:14" x14ac:dyDescent="0.35">
      <c r="A3304">
        <v>3303</v>
      </c>
      <c r="B3304">
        <v>45</v>
      </c>
      <c r="C3304" t="str">
        <f t="shared" si="153"/>
        <v>Adult</v>
      </c>
      <c r="D3304" t="s">
        <v>11</v>
      </c>
      <c r="E3304" t="s">
        <v>29</v>
      </c>
      <c r="F3304" t="s">
        <v>51</v>
      </c>
      <c r="G3304">
        <v>40.99</v>
      </c>
      <c r="H3304" t="s">
        <v>19</v>
      </c>
      <c r="I3304" t="s">
        <v>15</v>
      </c>
      <c r="J3304">
        <v>3.8</v>
      </c>
      <c r="K3304">
        <v>14</v>
      </c>
      <c r="L3304">
        <f t="shared" si="154"/>
        <v>35.251400000000004</v>
      </c>
      <c r="M3304">
        <v>2</v>
      </c>
      <c r="N3304" t="str">
        <f t="shared" si="155"/>
        <v>New</v>
      </c>
    </row>
    <row r="3305" spans="1:14" x14ac:dyDescent="0.35">
      <c r="A3305">
        <v>3304</v>
      </c>
      <c r="B3305">
        <v>66</v>
      </c>
      <c r="C3305" t="str">
        <f t="shared" si="153"/>
        <v>Senior</v>
      </c>
      <c r="D3305" t="s">
        <v>11</v>
      </c>
      <c r="E3305" t="s">
        <v>41</v>
      </c>
      <c r="F3305" t="s">
        <v>46</v>
      </c>
      <c r="G3305">
        <v>45.9</v>
      </c>
      <c r="H3305" t="s">
        <v>31</v>
      </c>
      <c r="I3305" t="s">
        <v>37</v>
      </c>
      <c r="J3305">
        <v>3.5</v>
      </c>
      <c r="K3305">
        <v>16</v>
      </c>
      <c r="L3305">
        <f t="shared" si="154"/>
        <v>38.555999999999997</v>
      </c>
      <c r="M3305">
        <v>8</v>
      </c>
      <c r="N3305" t="str">
        <f t="shared" si="155"/>
        <v>Loyal</v>
      </c>
    </row>
    <row r="3306" spans="1:14" x14ac:dyDescent="0.35">
      <c r="A3306">
        <v>3305</v>
      </c>
      <c r="B3306">
        <v>61</v>
      </c>
      <c r="C3306" t="str">
        <f t="shared" si="153"/>
        <v>Senior</v>
      </c>
      <c r="D3306" t="s">
        <v>11</v>
      </c>
      <c r="E3306" t="s">
        <v>12</v>
      </c>
      <c r="F3306" t="s">
        <v>56</v>
      </c>
      <c r="G3306">
        <v>48.25</v>
      </c>
      <c r="H3306" t="s">
        <v>24</v>
      </c>
      <c r="I3306" t="s">
        <v>15</v>
      </c>
      <c r="J3306">
        <v>3.6</v>
      </c>
      <c r="K3306">
        <v>10</v>
      </c>
      <c r="L3306">
        <f t="shared" si="154"/>
        <v>43.425000000000004</v>
      </c>
      <c r="M3306">
        <v>5</v>
      </c>
      <c r="N3306" t="str">
        <f t="shared" si="155"/>
        <v>Regular</v>
      </c>
    </row>
    <row r="3307" spans="1:14" x14ac:dyDescent="0.35">
      <c r="A3307">
        <v>3306</v>
      </c>
      <c r="B3307">
        <v>49</v>
      </c>
      <c r="C3307" t="str">
        <f t="shared" si="153"/>
        <v>Adult</v>
      </c>
      <c r="D3307" t="s">
        <v>16</v>
      </c>
      <c r="E3307" t="s">
        <v>27</v>
      </c>
      <c r="F3307" t="s">
        <v>28</v>
      </c>
      <c r="G3307">
        <v>2743.44</v>
      </c>
      <c r="H3307" t="s">
        <v>31</v>
      </c>
      <c r="I3307" t="s">
        <v>15</v>
      </c>
      <c r="J3307">
        <v>4.7</v>
      </c>
      <c r="K3307">
        <v>20</v>
      </c>
      <c r="L3307">
        <f t="shared" si="154"/>
        <v>2194.752</v>
      </c>
      <c r="M3307">
        <v>5</v>
      </c>
      <c r="N3307" t="str">
        <f t="shared" si="155"/>
        <v>Regular</v>
      </c>
    </row>
    <row r="3308" spans="1:14" x14ac:dyDescent="0.35">
      <c r="A3308">
        <v>3307</v>
      </c>
      <c r="B3308">
        <v>21</v>
      </c>
      <c r="C3308" t="str">
        <f t="shared" si="153"/>
        <v>Youth</v>
      </c>
      <c r="D3308" t="s">
        <v>11</v>
      </c>
      <c r="E3308" t="s">
        <v>41</v>
      </c>
      <c r="F3308" t="s">
        <v>45</v>
      </c>
      <c r="G3308">
        <v>103.61</v>
      </c>
      <c r="H3308" t="s">
        <v>14</v>
      </c>
      <c r="I3308" t="s">
        <v>15</v>
      </c>
      <c r="J3308">
        <v>3.8</v>
      </c>
      <c r="K3308">
        <v>10</v>
      </c>
      <c r="L3308">
        <f t="shared" si="154"/>
        <v>93.248999999999995</v>
      </c>
      <c r="M3308">
        <v>5</v>
      </c>
      <c r="N3308" t="str">
        <f t="shared" si="155"/>
        <v>Regular</v>
      </c>
    </row>
    <row r="3309" spans="1:14" x14ac:dyDescent="0.35">
      <c r="A3309">
        <v>3308</v>
      </c>
      <c r="B3309">
        <v>28</v>
      </c>
      <c r="C3309" t="str">
        <f t="shared" si="153"/>
        <v>Youth</v>
      </c>
      <c r="D3309" t="s">
        <v>16</v>
      </c>
      <c r="E3309" t="s">
        <v>27</v>
      </c>
      <c r="F3309" t="s">
        <v>28</v>
      </c>
      <c r="G3309">
        <v>2722.53</v>
      </c>
      <c r="H3309" t="s">
        <v>19</v>
      </c>
      <c r="I3309" t="s">
        <v>15</v>
      </c>
      <c r="J3309">
        <v>3.9</v>
      </c>
      <c r="K3309">
        <v>17</v>
      </c>
      <c r="L3309">
        <f t="shared" si="154"/>
        <v>2259.6999000000001</v>
      </c>
      <c r="M3309">
        <v>6</v>
      </c>
      <c r="N3309" t="str">
        <f t="shared" si="155"/>
        <v>Regular</v>
      </c>
    </row>
    <row r="3310" spans="1:14" x14ac:dyDescent="0.35">
      <c r="A3310">
        <v>3309</v>
      </c>
      <c r="B3310">
        <v>41</v>
      </c>
      <c r="C3310" t="str">
        <f t="shared" si="153"/>
        <v>Adult</v>
      </c>
      <c r="D3310" t="s">
        <v>16</v>
      </c>
      <c r="E3310" t="s">
        <v>27</v>
      </c>
      <c r="F3310" t="s">
        <v>32</v>
      </c>
      <c r="G3310">
        <v>956.14</v>
      </c>
      <c r="H3310" t="s">
        <v>14</v>
      </c>
      <c r="I3310" t="s">
        <v>15</v>
      </c>
      <c r="J3310">
        <v>3.5</v>
      </c>
      <c r="K3310">
        <v>21</v>
      </c>
      <c r="L3310">
        <f t="shared" si="154"/>
        <v>755.35059999999999</v>
      </c>
      <c r="M3310">
        <v>8</v>
      </c>
      <c r="N3310" t="str">
        <f t="shared" si="155"/>
        <v>Loyal</v>
      </c>
    </row>
    <row r="3311" spans="1:14" x14ac:dyDescent="0.35">
      <c r="A3311">
        <v>3310</v>
      </c>
      <c r="B3311">
        <v>59</v>
      </c>
      <c r="C3311" t="str">
        <f t="shared" si="153"/>
        <v>Adult</v>
      </c>
      <c r="D3311" t="s">
        <v>16</v>
      </c>
      <c r="E3311" t="s">
        <v>17</v>
      </c>
      <c r="F3311" t="s">
        <v>48</v>
      </c>
      <c r="G3311">
        <v>179.08</v>
      </c>
      <c r="H3311" t="s">
        <v>24</v>
      </c>
      <c r="I3311" t="s">
        <v>15</v>
      </c>
      <c r="J3311">
        <v>3.9</v>
      </c>
      <c r="K3311">
        <v>11</v>
      </c>
      <c r="L3311">
        <f t="shared" si="154"/>
        <v>159.38120000000001</v>
      </c>
      <c r="M3311">
        <v>3</v>
      </c>
      <c r="N3311" t="str">
        <f t="shared" si="155"/>
        <v>New</v>
      </c>
    </row>
    <row r="3312" spans="1:14" x14ac:dyDescent="0.35">
      <c r="A3312">
        <v>3311</v>
      </c>
      <c r="B3312">
        <v>70</v>
      </c>
      <c r="C3312" t="str">
        <f t="shared" si="153"/>
        <v>Senior</v>
      </c>
      <c r="D3312" t="s">
        <v>16</v>
      </c>
      <c r="E3312" t="s">
        <v>33</v>
      </c>
      <c r="F3312" t="s">
        <v>40</v>
      </c>
      <c r="G3312">
        <v>237.9</v>
      </c>
      <c r="H3312" t="s">
        <v>24</v>
      </c>
      <c r="I3312" t="s">
        <v>15</v>
      </c>
      <c r="J3312">
        <v>3.3</v>
      </c>
      <c r="K3312">
        <v>13</v>
      </c>
      <c r="L3312">
        <f t="shared" si="154"/>
        <v>206.97300000000001</v>
      </c>
      <c r="M3312">
        <v>4</v>
      </c>
      <c r="N3312" t="str">
        <f t="shared" si="155"/>
        <v>Regular</v>
      </c>
    </row>
    <row r="3313" spans="1:14" x14ac:dyDescent="0.35">
      <c r="A3313">
        <v>3312</v>
      </c>
      <c r="B3313">
        <v>21</v>
      </c>
      <c r="C3313" t="str">
        <f t="shared" si="153"/>
        <v>Youth</v>
      </c>
      <c r="D3313" t="s">
        <v>11</v>
      </c>
      <c r="E3313" t="s">
        <v>33</v>
      </c>
      <c r="F3313" t="s">
        <v>34</v>
      </c>
      <c r="G3313">
        <v>112.2</v>
      </c>
      <c r="H3313" t="s">
        <v>24</v>
      </c>
      <c r="I3313" t="s">
        <v>15</v>
      </c>
      <c r="J3313">
        <v>3</v>
      </c>
      <c r="K3313">
        <v>15</v>
      </c>
      <c r="L3313">
        <f t="shared" si="154"/>
        <v>95.37</v>
      </c>
      <c r="M3313">
        <v>5</v>
      </c>
      <c r="N3313" t="str">
        <f t="shared" si="155"/>
        <v>Regular</v>
      </c>
    </row>
    <row r="3314" spans="1:14" x14ac:dyDescent="0.35">
      <c r="A3314">
        <v>3313</v>
      </c>
      <c r="B3314">
        <v>53</v>
      </c>
      <c r="C3314" t="str">
        <f t="shared" si="153"/>
        <v>Adult</v>
      </c>
      <c r="D3314" t="s">
        <v>11</v>
      </c>
      <c r="E3314" t="s">
        <v>41</v>
      </c>
      <c r="F3314" t="s">
        <v>46</v>
      </c>
      <c r="G3314">
        <v>100.01</v>
      </c>
      <c r="H3314" t="s">
        <v>31</v>
      </c>
      <c r="I3314" t="s">
        <v>15</v>
      </c>
      <c r="J3314">
        <v>3.4</v>
      </c>
      <c r="K3314">
        <v>21</v>
      </c>
      <c r="L3314">
        <f t="shared" si="154"/>
        <v>79.007900000000006</v>
      </c>
      <c r="M3314">
        <v>8</v>
      </c>
      <c r="N3314" t="str">
        <f t="shared" si="155"/>
        <v>Loyal</v>
      </c>
    </row>
    <row r="3315" spans="1:14" x14ac:dyDescent="0.35">
      <c r="A3315">
        <v>3314</v>
      </c>
      <c r="B3315">
        <v>46</v>
      </c>
      <c r="C3315" t="str">
        <f t="shared" si="153"/>
        <v>Adult</v>
      </c>
      <c r="D3315" t="s">
        <v>16</v>
      </c>
      <c r="E3315" t="s">
        <v>33</v>
      </c>
      <c r="F3315" t="s">
        <v>34</v>
      </c>
      <c r="G3315">
        <v>70.16</v>
      </c>
      <c r="H3315" t="s">
        <v>14</v>
      </c>
      <c r="I3315" t="s">
        <v>15</v>
      </c>
      <c r="J3315">
        <v>4</v>
      </c>
      <c r="K3315">
        <v>22</v>
      </c>
      <c r="L3315">
        <f t="shared" si="154"/>
        <v>54.724800000000002</v>
      </c>
      <c r="M3315">
        <v>6</v>
      </c>
      <c r="N3315" t="str">
        <f t="shared" si="155"/>
        <v>Regular</v>
      </c>
    </row>
    <row r="3316" spans="1:14" x14ac:dyDescent="0.35">
      <c r="A3316">
        <v>3315</v>
      </c>
      <c r="B3316">
        <v>61</v>
      </c>
      <c r="C3316" t="str">
        <f t="shared" si="153"/>
        <v>Senior</v>
      </c>
      <c r="D3316" t="s">
        <v>11</v>
      </c>
      <c r="E3316" t="s">
        <v>41</v>
      </c>
      <c r="F3316" t="s">
        <v>44</v>
      </c>
      <c r="G3316">
        <v>128.44</v>
      </c>
      <c r="H3316" t="s">
        <v>19</v>
      </c>
      <c r="I3316" t="s">
        <v>15</v>
      </c>
      <c r="J3316">
        <v>4.5999999999999996</v>
      </c>
      <c r="K3316">
        <v>18</v>
      </c>
      <c r="L3316">
        <f t="shared" si="154"/>
        <v>105.32080000000001</v>
      </c>
      <c r="M3316">
        <v>4</v>
      </c>
      <c r="N3316" t="str">
        <f t="shared" si="155"/>
        <v>Regular</v>
      </c>
    </row>
    <row r="3317" spans="1:14" x14ac:dyDescent="0.35">
      <c r="A3317">
        <v>3316</v>
      </c>
      <c r="B3317">
        <v>43</v>
      </c>
      <c r="C3317" t="str">
        <f t="shared" si="153"/>
        <v>Adult</v>
      </c>
      <c r="D3317" t="s">
        <v>16</v>
      </c>
      <c r="E3317" t="s">
        <v>17</v>
      </c>
      <c r="F3317" t="s">
        <v>35</v>
      </c>
      <c r="G3317">
        <v>84.29</v>
      </c>
      <c r="H3317" t="s">
        <v>19</v>
      </c>
      <c r="I3317" t="s">
        <v>37</v>
      </c>
      <c r="J3317">
        <v>3</v>
      </c>
      <c r="K3317">
        <v>8</v>
      </c>
      <c r="L3317">
        <f t="shared" si="154"/>
        <v>77.546800000000005</v>
      </c>
      <c r="M3317">
        <v>4</v>
      </c>
      <c r="N3317" t="str">
        <f t="shared" si="155"/>
        <v>Regular</v>
      </c>
    </row>
    <row r="3318" spans="1:14" x14ac:dyDescent="0.35">
      <c r="A3318">
        <v>3317</v>
      </c>
      <c r="B3318">
        <v>39</v>
      </c>
      <c r="C3318" t="str">
        <f t="shared" si="153"/>
        <v>Adult</v>
      </c>
      <c r="D3318" t="s">
        <v>11</v>
      </c>
      <c r="E3318" t="s">
        <v>33</v>
      </c>
      <c r="F3318" t="s">
        <v>40</v>
      </c>
      <c r="G3318">
        <v>139.91</v>
      </c>
      <c r="H3318" t="s">
        <v>24</v>
      </c>
      <c r="I3318" t="s">
        <v>15</v>
      </c>
      <c r="J3318">
        <v>3.8</v>
      </c>
      <c r="K3318">
        <v>12</v>
      </c>
      <c r="L3318">
        <f t="shared" si="154"/>
        <v>123.1208</v>
      </c>
      <c r="M3318">
        <v>6</v>
      </c>
      <c r="N3318" t="str">
        <f t="shared" si="155"/>
        <v>Regular</v>
      </c>
    </row>
    <row r="3319" spans="1:14" x14ac:dyDescent="0.35">
      <c r="A3319">
        <v>3318</v>
      </c>
      <c r="B3319">
        <v>25</v>
      </c>
      <c r="C3319" t="str">
        <f t="shared" si="153"/>
        <v>Youth</v>
      </c>
      <c r="D3319" t="s">
        <v>11</v>
      </c>
      <c r="E3319" t="s">
        <v>33</v>
      </c>
      <c r="F3319" t="s">
        <v>38</v>
      </c>
      <c r="G3319">
        <v>66.52</v>
      </c>
      <c r="H3319" t="s">
        <v>14</v>
      </c>
      <c r="I3319" t="s">
        <v>37</v>
      </c>
      <c r="J3319">
        <v>3.8</v>
      </c>
      <c r="K3319">
        <v>8</v>
      </c>
      <c r="L3319">
        <f t="shared" si="154"/>
        <v>61.198399999999999</v>
      </c>
      <c r="M3319">
        <v>4</v>
      </c>
      <c r="N3319" t="str">
        <f t="shared" si="155"/>
        <v>Regular</v>
      </c>
    </row>
    <row r="3320" spans="1:14" x14ac:dyDescent="0.35">
      <c r="A3320">
        <v>3319</v>
      </c>
      <c r="B3320">
        <v>69</v>
      </c>
      <c r="C3320" t="str">
        <f t="shared" si="153"/>
        <v>Senior</v>
      </c>
      <c r="D3320" t="s">
        <v>11</v>
      </c>
      <c r="E3320" t="s">
        <v>29</v>
      </c>
      <c r="F3320" t="s">
        <v>30</v>
      </c>
      <c r="G3320">
        <v>49.37</v>
      </c>
      <c r="H3320" t="s">
        <v>14</v>
      </c>
      <c r="I3320" t="s">
        <v>37</v>
      </c>
      <c r="J3320">
        <v>4.3</v>
      </c>
      <c r="K3320">
        <v>2</v>
      </c>
      <c r="L3320">
        <f t="shared" si="154"/>
        <v>48.382599999999996</v>
      </c>
      <c r="M3320">
        <v>1</v>
      </c>
      <c r="N3320" t="str">
        <f t="shared" si="155"/>
        <v>New</v>
      </c>
    </row>
    <row r="3321" spans="1:14" x14ac:dyDescent="0.35">
      <c r="A3321">
        <v>3320</v>
      </c>
      <c r="B3321">
        <v>52</v>
      </c>
      <c r="C3321" t="str">
        <f t="shared" si="153"/>
        <v>Adult</v>
      </c>
      <c r="D3321" t="s">
        <v>11</v>
      </c>
      <c r="E3321" t="s">
        <v>29</v>
      </c>
      <c r="F3321" t="s">
        <v>55</v>
      </c>
      <c r="G3321">
        <v>33.78</v>
      </c>
      <c r="H3321" t="s">
        <v>19</v>
      </c>
      <c r="I3321" t="s">
        <v>37</v>
      </c>
      <c r="J3321">
        <v>2.4</v>
      </c>
      <c r="K3321">
        <v>15</v>
      </c>
      <c r="L3321">
        <f t="shared" si="154"/>
        <v>28.713000000000001</v>
      </c>
      <c r="M3321">
        <v>5</v>
      </c>
      <c r="N3321" t="str">
        <f t="shared" si="155"/>
        <v>Regular</v>
      </c>
    </row>
    <row r="3322" spans="1:14" x14ac:dyDescent="0.35">
      <c r="A3322">
        <v>3321</v>
      </c>
      <c r="B3322">
        <v>40</v>
      </c>
      <c r="C3322" t="str">
        <f t="shared" si="153"/>
        <v>Adult</v>
      </c>
      <c r="D3322" t="s">
        <v>16</v>
      </c>
      <c r="E3322" t="s">
        <v>17</v>
      </c>
      <c r="F3322" t="s">
        <v>48</v>
      </c>
      <c r="G3322">
        <v>70.77</v>
      </c>
      <c r="H3322" t="s">
        <v>14</v>
      </c>
      <c r="I3322" t="s">
        <v>15</v>
      </c>
      <c r="J3322">
        <v>4.5</v>
      </c>
      <c r="K3322">
        <v>16</v>
      </c>
      <c r="L3322">
        <f t="shared" si="154"/>
        <v>59.446799999999996</v>
      </c>
      <c r="M3322">
        <v>3</v>
      </c>
      <c r="N3322" t="str">
        <f t="shared" si="155"/>
        <v>New</v>
      </c>
    </row>
    <row r="3323" spans="1:14" x14ac:dyDescent="0.35">
      <c r="A3323">
        <v>3322</v>
      </c>
      <c r="B3323">
        <v>29</v>
      </c>
      <c r="C3323" t="str">
        <f t="shared" si="153"/>
        <v>Youth</v>
      </c>
      <c r="D3323" t="s">
        <v>11</v>
      </c>
      <c r="E3323" t="s">
        <v>41</v>
      </c>
      <c r="F3323" t="s">
        <v>42</v>
      </c>
      <c r="G3323">
        <v>65.09</v>
      </c>
      <c r="H3323" t="s">
        <v>19</v>
      </c>
      <c r="I3323" t="s">
        <v>37</v>
      </c>
      <c r="J3323">
        <v>4.5999999999999996</v>
      </c>
      <c r="K3323">
        <v>4</v>
      </c>
      <c r="L3323">
        <f t="shared" si="154"/>
        <v>62.486400000000003</v>
      </c>
      <c r="M3323">
        <v>2</v>
      </c>
      <c r="N3323" t="str">
        <f t="shared" si="155"/>
        <v>New</v>
      </c>
    </row>
    <row r="3324" spans="1:14" x14ac:dyDescent="0.35">
      <c r="A3324">
        <v>3323</v>
      </c>
      <c r="B3324">
        <v>65</v>
      </c>
      <c r="C3324" t="str">
        <f t="shared" si="153"/>
        <v>Senior</v>
      </c>
      <c r="D3324" t="s">
        <v>16</v>
      </c>
      <c r="E3324" t="s">
        <v>20</v>
      </c>
      <c r="F3324" t="s">
        <v>36</v>
      </c>
      <c r="G3324">
        <v>245.06</v>
      </c>
      <c r="H3324" t="s">
        <v>19</v>
      </c>
      <c r="I3324" t="s">
        <v>15</v>
      </c>
      <c r="J3324">
        <v>3.1</v>
      </c>
      <c r="K3324">
        <v>10</v>
      </c>
      <c r="L3324">
        <f t="shared" si="154"/>
        <v>220.554</v>
      </c>
      <c r="M3324">
        <v>5</v>
      </c>
      <c r="N3324" t="str">
        <f t="shared" si="155"/>
        <v>Regular</v>
      </c>
    </row>
    <row r="3325" spans="1:14" x14ac:dyDescent="0.35">
      <c r="A3325">
        <v>3324</v>
      </c>
      <c r="B3325">
        <v>61</v>
      </c>
      <c r="C3325" t="str">
        <f t="shared" si="153"/>
        <v>Senior</v>
      </c>
      <c r="D3325" t="s">
        <v>11</v>
      </c>
      <c r="E3325" t="s">
        <v>12</v>
      </c>
      <c r="F3325" t="s">
        <v>13</v>
      </c>
      <c r="G3325">
        <v>68.040000000000006</v>
      </c>
      <c r="H3325" t="s">
        <v>14</v>
      </c>
      <c r="I3325" t="s">
        <v>37</v>
      </c>
      <c r="J3325">
        <v>4.9000000000000004</v>
      </c>
      <c r="K3325">
        <v>18</v>
      </c>
      <c r="L3325">
        <f t="shared" si="154"/>
        <v>55.792800000000007</v>
      </c>
      <c r="M3325">
        <v>9</v>
      </c>
      <c r="N3325" t="str">
        <f t="shared" si="155"/>
        <v>Loyal</v>
      </c>
    </row>
    <row r="3326" spans="1:14" x14ac:dyDescent="0.35">
      <c r="A3326">
        <v>3325</v>
      </c>
      <c r="B3326">
        <v>66</v>
      </c>
      <c r="C3326" t="str">
        <f t="shared" si="153"/>
        <v>Senior</v>
      </c>
      <c r="D3326" t="s">
        <v>11</v>
      </c>
      <c r="E3326" t="s">
        <v>12</v>
      </c>
      <c r="F3326" t="s">
        <v>13</v>
      </c>
      <c r="G3326">
        <v>41.18</v>
      </c>
      <c r="H3326" t="s">
        <v>24</v>
      </c>
      <c r="I3326" t="s">
        <v>37</v>
      </c>
      <c r="J3326">
        <v>2.8</v>
      </c>
      <c r="K3326">
        <v>2</v>
      </c>
      <c r="L3326">
        <f t="shared" si="154"/>
        <v>40.356400000000001</v>
      </c>
      <c r="M3326">
        <v>1</v>
      </c>
      <c r="N3326" t="str">
        <f t="shared" si="155"/>
        <v>New</v>
      </c>
    </row>
    <row r="3327" spans="1:14" x14ac:dyDescent="0.35">
      <c r="A3327">
        <v>3326</v>
      </c>
      <c r="B3327">
        <v>63</v>
      </c>
      <c r="C3327" t="str">
        <f t="shared" si="153"/>
        <v>Senior</v>
      </c>
      <c r="D3327" t="s">
        <v>16</v>
      </c>
      <c r="E3327" t="s">
        <v>20</v>
      </c>
      <c r="F3327" t="s">
        <v>21</v>
      </c>
      <c r="G3327">
        <v>154.11000000000001</v>
      </c>
      <c r="H3327" t="s">
        <v>14</v>
      </c>
      <c r="I3327" t="s">
        <v>15</v>
      </c>
      <c r="J3327">
        <v>3.3</v>
      </c>
      <c r="K3327">
        <v>13</v>
      </c>
      <c r="L3327">
        <f t="shared" si="154"/>
        <v>134.07570000000001</v>
      </c>
      <c r="M3327">
        <v>4</v>
      </c>
      <c r="N3327" t="str">
        <f t="shared" si="155"/>
        <v>Regular</v>
      </c>
    </row>
    <row r="3328" spans="1:14" x14ac:dyDescent="0.35">
      <c r="A3328">
        <v>3327</v>
      </c>
      <c r="B3328">
        <v>24</v>
      </c>
      <c r="C3328" t="str">
        <f t="shared" si="153"/>
        <v>Youth</v>
      </c>
      <c r="D3328" t="s">
        <v>11</v>
      </c>
      <c r="E3328" t="s">
        <v>33</v>
      </c>
      <c r="F3328" t="s">
        <v>40</v>
      </c>
      <c r="G3328">
        <v>174.93</v>
      </c>
      <c r="H3328" t="s">
        <v>31</v>
      </c>
      <c r="I3328" t="s">
        <v>15</v>
      </c>
      <c r="J3328">
        <v>3.9</v>
      </c>
      <c r="K3328">
        <v>17</v>
      </c>
      <c r="L3328">
        <f t="shared" si="154"/>
        <v>145.1919</v>
      </c>
      <c r="M3328">
        <v>6</v>
      </c>
      <c r="N3328" t="str">
        <f t="shared" si="155"/>
        <v>Regular</v>
      </c>
    </row>
    <row r="3329" spans="1:14" x14ac:dyDescent="0.35">
      <c r="A3329">
        <v>3328</v>
      </c>
      <c r="B3329">
        <v>38</v>
      </c>
      <c r="C3329" t="str">
        <f t="shared" si="153"/>
        <v>Adult</v>
      </c>
      <c r="D3329" t="s">
        <v>16</v>
      </c>
      <c r="E3329" t="s">
        <v>17</v>
      </c>
      <c r="F3329" t="s">
        <v>48</v>
      </c>
      <c r="G3329">
        <v>192.91</v>
      </c>
      <c r="H3329" t="s">
        <v>19</v>
      </c>
      <c r="I3329" t="s">
        <v>15</v>
      </c>
      <c r="J3329">
        <v>3.6</v>
      </c>
      <c r="K3329">
        <v>16</v>
      </c>
      <c r="L3329">
        <f t="shared" si="154"/>
        <v>162.0444</v>
      </c>
      <c r="M3329">
        <v>8</v>
      </c>
      <c r="N3329" t="str">
        <f t="shared" si="155"/>
        <v>Loyal</v>
      </c>
    </row>
    <row r="3330" spans="1:14" x14ac:dyDescent="0.35">
      <c r="A3330">
        <v>3329</v>
      </c>
      <c r="B3330">
        <v>21</v>
      </c>
      <c r="C3330" t="str">
        <f t="shared" si="153"/>
        <v>Youth</v>
      </c>
      <c r="D3330" t="s">
        <v>11</v>
      </c>
      <c r="E3330" t="s">
        <v>33</v>
      </c>
      <c r="F3330" t="s">
        <v>34</v>
      </c>
      <c r="G3330">
        <v>42.33</v>
      </c>
      <c r="H3330" t="s">
        <v>31</v>
      </c>
      <c r="I3330" t="s">
        <v>37</v>
      </c>
      <c r="J3330">
        <v>2.9</v>
      </c>
      <c r="K3330">
        <v>9</v>
      </c>
      <c r="L3330">
        <f t="shared" si="154"/>
        <v>38.520299999999999</v>
      </c>
      <c r="M3330">
        <v>2</v>
      </c>
      <c r="N3330" t="str">
        <f t="shared" si="155"/>
        <v>New</v>
      </c>
    </row>
    <row r="3331" spans="1:14" x14ac:dyDescent="0.35">
      <c r="A3331">
        <v>3330</v>
      </c>
      <c r="B3331">
        <v>41</v>
      </c>
      <c r="C3331" t="str">
        <f t="shared" ref="C3331:C3394" si="156">IF(B3331&lt;=30,"Youth",IF(B3331&lt;=45,"Adult",IF(B3331&lt;=60,"Adult","Senior")))</f>
        <v>Adult</v>
      </c>
      <c r="D3331" t="s">
        <v>11</v>
      </c>
      <c r="E3331" t="s">
        <v>22</v>
      </c>
      <c r="F3331" t="s">
        <v>23</v>
      </c>
      <c r="G3331">
        <v>260.49</v>
      </c>
      <c r="H3331" t="s">
        <v>31</v>
      </c>
      <c r="I3331" t="s">
        <v>15</v>
      </c>
      <c r="J3331">
        <v>4</v>
      </c>
      <c r="K3331">
        <v>22</v>
      </c>
      <c r="L3331">
        <f t="shared" ref="L3331:L3394" si="157">G3331*(1-K3331/100)</f>
        <v>203.18220000000002</v>
      </c>
      <c r="M3331">
        <v>6</v>
      </c>
      <c r="N3331" t="str">
        <f t="shared" ref="N3331:N3394" si="158">IF(M3331&lt;=3,"New",IF(M3331&lt;=7,"Regular","Loyal"))</f>
        <v>Regular</v>
      </c>
    </row>
    <row r="3332" spans="1:14" x14ac:dyDescent="0.35">
      <c r="A3332">
        <v>3331</v>
      </c>
      <c r="B3332">
        <v>42</v>
      </c>
      <c r="C3332" t="str">
        <f t="shared" si="156"/>
        <v>Adult</v>
      </c>
      <c r="D3332" t="s">
        <v>16</v>
      </c>
      <c r="E3332" t="s">
        <v>17</v>
      </c>
      <c r="F3332" t="s">
        <v>42</v>
      </c>
      <c r="G3332">
        <v>48.33</v>
      </c>
      <c r="H3332" t="s">
        <v>31</v>
      </c>
      <c r="I3332" t="s">
        <v>37</v>
      </c>
      <c r="J3332">
        <v>5</v>
      </c>
      <c r="K3332">
        <v>10</v>
      </c>
      <c r="L3332">
        <f t="shared" si="157"/>
        <v>43.497</v>
      </c>
      <c r="M3332">
        <v>5</v>
      </c>
      <c r="N3332" t="str">
        <f t="shared" si="158"/>
        <v>Regular</v>
      </c>
    </row>
    <row r="3333" spans="1:14" x14ac:dyDescent="0.35">
      <c r="A3333">
        <v>3332</v>
      </c>
      <c r="B3333">
        <v>56</v>
      </c>
      <c r="C3333" t="str">
        <f t="shared" si="156"/>
        <v>Adult</v>
      </c>
      <c r="D3333" t="s">
        <v>11</v>
      </c>
      <c r="E3333" t="s">
        <v>29</v>
      </c>
      <c r="F3333" t="s">
        <v>51</v>
      </c>
      <c r="G3333">
        <v>100.08</v>
      </c>
      <c r="H3333" t="s">
        <v>31</v>
      </c>
      <c r="I3333" t="s">
        <v>15</v>
      </c>
      <c r="J3333">
        <v>3.5</v>
      </c>
      <c r="K3333">
        <v>8</v>
      </c>
      <c r="L3333">
        <f t="shared" si="157"/>
        <v>92.073599999999999</v>
      </c>
      <c r="M3333">
        <v>4</v>
      </c>
      <c r="N3333" t="str">
        <f t="shared" si="158"/>
        <v>Regular</v>
      </c>
    </row>
    <row r="3334" spans="1:14" x14ac:dyDescent="0.35">
      <c r="A3334">
        <v>3333</v>
      </c>
      <c r="B3334">
        <v>25</v>
      </c>
      <c r="C3334" t="str">
        <f t="shared" si="156"/>
        <v>Youth</v>
      </c>
      <c r="D3334" t="s">
        <v>16</v>
      </c>
      <c r="E3334" t="s">
        <v>33</v>
      </c>
      <c r="F3334" t="s">
        <v>34</v>
      </c>
      <c r="G3334">
        <v>98.36</v>
      </c>
      <c r="H3334" t="s">
        <v>14</v>
      </c>
      <c r="I3334" t="s">
        <v>15</v>
      </c>
      <c r="J3334">
        <v>4.3</v>
      </c>
      <c r="K3334">
        <v>9</v>
      </c>
      <c r="L3334">
        <f t="shared" si="157"/>
        <v>89.507599999999996</v>
      </c>
      <c r="M3334">
        <v>2</v>
      </c>
      <c r="N3334" t="str">
        <f t="shared" si="158"/>
        <v>New</v>
      </c>
    </row>
    <row r="3335" spans="1:14" x14ac:dyDescent="0.35">
      <c r="A3335">
        <v>3334</v>
      </c>
      <c r="B3335">
        <v>34</v>
      </c>
      <c r="C3335" t="str">
        <f t="shared" si="156"/>
        <v>Adult</v>
      </c>
      <c r="D3335" t="s">
        <v>16</v>
      </c>
      <c r="E3335" t="s">
        <v>27</v>
      </c>
      <c r="F3335" t="s">
        <v>28</v>
      </c>
      <c r="G3335">
        <v>2073.3000000000002</v>
      </c>
      <c r="H3335" t="s">
        <v>14</v>
      </c>
      <c r="I3335" t="s">
        <v>15</v>
      </c>
      <c r="J3335">
        <v>4.2</v>
      </c>
      <c r="K3335">
        <v>8</v>
      </c>
      <c r="L3335">
        <f t="shared" si="157"/>
        <v>1907.4360000000001</v>
      </c>
      <c r="M3335">
        <v>4</v>
      </c>
      <c r="N3335" t="str">
        <f t="shared" si="158"/>
        <v>Regular</v>
      </c>
    </row>
    <row r="3336" spans="1:14" x14ac:dyDescent="0.35">
      <c r="A3336">
        <v>3335</v>
      </c>
      <c r="B3336">
        <v>47</v>
      </c>
      <c r="C3336" t="str">
        <f t="shared" si="156"/>
        <v>Adult</v>
      </c>
      <c r="D3336" t="s">
        <v>11</v>
      </c>
      <c r="E3336" t="s">
        <v>41</v>
      </c>
      <c r="F3336" t="s">
        <v>45</v>
      </c>
      <c r="G3336">
        <v>98.36</v>
      </c>
      <c r="H3336" t="s">
        <v>31</v>
      </c>
      <c r="I3336" t="s">
        <v>37</v>
      </c>
      <c r="J3336">
        <v>3.7</v>
      </c>
      <c r="K3336">
        <v>18</v>
      </c>
      <c r="L3336">
        <f t="shared" si="157"/>
        <v>80.655200000000008</v>
      </c>
      <c r="M3336">
        <v>4</v>
      </c>
      <c r="N3336" t="str">
        <f t="shared" si="158"/>
        <v>Regular</v>
      </c>
    </row>
    <row r="3337" spans="1:14" x14ac:dyDescent="0.35">
      <c r="A3337">
        <v>3336</v>
      </c>
      <c r="B3337">
        <v>35</v>
      </c>
      <c r="C3337" t="str">
        <f t="shared" si="156"/>
        <v>Adult</v>
      </c>
      <c r="D3337" t="s">
        <v>16</v>
      </c>
      <c r="E3337" t="s">
        <v>20</v>
      </c>
      <c r="F3337" t="s">
        <v>21</v>
      </c>
      <c r="G3337">
        <v>32.78</v>
      </c>
      <c r="H3337" t="s">
        <v>19</v>
      </c>
      <c r="I3337" t="s">
        <v>37</v>
      </c>
      <c r="J3337">
        <v>4.5</v>
      </c>
      <c r="K3337">
        <v>10</v>
      </c>
      <c r="L3337">
        <f t="shared" si="157"/>
        <v>29.502000000000002</v>
      </c>
      <c r="M3337">
        <v>5</v>
      </c>
      <c r="N3337" t="str">
        <f t="shared" si="158"/>
        <v>Regular</v>
      </c>
    </row>
    <row r="3338" spans="1:14" x14ac:dyDescent="0.35">
      <c r="A3338">
        <v>3337</v>
      </c>
      <c r="B3338">
        <v>26</v>
      </c>
      <c r="C3338" t="str">
        <f t="shared" si="156"/>
        <v>Youth</v>
      </c>
      <c r="D3338" t="s">
        <v>16</v>
      </c>
      <c r="E3338" t="s">
        <v>20</v>
      </c>
      <c r="F3338" t="s">
        <v>39</v>
      </c>
      <c r="G3338">
        <v>168</v>
      </c>
      <c r="H3338" t="s">
        <v>19</v>
      </c>
      <c r="I3338" t="s">
        <v>15</v>
      </c>
      <c r="J3338">
        <v>2.9</v>
      </c>
      <c r="K3338">
        <v>14</v>
      </c>
      <c r="L3338">
        <f t="shared" si="157"/>
        <v>144.47999999999999</v>
      </c>
      <c r="M3338">
        <v>7</v>
      </c>
      <c r="N3338" t="str">
        <f t="shared" si="158"/>
        <v>Regular</v>
      </c>
    </row>
    <row r="3339" spans="1:14" x14ac:dyDescent="0.35">
      <c r="A3339">
        <v>3338</v>
      </c>
      <c r="B3339">
        <v>63</v>
      </c>
      <c r="C3339" t="str">
        <f t="shared" si="156"/>
        <v>Senior</v>
      </c>
      <c r="D3339" t="s">
        <v>16</v>
      </c>
      <c r="E3339" t="s">
        <v>27</v>
      </c>
      <c r="F3339" t="s">
        <v>53</v>
      </c>
      <c r="G3339">
        <v>2939.08</v>
      </c>
      <c r="H3339" t="s">
        <v>31</v>
      </c>
      <c r="I3339" t="s">
        <v>15</v>
      </c>
      <c r="J3339">
        <v>3.3</v>
      </c>
      <c r="K3339">
        <v>18</v>
      </c>
      <c r="L3339">
        <f t="shared" si="157"/>
        <v>2410.0455999999999</v>
      </c>
      <c r="M3339">
        <v>4</v>
      </c>
      <c r="N3339" t="str">
        <f t="shared" si="158"/>
        <v>Regular</v>
      </c>
    </row>
    <row r="3340" spans="1:14" x14ac:dyDescent="0.35">
      <c r="A3340">
        <v>3339</v>
      </c>
      <c r="B3340">
        <v>59</v>
      </c>
      <c r="C3340" t="str">
        <f t="shared" si="156"/>
        <v>Adult</v>
      </c>
      <c r="D3340" t="s">
        <v>11</v>
      </c>
      <c r="E3340" t="s">
        <v>12</v>
      </c>
      <c r="F3340" t="s">
        <v>50</v>
      </c>
      <c r="G3340">
        <v>37.43</v>
      </c>
      <c r="H3340" t="s">
        <v>24</v>
      </c>
      <c r="I3340" t="s">
        <v>37</v>
      </c>
      <c r="J3340">
        <v>2.4</v>
      </c>
      <c r="K3340">
        <v>18</v>
      </c>
      <c r="L3340">
        <f t="shared" si="157"/>
        <v>30.692600000000002</v>
      </c>
      <c r="M3340">
        <v>4</v>
      </c>
      <c r="N3340" t="str">
        <f t="shared" si="158"/>
        <v>Regular</v>
      </c>
    </row>
    <row r="3341" spans="1:14" x14ac:dyDescent="0.35">
      <c r="A3341">
        <v>3340</v>
      </c>
      <c r="B3341">
        <v>57</v>
      </c>
      <c r="C3341" t="str">
        <f t="shared" si="156"/>
        <v>Adult</v>
      </c>
      <c r="D3341" t="s">
        <v>16</v>
      </c>
      <c r="E3341" t="s">
        <v>33</v>
      </c>
      <c r="F3341" t="s">
        <v>40</v>
      </c>
      <c r="G3341">
        <v>219.41</v>
      </c>
      <c r="H3341" t="s">
        <v>31</v>
      </c>
      <c r="I3341" t="s">
        <v>15</v>
      </c>
      <c r="J3341">
        <v>4.3</v>
      </c>
      <c r="K3341">
        <v>18</v>
      </c>
      <c r="L3341">
        <f t="shared" si="157"/>
        <v>179.9162</v>
      </c>
      <c r="M3341">
        <v>4</v>
      </c>
      <c r="N3341" t="str">
        <f t="shared" si="158"/>
        <v>Regular</v>
      </c>
    </row>
    <row r="3342" spans="1:14" x14ac:dyDescent="0.35">
      <c r="A3342">
        <v>3341</v>
      </c>
      <c r="B3342">
        <v>24</v>
      </c>
      <c r="C3342" t="str">
        <f t="shared" si="156"/>
        <v>Youth</v>
      </c>
      <c r="D3342" t="s">
        <v>11</v>
      </c>
      <c r="E3342" t="s">
        <v>33</v>
      </c>
      <c r="F3342" t="s">
        <v>38</v>
      </c>
      <c r="G3342">
        <v>79.680000000000007</v>
      </c>
      <c r="H3342" t="s">
        <v>19</v>
      </c>
      <c r="I3342" t="s">
        <v>15</v>
      </c>
      <c r="J3342">
        <v>3.6</v>
      </c>
      <c r="K3342">
        <v>10</v>
      </c>
      <c r="L3342">
        <f t="shared" si="157"/>
        <v>71.712000000000003</v>
      </c>
      <c r="M3342">
        <v>5</v>
      </c>
      <c r="N3342" t="str">
        <f t="shared" si="158"/>
        <v>Regular</v>
      </c>
    </row>
    <row r="3343" spans="1:14" x14ac:dyDescent="0.35">
      <c r="A3343">
        <v>3342</v>
      </c>
      <c r="B3343">
        <v>44</v>
      </c>
      <c r="C3343" t="str">
        <f t="shared" si="156"/>
        <v>Adult</v>
      </c>
      <c r="D3343" t="s">
        <v>11</v>
      </c>
      <c r="E3343" t="s">
        <v>29</v>
      </c>
      <c r="F3343" t="s">
        <v>30</v>
      </c>
      <c r="G3343">
        <v>83.41</v>
      </c>
      <c r="H3343" t="s">
        <v>19</v>
      </c>
      <c r="I3343" t="s">
        <v>37</v>
      </c>
      <c r="J3343">
        <v>3.2</v>
      </c>
      <c r="K3343">
        <v>14</v>
      </c>
      <c r="L3343">
        <f t="shared" si="157"/>
        <v>71.732599999999991</v>
      </c>
      <c r="M3343">
        <v>7</v>
      </c>
      <c r="N3343" t="str">
        <f t="shared" si="158"/>
        <v>Regular</v>
      </c>
    </row>
    <row r="3344" spans="1:14" x14ac:dyDescent="0.35">
      <c r="A3344">
        <v>3343</v>
      </c>
      <c r="B3344">
        <v>35</v>
      </c>
      <c r="C3344" t="str">
        <f t="shared" si="156"/>
        <v>Adult</v>
      </c>
      <c r="D3344" t="s">
        <v>16</v>
      </c>
      <c r="E3344" t="s">
        <v>25</v>
      </c>
      <c r="F3344" t="s">
        <v>57</v>
      </c>
      <c r="G3344">
        <v>19.63</v>
      </c>
      <c r="H3344" t="s">
        <v>31</v>
      </c>
      <c r="I3344" t="s">
        <v>15</v>
      </c>
      <c r="J3344">
        <v>4.8</v>
      </c>
      <c r="K3344">
        <v>12</v>
      </c>
      <c r="L3344">
        <f t="shared" si="157"/>
        <v>17.2744</v>
      </c>
      <c r="M3344">
        <v>6</v>
      </c>
      <c r="N3344" t="str">
        <f t="shared" si="158"/>
        <v>Regular</v>
      </c>
    </row>
    <row r="3345" spans="1:14" x14ac:dyDescent="0.35">
      <c r="A3345">
        <v>3344</v>
      </c>
      <c r="B3345">
        <v>55</v>
      </c>
      <c r="C3345" t="str">
        <f t="shared" si="156"/>
        <v>Adult</v>
      </c>
      <c r="D3345" t="s">
        <v>16</v>
      </c>
      <c r="E3345" t="s">
        <v>17</v>
      </c>
      <c r="F3345" t="s">
        <v>18</v>
      </c>
      <c r="G3345">
        <v>112.09</v>
      </c>
      <c r="H3345" t="s">
        <v>14</v>
      </c>
      <c r="I3345" t="s">
        <v>15</v>
      </c>
      <c r="J3345">
        <v>3.6</v>
      </c>
      <c r="K3345">
        <v>8</v>
      </c>
      <c r="L3345">
        <f t="shared" si="157"/>
        <v>103.12280000000001</v>
      </c>
      <c r="M3345">
        <v>4</v>
      </c>
      <c r="N3345" t="str">
        <f t="shared" si="158"/>
        <v>Regular</v>
      </c>
    </row>
    <row r="3346" spans="1:14" x14ac:dyDescent="0.35">
      <c r="A3346">
        <v>3345</v>
      </c>
      <c r="B3346">
        <v>31</v>
      </c>
      <c r="C3346" t="str">
        <f t="shared" si="156"/>
        <v>Adult</v>
      </c>
      <c r="D3346" t="s">
        <v>11</v>
      </c>
      <c r="E3346" t="s">
        <v>22</v>
      </c>
      <c r="F3346" t="s">
        <v>23</v>
      </c>
      <c r="G3346">
        <v>218.84</v>
      </c>
      <c r="H3346" t="s">
        <v>31</v>
      </c>
      <c r="I3346" t="s">
        <v>15</v>
      </c>
      <c r="J3346">
        <v>4.0999999999999996</v>
      </c>
      <c r="K3346">
        <v>20</v>
      </c>
      <c r="L3346">
        <f t="shared" si="157"/>
        <v>175.072</v>
      </c>
      <c r="M3346">
        <v>5</v>
      </c>
      <c r="N3346" t="str">
        <f t="shared" si="158"/>
        <v>Regular</v>
      </c>
    </row>
    <row r="3347" spans="1:14" x14ac:dyDescent="0.35">
      <c r="A3347">
        <v>3346</v>
      </c>
      <c r="B3347">
        <v>62</v>
      </c>
      <c r="C3347" t="str">
        <f t="shared" si="156"/>
        <v>Senior</v>
      </c>
      <c r="D3347" t="s">
        <v>11</v>
      </c>
      <c r="E3347" t="s">
        <v>29</v>
      </c>
      <c r="F3347" t="s">
        <v>30</v>
      </c>
      <c r="G3347">
        <v>136.35</v>
      </c>
      <c r="H3347" t="s">
        <v>24</v>
      </c>
      <c r="I3347" t="s">
        <v>15</v>
      </c>
      <c r="J3347">
        <v>2.7</v>
      </c>
      <c r="K3347">
        <v>12</v>
      </c>
      <c r="L3347">
        <f t="shared" si="157"/>
        <v>119.988</v>
      </c>
      <c r="M3347">
        <v>6</v>
      </c>
      <c r="N3347" t="str">
        <f t="shared" si="158"/>
        <v>Regular</v>
      </c>
    </row>
    <row r="3348" spans="1:14" x14ac:dyDescent="0.35">
      <c r="A3348">
        <v>3347</v>
      </c>
      <c r="B3348">
        <v>52</v>
      </c>
      <c r="C3348" t="str">
        <f t="shared" si="156"/>
        <v>Adult</v>
      </c>
      <c r="D3348" t="s">
        <v>11</v>
      </c>
      <c r="E3348" t="s">
        <v>20</v>
      </c>
      <c r="F3348" t="s">
        <v>39</v>
      </c>
      <c r="G3348">
        <v>210.16</v>
      </c>
      <c r="H3348" t="s">
        <v>14</v>
      </c>
      <c r="I3348" t="s">
        <v>15</v>
      </c>
      <c r="J3348">
        <v>3</v>
      </c>
      <c r="K3348">
        <v>10</v>
      </c>
      <c r="L3348">
        <f t="shared" si="157"/>
        <v>189.14400000000001</v>
      </c>
      <c r="M3348">
        <v>5</v>
      </c>
      <c r="N3348" t="str">
        <f t="shared" si="158"/>
        <v>Regular</v>
      </c>
    </row>
    <row r="3349" spans="1:14" x14ac:dyDescent="0.35">
      <c r="A3349">
        <v>3348</v>
      </c>
      <c r="B3349">
        <v>53</v>
      </c>
      <c r="C3349" t="str">
        <f t="shared" si="156"/>
        <v>Adult</v>
      </c>
      <c r="D3349" t="s">
        <v>16</v>
      </c>
      <c r="E3349" t="s">
        <v>17</v>
      </c>
      <c r="F3349" t="s">
        <v>18</v>
      </c>
      <c r="G3349">
        <v>90.13</v>
      </c>
      <c r="H3349" t="s">
        <v>19</v>
      </c>
      <c r="I3349" t="s">
        <v>15</v>
      </c>
      <c r="J3349">
        <v>3.5</v>
      </c>
      <c r="K3349">
        <v>18</v>
      </c>
      <c r="L3349">
        <f t="shared" si="157"/>
        <v>73.906599999999997</v>
      </c>
      <c r="M3349">
        <v>4</v>
      </c>
      <c r="N3349" t="str">
        <f t="shared" si="158"/>
        <v>Regular</v>
      </c>
    </row>
    <row r="3350" spans="1:14" x14ac:dyDescent="0.35">
      <c r="A3350">
        <v>3349</v>
      </c>
      <c r="B3350">
        <v>28</v>
      </c>
      <c r="C3350" t="str">
        <f t="shared" si="156"/>
        <v>Youth</v>
      </c>
      <c r="D3350" t="s">
        <v>11</v>
      </c>
      <c r="E3350" t="s">
        <v>29</v>
      </c>
      <c r="F3350" t="s">
        <v>55</v>
      </c>
      <c r="G3350">
        <v>132.16999999999999</v>
      </c>
      <c r="H3350" t="s">
        <v>14</v>
      </c>
      <c r="I3350" t="s">
        <v>15</v>
      </c>
      <c r="J3350">
        <v>2.7</v>
      </c>
      <c r="K3350">
        <v>19</v>
      </c>
      <c r="L3350">
        <f t="shared" si="157"/>
        <v>107.0577</v>
      </c>
      <c r="M3350">
        <v>7</v>
      </c>
      <c r="N3350" t="str">
        <f t="shared" si="158"/>
        <v>Regular</v>
      </c>
    </row>
    <row r="3351" spans="1:14" x14ac:dyDescent="0.35">
      <c r="A3351">
        <v>3350</v>
      </c>
      <c r="B3351">
        <v>20</v>
      </c>
      <c r="C3351" t="str">
        <f t="shared" si="156"/>
        <v>Youth</v>
      </c>
      <c r="D3351" t="s">
        <v>16</v>
      </c>
      <c r="E3351" t="s">
        <v>33</v>
      </c>
      <c r="F3351" t="s">
        <v>34</v>
      </c>
      <c r="G3351">
        <v>162.4</v>
      </c>
      <c r="H3351" t="s">
        <v>24</v>
      </c>
      <c r="I3351" t="s">
        <v>15</v>
      </c>
      <c r="J3351">
        <v>3.5</v>
      </c>
      <c r="K3351">
        <v>8</v>
      </c>
      <c r="L3351">
        <f t="shared" si="157"/>
        <v>149.40800000000002</v>
      </c>
      <c r="M3351">
        <v>4</v>
      </c>
      <c r="N3351" t="str">
        <f t="shared" si="158"/>
        <v>Regular</v>
      </c>
    </row>
    <row r="3352" spans="1:14" x14ac:dyDescent="0.35">
      <c r="A3352">
        <v>3351</v>
      </c>
      <c r="B3352">
        <v>47</v>
      </c>
      <c r="C3352" t="str">
        <f t="shared" si="156"/>
        <v>Adult</v>
      </c>
      <c r="D3352" t="s">
        <v>11</v>
      </c>
      <c r="E3352" t="s">
        <v>22</v>
      </c>
      <c r="F3352" t="s">
        <v>43</v>
      </c>
      <c r="G3352">
        <v>242.74</v>
      </c>
      <c r="H3352" t="s">
        <v>14</v>
      </c>
      <c r="I3352" t="s">
        <v>15</v>
      </c>
      <c r="J3352">
        <v>2.8</v>
      </c>
      <c r="K3352">
        <v>11</v>
      </c>
      <c r="L3352">
        <f t="shared" si="157"/>
        <v>216.0386</v>
      </c>
      <c r="M3352">
        <v>3</v>
      </c>
      <c r="N3352" t="str">
        <f t="shared" si="158"/>
        <v>New</v>
      </c>
    </row>
    <row r="3353" spans="1:14" x14ac:dyDescent="0.35">
      <c r="A3353">
        <v>3352</v>
      </c>
      <c r="B3353">
        <v>40</v>
      </c>
      <c r="C3353" t="str">
        <f t="shared" si="156"/>
        <v>Adult</v>
      </c>
      <c r="D3353" t="s">
        <v>16</v>
      </c>
      <c r="E3353" t="s">
        <v>17</v>
      </c>
      <c r="F3353" t="s">
        <v>35</v>
      </c>
      <c r="G3353">
        <v>113.99</v>
      </c>
      <c r="H3353" t="s">
        <v>19</v>
      </c>
      <c r="I3353" t="s">
        <v>15</v>
      </c>
      <c r="J3353">
        <v>3.2</v>
      </c>
      <c r="K3353">
        <v>6</v>
      </c>
      <c r="L3353">
        <f t="shared" si="157"/>
        <v>107.15059999999998</v>
      </c>
      <c r="M3353">
        <v>3</v>
      </c>
      <c r="N3353" t="str">
        <f t="shared" si="158"/>
        <v>New</v>
      </c>
    </row>
    <row r="3354" spans="1:14" x14ac:dyDescent="0.35">
      <c r="A3354">
        <v>3353</v>
      </c>
      <c r="B3354">
        <v>24</v>
      </c>
      <c r="C3354" t="str">
        <f t="shared" si="156"/>
        <v>Youth</v>
      </c>
      <c r="D3354" t="s">
        <v>11</v>
      </c>
      <c r="E3354" t="s">
        <v>12</v>
      </c>
      <c r="F3354" t="s">
        <v>50</v>
      </c>
      <c r="G3354">
        <v>45.95</v>
      </c>
      <c r="H3354" t="s">
        <v>31</v>
      </c>
      <c r="I3354" t="s">
        <v>37</v>
      </c>
      <c r="J3354">
        <v>3.9</v>
      </c>
      <c r="K3354">
        <v>12</v>
      </c>
      <c r="L3354">
        <f t="shared" si="157"/>
        <v>40.436</v>
      </c>
      <c r="M3354">
        <v>1</v>
      </c>
      <c r="N3354" t="str">
        <f t="shared" si="158"/>
        <v>New</v>
      </c>
    </row>
    <row r="3355" spans="1:14" x14ac:dyDescent="0.35">
      <c r="A3355">
        <v>3354</v>
      </c>
      <c r="B3355">
        <v>24</v>
      </c>
      <c r="C3355" t="str">
        <f t="shared" si="156"/>
        <v>Youth</v>
      </c>
      <c r="D3355" t="s">
        <v>11</v>
      </c>
      <c r="E3355" t="s">
        <v>12</v>
      </c>
      <c r="F3355" t="s">
        <v>13</v>
      </c>
      <c r="G3355">
        <v>144.09</v>
      </c>
      <c r="H3355" t="s">
        <v>19</v>
      </c>
      <c r="I3355" t="s">
        <v>15</v>
      </c>
      <c r="J3355">
        <v>5</v>
      </c>
      <c r="K3355">
        <v>28</v>
      </c>
      <c r="L3355">
        <f t="shared" si="157"/>
        <v>103.7448</v>
      </c>
      <c r="M3355">
        <v>9</v>
      </c>
      <c r="N3355" t="str">
        <f t="shared" si="158"/>
        <v>Loyal</v>
      </c>
    </row>
    <row r="3356" spans="1:14" x14ac:dyDescent="0.35">
      <c r="A3356">
        <v>3355</v>
      </c>
      <c r="B3356">
        <v>59</v>
      </c>
      <c r="C3356" t="str">
        <f t="shared" si="156"/>
        <v>Adult</v>
      </c>
      <c r="D3356" t="s">
        <v>16</v>
      </c>
      <c r="E3356" t="s">
        <v>22</v>
      </c>
      <c r="F3356" t="s">
        <v>23</v>
      </c>
      <c r="G3356">
        <v>79.319999999999993</v>
      </c>
      <c r="H3356" t="s">
        <v>24</v>
      </c>
      <c r="I3356" t="s">
        <v>37</v>
      </c>
      <c r="J3356">
        <v>4.4000000000000004</v>
      </c>
      <c r="K3356">
        <v>22</v>
      </c>
      <c r="L3356">
        <f t="shared" si="157"/>
        <v>61.869599999999998</v>
      </c>
      <c r="M3356">
        <v>6</v>
      </c>
      <c r="N3356" t="str">
        <f t="shared" si="158"/>
        <v>Regular</v>
      </c>
    </row>
    <row r="3357" spans="1:14" x14ac:dyDescent="0.35">
      <c r="A3357">
        <v>3356</v>
      </c>
      <c r="B3357">
        <v>47</v>
      </c>
      <c r="C3357" t="str">
        <f t="shared" si="156"/>
        <v>Adult</v>
      </c>
      <c r="D3357" t="s">
        <v>11</v>
      </c>
      <c r="E3357" t="s">
        <v>12</v>
      </c>
      <c r="F3357" t="s">
        <v>56</v>
      </c>
      <c r="G3357">
        <v>39.79</v>
      </c>
      <c r="H3357" t="s">
        <v>31</v>
      </c>
      <c r="I3357" t="s">
        <v>15</v>
      </c>
      <c r="J3357">
        <v>3.3</v>
      </c>
      <c r="K3357">
        <v>11</v>
      </c>
      <c r="L3357">
        <f t="shared" si="157"/>
        <v>35.4131</v>
      </c>
      <c r="M3357">
        <v>3</v>
      </c>
      <c r="N3357" t="str">
        <f t="shared" si="158"/>
        <v>New</v>
      </c>
    </row>
    <row r="3358" spans="1:14" x14ac:dyDescent="0.35">
      <c r="A3358">
        <v>3357</v>
      </c>
      <c r="B3358">
        <v>68</v>
      </c>
      <c r="C3358" t="str">
        <f t="shared" si="156"/>
        <v>Senior</v>
      </c>
      <c r="D3358" t="s">
        <v>16</v>
      </c>
      <c r="E3358" t="s">
        <v>33</v>
      </c>
      <c r="F3358" t="s">
        <v>34</v>
      </c>
      <c r="G3358">
        <v>205.44</v>
      </c>
      <c r="H3358" t="s">
        <v>19</v>
      </c>
      <c r="I3358" t="s">
        <v>15</v>
      </c>
      <c r="J3358">
        <v>2</v>
      </c>
      <c r="K3358">
        <v>18</v>
      </c>
      <c r="L3358">
        <f t="shared" si="157"/>
        <v>168.46080000000001</v>
      </c>
      <c r="M3358">
        <v>4</v>
      </c>
      <c r="N3358" t="str">
        <f t="shared" si="158"/>
        <v>Regular</v>
      </c>
    </row>
    <row r="3359" spans="1:14" x14ac:dyDescent="0.35">
      <c r="A3359">
        <v>3358</v>
      </c>
      <c r="B3359">
        <v>56</v>
      </c>
      <c r="C3359" t="str">
        <f t="shared" si="156"/>
        <v>Adult</v>
      </c>
      <c r="D3359" t="s">
        <v>16</v>
      </c>
      <c r="E3359" t="s">
        <v>20</v>
      </c>
      <c r="F3359" t="s">
        <v>36</v>
      </c>
      <c r="G3359">
        <v>53.45</v>
      </c>
      <c r="H3359" t="s">
        <v>31</v>
      </c>
      <c r="I3359" t="s">
        <v>37</v>
      </c>
      <c r="J3359">
        <v>4.5999999999999996</v>
      </c>
      <c r="K3359">
        <v>10</v>
      </c>
      <c r="L3359">
        <f t="shared" si="157"/>
        <v>48.105000000000004</v>
      </c>
      <c r="M3359">
        <v>0</v>
      </c>
      <c r="N3359" t="str">
        <f t="shared" si="158"/>
        <v>New</v>
      </c>
    </row>
    <row r="3360" spans="1:14" x14ac:dyDescent="0.35">
      <c r="A3360">
        <v>3359</v>
      </c>
      <c r="B3360">
        <v>34</v>
      </c>
      <c r="C3360" t="str">
        <f t="shared" si="156"/>
        <v>Adult</v>
      </c>
      <c r="D3360" t="s">
        <v>16</v>
      </c>
      <c r="E3360" t="s">
        <v>20</v>
      </c>
      <c r="F3360" t="s">
        <v>39</v>
      </c>
      <c r="G3360">
        <v>110.27</v>
      </c>
      <c r="H3360" t="s">
        <v>24</v>
      </c>
      <c r="I3360" t="s">
        <v>15</v>
      </c>
      <c r="J3360">
        <v>3.3</v>
      </c>
      <c r="K3360">
        <v>16</v>
      </c>
      <c r="L3360">
        <f t="shared" si="157"/>
        <v>92.626799999999989</v>
      </c>
      <c r="M3360">
        <v>8</v>
      </c>
      <c r="N3360" t="str">
        <f t="shared" si="158"/>
        <v>Loyal</v>
      </c>
    </row>
    <row r="3361" spans="1:14" x14ac:dyDescent="0.35">
      <c r="A3361">
        <v>3360</v>
      </c>
      <c r="B3361">
        <v>31</v>
      </c>
      <c r="C3361" t="str">
        <f t="shared" si="156"/>
        <v>Adult</v>
      </c>
      <c r="D3361" t="s">
        <v>16</v>
      </c>
      <c r="E3361" t="s">
        <v>33</v>
      </c>
      <c r="F3361" t="s">
        <v>40</v>
      </c>
      <c r="G3361">
        <v>234.04</v>
      </c>
      <c r="H3361" t="s">
        <v>14</v>
      </c>
      <c r="I3361" t="s">
        <v>15</v>
      </c>
      <c r="J3361">
        <v>4.5999999999999996</v>
      </c>
      <c r="K3361">
        <v>14</v>
      </c>
      <c r="L3361">
        <f t="shared" si="157"/>
        <v>201.27439999999999</v>
      </c>
      <c r="M3361">
        <v>7</v>
      </c>
      <c r="N3361" t="str">
        <f t="shared" si="158"/>
        <v>Regular</v>
      </c>
    </row>
    <row r="3362" spans="1:14" x14ac:dyDescent="0.35">
      <c r="A3362">
        <v>3361</v>
      </c>
      <c r="B3362">
        <v>22</v>
      </c>
      <c r="C3362" t="str">
        <f t="shared" si="156"/>
        <v>Youth</v>
      </c>
      <c r="D3362" t="s">
        <v>11</v>
      </c>
      <c r="E3362" t="s">
        <v>12</v>
      </c>
      <c r="F3362" t="s">
        <v>56</v>
      </c>
      <c r="G3362">
        <v>116.71</v>
      </c>
      <c r="H3362" t="s">
        <v>24</v>
      </c>
      <c r="I3362" t="s">
        <v>15</v>
      </c>
      <c r="J3362">
        <v>3.8</v>
      </c>
      <c r="K3362">
        <v>10</v>
      </c>
      <c r="L3362">
        <f t="shared" si="157"/>
        <v>105.039</v>
      </c>
      <c r="M3362">
        <v>5</v>
      </c>
      <c r="N3362" t="str">
        <f t="shared" si="158"/>
        <v>Regular</v>
      </c>
    </row>
    <row r="3363" spans="1:14" x14ac:dyDescent="0.35">
      <c r="A3363">
        <v>3362</v>
      </c>
      <c r="B3363">
        <v>59</v>
      </c>
      <c r="C3363" t="str">
        <f t="shared" si="156"/>
        <v>Adult</v>
      </c>
      <c r="D3363" t="s">
        <v>16</v>
      </c>
      <c r="E3363" t="s">
        <v>17</v>
      </c>
      <c r="F3363" t="s">
        <v>35</v>
      </c>
      <c r="G3363">
        <v>176.93</v>
      </c>
      <c r="H3363" t="s">
        <v>24</v>
      </c>
      <c r="I3363" t="s">
        <v>15</v>
      </c>
      <c r="J3363">
        <v>5</v>
      </c>
      <c r="K3363">
        <v>28</v>
      </c>
      <c r="L3363">
        <f t="shared" si="157"/>
        <v>127.3896</v>
      </c>
      <c r="M3363">
        <v>9</v>
      </c>
      <c r="N3363" t="str">
        <f t="shared" si="158"/>
        <v>Loyal</v>
      </c>
    </row>
    <row r="3364" spans="1:14" x14ac:dyDescent="0.35">
      <c r="A3364">
        <v>3363</v>
      </c>
      <c r="B3364">
        <v>20</v>
      </c>
      <c r="C3364" t="str">
        <f t="shared" si="156"/>
        <v>Youth</v>
      </c>
      <c r="D3364" t="s">
        <v>16</v>
      </c>
      <c r="E3364" t="s">
        <v>33</v>
      </c>
      <c r="F3364" t="s">
        <v>40</v>
      </c>
      <c r="G3364">
        <v>51.56</v>
      </c>
      <c r="H3364" t="s">
        <v>19</v>
      </c>
      <c r="I3364" t="s">
        <v>15</v>
      </c>
      <c r="J3364">
        <v>3.5</v>
      </c>
      <c r="K3364">
        <v>20</v>
      </c>
      <c r="L3364">
        <f t="shared" si="157"/>
        <v>41.248000000000005</v>
      </c>
      <c r="M3364">
        <v>5</v>
      </c>
      <c r="N3364" t="str">
        <f t="shared" si="158"/>
        <v>Regular</v>
      </c>
    </row>
    <row r="3365" spans="1:14" x14ac:dyDescent="0.35">
      <c r="A3365">
        <v>3364</v>
      </c>
      <c r="B3365">
        <v>51</v>
      </c>
      <c r="C3365" t="str">
        <f t="shared" si="156"/>
        <v>Adult</v>
      </c>
      <c r="D3365" t="s">
        <v>11</v>
      </c>
      <c r="E3365" t="s">
        <v>29</v>
      </c>
      <c r="F3365" t="s">
        <v>55</v>
      </c>
      <c r="G3365">
        <v>94.53</v>
      </c>
      <c r="H3365" t="s">
        <v>24</v>
      </c>
      <c r="I3365" t="s">
        <v>37</v>
      </c>
      <c r="J3365">
        <v>3.7</v>
      </c>
      <c r="K3365">
        <v>18</v>
      </c>
      <c r="L3365">
        <f t="shared" si="157"/>
        <v>77.514600000000002</v>
      </c>
      <c r="M3365">
        <v>4</v>
      </c>
      <c r="N3365" t="str">
        <f t="shared" si="158"/>
        <v>Regular</v>
      </c>
    </row>
    <row r="3366" spans="1:14" x14ac:dyDescent="0.35">
      <c r="A3366">
        <v>3365</v>
      </c>
      <c r="B3366">
        <v>22</v>
      </c>
      <c r="C3366" t="str">
        <f t="shared" si="156"/>
        <v>Youth</v>
      </c>
      <c r="D3366" t="s">
        <v>11</v>
      </c>
      <c r="E3366" t="s">
        <v>20</v>
      </c>
      <c r="F3366" t="s">
        <v>21</v>
      </c>
      <c r="G3366">
        <v>52.91</v>
      </c>
      <c r="H3366" t="s">
        <v>14</v>
      </c>
      <c r="I3366" t="s">
        <v>37</v>
      </c>
      <c r="J3366">
        <v>4.3</v>
      </c>
      <c r="K3366">
        <v>26</v>
      </c>
      <c r="L3366">
        <f t="shared" si="157"/>
        <v>39.153399999999998</v>
      </c>
      <c r="M3366">
        <v>8</v>
      </c>
      <c r="N3366" t="str">
        <f t="shared" si="158"/>
        <v>Loyal</v>
      </c>
    </row>
    <row r="3367" spans="1:14" x14ac:dyDescent="0.35">
      <c r="A3367">
        <v>3366</v>
      </c>
      <c r="B3367">
        <v>26</v>
      </c>
      <c r="C3367" t="str">
        <f t="shared" si="156"/>
        <v>Youth</v>
      </c>
      <c r="D3367" t="s">
        <v>11</v>
      </c>
      <c r="E3367" t="s">
        <v>33</v>
      </c>
      <c r="F3367" t="s">
        <v>38</v>
      </c>
      <c r="G3367">
        <v>118.99</v>
      </c>
      <c r="H3367" t="s">
        <v>19</v>
      </c>
      <c r="I3367" t="s">
        <v>15</v>
      </c>
      <c r="J3367">
        <v>4.0999999999999996</v>
      </c>
      <c r="K3367">
        <v>13</v>
      </c>
      <c r="L3367">
        <f t="shared" si="157"/>
        <v>103.5213</v>
      </c>
      <c r="M3367">
        <v>4</v>
      </c>
      <c r="N3367" t="str">
        <f t="shared" si="158"/>
        <v>Regular</v>
      </c>
    </row>
    <row r="3368" spans="1:14" x14ac:dyDescent="0.35">
      <c r="A3368">
        <v>3367</v>
      </c>
      <c r="B3368">
        <v>36</v>
      </c>
      <c r="C3368" t="str">
        <f t="shared" si="156"/>
        <v>Adult</v>
      </c>
      <c r="D3368" t="s">
        <v>11</v>
      </c>
      <c r="E3368" t="s">
        <v>12</v>
      </c>
      <c r="F3368" t="s">
        <v>13</v>
      </c>
      <c r="G3368">
        <v>142.22</v>
      </c>
      <c r="H3368" t="s">
        <v>31</v>
      </c>
      <c r="I3368" t="s">
        <v>15</v>
      </c>
      <c r="J3368">
        <v>3.1</v>
      </c>
      <c r="K3368">
        <v>20</v>
      </c>
      <c r="L3368">
        <f t="shared" si="157"/>
        <v>113.77600000000001</v>
      </c>
      <c r="M3368">
        <v>5</v>
      </c>
      <c r="N3368" t="str">
        <f t="shared" si="158"/>
        <v>Regular</v>
      </c>
    </row>
    <row r="3369" spans="1:14" x14ac:dyDescent="0.35">
      <c r="A3369">
        <v>3368</v>
      </c>
      <c r="B3369">
        <v>38</v>
      </c>
      <c r="C3369" t="str">
        <f t="shared" si="156"/>
        <v>Adult</v>
      </c>
      <c r="D3369" t="s">
        <v>11</v>
      </c>
      <c r="E3369" t="s">
        <v>22</v>
      </c>
      <c r="F3369" t="s">
        <v>43</v>
      </c>
      <c r="G3369">
        <v>279.22000000000003</v>
      </c>
      <c r="H3369" t="s">
        <v>31</v>
      </c>
      <c r="I3369" t="s">
        <v>15</v>
      </c>
      <c r="J3369">
        <v>4.3</v>
      </c>
      <c r="K3369">
        <v>5</v>
      </c>
      <c r="L3369">
        <f t="shared" si="157"/>
        <v>265.25900000000001</v>
      </c>
      <c r="M3369">
        <v>0</v>
      </c>
      <c r="N3369" t="str">
        <f t="shared" si="158"/>
        <v>New</v>
      </c>
    </row>
    <row r="3370" spans="1:14" x14ac:dyDescent="0.35">
      <c r="A3370">
        <v>3369</v>
      </c>
      <c r="B3370">
        <v>22</v>
      </c>
      <c r="C3370" t="str">
        <f t="shared" si="156"/>
        <v>Youth</v>
      </c>
      <c r="D3370" t="s">
        <v>11</v>
      </c>
      <c r="E3370" t="s">
        <v>29</v>
      </c>
      <c r="F3370" t="s">
        <v>51</v>
      </c>
      <c r="G3370">
        <v>69.319999999999993</v>
      </c>
      <c r="H3370" t="s">
        <v>14</v>
      </c>
      <c r="I3370" t="s">
        <v>37</v>
      </c>
      <c r="J3370">
        <v>3.2</v>
      </c>
      <c r="K3370">
        <v>16</v>
      </c>
      <c r="L3370">
        <f t="shared" si="157"/>
        <v>58.228799999999993</v>
      </c>
      <c r="M3370">
        <v>3</v>
      </c>
      <c r="N3370" t="str">
        <f t="shared" si="158"/>
        <v>New</v>
      </c>
    </row>
    <row r="3371" spans="1:14" x14ac:dyDescent="0.35">
      <c r="A3371">
        <v>3370</v>
      </c>
      <c r="B3371">
        <v>48</v>
      </c>
      <c r="C3371" t="str">
        <f t="shared" si="156"/>
        <v>Adult</v>
      </c>
      <c r="D3371" t="s">
        <v>16</v>
      </c>
      <c r="E3371" t="s">
        <v>20</v>
      </c>
      <c r="F3371" t="s">
        <v>36</v>
      </c>
      <c r="G3371">
        <v>185.35</v>
      </c>
      <c r="H3371" t="s">
        <v>19</v>
      </c>
      <c r="I3371" t="s">
        <v>15</v>
      </c>
      <c r="J3371">
        <v>1.7</v>
      </c>
      <c r="K3371">
        <v>16</v>
      </c>
      <c r="L3371">
        <f t="shared" si="157"/>
        <v>155.69399999999999</v>
      </c>
      <c r="M3371">
        <v>3</v>
      </c>
      <c r="N3371" t="str">
        <f t="shared" si="158"/>
        <v>New</v>
      </c>
    </row>
    <row r="3372" spans="1:14" x14ac:dyDescent="0.35">
      <c r="A3372">
        <v>3371</v>
      </c>
      <c r="B3372">
        <v>42</v>
      </c>
      <c r="C3372" t="str">
        <f t="shared" si="156"/>
        <v>Adult</v>
      </c>
      <c r="D3372" t="s">
        <v>11</v>
      </c>
      <c r="E3372" t="s">
        <v>20</v>
      </c>
      <c r="F3372" t="s">
        <v>39</v>
      </c>
      <c r="G3372">
        <v>93.72</v>
      </c>
      <c r="H3372" t="s">
        <v>24</v>
      </c>
      <c r="I3372" t="s">
        <v>15</v>
      </c>
      <c r="J3372">
        <v>4.0999999999999996</v>
      </c>
      <c r="K3372">
        <v>18</v>
      </c>
      <c r="L3372">
        <f t="shared" si="157"/>
        <v>76.850400000000008</v>
      </c>
      <c r="M3372">
        <v>4</v>
      </c>
      <c r="N3372" t="str">
        <f t="shared" si="158"/>
        <v>Regular</v>
      </c>
    </row>
    <row r="3373" spans="1:14" x14ac:dyDescent="0.35">
      <c r="A3373">
        <v>3372</v>
      </c>
      <c r="B3373">
        <v>24</v>
      </c>
      <c r="C3373" t="str">
        <f t="shared" si="156"/>
        <v>Youth</v>
      </c>
      <c r="D3373" t="s">
        <v>16</v>
      </c>
      <c r="E3373" t="s">
        <v>17</v>
      </c>
      <c r="F3373" t="s">
        <v>18</v>
      </c>
      <c r="G3373">
        <v>158.33000000000001</v>
      </c>
      <c r="H3373" t="s">
        <v>19</v>
      </c>
      <c r="I3373" t="s">
        <v>15</v>
      </c>
      <c r="J3373">
        <v>3.2</v>
      </c>
      <c r="K3373">
        <v>15</v>
      </c>
      <c r="L3373">
        <f t="shared" si="157"/>
        <v>134.5805</v>
      </c>
      <c r="M3373">
        <v>5</v>
      </c>
      <c r="N3373" t="str">
        <f t="shared" si="158"/>
        <v>Regular</v>
      </c>
    </row>
    <row r="3374" spans="1:14" x14ac:dyDescent="0.35">
      <c r="A3374">
        <v>3373</v>
      </c>
      <c r="B3374">
        <v>24</v>
      </c>
      <c r="C3374" t="str">
        <f t="shared" si="156"/>
        <v>Youth</v>
      </c>
      <c r="D3374" t="s">
        <v>16</v>
      </c>
      <c r="E3374" t="s">
        <v>33</v>
      </c>
      <c r="F3374" t="s">
        <v>38</v>
      </c>
      <c r="G3374">
        <v>73.819999999999993</v>
      </c>
      <c r="H3374" t="s">
        <v>14</v>
      </c>
      <c r="I3374" t="s">
        <v>37</v>
      </c>
      <c r="J3374">
        <v>3.7</v>
      </c>
      <c r="K3374">
        <v>22</v>
      </c>
      <c r="L3374">
        <f t="shared" si="157"/>
        <v>57.579599999999999</v>
      </c>
      <c r="M3374">
        <v>6</v>
      </c>
      <c r="N3374" t="str">
        <f t="shared" si="158"/>
        <v>Regular</v>
      </c>
    </row>
    <row r="3375" spans="1:14" x14ac:dyDescent="0.35">
      <c r="A3375">
        <v>3374</v>
      </c>
      <c r="B3375">
        <v>63</v>
      </c>
      <c r="C3375" t="str">
        <f t="shared" si="156"/>
        <v>Senior</v>
      </c>
      <c r="D3375" t="s">
        <v>16</v>
      </c>
      <c r="E3375" t="s">
        <v>25</v>
      </c>
      <c r="F3375" t="s">
        <v>47</v>
      </c>
      <c r="G3375">
        <v>13.69</v>
      </c>
      <c r="H3375" t="s">
        <v>19</v>
      </c>
      <c r="I3375" t="s">
        <v>15</v>
      </c>
      <c r="J3375">
        <v>3.7</v>
      </c>
      <c r="K3375">
        <v>16</v>
      </c>
      <c r="L3375">
        <f t="shared" si="157"/>
        <v>11.499599999999999</v>
      </c>
      <c r="M3375">
        <v>8</v>
      </c>
      <c r="N3375" t="str">
        <f t="shared" si="158"/>
        <v>Loyal</v>
      </c>
    </row>
    <row r="3376" spans="1:14" x14ac:dyDescent="0.35">
      <c r="A3376">
        <v>3375</v>
      </c>
      <c r="B3376">
        <v>34</v>
      </c>
      <c r="C3376" t="str">
        <f t="shared" si="156"/>
        <v>Adult</v>
      </c>
      <c r="D3376" t="s">
        <v>16</v>
      </c>
      <c r="E3376" t="s">
        <v>17</v>
      </c>
      <c r="F3376" t="s">
        <v>48</v>
      </c>
      <c r="G3376">
        <v>59.1</v>
      </c>
      <c r="H3376" t="s">
        <v>14</v>
      </c>
      <c r="I3376" t="s">
        <v>15</v>
      </c>
      <c r="J3376">
        <v>3.6</v>
      </c>
      <c r="K3376">
        <v>22</v>
      </c>
      <c r="L3376">
        <f t="shared" si="157"/>
        <v>46.098000000000006</v>
      </c>
      <c r="M3376">
        <v>6</v>
      </c>
      <c r="N3376" t="str">
        <f t="shared" si="158"/>
        <v>Regular</v>
      </c>
    </row>
    <row r="3377" spans="1:14" x14ac:dyDescent="0.35">
      <c r="A3377">
        <v>3376</v>
      </c>
      <c r="B3377">
        <v>57</v>
      </c>
      <c r="C3377" t="str">
        <f t="shared" si="156"/>
        <v>Adult</v>
      </c>
      <c r="D3377" t="s">
        <v>11</v>
      </c>
      <c r="E3377" t="s">
        <v>22</v>
      </c>
      <c r="F3377" t="s">
        <v>43</v>
      </c>
      <c r="G3377">
        <v>148.53</v>
      </c>
      <c r="H3377" t="s">
        <v>24</v>
      </c>
      <c r="I3377" t="s">
        <v>15</v>
      </c>
      <c r="J3377">
        <v>3.8</v>
      </c>
      <c r="K3377">
        <v>16</v>
      </c>
      <c r="L3377">
        <f t="shared" si="157"/>
        <v>124.76519999999999</v>
      </c>
      <c r="M3377">
        <v>3</v>
      </c>
      <c r="N3377" t="str">
        <f t="shared" si="158"/>
        <v>New</v>
      </c>
    </row>
    <row r="3378" spans="1:14" x14ac:dyDescent="0.35">
      <c r="A3378">
        <v>3377</v>
      </c>
      <c r="B3378">
        <v>62</v>
      </c>
      <c r="C3378" t="str">
        <f t="shared" si="156"/>
        <v>Senior</v>
      </c>
      <c r="D3378" t="s">
        <v>16</v>
      </c>
      <c r="E3378" t="s">
        <v>33</v>
      </c>
      <c r="F3378" t="s">
        <v>34</v>
      </c>
      <c r="G3378">
        <v>171</v>
      </c>
      <c r="H3378" t="s">
        <v>24</v>
      </c>
      <c r="I3378" t="s">
        <v>15</v>
      </c>
      <c r="J3378">
        <v>4</v>
      </c>
      <c r="K3378">
        <v>18</v>
      </c>
      <c r="L3378">
        <f t="shared" si="157"/>
        <v>140.22</v>
      </c>
      <c r="M3378">
        <v>4</v>
      </c>
      <c r="N3378" t="str">
        <f t="shared" si="158"/>
        <v>Regular</v>
      </c>
    </row>
    <row r="3379" spans="1:14" x14ac:dyDescent="0.35">
      <c r="A3379">
        <v>3378</v>
      </c>
      <c r="B3379">
        <v>49</v>
      </c>
      <c r="C3379" t="str">
        <f t="shared" si="156"/>
        <v>Adult</v>
      </c>
      <c r="D3379" t="s">
        <v>16</v>
      </c>
      <c r="E3379" t="s">
        <v>25</v>
      </c>
      <c r="F3379" t="s">
        <v>57</v>
      </c>
      <c r="G3379">
        <v>56.43</v>
      </c>
      <c r="H3379" t="s">
        <v>24</v>
      </c>
      <c r="I3379" t="s">
        <v>37</v>
      </c>
      <c r="J3379">
        <v>3.2</v>
      </c>
      <c r="K3379">
        <v>16</v>
      </c>
      <c r="L3379">
        <f t="shared" si="157"/>
        <v>47.401199999999996</v>
      </c>
      <c r="M3379">
        <v>3</v>
      </c>
      <c r="N3379" t="str">
        <f t="shared" si="158"/>
        <v>New</v>
      </c>
    </row>
    <row r="3380" spans="1:14" x14ac:dyDescent="0.35">
      <c r="A3380">
        <v>3379</v>
      </c>
      <c r="B3380">
        <v>41</v>
      </c>
      <c r="C3380" t="str">
        <f t="shared" si="156"/>
        <v>Adult</v>
      </c>
      <c r="D3380" t="s">
        <v>11</v>
      </c>
      <c r="E3380" t="s">
        <v>29</v>
      </c>
      <c r="F3380" t="s">
        <v>51</v>
      </c>
      <c r="G3380">
        <v>85.3</v>
      </c>
      <c r="H3380" t="s">
        <v>19</v>
      </c>
      <c r="I3380" t="s">
        <v>15</v>
      </c>
      <c r="J3380">
        <v>5</v>
      </c>
      <c r="K3380">
        <v>10</v>
      </c>
      <c r="L3380">
        <f t="shared" si="157"/>
        <v>76.77</v>
      </c>
      <c r="M3380">
        <v>5</v>
      </c>
      <c r="N3380" t="str">
        <f t="shared" si="158"/>
        <v>Regular</v>
      </c>
    </row>
    <row r="3381" spans="1:14" x14ac:dyDescent="0.35">
      <c r="A3381">
        <v>3380</v>
      </c>
      <c r="B3381">
        <v>47</v>
      </c>
      <c r="C3381" t="str">
        <f t="shared" si="156"/>
        <v>Adult</v>
      </c>
      <c r="D3381" t="s">
        <v>11</v>
      </c>
      <c r="E3381" t="s">
        <v>29</v>
      </c>
      <c r="F3381" t="s">
        <v>55</v>
      </c>
      <c r="G3381">
        <v>122.41</v>
      </c>
      <c r="H3381" t="s">
        <v>14</v>
      </c>
      <c r="I3381" t="s">
        <v>15</v>
      </c>
      <c r="J3381">
        <v>4.2</v>
      </c>
      <c r="K3381">
        <v>18</v>
      </c>
      <c r="L3381">
        <f t="shared" si="157"/>
        <v>100.37620000000001</v>
      </c>
      <c r="M3381">
        <v>4</v>
      </c>
      <c r="N3381" t="str">
        <f t="shared" si="158"/>
        <v>Regular</v>
      </c>
    </row>
    <row r="3382" spans="1:14" x14ac:dyDescent="0.35">
      <c r="A3382">
        <v>3381</v>
      </c>
      <c r="B3382">
        <v>49</v>
      </c>
      <c r="C3382" t="str">
        <f t="shared" si="156"/>
        <v>Adult</v>
      </c>
      <c r="D3382" t="s">
        <v>11</v>
      </c>
      <c r="E3382" t="s">
        <v>33</v>
      </c>
      <c r="F3382" t="s">
        <v>40</v>
      </c>
      <c r="G3382">
        <v>99.87</v>
      </c>
      <c r="H3382" t="s">
        <v>14</v>
      </c>
      <c r="I3382" t="s">
        <v>15</v>
      </c>
      <c r="J3382">
        <v>3.6</v>
      </c>
      <c r="K3382">
        <v>19</v>
      </c>
      <c r="L3382">
        <f t="shared" si="157"/>
        <v>80.894700000000014</v>
      </c>
      <c r="M3382">
        <v>7</v>
      </c>
      <c r="N3382" t="str">
        <f t="shared" si="158"/>
        <v>Regular</v>
      </c>
    </row>
    <row r="3383" spans="1:14" x14ac:dyDescent="0.35">
      <c r="A3383">
        <v>3382</v>
      </c>
      <c r="B3383">
        <v>41</v>
      </c>
      <c r="C3383" t="str">
        <f t="shared" si="156"/>
        <v>Adult</v>
      </c>
      <c r="D3383" t="s">
        <v>11</v>
      </c>
      <c r="E3383" t="s">
        <v>33</v>
      </c>
      <c r="F3383" t="s">
        <v>34</v>
      </c>
      <c r="G3383">
        <v>214.67</v>
      </c>
      <c r="H3383" t="s">
        <v>14</v>
      </c>
      <c r="I3383" t="s">
        <v>15</v>
      </c>
      <c r="J3383">
        <v>3.7</v>
      </c>
      <c r="K3383">
        <v>16</v>
      </c>
      <c r="L3383">
        <f t="shared" si="157"/>
        <v>180.32279999999997</v>
      </c>
      <c r="M3383">
        <v>8</v>
      </c>
      <c r="N3383" t="str">
        <f t="shared" si="158"/>
        <v>Loyal</v>
      </c>
    </row>
    <row r="3384" spans="1:14" x14ac:dyDescent="0.35">
      <c r="A3384">
        <v>3383</v>
      </c>
      <c r="B3384">
        <v>56</v>
      </c>
      <c r="C3384" t="str">
        <f t="shared" si="156"/>
        <v>Adult</v>
      </c>
      <c r="D3384" t="s">
        <v>11</v>
      </c>
      <c r="E3384" t="s">
        <v>29</v>
      </c>
      <c r="F3384" t="s">
        <v>55</v>
      </c>
      <c r="G3384">
        <v>48.85</v>
      </c>
      <c r="H3384" t="s">
        <v>14</v>
      </c>
      <c r="I3384" t="s">
        <v>15</v>
      </c>
      <c r="J3384">
        <v>4.7</v>
      </c>
      <c r="K3384">
        <v>16</v>
      </c>
      <c r="L3384">
        <f t="shared" si="157"/>
        <v>41.033999999999999</v>
      </c>
      <c r="M3384">
        <v>3</v>
      </c>
      <c r="N3384" t="str">
        <f t="shared" si="158"/>
        <v>New</v>
      </c>
    </row>
    <row r="3385" spans="1:14" x14ac:dyDescent="0.35">
      <c r="A3385">
        <v>3384</v>
      </c>
      <c r="B3385">
        <v>21</v>
      </c>
      <c r="C3385" t="str">
        <f t="shared" si="156"/>
        <v>Youth</v>
      </c>
      <c r="D3385" t="s">
        <v>11</v>
      </c>
      <c r="E3385" t="s">
        <v>22</v>
      </c>
      <c r="F3385" t="s">
        <v>52</v>
      </c>
      <c r="G3385">
        <v>184.48</v>
      </c>
      <c r="H3385" t="s">
        <v>24</v>
      </c>
      <c r="I3385" t="s">
        <v>15</v>
      </c>
      <c r="J3385">
        <v>4.5999999999999996</v>
      </c>
      <c r="K3385">
        <v>27</v>
      </c>
      <c r="L3385">
        <f t="shared" si="157"/>
        <v>134.6704</v>
      </c>
      <c r="M3385">
        <v>11</v>
      </c>
      <c r="N3385" t="str">
        <f t="shared" si="158"/>
        <v>Loyal</v>
      </c>
    </row>
    <row r="3386" spans="1:14" x14ac:dyDescent="0.35">
      <c r="A3386">
        <v>3385</v>
      </c>
      <c r="B3386">
        <v>24</v>
      </c>
      <c r="C3386" t="str">
        <f t="shared" si="156"/>
        <v>Youth</v>
      </c>
      <c r="D3386" t="s">
        <v>16</v>
      </c>
      <c r="E3386" t="s">
        <v>20</v>
      </c>
      <c r="F3386" t="s">
        <v>39</v>
      </c>
      <c r="G3386">
        <v>137.49</v>
      </c>
      <c r="H3386" t="s">
        <v>31</v>
      </c>
      <c r="I3386" t="s">
        <v>15</v>
      </c>
      <c r="J3386">
        <v>3.3</v>
      </c>
      <c r="K3386">
        <v>11</v>
      </c>
      <c r="L3386">
        <f t="shared" si="157"/>
        <v>122.3661</v>
      </c>
      <c r="M3386">
        <v>3</v>
      </c>
      <c r="N3386" t="str">
        <f t="shared" si="158"/>
        <v>New</v>
      </c>
    </row>
    <row r="3387" spans="1:14" x14ac:dyDescent="0.35">
      <c r="A3387">
        <v>3386</v>
      </c>
      <c r="B3387">
        <v>44</v>
      </c>
      <c r="C3387" t="str">
        <f t="shared" si="156"/>
        <v>Adult</v>
      </c>
      <c r="D3387" t="s">
        <v>11</v>
      </c>
      <c r="E3387" t="s">
        <v>41</v>
      </c>
      <c r="F3387" t="s">
        <v>44</v>
      </c>
      <c r="G3387">
        <v>32.06</v>
      </c>
      <c r="H3387" t="s">
        <v>24</v>
      </c>
      <c r="I3387" t="s">
        <v>37</v>
      </c>
      <c r="J3387">
        <v>3.6</v>
      </c>
      <c r="K3387">
        <v>15</v>
      </c>
      <c r="L3387">
        <f t="shared" si="157"/>
        <v>27.251000000000001</v>
      </c>
      <c r="M3387">
        <v>5</v>
      </c>
      <c r="N3387" t="str">
        <f t="shared" si="158"/>
        <v>Regular</v>
      </c>
    </row>
    <row r="3388" spans="1:14" x14ac:dyDescent="0.35">
      <c r="A3388">
        <v>3387</v>
      </c>
      <c r="B3388">
        <v>68</v>
      </c>
      <c r="C3388" t="str">
        <f t="shared" si="156"/>
        <v>Senior</v>
      </c>
      <c r="D3388" t="s">
        <v>16</v>
      </c>
      <c r="E3388" t="s">
        <v>17</v>
      </c>
      <c r="F3388" t="s">
        <v>35</v>
      </c>
      <c r="G3388">
        <v>192.92</v>
      </c>
      <c r="H3388" t="s">
        <v>14</v>
      </c>
      <c r="I3388" t="s">
        <v>15</v>
      </c>
      <c r="J3388">
        <v>4.0999999999999996</v>
      </c>
      <c r="K3388">
        <v>13</v>
      </c>
      <c r="L3388">
        <f t="shared" si="157"/>
        <v>167.84039999999999</v>
      </c>
      <c r="M3388">
        <v>4</v>
      </c>
      <c r="N3388" t="str">
        <f t="shared" si="158"/>
        <v>Regular</v>
      </c>
    </row>
    <row r="3389" spans="1:14" x14ac:dyDescent="0.35">
      <c r="A3389">
        <v>3388</v>
      </c>
      <c r="B3389">
        <v>41</v>
      </c>
      <c r="C3389" t="str">
        <f t="shared" si="156"/>
        <v>Adult</v>
      </c>
      <c r="D3389" t="s">
        <v>11</v>
      </c>
      <c r="E3389" t="s">
        <v>25</v>
      </c>
      <c r="F3389" t="s">
        <v>47</v>
      </c>
      <c r="G3389">
        <v>17.899999999999999</v>
      </c>
      <c r="H3389" t="s">
        <v>31</v>
      </c>
      <c r="I3389" t="s">
        <v>15</v>
      </c>
      <c r="J3389">
        <v>2.5</v>
      </c>
      <c r="K3389">
        <v>30</v>
      </c>
      <c r="L3389">
        <f t="shared" si="157"/>
        <v>12.529999999999998</v>
      </c>
      <c r="M3389">
        <v>10</v>
      </c>
      <c r="N3389" t="str">
        <f t="shared" si="158"/>
        <v>Loyal</v>
      </c>
    </row>
    <row r="3390" spans="1:14" x14ac:dyDescent="0.35">
      <c r="A3390">
        <v>3389</v>
      </c>
      <c r="B3390">
        <v>43</v>
      </c>
      <c r="C3390" t="str">
        <f t="shared" si="156"/>
        <v>Adult</v>
      </c>
      <c r="D3390" t="s">
        <v>11</v>
      </c>
      <c r="E3390" t="s">
        <v>20</v>
      </c>
      <c r="F3390" t="s">
        <v>39</v>
      </c>
      <c r="G3390">
        <v>122.74</v>
      </c>
      <c r="H3390" t="s">
        <v>31</v>
      </c>
      <c r="I3390" t="s">
        <v>15</v>
      </c>
      <c r="J3390">
        <v>4.5</v>
      </c>
      <c r="K3390">
        <v>17</v>
      </c>
      <c r="L3390">
        <f t="shared" si="157"/>
        <v>101.87419999999999</v>
      </c>
      <c r="M3390">
        <v>6</v>
      </c>
      <c r="N3390" t="str">
        <f t="shared" si="158"/>
        <v>Regular</v>
      </c>
    </row>
    <row r="3391" spans="1:14" x14ac:dyDescent="0.35">
      <c r="A3391">
        <v>3390</v>
      </c>
      <c r="B3391">
        <v>21</v>
      </c>
      <c r="C3391" t="str">
        <f t="shared" si="156"/>
        <v>Youth</v>
      </c>
      <c r="D3391" t="s">
        <v>11</v>
      </c>
      <c r="E3391" t="s">
        <v>33</v>
      </c>
      <c r="F3391" t="s">
        <v>38</v>
      </c>
      <c r="G3391">
        <v>84.31</v>
      </c>
      <c r="H3391" t="s">
        <v>14</v>
      </c>
      <c r="I3391" t="s">
        <v>15</v>
      </c>
      <c r="J3391">
        <v>3.3</v>
      </c>
      <c r="K3391">
        <v>4</v>
      </c>
      <c r="L3391">
        <f t="shared" si="157"/>
        <v>80.937600000000003</v>
      </c>
      <c r="M3391">
        <v>2</v>
      </c>
      <c r="N3391" t="str">
        <f t="shared" si="158"/>
        <v>New</v>
      </c>
    </row>
    <row r="3392" spans="1:14" x14ac:dyDescent="0.35">
      <c r="A3392">
        <v>3391</v>
      </c>
      <c r="B3392">
        <v>63</v>
      </c>
      <c r="C3392" t="str">
        <f t="shared" si="156"/>
        <v>Senior</v>
      </c>
      <c r="D3392" t="s">
        <v>11</v>
      </c>
      <c r="E3392" t="s">
        <v>41</v>
      </c>
      <c r="F3392" t="s">
        <v>46</v>
      </c>
      <c r="G3392">
        <v>179.53</v>
      </c>
      <c r="H3392" t="s">
        <v>14</v>
      </c>
      <c r="I3392" t="s">
        <v>15</v>
      </c>
      <c r="J3392">
        <v>4.5999999999999996</v>
      </c>
      <c r="K3392">
        <v>13</v>
      </c>
      <c r="L3392">
        <f t="shared" si="157"/>
        <v>156.19110000000001</v>
      </c>
      <c r="M3392">
        <v>4</v>
      </c>
      <c r="N3392" t="str">
        <f t="shared" si="158"/>
        <v>Regular</v>
      </c>
    </row>
    <row r="3393" spans="1:14" x14ac:dyDescent="0.35">
      <c r="A3393">
        <v>3392</v>
      </c>
      <c r="B3393">
        <v>63</v>
      </c>
      <c r="C3393" t="str">
        <f t="shared" si="156"/>
        <v>Senior</v>
      </c>
      <c r="D3393" t="s">
        <v>11</v>
      </c>
      <c r="E3393" t="s">
        <v>41</v>
      </c>
      <c r="F3393" t="s">
        <v>42</v>
      </c>
      <c r="G3393">
        <v>102.83</v>
      </c>
      <c r="H3393" t="s">
        <v>14</v>
      </c>
      <c r="I3393" t="s">
        <v>15</v>
      </c>
      <c r="J3393">
        <v>2.2999999999999998</v>
      </c>
      <c r="K3393">
        <v>14</v>
      </c>
      <c r="L3393">
        <f t="shared" si="157"/>
        <v>88.433799999999991</v>
      </c>
      <c r="M3393">
        <v>7</v>
      </c>
      <c r="N3393" t="str">
        <f t="shared" si="158"/>
        <v>Regular</v>
      </c>
    </row>
    <row r="3394" spans="1:14" x14ac:dyDescent="0.35">
      <c r="A3394">
        <v>3393</v>
      </c>
      <c r="B3394">
        <v>46</v>
      </c>
      <c r="C3394" t="str">
        <f t="shared" si="156"/>
        <v>Adult</v>
      </c>
      <c r="D3394" t="s">
        <v>16</v>
      </c>
      <c r="E3394" t="s">
        <v>27</v>
      </c>
      <c r="F3394" t="s">
        <v>28</v>
      </c>
      <c r="G3394">
        <v>1334.9</v>
      </c>
      <c r="H3394" t="s">
        <v>31</v>
      </c>
      <c r="I3394" t="s">
        <v>15</v>
      </c>
      <c r="J3394">
        <v>2.4</v>
      </c>
      <c r="K3394">
        <v>16</v>
      </c>
      <c r="L3394">
        <f t="shared" si="157"/>
        <v>1121.316</v>
      </c>
      <c r="M3394">
        <v>3</v>
      </c>
      <c r="N3394" t="str">
        <f t="shared" si="158"/>
        <v>New</v>
      </c>
    </row>
    <row r="3395" spans="1:14" x14ac:dyDescent="0.35">
      <c r="A3395">
        <v>3394</v>
      </c>
      <c r="B3395">
        <v>60</v>
      </c>
      <c r="C3395" t="str">
        <f t="shared" ref="C3395:C3458" si="159">IF(B3395&lt;=30,"Youth",IF(B3395&lt;=45,"Adult",IF(B3395&lt;=60,"Adult","Senior")))</f>
        <v>Adult</v>
      </c>
      <c r="D3395" t="s">
        <v>16</v>
      </c>
      <c r="E3395" t="s">
        <v>27</v>
      </c>
      <c r="F3395" t="s">
        <v>53</v>
      </c>
      <c r="G3395">
        <v>2995.9</v>
      </c>
      <c r="H3395" t="s">
        <v>19</v>
      </c>
      <c r="I3395" t="s">
        <v>15</v>
      </c>
      <c r="J3395">
        <v>4.5999999999999996</v>
      </c>
      <c r="K3395">
        <v>14</v>
      </c>
      <c r="L3395">
        <f t="shared" ref="L3395:L3458" si="160">G3395*(1-K3395/100)</f>
        <v>2576.4740000000002</v>
      </c>
      <c r="M3395">
        <v>7</v>
      </c>
      <c r="N3395" t="str">
        <f t="shared" ref="N3395:N3458" si="161">IF(M3395&lt;=3,"New",IF(M3395&lt;=7,"Regular","Loyal"))</f>
        <v>Regular</v>
      </c>
    </row>
    <row r="3396" spans="1:14" x14ac:dyDescent="0.35">
      <c r="A3396">
        <v>3395</v>
      </c>
      <c r="B3396">
        <v>26</v>
      </c>
      <c r="C3396" t="str">
        <f t="shared" si="159"/>
        <v>Youth</v>
      </c>
      <c r="D3396" t="s">
        <v>11</v>
      </c>
      <c r="E3396" t="s">
        <v>33</v>
      </c>
      <c r="F3396" t="s">
        <v>38</v>
      </c>
      <c r="G3396">
        <v>112.8</v>
      </c>
      <c r="H3396" t="s">
        <v>14</v>
      </c>
      <c r="I3396" t="s">
        <v>15</v>
      </c>
      <c r="J3396">
        <v>3.7</v>
      </c>
      <c r="K3396">
        <v>26</v>
      </c>
      <c r="L3396">
        <f t="shared" si="160"/>
        <v>83.471999999999994</v>
      </c>
      <c r="M3396">
        <v>8</v>
      </c>
      <c r="N3396" t="str">
        <f t="shared" si="161"/>
        <v>Loyal</v>
      </c>
    </row>
    <row r="3397" spans="1:14" x14ac:dyDescent="0.35">
      <c r="A3397">
        <v>3396</v>
      </c>
      <c r="B3397">
        <v>65</v>
      </c>
      <c r="C3397" t="str">
        <f t="shared" si="159"/>
        <v>Senior</v>
      </c>
      <c r="D3397" t="s">
        <v>11</v>
      </c>
      <c r="E3397" t="s">
        <v>29</v>
      </c>
      <c r="F3397" t="s">
        <v>51</v>
      </c>
      <c r="G3397">
        <v>116.4</v>
      </c>
      <c r="H3397" t="s">
        <v>24</v>
      </c>
      <c r="I3397" t="s">
        <v>15</v>
      </c>
      <c r="J3397">
        <v>3.9</v>
      </c>
      <c r="K3397">
        <v>30</v>
      </c>
      <c r="L3397">
        <f t="shared" si="160"/>
        <v>81.48</v>
      </c>
      <c r="M3397">
        <v>10</v>
      </c>
      <c r="N3397" t="str">
        <f t="shared" si="161"/>
        <v>Loyal</v>
      </c>
    </row>
    <row r="3398" spans="1:14" x14ac:dyDescent="0.35">
      <c r="A3398">
        <v>3397</v>
      </c>
      <c r="B3398">
        <v>69</v>
      </c>
      <c r="C3398" t="str">
        <f t="shared" si="159"/>
        <v>Senior</v>
      </c>
      <c r="D3398" t="s">
        <v>11</v>
      </c>
      <c r="E3398" t="s">
        <v>12</v>
      </c>
      <c r="F3398" t="s">
        <v>50</v>
      </c>
      <c r="G3398">
        <v>106.97</v>
      </c>
      <c r="H3398" t="s">
        <v>24</v>
      </c>
      <c r="I3398" t="s">
        <v>15</v>
      </c>
      <c r="J3398">
        <v>4.0999999999999996</v>
      </c>
      <c r="K3398">
        <v>13</v>
      </c>
      <c r="L3398">
        <f t="shared" si="160"/>
        <v>93.063900000000004</v>
      </c>
      <c r="M3398">
        <v>4</v>
      </c>
      <c r="N3398" t="str">
        <f t="shared" si="161"/>
        <v>Regular</v>
      </c>
    </row>
    <row r="3399" spans="1:14" x14ac:dyDescent="0.35">
      <c r="A3399">
        <v>3398</v>
      </c>
      <c r="B3399">
        <v>48</v>
      </c>
      <c r="C3399" t="str">
        <f t="shared" si="159"/>
        <v>Adult</v>
      </c>
      <c r="D3399" t="s">
        <v>16</v>
      </c>
      <c r="E3399" t="s">
        <v>33</v>
      </c>
      <c r="F3399" t="s">
        <v>40</v>
      </c>
      <c r="G3399">
        <v>106.53</v>
      </c>
      <c r="H3399" t="s">
        <v>19</v>
      </c>
      <c r="I3399" t="s">
        <v>15</v>
      </c>
      <c r="J3399">
        <v>4.7</v>
      </c>
      <c r="K3399">
        <v>22</v>
      </c>
      <c r="L3399">
        <f t="shared" si="160"/>
        <v>83.093400000000003</v>
      </c>
      <c r="M3399">
        <v>6</v>
      </c>
      <c r="N3399" t="str">
        <f t="shared" si="161"/>
        <v>Regular</v>
      </c>
    </row>
    <row r="3400" spans="1:14" x14ac:dyDescent="0.35">
      <c r="A3400">
        <v>3399</v>
      </c>
      <c r="B3400">
        <v>22</v>
      </c>
      <c r="C3400" t="str">
        <f t="shared" si="159"/>
        <v>Youth</v>
      </c>
      <c r="D3400" t="s">
        <v>11</v>
      </c>
      <c r="E3400" t="s">
        <v>25</v>
      </c>
      <c r="F3400" t="s">
        <v>54</v>
      </c>
      <c r="G3400">
        <v>71.849999999999994</v>
      </c>
      <c r="H3400" t="s">
        <v>19</v>
      </c>
      <c r="I3400" t="s">
        <v>15</v>
      </c>
      <c r="J3400">
        <v>3.6</v>
      </c>
      <c r="K3400">
        <v>22</v>
      </c>
      <c r="L3400">
        <f t="shared" si="160"/>
        <v>56.042999999999999</v>
      </c>
      <c r="M3400">
        <v>6</v>
      </c>
      <c r="N3400" t="str">
        <f t="shared" si="161"/>
        <v>Regular</v>
      </c>
    </row>
    <row r="3401" spans="1:14" x14ac:dyDescent="0.35">
      <c r="A3401">
        <v>3400</v>
      </c>
      <c r="B3401">
        <v>23</v>
      </c>
      <c r="C3401" t="str">
        <f t="shared" si="159"/>
        <v>Youth</v>
      </c>
      <c r="D3401" t="s">
        <v>16</v>
      </c>
      <c r="E3401" t="s">
        <v>20</v>
      </c>
      <c r="F3401" t="s">
        <v>39</v>
      </c>
      <c r="G3401">
        <v>79.17</v>
      </c>
      <c r="H3401" t="s">
        <v>31</v>
      </c>
      <c r="I3401" t="s">
        <v>15</v>
      </c>
      <c r="J3401">
        <v>3.9</v>
      </c>
      <c r="K3401">
        <v>13</v>
      </c>
      <c r="L3401">
        <f t="shared" si="160"/>
        <v>68.877899999999997</v>
      </c>
      <c r="M3401">
        <v>4</v>
      </c>
      <c r="N3401" t="str">
        <f t="shared" si="161"/>
        <v>Regular</v>
      </c>
    </row>
    <row r="3402" spans="1:14" x14ac:dyDescent="0.35">
      <c r="A3402">
        <v>3401</v>
      </c>
      <c r="B3402">
        <v>21</v>
      </c>
      <c r="C3402" t="str">
        <f t="shared" si="159"/>
        <v>Youth</v>
      </c>
      <c r="D3402" t="s">
        <v>16</v>
      </c>
      <c r="E3402" t="s">
        <v>33</v>
      </c>
      <c r="F3402" t="s">
        <v>40</v>
      </c>
      <c r="G3402">
        <v>218.6</v>
      </c>
      <c r="H3402" t="s">
        <v>24</v>
      </c>
      <c r="I3402" t="s">
        <v>15</v>
      </c>
      <c r="J3402">
        <v>4.5</v>
      </c>
      <c r="K3402">
        <v>12</v>
      </c>
      <c r="L3402">
        <f t="shared" si="160"/>
        <v>192.36799999999999</v>
      </c>
      <c r="M3402">
        <v>6</v>
      </c>
      <c r="N3402" t="str">
        <f t="shared" si="161"/>
        <v>Regular</v>
      </c>
    </row>
    <row r="3403" spans="1:14" x14ac:dyDescent="0.35">
      <c r="A3403">
        <v>3402</v>
      </c>
      <c r="B3403">
        <v>54</v>
      </c>
      <c r="C3403" t="str">
        <f t="shared" si="159"/>
        <v>Adult</v>
      </c>
      <c r="D3403" t="s">
        <v>16</v>
      </c>
      <c r="E3403" t="s">
        <v>17</v>
      </c>
      <c r="F3403" t="s">
        <v>48</v>
      </c>
      <c r="G3403">
        <v>130.78</v>
      </c>
      <c r="H3403" t="s">
        <v>14</v>
      </c>
      <c r="I3403" t="s">
        <v>15</v>
      </c>
      <c r="J3403">
        <v>4.9000000000000004</v>
      </c>
      <c r="K3403">
        <v>14</v>
      </c>
      <c r="L3403">
        <f t="shared" si="160"/>
        <v>112.4708</v>
      </c>
      <c r="M3403">
        <v>7</v>
      </c>
      <c r="N3403" t="str">
        <f t="shared" si="161"/>
        <v>Regular</v>
      </c>
    </row>
    <row r="3404" spans="1:14" x14ac:dyDescent="0.35">
      <c r="A3404">
        <v>3403</v>
      </c>
      <c r="B3404">
        <v>23</v>
      </c>
      <c r="C3404" t="str">
        <f t="shared" si="159"/>
        <v>Youth</v>
      </c>
      <c r="D3404" t="s">
        <v>16</v>
      </c>
      <c r="E3404" t="s">
        <v>33</v>
      </c>
      <c r="F3404" t="s">
        <v>38</v>
      </c>
      <c r="G3404">
        <v>76.209999999999994</v>
      </c>
      <c r="H3404" t="s">
        <v>19</v>
      </c>
      <c r="I3404" t="s">
        <v>15</v>
      </c>
      <c r="J3404">
        <v>4.8</v>
      </c>
      <c r="K3404">
        <v>11</v>
      </c>
      <c r="L3404">
        <f t="shared" si="160"/>
        <v>67.826899999999995</v>
      </c>
      <c r="M3404">
        <v>3</v>
      </c>
      <c r="N3404" t="str">
        <f t="shared" si="161"/>
        <v>New</v>
      </c>
    </row>
    <row r="3405" spans="1:14" x14ac:dyDescent="0.35">
      <c r="A3405">
        <v>3404</v>
      </c>
      <c r="B3405">
        <v>36</v>
      </c>
      <c r="C3405" t="str">
        <f t="shared" si="159"/>
        <v>Adult</v>
      </c>
      <c r="D3405" t="s">
        <v>16</v>
      </c>
      <c r="E3405" t="s">
        <v>20</v>
      </c>
      <c r="F3405" t="s">
        <v>36</v>
      </c>
      <c r="G3405">
        <v>134.77000000000001</v>
      </c>
      <c r="H3405" t="s">
        <v>31</v>
      </c>
      <c r="I3405" t="s">
        <v>15</v>
      </c>
      <c r="J3405">
        <v>4.8</v>
      </c>
      <c r="K3405">
        <v>12</v>
      </c>
      <c r="L3405">
        <f t="shared" si="160"/>
        <v>118.59760000000001</v>
      </c>
      <c r="M3405">
        <v>6</v>
      </c>
      <c r="N3405" t="str">
        <f t="shared" si="161"/>
        <v>Regular</v>
      </c>
    </row>
    <row r="3406" spans="1:14" x14ac:dyDescent="0.35">
      <c r="A3406">
        <v>3405</v>
      </c>
      <c r="B3406">
        <v>56</v>
      </c>
      <c r="C3406" t="str">
        <f t="shared" si="159"/>
        <v>Adult</v>
      </c>
      <c r="D3406" t="s">
        <v>16</v>
      </c>
      <c r="E3406" t="s">
        <v>20</v>
      </c>
      <c r="F3406" t="s">
        <v>39</v>
      </c>
      <c r="G3406">
        <v>224.71</v>
      </c>
      <c r="H3406" t="s">
        <v>14</v>
      </c>
      <c r="I3406" t="s">
        <v>15</v>
      </c>
      <c r="J3406">
        <v>4.8</v>
      </c>
      <c r="K3406">
        <v>13</v>
      </c>
      <c r="L3406">
        <f t="shared" si="160"/>
        <v>195.49770000000001</v>
      </c>
      <c r="M3406">
        <v>4</v>
      </c>
      <c r="N3406" t="str">
        <f t="shared" si="161"/>
        <v>Regular</v>
      </c>
    </row>
    <row r="3407" spans="1:14" x14ac:dyDescent="0.35">
      <c r="A3407">
        <v>3406</v>
      </c>
      <c r="B3407">
        <v>65</v>
      </c>
      <c r="C3407" t="str">
        <f t="shared" si="159"/>
        <v>Senior</v>
      </c>
      <c r="D3407" t="s">
        <v>11</v>
      </c>
      <c r="E3407" t="s">
        <v>29</v>
      </c>
      <c r="F3407" t="s">
        <v>55</v>
      </c>
      <c r="G3407">
        <v>29.46</v>
      </c>
      <c r="H3407" t="s">
        <v>14</v>
      </c>
      <c r="I3407" t="s">
        <v>15</v>
      </c>
      <c r="J3407">
        <v>3.6</v>
      </c>
      <c r="K3407">
        <v>13</v>
      </c>
      <c r="L3407">
        <f t="shared" si="160"/>
        <v>25.630200000000002</v>
      </c>
      <c r="M3407">
        <v>4</v>
      </c>
      <c r="N3407" t="str">
        <f t="shared" si="161"/>
        <v>Regular</v>
      </c>
    </row>
    <row r="3408" spans="1:14" x14ac:dyDescent="0.35">
      <c r="A3408">
        <v>3407</v>
      </c>
      <c r="B3408">
        <v>64</v>
      </c>
      <c r="C3408" t="str">
        <f t="shared" si="159"/>
        <v>Senior</v>
      </c>
      <c r="D3408" t="s">
        <v>16</v>
      </c>
      <c r="E3408" t="s">
        <v>17</v>
      </c>
      <c r="F3408" t="s">
        <v>18</v>
      </c>
      <c r="G3408">
        <v>57</v>
      </c>
      <c r="H3408" t="s">
        <v>31</v>
      </c>
      <c r="I3408" t="s">
        <v>37</v>
      </c>
      <c r="J3408">
        <v>3.6</v>
      </c>
      <c r="K3408">
        <v>15</v>
      </c>
      <c r="L3408">
        <f t="shared" si="160"/>
        <v>48.449999999999996</v>
      </c>
      <c r="M3408">
        <v>5</v>
      </c>
      <c r="N3408" t="str">
        <f t="shared" si="161"/>
        <v>Regular</v>
      </c>
    </row>
    <row r="3409" spans="1:14" x14ac:dyDescent="0.35">
      <c r="A3409">
        <v>3408</v>
      </c>
      <c r="B3409">
        <v>38</v>
      </c>
      <c r="C3409" t="str">
        <f t="shared" si="159"/>
        <v>Adult</v>
      </c>
      <c r="D3409" t="s">
        <v>16</v>
      </c>
      <c r="E3409" t="s">
        <v>33</v>
      </c>
      <c r="F3409" t="s">
        <v>40</v>
      </c>
      <c r="G3409">
        <v>71.58</v>
      </c>
      <c r="H3409" t="s">
        <v>19</v>
      </c>
      <c r="I3409" t="s">
        <v>37</v>
      </c>
      <c r="J3409">
        <v>3.3</v>
      </c>
      <c r="K3409">
        <v>13</v>
      </c>
      <c r="L3409">
        <f t="shared" si="160"/>
        <v>62.2746</v>
      </c>
      <c r="M3409">
        <v>4</v>
      </c>
      <c r="N3409" t="str">
        <f t="shared" si="161"/>
        <v>Regular</v>
      </c>
    </row>
    <row r="3410" spans="1:14" x14ac:dyDescent="0.35">
      <c r="A3410">
        <v>3409</v>
      </c>
      <c r="B3410">
        <v>34</v>
      </c>
      <c r="C3410" t="str">
        <f t="shared" si="159"/>
        <v>Adult</v>
      </c>
      <c r="D3410" t="s">
        <v>11</v>
      </c>
      <c r="E3410" t="s">
        <v>20</v>
      </c>
      <c r="F3410" t="s">
        <v>39</v>
      </c>
      <c r="G3410">
        <v>213.67</v>
      </c>
      <c r="H3410" t="s">
        <v>14</v>
      </c>
      <c r="I3410" t="s">
        <v>15</v>
      </c>
      <c r="J3410">
        <v>3.7</v>
      </c>
      <c r="K3410">
        <v>22</v>
      </c>
      <c r="L3410">
        <f t="shared" si="160"/>
        <v>166.6626</v>
      </c>
      <c r="M3410">
        <v>6</v>
      </c>
      <c r="N3410" t="str">
        <f t="shared" si="161"/>
        <v>Regular</v>
      </c>
    </row>
    <row r="3411" spans="1:14" x14ac:dyDescent="0.35">
      <c r="A3411">
        <v>3410</v>
      </c>
      <c r="B3411">
        <v>35</v>
      </c>
      <c r="C3411" t="str">
        <f t="shared" si="159"/>
        <v>Adult</v>
      </c>
      <c r="D3411" t="s">
        <v>11</v>
      </c>
      <c r="E3411" t="s">
        <v>41</v>
      </c>
      <c r="F3411" t="s">
        <v>44</v>
      </c>
      <c r="G3411">
        <v>97.07</v>
      </c>
      <c r="H3411" t="s">
        <v>19</v>
      </c>
      <c r="I3411" t="s">
        <v>37</v>
      </c>
      <c r="J3411">
        <v>3.1</v>
      </c>
      <c r="K3411">
        <v>18</v>
      </c>
      <c r="L3411">
        <f t="shared" si="160"/>
        <v>79.597400000000007</v>
      </c>
      <c r="M3411">
        <v>4</v>
      </c>
      <c r="N3411" t="str">
        <f t="shared" si="161"/>
        <v>Regular</v>
      </c>
    </row>
    <row r="3412" spans="1:14" x14ac:dyDescent="0.35">
      <c r="A3412">
        <v>3411</v>
      </c>
      <c r="B3412">
        <v>67</v>
      </c>
      <c r="C3412" t="str">
        <f t="shared" si="159"/>
        <v>Senior</v>
      </c>
      <c r="D3412" t="s">
        <v>11</v>
      </c>
      <c r="E3412" t="s">
        <v>12</v>
      </c>
      <c r="F3412" t="s">
        <v>50</v>
      </c>
      <c r="G3412">
        <v>154.84</v>
      </c>
      <c r="H3412" t="s">
        <v>24</v>
      </c>
      <c r="I3412" t="s">
        <v>15</v>
      </c>
      <c r="J3412">
        <v>3.9</v>
      </c>
      <c r="K3412">
        <v>18</v>
      </c>
      <c r="L3412">
        <f t="shared" si="160"/>
        <v>126.96880000000002</v>
      </c>
      <c r="M3412">
        <v>4</v>
      </c>
      <c r="N3412" t="str">
        <f t="shared" si="161"/>
        <v>Regular</v>
      </c>
    </row>
    <row r="3413" spans="1:14" x14ac:dyDescent="0.35">
      <c r="A3413">
        <v>3412</v>
      </c>
      <c r="B3413">
        <v>55</v>
      </c>
      <c r="C3413" t="str">
        <f t="shared" si="159"/>
        <v>Adult</v>
      </c>
      <c r="D3413" t="s">
        <v>11</v>
      </c>
      <c r="E3413" t="s">
        <v>29</v>
      </c>
      <c r="F3413" t="s">
        <v>30</v>
      </c>
      <c r="G3413">
        <v>92.98</v>
      </c>
      <c r="H3413" t="s">
        <v>24</v>
      </c>
      <c r="I3413" t="s">
        <v>15</v>
      </c>
      <c r="J3413">
        <v>3.7</v>
      </c>
      <c r="K3413">
        <v>8</v>
      </c>
      <c r="L3413">
        <f t="shared" si="160"/>
        <v>85.541600000000003</v>
      </c>
      <c r="M3413">
        <v>4</v>
      </c>
      <c r="N3413" t="str">
        <f t="shared" si="161"/>
        <v>Regular</v>
      </c>
    </row>
    <row r="3414" spans="1:14" x14ac:dyDescent="0.35">
      <c r="A3414">
        <v>3413</v>
      </c>
      <c r="B3414">
        <v>64</v>
      </c>
      <c r="C3414" t="str">
        <f t="shared" si="159"/>
        <v>Senior</v>
      </c>
      <c r="D3414" t="s">
        <v>11</v>
      </c>
      <c r="E3414" t="s">
        <v>29</v>
      </c>
      <c r="F3414" t="s">
        <v>51</v>
      </c>
      <c r="G3414">
        <v>81.650000000000006</v>
      </c>
      <c r="H3414" t="s">
        <v>19</v>
      </c>
      <c r="I3414" t="s">
        <v>15</v>
      </c>
      <c r="J3414">
        <v>3.8</v>
      </c>
      <c r="K3414">
        <v>17</v>
      </c>
      <c r="L3414">
        <f t="shared" si="160"/>
        <v>67.769500000000008</v>
      </c>
      <c r="M3414">
        <v>6</v>
      </c>
      <c r="N3414" t="str">
        <f t="shared" si="161"/>
        <v>Regular</v>
      </c>
    </row>
    <row r="3415" spans="1:14" x14ac:dyDescent="0.35">
      <c r="A3415">
        <v>3414</v>
      </c>
      <c r="B3415">
        <v>39</v>
      </c>
      <c r="C3415" t="str">
        <f t="shared" si="159"/>
        <v>Adult</v>
      </c>
      <c r="D3415" t="s">
        <v>11</v>
      </c>
      <c r="E3415" t="s">
        <v>33</v>
      </c>
      <c r="F3415" t="s">
        <v>40</v>
      </c>
      <c r="G3415">
        <v>249.4</v>
      </c>
      <c r="H3415" t="s">
        <v>31</v>
      </c>
      <c r="I3415" t="s">
        <v>15</v>
      </c>
      <c r="J3415">
        <v>3.9</v>
      </c>
      <c r="K3415">
        <v>21</v>
      </c>
      <c r="L3415">
        <f t="shared" si="160"/>
        <v>197.02600000000001</v>
      </c>
      <c r="M3415">
        <v>8</v>
      </c>
      <c r="N3415" t="str">
        <f t="shared" si="161"/>
        <v>Loyal</v>
      </c>
    </row>
    <row r="3416" spans="1:14" x14ac:dyDescent="0.35">
      <c r="A3416">
        <v>3415</v>
      </c>
      <c r="B3416">
        <v>23</v>
      </c>
      <c r="C3416" t="str">
        <f t="shared" si="159"/>
        <v>Youth</v>
      </c>
      <c r="D3416" t="s">
        <v>16</v>
      </c>
      <c r="E3416" t="s">
        <v>22</v>
      </c>
      <c r="F3416" t="s">
        <v>43</v>
      </c>
      <c r="G3416">
        <v>268.91000000000003</v>
      </c>
      <c r="H3416" t="s">
        <v>19</v>
      </c>
      <c r="I3416" t="s">
        <v>15</v>
      </c>
      <c r="J3416">
        <v>4.2</v>
      </c>
      <c r="K3416">
        <v>13</v>
      </c>
      <c r="L3416">
        <f t="shared" si="160"/>
        <v>233.95170000000002</v>
      </c>
      <c r="M3416">
        <v>4</v>
      </c>
      <c r="N3416" t="str">
        <f t="shared" si="161"/>
        <v>Regular</v>
      </c>
    </row>
    <row r="3417" spans="1:14" x14ac:dyDescent="0.35">
      <c r="A3417">
        <v>3416</v>
      </c>
      <c r="B3417">
        <v>66</v>
      </c>
      <c r="C3417" t="str">
        <f t="shared" si="159"/>
        <v>Senior</v>
      </c>
      <c r="D3417" t="s">
        <v>16</v>
      </c>
      <c r="E3417" t="s">
        <v>20</v>
      </c>
      <c r="F3417" t="s">
        <v>21</v>
      </c>
      <c r="G3417">
        <v>81.459999999999994</v>
      </c>
      <c r="H3417" t="s">
        <v>24</v>
      </c>
      <c r="I3417" t="s">
        <v>37</v>
      </c>
      <c r="J3417">
        <v>3.9</v>
      </c>
      <c r="K3417">
        <v>20</v>
      </c>
      <c r="L3417">
        <f t="shared" si="160"/>
        <v>65.167999999999992</v>
      </c>
      <c r="M3417">
        <v>5</v>
      </c>
      <c r="N3417" t="str">
        <f t="shared" si="161"/>
        <v>Regular</v>
      </c>
    </row>
    <row r="3418" spans="1:14" x14ac:dyDescent="0.35">
      <c r="A3418">
        <v>3417</v>
      </c>
      <c r="B3418">
        <v>29</v>
      </c>
      <c r="C3418" t="str">
        <f t="shared" si="159"/>
        <v>Youth</v>
      </c>
      <c r="D3418" t="s">
        <v>11</v>
      </c>
      <c r="E3418" t="s">
        <v>41</v>
      </c>
      <c r="F3418" t="s">
        <v>44</v>
      </c>
      <c r="G3418">
        <v>135.06</v>
      </c>
      <c r="H3418" t="s">
        <v>31</v>
      </c>
      <c r="I3418" t="s">
        <v>15</v>
      </c>
      <c r="J3418">
        <v>2.2000000000000002</v>
      </c>
      <c r="K3418">
        <v>19</v>
      </c>
      <c r="L3418">
        <f t="shared" si="160"/>
        <v>109.39860000000002</v>
      </c>
      <c r="M3418">
        <v>7</v>
      </c>
      <c r="N3418" t="str">
        <f t="shared" si="161"/>
        <v>Regular</v>
      </c>
    </row>
    <row r="3419" spans="1:14" x14ac:dyDescent="0.35">
      <c r="A3419">
        <v>3418</v>
      </c>
      <c r="B3419">
        <v>54</v>
      </c>
      <c r="C3419" t="str">
        <f t="shared" si="159"/>
        <v>Adult</v>
      </c>
      <c r="D3419" t="s">
        <v>11</v>
      </c>
      <c r="E3419" t="s">
        <v>29</v>
      </c>
      <c r="F3419" t="s">
        <v>55</v>
      </c>
      <c r="G3419">
        <v>127.1</v>
      </c>
      <c r="H3419" t="s">
        <v>14</v>
      </c>
      <c r="I3419" t="s">
        <v>15</v>
      </c>
      <c r="J3419">
        <v>3.5</v>
      </c>
      <c r="K3419">
        <v>18</v>
      </c>
      <c r="L3419">
        <f t="shared" si="160"/>
        <v>104.22200000000001</v>
      </c>
      <c r="M3419">
        <v>4</v>
      </c>
      <c r="N3419" t="str">
        <f t="shared" si="161"/>
        <v>Regular</v>
      </c>
    </row>
    <row r="3420" spans="1:14" x14ac:dyDescent="0.35">
      <c r="A3420">
        <v>3419</v>
      </c>
      <c r="B3420">
        <v>48</v>
      </c>
      <c r="C3420" t="str">
        <f t="shared" si="159"/>
        <v>Adult</v>
      </c>
      <c r="D3420" t="s">
        <v>16</v>
      </c>
      <c r="E3420" t="s">
        <v>33</v>
      </c>
      <c r="F3420" t="s">
        <v>40</v>
      </c>
      <c r="G3420">
        <v>121.62</v>
      </c>
      <c r="H3420" t="s">
        <v>19</v>
      </c>
      <c r="I3420" t="s">
        <v>15</v>
      </c>
      <c r="J3420">
        <v>4.4000000000000004</v>
      </c>
      <c r="K3420">
        <v>6</v>
      </c>
      <c r="L3420">
        <f t="shared" si="160"/>
        <v>114.3228</v>
      </c>
      <c r="M3420">
        <v>3</v>
      </c>
      <c r="N3420" t="str">
        <f t="shared" si="161"/>
        <v>New</v>
      </c>
    </row>
    <row r="3421" spans="1:14" x14ac:dyDescent="0.35">
      <c r="A3421">
        <v>3420</v>
      </c>
      <c r="B3421">
        <v>30</v>
      </c>
      <c r="C3421" t="str">
        <f t="shared" si="159"/>
        <v>Youth</v>
      </c>
      <c r="D3421" t="s">
        <v>11</v>
      </c>
      <c r="E3421" t="s">
        <v>22</v>
      </c>
      <c r="F3421" t="s">
        <v>43</v>
      </c>
      <c r="G3421">
        <v>194.22</v>
      </c>
      <c r="H3421" t="s">
        <v>19</v>
      </c>
      <c r="I3421" t="s">
        <v>15</v>
      </c>
      <c r="J3421">
        <v>4.2</v>
      </c>
      <c r="K3421">
        <v>13</v>
      </c>
      <c r="L3421">
        <f t="shared" si="160"/>
        <v>168.97139999999999</v>
      </c>
      <c r="M3421">
        <v>4</v>
      </c>
      <c r="N3421" t="str">
        <f t="shared" si="161"/>
        <v>Regular</v>
      </c>
    </row>
    <row r="3422" spans="1:14" x14ac:dyDescent="0.35">
      <c r="A3422">
        <v>3421</v>
      </c>
      <c r="B3422">
        <v>48</v>
      </c>
      <c r="C3422" t="str">
        <f t="shared" si="159"/>
        <v>Adult</v>
      </c>
      <c r="D3422" t="s">
        <v>11</v>
      </c>
      <c r="E3422" t="s">
        <v>33</v>
      </c>
      <c r="F3422" t="s">
        <v>38</v>
      </c>
      <c r="G3422">
        <v>225.8</v>
      </c>
      <c r="H3422" t="s">
        <v>31</v>
      </c>
      <c r="I3422" t="s">
        <v>15</v>
      </c>
      <c r="J3422">
        <v>3.2</v>
      </c>
      <c r="K3422">
        <v>6</v>
      </c>
      <c r="L3422">
        <f t="shared" si="160"/>
        <v>212.25200000000001</v>
      </c>
      <c r="M3422">
        <v>3</v>
      </c>
      <c r="N3422" t="str">
        <f t="shared" si="161"/>
        <v>New</v>
      </c>
    </row>
    <row r="3423" spans="1:14" x14ac:dyDescent="0.35">
      <c r="A3423">
        <v>3422</v>
      </c>
      <c r="B3423">
        <v>47</v>
      </c>
      <c r="C3423" t="str">
        <f t="shared" si="159"/>
        <v>Adult</v>
      </c>
      <c r="D3423" t="s">
        <v>11</v>
      </c>
      <c r="E3423" t="s">
        <v>41</v>
      </c>
      <c r="F3423" t="s">
        <v>42</v>
      </c>
      <c r="G3423">
        <v>193.59</v>
      </c>
      <c r="H3423" t="s">
        <v>19</v>
      </c>
      <c r="I3423" t="s">
        <v>15</v>
      </c>
      <c r="J3423">
        <v>3.3</v>
      </c>
      <c r="K3423">
        <v>16</v>
      </c>
      <c r="L3423">
        <f t="shared" si="160"/>
        <v>162.6156</v>
      </c>
      <c r="M3423">
        <v>3</v>
      </c>
      <c r="N3423" t="str">
        <f t="shared" si="161"/>
        <v>New</v>
      </c>
    </row>
    <row r="3424" spans="1:14" x14ac:dyDescent="0.35">
      <c r="A3424">
        <v>3423</v>
      </c>
      <c r="B3424">
        <v>48</v>
      </c>
      <c r="C3424" t="str">
        <f t="shared" si="159"/>
        <v>Adult</v>
      </c>
      <c r="D3424" t="s">
        <v>16</v>
      </c>
      <c r="E3424" t="s">
        <v>27</v>
      </c>
      <c r="F3424" t="s">
        <v>49</v>
      </c>
      <c r="G3424">
        <v>2610.9899999999998</v>
      </c>
      <c r="H3424" t="s">
        <v>31</v>
      </c>
      <c r="I3424" t="s">
        <v>15</v>
      </c>
      <c r="J3424">
        <v>3.5</v>
      </c>
      <c r="K3424">
        <v>13</v>
      </c>
      <c r="L3424">
        <f t="shared" si="160"/>
        <v>2271.5612999999998</v>
      </c>
      <c r="M3424">
        <v>4</v>
      </c>
      <c r="N3424" t="str">
        <f t="shared" si="161"/>
        <v>Regular</v>
      </c>
    </row>
    <row r="3425" spans="1:14" x14ac:dyDescent="0.35">
      <c r="A3425">
        <v>3424</v>
      </c>
      <c r="B3425">
        <v>20</v>
      </c>
      <c r="C3425" t="str">
        <f t="shared" si="159"/>
        <v>Youth</v>
      </c>
      <c r="D3425" t="s">
        <v>11</v>
      </c>
      <c r="E3425" t="s">
        <v>33</v>
      </c>
      <c r="F3425" t="s">
        <v>40</v>
      </c>
      <c r="G3425">
        <v>104.2</v>
      </c>
      <c r="H3425" t="s">
        <v>19</v>
      </c>
      <c r="I3425" t="s">
        <v>15</v>
      </c>
      <c r="J3425">
        <v>2.8</v>
      </c>
      <c r="K3425">
        <v>11</v>
      </c>
      <c r="L3425">
        <f t="shared" si="160"/>
        <v>92.738</v>
      </c>
      <c r="M3425">
        <v>3</v>
      </c>
      <c r="N3425" t="str">
        <f t="shared" si="161"/>
        <v>New</v>
      </c>
    </row>
    <row r="3426" spans="1:14" x14ac:dyDescent="0.35">
      <c r="A3426">
        <v>3425</v>
      </c>
      <c r="B3426">
        <v>37</v>
      </c>
      <c r="C3426" t="str">
        <f t="shared" si="159"/>
        <v>Adult</v>
      </c>
      <c r="D3426" t="s">
        <v>16</v>
      </c>
      <c r="E3426" t="s">
        <v>33</v>
      </c>
      <c r="F3426" t="s">
        <v>34</v>
      </c>
      <c r="G3426">
        <v>159.51</v>
      </c>
      <c r="H3426" t="s">
        <v>24</v>
      </c>
      <c r="I3426" t="s">
        <v>15</v>
      </c>
      <c r="J3426">
        <v>3.8</v>
      </c>
      <c r="K3426">
        <v>11</v>
      </c>
      <c r="L3426">
        <f t="shared" si="160"/>
        <v>141.9639</v>
      </c>
      <c r="M3426">
        <v>3</v>
      </c>
      <c r="N3426" t="str">
        <f t="shared" si="161"/>
        <v>New</v>
      </c>
    </row>
    <row r="3427" spans="1:14" x14ac:dyDescent="0.35">
      <c r="A3427">
        <v>3426</v>
      </c>
      <c r="B3427">
        <v>63</v>
      </c>
      <c r="C3427" t="str">
        <f t="shared" si="159"/>
        <v>Senior</v>
      </c>
      <c r="D3427" t="s">
        <v>16</v>
      </c>
      <c r="E3427" t="s">
        <v>17</v>
      </c>
      <c r="F3427" t="s">
        <v>42</v>
      </c>
      <c r="G3427">
        <v>163.47999999999999</v>
      </c>
      <c r="H3427" t="s">
        <v>14</v>
      </c>
      <c r="I3427" t="s">
        <v>15</v>
      </c>
      <c r="J3427">
        <v>4</v>
      </c>
      <c r="K3427">
        <v>18</v>
      </c>
      <c r="L3427">
        <f t="shared" si="160"/>
        <v>134.05359999999999</v>
      </c>
      <c r="M3427">
        <v>4</v>
      </c>
      <c r="N3427" t="str">
        <f t="shared" si="161"/>
        <v>Regular</v>
      </c>
    </row>
    <row r="3428" spans="1:14" x14ac:dyDescent="0.35">
      <c r="A3428">
        <v>3427</v>
      </c>
      <c r="B3428">
        <v>49</v>
      </c>
      <c r="C3428" t="str">
        <f t="shared" si="159"/>
        <v>Adult</v>
      </c>
      <c r="D3428" t="s">
        <v>11</v>
      </c>
      <c r="E3428" t="s">
        <v>22</v>
      </c>
      <c r="F3428" t="s">
        <v>52</v>
      </c>
      <c r="G3428">
        <v>106.24</v>
      </c>
      <c r="H3428" t="s">
        <v>24</v>
      </c>
      <c r="I3428" t="s">
        <v>15</v>
      </c>
      <c r="J3428">
        <v>3.5</v>
      </c>
      <c r="K3428">
        <v>16</v>
      </c>
      <c r="L3428">
        <f t="shared" si="160"/>
        <v>89.241599999999991</v>
      </c>
      <c r="M3428">
        <v>3</v>
      </c>
      <c r="N3428" t="str">
        <f t="shared" si="161"/>
        <v>New</v>
      </c>
    </row>
    <row r="3429" spans="1:14" x14ac:dyDescent="0.35">
      <c r="A3429">
        <v>3428</v>
      </c>
      <c r="B3429">
        <v>40</v>
      </c>
      <c r="C3429" t="str">
        <f t="shared" si="159"/>
        <v>Adult</v>
      </c>
      <c r="D3429" t="s">
        <v>16</v>
      </c>
      <c r="E3429" t="s">
        <v>27</v>
      </c>
      <c r="F3429" t="s">
        <v>53</v>
      </c>
      <c r="G3429">
        <v>1340.12</v>
      </c>
      <c r="H3429" t="s">
        <v>19</v>
      </c>
      <c r="I3429" t="s">
        <v>15</v>
      </c>
      <c r="J3429">
        <v>4.0999999999999996</v>
      </c>
      <c r="K3429">
        <v>28</v>
      </c>
      <c r="L3429">
        <f t="shared" si="160"/>
        <v>964.88639999999987</v>
      </c>
      <c r="M3429">
        <v>9</v>
      </c>
      <c r="N3429" t="str">
        <f t="shared" si="161"/>
        <v>Loyal</v>
      </c>
    </row>
    <row r="3430" spans="1:14" x14ac:dyDescent="0.35">
      <c r="A3430">
        <v>3429</v>
      </c>
      <c r="B3430">
        <v>55</v>
      </c>
      <c r="C3430" t="str">
        <f t="shared" si="159"/>
        <v>Adult</v>
      </c>
      <c r="D3430" t="s">
        <v>11</v>
      </c>
      <c r="E3430" t="s">
        <v>12</v>
      </c>
      <c r="F3430" t="s">
        <v>56</v>
      </c>
      <c r="G3430">
        <v>66.95</v>
      </c>
      <c r="H3430" t="s">
        <v>19</v>
      </c>
      <c r="I3430" t="s">
        <v>15</v>
      </c>
      <c r="J3430">
        <v>3.7</v>
      </c>
      <c r="K3430">
        <v>14</v>
      </c>
      <c r="L3430">
        <f t="shared" si="160"/>
        <v>57.576999999999998</v>
      </c>
      <c r="M3430">
        <v>2</v>
      </c>
      <c r="N3430" t="str">
        <f t="shared" si="161"/>
        <v>New</v>
      </c>
    </row>
    <row r="3431" spans="1:14" x14ac:dyDescent="0.35">
      <c r="A3431">
        <v>3430</v>
      </c>
      <c r="B3431">
        <v>50</v>
      </c>
      <c r="C3431" t="str">
        <f t="shared" si="159"/>
        <v>Adult</v>
      </c>
      <c r="D3431" t="s">
        <v>11</v>
      </c>
      <c r="E3431" t="s">
        <v>41</v>
      </c>
      <c r="F3431" t="s">
        <v>46</v>
      </c>
      <c r="G3431">
        <v>114.36</v>
      </c>
      <c r="H3431" t="s">
        <v>14</v>
      </c>
      <c r="I3431" t="s">
        <v>15</v>
      </c>
      <c r="J3431">
        <v>3.3</v>
      </c>
      <c r="K3431">
        <v>10</v>
      </c>
      <c r="L3431">
        <f t="shared" si="160"/>
        <v>102.92400000000001</v>
      </c>
      <c r="M3431">
        <v>5</v>
      </c>
      <c r="N3431" t="str">
        <f t="shared" si="161"/>
        <v>Regular</v>
      </c>
    </row>
    <row r="3432" spans="1:14" x14ac:dyDescent="0.35">
      <c r="A3432">
        <v>3431</v>
      </c>
      <c r="B3432">
        <v>63</v>
      </c>
      <c r="C3432" t="str">
        <f t="shared" si="159"/>
        <v>Senior</v>
      </c>
      <c r="D3432" t="s">
        <v>11</v>
      </c>
      <c r="E3432" t="s">
        <v>12</v>
      </c>
      <c r="F3432" t="s">
        <v>56</v>
      </c>
      <c r="G3432">
        <v>171.7</v>
      </c>
      <c r="H3432" t="s">
        <v>31</v>
      </c>
      <c r="I3432" t="s">
        <v>15</v>
      </c>
      <c r="J3432">
        <v>3.8</v>
      </c>
      <c r="K3432">
        <v>17</v>
      </c>
      <c r="L3432">
        <f t="shared" si="160"/>
        <v>142.511</v>
      </c>
      <c r="M3432">
        <v>6</v>
      </c>
      <c r="N3432" t="str">
        <f t="shared" si="161"/>
        <v>Regular</v>
      </c>
    </row>
    <row r="3433" spans="1:14" x14ac:dyDescent="0.35">
      <c r="A3433">
        <v>3432</v>
      </c>
      <c r="B3433">
        <v>36</v>
      </c>
      <c r="C3433" t="str">
        <f t="shared" si="159"/>
        <v>Adult</v>
      </c>
      <c r="D3433" t="s">
        <v>16</v>
      </c>
      <c r="E3433" t="s">
        <v>33</v>
      </c>
      <c r="F3433" t="s">
        <v>40</v>
      </c>
      <c r="G3433">
        <v>74.53</v>
      </c>
      <c r="H3433" t="s">
        <v>19</v>
      </c>
      <c r="I3433" t="s">
        <v>37</v>
      </c>
      <c r="J3433">
        <v>4.3</v>
      </c>
      <c r="K3433">
        <v>11</v>
      </c>
      <c r="L3433">
        <f t="shared" si="160"/>
        <v>66.331699999999998</v>
      </c>
      <c r="M3433">
        <v>3</v>
      </c>
      <c r="N3433" t="str">
        <f t="shared" si="161"/>
        <v>New</v>
      </c>
    </row>
    <row r="3434" spans="1:14" x14ac:dyDescent="0.35">
      <c r="A3434">
        <v>3433</v>
      </c>
      <c r="B3434">
        <v>34</v>
      </c>
      <c r="C3434" t="str">
        <f t="shared" si="159"/>
        <v>Adult</v>
      </c>
      <c r="D3434" t="s">
        <v>11</v>
      </c>
      <c r="E3434" t="s">
        <v>41</v>
      </c>
      <c r="F3434" t="s">
        <v>46</v>
      </c>
      <c r="G3434">
        <v>47.24</v>
      </c>
      <c r="H3434" t="s">
        <v>19</v>
      </c>
      <c r="I3434" t="s">
        <v>37</v>
      </c>
      <c r="J3434">
        <v>3.1</v>
      </c>
      <c r="K3434">
        <v>18</v>
      </c>
      <c r="L3434">
        <f t="shared" si="160"/>
        <v>38.736800000000002</v>
      </c>
      <c r="M3434">
        <v>4</v>
      </c>
      <c r="N3434" t="str">
        <f t="shared" si="161"/>
        <v>Regular</v>
      </c>
    </row>
    <row r="3435" spans="1:14" x14ac:dyDescent="0.35">
      <c r="A3435">
        <v>3434</v>
      </c>
      <c r="B3435">
        <v>70</v>
      </c>
      <c r="C3435" t="str">
        <f t="shared" si="159"/>
        <v>Senior</v>
      </c>
      <c r="D3435" t="s">
        <v>16</v>
      </c>
      <c r="E3435" t="s">
        <v>33</v>
      </c>
      <c r="F3435" t="s">
        <v>38</v>
      </c>
      <c r="G3435">
        <v>247.53</v>
      </c>
      <c r="H3435" t="s">
        <v>19</v>
      </c>
      <c r="I3435" t="s">
        <v>15</v>
      </c>
      <c r="J3435">
        <v>4.0999999999999996</v>
      </c>
      <c r="K3435">
        <v>12</v>
      </c>
      <c r="L3435">
        <f t="shared" si="160"/>
        <v>217.82640000000001</v>
      </c>
      <c r="M3435">
        <v>6</v>
      </c>
      <c r="N3435" t="str">
        <f t="shared" si="161"/>
        <v>Regular</v>
      </c>
    </row>
    <row r="3436" spans="1:14" x14ac:dyDescent="0.35">
      <c r="A3436">
        <v>3435</v>
      </c>
      <c r="B3436">
        <v>65</v>
      </c>
      <c r="C3436" t="str">
        <f t="shared" si="159"/>
        <v>Senior</v>
      </c>
      <c r="D3436" t="s">
        <v>11</v>
      </c>
      <c r="E3436" t="s">
        <v>29</v>
      </c>
      <c r="F3436" t="s">
        <v>30</v>
      </c>
      <c r="G3436">
        <v>119.15</v>
      </c>
      <c r="H3436" t="s">
        <v>31</v>
      </c>
      <c r="I3436" t="s">
        <v>15</v>
      </c>
      <c r="J3436">
        <v>2.9</v>
      </c>
      <c r="K3436">
        <v>18</v>
      </c>
      <c r="L3436">
        <f t="shared" si="160"/>
        <v>97.703000000000017</v>
      </c>
      <c r="M3436">
        <v>4</v>
      </c>
      <c r="N3436" t="str">
        <f t="shared" si="161"/>
        <v>Regular</v>
      </c>
    </row>
    <row r="3437" spans="1:14" x14ac:dyDescent="0.35">
      <c r="A3437">
        <v>3436</v>
      </c>
      <c r="B3437">
        <v>38</v>
      </c>
      <c r="C3437" t="str">
        <f t="shared" si="159"/>
        <v>Adult</v>
      </c>
      <c r="D3437" t="s">
        <v>16</v>
      </c>
      <c r="E3437" t="s">
        <v>27</v>
      </c>
      <c r="F3437" t="s">
        <v>28</v>
      </c>
      <c r="G3437">
        <v>2077.59</v>
      </c>
      <c r="H3437" t="s">
        <v>24</v>
      </c>
      <c r="I3437" t="s">
        <v>15</v>
      </c>
      <c r="J3437">
        <v>3.2</v>
      </c>
      <c r="K3437">
        <v>8</v>
      </c>
      <c r="L3437">
        <f t="shared" si="160"/>
        <v>1911.3828000000003</v>
      </c>
      <c r="M3437">
        <v>4</v>
      </c>
      <c r="N3437" t="str">
        <f t="shared" si="161"/>
        <v>Regular</v>
      </c>
    </row>
    <row r="3438" spans="1:14" x14ac:dyDescent="0.35">
      <c r="A3438">
        <v>3437</v>
      </c>
      <c r="B3438">
        <v>24</v>
      </c>
      <c r="C3438" t="str">
        <f t="shared" si="159"/>
        <v>Youth</v>
      </c>
      <c r="D3438" t="s">
        <v>16</v>
      </c>
      <c r="E3438" t="s">
        <v>27</v>
      </c>
      <c r="F3438" t="s">
        <v>28</v>
      </c>
      <c r="G3438">
        <v>2160.6799999999998</v>
      </c>
      <c r="H3438" t="s">
        <v>24</v>
      </c>
      <c r="I3438" t="s">
        <v>15</v>
      </c>
      <c r="J3438">
        <v>2.7</v>
      </c>
      <c r="K3438">
        <v>6</v>
      </c>
      <c r="L3438">
        <f t="shared" si="160"/>
        <v>2031.0391999999997</v>
      </c>
      <c r="M3438">
        <v>3</v>
      </c>
      <c r="N3438" t="str">
        <f t="shared" si="161"/>
        <v>New</v>
      </c>
    </row>
    <row r="3439" spans="1:14" x14ac:dyDescent="0.35">
      <c r="A3439">
        <v>3438</v>
      </c>
      <c r="B3439">
        <v>45</v>
      </c>
      <c r="C3439" t="str">
        <f t="shared" si="159"/>
        <v>Adult</v>
      </c>
      <c r="D3439" t="s">
        <v>16</v>
      </c>
      <c r="E3439" t="s">
        <v>33</v>
      </c>
      <c r="F3439" t="s">
        <v>38</v>
      </c>
      <c r="G3439">
        <v>179.48</v>
      </c>
      <c r="H3439" t="s">
        <v>14</v>
      </c>
      <c r="I3439" t="s">
        <v>15</v>
      </c>
      <c r="J3439">
        <v>3.9</v>
      </c>
      <c r="K3439">
        <v>13</v>
      </c>
      <c r="L3439">
        <f t="shared" si="160"/>
        <v>156.14759999999998</v>
      </c>
      <c r="M3439">
        <v>4</v>
      </c>
      <c r="N3439" t="str">
        <f t="shared" si="161"/>
        <v>Regular</v>
      </c>
    </row>
    <row r="3440" spans="1:14" x14ac:dyDescent="0.35">
      <c r="A3440">
        <v>3439</v>
      </c>
      <c r="B3440">
        <v>63</v>
      </c>
      <c r="C3440" t="str">
        <f t="shared" si="159"/>
        <v>Senior</v>
      </c>
      <c r="D3440" t="s">
        <v>16</v>
      </c>
      <c r="E3440" t="s">
        <v>22</v>
      </c>
      <c r="F3440" t="s">
        <v>52</v>
      </c>
      <c r="G3440">
        <v>49.32</v>
      </c>
      <c r="H3440" t="s">
        <v>24</v>
      </c>
      <c r="I3440" t="s">
        <v>37</v>
      </c>
      <c r="J3440">
        <v>3.6</v>
      </c>
      <c r="K3440">
        <v>18</v>
      </c>
      <c r="L3440">
        <f t="shared" si="160"/>
        <v>40.442400000000006</v>
      </c>
      <c r="M3440">
        <v>4</v>
      </c>
      <c r="N3440" t="str">
        <f t="shared" si="161"/>
        <v>Regular</v>
      </c>
    </row>
    <row r="3441" spans="1:14" x14ac:dyDescent="0.35">
      <c r="A3441">
        <v>3440</v>
      </c>
      <c r="B3441">
        <v>55</v>
      </c>
      <c r="C3441" t="str">
        <f t="shared" si="159"/>
        <v>Adult</v>
      </c>
      <c r="D3441" t="s">
        <v>16</v>
      </c>
      <c r="E3441" t="s">
        <v>27</v>
      </c>
      <c r="F3441" t="s">
        <v>53</v>
      </c>
      <c r="G3441">
        <v>844.6</v>
      </c>
      <c r="H3441" t="s">
        <v>24</v>
      </c>
      <c r="I3441" t="s">
        <v>15</v>
      </c>
      <c r="J3441">
        <v>4.7</v>
      </c>
      <c r="K3441">
        <v>4</v>
      </c>
      <c r="L3441">
        <f t="shared" si="160"/>
        <v>810.81600000000003</v>
      </c>
      <c r="M3441">
        <v>2</v>
      </c>
      <c r="N3441" t="str">
        <f t="shared" si="161"/>
        <v>New</v>
      </c>
    </row>
    <row r="3442" spans="1:14" x14ac:dyDescent="0.35">
      <c r="A3442">
        <v>3441</v>
      </c>
      <c r="B3442">
        <v>58</v>
      </c>
      <c r="C3442" t="str">
        <f t="shared" si="159"/>
        <v>Adult</v>
      </c>
      <c r="D3442" t="s">
        <v>11</v>
      </c>
      <c r="E3442" t="s">
        <v>25</v>
      </c>
      <c r="F3442" t="s">
        <v>54</v>
      </c>
      <c r="G3442">
        <v>61.51</v>
      </c>
      <c r="H3442" t="s">
        <v>14</v>
      </c>
      <c r="I3442" t="s">
        <v>15</v>
      </c>
      <c r="J3442">
        <v>2.9</v>
      </c>
      <c r="K3442">
        <v>10</v>
      </c>
      <c r="L3442">
        <f t="shared" si="160"/>
        <v>55.359000000000002</v>
      </c>
      <c r="M3442">
        <v>5</v>
      </c>
      <c r="N3442" t="str">
        <f t="shared" si="161"/>
        <v>Regular</v>
      </c>
    </row>
    <row r="3443" spans="1:14" x14ac:dyDescent="0.35">
      <c r="A3443">
        <v>3442</v>
      </c>
      <c r="B3443">
        <v>20</v>
      </c>
      <c r="C3443" t="str">
        <f t="shared" si="159"/>
        <v>Youth</v>
      </c>
      <c r="D3443" t="s">
        <v>16</v>
      </c>
      <c r="E3443" t="s">
        <v>27</v>
      </c>
      <c r="F3443" t="s">
        <v>28</v>
      </c>
      <c r="G3443">
        <v>1267.3900000000001</v>
      </c>
      <c r="H3443" t="s">
        <v>31</v>
      </c>
      <c r="I3443" t="s">
        <v>15</v>
      </c>
      <c r="J3443">
        <v>3.5</v>
      </c>
      <c r="K3443">
        <v>6</v>
      </c>
      <c r="L3443">
        <f t="shared" si="160"/>
        <v>1191.3466000000001</v>
      </c>
      <c r="M3443">
        <v>3</v>
      </c>
      <c r="N3443" t="str">
        <f t="shared" si="161"/>
        <v>New</v>
      </c>
    </row>
    <row r="3444" spans="1:14" x14ac:dyDescent="0.35">
      <c r="A3444">
        <v>3443</v>
      </c>
      <c r="B3444">
        <v>51</v>
      </c>
      <c r="C3444" t="str">
        <f t="shared" si="159"/>
        <v>Adult</v>
      </c>
      <c r="D3444" t="s">
        <v>11</v>
      </c>
      <c r="E3444" t="s">
        <v>12</v>
      </c>
      <c r="F3444" t="s">
        <v>13</v>
      </c>
      <c r="G3444">
        <v>89.15</v>
      </c>
      <c r="H3444" t="s">
        <v>31</v>
      </c>
      <c r="I3444" t="s">
        <v>37</v>
      </c>
      <c r="J3444">
        <v>3</v>
      </c>
      <c r="K3444">
        <v>14</v>
      </c>
      <c r="L3444">
        <f t="shared" si="160"/>
        <v>76.668999999999997</v>
      </c>
      <c r="M3444">
        <v>7</v>
      </c>
      <c r="N3444" t="str">
        <f t="shared" si="161"/>
        <v>Regular</v>
      </c>
    </row>
    <row r="3445" spans="1:14" x14ac:dyDescent="0.35">
      <c r="A3445">
        <v>3444</v>
      </c>
      <c r="B3445">
        <v>59</v>
      </c>
      <c r="C3445" t="str">
        <f t="shared" si="159"/>
        <v>Adult</v>
      </c>
      <c r="D3445" t="s">
        <v>11</v>
      </c>
      <c r="E3445" t="s">
        <v>29</v>
      </c>
      <c r="F3445" t="s">
        <v>30</v>
      </c>
      <c r="G3445">
        <v>31.16</v>
      </c>
      <c r="H3445" t="s">
        <v>14</v>
      </c>
      <c r="I3445" t="s">
        <v>37</v>
      </c>
      <c r="J3445">
        <v>3.7</v>
      </c>
      <c r="K3445">
        <v>15</v>
      </c>
      <c r="L3445">
        <f t="shared" si="160"/>
        <v>26.486000000000001</v>
      </c>
      <c r="M3445">
        <v>5</v>
      </c>
      <c r="N3445" t="str">
        <f t="shared" si="161"/>
        <v>Regular</v>
      </c>
    </row>
    <row r="3446" spans="1:14" x14ac:dyDescent="0.35">
      <c r="A3446">
        <v>3445</v>
      </c>
      <c r="B3446">
        <v>20</v>
      </c>
      <c r="C3446" t="str">
        <f t="shared" si="159"/>
        <v>Youth</v>
      </c>
      <c r="D3446" t="s">
        <v>11</v>
      </c>
      <c r="E3446" t="s">
        <v>25</v>
      </c>
      <c r="F3446" t="s">
        <v>47</v>
      </c>
      <c r="G3446">
        <v>40.090000000000003</v>
      </c>
      <c r="H3446" t="s">
        <v>19</v>
      </c>
      <c r="I3446" t="s">
        <v>37</v>
      </c>
      <c r="J3446">
        <v>4.9000000000000004</v>
      </c>
      <c r="K3446">
        <v>20</v>
      </c>
      <c r="L3446">
        <f t="shared" si="160"/>
        <v>32.072000000000003</v>
      </c>
      <c r="M3446">
        <v>5</v>
      </c>
      <c r="N3446" t="str">
        <f t="shared" si="161"/>
        <v>Regular</v>
      </c>
    </row>
    <row r="3447" spans="1:14" x14ac:dyDescent="0.35">
      <c r="A3447">
        <v>3446</v>
      </c>
      <c r="B3447">
        <v>33</v>
      </c>
      <c r="C3447" t="str">
        <f t="shared" si="159"/>
        <v>Adult</v>
      </c>
      <c r="D3447" t="s">
        <v>11</v>
      </c>
      <c r="E3447" t="s">
        <v>33</v>
      </c>
      <c r="F3447" t="s">
        <v>40</v>
      </c>
      <c r="G3447">
        <v>94.64</v>
      </c>
      <c r="H3447" t="s">
        <v>31</v>
      </c>
      <c r="I3447" t="s">
        <v>37</v>
      </c>
      <c r="J3447">
        <v>4.9000000000000004</v>
      </c>
      <c r="K3447">
        <v>20</v>
      </c>
      <c r="L3447">
        <f t="shared" si="160"/>
        <v>75.712000000000003</v>
      </c>
      <c r="M3447">
        <v>5</v>
      </c>
      <c r="N3447" t="str">
        <f t="shared" si="161"/>
        <v>Regular</v>
      </c>
    </row>
    <row r="3448" spans="1:14" x14ac:dyDescent="0.35">
      <c r="A3448">
        <v>3447</v>
      </c>
      <c r="B3448">
        <v>46</v>
      </c>
      <c r="C3448" t="str">
        <f t="shared" si="159"/>
        <v>Adult</v>
      </c>
      <c r="D3448" t="s">
        <v>11</v>
      </c>
      <c r="E3448" t="s">
        <v>25</v>
      </c>
      <c r="F3448" t="s">
        <v>47</v>
      </c>
      <c r="G3448">
        <v>47.53</v>
      </c>
      <c r="H3448" t="s">
        <v>24</v>
      </c>
      <c r="I3448" t="s">
        <v>37</v>
      </c>
      <c r="J3448">
        <v>3.4</v>
      </c>
      <c r="K3448">
        <v>11</v>
      </c>
      <c r="L3448">
        <f t="shared" si="160"/>
        <v>42.301700000000004</v>
      </c>
      <c r="M3448">
        <v>3</v>
      </c>
      <c r="N3448" t="str">
        <f t="shared" si="161"/>
        <v>New</v>
      </c>
    </row>
    <row r="3449" spans="1:14" x14ac:dyDescent="0.35">
      <c r="A3449">
        <v>3448</v>
      </c>
      <c r="B3449">
        <v>29</v>
      </c>
      <c r="C3449" t="str">
        <f t="shared" si="159"/>
        <v>Youth</v>
      </c>
      <c r="D3449" t="s">
        <v>16</v>
      </c>
      <c r="E3449" t="s">
        <v>33</v>
      </c>
      <c r="F3449" t="s">
        <v>40</v>
      </c>
      <c r="G3449">
        <v>51.72</v>
      </c>
      <c r="H3449" t="s">
        <v>24</v>
      </c>
      <c r="I3449" t="s">
        <v>15</v>
      </c>
      <c r="J3449">
        <v>3.9</v>
      </c>
      <c r="K3449">
        <v>17</v>
      </c>
      <c r="L3449">
        <f t="shared" si="160"/>
        <v>42.927599999999998</v>
      </c>
      <c r="M3449">
        <v>6</v>
      </c>
      <c r="N3449" t="str">
        <f t="shared" si="161"/>
        <v>Regular</v>
      </c>
    </row>
    <row r="3450" spans="1:14" x14ac:dyDescent="0.35">
      <c r="A3450">
        <v>3449</v>
      </c>
      <c r="B3450">
        <v>59</v>
      </c>
      <c r="C3450" t="str">
        <f t="shared" si="159"/>
        <v>Adult</v>
      </c>
      <c r="D3450" t="s">
        <v>11</v>
      </c>
      <c r="E3450" t="s">
        <v>25</v>
      </c>
      <c r="F3450" t="s">
        <v>57</v>
      </c>
      <c r="G3450">
        <v>63.38</v>
      </c>
      <c r="H3450" t="s">
        <v>14</v>
      </c>
      <c r="I3450" t="s">
        <v>15</v>
      </c>
      <c r="J3450">
        <v>3.1</v>
      </c>
      <c r="K3450">
        <v>26</v>
      </c>
      <c r="L3450">
        <f t="shared" si="160"/>
        <v>46.901200000000003</v>
      </c>
      <c r="M3450">
        <v>8</v>
      </c>
      <c r="N3450" t="str">
        <f t="shared" si="161"/>
        <v>Loyal</v>
      </c>
    </row>
    <row r="3451" spans="1:14" x14ac:dyDescent="0.35">
      <c r="A3451">
        <v>3450</v>
      </c>
      <c r="B3451">
        <v>37</v>
      </c>
      <c r="C3451" t="str">
        <f t="shared" si="159"/>
        <v>Adult</v>
      </c>
      <c r="D3451" t="s">
        <v>11</v>
      </c>
      <c r="E3451" t="s">
        <v>29</v>
      </c>
      <c r="F3451" t="s">
        <v>30</v>
      </c>
      <c r="G3451">
        <v>37.64</v>
      </c>
      <c r="H3451" t="s">
        <v>19</v>
      </c>
      <c r="I3451" t="s">
        <v>15</v>
      </c>
      <c r="J3451">
        <v>2.9</v>
      </c>
      <c r="K3451">
        <v>15</v>
      </c>
      <c r="L3451">
        <f t="shared" si="160"/>
        <v>31.994</v>
      </c>
      <c r="M3451">
        <v>5</v>
      </c>
      <c r="N3451" t="str">
        <f t="shared" si="161"/>
        <v>Regular</v>
      </c>
    </row>
    <row r="3452" spans="1:14" x14ac:dyDescent="0.35">
      <c r="A3452">
        <v>3451</v>
      </c>
      <c r="B3452">
        <v>43</v>
      </c>
      <c r="C3452" t="str">
        <f t="shared" si="159"/>
        <v>Adult</v>
      </c>
      <c r="D3452" t="s">
        <v>11</v>
      </c>
      <c r="E3452" t="s">
        <v>33</v>
      </c>
      <c r="F3452" t="s">
        <v>38</v>
      </c>
      <c r="G3452">
        <v>183.45</v>
      </c>
      <c r="H3452" t="s">
        <v>14</v>
      </c>
      <c r="I3452" t="s">
        <v>15</v>
      </c>
      <c r="J3452">
        <v>4.4000000000000004</v>
      </c>
      <c r="K3452">
        <v>28</v>
      </c>
      <c r="L3452">
        <f t="shared" si="160"/>
        <v>132.08399999999997</v>
      </c>
      <c r="M3452">
        <v>9</v>
      </c>
      <c r="N3452" t="str">
        <f t="shared" si="161"/>
        <v>Loyal</v>
      </c>
    </row>
    <row r="3453" spans="1:14" x14ac:dyDescent="0.35">
      <c r="A3453">
        <v>3452</v>
      </c>
      <c r="B3453">
        <v>38</v>
      </c>
      <c r="C3453" t="str">
        <f t="shared" si="159"/>
        <v>Adult</v>
      </c>
      <c r="D3453" t="s">
        <v>11</v>
      </c>
      <c r="E3453" t="s">
        <v>20</v>
      </c>
      <c r="F3453" t="s">
        <v>39</v>
      </c>
      <c r="G3453">
        <v>103.8</v>
      </c>
      <c r="H3453" t="s">
        <v>31</v>
      </c>
      <c r="I3453" t="s">
        <v>15</v>
      </c>
      <c r="J3453">
        <v>3.4</v>
      </c>
      <c r="K3453">
        <v>21</v>
      </c>
      <c r="L3453">
        <f t="shared" si="160"/>
        <v>82.001999999999995</v>
      </c>
      <c r="M3453">
        <v>8</v>
      </c>
      <c r="N3453" t="str">
        <f t="shared" si="161"/>
        <v>Loyal</v>
      </c>
    </row>
    <row r="3454" spans="1:14" x14ac:dyDescent="0.35">
      <c r="A3454">
        <v>3453</v>
      </c>
      <c r="B3454">
        <v>25</v>
      </c>
      <c r="C3454" t="str">
        <f t="shared" si="159"/>
        <v>Youth</v>
      </c>
      <c r="D3454" t="s">
        <v>16</v>
      </c>
      <c r="E3454" t="s">
        <v>17</v>
      </c>
      <c r="F3454" t="s">
        <v>35</v>
      </c>
      <c r="G3454">
        <v>86.2</v>
      </c>
      <c r="H3454" t="s">
        <v>19</v>
      </c>
      <c r="I3454" t="s">
        <v>15</v>
      </c>
      <c r="J3454">
        <v>3.9</v>
      </c>
      <c r="K3454">
        <v>25</v>
      </c>
      <c r="L3454">
        <f t="shared" si="160"/>
        <v>64.650000000000006</v>
      </c>
      <c r="M3454">
        <v>10</v>
      </c>
      <c r="N3454" t="str">
        <f t="shared" si="161"/>
        <v>Loyal</v>
      </c>
    </row>
    <row r="3455" spans="1:14" x14ac:dyDescent="0.35">
      <c r="A3455">
        <v>3454</v>
      </c>
      <c r="B3455">
        <v>25</v>
      </c>
      <c r="C3455" t="str">
        <f t="shared" si="159"/>
        <v>Youth</v>
      </c>
      <c r="D3455" t="s">
        <v>16</v>
      </c>
      <c r="E3455" t="s">
        <v>20</v>
      </c>
      <c r="F3455" t="s">
        <v>36</v>
      </c>
      <c r="G3455">
        <v>134.38</v>
      </c>
      <c r="H3455" t="s">
        <v>24</v>
      </c>
      <c r="I3455" t="s">
        <v>15</v>
      </c>
      <c r="J3455">
        <v>3.8</v>
      </c>
      <c r="K3455">
        <v>9</v>
      </c>
      <c r="L3455">
        <f t="shared" si="160"/>
        <v>122.28579999999999</v>
      </c>
      <c r="M3455">
        <v>2</v>
      </c>
      <c r="N3455" t="str">
        <f t="shared" si="161"/>
        <v>New</v>
      </c>
    </row>
    <row r="3456" spans="1:14" x14ac:dyDescent="0.35">
      <c r="A3456">
        <v>3455</v>
      </c>
      <c r="B3456">
        <v>50</v>
      </c>
      <c r="C3456" t="str">
        <f t="shared" si="159"/>
        <v>Adult</v>
      </c>
      <c r="D3456" t="s">
        <v>16</v>
      </c>
      <c r="E3456" t="s">
        <v>27</v>
      </c>
      <c r="F3456" t="s">
        <v>53</v>
      </c>
      <c r="G3456">
        <v>2994.62</v>
      </c>
      <c r="H3456" t="s">
        <v>14</v>
      </c>
      <c r="I3456" t="s">
        <v>15</v>
      </c>
      <c r="J3456">
        <v>3.6</v>
      </c>
      <c r="K3456">
        <v>25</v>
      </c>
      <c r="L3456">
        <f t="shared" si="160"/>
        <v>2245.9650000000001</v>
      </c>
      <c r="M3456">
        <v>10</v>
      </c>
      <c r="N3456" t="str">
        <f t="shared" si="161"/>
        <v>Loyal</v>
      </c>
    </row>
    <row r="3457" spans="1:14" x14ac:dyDescent="0.35">
      <c r="A3457">
        <v>3456</v>
      </c>
      <c r="B3457">
        <v>23</v>
      </c>
      <c r="C3457" t="str">
        <f t="shared" si="159"/>
        <v>Youth</v>
      </c>
      <c r="D3457" t="s">
        <v>11</v>
      </c>
      <c r="E3457" t="s">
        <v>41</v>
      </c>
      <c r="F3457" t="s">
        <v>42</v>
      </c>
      <c r="G3457">
        <v>130.04</v>
      </c>
      <c r="H3457" t="s">
        <v>19</v>
      </c>
      <c r="I3457" t="s">
        <v>15</v>
      </c>
      <c r="J3457">
        <v>3.8</v>
      </c>
      <c r="K3457">
        <v>20</v>
      </c>
      <c r="L3457">
        <f t="shared" si="160"/>
        <v>104.032</v>
      </c>
      <c r="M3457">
        <v>5</v>
      </c>
      <c r="N3457" t="str">
        <f t="shared" si="161"/>
        <v>Regular</v>
      </c>
    </row>
    <row r="3458" spans="1:14" x14ac:dyDescent="0.35">
      <c r="A3458">
        <v>3457</v>
      </c>
      <c r="B3458">
        <v>44</v>
      </c>
      <c r="C3458" t="str">
        <f t="shared" si="159"/>
        <v>Adult</v>
      </c>
      <c r="D3458" t="s">
        <v>11</v>
      </c>
      <c r="E3458" t="s">
        <v>22</v>
      </c>
      <c r="F3458" t="s">
        <v>43</v>
      </c>
      <c r="G3458">
        <v>218.77</v>
      </c>
      <c r="H3458" t="s">
        <v>24</v>
      </c>
      <c r="I3458" t="s">
        <v>15</v>
      </c>
      <c r="J3458">
        <v>5</v>
      </c>
      <c r="K3458">
        <v>28</v>
      </c>
      <c r="L3458">
        <f t="shared" si="160"/>
        <v>157.51439999999999</v>
      </c>
      <c r="M3458">
        <v>9</v>
      </c>
      <c r="N3458" t="str">
        <f t="shared" si="161"/>
        <v>Loyal</v>
      </c>
    </row>
    <row r="3459" spans="1:14" x14ac:dyDescent="0.35">
      <c r="A3459">
        <v>3458</v>
      </c>
      <c r="B3459">
        <v>33</v>
      </c>
      <c r="C3459" t="str">
        <f t="shared" ref="C3459:C3522" si="162">IF(B3459&lt;=30,"Youth",IF(B3459&lt;=45,"Adult",IF(B3459&lt;=60,"Adult","Senior")))</f>
        <v>Adult</v>
      </c>
      <c r="D3459" t="s">
        <v>11</v>
      </c>
      <c r="E3459" t="s">
        <v>41</v>
      </c>
      <c r="F3459" t="s">
        <v>44</v>
      </c>
      <c r="G3459">
        <v>110.92</v>
      </c>
      <c r="H3459" t="s">
        <v>24</v>
      </c>
      <c r="I3459" t="s">
        <v>15</v>
      </c>
      <c r="J3459">
        <v>3.7</v>
      </c>
      <c r="K3459">
        <v>10</v>
      </c>
      <c r="L3459">
        <f t="shared" ref="L3459:L3522" si="163">G3459*(1-K3459/100)</f>
        <v>99.828000000000003</v>
      </c>
      <c r="M3459">
        <v>5</v>
      </c>
      <c r="N3459" t="str">
        <f t="shared" ref="N3459:N3522" si="164">IF(M3459&lt;=3,"New",IF(M3459&lt;=7,"Regular","Loyal"))</f>
        <v>Regular</v>
      </c>
    </row>
    <row r="3460" spans="1:14" x14ac:dyDescent="0.35">
      <c r="A3460">
        <v>3459</v>
      </c>
      <c r="B3460">
        <v>20</v>
      </c>
      <c r="C3460" t="str">
        <f t="shared" si="162"/>
        <v>Youth</v>
      </c>
      <c r="D3460" t="s">
        <v>16</v>
      </c>
      <c r="E3460" t="s">
        <v>25</v>
      </c>
      <c r="F3460" t="s">
        <v>57</v>
      </c>
      <c r="G3460">
        <v>31.55</v>
      </c>
      <c r="H3460" t="s">
        <v>14</v>
      </c>
      <c r="I3460" t="s">
        <v>37</v>
      </c>
      <c r="J3460">
        <v>4.3</v>
      </c>
      <c r="K3460">
        <v>12</v>
      </c>
      <c r="L3460">
        <f t="shared" si="163"/>
        <v>27.763999999999999</v>
      </c>
      <c r="M3460">
        <v>1</v>
      </c>
      <c r="N3460" t="str">
        <f t="shared" si="164"/>
        <v>New</v>
      </c>
    </row>
    <row r="3461" spans="1:14" x14ac:dyDescent="0.35">
      <c r="A3461">
        <v>3460</v>
      </c>
      <c r="B3461">
        <v>56</v>
      </c>
      <c r="C3461" t="str">
        <f t="shared" si="162"/>
        <v>Adult</v>
      </c>
      <c r="D3461" t="s">
        <v>11</v>
      </c>
      <c r="E3461" t="s">
        <v>41</v>
      </c>
      <c r="F3461" t="s">
        <v>44</v>
      </c>
      <c r="G3461">
        <v>66.72</v>
      </c>
      <c r="H3461" t="s">
        <v>24</v>
      </c>
      <c r="I3461" t="s">
        <v>15</v>
      </c>
      <c r="J3461">
        <v>4.8</v>
      </c>
      <c r="K3461">
        <v>20</v>
      </c>
      <c r="L3461">
        <f t="shared" si="163"/>
        <v>53.376000000000005</v>
      </c>
      <c r="M3461">
        <v>5</v>
      </c>
      <c r="N3461" t="str">
        <f t="shared" si="164"/>
        <v>Regular</v>
      </c>
    </row>
    <row r="3462" spans="1:14" x14ac:dyDescent="0.35">
      <c r="A3462">
        <v>3461</v>
      </c>
      <c r="B3462">
        <v>70</v>
      </c>
      <c r="C3462" t="str">
        <f t="shared" si="162"/>
        <v>Senior</v>
      </c>
      <c r="D3462" t="s">
        <v>16</v>
      </c>
      <c r="E3462" t="s">
        <v>33</v>
      </c>
      <c r="F3462" t="s">
        <v>38</v>
      </c>
      <c r="G3462">
        <v>216.39</v>
      </c>
      <c r="H3462" t="s">
        <v>31</v>
      </c>
      <c r="I3462" t="s">
        <v>15</v>
      </c>
      <c r="J3462">
        <v>4.5</v>
      </c>
      <c r="K3462">
        <v>14</v>
      </c>
      <c r="L3462">
        <f t="shared" si="163"/>
        <v>186.09539999999998</v>
      </c>
      <c r="M3462">
        <v>2</v>
      </c>
      <c r="N3462" t="str">
        <f t="shared" si="164"/>
        <v>New</v>
      </c>
    </row>
    <row r="3463" spans="1:14" x14ac:dyDescent="0.35">
      <c r="A3463">
        <v>3462</v>
      </c>
      <c r="B3463">
        <v>55</v>
      </c>
      <c r="C3463" t="str">
        <f t="shared" si="162"/>
        <v>Adult</v>
      </c>
      <c r="D3463" t="s">
        <v>11</v>
      </c>
      <c r="E3463" t="s">
        <v>33</v>
      </c>
      <c r="F3463" t="s">
        <v>34</v>
      </c>
      <c r="G3463">
        <v>166.18</v>
      </c>
      <c r="H3463" t="s">
        <v>31</v>
      </c>
      <c r="I3463" t="s">
        <v>15</v>
      </c>
      <c r="J3463">
        <v>4.0999999999999996</v>
      </c>
      <c r="K3463">
        <v>6</v>
      </c>
      <c r="L3463">
        <f t="shared" si="163"/>
        <v>156.20920000000001</v>
      </c>
      <c r="M3463">
        <v>3</v>
      </c>
      <c r="N3463" t="str">
        <f t="shared" si="164"/>
        <v>New</v>
      </c>
    </row>
    <row r="3464" spans="1:14" x14ac:dyDescent="0.35">
      <c r="A3464">
        <v>3463</v>
      </c>
      <c r="B3464">
        <v>24</v>
      </c>
      <c r="C3464" t="str">
        <f t="shared" si="162"/>
        <v>Youth</v>
      </c>
      <c r="D3464" t="s">
        <v>16</v>
      </c>
      <c r="E3464" t="s">
        <v>33</v>
      </c>
      <c r="F3464" t="s">
        <v>38</v>
      </c>
      <c r="G3464">
        <v>74.739999999999995</v>
      </c>
      <c r="H3464" t="s">
        <v>31</v>
      </c>
      <c r="I3464" t="s">
        <v>37</v>
      </c>
      <c r="J3464">
        <v>4.0999999999999996</v>
      </c>
      <c r="K3464">
        <v>14</v>
      </c>
      <c r="L3464">
        <f t="shared" si="163"/>
        <v>64.276399999999995</v>
      </c>
      <c r="M3464">
        <v>7</v>
      </c>
      <c r="N3464" t="str">
        <f t="shared" si="164"/>
        <v>Regular</v>
      </c>
    </row>
    <row r="3465" spans="1:14" x14ac:dyDescent="0.35">
      <c r="A3465">
        <v>3464</v>
      </c>
      <c r="B3465">
        <v>34</v>
      </c>
      <c r="C3465" t="str">
        <f t="shared" si="162"/>
        <v>Adult</v>
      </c>
      <c r="D3465" t="s">
        <v>11</v>
      </c>
      <c r="E3465" t="s">
        <v>41</v>
      </c>
      <c r="F3465" t="s">
        <v>44</v>
      </c>
      <c r="G3465">
        <v>77.55</v>
      </c>
      <c r="H3465" t="s">
        <v>19</v>
      </c>
      <c r="I3465" t="s">
        <v>37</v>
      </c>
      <c r="J3465">
        <v>4.2</v>
      </c>
      <c r="K3465">
        <v>10</v>
      </c>
      <c r="L3465">
        <f t="shared" si="163"/>
        <v>69.795000000000002</v>
      </c>
      <c r="M3465">
        <v>5</v>
      </c>
      <c r="N3465" t="str">
        <f t="shared" si="164"/>
        <v>Regular</v>
      </c>
    </row>
    <row r="3466" spans="1:14" x14ac:dyDescent="0.35">
      <c r="A3466">
        <v>3465</v>
      </c>
      <c r="B3466">
        <v>45</v>
      </c>
      <c r="C3466" t="str">
        <f t="shared" si="162"/>
        <v>Adult</v>
      </c>
      <c r="D3466" t="s">
        <v>11</v>
      </c>
      <c r="E3466" t="s">
        <v>33</v>
      </c>
      <c r="F3466" t="s">
        <v>40</v>
      </c>
      <c r="G3466">
        <v>66.040000000000006</v>
      </c>
      <c r="H3466" t="s">
        <v>19</v>
      </c>
      <c r="I3466" t="s">
        <v>15</v>
      </c>
      <c r="J3466">
        <v>3.7</v>
      </c>
      <c r="K3466">
        <v>11</v>
      </c>
      <c r="L3466">
        <f t="shared" si="163"/>
        <v>58.775600000000004</v>
      </c>
      <c r="M3466">
        <v>3</v>
      </c>
      <c r="N3466" t="str">
        <f t="shared" si="164"/>
        <v>New</v>
      </c>
    </row>
    <row r="3467" spans="1:14" x14ac:dyDescent="0.35">
      <c r="A3467">
        <v>3466</v>
      </c>
      <c r="B3467">
        <v>49</v>
      </c>
      <c r="C3467" t="str">
        <f t="shared" si="162"/>
        <v>Adult</v>
      </c>
      <c r="D3467" t="s">
        <v>16</v>
      </c>
      <c r="E3467" t="s">
        <v>33</v>
      </c>
      <c r="F3467" t="s">
        <v>34</v>
      </c>
      <c r="G3467">
        <v>101</v>
      </c>
      <c r="H3467" t="s">
        <v>14</v>
      </c>
      <c r="I3467" t="s">
        <v>15</v>
      </c>
      <c r="J3467">
        <v>4.5999999999999996</v>
      </c>
      <c r="K3467">
        <v>18</v>
      </c>
      <c r="L3467">
        <f t="shared" si="163"/>
        <v>82.820000000000007</v>
      </c>
      <c r="M3467">
        <v>9</v>
      </c>
      <c r="N3467" t="str">
        <f t="shared" si="164"/>
        <v>Loyal</v>
      </c>
    </row>
    <row r="3468" spans="1:14" x14ac:dyDescent="0.35">
      <c r="A3468">
        <v>3467</v>
      </c>
      <c r="B3468">
        <v>68</v>
      </c>
      <c r="C3468" t="str">
        <f t="shared" si="162"/>
        <v>Senior</v>
      </c>
      <c r="D3468" t="s">
        <v>11</v>
      </c>
      <c r="E3468" t="s">
        <v>29</v>
      </c>
      <c r="F3468" t="s">
        <v>30</v>
      </c>
      <c r="G3468">
        <v>110.3</v>
      </c>
      <c r="H3468" t="s">
        <v>19</v>
      </c>
      <c r="I3468" t="s">
        <v>15</v>
      </c>
      <c r="J3468">
        <v>2.8</v>
      </c>
      <c r="K3468">
        <v>14</v>
      </c>
      <c r="L3468">
        <f t="shared" si="163"/>
        <v>94.85799999999999</v>
      </c>
      <c r="M3468">
        <v>7</v>
      </c>
      <c r="N3468" t="str">
        <f t="shared" si="164"/>
        <v>Regular</v>
      </c>
    </row>
    <row r="3469" spans="1:14" x14ac:dyDescent="0.35">
      <c r="A3469">
        <v>3468</v>
      </c>
      <c r="B3469">
        <v>26</v>
      </c>
      <c r="C3469" t="str">
        <f t="shared" si="162"/>
        <v>Youth</v>
      </c>
      <c r="D3469" t="s">
        <v>11</v>
      </c>
      <c r="E3469" t="s">
        <v>29</v>
      </c>
      <c r="F3469" t="s">
        <v>55</v>
      </c>
      <c r="G3469">
        <v>101.16</v>
      </c>
      <c r="H3469" t="s">
        <v>31</v>
      </c>
      <c r="I3469" t="s">
        <v>15</v>
      </c>
      <c r="J3469">
        <v>4.0999999999999996</v>
      </c>
      <c r="K3469">
        <v>16</v>
      </c>
      <c r="L3469">
        <f t="shared" si="163"/>
        <v>84.974399999999989</v>
      </c>
      <c r="M3469">
        <v>3</v>
      </c>
      <c r="N3469" t="str">
        <f t="shared" si="164"/>
        <v>New</v>
      </c>
    </row>
    <row r="3470" spans="1:14" x14ac:dyDescent="0.35">
      <c r="A3470">
        <v>3469</v>
      </c>
      <c r="B3470">
        <v>52</v>
      </c>
      <c r="C3470" t="str">
        <f t="shared" si="162"/>
        <v>Adult</v>
      </c>
      <c r="D3470" t="s">
        <v>11</v>
      </c>
      <c r="E3470" t="s">
        <v>33</v>
      </c>
      <c r="F3470" t="s">
        <v>40</v>
      </c>
      <c r="G3470">
        <v>236.38</v>
      </c>
      <c r="H3470" t="s">
        <v>19</v>
      </c>
      <c r="I3470" t="s">
        <v>15</v>
      </c>
      <c r="J3470">
        <v>3.6</v>
      </c>
      <c r="K3470">
        <v>11</v>
      </c>
      <c r="L3470">
        <f t="shared" si="163"/>
        <v>210.37819999999999</v>
      </c>
      <c r="M3470">
        <v>3</v>
      </c>
      <c r="N3470" t="str">
        <f t="shared" si="164"/>
        <v>New</v>
      </c>
    </row>
    <row r="3471" spans="1:14" x14ac:dyDescent="0.35">
      <c r="A3471">
        <v>3470</v>
      </c>
      <c r="B3471">
        <v>66</v>
      </c>
      <c r="C3471" t="str">
        <f t="shared" si="162"/>
        <v>Senior</v>
      </c>
      <c r="D3471" t="s">
        <v>16</v>
      </c>
      <c r="E3471" t="s">
        <v>17</v>
      </c>
      <c r="F3471" t="s">
        <v>35</v>
      </c>
      <c r="G3471">
        <v>164.23</v>
      </c>
      <c r="H3471" t="s">
        <v>31</v>
      </c>
      <c r="I3471" t="s">
        <v>15</v>
      </c>
      <c r="J3471">
        <v>4.0999999999999996</v>
      </c>
      <c r="K3471">
        <v>17</v>
      </c>
      <c r="L3471">
        <f t="shared" si="163"/>
        <v>136.31089999999998</v>
      </c>
      <c r="M3471">
        <v>6</v>
      </c>
      <c r="N3471" t="str">
        <f t="shared" si="164"/>
        <v>Regular</v>
      </c>
    </row>
    <row r="3472" spans="1:14" x14ac:dyDescent="0.35">
      <c r="A3472">
        <v>3471</v>
      </c>
      <c r="B3472">
        <v>53</v>
      </c>
      <c r="C3472" t="str">
        <f t="shared" si="162"/>
        <v>Adult</v>
      </c>
      <c r="D3472" t="s">
        <v>16</v>
      </c>
      <c r="E3472" t="s">
        <v>20</v>
      </c>
      <c r="F3472" t="s">
        <v>39</v>
      </c>
      <c r="G3472">
        <v>205.45</v>
      </c>
      <c r="H3472" t="s">
        <v>31</v>
      </c>
      <c r="I3472" t="s">
        <v>15</v>
      </c>
      <c r="J3472">
        <v>4.2</v>
      </c>
      <c r="K3472">
        <v>12</v>
      </c>
      <c r="L3472">
        <f t="shared" si="163"/>
        <v>180.79599999999999</v>
      </c>
      <c r="M3472">
        <v>6</v>
      </c>
      <c r="N3472" t="str">
        <f t="shared" si="164"/>
        <v>Regular</v>
      </c>
    </row>
    <row r="3473" spans="1:14" x14ac:dyDescent="0.35">
      <c r="A3473">
        <v>3472</v>
      </c>
      <c r="B3473">
        <v>44</v>
      </c>
      <c r="C3473" t="str">
        <f t="shared" si="162"/>
        <v>Adult</v>
      </c>
      <c r="D3473" t="s">
        <v>11</v>
      </c>
      <c r="E3473" t="s">
        <v>41</v>
      </c>
      <c r="F3473" t="s">
        <v>46</v>
      </c>
      <c r="G3473">
        <v>61.41</v>
      </c>
      <c r="H3473" t="s">
        <v>24</v>
      </c>
      <c r="I3473" t="s">
        <v>15</v>
      </c>
      <c r="J3473">
        <v>4.5999999999999996</v>
      </c>
      <c r="K3473">
        <v>22</v>
      </c>
      <c r="L3473">
        <f t="shared" si="163"/>
        <v>47.899799999999999</v>
      </c>
      <c r="M3473">
        <v>6</v>
      </c>
      <c r="N3473" t="str">
        <f t="shared" si="164"/>
        <v>Regular</v>
      </c>
    </row>
    <row r="3474" spans="1:14" x14ac:dyDescent="0.35">
      <c r="A3474">
        <v>3473</v>
      </c>
      <c r="B3474">
        <v>44</v>
      </c>
      <c r="C3474" t="str">
        <f t="shared" si="162"/>
        <v>Adult</v>
      </c>
      <c r="D3474" t="s">
        <v>11</v>
      </c>
      <c r="E3474" t="s">
        <v>12</v>
      </c>
      <c r="F3474" t="s">
        <v>50</v>
      </c>
      <c r="G3474">
        <v>79.900000000000006</v>
      </c>
      <c r="H3474" t="s">
        <v>24</v>
      </c>
      <c r="I3474" t="s">
        <v>15</v>
      </c>
      <c r="J3474">
        <v>3.2</v>
      </c>
      <c r="K3474">
        <v>16</v>
      </c>
      <c r="L3474">
        <f t="shared" si="163"/>
        <v>67.116</v>
      </c>
      <c r="M3474">
        <v>3</v>
      </c>
      <c r="N3474" t="str">
        <f t="shared" si="164"/>
        <v>New</v>
      </c>
    </row>
    <row r="3475" spans="1:14" x14ac:dyDescent="0.35">
      <c r="A3475">
        <v>3474</v>
      </c>
      <c r="B3475">
        <v>37</v>
      </c>
      <c r="C3475" t="str">
        <f t="shared" si="162"/>
        <v>Adult</v>
      </c>
      <c r="D3475" t="s">
        <v>16</v>
      </c>
      <c r="E3475" t="s">
        <v>20</v>
      </c>
      <c r="F3475" t="s">
        <v>39</v>
      </c>
      <c r="G3475">
        <v>228.81</v>
      </c>
      <c r="H3475" t="s">
        <v>24</v>
      </c>
      <c r="I3475" t="s">
        <v>15</v>
      </c>
      <c r="J3475">
        <v>3.9</v>
      </c>
      <c r="K3475">
        <v>22</v>
      </c>
      <c r="L3475">
        <f t="shared" si="163"/>
        <v>178.4718</v>
      </c>
      <c r="M3475">
        <v>6</v>
      </c>
      <c r="N3475" t="str">
        <f t="shared" si="164"/>
        <v>Regular</v>
      </c>
    </row>
    <row r="3476" spans="1:14" x14ac:dyDescent="0.35">
      <c r="A3476">
        <v>3475</v>
      </c>
      <c r="B3476">
        <v>30</v>
      </c>
      <c r="C3476" t="str">
        <f t="shared" si="162"/>
        <v>Youth</v>
      </c>
      <c r="D3476" t="s">
        <v>11</v>
      </c>
      <c r="E3476" t="s">
        <v>29</v>
      </c>
      <c r="F3476" t="s">
        <v>51</v>
      </c>
      <c r="G3476">
        <v>146.26</v>
      </c>
      <c r="H3476" t="s">
        <v>24</v>
      </c>
      <c r="I3476" t="s">
        <v>15</v>
      </c>
      <c r="J3476">
        <v>3.4</v>
      </c>
      <c r="K3476">
        <v>8</v>
      </c>
      <c r="L3476">
        <f t="shared" si="163"/>
        <v>134.5592</v>
      </c>
      <c r="M3476">
        <v>4</v>
      </c>
      <c r="N3476" t="str">
        <f t="shared" si="164"/>
        <v>Regular</v>
      </c>
    </row>
    <row r="3477" spans="1:14" x14ac:dyDescent="0.35">
      <c r="A3477">
        <v>3476</v>
      </c>
      <c r="B3477">
        <v>58</v>
      </c>
      <c r="C3477" t="str">
        <f t="shared" si="162"/>
        <v>Adult</v>
      </c>
      <c r="D3477" t="s">
        <v>11</v>
      </c>
      <c r="E3477" t="s">
        <v>29</v>
      </c>
      <c r="F3477" t="s">
        <v>30</v>
      </c>
      <c r="G3477">
        <v>58.29</v>
      </c>
      <c r="H3477" t="s">
        <v>31</v>
      </c>
      <c r="I3477" t="s">
        <v>37</v>
      </c>
      <c r="J3477">
        <v>1.9</v>
      </c>
      <c r="K3477">
        <v>8</v>
      </c>
      <c r="L3477">
        <f t="shared" si="163"/>
        <v>53.626800000000003</v>
      </c>
      <c r="M3477">
        <v>4</v>
      </c>
      <c r="N3477" t="str">
        <f t="shared" si="164"/>
        <v>Regular</v>
      </c>
    </row>
    <row r="3478" spans="1:14" x14ac:dyDescent="0.35">
      <c r="A3478">
        <v>3477</v>
      </c>
      <c r="B3478">
        <v>42</v>
      </c>
      <c r="C3478" t="str">
        <f t="shared" si="162"/>
        <v>Adult</v>
      </c>
      <c r="D3478" t="s">
        <v>16</v>
      </c>
      <c r="E3478" t="s">
        <v>22</v>
      </c>
      <c r="F3478" t="s">
        <v>23</v>
      </c>
      <c r="G3478">
        <v>61.68</v>
      </c>
      <c r="H3478" t="s">
        <v>24</v>
      </c>
      <c r="I3478" t="s">
        <v>15</v>
      </c>
      <c r="J3478">
        <v>5</v>
      </c>
      <c r="K3478">
        <v>17</v>
      </c>
      <c r="L3478">
        <f t="shared" si="163"/>
        <v>51.194399999999995</v>
      </c>
      <c r="M3478">
        <v>6</v>
      </c>
      <c r="N3478" t="str">
        <f t="shared" si="164"/>
        <v>Regular</v>
      </c>
    </row>
    <row r="3479" spans="1:14" x14ac:dyDescent="0.35">
      <c r="A3479">
        <v>3478</v>
      </c>
      <c r="B3479">
        <v>46</v>
      </c>
      <c r="C3479" t="str">
        <f t="shared" si="162"/>
        <v>Adult</v>
      </c>
      <c r="D3479" t="s">
        <v>16</v>
      </c>
      <c r="E3479" t="s">
        <v>17</v>
      </c>
      <c r="F3479" t="s">
        <v>18</v>
      </c>
      <c r="G3479">
        <v>76.22</v>
      </c>
      <c r="H3479" t="s">
        <v>24</v>
      </c>
      <c r="I3479" t="s">
        <v>37</v>
      </c>
      <c r="J3479">
        <v>4.7</v>
      </c>
      <c r="K3479">
        <v>16</v>
      </c>
      <c r="L3479">
        <f t="shared" si="163"/>
        <v>64.024799999999999</v>
      </c>
      <c r="M3479">
        <v>8</v>
      </c>
      <c r="N3479" t="str">
        <f t="shared" si="164"/>
        <v>Loyal</v>
      </c>
    </row>
    <row r="3480" spans="1:14" x14ac:dyDescent="0.35">
      <c r="A3480">
        <v>3479</v>
      </c>
      <c r="B3480">
        <v>23</v>
      </c>
      <c r="C3480" t="str">
        <f t="shared" si="162"/>
        <v>Youth</v>
      </c>
      <c r="D3480" t="s">
        <v>11</v>
      </c>
      <c r="E3480" t="s">
        <v>41</v>
      </c>
      <c r="F3480" t="s">
        <v>44</v>
      </c>
      <c r="G3480">
        <v>93.3</v>
      </c>
      <c r="H3480" t="s">
        <v>14</v>
      </c>
      <c r="I3480" t="s">
        <v>15</v>
      </c>
      <c r="J3480">
        <v>3.6</v>
      </c>
      <c r="K3480">
        <v>14</v>
      </c>
      <c r="L3480">
        <f t="shared" si="163"/>
        <v>80.238</v>
      </c>
      <c r="M3480">
        <v>2</v>
      </c>
      <c r="N3480" t="str">
        <f t="shared" si="164"/>
        <v>New</v>
      </c>
    </row>
    <row r="3481" spans="1:14" x14ac:dyDescent="0.35">
      <c r="A3481">
        <v>3480</v>
      </c>
      <c r="B3481">
        <v>41</v>
      </c>
      <c r="C3481" t="str">
        <f t="shared" si="162"/>
        <v>Adult</v>
      </c>
      <c r="D3481" t="s">
        <v>16</v>
      </c>
      <c r="E3481" t="s">
        <v>20</v>
      </c>
      <c r="F3481" t="s">
        <v>39</v>
      </c>
      <c r="G3481">
        <v>50.96</v>
      </c>
      <c r="H3481" t="s">
        <v>31</v>
      </c>
      <c r="I3481" t="s">
        <v>15</v>
      </c>
      <c r="J3481">
        <v>3.7</v>
      </c>
      <c r="K3481">
        <v>22</v>
      </c>
      <c r="L3481">
        <f t="shared" si="163"/>
        <v>39.748800000000003</v>
      </c>
      <c r="M3481">
        <v>6</v>
      </c>
      <c r="N3481" t="str">
        <f t="shared" si="164"/>
        <v>Regular</v>
      </c>
    </row>
    <row r="3482" spans="1:14" x14ac:dyDescent="0.35">
      <c r="A3482">
        <v>3481</v>
      </c>
      <c r="B3482">
        <v>29</v>
      </c>
      <c r="C3482" t="str">
        <f t="shared" si="162"/>
        <v>Youth</v>
      </c>
      <c r="D3482" t="s">
        <v>16</v>
      </c>
      <c r="E3482" t="s">
        <v>17</v>
      </c>
      <c r="F3482" t="s">
        <v>35</v>
      </c>
      <c r="G3482">
        <v>88.61</v>
      </c>
      <c r="H3482" t="s">
        <v>24</v>
      </c>
      <c r="I3482" t="s">
        <v>37</v>
      </c>
      <c r="J3482">
        <v>2.7</v>
      </c>
      <c r="K3482">
        <v>15</v>
      </c>
      <c r="L3482">
        <f t="shared" si="163"/>
        <v>75.3185</v>
      </c>
      <c r="M3482">
        <v>5</v>
      </c>
      <c r="N3482" t="str">
        <f t="shared" si="164"/>
        <v>Regular</v>
      </c>
    </row>
    <row r="3483" spans="1:14" x14ac:dyDescent="0.35">
      <c r="A3483">
        <v>3482</v>
      </c>
      <c r="B3483">
        <v>38</v>
      </c>
      <c r="C3483" t="str">
        <f t="shared" si="162"/>
        <v>Adult</v>
      </c>
      <c r="D3483" t="s">
        <v>16</v>
      </c>
      <c r="E3483" t="s">
        <v>33</v>
      </c>
      <c r="F3483" t="s">
        <v>40</v>
      </c>
      <c r="G3483">
        <v>128.69</v>
      </c>
      <c r="H3483" t="s">
        <v>19</v>
      </c>
      <c r="I3483" t="s">
        <v>15</v>
      </c>
      <c r="J3483">
        <v>4.0999999999999996</v>
      </c>
      <c r="K3483">
        <v>12</v>
      </c>
      <c r="L3483">
        <f t="shared" si="163"/>
        <v>113.24719999999999</v>
      </c>
      <c r="M3483">
        <v>6</v>
      </c>
      <c r="N3483" t="str">
        <f t="shared" si="164"/>
        <v>Regular</v>
      </c>
    </row>
    <row r="3484" spans="1:14" x14ac:dyDescent="0.35">
      <c r="A3484">
        <v>3483</v>
      </c>
      <c r="B3484">
        <v>61</v>
      </c>
      <c r="C3484" t="str">
        <f t="shared" si="162"/>
        <v>Senior</v>
      </c>
      <c r="D3484" t="s">
        <v>11</v>
      </c>
      <c r="E3484" t="s">
        <v>33</v>
      </c>
      <c r="F3484" t="s">
        <v>34</v>
      </c>
      <c r="G3484">
        <v>58.31</v>
      </c>
      <c r="H3484" t="s">
        <v>31</v>
      </c>
      <c r="I3484" t="s">
        <v>37</v>
      </c>
      <c r="J3484">
        <v>4.3</v>
      </c>
      <c r="K3484">
        <v>22</v>
      </c>
      <c r="L3484">
        <f t="shared" si="163"/>
        <v>45.4818</v>
      </c>
      <c r="M3484">
        <v>6</v>
      </c>
      <c r="N3484" t="str">
        <f t="shared" si="164"/>
        <v>Regular</v>
      </c>
    </row>
    <row r="3485" spans="1:14" x14ac:dyDescent="0.35">
      <c r="A3485">
        <v>3484</v>
      </c>
      <c r="B3485">
        <v>33</v>
      </c>
      <c r="C3485" t="str">
        <f t="shared" si="162"/>
        <v>Adult</v>
      </c>
      <c r="D3485" t="s">
        <v>11</v>
      </c>
      <c r="E3485" t="s">
        <v>22</v>
      </c>
      <c r="F3485" t="s">
        <v>52</v>
      </c>
      <c r="G3485">
        <v>144.94999999999999</v>
      </c>
      <c r="H3485" t="s">
        <v>24</v>
      </c>
      <c r="I3485" t="s">
        <v>15</v>
      </c>
      <c r="J3485">
        <v>3.6</v>
      </c>
      <c r="K3485">
        <v>12</v>
      </c>
      <c r="L3485">
        <f t="shared" si="163"/>
        <v>127.556</v>
      </c>
      <c r="M3485">
        <v>1</v>
      </c>
      <c r="N3485" t="str">
        <f t="shared" si="164"/>
        <v>New</v>
      </c>
    </row>
    <row r="3486" spans="1:14" x14ac:dyDescent="0.35">
      <c r="A3486">
        <v>3485</v>
      </c>
      <c r="B3486">
        <v>61</v>
      </c>
      <c r="C3486" t="str">
        <f t="shared" si="162"/>
        <v>Senior</v>
      </c>
      <c r="D3486" t="s">
        <v>16</v>
      </c>
      <c r="E3486" t="s">
        <v>17</v>
      </c>
      <c r="F3486" t="s">
        <v>18</v>
      </c>
      <c r="G3486">
        <v>160.36000000000001</v>
      </c>
      <c r="H3486" t="s">
        <v>24</v>
      </c>
      <c r="I3486" t="s">
        <v>15</v>
      </c>
      <c r="J3486">
        <v>2.7</v>
      </c>
      <c r="K3486">
        <v>6</v>
      </c>
      <c r="L3486">
        <f t="shared" si="163"/>
        <v>150.73840000000001</v>
      </c>
      <c r="M3486">
        <v>3</v>
      </c>
      <c r="N3486" t="str">
        <f t="shared" si="164"/>
        <v>New</v>
      </c>
    </row>
    <row r="3487" spans="1:14" x14ac:dyDescent="0.35">
      <c r="A3487">
        <v>3486</v>
      </c>
      <c r="B3487">
        <v>42</v>
      </c>
      <c r="C3487" t="str">
        <f t="shared" si="162"/>
        <v>Adult</v>
      </c>
      <c r="D3487" t="s">
        <v>11</v>
      </c>
      <c r="E3487" t="s">
        <v>33</v>
      </c>
      <c r="F3487" t="s">
        <v>34</v>
      </c>
      <c r="G3487">
        <v>225.91</v>
      </c>
      <c r="H3487" t="s">
        <v>24</v>
      </c>
      <c r="I3487" t="s">
        <v>15</v>
      </c>
      <c r="J3487">
        <v>3.7</v>
      </c>
      <c r="K3487">
        <v>10</v>
      </c>
      <c r="L3487">
        <f t="shared" si="163"/>
        <v>203.31899999999999</v>
      </c>
      <c r="M3487">
        <v>5</v>
      </c>
      <c r="N3487" t="str">
        <f t="shared" si="164"/>
        <v>Regular</v>
      </c>
    </row>
    <row r="3488" spans="1:14" x14ac:dyDescent="0.35">
      <c r="A3488">
        <v>3487</v>
      </c>
      <c r="B3488">
        <v>28</v>
      </c>
      <c r="C3488" t="str">
        <f t="shared" si="162"/>
        <v>Youth</v>
      </c>
      <c r="D3488" t="s">
        <v>11</v>
      </c>
      <c r="E3488" t="s">
        <v>41</v>
      </c>
      <c r="F3488" t="s">
        <v>42</v>
      </c>
      <c r="G3488">
        <v>57.14</v>
      </c>
      <c r="H3488" t="s">
        <v>31</v>
      </c>
      <c r="I3488" t="s">
        <v>37</v>
      </c>
      <c r="J3488">
        <v>3.1</v>
      </c>
      <c r="K3488">
        <v>13</v>
      </c>
      <c r="L3488">
        <f t="shared" si="163"/>
        <v>49.711800000000004</v>
      </c>
      <c r="M3488">
        <v>4</v>
      </c>
      <c r="N3488" t="str">
        <f t="shared" si="164"/>
        <v>Regular</v>
      </c>
    </row>
    <row r="3489" spans="1:14" x14ac:dyDescent="0.35">
      <c r="A3489">
        <v>3488</v>
      </c>
      <c r="B3489">
        <v>53</v>
      </c>
      <c r="C3489" t="str">
        <f t="shared" si="162"/>
        <v>Adult</v>
      </c>
      <c r="D3489" t="s">
        <v>16</v>
      </c>
      <c r="E3489" t="s">
        <v>17</v>
      </c>
      <c r="F3489" t="s">
        <v>35</v>
      </c>
      <c r="G3489">
        <v>133.94</v>
      </c>
      <c r="H3489" t="s">
        <v>14</v>
      </c>
      <c r="I3489" t="s">
        <v>15</v>
      </c>
      <c r="J3489">
        <v>4.3</v>
      </c>
      <c r="K3489">
        <v>18</v>
      </c>
      <c r="L3489">
        <f t="shared" si="163"/>
        <v>109.83080000000001</v>
      </c>
      <c r="M3489">
        <v>4</v>
      </c>
      <c r="N3489" t="str">
        <f t="shared" si="164"/>
        <v>Regular</v>
      </c>
    </row>
    <row r="3490" spans="1:14" x14ac:dyDescent="0.35">
      <c r="A3490">
        <v>3489</v>
      </c>
      <c r="B3490">
        <v>64</v>
      </c>
      <c r="C3490" t="str">
        <f t="shared" si="162"/>
        <v>Senior</v>
      </c>
      <c r="D3490" t="s">
        <v>11</v>
      </c>
      <c r="E3490" t="s">
        <v>29</v>
      </c>
      <c r="F3490" t="s">
        <v>30</v>
      </c>
      <c r="G3490">
        <v>57.54</v>
      </c>
      <c r="H3490" t="s">
        <v>31</v>
      </c>
      <c r="I3490" t="s">
        <v>15</v>
      </c>
      <c r="J3490">
        <v>5</v>
      </c>
      <c r="K3490">
        <v>18</v>
      </c>
      <c r="L3490">
        <f t="shared" si="163"/>
        <v>47.1828</v>
      </c>
      <c r="M3490">
        <v>4</v>
      </c>
      <c r="N3490" t="str">
        <f t="shared" si="164"/>
        <v>Regular</v>
      </c>
    </row>
    <row r="3491" spans="1:14" x14ac:dyDescent="0.35">
      <c r="A3491">
        <v>3490</v>
      </c>
      <c r="B3491">
        <v>64</v>
      </c>
      <c r="C3491" t="str">
        <f t="shared" si="162"/>
        <v>Senior</v>
      </c>
      <c r="D3491" t="s">
        <v>16</v>
      </c>
      <c r="E3491" t="s">
        <v>17</v>
      </c>
      <c r="F3491" t="s">
        <v>18</v>
      </c>
      <c r="G3491">
        <v>76.87</v>
      </c>
      <c r="H3491" t="s">
        <v>31</v>
      </c>
      <c r="I3491" t="s">
        <v>15</v>
      </c>
      <c r="J3491">
        <v>3.9</v>
      </c>
      <c r="K3491">
        <v>6</v>
      </c>
      <c r="L3491">
        <f t="shared" si="163"/>
        <v>72.257800000000003</v>
      </c>
      <c r="M3491">
        <v>3</v>
      </c>
      <c r="N3491" t="str">
        <f t="shared" si="164"/>
        <v>New</v>
      </c>
    </row>
    <row r="3492" spans="1:14" x14ac:dyDescent="0.35">
      <c r="A3492">
        <v>3491</v>
      </c>
      <c r="B3492">
        <v>68</v>
      </c>
      <c r="C3492" t="str">
        <f t="shared" si="162"/>
        <v>Senior</v>
      </c>
      <c r="D3492" t="s">
        <v>16</v>
      </c>
      <c r="E3492" t="s">
        <v>20</v>
      </c>
      <c r="F3492" t="s">
        <v>21</v>
      </c>
      <c r="G3492">
        <v>32.729999999999997</v>
      </c>
      <c r="H3492" t="s">
        <v>19</v>
      </c>
      <c r="I3492" t="s">
        <v>37</v>
      </c>
      <c r="J3492">
        <v>3.9</v>
      </c>
      <c r="K3492">
        <v>18</v>
      </c>
      <c r="L3492">
        <f t="shared" si="163"/>
        <v>26.8386</v>
      </c>
      <c r="M3492">
        <v>9</v>
      </c>
      <c r="N3492" t="str">
        <f t="shared" si="164"/>
        <v>Loyal</v>
      </c>
    </row>
    <row r="3493" spans="1:14" x14ac:dyDescent="0.35">
      <c r="A3493">
        <v>3492</v>
      </c>
      <c r="B3493">
        <v>34</v>
      </c>
      <c r="C3493" t="str">
        <f t="shared" si="162"/>
        <v>Adult</v>
      </c>
      <c r="D3493" t="s">
        <v>16</v>
      </c>
      <c r="E3493" t="s">
        <v>17</v>
      </c>
      <c r="F3493" t="s">
        <v>35</v>
      </c>
      <c r="G3493">
        <v>56.59</v>
      </c>
      <c r="H3493" t="s">
        <v>19</v>
      </c>
      <c r="I3493" t="s">
        <v>37</v>
      </c>
      <c r="J3493">
        <v>3.9</v>
      </c>
      <c r="K3493">
        <v>18</v>
      </c>
      <c r="L3493">
        <f t="shared" si="163"/>
        <v>46.403800000000004</v>
      </c>
      <c r="M3493">
        <v>4</v>
      </c>
      <c r="N3493" t="str">
        <f t="shared" si="164"/>
        <v>Regular</v>
      </c>
    </row>
    <row r="3494" spans="1:14" x14ac:dyDescent="0.35">
      <c r="A3494">
        <v>3493</v>
      </c>
      <c r="B3494">
        <v>57</v>
      </c>
      <c r="C3494" t="str">
        <f t="shared" si="162"/>
        <v>Adult</v>
      </c>
      <c r="D3494" t="s">
        <v>11</v>
      </c>
      <c r="E3494" t="s">
        <v>41</v>
      </c>
      <c r="F3494" t="s">
        <v>42</v>
      </c>
      <c r="G3494">
        <v>113.82</v>
      </c>
      <c r="H3494" t="s">
        <v>14</v>
      </c>
      <c r="I3494" t="s">
        <v>15</v>
      </c>
      <c r="J3494">
        <v>3.1</v>
      </c>
      <c r="K3494">
        <v>8</v>
      </c>
      <c r="L3494">
        <f t="shared" si="163"/>
        <v>104.7144</v>
      </c>
      <c r="M3494">
        <v>4</v>
      </c>
      <c r="N3494" t="str">
        <f t="shared" si="164"/>
        <v>Regular</v>
      </c>
    </row>
    <row r="3495" spans="1:14" x14ac:dyDescent="0.35">
      <c r="A3495">
        <v>3494</v>
      </c>
      <c r="B3495">
        <v>50</v>
      </c>
      <c r="C3495" t="str">
        <f t="shared" si="162"/>
        <v>Adult</v>
      </c>
      <c r="D3495" t="s">
        <v>11</v>
      </c>
      <c r="E3495" t="s">
        <v>41</v>
      </c>
      <c r="F3495" t="s">
        <v>42</v>
      </c>
      <c r="G3495">
        <v>34.270000000000003</v>
      </c>
      <c r="H3495" t="s">
        <v>31</v>
      </c>
      <c r="I3495" t="s">
        <v>15</v>
      </c>
      <c r="J3495">
        <v>4.2</v>
      </c>
      <c r="K3495">
        <v>21</v>
      </c>
      <c r="L3495">
        <f t="shared" si="163"/>
        <v>27.073300000000003</v>
      </c>
      <c r="M3495">
        <v>8</v>
      </c>
      <c r="N3495" t="str">
        <f t="shared" si="164"/>
        <v>Loyal</v>
      </c>
    </row>
    <row r="3496" spans="1:14" x14ac:dyDescent="0.35">
      <c r="A3496">
        <v>3495</v>
      </c>
      <c r="B3496">
        <v>45</v>
      </c>
      <c r="C3496" t="str">
        <f t="shared" si="162"/>
        <v>Adult</v>
      </c>
      <c r="D3496" t="s">
        <v>16</v>
      </c>
      <c r="E3496" t="s">
        <v>27</v>
      </c>
      <c r="F3496" t="s">
        <v>49</v>
      </c>
      <c r="G3496">
        <v>1460.58</v>
      </c>
      <c r="H3496" t="s">
        <v>24</v>
      </c>
      <c r="I3496" t="s">
        <v>15</v>
      </c>
      <c r="J3496">
        <v>4.3</v>
      </c>
      <c r="K3496">
        <v>8</v>
      </c>
      <c r="L3496">
        <f t="shared" si="163"/>
        <v>1343.7336</v>
      </c>
      <c r="M3496">
        <v>4</v>
      </c>
      <c r="N3496" t="str">
        <f t="shared" si="164"/>
        <v>Regular</v>
      </c>
    </row>
    <row r="3497" spans="1:14" x14ac:dyDescent="0.35">
      <c r="A3497">
        <v>3496</v>
      </c>
      <c r="B3497">
        <v>23</v>
      </c>
      <c r="C3497" t="str">
        <f t="shared" si="162"/>
        <v>Youth</v>
      </c>
      <c r="D3497" t="s">
        <v>16</v>
      </c>
      <c r="E3497" t="s">
        <v>20</v>
      </c>
      <c r="F3497" t="s">
        <v>36</v>
      </c>
      <c r="G3497">
        <v>207.34</v>
      </c>
      <c r="H3497" t="s">
        <v>31</v>
      </c>
      <c r="I3497" t="s">
        <v>15</v>
      </c>
      <c r="J3497">
        <v>4.4000000000000004</v>
      </c>
      <c r="K3497">
        <v>16</v>
      </c>
      <c r="L3497">
        <f t="shared" si="163"/>
        <v>174.16559999999998</v>
      </c>
      <c r="M3497">
        <v>8</v>
      </c>
      <c r="N3497" t="str">
        <f t="shared" si="164"/>
        <v>Loyal</v>
      </c>
    </row>
    <row r="3498" spans="1:14" x14ac:dyDescent="0.35">
      <c r="A3498">
        <v>3497</v>
      </c>
      <c r="B3498">
        <v>33</v>
      </c>
      <c r="C3498" t="str">
        <f t="shared" si="162"/>
        <v>Adult</v>
      </c>
      <c r="D3498" t="s">
        <v>11</v>
      </c>
      <c r="E3498" t="s">
        <v>41</v>
      </c>
      <c r="F3498" t="s">
        <v>42</v>
      </c>
      <c r="G3498">
        <v>79.55</v>
      </c>
      <c r="H3498" t="s">
        <v>19</v>
      </c>
      <c r="I3498" t="s">
        <v>15</v>
      </c>
      <c r="J3498">
        <v>4.4000000000000004</v>
      </c>
      <c r="K3498">
        <v>20</v>
      </c>
      <c r="L3498">
        <f t="shared" si="163"/>
        <v>63.64</v>
      </c>
      <c r="M3498">
        <v>5</v>
      </c>
      <c r="N3498" t="str">
        <f t="shared" si="164"/>
        <v>Regular</v>
      </c>
    </row>
    <row r="3499" spans="1:14" x14ac:dyDescent="0.35">
      <c r="A3499">
        <v>3498</v>
      </c>
      <c r="B3499">
        <v>38</v>
      </c>
      <c r="C3499" t="str">
        <f t="shared" si="162"/>
        <v>Adult</v>
      </c>
      <c r="D3499" t="s">
        <v>16</v>
      </c>
      <c r="E3499" t="s">
        <v>33</v>
      </c>
      <c r="F3499" t="s">
        <v>38</v>
      </c>
      <c r="G3499">
        <v>171</v>
      </c>
      <c r="H3499" t="s">
        <v>14</v>
      </c>
      <c r="I3499" t="s">
        <v>15</v>
      </c>
      <c r="J3499">
        <v>2.7</v>
      </c>
      <c r="K3499">
        <v>12</v>
      </c>
      <c r="L3499">
        <f t="shared" si="163"/>
        <v>150.47999999999999</v>
      </c>
      <c r="M3499">
        <v>6</v>
      </c>
      <c r="N3499" t="str">
        <f t="shared" si="164"/>
        <v>Regular</v>
      </c>
    </row>
    <row r="3500" spans="1:14" x14ac:dyDescent="0.35">
      <c r="A3500">
        <v>3499</v>
      </c>
      <c r="B3500">
        <v>50</v>
      </c>
      <c r="C3500" t="str">
        <f t="shared" si="162"/>
        <v>Adult</v>
      </c>
      <c r="D3500" t="s">
        <v>11</v>
      </c>
      <c r="E3500" t="s">
        <v>33</v>
      </c>
      <c r="F3500" t="s">
        <v>38</v>
      </c>
      <c r="G3500">
        <v>109.47</v>
      </c>
      <c r="H3500" t="s">
        <v>14</v>
      </c>
      <c r="I3500" t="s">
        <v>15</v>
      </c>
      <c r="J3500">
        <v>3.9</v>
      </c>
      <c r="K3500">
        <v>15</v>
      </c>
      <c r="L3500">
        <f t="shared" si="163"/>
        <v>93.049499999999995</v>
      </c>
      <c r="M3500">
        <v>5</v>
      </c>
      <c r="N3500" t="str">
        <f t="shared" si="164"/>
        <v>Regular</v>
      </c>
    </row>
    <row r="3501" spans="1:14" x14ac:dyDescent="0.35">
      <c r="A3501">
        <v>3500</v>
      </c>
      <c r="B3501">
        <v>33</v>
      </c>
      <c r="C3501" t="str">
        <f t="shared" si="162"/>
        <v>Adult</v>
      </c>
      <c r="D3501" t="s">
        <v>16</v>
      </c>
      <c r="E3501" t="s">
        <v>27</v>
      </c>
      <c r="F3501" t="s">
        <v>28</v>
      </c>
      <c r="G3501">
        <v>2664.84</v>
      </c>
      <c r="H3501" t="s">
        <v>24</v>
      </c>
      <c r="I3501" t="s">
        <v>15</v>
      </c>
      <c r="J3501">
        <v>5</v>
      </c>
      <c r="K3501">
        <v>22</v>
      </c>
      <c r="L3501">
        <f t="shared" si="163"/>
        <v>2078.5752000000002</v>
      </c>
      <c r="M3501">
        <v>6</v>
      </c>
      <c r="N3501" t="str">
        <f t="shared" si="164"/>
        <v>Regular</v>
      </c>
    </row>
    <row r="3502" spans="1:14" x14ac:dyDescent="0.35">
      <c r="A3502">
        <v>3501</v>
      </c>
      <c r="B3502">
        <v>38</v>
      </c>
      <c r="C3502" t="str">
        <f t="shared" si="162"/>
        <v>Adult</v>
      </c>
      <c r="D3502" t="s">
        <v>11</v>
      </c>
      <c r="E3502" t="s">
        <v>12</v>
      </c>
      <c r="F3502" t="s">
        <v>50</v>
      </c>
      <c r="G3502">
        <v>126.81</v>
      </c>
      <c r="H3502" t="s">
        <v>19</v>
      </c>
      <c r="I3502" t="s">
        <v>15</v>
      </c>
      <c r="J3502">
        <v>4.0999999999999996</v>
      </c>
      <c r="K3502">
        <v>15</v>
      </c>
      <c r="L3502">
        <f t="shared" si="163"/>
        <v>107.7885</v>
      </c>
      <c r="M3502">
        <v>5</v>
      </c>
      <c r="N3502" t="str">
        <f t="shared" si="164"/>
        <v>Regular</v>
      </c>
    </row>
    <row r="3503" spans="1:14" x14ac:dyDescent="0.35">
      <c r="A3503">
        <v>3502</v>
      </c>
      <c r="B3503">
        <v>40</v>
      </c>
      <c r="C3503" t="str">
        <f t="shared" si="162"/>
        <v>Adult</v>
      </c>
      <c r="D3503" t="s">
        <v>16</v>
      </c>
      <c r="E3503" t="s">
        <v>20</v>
      </c>
      <c r="F3503" t="s">
        <v>36</v>
      </c>
      <c r="G3503">
        <v>200.09</v>
      </c>
      <c r="H3503" t="s">
        <v>31</v>
      </c>
      <c r="I3503" t="s">
        <v>15</v>
      </c>
      <c r="J3503">
        <v>3.7</v>
      </c>
      <c r="K3503">
        <v>20</v>
      </c>
      <c r="L3503">
        <f t="shared" si="163"/>
        <v>160.072</v>
      </c>
      <c r="M3503">
        <v>5</v>
      </c>
      <c r="N3503" t="str">
        <f t="shared" si="164"/>
        <v>Regular</v>
      </c>
    </row>
    <row r="3504" spans="1:14" x14ac:dyDescent="0.35">
      <c r="A3504">
        <v>3503</v>
      </c>
      <c r="B3504">
        <v>37</v>
      </c>
      <c r="C3504" t="str">
        <f t="shared" si="162"/>
        <v>Adult</v>
      </c>
      <c r="D3504" t="s">
        <v>11</v>
      </c>
      <c r="E3504" t="s">
        <v>33</v>
      </c>
      <c r="F3504" t="s">
        <v>40</v>
      </c>
      <c r="G3504">
        <v>163.18</v>
      </c>
      <c r="H3504" t="s">
        <v>14</v>
      </c>
      <c r="I3504" t="s">
        <v>15</v>
      </c>
      <c r="J3504">
        <v>4.4000000000000004</v>
      </c>
      <c r="K3504">
        <v>20</v>
      </c>
      <c r="L3504">
        <f t="shared" si="163"/>
        <v>130.54400000000001</v>
      </c>
      <c r="M3504">
        <v>5</v>
      </c>
      <c r="N3504" t="str">
        <f t="shared" si="164"/>
        <v>Regular</v>
      </c>
    </row>
    <row r="3505" spans="1:14" x14ac:dyDescent="0.35">
      <c r="A3505">
        <v>3504</v>
      </c>
      <c r="B3505">
        <v>50</v>
      </c>
      <c r="C3505" t="str">
        <f t="shared" si="162"/>
        <v>Adult</v>
      </c>
      <c r="D3505" t="s">
        <v>16</v>
      </c>
      <c r="E3505" t="s">
        <v>20</v>
      </c>
      <c r="F3505" t="s">
        <v>21</v>
      </c>
      <c r="G3505">
        <v>112.61</v>
      </c>
      <c r="H3505" t="s">
        <v>24</v>
      </c>
      <c r="I3505" t="s">
        <v>15</v>
      </c>
      <c r="J3505">
        <v>4.5</v>
      </c>
      <c r="K3505">
        <v>17</v>
      </c>
      <c r="L3505">
        <f t="shared" si="163"/>
        <v>93.46629999999999</v>
      </c>
      <c r="M3505">
        <v>6</v>
      </c>
      <c r="N3505" t="str">
        <f t="shared" si="164"/>
        <v>Regular</v>
      </c>
    </row>
    <row r="3506" spans="1:14" x14ac:dyDescent="0.35">
      <c r="A3506">
        <v>3505</v>
      </c>
      <c r="B3506">
        <v>47</v>
      </c>
      <c r="C3506" t="str">
        <f t="shared" si="162"/>
        <v>Adult</v>
      </c>
      <c r="D3506" t="s">
        <v>11</v>
      </c>
      <c r="E3506" t="s">
        <v>25</v>
      </c>
      <c r="F3506" t="s">
        <v>26</v>
      </c>
      <c r="G3506">
        <v>73.2</v>
      </c>
      <c r="H3506" t="s">
        <v>31</v>
      </c>
      <c r="I3506" t="s">
        <v>37</v>
      </c>
      <c r="J3506">
        <v>3.6</v>
      </c>
      <c r="K3506">
        <v>22</v>
      </c>
      <c r="L3506">
        <f t="shared" si="163"/>
        <v>57.096000000000004</v>
      </c>
      <c r="M3506">
        <v>6</v>
      </c>
      <c r="N3506" t="str">
        <f t="shared" si="164"/>
        <v>Regular</v>
      </c>
    </row>
    <row r="3507" spans="1:14" x14ac:dyDescent="0.35">
      <c r="A3507">
        <v>3506</v>
      </c>
      <c r="B3507">
        <v>49</v>
      </c>
      <c r="C3507" t="str">
        <f t="shared" si="162"/>
        <v>Adult</v>
      </c>
      <c r="D3507" t="s">
        <v>11</v>
      </c>
      <c r="E3507" t="s">
        <v>12</v>
      </c>
      <c r="F3507" t="s">
        <v>50</v>
      </c>
      <c r="G3507">
        <v>41.27</v>
      </c>
      <c r="H3507" t="s">
        <v>14</v>
      </c>
      <c r="I3507" t="s">
        <v>15</v>
      </c>
      <c r="J3507">
        <v>2.1</v>
      </c>
      <c r="K3507">
        <v>4</v>
      </c>
      <c r="L3507">
        <f t="shared" si="163"/>
        <v>39.619199999999999</v>
      </c>
      <c r="M3507">
        <v>2</v>
      </c>
      <c r="N3507" t="str">
        <f t="shared" si="164"/>
        <v>New</v>
      </c>
    </row>
    <row r="3508" spans="1:14" x14ac:dyDescent="0.35">
      <c r="A3508">
        <v>3507</v>
      </c>
      <c r="B3508">
        <v>70</v>
      </c>
      <c r="C3508" t="str">
        <f t="shared" si="162"/>
        <v>Senior</v>
      </c>
      <c r="D3508" t="s">
        <v>16</v>
      </c>
      <c r="E3508" t="s">
        <v>27</v>
      </c>
      <c r="F3508" t="s">
        <v>32</v>
      </c>
      <c r="G3508">
        <v>2742.82</v>
      </c>
      <c r="H3508" t="s">
        <v>31</v>
      </c>
      <c r="I3508" t="s">
        <v>15</v>
      </c>
      <c r="J3508">
        <v>4</v>
      </c>
      <c r="K3508">
        <v>22</v>
      </c>
      <c r="L3508">
        <f t="shared" si="163"/>
        <v>2139.3996000000002</v>
      </c>
      <c r="M3508">
        <v>6</v>
      </c>
      <c r="N3508" t="str">
        <f t="shared" si="164"/>
        <v>Regular</v>
      </c>
    </row>
    <row r="3509" spans="1:14" x14ac:dyDescent="0.35">
      <c r="A3509">
        <v>3508</v>
      </c>
      <c r="B3509">
        <v>32</v>
      </c>
      <c r="C3509" t="str">
        <f t="shared" si="162"/>
        <v>Adult</v>
      </c>
      <c r="D3509" t="s">
        <v>11</v>
      </c>
      <c r="E3509" t="s">
        <v>25</v>
      </c>
      <c r="F3509" t="s">
        <v>57</v>
      </c>
      <c r="G3509">
        <v>9.6999999999999993</v>
      </c>
      <c r="H3509" t="s">
        <v>19</v>
      </c>
      <c r="I3509" t="s">
        <v>15</v>
      </c>
      <c r="J3509">
        <v>4.4000000000000004</v>
      </c>
      <c r="K3509">
        <v>10</v>
      </c>
      <c r="L3509">
        <f t="shared" si="163"/>
        <v>8.73</v>
      </c>
      <c r="M3509">
        <v>5</v>
      </c>
      <c r="N3509" t="str">
        <f t="shared" si="164"/>
        <v>Regular</v>
      </c>
    </row>
    <row r="3510" spans="1:14" x14ac:dyDescent="0.35">
      <c r="A3510">
        <v>3509</v>
      </c>
      <c r="B3510">
        <v>65</v>
      </c>
      <c r="C3510" t="str">
        <f t="shared" si="162"/>
        <v>Senior</v>
      </c>
      <c r="D3510" t="s">
        <v>11</v>
      </c>
      <c r="E3510" t="s">
        <v>12</v>
      </c>
      <c r="F3510" t="s">
        <v>50</v>
      </c>
      <c r="G3510">
        <v>34.49</v>
      </c>
      <c r="H3510" t="s">
        <v>19</v>
      </c>
      <c r="I3510" t="s">
        <v>15</v>
      </c>
      <c r="J3510">
        <v>3.1</v>
      </c>
      <c r="K3510">
        <v>22</v>
      </c>
      <c r="L3510">
        <f t="shared" si="163"/>
        <v>26.902200000000004</v>
      </c>
      <c r="M3510">
        <v>6</v>
      </c>
      <c r="N3510" t="str">
        <f t="shared" si="164"/>
        <v>Regular</v>
      </c>
    </row>
    <row r="3511" spans="1:14" x14ac:dyDescent="0.35">
      <c r="A3511">
        <v>3510</v>
      </c>
      <c r="B3511">
        <v>39</v>
      </c>
      <c r="C3511" t="str">
        <f t="shared" si="162"/>
        <v>Adult</v>
      </c>
      <c r="D3511" t="s">
        <v>16</v>
      </c>
      <c r="E3511" t="s">
        <v>17</v>
      </c>
      <c r="F3511" t="s">
        <v>42</v>
      </c>
      <c r="G3511">
        <v>84.03</v>
      </c>
      <c r="H3511" t="s">
        <v>24</v>
      </c>
      <c r="I3511" t="s">
        <v>37</v>
      </c>
      <c r="J3511">
        <v>4</v>
      </c>
      <c r="K3511">
        <v>11</v>
      </c>
      <c r="L3511">
        <f t="shared" si="163"/>
        <v>74.786699999999996</v>
      </c>
      <c r="M3511">
        <v>3</v>
      </c>
      <c r="N3511" t="str">
        <f t="shared" si="164"/>
        <v>New</v>
      </c>
    </row>
    <row r="3512" spans="1:14" x14ac:dyDescent="0.35">
      <c r="A3512">
        <v>3511</v>
      </c>
      <c r="B3512">
        <v>58</v>
      </c>
      <c r="C3512" t="str">
        <f t="shared" si="162"/>
        <v>Adult</v>
      </c>
      <c r="D3512" t="s">
        <v>16</v>
      </c>
      <c r="E3512" t="s">
        <v>17</v>
      </c>
      <c r="F3512" t="s">
        <v>18</v>
      </c>
      <c r="G3512">
        <v>147.16999999999999</v>
      </c>
      <c r="H3512" t="s">
        <v>24</v>
      </c>
      <c r="I3512" t="s">
        <v>15</v>
      </c>
      <c r="J3512">
        <v>4.5</v>
      </c>
      <c r="K3512">
        <v>6</v>
      </c>
      <c r="L3512">
        <f t="shared" si="163"/>
        <v>138.33979999999997</v>
      </c>
      <c r="M3512">
        <v>3</v>
      </c>
      <c r="N3512" t="str">
        <f t="shared" si="164"/>
        <v>New</v>
      </c>
    </row>
    <row r="3513" spans="1:14" x14ac:dyDescent="0.35">
      <c r="A3513">
        <v>3512</v>
      </c>
      <c r="B3513">
        <v>44</v>
      </c>
      <c r="C3513" t="str">
        <f t="shared" si="162"/>
        <v>Adult</v>
      </c>
      <c r="D3513" t="s">
        <v>11</v>
      </c>
      <c r="E3513" t="s">
        <v>25</v>
      </c>
      <c r="F3513" t="s">
        <v>54</v>
      </c>
      <c r="G3513">
        <v>29.29</v>
      </c>
      <c r="H3513" t="s">
        <v>31</v>
      </c>
      <c r="I3513" t="s">
        <v>37</v>
      </c>
      <c r="J3513">
        <v>4.8</v>
      </c>
      <c r="K3513">
        <v>9</v>
      </c>
      <c r="L3513">
        <f t="shared" si="163"/>
        <v>26.6539</v>
      </c>
      <c r="M3513">
        <v>2</v>
      </c>
      <c r="N3513" t="str">
        <f t="shared" si="164"/>
        <v>New</v>
      </c>
    </row>
    <row r="3514" spans="1:14" x14ac:dyDescent="0.35">
      <c r="A3514">
        <v>3513</v>
      </c>
      <c r="B3514">
        <v>38</v>
      </c>
      <c r="C3514" t="str">
        <f t="shared" si="162"/>
        <v>Adult</v>
      </c>
      <c r="D3514" t="s">
        <v>16</v>
      </c>
      <c r="E3514" t="s">
        <v>22</v>
      </c>
      <c r="F3514" t="s">
        <v>43</v>
      </c>
      <c r="G3514">
        <v>180.38</v>
      </c>
      <c r="H3514" t="s">
        <v>14</v>
      </c>
      <c r="I3514" t="s">
        <v>15</v>
      </c>
      <c r="J3514">
        <v>2.9</v>
      </c>
      <c r="K3514">
        <v>14</v>
      </c>
      <c r="L3514">
        <f t="shared" si="163"/>
        <v>155.1268</v>
      </c>
      <c r="M3514">
        <v>7</v>
      </c>
      <c r="N3514" t="str">
        <f t="shared" si="164"/>
        <v>Regular</v>
      </c>
    </row>
    <row r="3515" spans="1:14" x14ac:dyDescent="0.35">
      <c r="A3515">
        <v>3514</v>
      </c>
      <c r="B3515">
        <v>65</v>
      </c>
      <c r="C3515" t="str">
        <f t="shared" si="162"/>
        <v>Senior</v>
      </c>
      <c r="D3515" t="s">
        <v>16</v>
      </c>
      <c r="E3515" t="s">
        <v>27</v>
      </c>
      <c r="F3515" t="s">
        <v>53</v>
      </c>
      <c r="G3515">
        <v>1279.3</v>
      </c>
      <c r="H3515" t="s">
        <v>14</v>
      </c>
      <c r="I3515" t="s">
        <v>15</v>
      </c>
      <c r="J3515">
        <v>4.4000000000000004</v>
      </c>
      <c r="K3515">
        <v>11</v>
      </c>
      <c r="L3515">
        <f t="shared" si="163"/>
        <v>1138.577</v>
      </c>
      <c r="M3515">
        <v>3</v>
      </c>
      <c r="N3515" t="str">
        <f t="shared" si="164"/>
        <v>New</v>
      </c>
    </row>
    <row r="3516" spans="1:14" x14ac:dyDescent="0.35">
      <c r="A3516">
        <v>3515</v>
      </c>
      <c r="B3516">
        <v>23</v>
      </c>
      <c r="C3516" t="str">
        <f t="shared" si="162"/>
        <v>Youth</v>
      </c>
      <c r="D3516" t="s">
        <v>11</v>
      </c>
      <c r="E3516" t="s">
        <v>41</v>
      </c>
      <c r="F3516" t="s">
        <v>44</v>
      </c>
      <c r="G3516">
        <v>31.4</v>
      </c>
      <c r="H3516" t="s">
        <v>31</v>
      </c>
      <c r="I3516" t="s">
        <v>37</v>
      </c>
      <c r="J3516">
        <v>3</v>
      </c>
      <c r="K3516">
        <v>8</v>
      </c>
      <c r="L3516">
        <f t="shared" si="163"/>
        <v>28.888000000000002</v>
      </c>
      <c r="M3516">
        <v>4</v>
      </c>
      <c r="N3516" t="str">
        <f t="shared" si="164"/>
        <v>Regular</v>
      </c>
    </row>
    <row r="3517" spans="1:14" x14ac:dyDescent="0.35">
      <c r="A3517">
        <v>3516</v>
      </c>
      <c r="B3517">
        <v>20</v>
      </c>
      <c r="C3517" t="str">
        <f t="shared" si="162"/>
        <v>Youth</v>
      </c>
      <c r="D3517" t="s">
        <v>11</v>
      </c>
      <c r="E3517" t="s">
        <v>25</v>
      </c>
      <c r="F3517" t="s">
        <v>57</v>
      </c>
      <c r="G3517">
        <v>47.95</v>
      </c>
      <c r="H3517" t="s">
        <v>19</v>
      </c>
      <c r="I3517" t="s">
        <v>15</v>
      </c>
      <c r="J3517">
        <v>4.3</v>
      </c>
      <c r="K3517">
        <v>24</v>
      </c>
      <c r="L3517">
        <f t="shared" si="163"/>
        <v>36.442</v>
      </c>
      <c r="M3517">
        <v>7</v>
      </c>
      <c r="N3517" t="str">
        <f t="shared" si="164"/>
        <v>Regular</v>
      </c>
    </row>
    <row r="3518" spans="1:14" x14ac:dyDescent="0.35">
      <c r="A3518">
        <v>3517</v>
      </c>
      <c r="B3518">
        <v>36</v>
      </c>
      <c r="C3518" t="str">
        <f t="shared" si="162"/>
        <v>Adult</v>
      </c>
      <c r="D3518" t="s">
        <v>11</v>
      </c>
      <c r="E3518" t="s">
        <v>41</v>
      </c>
      <c r="F3518" t="s">
        <v>45</v>
      </c>
      <c r="G3518">
        <v>98.93</v>
      </c>
      <c r="H3518" t="s">
        <v>19</v>
      </c>
      <c r="I3518" t="s">
        <v>15</v>
      </c>
      <c r="J3518">
        <v>4.4000000000000004</v>
      </c>
      <c r="K3518">
        <v>10</v>
      </c>
      <c r="L3518">
        <f t="shared" si="163"/>
        <v>89.037000000000006</v>
      </c>
      <c r="M3518">
        <v>5</v>
      </c>
      <c r="N3518" t="str">
        <f t="shared" si="164"/>
        <v>Regular</v>
      </c>
    </row>
    <row r="3519" spans="1:14" x14ac:dyDescent="0.35">
      <c r="A3519">
        <v>3518</v>
      </c>
      <c r="B3519">
        <v>46</v>
      </c>
      <c r="C3519" t="str">
        <f t="shared" si="162"/>
        <v>Adult</v>
      </c>
      <c r="D3519" t="s">
        <v>11</v>
      </c>
      <c r="E3519" t="s">
        <v>41</v>
      </c>
      <c r="F3519" t="s">
        <v>45</v>
      </c>
      <c r="G3519">
        <v>84.09</v>
      </c>
      <c r="H3519" t="s">
        <v>31</v>
      </c>
      <c r="I3519" t="s">
        <v>15</v>
      </c>
      <c r="J3519">
        <v>3.4</v>
      </c>
      <c r="K3519">
        <v>4</v>
      </c>
      <c r="L3519">
        <f t="shared" si="163"/>
        <v>80.726399999999998</v>
      </c>
      <c r="M3519">
        <v>2</v>
      </c>
      <c r="N3519" t="str">
        <f t="shared" si="164"/>
        <v>New</v>
      </c>
    </row>
    <row r="3520" spans="1:14" x14ac:dyDescent="0.35">
      <c r="A3520">
        <v>3519</v>
      </c>
      <c r="B3520">
        <v>45</v>
      </c>
      <c r="C3520" t="str">
        <f t="shared" si="162"/>
        <v>Adult</v>
      </c>
      <c r="D3520" t="s">
        <v>16</v>
      </c>
      <c r="E3520" t="s">
        <v>33</v>
      </c>
      <c r="F3520" t="s">
        <v>38</v>
      </c>
      <c r="G3520">
        <v>174.22</v>
      </c>
      <c r="H3520" t="s">
        <v>31</v>
      </c>
      <c r="I3520" t="s">
        <v>15</v>
      </c>
      <c r="J3520">
        <v>4</v>
      </c>
      <c r="K3520">
        <v>13</v>
      </c>
      <c r="L3520">
        <f t="shared" si="163"/>
        <v>151.57140000000001</v>
      </c>
      <c r="M3520">
        <v>4</v>
      </c>
      <c r="N3520" t="str">
        <f t="shared" si="164"/>
        <v>Regular</v>
      </c>
    </row>
    <row r="3521" spans="1:14" x14ac:dyDescent="0.35">
      <c r="A3521">
        <v>3520</v>
      </c>
      <c r="B3521">
        <v>62</v>
      </c>
      <c r="C3521" t="str">
        <f t="shared" si="162"/>
        <v>Senior</v>
      </c>
      <c r="D3521" t="s">
        <v>16</v>
      </c>
      <c r="E3521" t="s">
        <v>20</v>
      </c>
      <c r="F3521" t="s">
        <v>36</v>
      </c>
      <c r="G3521">
        <v>50.18</v>
      </c>
      <c r="H3521" t="s">
        <v>19</v>
      </c>
      <c r="I3521" t="s">
        <v>15</v>
      </c>
      <c r="J3521">
        <v>3.4</v>
      </c>
      <c r="K3521">
        <v>24</v>
      </c>
      <c r="L3521">
        <f t="shared" si="163"/>
        <v>38.136800000000001</v>
      </c>
      <c r="M3521">
        <v>7</v>
      </c>
      <c r="N3521" t="str">
        <f t="shared" si="164"/>
        <v>Regular</v>
      </c>
    </row>
    <row r="3522" spans="1:14" x14ac:dyDescent="0.35">
      <c r="A3522">
        <v>3521</v>
      </c>
      <c r="B3522">
        <v>66</v>
      </c>
      <c r="C3522" t="str">
        <f t="shared" si="162"/>
        <v>Senior</v>
      </c>
      <c r="D3522" t="s">
        <v>16</v>
      </c>
      <c r="E3522" t="s">
        <v>27</v>
      </c>
      <c r="F3522" t="s">
        <v>32</v>
      </c>
      <c r="G3522">
        <v>2988.75</v>
      </c>
      <c r="H3522" t="s">
        <v>19</v>
      </c>
      <c r="I3522" t="s">
        <v>15</v>
      </c>
      <c r="J3522">
        <v>4.0999999999999996</v>
      </c>
      <c r="K3522">
        <v>8</v>
      </c>
      <c r="L3522">
        <f t="shared" si="163"/>
        <v>2749.65</v>
      </c>
      <c r="M3522">
        <v>4</v>
      </c>
      <c r="N3522" t="str">
        <f t="shared" si="164"/>
        <v>Regular</v>
      </c>
    </row>
    <row r="3523" spans="1:14" x14ac:dyDescent="0.35">
      <c r="A3523">
        <v>3522</v>
      </c>
      <c r="B3523">
        <v>25</v>
      </c>
      <c r="C3523" t="str">
        <f t="shared" ref="C3523:C3586" si="165">IF(B3523&lt;=30,"Youth",IF(B3523&lt;=45,"Adult",IF(B3523&lt;=60,"Adult","Senior")))</f>
        <v>Youth</v>
      </c>
      <c r="D3523" t="s">
        <v>16</v>
      </c>
      <c r="E3523" t="s">
        <v>33</v>
      </c>
      <c r="F3523" t="s">
        <v>38</v>
      </c>
      <c r="G3523">
        <v>91.39</v>
      </c>
      <c r="H3523" t="s">
        <v>24</v>
      </c>
      <c r="I3523" t="s">
        <v>37</v>
      </c>
      <c r="J3523">
        <v>4.5999999999999996</v>
      </c>
      <c r="K3523">
        <v>21</v>
      </c>
      <c r="L3523">
        <f t="shared" ref="L3523:L3586" si="166">G3523*(1-K3523/100)</f>
        <v>72.198099999999997</v>
      </c>
      <c r="M3523">
        <v>8</v>
      </c>
      <c r="N3523" t="str">
        <f t="shared" ref="N3523:N3586" si="167">IF(M3523&lt;=3,"New",IF(M3523&lt;=7,"Regular","Loyal"))</f>
        <v>Loyal</v>
      </c>
    </row>
    <row r="3524" spans="1:14" x14ac:dyDescent="0.35">
      <c r="A3524">
        <v>3523</v>
      </c>
      <c r="B3524">
        <v>63</v>
      </c>
      <c r="C3524" t="str">
        <f t="shared" si="165"/>
        <v>Senior</v>
      </c>
      <c r="D3524" t="s">
        <v>16</v>
      </c>
      <c r="E3524" t="s">
        <v>33</v>
      </c>
      <c r="F3524" t="s">
        <v>34</v>
      </c>
      <c r="G3524">
        <v>148.77000000000001</v>
      </c>
      <c r="H3524" t="s">
        <v>24</v>
      </c>
      <c r="I3524" t="s">
        <v>15</v>
      </c>
      <c r="J3524">
        <v>3.7</v>
      </c>
      <c r="K3524">
        <v>4</v>
      </c>
      <c r="L3524">
        <f t="shared" si="166"/>
        <v>142.8192</v>
      </c>
      <c r="M3524">
        <v>2</v>
      </c>
      <c r="N3524" t="str">
        <f t="shared" si="167"/>
        <v>New</v>
      </c>
    </row>
    <row r="3525" spans="1:14" x14ac:dyDescent="0.35">
      <c r="A3525">
        <v>3524</v>
      </c>
      <c r="B3525">
        <v>68</v>
      </c>
      <c r="C3525" t="str">
        <f t="shared" si="165"/>
        <v>Senior</v>
      </c>
      <c r="D3525" t="s">
        <v>11</v>
      </c>
      <c r="E3525" t="s">
        <v>20</v>
      </c>
      <c r="F3525" t="s">
        <v>39</v>
      </c>
      <c r="G3525">
        <v>208.26</v>
      </c>
      <c r="H3525" t="s">
        <v>14</v>
      </c>
      <c r="I3525" t="s">
        <v>15</v>
      </c>
      <c r="J3525">
        <v>3.3</v>
      </c>
      <c r="K3525">
        <v>6</v>
      </c>
      <c r="L3525">
        <f t="shared" si="166"/>
        <v>195.76439999999997</v>
      </c>
      <c r="M3525">
        <v>3</v>
      </c>
      <c r="N3525" t="str">
        <f t="shared" si="167"/>
        <v>New</v>
      </c>
    </row>
    <row r="3526" spans="1:14" x14ac:dyDescent="0.35">
      <c r="A3526">
        <v>3525</v>
      </c>
      <c r="B3526">
        <v>41</v>
      </c>
      <c r="C3526" t="str">
        <f t="shared" si="165"/>
        <v>Adult</v>
      </c>
      <c r="D3526" t="s">
        <v>16</v>
      </c>
      <c r="E3526" t="s">
        <v>25</v>
      </c>
      <c r="F3526" t="s">
        <v>26</v>
      </c>
      <c r="G3526">
        <v>75.680000000000007</v>
      </c>
      <c r="H3526" t="s">
        <v>14</v>
      </c>
      <c r="I3526" t="s">
        <v>37</v>
      </c>
      <c r="J3526">
        <v>4.7</v>
      </c>
      <c r="K3526">
        <v>12</v>
      </c>
      <c r="L3526">
        <f t="shared" si="166"/>
        <v>66.598400000000012</v>
      </c>
      <c r="M3526">
        <v>1</v>
      </c>
      <c r="N3526" t="str">
        <f t="shared" si="167"/>
        <v>New</v>
      </c>
    </row>
    <row r="3527" spans="1:14" x14ac:dyDescent="0.35">
      <c r="A3527">
        <v>3526</v>
      </c>
      <c r="B3527">
        <v>42</v>
      </c>
      <c r="C3527" t="str">
        <f t="shared" si="165"/>
        <v>Adult</v>
      </c>
      <c r="D3527" t="s">
        <v>11</v>
      </c>
      <c r="E3527" t="s">
        <v>41</v>
      </c>
      <c r="F3527" t="s">
        <v>45</v>
      </c>
      <c r="G3527">
        <v>195.75</v>
      </c>
      <c r="H3527" t="s">
        <v>31</v>
      </c>
      <c r="I3527" t="s">
        <v>15</v>
      </c>
      <c r="J3527">
        <v>2.7</v>
      </c>
      <c r="K3527">
        <v>15</v>
      </c>
      <c r="L3527">
        <f t="shared" si="166"/>
        <v>166.38749999999999</v>
      </c>
      <c r="M3527">
        <v>5</v>
      </c>
      <c r="N3527" t="str">
        <f t="shared" si="167"/>
        <v>Regular</v>
      </c>
    </row>
    <row r="3528" spans="1:14" x14ac:dyDescent="0.35">
      <c r="A3528">
        <v>3527</v>
      </c>
      <c r="B3528">
        <v>20</v>
      </c>
      <c r="C3528" t="str">
        <f t="shared" si="165"/>
        <v>Youth</v>
      </c>
      <c r="D3528" t="s">
        <v>11</v>
      </c>
      <c r="E3528" t="s">
        <v>41</v>
      </c>
      <c r="F3528" t="s">
        <v>44</v>
      </c>
      <c r="G3528">
        <v>101.76</v>
      </c>
      <c r="H3528" t="s">
        <v>14</v>
      </c>
      <c r="I3528" t="s">
        <v>15</v>
      </c>
      <c r="J3528">
        <v>3.6</v>
      </c>
      <c r="K3528">
        <v>4</v>
      </c>
      <c r="L3528">
        <f t="shared" si="166"/>
        <v>97.689599999999999</v>
      </c>
      <c r="M3528">
        <v>2</v>
      </c>
      <c r="N3528" t="str">
        <f t="shared" si="167"/>
        <v>New</v>
      </c>
    </row>
    <row r="3529" spans="1:14" x14ac:dyDescent="0.35">
      <c r="A3529">
        <v>3528</v>
      </c>
      <c r="B3529">
        <v>62</v>
      </c>
      <c r="C3529" t="str">
        <f t="shared" si="165"/>
        <v>Senior</v>
      </c>
      <c r="D3529" t="s">
        <v>16</v>
      </c>
      <c r="E3529" t="s">
        <v>33</v>
      </c>
      <c r="F3529" t="s">
        <v>34</v>
      </c>
      <c r="G3529">
        <v>162.80000000000001</v>
      </c>
      <c r="H3529" t="s">
        <v>14</v>
      </c>
      <c r="I3529" t="s">
        <v>15</v>
      </c>
      <c r="J3529">
        <v>4.3</v>
      </c>
      <c r="K3529">
        <v>22</v>
      </c>
      <c r="L3529">
        <f t="shared" si="166"/>
        <v>126.98400000000001</v>
      </c>
      <c r="M3529">
        <v>6</v>
      </c>
      <c r="N3529" t="str">
        <f t="shared" si="167"/>
        <v>Regular</v>
      </c>
    </row>
    <row r="3530" spans="1:14" x14ac:dyDescent="0.35">
      <c r="A3530">
        <v>3529</v>
      </c>
      <c r="B3530">
        <v>67</v>
      </c>
      <c r="C3530" t="str">
        <f t="shared" si="165"/>
        <v>Senior</v>
      </c>
      <c r="D3530" t="s">
        <v>11</v>
      </c>
      <c r="E3530" t="s">
        <v>41</v>
      </c>
      <c r="F3530" t="s">
        <v>46</v>
      </c>
      <c r="G3530">
        <v>184.18</v>
      </c>
      <c r="H3530" t="s">
        <v>14</v>
      </c>
      <c r="I3530" t="s">
        <v>15</v>
      </c>
      <c r="J3530">
        <v>3.2</v>
      </c>
      <c r="K3530">
        <v>14</v>
      </c>
      <c r="L3530">
        <f t="shared" si="166"/>
        <v>158.3948</v>
      </c>
      <c r="M3530">
        <v>2</v>
      </c>
      <c r="N3530" t="str">
        <f t="shared" si="167"/>
        <v>New</v>
      </c>
    </row>
    <row r="3531" spans="1:14" x14ac:dyDescent="0.35">
      <c r="A3531">
        <v>3530</v>
      </c>
      <c r="B3531">
        <v>27</v>
      </c>
      <c r="C3531" t="str">
        <f t="shared" si="165"/>
        <v>Youth</v>
      </c>
      <c r="D3531" t="s">
        <v>11</v>
      </c>
      <c r="E3531" t="s">
        <v>29</v>
      </c>
      <c r="F3531" t="s">
        <v>55</v>
      </c>
      <c r="G3531">
        <v>92.28</v>
      </c>
      <c r="H3531" t="s">
        <v>24</v>
      </c>
      <c r="I3531" t="s">
        <v>37</v>
      </c>
      <c r="J3531">
        <v>4.2</v>
      </c>
      <c r="K3531">
        <v>14</v>
      </c>
      <c r="L3531">
        <f t="shared" si="166"/>
        <v>79.360799999999998</v>
      </c>
      <c r="M3531">
        <v>2</v>
      </c>
      <c r="N3531" t="str">
        <f t="shared" si="167"/>
        <v>New</v>
      </c>
    </row>
    <row r="3532" spans="1:14" x14ac:dyDescent="0.35">
      <c r="A3532">
        <v>3531</v>
      </c>
      <c r="B3532">
        <v>27</v>
      </c>
      <c r="C3532" t="str">
        <f t="shared" si="165"/>
        <v>Youth</v>
      </c>
      <c r="D3532" t="s">
        <v>16</v>
      </c>
      <c r="E3532" t="s">
        <v>22</v>
      </c>
      <c r="F3532" t="s">
        <v>43</v>
      </c>
      <c r="G3532">
        <v>90.91</v>
      </c>
      <c r="H3532" t="s">
        <v>19</v>
      </c>
      <c r="I3532" t="s">
        <v>15</v>
      </c>
      <c r="J3532">
        <v>3.6</v>
      </c>
      <c r="K3532">
        <v>10</v>
      </c>
      <c r="L3532">
        <f t="shared" si="166"/>
        <v>81.819000000000003</v>
      </c>
      <c r="M3532">
        <v>5</v>
      </c>
      <c r="N3532" t="str">
        <f t="shared" si="167"/>
        <v>Regular</v>
      </c>
    </row>
    <row r="3533" spans="1:14" x14ac:dyDescent="0.35">
      <c r="A3533">
        <v>3532</v>
      </c>
      <c r="B3533">
        <v>69</v>
      </c>
      <c r="C3533" t="str">
        <f t="shared" si="165"/>
        <v>Senior</v>
      </c>
      <c r="D3533" t="s">
        <v>16</v>
      </c>
      <c r="E3533" t="s">
        <v>20</v>
      </c>
      <c r="F3533" t="s">
        <v>36</v>
      </c>
      <c r="G3533">
        <v>213.7</v>
      </c>
      <c r="H3533" t="s">
        <v>31</v>
      </c>
      <c r="I3533" t="s">
        <v>15</v>
      </c>
      <c r="J3533">
        <v>3.7</v>
      </c>
      <c r="K3533">
        <v>6</v>
      </c>
      <c r="L3533">
        <f t="shared" si="166"/>
        <v>200.87799999999999</v>
      </c>
      <c r="M3533">
        <v>3</v>
      </c>
      <c r="N3533" t="str">
        <f t="shared" si="167"/>
        <v>New</v>
      </c>
    </row>
    <row r="3534" spans="1:14" x14ac:dyDescent="0.35">
      <c r="A3534">
        <v>3533</v>
      </c>
      <c r="B3534">
        <v>40</v>
      </c>
      <c r="C3534" t="str">
        <f t="shared" si="165"/>
        <v>Adult</v>
      </c>
      <c r="D3534" t="s">
        <v>16</v>
      </c>
      <c r="E3534" t="s">
        <v>27</v>
      </c>
      <c r="F3534" t="s">
        <v>49</v>
      </c>
      <c r="G3534">
        <v>2397</v>
      </c>
      <c r="H3534" t="s">
        <v>24</v>
      </c>
      <c r="I3534" t="s">
        <v>15</v>
      </c>
      <c r="J3534">
        <v>4</v>
      </c>
      <c r="K3534">
        <v>32</v>
      </c>
      <c r="L3534">
        <f t="shared" si="166"/>
        <v>1629.9599999999998</v>
      </c>
      <c r="M3534">
        <v>11</v>
      </c>
      <c r="N3534" t="str">
        <f t="shared" si="167"/>
        <v>Loyal</v>
      </c>
    </row>
    <row r="3535" spans="1:14" x14ac:dyDescent="0.35">
      <c r="A3535">
        <v>3534</v>
      </c>
      <c r="B3535">
        <v>64</v>
      </c>
      <c r="C3535" t="str">
        <f t="shared" si="165"/>
        <v>Senior</v>
      </c>
      <c r="D3535" t="s">
        <v>11</v>
      </c>
      <c r="E3535" t="s">
        <v>12</v>
      </c>
      <c r="F3535" t="s">
        <v>13</v>
      </c>
      <c r="G3535">
        <v>174.66</v>
      </c>
      <c r="H3535" t="s">
        <v>14</v>
      </c>
      <c r="I3535" t="s">
        <v>15</v>
      </c>
      <c r="J3535">
        <v>5</v>
      </c>
      <c r="K3535">
        <v>24</v>
      </c>
      <c r="L3535">
        <f t="shared" si="166"/>
        <v>132.74160000000001</v>
      </c>
      <c r="M3535">
        <v>7</v>
      </c>
      <c r="N3535" t="str">
        <f t="shared" si="167"/>
        <v>Regular</v>
      </c>
    </row>
    <row r="3536" spans="1:14" x14ac:dyDescent="0.35">
      <c r="A3536">
        <v>3535</v>
      </c>
      <c r="B3536">
        <v>34</v>
      </c>
      <c r="C3536" t="str">
        <f t="shared" si="165"/>
        <v>Adult</v>
      </c>
      <c r="D3536" t="s">
        <v>16</v>
      </c>
      <c r="E3536" t="s">
        <v>27</v>
      </c>
      <c r="F3536" t="s">
        <v>32</v>
      </c>
      <c r="G3536">
        <v>2047.74</v>
      </c>
      <c r="H3536" t="s">
        <v>14</v>
      </c>
      <c r="I3536" t="s">
        <v>15</v>
      </c>
      <c r="J3536">
        <v>4</v>
      </c>
      <c r="K3536">
        <v>22</v>
      </c>
      <c r="L3536">
        <f t="shared" si="166"/>
        <v>1597.2372</v>
      </c>
      <c r="M3536">
        <v>6</v>
      </c>
      <c r="N3536" t="str">
        <f t="shared" si="167"/>
        <v>Regular</v>
      </c>
    </row>
    <row r="3537" spans="1:14" x14ac:dyDescent="0.35">
      <c r="A3537">
        <v>3536</v>
      </c>
      <c r="B3537">
        <v>67</v>
      </c>
      <c r="C3537" t="str">
        <f t="shared" si="165"/>
        <v>Senior</v>
      </c>
      <c r="D3537" t="s">
        <v>11</v>
      </c>
      <c r="E3537" t="s">
        <v>41</v>
      </c>
      <c r="F3537" t="s">
        <v>44</v>
      </c>
      <c r="G3537">
        <v>148.32</v>
      </c>
      <c r="H3537" t="s">
        <v>19</v>
      </c>
      <c r="I3537" t="s">
        <v>15</v>
      </c>
      <c r="J3537">
        <v>4.5</v>
      </c>
      <c r="K3537">
        <v>20</v>
      </c>
      <c r="L3537">
        <f t="shared" si="166"/>
        <v>118.65600000000001</v>
      </c>
      <c r="M3537">
        <v>5</v>
      </c>
      <c r="N3537" t="str">
        <f t="shared" si="167"/>
        <v>Regular</v>
      </c>
    </row>
    <row r="3538" spans="1:14" x14ac:dyDescent="0.35">
      <c r="A3538">
        <v>3537</v>
      </c>
      <c r="B3538">
        <v>27</v>
      </c>
      <c r="C3538" t="str">
        <f t="shared" si="165"/>
        <v>Youth</v>
      </c>
      <c r="D3538" t="s">
        <v>16</v>
      </c>
      <c r="E3538" t="s">
        <v>20</v>
      </c>
      <c r="F3538" t="s">
        <v>21</v>
      </c>
      <c r="G3538">
        <v>118.03</v>
      </c>
      <c r="H3538" t="s">
        <v>19</v>
      </c>
      <c r="I3538" t="s">
        <v>15</v>
      </c>
      <c r="J3538">
        <v>4</v>
      </c>
      <c r="K3538">
        <v>19</v>
      </c>
      <c r="L3538">
        <f t="shared" si="166"/>
        <v>95.604300000000009</v>
      </c>
      <c r="M3538">
        <v>7</v>
      </c>
      <c r="N3538" t="str">
        <f t="shared" si="167"/>
        <v>Regular</v>
      </c>
    </row>
    <row r="3539" spans="1:14" x14ac:dyDescent="0.35">
      <c r="A3539">
        <v>3538</v>
      </c>
      <c r="B3539">
        <v>33</v>
      </c>
      <c r="C3539" t="str">
        <f t="shared" si="165"/>
        <v>Adult</v>
      </c>
      <c r="D3539" t="s">
        <v>11</v>
      </c>
      <c r="E3539" t="s">
        <v>29</v>
      </c>
      <c r="F3539" t="s">
        <v>55</v>
      </c>
      <c r="G3539">
        <v>55.18</v>
      </c>
      <c r="H3539" t="s">
        <v>24</v>
      </c>
      <c r="I3539" t="s">
        <v>15</v>
      </c>
      <c r="J3539">
        <v>3.4</v>
      </c>
      <c r="K3539">
        <v>13</v>
      </c>
      <c r="L3539">
        <f t="shared" si="166"/>
        <v>48.006599999999999</v>
      </c>
      <c r="M3539">
        <v>4</v>
      </c>
      <c r="N3539" t="str">
        <f t="shared" si="167"/>
        <v>Regular</v>
      </c>
    </row>
    <row r="3540" spans="1:14" x14ac:dyDescent="0.35">
      <c r="A3540">
        <v>3539</v>
      </c>
      <c r="B3540">
        <v>57</v>
      </c>
      <c r="C3540" t="str">
        <f t="shared" si="165"/>
        <v>Adult</v>
      </c>
      <c r="D3540" t="s">
        <v>11</v>
      </c>
      <c r="E3540" t="s">
        <v>12</v>
      </c>
      <c r="F3540" t="s">
        <v>56</v>
      </c>
      <c r="G3540">
        <v>39.68</v>
      </c>
      <c r="H3540" t="s">
        <v>31</v>
      </c>
      <c r="I3540" t="s">
        <v>37</v>
      </c>
      <c r="J3540">
        <v>3.4</v>
      </c>
      <c r="K3540">
        <v>10</v>
      </c>
      <c r="L3540">
        <f t="shared" si="166"/>
        <v>35.712000000000003</v>
      </c>
      <c r="M3540">
        <v>5</v>
      </c>
      <c r="N3540" t="str">
        <f t="shared" si="167"/>
        <v>Regular</v>
      </c>
    </row>
    <row r="3541" spans="1:14" x14ac:dyDescent="0.35">
      <c r="A3541">
        <v>3540</v>
      </c>
      <c r="B3541">
        <v>47</v>
      </c>
      <c r="C3541" t="str">
        <f t="shared" si="165"/>
        <v>Adult</v>
      </c>
      <c r="D3541" t="s">
        <v>16</v>
      </c>
      <c r="E3541" t="s">
        <v>33</v>
      </c>
      <c r="F3541" t="s">
        <v>34</v>
      </c>
      <c r="G3541">
        <v>138.35</v>
      </c>
      <c r="H3541" t="s">
        <v>14</v>
      </c>
      <c r="I3541" t="s">
        <v>15</v>
      </c>
      <c r="J3541">
        <v>4.5999999999999996</v>
      </c>
      <c r="K3541">
        <v>15</v>
      </c>
      <c r="L3541">
        <f t="shared" si="166"/>
        <v>117.5975</v>
      </c>
      <c r="M3541">
        <v>5</v>
      </c>
      <c r="N3541" t="str">
        <f t="shared" si="167"/>
        <v>Regular</v>
      </c>
    </row>
    <row r="3542" spans="1:14" x14ac:dyDescent="0.35">
      <c r="A3542">
        <v>3541</v>
      </c>
      <c r="B3542">
        <v>20</v>
      </c>
      <c r="C3542" t="str">
        <f t="shared" si="165"/>
        <v>Youth</v>
      </c>
      <c r="D3542" t="s">
        <v>11</v>
      </c>
      <c r="E3542" t="s">
        <v>33</v>
      </c>
      <c r="F3542" t="s">
        <v>34</v>
      </c>
      <c r="G3542">
        <v>80.11</v>
      </c>
      <c r="H3542" t="s">
        <v>24</v>
      </c>
      <c r="I3542" t="s">
        <v>15</v>
      </c>
      <c r="J3542">
        <v>4.5999999999999996</v>
      </c>
      <c r="K3542">
        <v>10</v>
      </c>
      <c r="L3542">
        <f t="shared" si="166"/>
        <v>72.099000000000004</v>
      </c>
      <c r="M3542">
        <v>5</v>
      </c>
      <c r="N3542" t="str">
        <f t="shared" si="167"/>
        <v>Regular</v>
      </c>
    </row>
    <row r="3543" spans="1:14" x14ac:dyDescent="0.35">
      <c r="A3543">
        <v>3542</v>
      </c>
      <c r="B3543">
        <v>58</v>
      </c>
      <c r="C3543" t="str">
        <f t="shared" si="165"/>
        <v>Adult</v>
      </c>
      <c r="D3543" t="s">
        <v>11</v>
      </c>
      <c r="E3543" t="s">
        <v>12</v>
      </c>
      <c r="F3543" t="s">
        <v>13</v>
      </c>
      <c r="G3543">
        <v>97.52</v>
      </c>
      <c r="H3543" t="s">
        <v>19</v>
      </c>
      <c r="I3543" t="s">
        <v>37</v>
      </c>
      <c r="J3543">
        <v>2.8</v>
      </c>
      <c r="K3543">
        <v>10</v>
      </c>
      <c r="L3543">
        <f t="shared" si="166"/>
        <v>87.768000000000001</v>
      </c>
      <c r="M3543">
        <v>5</v>
      </c>
      <c r="N3543" t="str">
        <f t="shared" si="167"/>
        <v>Regular</v>
      </c>
    </row>
    <row r="3544" spans="1:14" x14ac:dyDescent="0.35">
      <c r="A3544">
        <v>3543</v>
      </c>
      <c r="B3544">
        <v>29</v>
      </c>
      <c r="C3544" t="str">
        <f t="shared" si="165"/>
        <v>Youth</v>
      </c>
      <c r="D3544" t="s">
        <v>11</v>
      </c>
      <c r="E3544" t="s">
        <v>12</v>
      </c>
      <c r="F3544" t="s">
        <v>56</v>
      </c>
      <c r="G3544">
        <v>135.41999999999999</v>
      </c>
      <c r="H3544" t="s">
        <v>19</v>
      </c>
      <c r="I3544" t="s">
        <v>15</v>
      </c>
      <c r="J3544">
        <v>3.7</v>
      </c>
      <c r="K3544">
        <v>10</v>
      </c>
      <c r="L3544">
        <f t="shared" si="166"/>
        <v>121.87799999999999</v>
      </c>
      <c r="M3544">
        <v>5</v>
      </c>
      <c r="N3544" t="str">
        <f t="shared" si="167"/>
        <v>Regular</v>
      </c>
    </row>
    <row r="3545" spans="1:14" x14ac:dyDescent="0.35">
      <c r="A3545">
        <v>3544</v>
      </c>
      <c r="B3545">
        <v>68</v>
      </c>
      <c r="C3545" t="str">
        <f t="shared" si="165"/>
        <v>Senior</v>
      </c>
      <c r="D3545" t="s">
        <v>16</v>
      </c>
      <c r="E3545" t="s">
        <v>17</v>
      </c>
      <c r="F3545" t="s">
        <v>18</v>
      </c>
      <c r="G3545">
        <v>95.18</v>
      </c>
      <c r="H3545" t="s">
        <v>14</v>
      </c>
      <c r="I3545" t="s">
        <v>15</v>
      </c>
      <c r="J3545">
        <v>4.4000000000000004</v>
      </c>
      <c r="K3545">
        <v>17</v>
      </c>
      <c r="L3545">
        <f t="shared" si="166"/>
        <v>78.999400000000009</v>
      </c>
      <c r="M3545">
        <v>6</v>
      </c>
      <c r="N3545" t="str">
        <f t="shared" si="167"/>
        <v>Regular</v>
      </c>
    </row>
    <row r="3546" spans="1:14" x14ac:dyDescent="0.35">
      <c r="A3546">
        <v>3545</v>
      </c>
      <c r="B3546">
        <v>50</v>
      </c>
      <c r="C3546" t="str">
        <f t="shared" si="165"/>
        <v>Adult</v>
      </c>
      <c r="D3546" t="s">
        <v>11</v>
      </c>
      <c r="E3546" t="s">
        <v>29</v>
      </c>
      <c r="F3546" t="s">
        <v>55</v>
      </c>
      <c r="G3546">
        <v>121.73</v>
      </c>
      <c r="H3546" t="s">
        <v>24</v>
      </c>
      <c r="I3546" t="s">
        <v>15</v>
      </c>
      <c r="J3546">
        <v>4.0999999999999996</v>
      </c>
      <c r="K3546">
        <v>28</v>
      </c>
      <c r="L3546">
        <f t="shared" si="166"/>
        <v>87.645600000000002</v>
      </c>
      <c r="M3546">
        <v>9</v>
      </c>
      <c r="N3546" t="str">
        <f t="shared" si="167"/>
        <v>Loyal</v>
      </c>
    </row>
    <row r="3547" spans="1:14" x14ac:dyDescent="0.35">
      <c r="A3547">
        <v>3546</v>
      </c>
      <c r="B3547">
        <v>21</v>
      </c>
      <c r="C3547" t="str">
        <f t="shared" si="165"/>
        <v>Youth</v>
      </c>
      <c r="D3547" t="s">
        <v>11</v>
      </c>
      <c r="E3547" t="s">
        <v>41</v>
      </c>
      <c r="F3547" t="s">
        <v>46</v>
      </c>
      <c r="G3547">
        <v>155.07</v>
      </c>
      <c r="H3547" t="s">
        <v>31</v>
      </c>
      <c r="I3547" t="s">
        <v>15</v>
      </c>
      <c r="J3547">
        <v>3</v>
      </c>
      <c r="K3547">
        <v>13</v>
      </c>
      <c r="L3547">
        <f t="shared" si="166"/>
        <v>134.9109</v>
      </c>
      <c r="M3547">
        <v>4</v>
      </c>
      <c r="N3547" t="str">
        <f t="shared" si="167"/>
        <v>Regular</v>
      </c>
    </row>
    <row r="3548" spans="1:14" x14ac:dyDescent="0.35">
      <c r="A3548">
        <v>3547</v>
      </c>
      <c r="B3548">
        <v>65</v>
      </c>
      <c r="C3548" t="str">
        <f t="shared" si="165"/>
        <v>Senior</v>
      </c>
      <c r="D3548" t="s">
        <v>16</v>
      </c>
      <c r="E3548" t="s">
        <v>17</v>
      </c>
      <c r="F3548" t="s">
        <v>18</v>
      </c>
      <c r="G3548">
        <v>146.36000000000001</v>
      </c>
      <c r="H3548" t="s">
        <v>31</v>
      </c>
      <c r="I3548" t="s">
        <v>15</v>
      </c>
      <c r="J3548">
        <v>2.5</v>
      </c>
      <c r="K3548">
        <v>2</v>
      </c>
      <c r="L3548">
        <f t="shared" si="166"/>
        <v>143.43280000000001</v>
      </c>
      <c r="M3548">
        <v>1</v>
      </c>
      <c r="N3548" t="str">
        <f t="shared" si="167"/>
        <v>New</v>
      </c>
    </row>
    <row r="3549" spans="1:14" x14ac:dyDescent="0.35">
      <c r="A3549">
        <v>3548</v>
      </c>
      <c r="B3549">
        <v>67</v>
      </c>
      <c r="C3549" t="str">
        <f t="shared" si="165"/>
        <v>Senior</v>
      </c>
      <c r="D3549" t="s">
        <v>16</v>
      </c>
      <c r="E3549" t="s">
        <v>20</v>
      </c>
      <c r="F3549" t="s">
        <v>36</v>
      </c>
      <c r="G3549">
        <v>222.83</v>
      </c>
      <c r="H3549" t="s">
        <v>31</v>
      </c>
      <c r="I3549" t="s">
        <v>15</v>
      </c>
      <c r="J3549">
        <v>4.8</v>
      </c>
      <c r="K3549">
        <v>13</v>
      </c>
      <c r="L3549">
        <f t="shared" si="166"/>
        <v>193.8621</v>
      </c>
      <c r="M3549">
        <v>4</v>
      </c>
      <c r="N3549" t="str">
        <f t="shared" si="167"/>
        <v>Regular</v>
      </c>
    </row>
    <row r="3550" spans="1:14" x14ac:dyDescent="0.35">
      <c r="A3550">
        <v>3549</v>
      </c>
      <c r="B3550">
        <v>28</v>
      </c>
      <c r="C3550" t="str">
        <f t="shared" si="165"/>
        <v>Youth</v>
      </c>
      <c r="D3550" t="s">
        <v>11</v>
      </c>
      <c r="E3550" t="s">
        <v>33</v>
      </c>
      <c r="F3550" t="s">
        <v>38</v>
      </c>
      <c r="G3550">
        <v>237.96</v>
      </c>
      <c r="H3550" t="s">
        <v>14</v>
      </c>
      <c r="I3550" t="s">
        <v>15</v>
      </c>
      <c r="J3550">
        <v>4.7</v>
      </c>
      <c r="K3550">
        <v>9</v>
      </c>
      <c r="L3550">
        <f t="shared" si="166"/>
        <v>216.54360000000003</v>
      </c>
      <c r="M3550">
        <v>2</v>
      </c>
      <c r="N3550" t="str">
        <f t="shared" si="167"/>
        <v>New</v>
      </c>
    </row>
    <row r="3551" spans="1:14" x14ac:dyDescent="0.35">
      <c r="A3551">
        <v>3550</v>
      </c>
      <c r="B3551">
        <v>53</v>
      </c>
      <c r="C3551" t="str">
        <f t="shared" si="165"/>
        <v>Adult</v>
      </c>
      <c r="D3551" t="s">
        <v>11</v>
      </c>
      <c r="E3551" t="s">
        <v>41</v>
      </c>
      <c r="F3551" t="s">
        <v>46</v>
      </c>
      <c r="G3551">
        <v>182.1</v>
      </c>
      <c r="H3551" t="s">
        <v>14</v>
      </c>
      <c r="I3551" t="s">
        <v>15</v>
      </c>
      <c r="J3551">
        <v>2.8</v>
      </c>
      <c r="K3551">
        <v>13</v>
      </c>
      <c r="L3551">
        <f t="shared" si="166"/>
        <v>158.42699999999999</v>
      </c>
      <c r="M3551">
        <v>4</v>
      </c>
      <c r="N3551" t="str">
        <f t="shared" si="167"/>
        <v>Regular</v>
      </c>
    </row>
    <row r="3552" spans="1:14" x14ac:dyDescent="0.35">
      <c r="A3552">
        <v>3551</v>
      </c>
      <c r="B3552">
        <v>53</v>
      </c>
      <c r="C3552" t="str">
        <f t="shared" si="165"/>
        <v>Adult</v>
      </c>
      <c r="D3552" t="s">
        <v>16</v>
      </c>
      <c r="E3552" t="s">
        <v>27</v>
      </c>
      <c r="F3552" t="s">
        <v>53</v>
      </c>
      <c r="G3552">
        <v>2807.25</v>
      </c>
      <c r="H3552" t="s">
        <v>31</v>
      </c>
      <c r="I3552" t="s">
        <v>15</v>
      </c>
      <c r="J3552">
        <v>2.7</v>
      </c>
      <c r="K3552">
        <v>22</v>
      </c>
      <c r="L3552">
        <f t="shared" si="166"/>
        <v>2189.6550000000002</v>
      </c>
      <c r="M3552">
        <v>6</v>
      </c>
      <c r="N3552" t="str">
        <f t="shared" si="167"/>
        <v>Regular</v>
      </c>
    </row>
    <row r="3553" spans="1:14" x14ac:dyDescent="0.35">
      <c r="A3553">
        <v>3552</v>
      </c>
      <c r="B3553">
        <v>24</v>
      </c>
      <c r="C3553" t="str">
        <f t="shared" si="165"/>
        <v>Youth</v>
      </c>
      <c r="D3553" t="s">
        <v>16</v>
      </c>
      <c r="E3553" t="s">
        <v>20</v>
      </c>
      <c r="F3553" t="s">
        <v>39</v>
      </c>
      <c r="G3553">
        <v>140.57</v>
      </c>
      <c r="H3553" t="s">
        <v>14</v>
      </c>
      <c r="I3553" t="s">
        <v>15</v>
      </c>
      <c r="J3553">
        <v>4.0999999999999996</v>
      </c>
      <c r="K3553">
        <v>10</v>
      </c>
      <c r="L3553">
        <f t="shared" si="166"/>
        <v>126.51299999999999</v>
      </c>
      <c r="M3553">
        <v>5</v>
      </c>
      <c r="N3553" t="str">
        <f t="shared" si="167"/>
        <v>Regular</v>
      </c>
    </row>
    <row r="3554" spans="1:14" x14ac:dyDescent="0.35">
      <c r="A3554">
        <v>3553</v>
      </c>
      <c r="B3554">
        <v>68</v>
      </c>
      <c r="C3554" t="str">
        <f t="shared" si="165"/>
        <v>Senior</v>
      </c>
      <c r="D3554" t="s">
        <v>16</v>
      </c>
      <c r="E3554" t="s">
        <v>25</v>
      </c>
      <c r="F3554" t="s">
        <v>57</v>
      </c>
      <c r="G3554">
        <v>77.77</v>
      </c>
      <c r="H3554" t="s">
        <v>24</v>
      </c>
      <c r="I3554" t="s">
        <v>37</v>
      </c>
      <c r="J3554">
        <v>3.6</v>
      </c>
      <c r="K3554">
        <v>10</v>
      </c>
      <c r="L3554">
        <f t="shared" si="166"/>
        <v>69.992999999999995</v>
      </c>
      <c r="M3554">
        <v>5</v>
      </c>
      <c r="N3554" t="str">
        <f t="shared" si="167"/>
        <v>Regular</v>
      </c>
    </row>
    <row r="3555" spans="1:14" x14ac:dyDescent="0.35">
      <c r="A3555">
        <v>3554</v>
      </c>
      <c r="B3555">
        <v>70</v>
      </c>
      <c r="C3555" t="str">
        <f t="shared" si="165"/>
        <v>Senior</v>
      </c>
      <c r="D3555" t="s">
        <v>11</v>
      </c>
      <c r="E3555" t="s">
        <v>33</v>
      </c>
      <c r="F3555" t="s">
        <v>34</v>
      </c>
      <c r="G3555">
        <v>165.35</v>
      </c>
      <c r="H3555" t="s">
        <v>14</v>
      </c>
      <c r="I3555" t="s">
        <v>15</v>
      </c>
      <c r="J3555">
        <v>4.0999999999999996</v>
      </c>
      <c r="K3555">
        <v>6</v>
      </c>
      <c r="L3555">
        <f t="shared" si="166"/>
        <v>155.42899999999997</v>
      </c>
      <c r="M3555">
        <v>3</v>
      </c>
      <c r="N3555" t="str">
        <f t="shared" si="167"/>
        <v>New</v>
      </c>
    </row>
    <row r="3556" spans="1:14" x14ac:dyDescent="0.35">
      <c r="A3556">
        <v>3555</v>
      </c>
      <c r="B3556">
        <v>43</v>
      </c>
      <c r="C3556" t="str">
        <f t="shared" si="165"/>
        <v>Adult</v>
      </c>
      <c r="D3556" t="s">
        <v>16</v>
      </c>
      <c r="E3556" t="s">
        <v>20</v>
      </c>
      <c r="F3556" t="s">
        <v>36</v>
      </c>
      <c r="G3556">
        <v>246.24</v>
      </c>
      <c r="H3556" t="s">
        <v>24</v>
      </c>
      <c r="I3556" t="s">
        <v>15</v>
      </c>
      <c r="J3556">
        <v>4.5</v>
      </c>
      <c r="K3556">
        <v>14</v>
      </c>
      <c r="L3556">
        <f t="shared" si="166"/>
        <v>211.7664</v>
      </c>
      <c r="M3556">
        <v>2</v>
      </c>
      <c r="N3556" t="str">
        <f t="shared" si="167"/>
        <v>New</v>
      </c>
    </row>
    <row r="3557" spans="1:14" x14ac:dyDescent="0.35">
      <c r="A3557">
        <v>3556</v>
      </c>
      <c r="B3557">
        <v>26</v>
      </c>
      <c r="C3557" t="str">
        <f t="shared" si="165"/>
        <v>Youth</v>
      </c>
      <c r="D3557" t="s">
        <v>11</v>
      </c>
      <c r="E3557" t="s">
        <v>29</v>
      </c>
      <c r="F3557" t="s">
        <v>51</v>
      </c>
      <c r="G3557">
        <v>121.85</v>
      </c>
      <c r="H3557" t="s">
        <v>31</v>
      </c>
      <c r="I3557" t="s">
        <v>15</v>
      </c>
      <c r="J3557">
        <v>4.0999999999999996</v>
      </c>
      <c r="K3557">
        <v>11</v>
      </c>
      <c r="L3557">
        <f t="shared" si="166"/>
        <v>108.4465</v>
      </c>
      <c r="M3557">
        <v>3</v>
      </c>
      <c r="N3557" t="str">
        <f t="shared" si="167"/>
        <v>New</v>
      </c>
    </row>
    <row r="3558" spans="1:14" x14ac:dyDescent="0.35">
      <c r="A3558">
        <v>3557</v>
      </c>
      <c r="B3558">
        <v>21</v>
      </c>
      <c r="C3558" t="str">
        <f t="shared" si="165"/>
        <v>Youth</v>
      </c>
      <c r="D3558" t="s">
        <v>16</v>
      </c>
      <c r="E3558" t="s">
        <v>20</v>
      </c>
      <c r="F3558" t="s">
        <v>39</v>
      </c>
      <c r="G3558">
        <v>244.91</v>
      </c>
      <c r="H3558" t="s">
        <v>24</v>
      </c>
      <c r="I3558" t="s">
        <v>15</v>
      </c>
      <c r="J3558">
        <v>2.9</v>
      </c>
      <c r="K3558">
        <v>6</v>
      </c>
      <c r="L3558">
        <f t="shared" si="166"/>
        <v>230.21539999999999</v>
      </c>
      <c r="M3558">
        <v>3</v>
      </c>
      <c r="N3558" t="str">
        <f t="shared" si="167"/>
        <v>New</v>
      </c>
    </row>
    <row r="3559" spans="1:14" x14ac:dyDescent="0.35">
      <c r="A3559">
        <v>3558</v>
      </c>
      <c r="B3559">
        <v>68</v>
      </c>
      <c r="C3559" t="str">
        <f t="shared" si="165"/>
        <v>Senior</v>
      </c>
      <c r="D3559" t="s">
        <v>11</v>
      </c>
      <c r="E3559" t="s">
        <v>29</v>
      </c>
      <c r="F3559" t="s">
        <v>51</v>
      </c>
      <c r="G3559">
        <v>116.21</v>
      </c>
      <c r="H3559" t="s">
        <v>14</v>
      </c>
      <c r="I3559" t="s">
        <v>15</v>
      </c>
      <c r="J3559">
        <v>3.3</v>
      </c>
      <c r="K3559">
        <v>28</v>
      </c>
      <c r="L3559">
        <f t="shared" si="166"/>
        <v>83.671199999999999</v>
      </c>
      <c r="M3559">
        <v>9</v>
      </c>
      <c r="N3559" t="str">
        <f t="shared" si="167"/>
        <v>Loyal</v>
      </c>
    </row>
    <row r="3560" spans="1:14" x14ac:dyDescent="0.35">
      <c r="A3560">
        <v>3559</v>
      </c>
      <c r="B3560">
        <v>65</v>
      </c>
      <c r="C3560" t="str">
        <f t="shared" si="165"/>
        <v>Senior</v>
      </c>
      <c r="D3560" t="s">
        <v>16</v>
      </c>
      <c r="E3560" t="s">
        <v>25</v>
      </c>
      <c r="F3560" t="s">
        <v>54</v>
      </c>
      <c r="G3560">
        <v>31.66</v>
      </c>
      <c r="H3560" t="s">
        <v>14</v>
      </c>
      <c r="I3560" t="s">
        <v>37</v>
      </c>
      <c r="J3560">
        <v>2.4</v>
      </c>
      <c r="K3560">
        <v>14</v>
      </c>
      <c r="L3560">
        <f t="shared" si="166"/>
        <v>27.227599999999999</v>
      </c>
      <c r="M3560">
        <v>7</v>
      </c>
      <c r="N3560" t="str">
        <f t="shared" si="167"/>
        <v>Regular</v>
      </c>
    </row>
    <row r="3561" spans="1:14" x14ac:dyDescent="0.35">
      <c r="A3561">
        <v>3560</v>
      </c>
      <c r="B3561">
        <v>42</v>
      </c>
      <c r="C3561" t="str">
        <f t="shared" si="165"/>
        <v>Adult</v>
      </c>
      <c r="D3561" t="s">
        <v>16</v>
      </c>
      <c r="E3561" t="s">
        <v>20</v>
      </c>
      <c r="F3561" t="s">
        <v>39</v>
      </c>
      <c r="G3561">
        <v>150.72</v>
      </c>
      <c r="H3561" t="s">
        <v>31</v>
      </c>
      <c r="I3561" t="s">
        <v>15</v>
      </c>
      <c r="J3561">
        <v>4.3</v>
      </c>
      <c r="K3561">
        <v>17</v>
      </c>
      <c r="L3561">
        <f t="shared" si="166"/>
        <v>125.0976</v>
      </c>
      <c r="M3561">
        <v>6</v>
      </c>
      <c r="N3561" t="str">
        <f t="shared" si="167"/>
        <v>Regular</v>
      </c>
    </row>
    <row r="3562" spans="1:14" x14ac:dyDescent="0.35">
      <c r="A3562">
        <v>3561</v>
      </c>
      <c r="B3562">
        <v>40</v>
      </c>
      <c r="C3562" t="str">
        <f t="shared" si="165"/>
        <v>Adult</v>
      </c>
      <c r="D3562" t="s">
        <v>11</v>
      </c>
      <c r="E3562" t="s">
        <v>33</v>
      </c>
      <c r="F3562" t="s">
        <v>38</v>
      </c>
      <c r="G3562">
        <v>169.6</v>
      </c>
      <c r="H3562" t="s">
        <v>31</v>
      </c>
      <c r="I3562" t="s">
        <v>15</v>
      </c>
      <c r="J3562">
        <v>3</v>
      </c>
      <c r="K3562">
        <v>13</v>
      </c>
      <c r="L3562">
        <f t="shared" si="166"/>
        <v>147.55199999999999</v>
      </c>
      <c r="M3562">
        <v>4</v>
      </c>
      <c r="N3562" t="str">
        <f t="shared" si="167"/>
        <v>Regular</v>
      </c>
    </row>
    <row r="3563" spans="1:14" x14ac:dyDescent="0.35">
      <c r="A3563">
        <v>3562</v>
      </c>
      <c r="B3563">
        <v>47</v>
      </c>
      <c r="C3563" t="str">
        <f t="shared" si="165"/>
        <v>Adult</v>
      </c>
      <c r="D3563" t="s">
        <v>11</v>
      </c>
      <c r="E3563" t="s">
        <v>20</v>
      </c>
      <c r="F3563" t="s">
        <v>21</v>
      </c>
      <c r="G3563">
        <v>58.39</v>
      </c>
      <c r="H3563" t="s">
        <v>14</v>
      </c>
      <c r="I3563" t="s">
        <v>37</v>
      </c>
      <c r="J3563">
        <v>4.4000000000000004</v>
      </c>
      <c r="K3563">
        <v>16</v>
      </c>
      <c r="L3563">
        <f t="shared" si="166"/>
        <v>49.047599999999996</v>
      </c>
      <c r="M3563">
        <v>3</v>
      </c>
      <c r="N3563" t="str">
        <f t="shared" si="167"/>
        <v>New</v>
      </c>
    </row>
    <row r="3564" spans="1:14" x14ac:dyDescent="0.35">
      <c r="A3564">
        <v>3563</v>
      </c>
      <c r="B3564">
        <v>53</v>
      </c>
      <c r="C3564" t="str">
        <f t="shared" si="165"/>
        <v>Adult</v>
      </c>
      <c r="D3564" t="s">
        <v>11</v>
      </c>
      <c r="E3564" t="s">
        <v>29</v>
      </c>
      <c r="F3564" t="s">
        <v>55</v>
      </c>
      <c r="G3564">
        <v>68.14</v>
      </c>
      <c r="H3564" t="s">
        <v>14</v>
      </c>
      <c r="I3564" t="s">
        <v>37</v>
      </c>
      <c r="J3564">
        <v>3.3</v>
      </c>
      <c r="K3564">
        <v>10</v>
      </c>
      <c r="L3564">
        <f t="shared" si="166"/>
        <v>61.326000000000001</v>
      </c>
      <c r="M3564">
        <v>5</v>
      </c>
      <c r="N3564" t="str">
        <f t="shared" si="167"/>
        <v>Regular</v>
      </c>
    </row>
    <row r="3565" spans="1:14" x14ac:dyDescent="0.35">
      <c r="A3565">
        <v>3564</v>
      </c>
      <c r="B3565">
        <v>48</v>
      </c>
      <c r="C3565" t="str">
        <f t="shared" si="165"/>
        <v>Adult</v>
      </c>
      <c r="D3565" t="s">
        <v>16</v>
      </c>
      <c r="E3565" t="s">
        <v>33</v>
      </c>
      <c r="F3565" t="s">
        <v>40</v>
      </c>
      <c r="G3565">
        <v>179.68</v>
      </c>
      <c r="H3565" t="s">
        <v>14</v>
      </c>
      <c r="I3565" t="s">
        <v>15</v>
      </c>
      <c r="J3565">
        <v>4.9000000000000004</v>
      </c>
      <c r="K3565">
        <v>28</v>
      </c>
      <c r="L3565">
        <f t="shared" si="166"/>
        <v>129.36959999999999</v>
      </c>
      <c r="M3565">
        <v>9</v>
      </c>
      <c r="N3565" t="str">
        <f t="shared" si="167"/>
        <v>Loyal</v>
      </c>
    </row>
    <row r="3566" spans="1:14" x14ac:dyDescent="0.35">
      <c r="A3566">
        <v>3565</v>
      </c>
      <c r="B3566">
        <v>33</v>
      </c>
      <c r="C3566" t="str">
        <f t="shared" si="165"/>
        <v>Adult</v>
      </c>
      <c r="D3566" t="s">
        <v>16</v>
      </c>
      <c r="E3566" t="s">
        <v>27</v>
      </c>
      <c r="F3566" t="s">
        <v>49</v>
      </c>
      <c r="G3566">
        <v>2844.72</v>
      </c>
      <c r="H3566" t="s">
        <v>31</v>
      </c>
      <c r="I3566" t="s">
        <v>15</v>
      </c>
      <c r="J3566">
        <v>3.9</v>
      </c>
      <c r="K3566">
        <v>8</v>
      </c>
      <c r="L3566">
        <f t="shared" si="166"/>
        <v>2617.1423999999997</v>
      </c>
      <c r="M3566">
        <v>4</v>
      </c>
      <c r="N3566" t="str">
        <f t="shared" si="167"/>
        <v>Regular</v>
      </c>
    </row>
    <row r="3567" spans="1:14" x14ac:dyDescent="0.35">
      <c r="A3567">
        <v>3566</v>
      </c>
      <c r="B3567">
        <v>42</v>
      </c>
      <c r="C3567" t="str">
        <f t="shared" si="165"/>
        <v>Adult</v>
      </c>
      <c r="D3567" t="s">
        <v>11</v>
      </c>
      <c r="E3567" t="s">
        <v>33</v>
      </c>
      <c r="F3567" t="s">
        <v>40</v>
      </c>
      <c r="G3567">
        <v>125.92</v>
      </c>
      <c r="H3567" t="s">
        <v>31</v>
      </c>
      <c r="I3567" t="s">
        <v>15</v>
      </c>
      <c r="J3567">
        <v>2.8</v>
      </c>
      <c r="K3567">
        <v>10</v>
      </c>
      <c r="L3567">
        <f t="shared" si="166"/>
        <v>113.328</v>
      </c>
      <c r="M3567">
        <v>5</v>
      </c>
      <c r="N3567" t="str">
        <f t="shared" si="167"/>
        <v>Regular</v>
      </c>
    </row>
    <row r="3568" spans="1:14" x14ac:dyDescent="0.35">
      <c r="A3568">
        <v>3567</v>
      </c>
      <c r="B3568">
        <v>45</v>
      </c>
      <c r="C3568" t="str">
        <f t="shared" si="165"/>
        <v>Adult</v>
      </c>
      <c r="D3568" t="s">
        <v>11</v>
      </c>
      <c r="E3568" t="s">
        <v>29</v>
      </c>
      <c r="F3568" t="s">
        <v>55</v>
      </c>
      <c r="G3568">
        <v>21.56</v>
      </c>
      <c r="H3568" t="s">
        <v>19</v>
      </c>
      <c r="I3568" t="s">
        <v>37</v>
      </c>
      <c r="J3568">
        <v>3.4</v>
      </c>
      <c r="K3568">
        <v>9</v>
      </c>
      <c r="L3568">
        <f t="shared" si="166"/>
        <v>19.619599999999998</v>
      </c>
      <c r="M3568">
        <v>2</v>
      </c>
      <c r="N3568" t="str">
        <f t="shared" si="167"/>
        <v>New</v>
      </c>
    </row>
    <row r="3569" spans="1:14" x14ac:dyDescent="0.35">
      <c r="A3569">
        <v>3568</v>
      </c>
      <c r="B3569">
        <v>42</v>
      </c>
      <c r="C3569" t="str">
        <f t="shared" si="165"/>
        <v>Adult</v>
      </c>
      <c r="D3569" t="s">
        <v>16</v>
      </c>
      <c r="E3569" t="s">
        <v>25</v>
      </c>
      <c r="F3569" t="s">
        <v>57</v>
      </c>
      <c r="G3569">
        <v>65.64</v>
      </c>
      <c r="H3569" t="s">
        <v>24</v>
      </c>
      <c r="I3569" t="s">
        <v>37</v>
      </c>
      <c r="J3569">
        <v>2.8</v>
      </c>
      <c r="K3569">
        <v>10</v>
      </c>
      <c r="L3569">
        <f t="shared" si="166"/>
        <v>59.076000000000001</v>
      </c>
      <c r="M3569">
        <v>5</v>
      </c>
      <c r="N3569" t="str">
        <f t="shared" si="167"/>
        <v>Regular</v>
      </c>
    </row>
    <row r="3570" spans="1:14" x14ac:dyDescent="0.35">
      <c r="A3570">
        <v>3569</v>
      </c>
      <c r="B3570">
        <v>56</v>
      </c>
      <c r="C3570" t="str">
        <f t="shared" si="165"/>
        <v>Adult</v>
      </c>
      <c r="D3570" t="s">
        <v>11</v>
      </c>
      <c r="E3570" t="s">
        <v>12</v>
      </c>
      <c r="F3570" t="s">
        <v>56</v>
      </c>
      <c r="G3570">
        <v>110.86</v>
      </c>
      <c r="H3570" t="s">
        <v>14</v>
      </c>
      <c r="I3570" t="s">
        <v>15</v>
      </c>
      <c r="J3570">
        <v>4</v>
      </c>
      <c r="K3570">
        <v>22</v>
      </c>
      <c r="L3570">
        <f t="shared" si="166"/>
        <v>86.470799999999997</v>
      </c>
      <c r="M3570">
        <v>6</v>
      </c>
      <c r="N3570" t="str">
        <f t="shared" si="167"/>
        <v>Regular</v>
      </c>
    </row>
    <row r="3571" spans="1:14" x14ac:dyDescent="0.35">
      <c r="A3571">
        <v>3570</v>
      </c>
      <c r="B3571">
        <v>37</v>
      </c>
      <c r="C3571" t="str">
        <f t="shared" si="165"/>
        <v>Adult</v>
      </c>
      <c r="D3571" t="s">
        <v>11</v>
      </c>
      <c r="E3571" t="s">
        <v>12</v>
      </c>
      <c r="F3571" t="s">
        <v>13</v>
      </c>
      <c r="G3571">
        <v>35.340000000000003</v>
      </c>
      <c r="H3571" t="s">
        <v>14</v>
      </c>
      <c r="I3571" t="s">
        <v>37</v>
      </c>
      <c r="J3571">
        <v>3.5</v>
      </c>
      <c r="K3571">
        <v>13</v>
      </c>
      <c r="L3571">
        <f t="shared" si="166"/>
        <v>30.745800000000003</v>
      </c>
      <c r="M3571">
        <v>4</v>
      </c>
      <c r="N3571" t="str">
        <f t="shared" si="167"/>
        <v>Regular</v>
      </c>
    </row>
    <row r="3572" spans="1:14" x14ac:dyDescent="0.35">
      <c r="A3572">
        <v>3571</v>
      </c>
      <c r="B3572">
        <v>34</v>
      </c>
      <c r="C3572" t="str">
        <f t="shared" si="165"/>
        <v>Adult</v>
      </c>
      <c r="D3572" t="s">
        <v>11</v>
      </c>
      <c r="E3572" t="s">
        <v>33</v>
      </c>
      <c r="F3572" t="s">
        <v>38</v>
      </c>
      <c r="G3572">
        <v>41.87</v>
      </c>
      <c r="H3572" t="s">
        <v>19</v>
      </c>
      <c r="I3572" t="s">
        <v>15</v>
      </c>
      <c r="J3572">
        <v>4</v>
      </c>
      <c r="K3572">
        <v>8</v>
      </c>
      <c r="L3572">
        <f t="shared" si="166"/>
        <v>38.520400000000002</v>
      </c>
      <c r="M3572">
        <v>4</v>
      </c>
      <c r="N3572" t="str">
        <f t="shared" si="167"/>
        <v>Regular</v>
      </c>
    </row>
    <row r="3573" spans="1:14" x14ac:dyDescent="0.35">
      <c r="A3573">
        <v>3572</v>
      </c>
      <c r="B3573">
        <v>61</v>
      </c>
      <c r="C3573" t="str">
        <f t="shared" si="165"/>
        <v>Senior</v>
      </c>
      <c r="D3573" t="s">
        <v>16</v>
      </c>
      <c r="E3573" t="s">
        <v>20</v>
      </c>
      <c r="F3573" t="s">
        <v>21</v>
      </c>
      <c r="G3573">
        <v>43.84</v>
      </c>
      <c r="H3573" t="s">
        <v>31</v>
      </c>
      <c r="I3573" t="s">
        <v>37</v>
      </c>
      <c r="J3573">
        <v>3.3</v>
      </c>
      <c r="K3573">
        <v>20</v>
      </c>
      <c r="L3573">
        <f t="shared" si="166"/>
        <v>35.072000000000003</v>
      </c>
      <c r="M3573">
        <v>5</v>
      </c>
      <c r="N3573" t="str">
        <f t="shared" si="167"/>
        <v>Regular</v>
      </c>
    </row>
    <row r="3574" spans="1:14" x14ac:dyDescent="0.35">
      <c r="A3574">
        <v>3573</v>
      </c>
      <c r="B3574">
        <v>34</v>
      </c>
      <c r="C3574" t="str">
        <f t="shared" si="165"/>
        <v>Adult</v>
      </c>
      <c r="D3574" t="s">
        <v>16</v>
      </c>
      <c r="E3574" t="s">
        <v>33</v>
      </c>
      <c r="F3574" t="s">
        <v>38</v>
      </c>
      <c r="G3574">
        <v>186.06</v>
      </c>
      <c r="H3574" t="s">
        <v>14</v>
      </c>
      <c r="I3574" t="s">
        <v>15</v>
      </c>
      <c r="J3574">
        <v>3.8</v>
      </c>
      <c r="K3574">
        <v>16</v>
      </c>
      <c r="L3574">
        <f t="shared" si="166"/>
        <v>156.29040000000001</v>
      </c>
      <c r="M3574">
        <v>3</v>
      </c>
      <c r="N3574" t="str">
        <f t="shared" si="167"/>
        <v>New</v>
      </c>
    </row>
    <row r="3575" spans="1:14" x14ac:dyDescent="0.35">
      <c r="A3575">
        <v>3574</v>
      </c>
      <c r="B3575">
        <v>42</v>
      </c>
      <c r="C3575" t="str">
        <f t="shared" si="165"/>
        <v>Adult</v>
      </c>
      <c r="D3575" t="s">
        <v>16</v>
      </c>
      <c r="E3575" t="s">
        <v>17</v>
      </c>
      <c r="F3575" t="s">
        <v>48</v>
      </c>
      <c r="G3575">
        <v>183.14</v>
      </c>
      <c r="H3575" t="s">
        <v>24</v>
      </c>
      <c r="I3575" t="s">
        <v>15</v>
      </c>
      <c r="J3575">
        <v>3.1</v>
      </c>
      <c r="K3575">
        <v>12</v>
      </c>
      <c r="L3575">
        <f t="shared" si="166"/>
        <v>161.16319999999999</v>
      </c>
      <c r="M3575">
        <v>6</v>
      </c>
      <c r="N3575" t="str">
        <f t="shared" si="167"/>
        <v>Regular</v>
      </c>
    </row>
    <row r="3576" spans="1:14" x14ac:dyDescent="0.35">
      <c r="A3576">
        <v>3575</v>
      </c>
      <c r="B3576">
        <v>38</v>
      </c>
      <c r="C3576" t="str">
        <f t="shared" si="165"/>
        <v>Adult</v>
      </c>
      <c r="D3576" t="s">
        <v>11</v>
      </c>
      <c r="E3576" t="s">
        <v>12</v>
      </c>
      <c r="F3576" t="s">
        <v>56</v>
      </c>
      <c r="G3576">
        <v>114.51</v>
      </c>
      <c r="H3576" t="s">
        <v>19</v>
      </c>
      <c r="I3576" t="s">
        <v>15</v>
      </c>
      <c r="J3576">
        <v>2.7</v>
      </c>
      <c r="K3576">
        <v>19</v>
      </c>
      <c r="L3576">
        <f t="shared" si="166"/>
        <v>92.753100000000003</v>
      </c>
      <c r="M3576">
        <v>7</v>
      </c>
      <c r="N3576" t="str">
        <f t="shared" si="167"/>
        <v>Regular</v>
      </c>
    </row>
    <row r="3577" spans="1:14" x14ac:dyDescent="0.35">
      <c r="A3577">
        <v>3576</v>
      </c>
      <c r="B3577">
        <v>58</v>
      </c>
      <c r="C3577" t="str">
        <f t="shared" si="165"/>
        <v>Adult</v>
      </c>
      <c r="D3577" t="s">
        <v>11</v>
      </c>
      <c r="E3577" t="s">
        <v>33</v>
      </c>
      <c r="F3577" t="s">
        <v>34</v>
      </c>
      <c r="G3577">
        <v>201.39</v>
      </c>
      <c r="H3577" t="s">
        <v>19</v>
      </c>
      <c r="I3577" t="s">
        <v>15</v>
      </c>
      <c r="J3577">
        <v>3.7</v>
      </c>
      <c r="K3577">
        <v>14</v>
      </c>
      <c r="L3577">
        <f t="shared" si="166"/>
        <v>173.19539999999998</v>
      </c>
      <c r="M3577">
        <v>7</v>
      </c>
      <c r="N3577" t="str">
        <f t="shared" si="167"/>
        <v>Regular</v>
      </c>
    </row>
    <row r="3578" spans="1:14" x14ac:dyDescent="0.35">
      <c r="A3578">
        <v>3577</v>
      </c>
      <c r="B3578">
        <v>31</v>
      </c>
      <c r="C3578" t="str">
        <f t="shared" si="165"/>
        <v>Adult</v>
      </c>
      <c r="D3578" t="s">
        <v>16</v>
      </c>
      <c r="E3578" t="s">
        <v>33</v>
      </c>
      <c r="F3578" t="s">
        <v>34</v>
      </c>
      <c r="G3578">
        <v>141.51</v>
      </c>
      <c r="H3578" t="s">
        <v>24</v>
      </c>
      <c r="I3578" t="s">
        <v>15</v>
      </c>
      <c r="J3578">
        <v>3.7</v>
      </c>
      <c r="K3578">
        <v>30</v>
      </c>
      <c r="L3578">
        <f t="shared" si="166"/>
        <v>99.056999999999988</v>
      </c>
      <c r="M3578">
        <v>10</v>
      </c>
      <c r="N3578" t="str">
        <f t="shared" si="167"/>
        <v>Loyal</v>
      </c>
    </row>
    <row r="3579" spans="1:14" x14ac:dyDescent="0.35">
      <c r="A3579">
        <v>3578</v>
      </c>
      <c r="B3579">
        <v>22</v>
      </c>
      <c r="C3579" t="str">
        <f t="shared" si="165"/>
        <v>Youth</v>
      </c>
      <c r="D3579" t="s">
        <v>16</v>
      </c>
      <c r="E3579" t="s">
        <v>17</v>
      </c>
      <c r="F3579" t="s">
        <v>18</v>
      </c>
      <c r="G3579">
        <v>61.09</v>
      </c>
      <c r="H3579" t="s">
        <v>14</v>
      </c>
      <c r="I3579" t="s">
        <v>15</v>
      </c>
      <c r="J3579">
        <v>3.2</v>
      </c>
      <c r="K3579">
        <v>8</v>
      </c>
      <c r="L3579">
        <f t="shared" si="166"/>
        <v>56.202800000000003</v>
      </c>
      <c r="M3579">
        <v>4</v>
      </c>
      <c r="N3579" t="str">
        <f t="shared" si="167"/>
        <v>Regular</v>
      </c>
    </row>
    <row r="3580" spans="1:14" x14ac:dyDescent="0.35">
      <c r="A3580">
        <v>3579</v>
      </c>
      <c r="B3580">
        <v>54</v>
      </c>
      <c r="C3580" t="str">
        <f t="shared" si="165"/>
        <v>Adult</v>
      </c>
      <c r="D3580" t="s">
        <v>11</v>
      </c>
      <c r="E3580" t="s">
        <v>41</v>
      </c>
      <c r="F3580" t="s">
        <v>45</v>
      </c>
      <c r="G3580">
        <v>80.7</v>
      </c>
      <c r="H3580" t="s">
        <v>31</v>
      </c>
      <c r="I3580" t="s">
        <v>37</v>
      </c>
      <c r="J3580">
        <v>3.7</v>
      </c>
      <c r="K3580">
        <v>21</v>
      </c>
      <c r="L3580">
        <f t="shared" si="166"/>
        <v>63.753000000000007</v>
      </c>
      <c r="M3580">
        <v>8</v>
      </c>
      <c r="N3580" t="str">
        <f t="shared" si="167"/>
        <v>Loyal</v>
      </c>
    </row>
    <row r="3581" spans="1:14" x14ac:dyDescent="0.35">
      <c r="A3581">
        <v>3580</v>
      </c>
      <c r="B3581">
        <v>63</v>
      </c>
      <c r="C3581" t="str">
        <f t="shared" si="165"/>
        <v>Senior</v>
      </c>
      <c r="D3581" t="s">
        <v>11</v>
      </c>
      <c r="E3581" t="s">
        <v>12</v>
      </c>
      <c r="F3581" t="s">
        <v>50</v>
      </c>
      <c r="G3581">
        <v>88.07</v>
      </c>
      <c r="H3581" t="s">
        <v>14</v>
      </c>
      <c r="I3581" t="s">
        <v>37</v>
      </c>
      <c r="J3581">
        <v>3.4</v>
      </c>
      <c r="K3581">
        <v>28</v>
      </c>
      <c r="L3581">
        <f t="shared" si="166"/>
        <v>63.410399999999996</v>
      </c>
      <c r="M3581">
        <v>9</v>
      </c>
      <c r="N3581" t="str">
        <f t="shared" si="167"/>
        <v>Loyal</v>
      </c>
    </row>
    <row r="3582" spans="1:14" x14ac:dyDescent="0.35">
      <c r="A3582">
        <v>3581</v>
      </c>
      <c r="B3582">
        <v>47</v>
      </c>
      <c r="C3582" t="str">
        <f t="shared" si="165"/>
        <v>Adult</v>
      </c>
      <c r="D3582" t="s">
        <v>16</v>
      </c>
      <c r="E3582" t="s">
        <v>27</v>
      </c>
      <c r="F3582" t="s">
        <v>53</v>
      </c>
      <c r="G3582">
        <v>1425.23</v>
      </c>
      <c r="H3582" t="s">
        <v>14</v>
      </c>
      <c r="I3582" t="s">
        <v>15</v>
      </c>
      <c r="J3582">
        <v>3.5</v>
      </c>
      <c r="K3582">
        <v>24</v>
      </c>
      <c r="L3582">
        <f t="shared" si="166"/>
        <v>1083.1748</v>
      </c>
      <c r="M3582">
        <v>7</v>
      </c>
      <c r="N3582" t="str">
        <f t="shared" si="167"/>
        <v>Regular</v>
      </c>
    </row>
    <row r="3583" spans="1:14" x14ac:dyDescent="0.35">
      <c r="A3583">
        <v>3582</v>
      </c>
      <c r="B3583">
        <v>36</v>
      </c>
      <c r="C3583" t="str">
        <f t="shared" si="165"/>
        <v>Adult</v>
      </c>
      <c r="D3583" t="s">
        <v>16</v>
      </c>
      <c r="E3583" t="s">
        <v>17</v>
      </c>
      <c r="F3583" t="s">
        <v>48</v>
      </c>
      <c r="G3583">
        <v>76.67</v>
      </c>
      <c r="H3583" t="s">
        <v>14</v>
      </c>
      <c r="I3583" t="s">
        <v>37</v>
      </c>
      <c r="J3583">
        <v>2.8</v>
      </c>
      <c r="K3583">
        <v>12</v>
      </c>
      <c r="L3583">
        <f t="shared" si="166"/>
        <v>67.4696</v>
      </c>
      <c r="M3583">
        <v>6</v>
      </c>
      <c r="N3583" t="str">
        <f t="shared" si="167"/>
        <v>Regular</v>
      </c>
    </row>
    <row r="3584" spans="1:14" x14ac:dyDescent="0.35">
      <c r="A3584">
        <v>3583</v>
      </c>
      <c r="B3584">
        <v>47</v>
      </c>
      <c r="C3584" t="str">
        <f t="shared" si="165"/>
        <v>Adult</v>
      </c>
      <c r="D3584" t="s">
        <v>11</v>
      </c>
      <c r="E3584" t="s">
        <v>25</v>
      </c>
      <c r="F3584" t="s">
        <v>47</v>
      </c>
      <c r="G3584">
        <v>46.13</v>
      </c>
      <c r="H3584" t="s">
        <v>14</v>
      </c>
      <c r="I3584" t="s">
        <v>15</v>
      </c>
      <c r="J3584">
        <v>3.4</v>
      </c>
      <c r="K3584">
        <v>14</v>
      </c>
      <c r="L3584">
        <f t="shared" si="166"/>
        <v>39.671800000000005</v>
      </c>
      <c r="M3584">
        <v>7</v>
      </c>
      <c r="N3584" t="str">
        <f t="shared" si="167"/>
        <v>Regular</v>
      </c>
    </row>
    <row r="3585" spans="1:14" x14ac:dyDescent="0.35">
      <c r="A3585">
        <v>3584</v>
      </c>
      <c r="B3585">
        <v>54</v>
      </c>
      <c r="C3585" t="str">
        <f t="shared" si="165"/>
        <v>Adult</v>
      </c>
      <c r="D3585" t="s">
        <v>16</v>
      </c>
      <c r="E3585" t="s">
        <v>17</v>
      </c>
      <c r="F3585" t="s">
        <v>42</v>
      </c>
      <c r="G3585">
        <v>42.34</v>
      </c>
      <c r="H3585" t="s">
        <v>14</v>
      </c>
      <c r="I3585" t="s">
        <v>15</v>
      </c>
      <c r="J3585">
        <v>4.2</v>
      </c>
      <c r="K3585">
        <v>22</v>
      </c>
      <c r="L3585">
        <f t="shared" si="166"/>
        <v>33.025200000000005</v>
      </c>
      <c r="M3585">
        <v>6</v>
      </c>
      <c r="N3585" t="str">
        <f t="shared" si="167"/>
        <v>Regular</v>
      </c>
    </row>
    <row r="3586" spans="1:14" x14ac:dyDescent="0.35">
      <c r="A3586">
        <v>3585</v>
      </c>
      <c r="B3586">
        <v>46</v>
      </c>
      <c r="C3586" t="str">
        <f t="shared" si="165"/>
        <v>Adult</v>
      </c>
      <c r="D3586" t="s">
        <v>16</v>
      </c>
      <c r="E3586" t="s">
        <v>20</v>
      </c>
      <c r="F3586" t="s">
        <v>21</v>
      </c>
      <c r="G3586">
        <v>62.68</v>
      </c>
      <c r="H3586" t="s">
        <v>19</v>
      </c>
      <c r="I3586" t="s">
        <v>15</v>
      </c>
      <c r="J3586">
        <v>2.2999999999999998</v>
      </c>
      <c r="K3586">
        <v>13</v>
      </c>
      <c r="L3586">
        <f t="shared" si="166"/>
        <v>54.531599999999997</v>
      </c>
      <c r="M3586">
        <v>4</v>
      </c>
      <c r="N3586" t="str">
        <f t="shared" si="167"/>
        <v>Regular</v>
      </c>
    </row>
    <row r="3587" spans="1:14" x14ac:dyDescent="0.35">
      <c r="A3587">
        <v>3586</v>
      </c>
      <c r="B3587">
        <v>38</v>
      </c>
      <c r="C3587" t="str">
        <f t="shared" ref="C3587:C3650" si="168">IF(B3587&lt;=30,"Youth",IF(B3587&lt;=45,"Adult",IF(B3587&lt;=60,"Adult","Senior")))</f>
        <v>Adult</v>
      </c>
      <c r="D3587" t="s">
        <v>16</v>
      </c>
      <c r="E3587" t="s">
        <v>27</v>
      </c>
      <c r="F3587" t="s">
        <v>32</v>
      </c>
      <c r="G3587">
        <v>2478.7399999999998</v>
      </c>
      <c r="H3587" t="s">
        <v>19</v>
      </c>
      <c r="I3587" t="s">
        <v>15</v>
      </c>
      <c r="J3587">
        <v>4.9000000000000004</v>
      </c>
      <c r="K3587">
        <v>32</v>
      </c>
      <c r="L3587">
        <f t="shared" ref="L3587:L3650" si="169">G3587*(1-K3587/100)</f>
        <v>1685.5431999999996</v>
      </c>
      <c r="M3587">
        <v>11</v>
      </c>
      <c r="N3587" t="str">
        <f t="shared" ref="N3587:N3650" si="170">IF(M3587&lt;=3,"New",IF(M3587&lt;=7,"Regular","Loyal"))</f>
        <v>Loyal</v>
      </c>
    </row>
    <row r="3588" spans="1:14" x14ac:dyDescent="0.35">
      <c r="A3588">
        <v>3587</v>
      </c>
      <c r="B3588">
        <v>25</v>
      </c>
      <c r="C3588" t="str">
        <f t="shared" si="168"/>
        <v>Youth</v>
      </c>
      <c r="D3588" t="s">
        <v>11</v>
      </c>
      <c r="E3588" t="s">
        <v>12</v>
      </c>
      <c r="F3588" t="s">
        <v>56</v>
      </c>
      <c r="G3588">
        <v>84.07</v>
      </c>
      <c r="H3588" t="s">
        <v>19</v>
      </c>
      <c r="I3588" t="s">
        <v>37</v>
      </c>
      <c r="J3588">
        <v>3.7</v>
      </c>
      <c r="K3588">
        <v>20</v>
      </c>
      <c r="L3588">
        <f t="shared" si="169"/>
        <v>67.256</v>
      </c>
      <c r="M3588">
        <v>5</v>
      </c>
      <c r="N3588" t="str">
        <f t="shared" si="170"/>
        <v>Regular</v>
      </c>
    </row>
    <row r="3589" spans="1:14" x14ac:dyDescent="0.35">
      <c r="A3589">
        <v>3588</v>
      </c>
      <c r="B3589">
        <v>68</v>
      </c>
      <c r="C3589" t="str">
        <f t="shared" si="168"/>
        <v>Senior</v>
      </c>
      <c r="D3589" t="s">
        <v>16</v>
      </c>
      <c r="E3589" t="s">
        <v>27</v>
      </c>
      <c r="F3589" t="s">
        <v>53</v>
      </c>
      <c r="G3589">
        <v>2454.39</v>
      </c>
      <c r="H3589" t="s">
        <v>14</v>
      </c>
      <c r="I3589" t="s">
        <v>15</v>
      </c>
      <c r="J3589">
        <v>4.0999999999999996</v>
      </c>
      <c r="K3589">
        <v>20</v>
      </c>
      <c r="L3589">
        <f t="shared" si="169"/>
        <v>1963.5119999999999</v>
      </c>
      <c r="M3589">
        <v>5</v>
      </c>
      <c r="N3589" t="str">
        <f t="shared" si="170"/>
        <v>Regular</v>
      </c>
    </row>
    <row r="3590" spans="1:14" x14ac:dyDescent="0.35">
      <c r="A3590">
        <v>3589</v>
      </c>
      <c r="B3590">
        <v>56</v>
      </c>
      <c r="C3590" t="str">
        <f t="shared" si="168"/>
        <v>Adult</v>
      </c>
      <c r="D3590" t="s">
        <v>16</v>
      </c>
      <c r="E3590" t="s">
        <v>27</v>
      </c>
      <c r="F3590" t="s">
        <v>32</v>
      </c>
      <c r="G3590">
        <v>1041.3399999999999</v>
      </c>
      <c r="H3590" t="s">
        <v>14</v>
      </c>
      <c r="I3590" t="s">
        <v>15</v>
      </c>
      <c r="J3590">
        <v>3.4</v>
      </c>
      <c r="K3590">
        <v>15</v>
      </c>
      <c r="L3590">
        <f t="shared" si="169"/>
        <v>885.1389999999999</v>
      </c>
      <c r="M3590">
        <v>5</v>
      </c>
      <c r="N3590" t="str">
        <f t="shared" si="170"/>
        <v>Regular</v>
      </c>
    </row>
    <row r="3591" spans="1:14" x14ac:dyDescent="0.35">
      <c r="A3591">
        <v>3590</v>
      </c>
      <c r="B3591">
        <v>56</v>
      </c>
      <c r="C3591" t="str">
        <f t="shared" si="168"/>
        <v>Adult</v>
      </c>
      <c r="D3591" t="s">
        <v>16</v>
      </c>
      <c r="E3591" t="s">
        <v>20</v>
      </c>
      <c r="F3591" t="s">
        <v>39</v>
      </c>
      <c r="G3591">
        <v>235.44</v>
      </c>
      <c r="H3591" t="s">
        <v>31</v>
      </c>
      <c r="I3591" t="s">
        <v>15</v>
      </c>
      <c r="J3591">
        <v>2.4</v>
      </c>
      <c r="K3591">
        <v>15</v>
      </c>
      <c r="L3591">
        <f t="shared" si="169"/>
        <v>200.124</v>
      </c>
      <c r="M3591">
        <v>5</v>
      </c>
      <c r="N3591" t="str">
        <f t="shared" si="170"/>
        <v>Regular</v>
      </c>
    </row>
    <row r="3592" spans="1:14" x14ac:dyDescent="0.35">
      <c r="A3592">
        <v>3591</v>
      </c>
      <c r="B3592">
        <v>35</v>
      </c>
      <c r="C3592" t="str">
        <f t="shared" si="168"/>
        <v>Adult</v>
      </c>
      <c r="D3592" t="s">
        <v>11</v>
      </c>
      <c r="E3592" t="s">
        <v>29</v>
      </c>
      <c r="F3592" t="s">
        <v>51</v>
      </c>
      <c r="G3592">
        <v>35.72</v>
      </c>
      <c r="H3592" t="s">
        <v>14</v>
      </c>
      <c r="I3592" t="s">
        <v>15</v>
      </c>
      <c r="J3592">
        <v>4.3</v>
      </c>
      <c r="K3592">
        <v>8</v>
      </c>
      <c r="L3592">
        <f t="shared" si="169"/>
        <v>32.862400000000001</v>
      </c>
      <c r="M3592">
        <v>4</v>
      </c>
      <c r="N3592" t="str">
        <f t="shared" si="170"/>
        <v>Regular</v>
      </c>
    </row>
    <row r="3593" spans="1:14" x14ac:dyDescent="0.35">
      <c r="A3593">
        <v>3592</v>
      </c>
      <c r="B3593">
        <v>27</v>
      </c>
      <c r="C3593" t="str">
        <f t="shared" si="168"/>
        <v>Youth</v>
      </c>
      <c r="D3593" t="s">
        <v>16</v>
      </c>
      <c r="E3593" t="s">
        <v>17</v>
      </c>
      <c r="F3593" t="s">
        <v>18</v>
      </c>
      <c r="G3593">
        <v>134.71</v>
      </c>
      <c r="H3593" t="s">
        <v>19</v>
      </c>
      <c r="I3593" t="s">
        <v>15</v>
      </c>
      <c r="J3593">
        <v>3.2</v>
      </c>
      <c r="K3593">
        <v>16</v>
      </c>
      <c r="L3593">
        <f t="shared" si="169"/>
        <v>113.1564</v>
      </c>
      <c r="M3593">
        <v>3</v>
      </c>
      <c r="N3593" t="str">
        <f t="shared" si="170"/>
        <v>New</v>
      </c>
    </row>
    <row r="3594" spans="1:14" x14ac:dyDescent="0.35">
      <c r="A3594">
        <v>3593</v>
      </c>
      <c r="B3594">
        <v>33</v>
      </c>
      <c r="C3594" t="str">
        <f t="shared" si="168"/>
        <v>Adult</v>
      </c>
      <c r="D3594" t="s">
        <v>11</v>
      </c>
      <c r="E3594" t="s">
        <v>33</v>
      </c>
      <c r="F3594" t="s">
        <v>38</v>
      </c>
      <c r="G3594">
        <v>148.91999999999999</v>
      </c>
      <c r="H3594" t="s">
        <v>24</v>
      </c>
      <c r="I3594" t="s">
        <v>15</v>
      </c>
      <c r="J3594">
        <v>4.0999999999999996</v>
      </c>
      <c r="K3594">
        <v>4</v>
      </c>
      <c r="L3594">
        <f t="shared" si="169"/>
        <v>142.96319999999997</v>
      </c>
      <c r="M3594">
        <v>2</v>
      </c>
      <c r="N3594" t="str">
        <f t="shared" si="170"/>
        <v>New</v>
      </c>
    </row>
    <row r="3595" spans="1:14" x14ac:dyDescent="0.35">
      <c r="A3595">
        <v>3594</v>
      </c>
      <c r="B3595">
        <v>30</v>
      </c>
      <c r="C3595" t="str">
        <f t="shared" si="168"/>
        <v>Youth</v>
      </c>
      <c r="D3595" t="s">
        <v>16</v>
      </c>
      <c r="E3595" t="s">
        <v>17</v>
      </c>
      <c r="F3595" t="s">
        <v>48</v>
      </c>
      <c r="G3595">
        <v>104.95</v>
      </c>
      <c r="H3595" t="s">
        <v>31</v>
      </c>
      <c r="I3595" t="s">
        <v>15</v>
      </c>
      <c r="J3595">
        <v>3.9</v>
      </c>
      <c r="K3595">
        <v>22</v>
      </c>
      <c r="L3595">
        <f t="shared" si="169"/>
        <v>81.861000000000004</v>
      </c>
      <c r="M3595">
        <v>6</v>
      </c>
      <c r="N3595" t="str">
        <f t="shared" si="170"/>
        <v>Regular</v>
      </c>
    </row>
    <row r="3596" spans="1:14" x14ac:dyDescent="0.35">
      <c r="A3596">
        <v>3595</v>
      </c>
      <c r="B3596">
        <v>49</v>
      </c>
      <c r="C3596" t="str">
        <f t="shared" si="168"/>
        <v>Adult</v>
      </c>
      <c r="D3596" t="s">
        <v>11</v>
      </c>
      <c r="E3596" t="s">
        <v>12</v>
      </c>
      <c r="F3596" t="s">
        <v>13</v>
      </c>
      <c r="G3596">
        <v>103.47</v>
      </c>
      <c r="H3596" t="s">
        <v>31</v>
      </c>
      <c r="I3596" t="s">
        <v>15</v>
      </c>
      <c r="J3596">
        <v>3.5</v>
      </c>
      <c r="K3596">
        <v>26</v>
      </c>
      <c r="L3596">
        <f t="shared" si="169"/>
        <v>76.567799999999991</v>
      </c>
      <c r="M3596">
        <v>8</v>
      </c>
      <c r="N3596" t="str">
        <f t="shared" si="170"/>
        <v>Loyal</v>
      </c>
    </row>
    <row r="3597" spans="1:14" x14ac:dyDescent="0.35">
      <c r="A3597">
        <v>3596</v>
      </c>
      <c r="B3597">
        <v>55</v>
      </c>
      <c r="C3597" t="str">
        <f t="shared" si="168"/>
        <v>Adult</v>
      </c>
      <c r="D3597" t="s">
        <v>11</v>
      </c>
      <c r="E3597" t="s">
        <v>22</v>
      </c>
      <c r="F3597" t="s">
        <v>43</v>
      </c>
      <c r="G3597">
        <v>298.60000000000002</v>
      </c>
      <c r="H3597" t="s">
        <v>14</v>
      </c>
      <c r="I3597" t="s">
        <v>15</v>
      </c>
      <c r="J3597">
        <v>4.7</v>
      </c>
      <c r="K3597">
        <v>17</v>
      </c>
      <c r="L3597">
        <f t="shared" si="169"/>
        <v>247.83799999999999</v>
      </c>
      <c r="M3597">
        <v>6</v>
      </c>
      <c r="N3597" t="str">
        <f t="shared" si="170"/>
        <v>Regular</v>
      </c>
    </row>
    <row r="3598" spans="1:14" x14ac:dyDescent="0.35">
      <c r="A3598">
        <v>3597</v>
      </c>
      <c r="B3598">
        <v>51</v>
      </c>
      <c r="C3598" t="str">
        <f t="shared" si="168"/>
        <v>Adult</v>
      </c>
      <c r="D3598" t="s">
        <v>16</v>
      </c>
      <c r="E3598" t="s">
        <v>20</v>
      </c>
      <c r="F3598" t="s">
        <v>36</v>
      </c>
      <c r="G3598">
        <v>39.06</v>
      </c>
      <c r="H3598" t="s">
        <v>19</v>
      </c>
      <c r="I3598" t="s">
        <v>15</v>
      </c>
      <c r="J3598">
        <v>3.7</v>
      </c>
      <c r="K3598">
        <v>20</v>
      </c>
      <c r="L3598">
        <f t="shared" si="169"/>
        <v>31.248000000000005</v>
      </c>
      <c r="M3598">
        <v>5</v>
      </c>
      <c r="N3598" t="str">
        <f t="shared" si="170"/>
        <v>Regular</v>
      </c>
    </row>
    <row r="3599" spans="1:14" x14ac:dyDescent="0.35">
      <c r="A3599">
        <v>3598</v>
      </c>
      <c r="B3599">
        <v>40</v>
      </c>
      <c r="C3599" t="str">
        <f t="shared" si="168"/>
        <v>Adult</v>
      </c>
      <c r="D3599" t="s">
        <v>16</v>
      </c>
      <c r="E3599" t="s">
        <v>17</v>
      </c>
      <c r="F3599" t="s">
        <v>18</v>
      </c>
      <c r="G3599">
        <v>133.24</v>
      </c>
      <c r="H3599" t="s">
        <v>31</v>
      </c>
      <c r="I3599" t="s">
        <v>15</v>
      </c>
      <c r="J3599">
        <v>3.8</v>
      </c>
      <c r="K3599">
        <v>17</v>
      </c>
      <c r="L3599">
        <f t="shared" si="169"/>
        <v>110.58920000000001</v>
      </c>
      <c r="M3599">
        <v>6</v>
      </c>
      <c r="N3599" t="str">
        <f t="shared" si="170"/>
        <v>Regular</v>
      </c>
    </row>
    <row r="3600" spans="1:14" x14ac:dyDescent="0.35">
      <c r="A3600">
        <v>3599</v>
      </c>
      <c r="B3600">
        <v>42</v>
      </c>
      <c r="C3600" t="str">
        <f t="shared" si="168"/>
        <v>Adult</v>
      </c>
      <c r="D3600" t="s">
        <v>16</v>
      </c>
      <c r="E3600" t="s">
        <v>27</v>
      </c>
      <c r="F3600" t="s">
        <v>28</v>
      </c>
      <c r="G3600">
        <v>897.41</v>
      </c>
      <c r="H3600" t="s">
        <v>14</v>
      </c>
      <c r="I3600" t="s">
        <v>15</v>
      </c>
      <c r="J3600">
        <v>3.8</v>
      </c>
      <c r="K3600">
        <v>19</v>
      </c>
      <c r="L3600">
        <f t="shared" si="169"/>
        <v>726.90210000000002</v>
      </c>
      <c r="M3600">
        <v>7</v>
      </c>
      <c r="N3600" t="str">
        <f t="shared" si="170"/>
        <v>Regular</v>
      </c>
    </row>
    <row r="3601" spans="1:14" x14ac:dyDescent="0.35">
      <c r="A3601">
        <v>3600</v>
      </c>
      <c r="B3601">
        <v>52</v>
      </c>
      <c r="C3601" t="str">
        <f t="shared" si="168"/>
        <v>Adult</v>
      </c>
      <c r="D3601" t="s">
        <v>16</v>
      </c>
      <c r="E3601" t="s">
        <v>33</v>
      </c>
      <c r="F3601" t="s">
        <v>40</v>
      </c>
      <c r="G3601">
        <v>86.48</v>
      </c>
      <c r="H3601" t="s">
        <v>24</v>
      </c>
      <c r="I3601" t="s">
        <v>37</v>
      </c>
      <c r="J3601">
        <v>3.2</v>
      </c>
      <c r="K3601">
        <v>22</v>
      </c>
      <c r="L3601">
        <f t="shared" si="169"/>
        <v>67.454400000000007</v>
      </c>
      <c r="M3601">
        <v>6</v>
      </c>
      <c r="N3601" t="str">
        <f t="shared" si="170"/>
        <v>Regular</v>
      </c>
    </row>
    <row r="3602" spans="1:14" x14ac:dyDescent="0.35">
      <c r="A3602">
        <v>3601</v>
      </c>
      <c r="B3602">
        <v>56</v>
      </c>
      <c r="C3602" t="str">
        <f t="shared" si="168"/>
        <v>Adult</v>
      </c>
      <c r="D3602" t="s">
        <v>11</v>
      </c>
      <c r="E3602" t="s">
        <v>33</v>
      </c>
      <c r="F3602" t="s">
        <v>38</v>
      </c>
      <c r="G3602">
        <v>125.07</v>
      </c>
      <c r="H3602" t="s">
        <v>14</v>
      </c>
      <c r="I3602" t="s">
        <v>15</v>
      </c>
      <c r="J3602">
        <v>2.8</v>
      </c>
      <c r="K3602">
        <v>18</v>
      </c>
      <c r="L3602">
        <f t="shared" si="169"/>
        <v>102.5574</v>
      </c>
      <c r="M3602">
        <v>4</v>
      </c>
      <c r="N3602" t="str">
        <f t="shared" si="170"/>
        <v>Regular</v>
      </c>
    </row>
    <row r="3603" spans="1:14" x14ac:dyDescent="0.35">
      <c r="A3603">
        <v>3602</v>
      </c>
      <c r="B3603">
        <v>46</v>
      </c>
      <c r="C3603" t="str">
        <f t="shared" si="168"/>
        <v>Adult</v>
      </c>
      <c r="D3603" t="s">
        <v>16</v>
      </c>
      <c r="E3603" t="s">
        <v>20</v>
      </c>
      <c r="F3603" t="s">
        <v>36</v>
      </c>
      <c r="G3603">
        <v>216.22</v>
      </c>
      <c r="H3603" t="s">
        <v>24</v>
      </c>
      <c r="I3603" t="s">
        <v>15</v>
      </c>
      <c r="J3603">
        <v>3.2</v>
      </c>
      <c r="K3603">
        <v>22</v>
      </c>
      <c r="L3603">
        <f t="shared" si="169"/>
        <v>168.6516</v>
      </c>
      <c r="M3603">
        <v>6</v>
      </c>
      <c r="N3603" t="str">
        <f t="shared" si="170"/>
        <v>Regular</v>
      </c>
    </row>
    <row r="3604" spans="1:14" x14ac:dyDescent="0.35">
      <c r="A3604">
        <v>3603</v>
      </c>
      <c r="B3604">
        <v>55</v>
      </c>
      <c r="C3604" t="str">
        <f t="shared" si="168"/>
        <v>Adult</v>
      </c>
      <c r="D3604" t="s">
        <v>11</v>
      </c>
      <c r="E3604" t="s">
        <v>29</v>
      </c>
      <c r="F3604" t="s">
        <v>51</v>
      </c>
      <c r="G3604">
        <v>29.52</v>
      </c>
      <c r="H3604" t="s">
        <v>19</v>
      </c>
      <c r="I3604" t="s">
        <v>37</v>
      </c>
      <c r="J3604">
        <v>3.8</v>
      </c>
      <c r="K3604">
        <v>4</v>
      </c>
      <c r="L3604">
        <f t="shared" si="169"/>
        <v>28.339199999999998</v>
      </c>
      <c r="M3604">
        <v>2</v>
      </c>
      <c r="N3604" t="str">
        <f t="shared" si="170"/>
        <v>New</v>
      </c>
    </row>
    <row r="3605" spans="1:14" x14ac:dyDescent="0.35">
      <c r="A3605">
        <v>3604</v>
      </c>
      <c r="B3605">
        <v>39</v>
      </c>
      <c r="C3605" t="str">
        <f t="shared" si="168"/>
        <v>Adult</v>
      </c>
      <c r="D3605" t="s">
        <v>11</v>
      </c>
      <c r="E3605" t="s">
        <v>41</v>
      </c>
      <c r="F3605" t="s">
        <v>45</v>
      </c>
      <c r="G3605">
        <v>174.95</v>
      </c>
      <c r="H3605" t="s">
        <v>14</v>
      </c>
      <c r="I3605" t="s">
        <v>15</v>
      </c>
      <c r="J3605">
        <v>2.9</v>
      </c>
      <c r="K3605">
        <v>13</v>
      </c>
      <c r="L3605">
        <f t="shared" si="169"/>
        <v>152.20649999999998</v>
      </c>
      <c r="M3605">
        <v>4</v>
      </c>
      <c r="N3605" t="str">
        <f t="shared" si="170"/>
        <v>Regular</v>
      </c>
    </row>
    <row r="3606" spans="1:14" x14ac:dyDescent="0.35">
      <c r="A3606">
        <v>3605</v>
      </c>
      <c r="B3606">
        <v>49</v>
      </c>
      <c r="C3606" t="str">
        <f t="shared" si="168"/>
        <v>Adult</v>
      </c>
      <c r="D3606" t="s">
        <v>16</v>
      </c>
      <c r="E3606" t="s">
        <v>17</v>
      </c>
      <c r="F3606" t="s">
        <v>18</v>
      </c>
      <c r="G3606">
        <v>101.38</v>
      </c>
      <c r="H3606" t="s">
        <v>19</v>
      </c>
      <c r="I3606" t="s">
        <v>15</v>
      </c>
      <c r="J3606">
        <v>3.3</v>
      </c>
      <c r="K3606">
        <v>12</v>
      </c>
      <c r="L3606">
        <f t="shared" si="169"/>
        <v>89.214399999999998</v>
      </c>
      <c r="M3606">
        <v>6</v>
      </c>
      <c r="N3606" t="str">
        <f t="shared" si="170"/>
        <v>Regular</v>
      </c>
    </row>
    <row r="3607" spans="1:14" x14ac:dyDescent="0.35">
      <c r="A3607">
        <v>3606</v>
      </c>
      <c r="B3607">
        <v>53</v>
      </c>
      <c r="C3607" t="str">
        <f t="shared" si="168"/>
        <v>Adult</v>
      </c>
      <c r="D3607" t="s">
        <v>16</v>
      </c>
      <c r="E3607" t="s">
        <v>20</v>
      </c>
      <c r="F3607" t="s">
        <v>39</v>
      </c>
      <c r="G3607">
        <v>61.95</v>
      </c>
      <c r="H3607" t="s">
        <v>24</v>
      </c>
      <c r="I3607" t="s">
        <v>15</v>
      </c>
      <c r="J3607">
        <v>5</v>
      </c>
      <c r="K3607">
        <v>28</v>
      </c>
      <c r="L3607">
        <f t="shared" si="169"/>
        <v>44.603999999999999</v>
      </c>
      <c r="M3607">
        <v>9</v>
      </c>
      <c r="N3607" t="str">
        <f t="shared" si="170"/>
        <v>Loyal</v>
      </c>
    </row>
    <row r="3608" spans="1:14" x14ac:dyDescent="0.35">
      <c r="A3608">
        <v>3607</v>
      </c>
      <c r="B3608">
        <v>34</v>
      </c>
      <c r="C3608" t="str">
        <f t="shared" si="168"/>
        <v>Adult</v>
      </c>
      <c r="D3608" t="s">
        <v>11</v>
      </c>
      <c r="E3608" t="s">
        <v>20</v>
      </c>
      <c r="F3608" t="s">
        <v>39</v>
      </c>
      <c r="G3608">
        <v>117.57</v>
      </c>
      <c r="H3608" t="s">
        <v>14</v>
      </c>
      <c r="I3608" t="s">
        <v>15</v>
      </c>
      <c r="J3608">
        <v>4.4000000000000004</v>
      </c>
      <c r="K3608">
        <v>16</v>
      </c>
      <c r="L3608">
        <f t="shared" si="169"/>
        <v>98.758799999999994</v>
      </c>
      <c r="M3608">
        <v>3</v>
      </c>
      <c r="N3608" t="str">
        <f t="shared" si="170"/>
        <v>New</v>
      </c>
    </row>
    <row r="3609" spans="1:14" x14ac:dyDescent="0.35">
      <c r="A3609">
        <v>3608</v>
      </c>
      <c r="B3609">
        <v>70</v>
      </c>
      <c r="C3609" t="str">
        <f t="shared" si="168"/>
        <v>Senior</v>
      </c>
      <c r="D3609" t="s">
        <v>11</v>
      </c>
      <c r="E3609" t="s">
        <v>29</v>
      </c>
      <c r="F3609" t="s">
        <v>30</v>
      </c>
      <c r="G3609">
        <v>130.01</v>
      </c>
      <c r="H3609" t="s">
        <v>19</v>
      </c>
      <c r="I3609" t="s">
        <v>15</v>
      </c>
      <c r="J3609">
        <v>4.3</v>
      </c>
      <c r="K3609">
        <v>15</v>
      </c>
      <c r="L3609">
        <f t="shared" si="169"/>
        <v>110.50849999999998</v>
      </c>
      <c r="M3609">
        <v>5</v>
      </c>
      <c r="N3609" t="str">
        <f t="shared" si="170"/>
        <v>Regular</v>
      </c>
    </row>
    <row r="3610" spans="1:14" x14ac:dyDescent="0.35">
      <c r="A3610">
        <v>3609</v>
      </c>
      <c r="B3610">
        <v>69</v>
      </c>
      <c r="C3610" t="str">
        <f t="shared" si="168"/>
        <v>Senior</v>
      </c>
      <c r="D3610" t="s">
        <v>16</v>
      </c>
      <c r="E3610" t="s">
        <v>20</v>
      </c>
      <c r="F3610" t="s">
        <v>36</v>
      </c>
      <c r="G3610">
        <v>225.9</v>
      </c>
      <c r="H3610" t="s">
        <v>24</v>
      </c>
      <c r="I3610" t="s">
        <v>15</v>
      </c>
      <c r="J3610">
        <v>3.8</v>
      </c>
      <c r="K3610">
        <v>22</v>
      </c>
      <c r="L3610">
        <f t="shared" si="169"/>
        <v>176.202</v>
      </c>
      <c r="M3610">
        <v>6</v>
      </c>
      <c r="N3610" t="str">
        <f t="shared" si="170"/>
        <v>Regular</v>
      </c>
    </row>
    <row r="3611" spans="1:14" x14ac:dyDescent="0.35">
      <c r="A3611">
        <v>3610</v>
      </c>
      <c r="B3611">
        <v>27</v>
      </c>
      <c r="C3611" t="str">
        <f t="shared" si="168"/>
        <v>Youth</v>
      </c>
      <c r="D3611" t="s">
        <v>16</v>
      </c>
      <c r="E3611" t="s">
        <v>20</v>
      </c>
      <c r="F3611" t="s">
        <v>39</v>
      </c>
      <c r="G3611">
        <v>165.66</v>
      </c>
      <c r="H3611" t="s">
        <v>31</v>
      </c>
      <c r="I3611" t="s">
        <v>15</v>
      </c>
      <c r="J3611">
        <v>3.4</v>
      </c>
      <c r="K3611">
        <v>14</v>
      </c>
      <c r="L3611">
        <f t="shared" si="169"/>
        <v>142.4676</v>
      </c>
      <c r="M3611">
        <v>2</v>
      </c>
      <c r="N3611" t="str">
        <f t="shared" si="170"/>
        <v>New</v>
      </c>
    </row>
    <row r="3612" spans="1:14" x14ac:dyDescent="0.35">
      <c r="A3612">
        <v>3611</v>
      </c>
      <c r="B3612">
        <v>30</v>
      </c>
      <c r="C3612" t="str">
        <f t="shared" si="168"/>
        <v>Youth</v>
      </c>
      <c r="D3612" t="s">
        <v>16</v>
      </c>
      <c r="E3612" t="s">
        <v>33</v>
      </c>
      <c r="F3612" t="s">
        <v>40</v>
      </c>
      <c r="G3612">
        <v>197.71</v>
      </c>
      <c r="H3612" t="s">
        <v>19</v>
      </c>
      <c r="I3612" t="s">
        <v>15</v>
      </c>
      <c r="J3612">
        <v>3.3</v>
      </c>
      <c r="K3612">
        <v>17</v>
      </c>
      <c r="L3612">
        <f t="shared" si="169"/>
        <v>164.0993</v>
      </c>
      <c r="M3612">
        <v>6</v>
      </c>
      <c r="N3612" t="str">
        <f t="shared" si="170"/>
        <v>Regular</v>
      </c>
    </row>
    <row r="3613" spans="1:14" x14ac:dyDescent="0.35">
      <c r="A3613">
        <v>3612</v>
      </c>
      <c r="B3613">
        <v>58</v>
      </c>
      <c r="C3613" t="str">
        <f t="shared" si="168"/>
        <v>Adult</v>
      </c>
      <c r="D3613" t="s">
        <v>16</v>
      </c>
      <c r="E3613" t="s">
        <v>17</v>
      </c>
      <c r="F3613" t="s">
        <v>48</v>
      </c>
      <c r="G3613">
        <v>104.05</v>
      </c>
      <c r="H3613" t="s">
        <v>14</v>
      </c>
      <c r="I3613" t="s">
        <v>15</v>
      </c>
      <c r="J3613">
        <v>2.8</v>
      </c>
      <c r="K3613">
        <v>6</v>
      </c>
      <c r="L3613">
        <f t="shared" si="169"/>
        <v>97.806999999999988</v>
      </c>
      <c r="M3613">
        <v>3</v>
      </c>
      <c r="N3613" t="str">
        <f t="shared" si="170"/>
        <v>New</v>
      </c>
    </row>
    <row r="3614" spans="1:14" x14ac:dyDescent="0.35">
      <c r="A3614">
        <v>3613</v>
      </c>
      <c r="B3614">
        <v>32</v>
      </c>
      <c r="C3614" t="str">
        <f t="shared" si="168"/>
        <v>Adult</v>
      </c>
      <c r="D3614" t="s">
        <v>16</v>
      </c>
      <c r="E3614" t="s">
        <v>25</v>
      </c>
      <c r="F3614" t="s">
        <v>26</v>
      </c>
      <c r="G3614">
        <v>77.81</v>
      </c>
      <c r="H3614" t="s">
        <v>14</v>
      </c>
      <c r="I3614" t="s">
        <v>15</v>
      </c>
      <c r="J3614">
        <v>4.2</v>
      </c>
      <c r="K3614">
        <v>8</v>
      </c>
      <c r="L3614">
        <f t="shared" si="169"/>
        <v>71.5852</v>
      </c>
      <c r="M3614">
        <v>4</v>
      </c>
      <c r="N3614" t="str">
        <f t="shared" si="170"/>
        <v>Regular</v>
      </c>
    </row>
    <row r="3615" spans="1:14" x14ac:dyDescent="0.35">
      <c r="A3615">
        <v>3614</v>
      </c>
      <c r="B3615">
        <v>43</v>
      </c>
      <c r="C3615" t="str">
        <f t="shared" si="168"/>
        <v>Adult</v>
      </c>
      <c r="D3615" t="s">
        <v>11</v>
      </c>
      <c r="E3615" t="s">
        <v>33</v>
      </c>
      <c r="F3615" t="s">
        <v>40</v>
      </c>
      <c r="G3615">
        <v>117.91</v>
      </c>
      <c r="H3615" t="s">
        <v>19</v>
      </c>
      <c r="I3615" t="s">
        <v>15</v>
      </c>
      <c r="J3615">
        <v>4</v>
      </c>
      <c r="K3615">
        <v>12</v>
      </c>
      <c r="L3615">
        <f t="shared" si="169"/>
        <v>103.7608</v>
      </c>
      <c r="M3615">
        <v>1</v>
      </c>
      <c r="N3615" t="str">
        <f t="shared" si="170"/>
        <v>New</v>
      </c>
    </row>
    <row r="3616" spans="1:14" x14ac:dyDescent="0.35">
      <c r="A3616">
        <v>3615</v>
      </c>
      <c r="B3616">
        <v>26</v>
      </c>
      <c r="C3616" t="str">
        <f t="shared" si="168"/>
        <v>Youth</v>
      </c>
      <c r="D3616" t="s">
        <v>16</v>
      </c>
      <c r="E3616" t="s">
        <v>25</v>
      </c>
      <c r="F3616" t="s">
        <v>54</v>
      </c>
      <c r="G3616">
        <v>70.44</v>
      </c>
      <c r="H3616" t="s">
        <v>24</v>
      </c>
      <c r="I3616" t="s">
        <v>15</v>
      </c>
      <c r="J3616">
        <v>2.5</v>
      </c>
      <c r="K3616">
        <v>19</v>
      </c>
      <c r="L3616">
        <f t="shared" si="169"/>
        <v>57.056400000000004</v>
      </c>
      <c r="M3616">
        <v>7</v>
      </c>
      <c r="N3616" t="str">
        <f t="shared" si="170"/>
        <v>Regular</v>
      </c>
    </row>
    <row r="3617" spans="1:14" x14ac:dyDescent="0.35">
      <c r="A3617">
        <v>3616</v>
      </c>
      <c r="B3617">
        <v>60</v>
      </c>
      <c r="C3617" t="str">
        <f t="shared" si="168"/>
        <v>Adult</v>
      </c>
      <c r="D3617" t="s">
        <v>11</v>
      </c>
      <c r="E3617" t="s">
        <v>12</v>
      </c>
      <c r="F3617" t="s">
        <v>56</v>
      </c>
      <c r="G3617">
        <v>104.64</v>
      </c>
      <c r="H3617" t="s">
        <v>14</v>
      </c>
      <c r="I3617" t="s">
        <v>15</v>
      </c>
      <c r="J3617">
        <v>3.7</v>
      </c>
      <c r="K3617">
        <v>17</v>
      </c>
      <c r="L3617">
        <f t="shared" si="169"/>
        <v>86.851199999999992</v>
      </c>
      <c r="M3617">
        <v>6</v>
      </c>
      <c r="N3617" t="str">
        <f t="shared" si="170"/>
        <v>Regular</v>
      </c>
    </row>
    <row r="3618" spans="1:14" x14ac:dyDescent="0.35">
      <c r="A3618">
        <v>3617</v>
      </c>
      <c r="B3618">
        <v>64</v>
      </c>
      <c r="C3618" t="str">
        <f t="shared" si="168"/>
        <v>Senior</v>
      </c>
      <c r="D3618" t="s">
        <v>11</v>
      </c>
      <c r="E3618" t="s">
        <v>29</v>
      </c>
      <c r="F3618" t="s">
        <v>51</v>
      </c>
      <c r="G3618">
        <v>71.510000000000005</v>
      </c>
      <c r="H3618" t="s">
        <v>24</v>
      </c>
      <c r="I3618" t="s">
        <v>37</v>
      </c>
      <c r="J3618">
        <v>2.9</v>
      </c>
      <c r="K3618">
        <v>28</v>
      </c>
      <c r="L3618">
        <f t="shared" si="169"/>
        <v>51.487200000000001</v>
      </c>
      <c r="M3618">
        <v>9</v>
      </c>
      <c r="N3618" t="str">
        <f t="shared" si="170"/>
        <v>Loyal</v>
      </c>
    </row>
    <row r="3619" spans="1:14" x14ac:dyDescent="0.35">
      <c r="A3619">
        <v>3618</v>
      </c>
      <c r="B3619">
        <v>53</v>
      </c>
      <c r="C3619" t="str">
        <f t="shared" si="168"/>
        <v>Adult</v>
      </c>
      <c r="D3619" t="s">
        <v>11</v>
      </c>
      <c r="E3619" t="s">
        <v>29</v>
      </c>
      <c r="F3619" t="s">
        <v>55</v>
      </c>
      <c r="G3619">
        <v>51.04</v>
      </c>
      <c r="H3619" t="s">
        <v>14</v>
      </c>
      <c r="I3619" t="s">
        <v>15</v>
      </c>
      <c r="J3619">
        <v>4.4000000000000004</v>
      </c>
      <c r="K3619">
        <v>19</v>
      </c>
      <c r="L3619">
        <f t="shared" si="169"/>
        <v>41.342400000000005</v>
      </c>
      <c r="M3619">
        <v>7</v>
      </c>
      <c r="N3619" t="str">
        <f t="shared" si="170"/>
        <v>Regular</v>
      </c>
    </row>
    <row r="3620" spans="1:14" x14ac:dyDescent="0.35">
      <c r="A3620">
        <v>3619</v>
      </c>
      <c r="B3620">
        <v>23</v>
      </c>
      <c r="C3620" t="str">
        <f t="shared" si="168"/>
        <v>Youth</v>
      </c>
      <c r="D3620" t="s">
        <v>16</v>
      </c>
      <c r="E3620" t="s">
        <v>17</v>
      </c>
      <c r="F3620" t="s">
        <v>42</v>
      </c>
      <c r="G3620">
        <v>76.95</v>
      </c>
      <c r="H3620" t="s">
        <v>24</v>
      </c>
      <c r="I3620" t="s">
        <v>15</v>
      </c>
      <c r="J3620">
        <v>3.8</v>
      </c>
      <c r="K3620">
        <v>8</v>
      </c>
      <c r="L3620">
        <f t="shared" si="169"/>
        <v>70.794000000000011</v>
      </c>
      <c r="M3620">
        <v>4</v>
      </c>
      <c r="N3620" t="str">
        <f t="shared" si="170"/>
        <v>Regular</v>
      </c>
    </row>
    <row r="3621" spans="1:14" x14ac:dyDescent="0.35">
      <c r="A3621">
        <v>3620</v>
      </c>
      <c r="B3621">
        <v>32</v>
      </c>
      <c r="C3621" t="str">
        <f t="shared" si="168"/>
        <v>Adult</v>
      </c>
      <c r="D3621" t="s">
        <v>16</v>
      </c>
      <c r="E3621" t="s">
        <v>17</v>
      </c>
      <c r="F3621" t="s">
        <v>42</v>
      </c>
      <c r="G3621">
        <v>81.88</v>
      </c>
      <c r="H3621" t="s">
        <v>31</v>
      </c>
      <c r="I3621" t="s">
        <v>15</v>
      </c>
      <c r="J3621">
        <v>3.9</v>
      </c>
      <c r="K3621">
        <v>8</v>
      </c>
      <c r="L3621">
        <f t="shared" si="169"/>
        <v>75.329599999999999</v>
      </c>
      <c r="M3621">
        <v>4</v>
      </c>
      <c r="N3621" t="str">
        <f t="shared" si="170"/>
        <v>Regular</v>
      </c>
    </row>
    <row r="3622" spans="1:14" x14ac:dyDescent="0.35">
      <c r="A3622">
        <v>3621</v>
      </c>
      <c r="B3622">
        <v>66</v>
      </c>
      <c r="C3622" t="str">
        <f t="shared" si="168"/>
        <v>Senior</v>
      </c>
      <c r="D3622" t="s">
        <v>16</v>
      </c>
      <c r="E3622" t="s">
        <v>20</v>
      </c>
      <c r="F3622" t="s">
        <v>39</v>
      </c>
      <c r="G3622">
        <v>65.33</v>
      </c>
      <c r="H3622" t="s">
        <v>19</v>
      </c>
      <c r="I3622" t="s">
        <v>15</v>
      </c>
      <c r="J3622">
        <v>3.2</v>
      </c>
      <c r="K3622">
        <v>20</v>
      </c>
      <c r="L3622">
        <f t="shared" si="169"/>
        <v>52.264000000000003</v>
      </c>
      <c r="M3622">
        <v>5</v>
      </c>
      <c r="N3622" t="str">
        <f t="shared" si="170"/>
        <v>Regular</v>
      </c>
    </row>
    <row r="3623" spans="1:14" x14ac:dyDescent="0.35">
      <c r="A3623">
        <v>3622</v>
      </c>
      <c r="B3623">
        <v>47</v>
      </c>
      <c r="C3623" t="str">
        <f t="shared" si="168"/>
        <v>Adult</v>
      </c>
      <c r="D3623" t="s">
        <v>11</v>
      </c>
      <c r="E3623" t="s">
        <v>41</v>
      </c>
      <c r="F3623" t="s">
        <v>45</v>
      </c>
      <c r="G3623">
        <v>52.4</v>
      </c>
      <c r="H3623" t="s">
        <v>24</v>
      </c>
      <c r="I3623" t="s">
        <v>37</v>
      </c>
      <c r="J3623">
        <v>3.7</v>
      </c>
      <c r="K3623">
        <v>24</v>
      </c>
      <c r="L3623">
        <f t="shared" si="169"/>
        <v>39.823999999999998</v>
      </c>
      <c r="M3623">
        <v>7</v>
      </c>
      <c r="N3623" t="str">
        <f t="shared" si="170"/>
        <v>Regular</v>
      </c>
    </row>
    <row r="3624" spans="1:14" x14ac:dyDescent="0.35">
      <c r="A3624">
        <v>3623</v>
      </c>
      <c r="B3624">
        <v>20</v>
      </c>
      <c r="C3624" t="str">
        <f t="shared" si="168"/>
        <v>Youth</v>
      </c>
      <c r="D3624" t="s">
        <v>16</v>
      </c>
      <c r="E3624" t="s">
        <v>33</v>
      </c>
      <c r="F3624" t="s">
        <v>34</v>
      </c>
      <c r="G3624">
        <v>205.07</v>
      </c>
      <c r="H3624" t="s">
        <v>19</v>
      </c>
      <c r="I3624" t="s">
        <v>15</v>
      </c>
      <c r="J3624">
        <v>4.2</v>
      </c>
      <c r="K3624">
        <v>17</v>
      </c>
      <c r="L3624">
        <f t="shared" si="169"/>
        <v>170.20809999999997</v>
      </c>
      <c r="M3624">
        <v>6</v>
      </c>
      <c r="N3624" t="str">
        <f t="shared" si="170"/>
        <v>Regular</v>
      </c>
    </row>
    <row r="3625" spans="1:14" x14ac:dyDescent="0.35">
      <c r="A3625">
        <v>3624</v>
      </c>
      <c r="B3625">
        <v>50</v>
      </c>
      <c r="C3625" t="str">
        <f t="shared" si="168"/>
        <v>Adult</v>
      </c>
      <c r="D3625" t="s">
        <v>11</v>
      </c>
      <c r="E3625" t="s">
        <v>29</v>
      </c>
      <c r="F3625" t="s">
        <v>55</v>
      </c>
      <c r="G3625">
        <v>29.83</v>
      </c>
      <c r="H3625" t="s">
        <v>24</v>
      </c>
      <c r="I3625" t="s">
        <v>15</v>
      </c>
      <c r="J3625">
        <v>2.4</v>
      </c>
      <c r="K3625">
        <v>18</v>
      </c>
      <c r="L3625">
        <f t="shared" si="169"/>
        <v>24.460599999999999</v>
      </c>
      <c r="M3625">
        <v>4</v>
      </c>
      <c r="N3625" t="str">
        <f t="shared" si="170"/>
        <v>Regular</v>
      </c>
    </row>
    <row r="3626" spans="1:14" x14ac:dyDescent="0.35">
      <c r="A3626">
        <v>3625</v>
      </c>
      <c r="B3626">
        <v>68</v>
      </c>
      <c r="C3626" t="str">
        <f t="shared" si="168"/>
        <v>Senior</v>
      </c>
      <c r="D3626" t="s">
        <v>11</v>
      </c>
      <c r="E3626" t="s">
        <v>20</v>
      </c>
      <c r="F3626" t="s">
        <v>21</v>
      </c>
      <c r="G3626">
        <v>151.76</v>
      </c>
      <c r="H3626" t="s">
        <v>14</v>
      </c>
      <c r="I3626" t="s">
        <v>15</v>
      </c>
      <c r="J3626">
        <v>4.0999999999999996</v>
      </c>
      <c r="K3626">
        <v>14</v>
      </c>
      <c r="L3626">
        <f t="shared" si="169"/>
        <v>130.5136</v>
      </c>
      <c r="M3626">
        <v>7</v>
      </c>
      <c r="N3626" t="str">
        <f t="shared" si="170"/>
        <v>Regular</v>
      </c>
    </row>
    <row r="3627" spans="1:14" x14ac:dyDescent="0.35">
      <c r="A3627">
        <v>3626</v>
      </c>
      <c r="B3627">
        <v>47</v>
      </c>
      <c r="C3627" t="str">
        <f t="shared" si="168"/>
        <v>Adult</v>
      </c>
      <c r="D3627" t="s">
        <v>16</v>
      </c>
      <c r="E3627" t="s">
        <v>25</v>
      </c>
      <c r="F3627" t="s">
        <v>57</v>
      </c>
      <c r="G3627">
        <v>56.84</v>
      </c>
      <c r="H3627" t="s">
        <v>31</v>
      </c>
      <c r="I3627" t="s">
        <v>15</v>
      </c>
      <c r="J3627">
        <v>3.7</v>
      </c>
      <c r="K3627">
        <v>10</v>
      </c>
      <c r="L3627">
        <f t="shared" si="169"/>
        <v>51.156000000000006</v>
      </c>
      <c r="M3627">
        <v>5</v>
      </c>
      <c r="N3627" t="str">
        <f t="shared" si="170"/>
        <v>Regular</v>
      </c>
    </row>
    <row r="3628" spans="1:14" x14ac:dyDescent="0.35">
      <c r="A3628">
        <v>3627</v>
      </c>
      <c r="B3628">
        <v>66</v>
      </c>
      <c r="C3628" t="str">
        <f t="shared" si="168"/>
        <v>Senior</v>
      </c>
      <c r="D3628" t="s">
        <v>11</v>
      </c>
      <c r="E3628" t="s">
        <v>33</v>
      </c>
      <c r="F3628" t="s">
        <v>38</v>
      </c>
      <c r="G3628">
        <v>228.84</v>
      </c>
      <c r="H3628" t="s">
        <v>19</v>
      </c>
      <c r="I3628" t="s">
        <v>15</v>
      </c>
      <c r="J3628">
        <v>4.0999999999999996</v>
      </c>
      <c r="K3628">
        <v>14</v>
      </c>
      <c r="L3628">
        <f t="shared" si="169"/>
        <v>196.80240000000001</v>
      </c>
      <c r="M3628">
        <v>2</v>
      </c>
      <c r="N3628" t="str">
        <f t="shared" si="170"/>
        <v>New</v>
      </c>
    </row>
    <row r="3629" spans="1:14" x14ac:dyDescent="0.35">
      <c r="A3629">
        <v>3628</v>
      </c>
      <c r="B3629">
        <v>53</v>
      </c>
      <c r="C3629" t="str">
        <f t="shared" si="168"/>
        <v>Adult</v>
      </c>
      <c r="D3629" t="s">
        <v>11</v>
      </c>
      <c r="E3629" t="s">
        <v>33</v>
      </c>
      <c r="F3629" t="s">
        <v>40</v>
      </c>
      <c r="G3629">
        <v>130.81</v>
      </c>
      <c r="H3629" t="s">
        <v>31</v>
      </c>
      <c r="I3629" t="s">
        <v>15</v>
      </c>
      <c r="J3629">
        <v>3.8</v>
      </c>
      <c r="K3629">
        <v>16</v>
      </c>
      <c r="L3629">
        <f t="shared" si="169"/>
        <v>109.88039999999999</v>
      </c>
      <c r="M3629">
        <v>8</v>
      </c>
      <c r="N3629" t="str">
        <f t="shared" si="170"/>
        <v>Loyal</v>
      </c>
    </row>
    <row r="3630" spans="1:14" x14ac:dyDescent="0.35">
      <c r="A3630">
        <v>3629</v>
      </c>
      <c r="B3630">
        <v>57</v>
      </c>
      <c r="C3630" t="str">
        <f t="shared" si="168"/>
        <v>Adult</v>
      </c>
      <c r="D3630" t="s">
        <v>16</v>
      </c>
      <c r="E3630" t="s">
        <v>33</v>
      </c>
      <c r="F3630" t="s">
        <v>34</v>
      </c>
      <c r="G3630">
        <v>65.53</v>
      </c>
      <c r="H3630" t="s">
        <v>31</v>
      </c>
      <c r="I3630" t="s">
        <v>37</v>
      </c>
      <c r="J3630">
        <v>3.9</v>
      </c>
      <c r="K3630">
        <v>17</v>
      </c>
      <c r="L3630">
        <f t="shared" si="169"/>
        <v>54.389899999999997</v>
      </c>
      <c r="M3630">
        <v>6</v>
      </c>
      <c r="N3630" t="str">
        <f t="shared" si="170"/>
        <v>Regular</v>
      </c>
    </row>
    <row r="3631" spans="1:14" x14ac:dyDescent="0.35">
      <c r="A3631">
        <v>3630</v>
      </c>
      <c r="B3631">
        <v>60</v>
      </c>
      <c r="C3631" t="str">
        <f t="shared" si="168"/>
        <v>Adult</v>
      </c>
      <c r="D3631" t="s">
        <v>11</v>
      </c>
      <c r="E3631" t="s">
        <v>12</v>
      </c>
      <c r="F3631" t="s">
        <v>50</v>
      </c>
      <c r="G3631">
        <v>86.31</v>
      </c>
      <c r="H3631" t="s">
        <v>19</v>
      </c>
      <c r="I3631" t="s">
        <v>15</v>
      </c>
      <c r="J3631">
        <v>4.4000000000000004</v>
      </c>
      <c r="K3631">
        <v>13</v>
      </c>
      <c r="L3631">
        <f t="shared" si="169"/>
        <v>75.089700000000008</v>
      </c>
      <c r="M3631">
        <v>4</v>
      </c>
      <c r="N3631" t="str">
        <f t="shared" si="170"/>
        <v>Regular</v>
      </c>
    </row>
    <row r="3632" spans="1:14" x14ac:dyDescent="0.35">
      <c r="A3632">
        <v>3631</v>
      </c>
      <c r="B3632">
        <v>31</v>
      </c>
      <c r="C3632" t="str">
        <f t="shared" si="168"/>
        <v>Adult</v>
      </c>
      <c r="D3632" t="s">
        <v>16</v>
      </c>
      <c r="E3632" t="s">
        <v>20</v>
      </c>
      <c r="F3632" t="s">
        <v>36</v>
      </c>
      <c r="G3632">
        <v>204.19</v>
      </c>
      <c r="H3632" t="s">
        <v>24</v>
      </c>
      <c r="I3632" t="s">
        <v>15</v>
      </c>
      <c r="J3632">
        <v>3.4</v>
      </c>
      <c r="K3632">
        <v>18</v>
      </c>
      <c r="L3632">
        <f t="shared" si="169"/>
        <v>167.4358</v>
      </c>
      <c r="M3632">
        <v>4</v>
      </c>
      <c r="N3632" t="str">
        <f t="shared" si="170"/>
        <v>Regular</v>
      </c>
    </row>
    <row r="3633" spans="1:14" x14ac:dyDescent="0.35">
      <c r="A3633">
        <v>3632</v>
      </c>
      <c r="B3633">
        <v>68</v>
      </c>
      <c r="C3633" t="str">
        <f t="shared" si="168"/>
        <v>Senior</v>
      </c>
      <c r="D3633" t="s">
        <v>16</v>
      </c>
      <c r="E3633" t="s">
        <v>22</v>
      </c>
      <c r="F3633" t="s">
        <v>23</v>
      </c>
      <c r="G3633">
        <v>289.19</v>
      </c>
      <c r="H3633" t="s">
        <v>24</v>
      </c>
      <c r="I3633" t="s">
        <v>15</v>
      </c>
      <c r="J3633">
        <v>3.5</v>
      </c>
      <c r="K3633">
        <v>9</v>
      </c>
      <c r="L3633">
        <f t="shared" si="169"/>
        <v>263.16289999999998</v>
      </c>
      <c r="M3633">
        <v>2</v>
      </c>
      <c r="N3633" t="str">
        <f t="shared" si="170"/>
        <v>New</v>
      </c>
    </row>
    <row r="3634" spans="1:14" x14ac:dyDescent="0.35">
      <c r="A3634">
        <v>3633</v>
      </c>
      <c r="B3634">
        <v>54</v>
      </c>
      <c r="C3634" t="str">
        <f t="shared" si="168"/>
        <v>Adult</v>
      </c>
      <c r="D3634" t="s">
        <v>16</v>
      </c>
      <c r="E3634" t="s">
        <v>20</v>
      </c>
      <c r="F3634" t="s">
        <v>21</v>
      </c>
      <c r="G3634">
        <v>158.37</v>
      </c>
      <c r="H3634" t="s">
        <v>31</v>
      </c>
      <c r="I3634" t="s">
        <v>15</v>
      </c>
      <c r="J3634">
        <v>2.2999999999999998</v>
      </c>
      <c r="K3634">
        <v>12</v>
      </c>
      <c r="L3634">
        <f t="shared" si="169"/>
        <v>139.3656</v>
      </c>
      <c r="M3634">
        <v>6</v>
      </c>
      <c r="N3634" t="str">
        <f t="shared" si="170"/>
        <v>Regular</v>
      </c>
    </row>
    <row r="3635" spans="1:14" x14ac:dyDescent="0.35">
      <c r="A3635">
        <v>3634</v>
      </c>
      <c r="B3635">
        <v>47</v>
      </c>
      <c r="C3635" t="str">
        <f t="shared" si="168"/>
        <v>Adult</v>
      </c>
      <c r="D3635" t="s">
        <v>11</v>
      </c>
      <c r="E3635" t="s">
        <v>41</v>
      </c>
      <c r="F3635" t="s">
        <v>46</v>
      </c>
      <c r="G3635">
        <v>71.25</v>
      </c>
      <c r="H3635" t="s">
        <v>31</v>
      </c>
      <c r="I3635" t="s">
        <v>37</v>
      </c>
      <c r="J3635">
        <v>3.8</v>
      </c>
      <c r="K3635">
        <v>26</v>
      </c>
      <c r="L3635">
        <f t="shared" si="169"/>
        <v>52.725000000000001</v>
      </c>
      <c r="M3635">
        <v>8</v>
      </c>
      <c r="N3635" t="str">
        <f t="shared" si="170"/>
        <v>Loyal</v>
      </c>
    </row>
    <row r="3636" spans="1:14" x14ac:dyDescent="0.35">
      <c r="A3636">
        <v>3635</v>
      </c>
      <c r="B3636">
        <v>62</v>
      </c>
      <c r="C3636" t="str">
        <f t="shared" si="168"/>
        <v>Senior</v>
      </c>
      <c r="D3636" t="s">
        <v>11</v>
      </c>
      <c r="E3636" t="s">
        <v>12</v>
      </c>
      <c r="F3636" t="s">
        <v>13</v>
      </c>
      <c r="G3636">
        <v>176.49</v>
      </c>
      <c r="H3636" t="s">
        <v>14</v>
      </c>
      <c r="I3636" t="s">
        <v>15</v>
      </c>
      <c r="J3636">
        <v>3.4</v>
      </c>
      <c r="K3636">
        <v>16</v>
      </c>
      <c r="L3636">
        <f t="shared" si="169"/>
        <v>148.2516</v>
      </c>
      <c r="M3636">
        <v>8</v>
      </c>
      <c r="N3636" t="str">
        <f t="shared" si="170"/>
        <v>Loyal</v>
      </c>
    </row>
    <row r="3637" spans="1:14" x14ac:dyDescent="0.35">
      <c r="A3637">
        <v>3636</v>
      </c>
      <c r="B3637">
        <v>33</v>
      </c>
      <c r="C3637" t="str">
        <f t="shared" si="168"/>
        <v>Adult</v>
      </c>
      <c r="D3637" t="s">
        <v>11</v>
      </c>
      <c r="E3637" t="s">
        <v>33</v>
      </c>
      <c r="F3637" t="s">
        <v>38</v>
      </c>
      <c r="G3637">
        <v>60.85</v>
      </c>
      <c r="H3637" t="s">
        <v>14</v>
      </c>
      <c r="I3637" t="s">
        <v>37</v>
      </c>
      <c r="J3637">
        <v>3.3</v>
      </c>
      <c r="K3637">
        <v>12</v>
      </c>
      <c r="L3637">
        <f t="shared" si="169"/>
        <v>53.548000000000002</v>
      </c>
      <c r="M3637">
        <v>6</v>
      </c>
      <c r="N3637" t="str">
        <f t="shared" si="170"/>
        <v>Regular</v>
      </c>
    </row>
    <row r="3638" spans="1:14" x14ac:dyDescent="0.35">
      <c r="A3638">
        <v>3637</v>
      </c>
      <c r="B3638">
        <v>40</v>
      </c>
      <c r="C3638" t="str">
        <f t="shared" si="168"/>
        <v>Adult</v>
      </c>
      <c r="D3638" t="s">
        <v>16</v>
      </c>
      <c r="E3638" t="s">
        <v>33</v>
      </c>
      <c r="F3638" t="s">
        <v>34</v>
      </c>
      <c r="G3638">
        <v>235.85</v>
      </c>
      <c r="H3638" t="s">
        <v>14</v>
      </c>
      <c r="I3638" t="s">
        <v>15</v>
      </c>
      <c r="J3638">
        <v>4.0999999999999996</v>
      </c>
      <c r="K3638">
        <v>30</v>
      </c>
      <c r="L3638">
        <f t="shared" si="169"/>
        <v>165.095</v>
      </c>
      <c r="M3638">
        <v>10</v>
      </c>
      <c r="N3638" t="str">
        <f t="shared" si="170"/>
        <v>Loyal</v>
      </c>
    </row>
    <row r="3639" spans="1:14" x14ac:dyDescent="0.35">
      <c r="A3639">
        <v>3638</v>
      </c>
      <c r="B3639">
        <v>66</v>
      </c>
      <c r="C3639" t="str">
        <f t="shared" si="168"/>
        <v>Senior</v>
      </c>
      <c r="D3639" t="s">
        <v>16</v>
      </c>
      <c r="E3639" t="s">
        <v>27</v>
      </c>
      <c r="F3639" t="s">
        <v>32</v>
      </c>
      <c r="G3639">
        <v>1417.24</v>
      </c>
      <c r="H3639" t="s">
        <v>24</v>
      </c>
      <c r="I3639" t="s">
        <v>15</v>
      </c>
      <c r="J3639">
        <v>3.3</v>
      </c>
      <c r="K3639">
        <v>23</v>
      </c>
      <c r="L3639">
        <f t="shared" si="169"/>
        <v>1091.2748000000001</v>
      </c>
      <c r="M3639">
        <v>9</v>
      </c>
      <c r="N3639" t="str">
        <f t="shared" si="170"/>
        <v>Loyal</v>
      </c>
    </row>
    <row r="3640" spans="1:14" x14ac:dyDescent="0.35">
      <c r="A3640">
        <v>3639</v>
      </c>
      <c r="B3640">
        <v>39</v>
      </c>
      <c r="C3640" t="str">
        <f t="shared" si="168"/>
        <v>Adult</v>
      </c>
      <c r="D3640" t="s">
        <v>11</v>
      </c>
      <c r="E3640" t="s">
        <v>41</v>
      </c>
      <c r="F3640" t="s">
        <v>42</v>
      </c>
      <c r="G3640">
        <v>119.67</v>
      </c>
      <c r="H3640" t="s">
        <v>24</v>
      </c>
      <c r="I3640" t="s">
        <v>15</v>
      </c>
      <c r="J3640">
        <v>4.3</v>
      </c>
      <c r="K3640">
        <v>13</v>
      </c>
      <c r="L3640">
        <f t="shared" si="169"/>
        <v>104.1129</v>
      </c>
      <c r="M3640">
        <v>4</v>
      </c>
      <c r="N3640" t="str">
        <f t="shared" si="170"/>
        <v>Regular</v>
      </c>
    </row>
    <row r="3641" spans="1:14" x14ac:dyDescent="0.35">
      <c r="A3641">
        <v>3640</v>
      </c>
      <c r="B3641">
        <v>63</v>
      </c>
      <c r="C3641" t="str">
        <f t="shared" si="168"/>
        <v>Senior</v>
      </c>
      <c r="D3641" t="s">
        <v>11</v>
      </c>
      <c r="E3641" t="s">
        <v>41</v>
      </c>
      <c r="F3641" t="s">
        <v>46</v>
      </c>
      <c r="G3641">
        <v>77.59</v>
      </c>
      <c r="H3641" t="s">
        <v>31</v>
      </c>
      <c r="I3641" t="s">
        <v>15</v>
      </c>
      <c r="J3641">
        <v>4.5</v>
      </c>
      <c r="K3641">
        <v>18</v>
      </c>
      <c r="L3641">
        <f t="shared" si="169"/>
        <v>63.62380000000001</v>
      </c>
      <c r="M3641">
        <v>4</v>
      </c>
      <c r="N3641" t="str">
        <f t="shared" si="170"/>
        <v>Regular</v>
      </c>
    </row>
    <row r="3642" spans="1:14" x14ac:dyDescent="0.35">
      <c r="A3642">
        <v>3641</v>
      </c>
      <c r="B3642">
        <v>57</v>
      </c>
      <c r="C3642" t="str">
        <f t="shared" si="168"/>
        <v>Adult</v>
      </c>
      <c r="D3642" t="s">
        <v>11</v>
      </c>
      <c r="E3642" t="s">
        <v>33</v>
      </c>
      <c r="F3642" t="s">
        <v>40</v>
      </c>
      <c r="G3642">
        <v>176.39</v>
      </c>
      <c r="H3642" t="s">
        <v>24</v>
      </c>
      <c r="I3642" t="s">
        <v>15</v>
      </c>
      <c r="J3642">
        <v>5</v>
      </c>
      <c r="K3642">
        <v>6</v>
      </c>
      <c r="L3642">
        <f t="shared" si="169"/>
        <v>165.80659999999997</v>
      </c>
      <c r="M3642">
        <v>3</v>
      </c>
      <c r="N3642" t="str">
        <f t="shared" si="170"/>
        <v>New</v>
      </c>
    </row>
    <row r="3643" spans="1:14" x14ac:dyDescent="0.35">
      <c r="A3643">
        <v>3642</v>
      </c>
      <c r="B3643">
        <v>50</v>
      </c>
      <c r="C3643" t="str">
        <f t="shared" si="168"/>
        <v>Adult</v>
      </c>
      <c r="D3643" t="s">
        <v>16</v>
      </c>
      <c r="E3643" t="s">
        <v>27</v>
      </c>
      <c r="F3643" t="s">
        <v>53</v>
      </c>
      <c r="G3643">
        <v>2463.27</v>
      </c>
      <c r="H3643" t="s">
        <v>14</v>
      </c>
      <c r="I3643" t="s">
        <v>15</v>
      </c>
      <c r="J3643">
        <v>3.7</v>
      </c>
      <c r="K3643">
        <v>20</v>
      </c>
      <c r="L3643">
        <f t="shared" si="169"/>
        <v>1970.616</v>
      </c>
      <c r="M3643">
        <v>5</v>
      </c>
      <c r="N3643" t="str">
        <f t="shared" si="170"/>
        <v>Regular</v>
      </c>
    </row>
    <row r="3644" spans="1:14" x14ac:dyDescent="0.35">
      <c r="A3644">
        <v>3643</v>
      </c>
      <c r="B3644">
        <v>65</v>
      </c>
      <c r="C3644" t="str">
        <f t="shared" si="168"/>
        <v>Senior</v>
      </c>
      <c r="D3644" t="s">
        <v>16</v>
      </c>
      <c r="E3644" t="s">
        <v>20</v>
      </c>
      <c r="F3644" t="s">
        <v>21</v>
      </c>
      <c r="G3644">
        <v>210.26</v>
      </c>
      <c r="H3644" t="s">
        <v>31</v>
      </c>
      <c r="I3644" t="s">
        <v>15</v>
      </c>
      <c r="J3644">
        <v>4.5</v>
      </c>
      <c r="K3644">
        <v>19</v>
      </c>
      <c r="L3644">
        <f t="shared" si="169"/>
        <v>170.31059999999999</v>
      </c>
      <c r="M3644">
        <v>7</v>
      </c>
      <c r="N3644" t="str">
        <f t="shared" si="170"/>
        <v>Regular</v>
      </c>
    </row>
    <row r="3645" spans="1:14" x14ac:dyDescent="0.35">
      <c r="A3645">
        <v>3644</v>
      </c>
      <c r="B3645">
        <v>43</v>
      </c>
      <c r="C3645" t="str">
        <f t="shared" si="168"/>
        <v>Adult</v>
      </c>
      <c r="D3645" t="s">
        <v>16</v>
      </c>
      <c r="E3645" t="s">
        <v>33</v>
      </c>
      <c r="F3645" t="s">
        <v>40</v>
      </c>
      <c r="G3645">
        <v>43.08</v>
      </c>
      <c r="H3645" t="s">
        <v>14</v>
      </c>
      <c r="I3645" t="s">
        <v>37</v>
      </c>
      <c r="J3645">
        <v>3.3</v>
      </c>
      <c r="K3645">
        <v>24</v>
      </c>
      <c r="L3645">
        <f t="shared" si="169"/>
        <v>32.7408</v>
      </c>
      <c r="M3645">
        <v>7</v>
      </c>
      <c r="N3645" t="str">
        <f t="shared" si="170"/>
        <v>Regular</v>
      </c>
    </row>
    <row r="3646" spans="1:14" x14ac:dyDescent="0.35">
      <c r="A3646">
        <v>3645</v>
      </c>
      <c r="B3646">
        <v>66</v>
      </c>
      <c r="C3646" t="str">
        <f t="shared" si="168"/>
        <v>Senior</v>
      </c>
      <c r="D3646" t="s">
        <v>16</v>
      </c>
      <c r="E3646" t="s">
        <v>27</v>
      </c>
      <c r="F3646" t="s">
        <v>49</v>
      </c>
      <c r="G3646">
        <v>2061.67</v>
      </c>
      <c r="H3646" t="s">
        <v>24</v>
      </c>
      <c r="I3646" t="s">
        <v>15</v>
      </c>
      <c r="J3646">
        <v>3.8</v>
      </c>
      <c r="K3646">
        <v>11</v>
      </c>
      <c r="L3646">
        <f t="shared" si="169"/>
        <v>1834.8863000000001</v>
      </c>
      <c r="M3646">
        <v>3</v>
      </c>
      <c r="N3646" t="str">
        <f t="shared" si="170"/>
        <v>New</v>
      </c>
    </row>
    <row r="3647" spans="1:14" x14ac:dyDescent="0.35">
      <c r="A3647">
        <v>3646</v>
      </c>
      <c r="B3647">
        <v>54</v>
      </c>
      <c r="C3647" t="str">
        <f t="shared" si="168"/>
        <v>Adult</v>
      </c>
      <c r="D3647" t="s">
        <v>11</v>
      </c>
      <c r="E3647" t="s">
        <v>29</v>
      </c>
      <c r="F3647" t="s">
        <v>55</v>
      </c>
      <c r="G3647">
        <v>116.1</v>
      </c>
      <c r="H3647" t="s">
        <v>14</v>
      </c>
      <c r="I3647" t="s">
        <v>15</v>
      </c>
      <c r="J3647">
        <v>3.3</v>
      </c>
      <c r="K3647">
        <v>11</v>
      </c>
      <c r="L3647">
        <f t="shared" si="169"/>
        <v>103.32899999999999</v>
      </c>
      <c r="M3647">
        <v>3</v>
      </c>
      <c r="N3647" t="str">
        <f t="shared" si="170"/>
        <v>New</v>
      </c>
    </row>
    <row r="3648" spans="1:14" x14ac:dyDescent="0.35">
      <c r="A3648">
        <v>3647</v>
      </c>
      <c r="B3648">
        <v>21</v>
      </c>
      <c r="C3648" t="str">
        <f t="shared" si="168"/>
        <v>Youth</v>
      </c>
      <c r="D3648" t="s">
        <v>11</v>
      </c>
      <c r="E3648" t="s">
        <v>12</v>
      </c>
      <c r="F3648" t="s">
        <v>56</v>
      </c>
      <c r="G3648">
        <v>74.010000000000005</v>
      </c>
      <c r="H3648" t="s">
        <v>14</v>
      </c>
      <c r="I3648" t="s">
        <v>15</v>
      </c>
      <c r="J3648">
        <v>4.0999999999999996</v>
      </c>
      <c r="K3648">
        <v>22</v>
      </c>
      <c r="L3648">
        <f t="shared" si="169"/>
        <v>57.727800000000009</v>
      </c>
      <c r="M3648">
        <v>6</v>
      </c>
      <c r="N3648" t="str">
        <f t="shared" si="170"/>
        <v>Regular</v>
      </c>
    </row>
    <row r="3649" spans="1:14" x14ac:dyDescent="0.35">
      <c r="A3649">
        <v>3648</v>
      </c>
      <c r="B3649">
        <v>49</v>
      </c>
      <c r="C3649" t="str">
        <f t="shared" si="168"/>
        <v>Adult</v>
      </c>
      <c r="D3649" t="s">
        <v>11</v>
      </c>
      <c r="E3649" t="s">
        <v>25</v>
      </c>
      <c r="F3649" t="s">
        <v>26</v>
      </c>
      <c r="G3649">
        <v>63.04</v>
      </c>
      <c r="H3649" t="s">
        <v>24</v>
      </c>
      <c r="I3649" t="s">
        <v>15</v>
      </c>
      <c r="J3649">
        <v>3.5</v>
      </c>
      <c r="K3649">
        <v>22</v>
      </c>
      <c r="L3649">
        <f t="shared" si="169"/>
        <v>49.171199999999999</v>
      </c>
      <c r="M3649">
        <v>6</v>
      </c>
      <c r="N3649" t="str">
        <f t="shared" si="170"/>
        <v>Regular</v>
      </c>
    </row>
    <row r="3650" spans="1:14" x14ac:dyDescent="0.35">
      <c r="A3650">
        <v>3649</v>
      </c>
      <c r="B3650">
        <v>41</v>
      </c>
      <c r="C3650" t="str">
        <f t="shared" si="168"/>
        <v>Adult</v>
      </c>
      <c r="D3650" t="s">
        <v>16</v>
      </c>
      <c r="E3650" t="s">
        <v>17</v>
      </c>
      <c r="F3650" t="s">
        <v>42</v>
      </c>
      <c r="G3650">
        <v>52.63</v>
      </c>
      <c r="H3650" t="s">
        <v>24</v>
      </c>
      <c r="I3650" t="s">
        <v>37</v>
      </c>
      <c r="J3650">
        <v>4.4000000000000004</v>
      </c>
      <c r="K3650">
        <v>16</v>
      </c>
      <c r="L3650">
        <f t="shared" si="169"/>
        <v>44.209200000000003</v>
      </c>
      <c r="M3650">
        <v>3</v>
      </c>
      <c r="N3650" t="str">
        <f t="shared" si="170"/>
        <v>New</v>
      </c>
    </row>
    <row r="3651" spans="1:14" x14ac:dyDescent="0.35">
      <c r="A3651">
        <v>3650</v>
      </c>
      <c r="B3651">
        <v>51</v>
      </c>
      <c r="C3651" t="str">
        <f t="shared" ref="C3651:C3714" si="171">IF(B3651&lt;=30,"Youth",IF(B3651&lt;=45,"Adult",IF(B3651&lt;=60,"Adult","Senior")))</f>
        <v>Adult</v>
      </c>
      <c r="D3651" t="s">
        <v>16</v>
      </c>
      <c r="E3651" t="s">
        <v>17</v>
      </c>
      <c r="F3651" t="s">
        <v>18</v>
      </c>
      <c r="G3651">
        <v>159.5</v>
      </c>
      <c r="H3651" t="s">
        <v>19</v>
      </c>
      <c r="I3651" t="s">
        <v>15</v>
      </c>
      <c r="J3651">
        <v>4.3</v>
      </c>
      <c r="K3651">
        <v>22</v>
      </c>
      <c r="L3651">
        <f t="shared" ref="L3651:L3714" si="172">G3651*(1-K3651/100)</f>
        <v>124.41000000000001</v>
      </c>
      <c r="M3651">
        <v>6</v>
      </c>
      <c r="N3651" t="str">
        <f t="shared" ref="N3651:N3714" si="173">IF(M3651&lt;=3,"New",IF(M3651&lt;=7,"Regular","Loyal"))</f>
        <v>Regular</v>
      </c>
    </row>
    <row r="3652" spans="1:14" x14ac:dyDescent="0.35">
      <c r="A3652">
        <v>3651</v>
      </c>
      <c r="B3652">
        <v>63</v>
      </c>
      <c r="C3652" t="str">
        <f t="shared" si="171"/>
        <v>Senior</v>
      </c>
      <c r="D3652" t="s">
        <v>11</v>
      </c>
      <c r="E3652" t="s">
        <v>41</v>
      </c>
      <c r="F3652" t="s">
        <v>44</v>
      </c>
      <c r="G3652">
        <v>128.85</v>
      </c>
      <c r="H3652" t="s">
        <v>24</v>
      </c>
      <c r="I3652" t="s">
        <v>15</v>
      </c>
      <c r="J3652">
        <v>2.9</v>
      </c>
      <c r="K3652">
        <v>11</v>
      </c>
      <c r="L3652">
        <f t="shared" si="172"/>
        <v>114.67649999999999</v>
      </c>
      <c r="M3652">
        <v>3</v>
      </c>
      <c r="N3652" t="str">
        <f t="shared" si="173"/>
        <v>New</v>
      </c>
    </row>
    <row r="3653" spans="1:14" x14ac:dyDescent="0.35">
      <c r="A3653">
        <v>3652</v>
      </c>
      <c r="B3653">
        <v>29</v>
      </c>
      <c r="C3653" t="str">
        <f t="shared" si="171"/>
        <v>Youth</v>
      </c>
      <c r="D3653" t="s">
        <v>16</v>
      </c>
      <c r="E3653" t="s">
        <v>20</v>
      </c>
      <c r="F3653" t="s">
        <v>39</v>
      </c>
      <c r="G3653">
        <v>206.04</v>
      </c>
      <c r="H3653" t="s">
        <v>31</v>
      </c>
      <c r="I3653" t="s">
        <v>15</v>
      </c>
      <c r="J3653">
        <v>3.5</v>
      </c>
      <c r="K3653">
        <v>20</v>
      </c>
      <c r="L3653">
        <f t="shared" si="172"/>
        <v>164.83199999999999</v>
      </c>
      <c r="M3653">
        <v>5</v>
      </c>
      <c r="N3653" t="str">
        <f t="shared" si="173"/>
        <v>Regular</v>
      </c>
    </row>
    <row r="3654" spans="1:14" x14ac:dyDescent="0.35">
      <c r="A3654">
        <v>3653</v>
      </c>
      <c r="B3654">
        <v>68</v>
      </c>
      <c r="C3654" t="str">
        <f t="shared" si="171"/>
        <v>Senior</v>
      </c>
      <c r="D3654" t="s">
        <v>11</v>
      </c>
      <c r="E3654" t="s">
        <v>33</v>
      </c>
      <c r="F3654" t="s">
        <v>38</v>
      </c>
      <c r="G3654">
        <v>86.55</v>
      </c>
      <c r="H3654" t="s">
        <v>31</v>
      </c>
      <c r="I3654" t="s">
        <v>15</v>
      </c>
      <c r="J3654">
        <v>5</v>
      </c>
      <c r="K3654">
        <v>28</v>
      </c>
      <c r="L3654">
        <f t="shared" si="172"/>
        <v>62.315999999999995</v>
      </c>
      <c r="M3654">
        <v>9</v>
      </c>
      <c r="N3654" t="str">
        <f t="shared" si="173"/>
        <v>Loyal</v>
      </c>
    </row>
    <row r="3655" spans="1:14" x14ac:dyDescent="0.35">
      <c r="A3655">
        <v>3654</v>
      </c>
      <c r="B3655">
        <v>63</v>
      </c>
      <c r="C3655" t="str">
        <f t="shared" si="171"/>
        <v>Senior</v>
      </c>
      <c r="D3655" t="s">
        <v>16</v>
      </c>
      <c r="E3655" t="s">
        <v>20</v>
      </c>
      <c r="F3655" t="s">
        <v>36</v>
      </c>
      <c r="G3655">
        <v>138.76</v>
      </c>
      <c r="H3655" t="s">
        <v>19</v>
      </c>
      <c r="I3655" t="s">
        <v>15</v>
      </c>
      <c r="J3655">
        <v>3.5</v>
      </c>
      <c r="K3655">
        <v>17</v>
      </c>
      <c r="L3655">
        <f t="shared" si="172"/>
        <v>115.17079999999999</v>
      </c>
      <c r="M3655">
        <v>6</v>
      </c>
      <c r="N3655" t="str">
        <f t="shared" si="173"/>
        <v>Regular</v>
      </c>
    </row>
    <row r="3656" spans="1:14" x14ac:dyDescent="0.35">
      <c r="A3656">
        <v>3655</v>
      </c>
      <c r="B3656">
        <v>49</v>
      </c>
      <c r="C3656" t="str">
        <f t="shared" si="171"/>
        <v>Adult</v>
      </c>
      <c r="D3656" t="s">
        <v>11</v>
      </c>
      <c r="E3656" t="s">
        <v>41</v>
      </c>
      <c r="F3656" t="s">
        <v>44</v>
      </c>
      <c r="G3656">
        <v>45.93</v>
      </c>
      <c r="H3656" t="s">
        <v>19</v>
      </c>
      <c r="I3656" t="s">
        <v>15</v>
      </c>
      <c r="J3656">
        <v>5</v>
      </c>
      <c r="K3656">
        <v>22</v>
      </c>
      <c r="L3656">
        <f t="shared" si="172"/>
        <v>35.825400000000002</v>
      </c>
      <c r="M3656">
        <v>6</v>
      </c>
      <c r="N3656" t="str">
        <f t="shared" si="173"/>
        <v>Regular</v>
      </c>
    </row>
    <row r="3657" spans="1:14" x14ac:dyDescent="0.35">
      <c r="A3657">
        <v>3656</v>
      </c>
      <c r="B3657">
        <v>56</v>
      </c>
      <c r="C3657" t="str">
        <f t="shared" si="171"/>
        <v>Adult</v>
      </c>
      <c r="D3657" t="s">
        <v>11</v>
      </c>
      <c r="E3657" t="s">
        <v>41</v>
      </c>
      <c r="F3657" t="s">
        <v>42</v>
      </c>
      <c r="G3657">
        <v>80.56</v>
      </c>
      <c r="H3657" t="s">
        <v>14</v>
      </c>
      <c r="I3657" t="s">
        <v>15</v>
      </c>
      <c r="J3657">
        <v>3.5</v>
      </c>
      <c r="K3657">
        <v>14</v>
      </c>
      <c r="L3657">
        <f t="shared" si="172"/>
        <v>69.281599999999997</v>
      </c>
      <c r="M3657">
        <v>7</v>
      </c>
      <c r="N3657" t="str">
        <f t="shared" si="173"/>
        <v>Regular</v>
      </c>
    </row>
    <row r="3658" spans="1:14" x14ac:dyDescent="0.35">
      <c r="A3658">
        <v>3657</v>
      </c>
      <c r="B3658">
        <v>42</v>
      </c>
      <c r="C3658" t="str">
        <f t="shared" si="171"/>
        <v>Adult</v>
      </c>
      <c r="D3658" t="s">
        <v>16</v>
      </c>
      <c r="E3658" t="s">
        <v>22</v>
      </c>
      <c r="F3658" t="s">
        <v>52</v>
      </c>
      <c r="G3658">
        <v>133.91</v>
      </c>
      <c r="H3658" t="s">
        <v>31</v>
      </c>
      <c r="I3658" t="s">
        <v>15</v>
      </c>
      <c r="J3658">
        <v>3.9</v>
      </c>
      <c r="K3658">
        <v>18</v>
      </c>
      <c r="L3658">
        <f t="shared" si="172"/>
        <v>109.8062</v>
      </c>
      <c r="M3658">
        <v>4</v>
      </c>
      <c r="N3658" t="str">
        <f t="shared" si="173"/>
        <v>Regular</v>
      </c>
    </row>
    <row r="3659" spans="1:14" x14ac:dyDescent="0.35">
      <c r="A3659">
        <v>3658</v>
      </c>
      <c r="B3659">
        <v>34</v>
      </c>
      <c r="C3659" t="str">
        <f t="shared" si="171"/>
        <v>Adult</v>
      </c>
      <c r="D3659" t="s">
        <v>16</v>
      </c>
      <c r="E3659" t="s">
        <v>27</v>
      </c>
      <c r="F3659" t="s">
        <v>49</v>
      </c>
      <c r="G3659">
        <v>739.02</v>
      </c>
      <c r="H3659" t="s">
        <v>14</v>
      </c>
      <c r="I3659" t="s">
        <v>15</v>
      </c>
      <c r="J3659">
        <v>4.3</v>
      </c>
      <c r="K3659">
        <v>30</v>
      </c>
      <c r="L3659">
        <f t="shared" si="172"/>
        <v>517.31399999999996</v>
      </c>
      <c r="M3659">
        <v>10</v>
      </c>
      <c r="N3659" t="str">
        <f t="shared" si="173"/>
        <v>Loyal</v>
      </c>
    </row>
    <row r="3660" spans="1:14" x14ac:dyDescent="0.35">
      <c r="A3660">
        <v>3659</v>
      </c>
      <c r="B3660">
        <v>49</v>
      </c>
      <c r="C3660" t="str">
        <f t="shared" si="171"/>
        <v>Adult</v>
      </c>
      <c r="D3660" t="s">
        <v>16</v>
      </c>
      <c r="E3660" t="s">
        <v>20</v>
      </c>
      <c r="F3660" t="s">
        <v>21</v>
      </c>
      <c r="G3660">
        <v>245.64</v>
      </c>
      <c r="H3660" t="s">
        <v>24</v>
      </c>
      <c r="I3660" t="s">
        <v>15</v>
      </c>
      <c r="J3660">
        <v>4.0999999999999996</v>
      </c>
      <c r="K3660">
        <v>15</v>
      </c>
      <c r="L3660">
        <f t="shared" si="172"/>
        <v>208.79399999999998</v>
      </c>
      <c r="M3660">
        <v>5</v>
      </c>
      <c r="N3660" t="str">
        <f t="shared" si="173"/>
        <v>Regular</v>
      </c>
    </row>
    <row r="3661" spans="1:14" x14ac:dyDescent="0.35">
      <c r="A3661">
        <v>3660</v>
      </c>
      <c r="B3661">
        <v>38</v>
      </c>
      <c r="C3661" t="str">
        <f t="shared" si="171"/>
        <v>Adult</v>
      </c>
      <c r="D3661" t="s">
        <v>16</v>
      </c>
      <c r="E3661" t="s">
        <v>17</v>
      </c>
      <c r="F3661" t="s">
        <v>42</v>
      </c>
      <c r="G3661">
        <v>75.67</v>
      </c>
      <c r="H3661" t="s">
        <v>24</v>
      </c>
      <c r="I3661" t="s">
        <v>37</v>
      </c>
      <c r="J3661">
        <v>3.8</v>
      </c>
      <c r="K3661">
        <v>15</v>
      </c>
      <c r="L3661">
        <f t="shared" si="172"/>
        <v>64.319500000000005</v>
      </c>
      <c r="M3661">
        <v>5</v>
      </c>
      <c r="N3661" t="str">
        <f t="shared" si="173"/>
        <v>Regular</v>
      </c>
    </row>
    <row r="3662" spans="1:14" x14ac:dyDescent="0.35">
      <c r="A3662">
        <v>3661</v>
      </c>
      <c r="B3662">
        <v>51</v>
      </c>
      <c r="C3662" t="str">
        <f t="shared" si="171"/>
        <v>Adult</v>
      </c>
      <c r="D3662" t="s">
        <v>11</v>
      </c>
      <c r="E3662" t="s">
        <v>12</v>
      </c>
      <c r="F3662" t="s">
        <v>56</v>
      </c>
      <c r="G3662">
        <v>102.13</v>
      </c>
      <c r="H3662" t="s">
        <v>31</v>
      </c>
      <c r="I3662" t="s">
        <v>15</v>
      </c>
      <c r="J3662">
        <v>4.0999999999999996</v>
      </c>
      <c r="K3662">
        <v>12</v>
      </c>
      <c r="L3662">
        <f t="shared" si="172"/>
        <v>89.874399999999994</v>
      </c>
      <c r="M3662">
        <v>6</v>
      </c>
      <c r="N3662" t="str">
        <f t="shared" si="173"/>
        <v>Regular</v>
      </c>
    </row>
    <row r="3663" spans="1:14" x14ac:dyDescent="0.35">
      <c r="A3663">
        <v>3662</v>
      </c>
      <c r="B3663">
        <v>50</v>
      </c>
      <c r="C3663" t="str">
        <f t="shared" si="171"/>
        <v>Adult</v>
      </c>
      <c r="D3663" t="s">
        <v>11</v>
      </c>
      <c r="E3663" t="s">
        <v>41</v>
      </c>
      <c r="F3663" t="s">
        <v>42</v>
      </c>
      <c r="G3663">
        <v>193.62</v>
      </c>
      <c r="H3663" t="s">
        <v>14</v>
      </c>
      <c r="I3663" t="s">
        <v>15</v>
      </c>
      <c r="J3663">
        <v>2.9</v>
      </c>
      <c r="K3663">
        <v>19</v>
      </c>
      <c r="L3663">
        <f t="shared" si="172"/>
        <v>156.8322</v>
      </c>
      <c r="M3663">
        <v>7</v>
      </c>
      <c r="N3663" t="str">
        <f t="shared" si="173"/>
        <v>Regular</v>
      </c>
    </row>
    <row r="3664" spans="1:14" x14ac:dyDescent="0.35">
      <c r="A3664">
        <v>3663</v>
      </c>
      <c r="B3664">
        <v>27</v>
      </c>
      <c r="C3664" t="str">
        <f t="shared" si="171"/>
        <v>Youth</v>
      </c>
      <c r="D3664" t="s">
        <v>16</v>
      </c>
      <c r="E3664" t="s">
        <v>17</v>
      </c>
      <c r="F3664" t="s">
        <v>48</v>
      </c>
      <c r="G3664">
        <v>154.24</v>
      </c>
      <c r="H3664" t="s">
        <v>31</v>
      </c>
      <c r="I3664" t="s">
        <v>15</v>
      </c>
      <c r="J3664">
        <v>4.2</v>
      </c>
      <c r="K3664">
        <v>22</v>
      </c>
      <c r="L3664">
        <f t="shared" si="172"/>
        <v>120.30720000000001</v>
      </c>
      <c r="M3664">
        <v>6</v>
      </c>
      <c r="N3664" t="str">
        <f t="shared" si="173"/>
        <v>Regular</v>
      </c>
    </row>
    <row r="3665" spans="1:14" x14ac:dyDescent="0.35">
      <c r="A3665">
        <v>3664</v>
      </c>
      <c r="B3665">
        <v>40</v>
      </c>
      <c r="C3665" t="str">
        <f t="shared" si="171"/>
        <v>Adult</v>
      </c>
      <c r="D3665" t="s">
        <v>16</v>
      </c>
      <c r="E3665" t="s">
        <v>33</v>
      </c>
      <c r="F3665" t="s">
        <v>34</v>
      </c>
      <c r="G3665">
        <v>70.38</v>
      </c>
      <c r="H3665" t="s">
        <v>31</v>
      </c>
      <c r="I3665" t="s">
        <v>15</v>
      </c>
      <c r="J3665">
        <v>4.3</v>
      </c>
      <c r="K3665">
        <v>21</v>
      </c>
      <c r="L3665">
        <f t="shared" si="172"/>
        <v>55.600200000000001</v>
      </c>
      <c r="M3665">
        <v>8</v>
      </c>
      <c r="N3665" t="str">
        <f t="shared" si="173"/>
        <v>Loyal</v>
      </c>
    </row>
    <row r="3666" spans="1:14" x14ac:dyDescent="0.35">
      <c r="A3666">
        <v>3665</v>
      </c>
      <c r="B3666">
        <v>43</v>
      </c>
      <c r="C3666" t="str">
        <f t="shared" si="171"/>
        <v>Adult</v>
      </c>
      <c r="D3666" t="s">
        <v>11</v>
      </c>
      <c r="E3666" t="s">
        <v>25</v>
      </c>
      <c r="F3666" t="s">
        <v>54</v>
      </c>
      <c r="G3666">
        <v>42.5</v>
      </c>
      <c r="H3666" t="s">
        <v>31</v>
      </c>
      <c r="I3666" t="s">
        <v>37</v>
      </c>
      <c r="J3666">
        <v>2.4</v>
      </c>
      <c r="K3666">
        <v>9</v>
      </c>
      <c r="L3666">
        <f t="shared" si="172"/>
        <v>38.675000000000004</v>
      </c>
      <c r="M3666">
        <v>2</v>
      </c>
      <c r="N3666" t="str">
        <f t="shared" si="173"/>
        <v>New</v>
      </c>
    </row>
    <row r="3667" spans="1:14" x14ac:dyDescent="0.35">
      <c r="A3667">
        <v>3666</v>
      </c>
      <c r="B3667">
        <v>57</v>
      </c>
      <c r="C3667" t="str">
        <f t="shared" si="171"/>
        <v>Adult</v>
      </c>
      <c r="D3667" t="s">
        <v>11</v>
      </c>
      <c r="E3667" t="s">
        <v>33</v>
      </c>
      <c r="F3667" t="s">
        <v>40</v>
      </c>
      <c r="G3667">
        <v>185.73</v>
      </c>
      <c r="H3667" t="s">
        <v>19</v>
      </c>
      <c r="I3667" t="s">
        <v>15</v>
      </c>
      <c r="J3667">
        <v>5</v>
      </c>
      <c r="K3667">
        <v>17</v>
      </c>
      <c r="L3667">
        <f t="shared" si="172"/>
        <v>154.15589999999997</v>
      </c>
      <c r="M3667">
        <v>6</v>
      </c>
      <c r="N3667" t="str">
        <f t="shared" si="173"/>
        <v>Regular</v>
      </c>
    </row>
    <row r="3668" spans="1:14" x14ac:dyDescent="0.35">
      <c r="A3668">
        <v>3667</v>
      </c>
      <c r="B3668">
        <v>20</v>
      </c>
      <c r="C3668" t="str">
        <f t="shared" si="171"/>
        <v>Youth</v>
      </c>
      <c r="D3668" t="s">
        <v>16</v>
      </c>
      <c r="E3668" t="s">
        <v>27</v>
      </c>
      <c r="F3668" t="s">
        <v>49</v>
      </c>
      <c r="G3668">
        <v>1838.94</v>
      </c>
      <c r="H3668" t="s">
        <v>24</v>
      </c>
      <c r="I3668" t="s">
        <v>15</v>
      </c>
      <c r="J3668">
        <v>3.8</v>
      </c>
      <c r="K3668">
        <v>10</v>
      </c>
      <c r="L3668">
        <f t="shared" si="172"/>
        <v>1655.046</v>
      </c>
      <c r="M3668">
        <v>5</v>
      </c>
      <c r="N3668" t="str">
        <f t="shared" si="173"/>
        <v>Regular</v>
      </c>
    </row>
    <row r="3669" spans="1:14" x14ac:dyDescent="0.35">
      <c r="A3669">
        <v>3668</v>
      </c>
      <c r="B3669">
        <v>25</v>
      </c>
      <c r="C3669" t="str">
        <f t="shared" si="171"/>
        <v>Youth</v>
      </c>
      <c r="D3669" t="s">
        <v>16</v>
      </c>
      <c r="E3669" t="s">
        <v>20</v>
      </c>
      <c r="F3669" t="s">
        <v>36</v>
      </c>
      <c r="G3669">
        <v>224.19</v>
      </c>
      <c r="H3669" t="s">
        <v>14</v>
      </c>
      <c r="I3669" t="s">
        <v>15</v>
      </c>
      <c r="J3669">
        <v>3.3</v>
      </c>
      <c r="K3669">
        <v>18</v>
      </c>
      <c r="L3669">
        <f t="shared" si="172"/>
        <v>183.83580000000001</v>
      </c>
      <c r="M3669">
        <v>4</v>
      </c>
      <c r="N3669" t="str">
        <f t="shared" si="173"/>
        <v>Regular</v>
      </c>
    </row>
    <row r="3670" spans="1:14" x14ac:dyDescent="0.35">
      <c r="A3670">
        <v>3669</v>
      </c>
      <c r="B3670">
        <v>64</v>
      </c>
      <c r="C3670" t="str">
        <f t="shared" si="171"/>
        <v>Senior</v>
      </c>
      <c r="D3670" t="s">
        <v>16</v>
      </c>
      <c r="E3670" t="s">
        <v>17</v>
      </c>
      <c r="F3670" t="s">
        <v>48</v>
      </c>
      <c r="G3670">
        <v>64.53</v>
      </c>
      <c r="H3670" t="s">
        <v>31</v>
      </c>
      <c r="I3670" t="s">
        <v>37</v>
      </c>
      <c r="J3670">
        <v>3.8</v>
      </c>
      <c r="K3670">
        <v>22</v>
      </c>
      <c r="L3670">
        <f t="shared" si="172"/>
        <v>50.333400000000005</v>
      </c>
      <c r="M3670">
        <v>6</v>
      </c>
      <c r="N3670" t="str">
        <f t="shared" si="173"/>
        <v>Regular</v>
      </c>
    </row>
    <row r="3671" spans="1:14" x14ac:dyDescent="0.35">
      <c r="A3671">
        <v>3670</v>
      </c>
      <c r="B3671">
        <v>43</v>
      </c>
      <c r="C3671" t="str">
        <f t="shared" si="171"/>
        <v>Adult</v>
      </c>
      <c r="D3671" t="s">
        <v>16</v>
      </c>
      <c r="E3671" t="s">
        <v>27</v>
      </c>
      <c r="F3671" t="s">
        <v>53</v>
      </c>
      <c r="G3671">
        <v>907.49</v>
      </c>
      <c r="H3671" t="s">
        <v>24</v>
      </c>
      <c r="I3671" t="s">
        <v>15</v>
      </c>
      <c r="J3671">
        <v>4.3</v>
      </c>
      <c r="K3671">
        <v>8</v>
      </c>
      <c r="L3671">
        <f t="shared" si="172"/>
        <v>834.89080000000001</v>
      </c>
      <c r="M3671">
        <v>4</v>
      </c>
      <c r="N3671" t="str">
        <f t="shared" si="173"/>
        <v>Regular</v>
      </c>
    </row>
    <row r="3672" spans="1:14" x14ac:dyDescent="0.35">
      <c r="A3672">
        <v>3671</v>
      </c>
      <c r="B3672">
        <v>56</v>
      </c>
      <c r="C3672" t="str">
        <f t="shared" si="171"/>
        <v>Adult</v>
      </c>
      <c r="D3672" t="s">
        <v>11</v>
      </c>
      <c r="E3672" t="s">
        <v>29</v>
      </c>
      <c r="F3672" t="s">
        <v>51</v>
      </c>
      <c r="G3672">
        <v>91.75</v>
      </c>
      <c r="H3672" t="s">
        <v>14</v>
      </c>
      <c r="I3672" t="s">
        <v>15</v>
      </c>
      <c r="J3672">
        <v>3.3</v>
      </c>
      <c r="K3672">
        <v>13</v>
      </c>
      <c r="L3672">
        <f t="shared" si="172"/>
        <v>79.822500000000005</v>
      </c>
      <c r="M3672">
        <v>4</v>
      </c>
      <c r="N3672" t="str">
        <f t="shared" si="173"/>
        <v>Regular</v>
      </c>
    </row>
    <row r="3673" spans="1:14" x14ac:dyDescent="0.35">
      <c r="A3673">
        <v>3672</v>
      </c>
      <c r="B3673">
        <v>67</v>
      </c>
      <c r="C3673" t="str">
        <f t="shared" si="171"/>
        <v>Senior</v>
      </c>
      <c r="D3673" t="s">
        <v>16</v>
      </c>
      <c r="E3673" t="s">
        <v>17</v>
      </c>
      <c r="F3673" t="s">
        <v>48</v>
      </c>
      <c r="G3673">
        <v>51.17</v>
      </c>
      <c r="H3673" t="s">
        <v>31</v>
      </c>
      <c r="I3673" t="s">
        <v>37</v>
      </c>
      <c r="J3673">
        <v>4</v>
      </c>
      <c r="K3673">
        <v>14</v>
      </c>
      <c r="L3673">
        <f t="shared" si="172"/>
        <v>44.0062</v>
      </c>
      <c r="M3673">
        <v>2</v>
      </c>
      <c r="N3673" t="str">
        <f t="shared" si="173"/>
        <v>New</v>
      </c>
    </row>
    <row r="3674" spans="1:14" x14ac:dyDescent="0.35">
      <c r="A3674">
        <v>3673</v>
      </c>
      <c r="B3674">
        <v>60</v>
      </c>
      <c r="C3674" t="str">
        <f t="shared" si="171"/>
        <v>Adult</v>
      </c>
      <c r="D3674" t="s">
        <v>11</v>
      </c>
      <c r="E3674" t="s">
        <v>12</v>
      </c>
      <c r="F3674" t="s">
        <v>13</v>
      </c>
      <c r="G3674">
        <v>58.89</v>
      </c>
      <c r="H3674" t="s">
        <v>31</v>
      </c>
      <c r="I3674" t="s">
        <v>15</v>
      </c>
      <c r="J3674">
        <v>4.9000000000000004</v>
      </c>
      <c r="K3674">
        <v>12</v>
      </c>
      <c r="L3674">
        <f t="shared" si="172"/>
        <v>51.8232</v>
      </c>
      <c r="M3674">
        <v>1</v>
      </c>
      <c r="N3674" t="str">
        <f t="shared" si="173"/>
        <v>New</v>
      </c>
    </row>
    <row r="3675" spans="1:14" x14ac:dyDescent="0.35">
      <c r="A3675">
        <v>3674</v>
      </c>
      <c r="B3675">
        <v>35</v>
      </c>
      <c r="C3675" t="str">
        <f t="shared" si="171"/>
        <v>Adult</v>
      </c>
      <c r="D3675" t="s">
        <v>16</v>
      </c>
      <c r="E3675" t="s">
        <v>22</v>
      </c>
      <c r="F3675" t="s">
        <v>52</v>
      </c>
      <c r="G3675">
        <v>118.44</v>
      </c>
      <c r="H3675" t="s">
        <v>24</v>
      </c>
      <c r="I3675" t="s">
        <v>15</v>
      </c>
      <c r="J3675">
        <v>4.7</v>
      </c>
      <c r="K3675">
        <v>28</v>
      </c>
      <c r="L3675">
        <f t="shared" si="172"/>
        <v>85.276799999999994</v>
      </c>
      <c r="M3675">
        <v>9</v>
      </c>
      <c r="N3675" t="str">
        <f t="shared" si="173"/>
        <v>Loyal</v>
      </c>
    </row>
    <row r="3676" spans="1:14" x14ac:dyDescent="0.35">
      <c r="A3676">
        <v>3675</v>
      </c>
      <c r="B3676">
        <v>35</v>
      </c>
      <c r="C3676" t="str">
        <f t="shared" si="171"/>
        <v>Adult</v>
      </c>
      <c r="D3676" t="s">
        <v>11</v>
      </c>
      <c r="E3676" t="s">
        <v>12</v>
      </c>
      <c r="F3676" t="s">
        <v>13</v>
      </c>
      <c r="G3676">
        <v>130.35</v>
      </c>
      <c r="H3676" t="s">
        <v>19</v>
      </c>
      <c r="I3676" t="s">
        <v>15</v>
      </c>
      <c r="J3676">
        <v>3.8</v>
      </c>
      <c r="K3676">
        <v>24</v>
      </c>
      <c r="L3676">
        <f t="shared" si="172"/>
        <v>99.066000000000003</v>
      </c>
      <c r="M3676">
        <v>7</v>
      </c>
      <c r="N3676" t="str">
        <f t="shared" si="173"/>
        <v>Regular</v>
      </c>
    </row>
    <row r="3677" spans="1:14" x14ac:dyDescent="0.35">
      <c r="A3677">
        <v>3676</v>
      </c>
      <c r="B3677">
        <v>44</v>
      </c>
      <c r="C3677" t="str">
        <f t="shared" si="171"/>
        <v>Adult</v>
      </c>
      <c r="D3677" t="s">
        <v>11</v>
      </c>
      <c r="E3677" t="s">
        <v>25</v>
      </c>
      <c r="F3677" t="s">
        <v>47</v>
      </c>
      <c r="G3677">
        <v>53.11</v>
      </c>
      <c r="H3677" t="s">
        <v>24</v>
      </c>
      <c r="I3677" t="s">
        <v>37</v>
      </c>
      <c r="J3677">
        <v>3.9</v>
      </c>
      <c r="K3677">
        <v>15</v>
      </c>
      <c r="L3677">
        <f t="shared" si="172"/>
        <v>45.143499999999996</v>
      </c>
      <c r="M3677">
        <v>5</v>
      </c>
      <c r="N3677" t="str">
        <f t="shared" si="173"/>
        <v>Regular</v>
      </c>
    </row>
    <row r="3678" spans="1:14" x14ac:dyDescent="0.35">
      <c r="A3678">
        <v>3677</v>
      </c>
      <c r="B3678">
        <v>47</v>
      </c>
      <c r="C3678" t="str">
        <f t="shared" si="171"/>
        <v>Adult</v>
      </c>
      <c r="D3678" t="s">
        <v>11</v>
      </c>
      <c r="E3678" t="s">
        <v>12</v>
      </c>
      <c r="F3678" t="s">
        <v>13</v>
      </c>
      <c r="G3678">
        <v>72</v>
      </c>
      <c r="H3678" t="s">
        <v>19</v>
      </c>
      <c r="I3678" t="s">
        <v>37</v>
      </c>
      <c r="J3678">
        <v>4.2</v>
      </c>
      <c r="K3678">
        <v>16</v>
      </c>
      <c r="L3678">
        <f t="shared" si="172"/>
        <v>60.48</v>
      </c>
      <c r="M3678">
        <v>8</v>
      </c>
      <c r="N3678" t="str">
        <f t="shared" si="173"/>
        <v>Loyal</v>
      </c>
    </row>
    <row r="3679" spans="1:14" x14ac:dyDescent="0.35">
      <c r="A3679">
        <v>3678</v>
      </c>
      <c r="B3679">
        <v>54</v>
      </c>
      <c r="C3679" t="str">
        <f t="shared" si="171"/>
        <v>Adult</v>
      </c>
      <c r="D3679" t="s">
        <v>16</v>
      </c>
      <c r="E3679" t="s">
        <v>20</v>
      </c>
      <c r="F3679" t="s">
        <v>39</v>
      </c>
      <c r="G3679">
        <v>97.9</v>
      </c>
      <c r="H3679" t="s">
        <v>24</v>
      </c>
      <c r="I3679" t="s">
        <v>15</v>
      </c>
      <c r="J3679">
        <v>3.7</v>
      </c>
      <c r="K3679">
        <v>10</v>
      </c>
      <c r="L3679">
        <f t="shared" si="172"/>
        <v>88.110000000000014</v>
      </c>
      <c r="M3679">
        <v>5</v>
      </c>
      <c r="N3679" t="str">
        <f t="shared" si="173"/>
        <v>Regular</v>
      </c>
    </row>
    <row r="3680" spans="1:14" x14ac:dyDescent="0.35">
      <c r="A3680">
        <v>3679</v>
      </c>
      <c r="B3680">
        <v>70</v>
      </c>
      <c r="C3680" t="str">
        <f t="shared" si="171"/>
        <v>Senior</v>
      </c>
      <c r="D3680" t="s">
        <v>11</v>
      </c>
      <c r="E3680" t="s">
        <v>41</v>
      </c>
      <c r="F3680" t="s">
        <v>45</v>
      </c>
      <c r="G3680">
        <v>131.93</v>
      </c>
      <c r="H3680" t="s">
        <v>14</v>
      </c>
      <c r="I3680" t="s">
        <v>15</v>
      </c>
      <c r="J3680">
        <v>3.3</v>
      </c>
      <c r="K3680">
        <v>16</v>
      </c>
      <c r="L3680">
        <f t="shared" si="172"/>
        <v>110.8212</v>
      </c>
      <c r="M3680">
        <v>3</v>
      </c>
      <c r="N3680" t="str">
        <f t="shared" si="173"/>
        <v>New</v>
      </c>
    </row>
    <row r="3681" spans="1:14" x14ac:dyDescent="0.35">
      <c r="A3681">
        <v>3680</v>
      </c>
      <c r="B3681">
        <v>56</v>
      </c>
      <c r="C3681" t="str">
        <f t="shared" si="171"/>
        <v>Adult</v>
      </c>
      <c r="D3681" t="s">
        <v>11</v>
      </c>
      <c r="E3681" t="s">
        <v>41</v>
      </c>
      <c r="F3681" t="s">
        <v>42</v>
      </c>
      <c r="G3681">
        <v>184.09</v>
      </c>
      <c r="H3681" t="s">
        <v>14</v>
      </c>
      <c r="I3681" t="s">
        <v>15</v>
      </c>
      <c r="J3681">
        <v>3.4</v>
      </c>
      <c r="K3681">
        <v>22</v>
      </c>
      <c r="L3681">
        <f t="shared" si="172"/>
        <v>143.59020000000001</v>
      </c>
      <c r="M3681">
        <v>6</v>
      </c>
      <c r="N3681" t="str">
        <f t="shared" si="173"/>
        <v>Regular</v>
      </c>
    </row>
    <row r="3682" spans="1:14" x14ac:dyDescent="0.35">
      <c r="A3682">
        <v>3681</v>
      </c>
      <c r="B3682">
        <v>20</v>
      </c>
      <c r="C3682" t="str">
        <f t="shared" si="171"/>
        <v>Youth</v>
      </c>
      <c r="D3682" t="s">
        <v>11</v>
      </c>
      <c r="E3682" t="s">
        <v>29</v>
      </c>
      <c r="F3682" t="s">
        <v>30</v>
      </c>
      <c r="G3682">
        <v>58.16</v>
      </c>
      <c r="H3682" t="s">
        <v>19</v>
      </c>
      <c r="I3682" t="s">
        <v>37</v>
      </c>
      <c r="J3682">
        <v>4.5</v>
      </c>
      <c r="K3682">
        <v>11</v>
      </c>
      <c r="L3682">
        <f t="shared" si="172"/>
        <v>51.7624</v>
      </c>
      <c r="M3682">
        <v>3</v>
      </c>
      <c r="N3682" t="str">
        <f t="shared" si="173"/>
        <v>New</v>
      </c>
    </row>
    <row r="3683" spans="1:14" x14ac:dyDescent="0.35">
      <c r="A3683">
        <v>3682</v>
      </c>
      <c r="B3683">
        <v>25</v>
      </c>
      <c r="C3683" t="str">
        <f t="shared" si="171"/>
        <v>Youth</v>
      </c>
      <c r="D3683" t="s">
        <v>11</v>
      </c>
      <c r="E3683" t="s">
        <v>12</v>
      </c>
      <c r="F3683" t="s">
        <v>50</v>
      </c>
      <c r="G3683">
        <v>20.67</v>
      </c>
      <c r="H3683" t="s">
        <v>31</v>
      </c>
      <c r="I3683" t="s">
        <v>15</v>
      </c>
      <c r="J3683">
        <v>5</v>
      </c>
      <c r="K3683">
        <v>8</v>
      </c>
      <c r="L3683">
        <f t="shared" si="172"/>
        <v>19.016400000000001</v>
      </c>
      <c r="M3683">
        <v>4</v>
      </c>
      <c r="N3683" t="str">
        <f t="shared" si="173"/>
        <v>Regular</v>
      </c>
    </row>
    <row r="3684" spans="1:14" x14ac:dyDescent="0.35">
      <c r="A3684">
        <v>3683</v>
      </c>
      <c r="B3684">
        <v>57</v>
      </c>
      <c r="C3684" t="str">
        <f t="shared" si="171"/>
        <v>Adult</v>
      </c>
      <c r="D3684" t="s">
        <v>11</v>
      </c>
      <c r="E3684" t="s">
        <v>29</v>
      </c>
      <c r="F3684" t="s">
        <v>30</v>
      </c>
      <c r="G3684">
        <v>93.07</v>
      </c>
      <c r="H3684" t="s">
        <v>19</v>
      </c>
      <c r="I3684" t="s">
        <v>15</v>
      </c>
      <c r="J3684">
        <v>3.4</v>
      </c>
      <c r="K3684">
        <v>14</v>
      </c>
      <c r="L3684">
        <f t="shared" si="172"/>
        <v>80.040199999999999</v>
      </c>
      <c r="M3684">
        <v>2</v>
      </c>
      <c r="N3684" t="str">
        <f t="shared" si="173"/>
        <v>New</v>
      </c>
    </row>
    <row r="3685" spans="1:14" x14ac:dyDescent="0.35">
      <c r="A3685">
        <v>3684</v>
      </c>
      <c r="B3685">
        <v>30</v>
      </c>
      <c r="C3685" t="str">
        <f t="shared" si="171"/>
        <v>Youth</v>
      </c>
      <c r="D3685" t="s">
        <v>11</v>
      </c>
      <c r="E3685" t="s">
        <v>12</v>
      </c>
      <c r="F3685" t="s">
        <v>50</v>
      </c>
      <c r="G3685">
        <v>95.38</v>
      </c>
      <c r="H3685" t="s">
        <v>19</v>
      </c>
      <c r="I3685" t="s">
        <v>15</v>
      </c>
      <c r="J3685">
        <v>5</v>
      </c>
      <c r="K3685">
        <v>10</v>
      </c>
      <c r="L3685">
        <f t="shared" si="172"/>
        <v>85.841999999999999</v>
      </c>
      <c r="M3685">
        <v>5</v>
      </c>
      <c r="N3685" t="str">
        <f t="shared" si="173"/>
        <v>Regular</v>
      </c>
    </row>
    <row r="3686" spans="1:14" x14ac:dyDescent="0.35">
      <c r="A3686">
        <v>3685</v>
      </c>
      <c r="B3686">
        <v>20</v>
      </c>
      <c r="C3686" t="str">
        <f t="shared" si="171"/>
        <v>Youth</v>
      </c>
      <c r="D3686" t="s">
        <v>16</v>
      </c>
      <c r="E3686" t="s">
        <v>20</v>
      </c>
      <c r="F3686" t="s">
        <v>21</v>
      </c>
      <c r="G3686">
        <v>167.54</v>
      </c>
      <c r="H3686" t="s">
        <v>24</v>
      </c>
      <c r="I3686" t="s">
        <v>15</v>
      </c>
      <c r="J3686">
        <v>3.8</v>
      </c>
      <c r="K3686">
        <v>20</v>
      </c>
      <c r="L3686">
        <f t="shared" si="172"/>
        <v>134.03200000000001</v>
      </c>
      <c r="M3686">
        <v>5</v>
      </c>
      <c r="N3686" t="str">
        <f t="shared" si="173"/>
        <v>Regular</v>
      </c>
    </row>
    <row r="3687" spans="1:14" x14ac:dyDescent="0.35">
      <c r="A3687">
        <v>3686</v>
      </c>
      <c r="B3687">
        <v>70</v>
      </c>
      <c r="C3687" t="str">
        <f t="shared" si="171"/>
        <v>Senior</v>
      </c>
      <c r="D3687" t="s">
        <v>16</v>
      </c>
      <c r="E3687" t="s">
        <v>17</v>
      </c>
      <c r="F3687" t="s">
        <v>48</v>
      </c>
      <c r="G3687">
        <v>78.89</v>
      </c>
      <c r="H3687" t="s">
        <v>31</v>
      </c>
      <c r="I3687" t="s">
        <v>15</v>
      </c>
      <c r="J3687">
        <v>3.9</v>
      </c>
      <c r="K3687">
        <v>8</v>
      </c>
      <c r="L3687">
        <f t="shared" si="172"/>
        <v>72.578800000000001</v>
      </c>
      <c r="M3687">
        <v>4</v>
      </c>
      <c r="N3687" t="str">
        <f t="shared" si="173"/>
        <v>Regular</v>
      </c>
    </row>
    <row r="3688" spans="1:14" x14ac:dyDescent="0.35">
      <c r="A3688">
        <v>3687</v>
      </c>
      <c r="B3688">
        <v>28</v>
      </c>
      <c r="C3688" t="str">
        <f t="shared" si="171"/>
        <v>Youth</v>
      </c>
      <c r="D3688" t="s">
        <v>16</v>
      </c>
      <c r="E3688" t="s">
        <v>20</v>
      </c>
      <c r="F3688" t="s">
        <v>21</v>
      </c>
      <c r="G3688">
        <v>39.159999999999997</v>
      </c>
      <c r="H3688" t="s">
        <v>31</v>
      </c>
      <c r="I3688" t="s">
        <v>37</v>
      </c>
      <c r="J3688">
        <v>3.9</v>
      </c>
      <c r="K3688">
        <v>13</v>
      </c>
      <c r="L3688">
        <f t="shared" si="172"/>
        <v>34.069199999999995</v>
      </c>
      <c r="M3688">
        <v>4</v>
      </c>
      <c r="N3688" t="str">
        <f t="shared" si="173"/>
        <v>Regular</v>
      </c>
    </row>
    <row r="3689" spans="1:14" x14ac:dyDescent="0.35">
      <c r="A3689">
        <v>3688</v>
      </c>
      <c r="B3689">
        <v>35</v>
      </c>
      <c r="C3689" t="str">
        <f t="shared" si="171"/>
        <v>Adult</v>
      </c>
      <c r="D3689" t="s">
        <v>11</v>
      </c>
      <c r="E3689" t="s">
        <v>22</v>
      </c>
      <c r="F3689" t="s">
        <v>23</v>
      </c>
      <c r="G3689">
        <v>299.25</v>
      </c>
      <c r="H3689" t="s">
        <v>24</v>
      </c>
      <c r="I3689" t="s">
        <v>15</v>
      </c>
      <c r="J3689">
        <v>3.4</v>
      </c>
      <c r="K3689">
        <v>10</v>
      </c>
      <c r="L3689">
        <f t="shared" si="172"/>
        <v>269.32499999999999</v>
      </c>
      <c r="M3689">
        <v>5</v>
      </c>
      <c r="N3689" t="str">
        <f t="shared" si="173"/>
        <v>Regular</v>
      </c>
    </row>
    <row r="3690" spans="1:14" x14ac:dyDescent="0.35">
      <c r="A3690">
        <v>3689</v>
      </c>
      <c r="B3690">
        <v>29</v>
      </c>
      <c r="C3690" t="str">
        <f t="shared" si="171"/>
        <v>Youth</v>
      </c>
      <c r="D3690" t="s">
        <v>11</v>
      </c>
      <c r="E3690" t="s">
        <v>25</v>
      </c>
      <c r="F3690" t="s">
        <v>26</v>
      </c>
      <c r="G3690">
        <v>70.760000000000005</v>
      </c>
      <c r="H3690" t="s">
        <v>14</v>
      </c>
      <c r="I3690" t="s">
        <v>15</v>
      </c>
      <c r="J3690">
        <v>3.8</v>
      </c>
      <c r="K3690">
        <v>13</v>
      </c>
      <c r="L3690">
        <f t="shared" si="172"/>
        <v>61.561200000000007</v>
      </c>
      <c r="M3690">
        <v>4</v>
      </c>
      <c r="N3690" t="str">
        <f t="shared" si="173"/>
        <v>Regular</v>
      </c>
    </row>
    <row r="3691" spans="1:14" x14ac:dyDescent="0.35">
      <c r="A3691">
        <v>3690</v>
      </c>
      <c r="B3691">
        <v>40</v>
      </c>
      <c r="C3691" t="str">
        <f t="shared" si="171"/>
        <v>Adult</v>
      </c>
      <c r="D3691" t="s">
        <v>11</v>
      </c>
      <c r="E3691" t="s">
        <v>41</v>
      </c>
      <c r="F3691" t="s">
        <v>44</v>
      </c>
      <c r="G3691">
        <v>191.37</v>
      </c>
      <c r="H3691" t="s">
        <v>19</v>
      </c>
      <c r="I3691" t="s">
        <v>15</v>
      </c>
      <c r="J3691">
        <v>4.0999999999999996</v>
      </c>
      <c r="K3691">
        <v>16</v>
      </c>
      <c r="L3691">
        <f t="shared" si="172"/>
        <v>160.7508</v>
      </c>
      <c r="M3691">
        <v>3</v>
      </c>
      <c r="N3691" t="str">
        <f t="shared" si="173"/>
        <v>New</v>
      </c>
    </row>
    <row r="3692" spans="1:14" x14ac:dyDescent="0.35">
      <c r="A3692">
        <v>3691</v>
      </c>
      <c r="B3692">
        <v>34</v>
      </c>
      <c r="C3692" t="str">
        <f t="shared" si="171"/>
        <v>Adult</v>
      </c>
      <c r="D3692" t="s">
        <v>11</v>
      </c>
      <c r="E3692" t="s">
        <v>33</v>
      </c>
      <c r="F3692" t="s">
        <v>40</v>
      </c>
      <c r="G3692">
        <v>240.46</v>
      </c>
      <c r="H3692" t="s">
        <v>31</v>
      </c>
      <c r="I3692" t="s">
        <v>15</v>
      </c>
      <c r="J3692">
        <v>5</v>
      </c>
      <c r="K3692">
        <v>18</v>
      </c>
      <c r="L3692">
        <f t="shared" si="172"/>
        <v>197.17720000000003</v>
      </c>
      <c r="M3692">
        <v>9</v>
      </c>
      <c r="N3692" t="str">
        <f t="shared" si="173"/>
        <v>Loyal</v>
      </c>
    </row>
    <row r="3693" spans="1:14" x14ac:dyDescent="0.35">
      <c r="A3693">
        <v>3692</v>
      </c>
      <c r="B3693">
        <v>57</v>
      </c>
      <c r="C3693" t="str">
        <f t="shared" si="171"/>
        <v>Adult</v>
      </c>
      <c r="D3693" t="s">
        <v>11</v>
      </c>
      <c r="E3693" t="s">
        <v>29</v>
      </c>
      <c r="F3693" t="s">
        <v>51</v>
      </c>
      <c r="G3693">
        <v>134.16</v>
      </c>
      <c r="H3693" t="s">
        <v>31</v>
      </c>
      <c r="I3693" t="s">
        <v>15</v>
      </c>
      <c r="J3693">
        <v>4</v>
      </c>
      <c r="K3693">
        <v>12</v>
      </c>
      <c r="L3693">
        <f t="shared" si="172"/>
        <v>118.0608</v>
      </c>
      <c r="M3693">
        <v>6</v>
      </c>
      <c r="N3693" t="str">
        <f t="shared" si="173"/>
        <v>Regular</v>
      </c>
    </row>
    <row r="3694" spans="1:14" x14ac:dyDescent="0.35">
      <c r="A3694">
        <v>3693</v>
      </c>
      <c r="B3694">
        <v>50</v>
      </c>
      <c r="C3694" t="str">
        <f t="shared" si="171"/>
        <v>Adult</v>
      </c>
      <c r="D3694" t="s">
        <v>11</v>
      </c>
      <c r="E3694" t="s">
        <v>29</v>
      </c>
      <c r="F3694" t="s">
        <v>55</v>
      </c>
      <c r="G3694">
        <v>92.73</v>
      </c>
      <c r="H3694" t="s">
        <v>14</v>
      </c>
      <c r="I3694" t="s">
        <v>15</v>
      </c>
      <c r="J3694">
        <v>4.2</v>
      </c>
      <c r="K3694">
        <v>26</v>
      </c>
      <c r="L3694">
        <f t="shared" si="172"/>
        <v>68.620199999999997</v>
      </c>
      <c r="M3694">
        <v>8</v>
      </c>
      <c r="N3694" t="str">
        <f t="shared" si="173"/>
        <v>Loyal</v>
      </c>
    </row>
    <row r="3695" spans="1:14" x14ac:dyDescent="0.35">
      <c r="A3695">
        <v>3694</v>
      </c>
      <c r="B3695">
        <v>60</v>
      </c>
      <c r="C3695" t="str">
        <f t="shared" si="171"/>
        <v>Adult</v>
      </c>
      <c r="D3695" t="s">
        <v>11</v>
      </c>
      <c r="E3695" t="s">
        <v>41</v>
      </c>
      <c r="F3695" t="s">
        <v>45</v>
      </c>
      <c r="G3695">
        <v>169.58</v>
      </c>
      <c r="H3695" t="s">
        <v>14</v>
      </c>
      <c r="I3695" t="s">
        <v>15</v>
      </c>
      <c r="J3695">
        <v>4.8</v>
      </c>
      <c r="K3695">
        <v>23</v>
      </c>
      <c r="L3695">
        <f t="shared" si="172"/>
        <v>130.57660000000001</v>
      </c>
      <c r="M3695">
        <v>9</v>
      </c>
      <c r="N3695" t="str">
        <f t="shared" si="173"/>
        <v>Loyal</v>
      </c>
    </row>
    <row r="3696" spans="1:14" x14ac:dyDescent="0.35">
      <c r="A3696">
        <v>3695</v>
      </c>
      <c r="B3696">
        <v>70</v>
      </c>
      <c r="C3696" t="str">
        <f t="shared" si="171"/>
        <v>Senior</v>
      </c>
      <c r="D3696" t="s">
        <v>11</v>
      </c>
      <c r="E3696" t="s">
        <v>41</v>
      </c>
      <c r="F3696" t="s">
        <v>44</v>
      </c>
      <c r="G3696">
        <v>51.99</v>
      </c>
      <c r="H3696" t="s">
        <v>14</v>
      </c>
      <c r="I3696" t="s">
        <v>37</v>
      </c>
      <c r="J3696">
        <v>3.4</v>
      </c>
      <c r="K3696">
        <v>24</v>
      </c>
      <c r="L3696">
        <f t="shared" si="172"/>
        <v>39.5124</v>
      </c>
      <c r="M3696">
        <v>7</v>
      </c>
      <c r="N3696" t="str">
        <f t="shared" si="173"/>
        <v>Regular</v>
      </c>
    </row>
    <row r="3697" spans="1:14" x14ac:dyDescent="0.35">
      <c r="A3697">
        <v>3696</v>
      </c>
      <c r="B3697">
        <v>35</v>
      </c>
      <c r="C3697" t="str">
        <f t="shared" si="171"/>
        <v>Adult</v>
      </c>
      <c r="D3697" t="s">
        <v>11</v>
      </c>
      <c r="E3697" t="s">
        <v>33</v>
      </c>
      <c r="F3697" t="s">
        <v>38</v>
      </c>
      <c r="G3697">
        <v>220.75</v>
      </c>
      <c r="H3697" t="s">
        <v>31</v>
      </c>
      <c r="I3697" t="s">
        <v>15</v>
      </c>
      <c r="J3697">
        <v>3.7</v>
      </c>
      <c r="K3697">
        <v>14</v>
      </c>
      <c r="L3697">
        <f t="shared" si="172"/>
        <v>189.845</v>
      </c>
      <c r="M3697">
        <v>7</v>
      </c>
      <c r="N3697" t="str">
        <f t="shared" si="173"/>
        <v>Regular</v>
      </c>
    </row>
    <row r="3698" spans="1:14" x14ac:dyDescent="0.35">
      <c r="A3698">
        <v>3697</v>
      </c>
      <c r="B3698">
        <v>31</v>
      </c>
      <c r="C3698" t="str">
        <f t="shared" si="171"/>
        <v>Adult</v>
      </c>
      <c r="D3698" t="s">
        <v>11</v>
      </c>
      <c r="E3698" t="s">
        <v>22</v>
      </c>
      <c r="F3698" t="s">
        <v>23</v>
      </c>
      <c r="G3698">
        <v>86.63</v>
      </c>
      <c r="H3698" t="s">
        <v>14</v>
      </c>
      <c r="I3698" t="s">
        <v>37</v>
      </c>
      <c r="J3698">
        <v>4.5</v>
      </c>
      <c r="K3698">
        <v>20</v>
      </c>
      <c r="L3698">
        <f t="shared" si="172"/>
        <v>69.304000000000002</v>
      </c>
      <c r="M3698">
        <v>10</v>
      </c>
      <c r="N3698" t="str">
        <f t="shared" si="173"/>
        <v>Loyal</v>
      </c>
    </row>
    <row r="3699" spans="1:14" x14ac:dyDescent="0.35">
      <c r="A3699">
        <v>3698</v>
      </c>
      <c r="B3699">
        <v>37</v>
      </c>
      <c r="C3699" t="str">
        <f t="shared" si="171"/>
        <v>Adult</v>
      </c>
      <c r="D3699" t="s">
        <v>16</v>
      </c>
      <c r="E3699" t="s">
        <v>25</v>
      </c>
      <c r="F3699" t="s">
        <v>47</v>
      </c>
      <c r="G3699">
        <v>43.63</v>
      </c>
      <c r="H3699" t="s">
        <v>14</v>
      </c>
      <c r="I3699" t="s">
        <v>15</v>
      </c>
      <c r="J3699">
        <v>4.5999999999999996</v>
      </c>
      <c r="K3699">
        <v>16</v>
      </c>
      <c r="L3699">
        <f t="shared" si="172"/>
        <v>36.6492</v>
      </c>
      <c r="M3699">
        <v>3</v>
      </c>
      <c r="N3699" t="str">
        <f t="shared" si="173"/>
        <v>New</v>
      </c>
    </row>
    <row r="3700" spans="1:14" x14ac:dyDescent="0.35">
      <c r="A3700">
        <v>3699</v>
      </c>
      <c r="B3700">
        <v>63</v>
      </c>
      <c r="C3700" t="str">
        <f t="shared" si="171"/>
        <v>Senior</v>
      </c>
      <c r="D3700" t="s">
        <v>16</v>
      </c>
      <c r="E3700" t="s">
        <v>33</v>
      </c>
      <c r="F3700" t="s">
        <v>40</v>
      </c>
      <c r="G3700">
        <v>173.53</v>
      </c>
      <c r="H3700" t="s">
        <v>19</v>
      </c>
      <c r="I3700" t="s">
        <v>15</v>
      </c>
      <c r="J3700">
        <v>4.4000000000000004</v>
      </c>
      <c r="K3700">
        <v>16</v>
      </c>
      <c r="L3700">
        <f t="shared" si="172"/>
        <v>145.76519999999999</v>
      </c>
      <c r="M3700">
        <v>3</v>
      </c>
      <c r="N3700" t="str">
        <f t="shared" si="173"/>
        <v>New</v>
      </c>
    </row>
    <row r="3701" spans="1:14" x14ac:dyDescent="0.35">
      <c r="A3701">
        <v>3700</v>
      </c>
      <c r="B3701">
        <v>46</v>
      </c>
      <c r="C3701" t="str">
        <f t="shared" si="171"/>
        <v>Adult</v>
      </c>
      <c r="D3701" t="s">
        <v>16</v>
      </c>
      <c r="E3701" t="s">
        <v>22</v>
      </c>
      <c r="F3701" t="s">
        <v>23</v>
      </c>
      <c r="G3701">
        <v>162.93</v>
      </c>
      <c r="H3701" t="s">
        <v>14</v>
      </c>
      <c r="I3701" t="s">
        <v>15</v>
      </c>
      <c r="J3701">
        <v>4.7</v>
      </c>
      <c r="K3701">
        <v>18</v>
      </c>
      <c r="L3701">
        <f t="shared" si="172"/>
        <v>133.60260000000002</v>
      </c>
      <c r="M3701">
        <v>4</v>
      </c>
      <c r="N3701" t="str">
        <f t="shared" si="173"/>
        <v>Regular</v>
      </c>
    </row>
    <row r="3702" spans="1:14" x14ac:dyDescent="0.35">
      <c r="A3702">
        <v>3701</v>
      </c>
      <c r="B3702">
        <v>35</v>
      </c>
      <c r="C3702" t="str">
        <f t="shared" si="171"/>
        <v>Adult</v>
      </c>
      <c r="D3702" t="s">
        <v>11</v>
      </c>
      <c r="E3702" t="s">
        <v>29</v>
      </c>
      <c r="F3702" t="s">
        <v>55</v>
      </c>
      <c r="G3702">
        <v>75.510000000000005</v>
      </c>
      <c r="H3702" t="s">
        <v>19</v>
      </c>
      <c r="I3702" t="s">
        <v>15</v>
      </c>
      <c r="J3702">
        <v>4.0999999999999996</v>
      </c>
      <c r="K3702">
        <v>17</v>
      </c>
      <c r="L3702">
        <f t="shared" si="172"/>
        <v>62.673300000000005</v>
      </c>
      <c r="M3702">
        <v>6</v>
      </c>
      <c r="N3702" t="str">
        <f t="shared" si="173"/>
        <v>Regular</v>
      </c>
    </row>
    <row r="3703" spans="1:14" x14ac:dyDescent="0.35">
      <c r="A3703">
        <v>3702</v>
      </c>
      <c r="B3703">
        <v>42</v>
      </c>
      <c r="C3703" t="str">
        <f t="shared" si="171"/>
        <v>Adult</v>
      </c>
      <c r="D3703" t="s">
        <v>11</v>
      </c>
      <c r="E3703" t="s">
        <v>33</v>
      </c>
      <c r="F3703" t="s">
        <v>40</v>
      </c>
      <c r="G3703">
        <v>148.02000000000001</v>
      </c>
      <c r="H3703" t="s">
        <v>24</v>
      </c>
      <c r="I3703" t="s">
        <v>15</v>
      </c>
      <c r="J3703">
        <v>2.7</v>
      </c>
      <c r="K3703">
        <v>12</v>
      </c>
      <c r="L3703">
        <f t="shared" si="172"/>
        <v>130.2576</v>
      </c>
      <c r="M3703">
        <v>6</v>
      </c>
      <c r="N3703" t="str">
        <f t="shared" si="173"/>
        <v>Regular</v>
      </c>
    </row>
    <row r="3704" spans="1:14" x14ac:dyDescent="0.35">
      <c r="A3704">
        <v>3703</v>
      </c>
      <c r="B3704">
        <v>47</v>
      </c>
      <c r="C3704" t="str">
        <f t="shared" si="171"/>
        <v>Adult</v>
      </c>
      <c r="D3704" t="s">
        <v>11</v>
      </c>
      <c r="E3704" t="s">
        <v>29</v>
      </c>
      <c r="F3704" t="s">
        <v>51</v>
      </c>
      <c r="G3704">
        <v>31.89</v>
      </c>
      <c r="H3704" t="s">
        <v>24</v>
      </c>
      <c r="I3704" t="s">
        <v>37</v>
      </c>
      <c r="J3704">
        <v>4.3</v>
      </c>
      <c r="K3704">
        <v>13</v>
      </c>
      <c r="L3704">
        <f t="shared" si="172"/>
        <v>27.744299999999999</v>
      </c>
      <c r="M3704">
        <v>4</v>
      </c>
      <c r="N3704" t="str">
        <f t="shared" si="173"/>
        <v>Regular</v>
      </c>
    </row>
    <row r="3705" spans="1:14" x14ac:dyDescent="0.35">
      <c r="A3705">
        <v>3704</v>
      </c>
      <c r="B3705">
        <v>62</v>
      </c>
      <c r="C3705" t="str">
        <f t="shared" si="171"/>
        <v>Senior</v>
      </c>
      <c r="D3705" t="s">
        <v>16</v>
      </c>
      <c r="E3705" t="s">
        <v>22</v>
      </c>
      <c r="F3705" t="s">
        <v>43</v>
      </c>
      <c r="G3705">
        <v>36.04</v>
      </c>
      <c r="H3705" t="s">
        <v>24</v>
      </c>
      <c r="I3705" t="s">
        <v>37</v>
      </c>
      <c r="J3705">
        <v>3.7</v>
      </c>
      <c r="K3705">
        <v>18</v>
      </c>
      <c r="L3705">
        <f t="shared" si="172"/>
        <v>29.552800000000001</v>
      </c>
      <c r="M3705">
        <v>4</v>
      </c>
      <c r="N3705" t="str">
        <f t="shared" si="173"/>
        <v>Regular</v>
      </c>
    </row>
    <row r="3706" spans="1:14" x14ac:dyDescent="0.35">
      <c r="A3706">
        <v>3705</v>
      </c>
      <c r="B3706">
        <v>47</v>
      </c>
      <c r="C3706" t="str">
        <f t="shared" si="171"/>
        <v>Adult</v>
      </c>
      <c r="D3706" t="s">
        <v>11</v>
      </c>
      <c r="E3706" t="s">
        <v>29</v>
      </c>
      <c r="F3706" t="s">
        <v>51</v>
      </c>
      <c r="G3706">
        <v>110.64</v>
      </c>
      <c r="H3706" t="s">
        <v>24</v>
      </c>
      <c r="I3706" t="s">
        <v>15</v>
      </c>
      <c r="J3706">
        <v>4.0999999999999996</v>
      </c>
      <c r="K3706">
        <v>10</v>
      </c>
      <c r="L3706">
        <f t="shared" si="172"/>
        <v>99.576000000000008</v>
      </c>
      <c r="M3706">
        <v>5</v>
      </c>
      <c r="N3706" t="str">
        <f t="shared" si="173"/>
        <v>Regular</v>
      </c>
    </row>
    <row r="3707" spans="1:14" x14ac:dyDescent="0.35">
      <c r="A3707">
        <v>3706</v>
      </c>
      <c r="B3707">
        <v>70</v>
      </c>
      <c r="C3707" t="str">
        <f t="shared" si="171"/>
        <v>Senior</v>
      </c>
      <c r="D3707" t="s">
        <v>11</v>
      </c>
      <c r="E3707" t="s">
        <v>41</v>
      </c>
      <c r="F3707" t="s">
        <v>44</v>
      </c>
      <c r="G3707">
        <v>166.68</v>
      </c>
      <c r="H3707" t="s">
        <v>19</v>
      </c>
      <c r="I3707" t="s">
        <v>15</v>
      </c>
      <c r="J3707">
        <v>3.5</v>
      </c>
      <c r="K3707">
        <v>2</v>
      </c>
      <c r="L3707">
        <f t="shared" si="172"/>
        <v>163.34640000000002</v>
      </c>
      <c r="M3707">
        <v>1</v>
      </c>
      <c r="N3707" t="str">
        <f t="shared" si="173"/>
        <v>New</v>
      </c>
    </row>
    <row r="3708" spans="1:14" x14ac:dyDescent="0.35">
      <c r="A3708">
        <v>3707</v>
      </c>
      <c r="B3708">
        <v>56</v>
      </c>
      <c r="C3708" t="str">
        <f t="shared" si="171"/>
        <v>Adult</v>
      </c>
      <c r="D3708" t="s">
        <v>11</v>
      </c>
      <c r="E3708" t="s">
        <v>33</v>
      </c>
      <c r="F3708" t="s">
        <v>34</v>
      </c>
      <c r="G3708">
        <v>239.19</v>
      </c>
      <c r="H3708" t="s">
        <v>19</v>
      </c>
      <c r="I3708" t="s">
        <v>15</v>
      </c>
      <c r="J3708">
        <v>5</v>
      </c>
      <c r="K3708">
        <v>20</v>
      </c>
      <c r="L3708">
        <f t="shared" si="172"/>
        <v>191.352</v>
      </c>
      <c r="M3708">
        <v>5</v>
      </c>
      <c r="N3708" t="str">
        <f t="shared" si="173"/>
        <v>Regular</v>
      </c>
    </row>
    <row r="3709" spans="1:14" x14ac:dyDescent="0.35">
      <c r="A3709">
        <v>3708</v>
      </c>
      <c r="B3709">
        <v>38</v>
      </c>
      <c r="C3709" t="str">
        <f t="shared" si="171"/>
        <v>Adult</v>
      </c>
      <c r="D3709" t="s">
        <v>16</v>
      </c>
      <c r="E3709" t="s">
        <v>17</v>
      </c>
      <c r="F3709" t="s">
        <v>18</v>
      </c>
      <c r="G3709">
        <v>51.09</v>
      </c>
      <c r="H3709" t="s">
        <v>31</v>
      </c>
      <c r="I3709" t="s">
        <v>37</v>
      </c>
      <c r="J3709">
        <v>4.5999999999999996</v>
      </c>
      <c r="K3709">
        <v>6</v>
      </c>
      <c r="L3709">
        <f t="shared" si="172"/>
        <v>48.0246</v>
      </c>
      <c r="M3709">
        <v>3</v>
      </c>
      <c r="N3709" t="str">
        <f t="shared" si="173"/>
        <v>New</v>
      </c>
    </row>
    <row r="3710" spans="1:14" x14ac:dyDescent="0.35">
      <c r="A3710">
        <v>3709</v>
      </c>
      <c r="B3710">
        <v>67</v>
      </c>
      <c r="C3710" t="str">
        <f t="shared" si="171"/>
        <v>Senior</v>
      </c>
      <c r="D3710" t="s">
        <v>16</v>
      </c>
      <c r="E3710" t="s">
        <v>27</v>
      </c>
      <c r="F3710" t="s">
        <v>49</v>
      </c>
      <c r="G3710">
        <v>2033.97</v>
      </c>
      <c r="H3710" t="s">
        <v>14</v>
      </c>
      <c r="I3710" t="s">
        <v>15</v>
      </c>
      <c r="J3710">
        <v>4.3</v>
      </c>
      <c r="K3710">
        <v>20</v>
      </c>
      <c r="L3710">
        <f t="shared" si="172"/>
        <v>1627.1760000000002</v>
      </c>
      <c r="M3710">
        <v>5</v>
      </c>
      <c r="N3710" t="str">
        <f t="shared" si="173"/>
        <v>Regular</v>
      </c>
    </row>
    <row r="3711" spans="1:14" x14ac:dyDescent="0.35">
      <c r="A3711">
        <v>3710</v>
      </c>
      <c r="B3711">
        <v>32</v>
      </c>
      <c r="C3711" t="str">
        <f t="shared" si="171"/>
        <v>Adult</v>
      </c>
      <c r="D3711" t="s">
        <v>11</v>
      </c>
      <c r="E3711" t="s">
        <v>29</v>
      </c>
      <c r="F3711" t="s">
        <v>30</v>
      </c>
      <c r="G3711">
        <v>25.5</v>
      </c>
      <c r="H3711" t="s">
        <v>19</v>
      </c>
      <c r="I3711" t="s">
        <v>15</v>
      </c>
      <c r="J3711">
        <v>4.3</v>
      </c>
      <c r="K3711">
        <v>21</v>
      </c>
      <c r="L3711">
        <f t="shared" si="172"/>
        <v>20.145</v>
      </c>
      <c r="M3711">
        <v>8</v>
      </c>
      <c r="N3711" t="str">
        <f t="shared" si="173"/>
        <v>Loyal</v>
      </c>
    </row>
    <row r="3712" spans="1:14" x14ac:dyDescent="0.35">
      <c r="A3712">
        <v>3711</v>
      </c>
      <c r="B3712">
        <v>41</v>
      </c>
      <c r="C3712" t="str">
        <f t="shared" si="171"/>
        <v>Adult</v>
      </c>
      <c r="D3712" t="s">
        <v>11</v>
      </c>
      <c r="E3712" t="s">
        <v>33</v>
      </c>
      <c r="F3712" t="s">
        <v>38</v>
      </c>
      <c r="G3712">
        <v>194.63</v>
      </c>
      <c r="H3712" t="s">
        <v>14</v>
      </c>
      <c r="I3712" t="s">
        <v>15</v>
      </c>
      <c r="J3712">
        <v>3.6</v>
      </c>
      <c r="K3712">
        <v>15</v>
      </c>
      <c r="L3712">
        <f t="shared" si="172"/>
        <v>165.43549999999999</v>
      </c>
      <c r="M3712">
        <v>5</v>
      </c>
      <c r="N3712" t="str">
        <f t="shared" si="173"/>
        <v>Regular</v>
      </c>
    </row>
    <row r="3713" spans="1:14" x14ac:dyDescent="0.35">
      <c r="A3713">
        <v>3712</v>
      </c>
      <c r="B3713">
        <v>65</v>
      </c>
      <c r="C3713" t="str">
        <f t="shared" si="171"/>
        <v>Senior</v>
      </c>
      <c r="D3713" t="s">
        <v>16</v>
      </c>
      <c r="E3713" t="s">
        <v>25</v>
      </c>
      <c r="F3713" t="s">
        <v>57</v>
      </c>
      <c r="G3713">
        <v>56.5</v>
      </c>
      <c r="H3713" t="s">
        <v>31</v>
      </c>
      <c r="I3713" t="s">
        <v>15</v>
      </c>
      <c r="J3713">
        <v>3.4</v>
      </c>
      <c r="K3713">
        <v>20</v>
      </c>
      <c r="L3713">
        <f t="shared" si="172"/>
        <v>45.2</v>
      </c>
      <c r="M3713">
        <v>5</v>
      </c>
      <c r="N3713" t="str">
        <f t="shared" si="173"/>
        <v>Regular</v>
      </c>
    </row>
    <row r="3714" spans="1:14" x14ac:dyDescent="0.35">
      <c r="A3714">
        <v>3713</v>
      </c>
      <c r="B3714">
        <v>46</v>
      </c>
      <c r="C3714" t="str">
        <f t="shared" si="171"/>
        <v>Adult</v>
      </c>
      <c r="D3714" t="s">
        <v>11</v>
      </c>
      <c r="E3714" t="s">
        <v>12</v>
      </c>
      <c r="F3714" t="s">
        <v>56</v>
      </c>
      <c r="G3714">
        <v>118.52</v>
      </c>
      <c r="H3714" t="s">
        <v>19</v>
      </c>
      <c r="I3714" t="s">
        <v>15</v>
      </c>
      <c r="J3714">
        <v>5</v>
      </c>
      <c r="K3714">
        <v>26</v>
      </c>
      <c r="L3714">
        <f t="shared" si="172"/>
        <v>87.704799999999992</v>
      </c>
      <c r="M3714">
        <v>8</v>
      </c>
      <c r="N3714" t="str">
        <f t="shared" si="173"/>
        <v>Loyal</v>
      </c>
    </row>
    <row r="3715" spans="1:14" x14ac:dyDescent="0.35">
      <c r="A3715">
        <v>3714</v>
      </c>
      <c r="B3715">
        <v>50</v>
      </c>
      <c r="C3715" t="str">
        <f t="shared" ref="C3715:C3778" si="174">IF(B3715&lt;=30,"Youth",IF(B3715&lt;=45,"Adult",IF(B3715&lt;=60,"Adult","Senior")))</f>
        <v>Adult</v>
      </c>
      <c r="D3715" t="s">
        <v>16</v>
      </c>
      <c r="E3715" t="s">
        <v>25</v>
      </c>
      <c r="F3715" t="s">
        <v>57</v>
      </c>
      <c r="G3715">
        <v>30.62</v>
      </c>
      <c r="H3715" t="s">
        <v>14</v>
      </c>
      <c r="I3715" t="s">
        <v>15</v>
      </c>
      <c r="J3715">
        <v>4.2</v>
      </c>
      <c r="K3715">
        <v>26</v>
      </c>
      <c r="L3715">
        <f t="shared" ref="L3715:L3778" si="175">G3715*(1-K3715/100)</f>
        <v>22.658799999999999</v>
      </c>
      <c r="M3715">
        <v>8</v>
      </c>
      <c r="N3715" t="str">
        <f t="shared" ref="N3715:N3778" si="176">IF(M3715&lt;=3,"New",IF(M3715&lt;=7,"Regular","Loyal"))</f>
        <v>Loyal</v>
      </c>
    </row>
    <row r="3716" spans="1:14" x14ac:dyDescent="0.35">
      <c r="A3716">
        <v>3715</v>
      </c>
      <c r="B3716">
        <v>21</v>
      </c>
      <c r="C3716" t="str">
        <f t="shared" si="174"/>
        <v>Youth</v>
      </c>
      <c r="D3716" t="s">
        <v>11</v>
      </c>
      <c r="E3716" t="s">
        <v>33</v>
      </c>
      <c r="F3716" t="s">
        <v>38</v>
      </c>
      <c r="G3716">
        <v>225.81</v>
      </c>
      <c r="H3716" t="s">
        <v>24</v>
      </c>
      <c r="I3716" t="s">
        <v>15</v>
      </c>
      <c r="J3716">
        <v>3.2</v>
      </c>
      <c r="K3716">
        <v>17</v>
      </c>
      <c r="L3716">
        <f t="shared" si="175"/>
        <v>187.42230000000001</v>
      </c>
      <c r="M3716">
        <v>6</v>
      </c>
      <c r="N3716" t="str">
        <f t="shared" si="176"/>
        <v>Regular</v>
      </c>
    </row>
    <row r="3717" spans="1:14" x14ac:dyDescent="0.35">
      <c r="A3717">
        <v>3716</v>
      </c>
      <c r="B3717">
        <v>38</v>
      </c>
      <c r="C3717" t="str">
        <f t="shared" si="174"/>
        <v>Adult</v>
      </c>
      <c r="D3717" t="s">
        <v>16</v>
      </c>
      <c r="E3717" t="s">
        <v>20</v>
      </c>
      <c r="F3717" t="s">
        <v>36</v>
      </c>
      <c r="G3717">
        <v>42.08</v>
      </c>
      <c r="H3717" t="s">
        <v>14</v>
      </c>
      <c r="I3717" t="s">
        <v>37</v>
      </c>
      <c r="J3717">
        <v>4.0999999999999996</v>
      </c>
      <c r="K3717">
        <v>6</v>
      </c>
      <c r="L3717">
        <f t="shared" si="175"/>
        <v>39.555199999999999</v>
      </c>
      <c r="M3717">
        <v>3</v>
      </c>
      <c r="N3717" t="str">
        <f t="shared" si="176"/>
        <v>New</v>
      </c>
    </row>
    <row r="3718" spans="1:14" x14ac:dyDescent="0.35">
      <c r="A3718">
        <v>3717</v>
      </c>
      <c r="B3718">
        <v>22</v>
      </c>
      <c r="C3718" t="str">
        <f t="shared" si="174"/>
        <v>Youth</v>
      </c>
      <c r="D3718" t="s">
        <v>16</v>
      </c>
      <c r="E3718" t="s">
        <v>20</v>
      </c>
      <c r="F3718" t="s">
        <v>39</v>
      </c>
      <c r="G3718">
        <v>78.2</v>
      </c>
      <c r="H3718" t="s">
        <v>19</v>
      </c>
      <c r="I3718" t="s">
        <v>37</v>
      </c>
      <c r="J3718">
        <v>4.0999999999999996</v>
      </c>
      <c r="K3718">
        <v>15</v>
      </c>
      <c r="L3718">
        <f t="shared" si="175"/>
        <v>66.47</v>
      </c>
      <c r="M3718">
        <v>5</v>
      </c>
      <c r="N3718" t="str">
        <f t="shared" si="176"/>
        <v>Regular</v>
      </c>
    </row>
    <row r="3719" spans="1:14" x14ac:dyDescent="0.35">
      <c r="A3719">
        <v>3718</v>
      </c>
      <c r="B3719">
        <v>51</v>
      </c>
      <c r="C3719" t="str">
        <f t="shared" si="174"/>
        <v>Adult</v>
      </c>
      <c r="D3719" t="s">
        <v>16</v>
      </c>
      <c r="E3719" t="s">
        <v>20</v>
      </c>
      <c r="F3719" t="s">
        <v>36</v>
      </c>
      <c r="G3719">
        <v>238.8</v>
      </c>
      <c r="H3719" t="s">
        <v>24</v>
      </c>
      <c r="I3719" t="s">
        <v>15</v>
      </c>
      <c r="J3719">
        <v>3.2</v>
      </c>
      <c r="K3719">
        <v>10</v>
      </c>
      <c r="L3719">
        <f t="shared" si="175"/>
        <v>214.92000000000002</v>
      </c>
      <c r="M3719">
        <v>5</v>
      </c>
      <c r="N3719" t="str">
        <f t="shared" si="176"/>
        <v>Regular</v>
      </c>
    </row>
    <row r="3720" spans="1:14" x14ac:dyDescent="0.35">
      <c r="A3720">
        <v>3719</v>
      </c>
      <c r="B3720">
        <v>29</v>
      </c>
      <c r="C3720" t="str">
        <f t="shared" si="174"/>
        <v>Youth</v>
      </c>
      <c r="D3720" t="s">
        <v>11</v>
      </c>
      <c r="E3720" t="s">
        <v>33</v>
      </c>
      <c r="F3720" t="s">
        <v>34</v>
      </c>
      <c r="G3720">
        <v>232.13</v>
      </c>
      <c r="H3720" t="s">
        <v>14</v>
      </c>
      <c r="I3720" t="s">
        <v>15</v>
      </c>
      <c r="J3720">
        <v>3.8</v>
      </c>
      <c r="K3720">
        <v>16</v>
      </c>
      <c r="L3720">
        <f t="shared" si="175"/>
        <v>194.98919999999998</v>
      </c>
      <c r="M3720">
        <v>8</v>
      </c>
      <c r="N3720" t="str">
        <f t="shared" si="176"/>
        <v>Loyal</v>
      </c>
    </row>
    <row r="3721" spans="1:14" x14ac:dyDescent="0.35">
      <c r="A3721">
        <v>3720</v>
      </c>
      <c r="B3721">
        <v>43</v>
      </c>
      <c r="C3721" t="str">
        <f t="shared" si="174"/>
        <v>Adult</v>
      </c>
      <c r="D3721" t="s">
        <v>16</v>
      </c>
      <c r="E3721" t="s">
        <v>17</v>
      </c>
      <c r="F3721" t="s">
        <v>18</v>
      </c>
      <c r="G3721">
        <v>63.05</v>
      </c>
      <c r="H3721" t="s">
        <v>24</v>
      </c>
      <c r="I3721" t="s">
        <v>15</v>
      </c>
      <c r="J3721">
        <v>3.6</v>
      </c>
      <c r="K3721">
        <v>9</v>
      </c>
      <c r="L3721">
        <f t="shared" si="175"/>
        <v>57.375500000000002</v>
      </c>
      <c r="M3721">
        <v>2</v>
      </c>
      <c r="N3721" t="str">
        <f t="shared" si="176"/>
        <v>New</v>
      </c>
    </row>
    <row r="3722" spans="1:14" x14ac:dyDescent="0.35">
      <c r="A3722">
        <v>3721</v>
      </c>
      <c r="B3722">
        <v>58</v>
      </c>
      <c r="C3722" t="str">
        <f t="shared" si="174"/>
        <v>Adult</v>
      </c>
      <c r="D3722" t="s">
        <v>16</v>
      </c>
      <c r="E3722" t="s">
        <v>20</v>
      </c>
      <c r="F3722" t="s">
        <v>21</v>
      </c>
      <c r="G3722">
        <v>103.55</v>
      </c>
      <c r="H3722" t="s">
        <v>14</v>
      </c>
      <c r="I3722" t="s">
        <v>15</v>
      </c>
      <c r="J3722">
        <v>3.3</v>
      </c>
      <c r="K3722">
        <v>11</v>
      </c>
      <c r="L3722">
        <f t="shared" si="175"/>
        <v>92.159499999999994</v>
      </c>
      <c r="M3722">
        <v>3</v>
      </c>
      <c r="N3722" t="str">
        <f t="shared" si="176"/>
        <v>New</v>
      </c>
    </row>
    <row r="3723" spans="1:14" x14ac:dyDescent="0.35">
      <c r="A3723">
        <v>3722</v>
      </c>
      <c r="B3723">
        <v>62</v>
      </c>
      <c r="C3723" t="str">
        <f t="shared" si="174"/>
        <v>Senior</v>
      </c>
      <c r="D3723" t="s">
        <v>16</v>
      </c>
      <c r="E3723" t="s">
        <v>25</v>
      </c>
      <c r="F3723" t="s">
        <v>54</v>
      </c>
      <c r="G3723">
        <v>21.14</v>
      </c>
      <c r="H3723" t="s">
        <v>14</v>
      </c>
      <c r="I3723" t="s">
        <v>37</v>
      </c>
      <c r="J3723">
        <v>4.0999999999999996</v>
      </c>
      <c r="K3723">
        <v>11</v>
      </c>
      <c r="L3723">
        <f t="shared" si="175"/>
        <v>18.814600000000002</v>
      </c>
      <c r="M3723">
        <v>3</v>
      </c>
      <c r="N3723" t="str">
        <f t="shared" si="176"/>
        <v>New</v>
      </c>
    </row>
    <row r="3724" spans="1:14" x14ac:dyDescent="0.35">
      <c r="A3724">
        <v>3723</v>
      </c>
      <c r="B3724">
        <v>69</v>
      </c>
      <c r="C3724" t="str">
        <f t="shared" si="174"/>
        <v>Senior</v>
      </c>
      <c r="D3724" t="s">
        <v>11</v>
      </c>
      <c r="E3724" t="s">
        <v>12</v>
      </c>
      <c r="F3724" t="s">
        <v>50</v>
      </c>
      <c r="G3724">
        <v>175.97</v>
      </c>
      <c r="H3724" t="s">
        <v>24</v>
      </c>
      <c r="I3724" t="s">
        <v>15</v>
      </c>
      <c r="J3724">
        <v>3.4</v>
      </c>
      <c r="K3724">
        <v>8</v>
      </c>
      <c r="L3724">
        <f t="shared" si="175"/>
        <v>161.89240000000001</v>
      </c>
      <c r="M3724">
        <v>4</v>
      </c>
      <c r="N3724" t="str">
        <f t="shared" si="176"/>
        <v>Regular</v>
      </c>
    </row>
    <row r="3725" spans="1:14" x14ac:dyDescent="0.35">
      <c r="A3725">
        <v>3724</v>
      </c>
      <c r="B3725">
        <v>37</v>
      </c>
      <c r="C3725" t="str">
        <f t="shared" si="174"/>
        <v>Adult</v>
      </c>
      <c r="D3725" t="s">
        <v>11</v>
      </c>
      <c r="E3725" t="s">
        <v>12</v>
      </c>
      <c r="F3725" t="s">
        <v>50</v>
      </c>
      <c r="G3725">
        <v>175.84</v>
      </c>
      <c r="H3725" t="s">
        <v>19</v>
      </c>
      <c r="I3725" t="s">
        <v>15</v>
      </c>
      <c r="J3725">
        <v>3.9</v>
      </c>
      <c r="K3725">
        <v>15</v>
      </c>
      <c r="L3725">
        <f t="shared" si="175"/>
        <v>149.464</v>
      </c>
      <c r="M3725">
        <v>5</v>
      </c>
      <c r="N3725" t="str">
        <f t="shared" si="176"/>
        <v>Regular</v>
      </c>
    </row>
    <row r="3726" spans="1:14" x14ac:dyDescent="0.35">
      <c r="A3726">
        <v>3725</v>
      </c>
      <c r="B3726">
        <v>44</v>
      </c>
      <c r="C3726" t="str">
        <f t="shared" si="174"/>
        <v>Adult</v>
      </c>
      <c r="D3726" t="s">
        <v>16</v>
      </c>
      <c r="E3726" t="s">
        <v>33</v>
      </c>
      <c r="F3726" t="s">
        <v>38</v>
      </c>
      <c r="G3726">
        <v>199.68</v>
      </c>
      <c r="H3726" t="s">
        <v>31</v>
      </c>
      <c r="I3726" t="s">
        <v>15</v>
      </c>
      <c r="J3726">
        <v>4.5999999999999996</v>
      </c>
      <c r="K3726">
        <v>12</v>
      </c>
      <c r="L3726">
        <f t="shared" si="175"/>
        <v>175.7184</v>
      </c>
      <c r="M3726">
        <v>6</v>
      </c>
      <c r="N3726" t="str">
        <f t="shared" si="176"/>
        <v>Regular</v>
      </c>
    </row>
    <row r="3727" spans="1:14" x14ac:dyDescent="0.35">
      <c r="A3727">
        <v>3726</v>
      </c>
      <c r="B3727">
        <v>56</v>
      </c>
      <c r="C3727" t="str">
        <f t="shared" si="174"/>
        <v>Adult</v>
      </c>
      <c r="D3727" t="s">
        <v>11</v>
      </c>
      <c r="E3727" t="s">
        <v>12</v>
      </c>
      <c r="F3727" t="s">
        <v>56</v>
      </c>
      <c r="G3727">
        <v>121.61</v>
      </c>
      <c r="H3727" t="s">
        <v>24</v>
      </c>
      <c r="I3727" t="s">
        <v>15</v>
      </c>
      <c r="J3727">
        <v>3.8</v>
      </c>
      <c r="K3727">
        <v>8</v>
      </c>
      <c r="L3727">
        <f t="shared" si="175"/>
        <v>111.88120000000001</v>
      </c>
      <c r="M3727">
        <v>4</v>
      </c>
      <c r="N3727" t="str">
        <f t="shared" si="176"/>
        <v>Regular</v>
      </c>
    </row>
    <row r="3728" spans="1:14" x14ac:dyDescent="0.35">
      <c r="A3728">
        <v>3727</v>
      </c>
      <c r="B3728">
        <v>35</v>
      </c>
      <c r="C3728" t="str">
        <f t="shared" si="174"/>
        <v>Adult</v>
      </c>
      <c r="D3728" t="s">
        <v>16</v>
      </c>
      <c r="E3728" t="s">
        <v>27</v>
      </c>
      <c r="F3728" t="s">
        <v>32</v>
      </c>
      <c r="G3728">
        <v>2019.58</v>
      </c>
      <c r="H3728" t="s">
        <v>14</v>
      </c>
      <c r="I3728" t="s">
        <v>15</v>
      </c>
      <c r="J3728">
        <v>3</v>
      </c>
      <c r="K3728">
        <v>17</v>
      </c>
      <c r="L3728">
        <f t="shared" si="175"/>
        <v>1676.2513999999999</v>
      </c>
      <c r="M3728">
        <v>6</v>
      </c>
      <c r="N3728" t="str">
        <f t="shared" si="176"/>
        <v>Regular</v>
      </c>
    </row>
    <row r="3729" spans="1:14" x14ac:dyDescent="0.35">
      <c r="A3729">
        <v>3728</v>
      </c>
      <c r="B3729">
        <v>35</v>
      </c>
      <c r="C3729" t="str">
        <f t="shared" si="174"/>
        <v>Adult</v>
      </c>
      <c r="D3729" t="s">
        <v>11</v>
      </c>
      <c r="E3729" t="s">
        <v>29</v>
      </c>
      <c r="F3729" t="s">
        <v>55</v>
      </c>
      <c r="G3729">
        <v>53.04</v>
      </c>
      <c r="H3729" t="s">
        <v>19</v>
      </c>
      <c r="I3729" t="s">
        <v>15</v>
      </c>
      <c r="J3729">
        <v>3.5</v>
      </c>
      <c r="K3729">
        <v>20</v>
      </c>
      <c r="L3729">
        <f t="shared" si="175"/>
        <v>42.432000000000002</v>
      </c>
      <c r="M3729">
        <v>5</v>
      </c>
      <c r="N3729" t="str">
        <f t="shared" si="176"/>
        <v>Regular</v>
      </c>
    </row>
    <row r="3730" spans="1:14" x14ac:dyDescent="0.35">
      <c r="A3730">
        <v>3729</v>
      </c>
      <c r="B3730">
        <v>62</v>
      </c>
      <c r="C3730" t="str">
        <f t="shared" si="174"/>
        <v>Senior</v>
      </c>
      <c r="D3730" t="s">
        <v>11</v>
      </c>
      <c r="E3730" t="s">
        <v>41</v>
      </c>
      <c r="F3730" t="s">
        <v>45</v>
      </c>
      <c r="G3730">
        <v>149.16</v>
      </c>
      <c r="H3730" t="s">
        <v>14</v>
      </c>
      <c r="I3730" t="s">
        <v>15</v>
      </c>
      <c r="J3730">
        <v>3.5</v>
      </c>
      <c r="K3730">
        <v>20</v>
      </c>
      <c r="L3730">
        <f t="shared" si="175"/>
        <v>119.328</v>
      </c>
      <c r="M3730">
        <v>5</v>
      </c>
      <c r="N3730" t="str">
        <f t="shared" si="176"/>
        <v>Regular</v>
      </c>
    </row>
    <row r="3731" spans="1:14" x14ac:dyDescent="0.35">
      <c r="A3731">
        <v>3730</v>
      </c>
      <c r="B3731">
        <v>48</v>
      </c>
      <c r="C3731" t="str">
        <f t="shared" si="174"/>
        <v>Adult</v>
      </c>
      <c r="D3731" t="s">
        <v>11</v>
      </c>
      <c r="E3731" t="s">
        <v>33</v>
      </c>
      <c r="F3731" t="s">
        <v>38</v>
      </c>
      <c r="G3731">
        <v>165.93</v>
      </c>
      <c r="H3731" t="s">
        <v>14</v>
      </c>
      <c r="I3731" t="s">
        <v>15</v>
      </c>
      <c r="J3731">
        <v>3</v>
      </c>
      <c r="K3731">
        <v>16</v>
      </c>
      <c r="L3731">
        <f t="shared" si="175"/>
        <v>139.38120000000001</v>
      </c>
      <c r="M3731">
        <v>3</v>
      </c>
      <c r="N3731" t="str">
        <f t="shared" si="176"/>
        <v>New</v>
      </c>
    </row>
    <row r="3732" spans="1:14" x14ac:dyDescent="0.35">
      <c r="A3732">
        <v>3731</v>
      </c>
      <c r="B3732">
        <v>38</v>
      </c>
      <c r="C3732" t="str">
        <f t="shared" si="174"/>
        <v>Adult</v>
      </c>
      <c r="D3732" t="s">
        <v>11</v>
      </c>
      <c r="E3732" t="s">
        <v>33</v>
      </c>
      <c r="F3732" t="s">
        <v>38</v>
      </c>
      <c r="G3732">
        <v>138.47</v>
      </c>
      <c r="H3732" t="s">
        <v>14</v>
      </c>
      <c r="I3732" t="s">
        <v>15</v>
      </c>
      <c r="J3732">
        <v>4.0999999999999996</v>
      </c>
      <c r="K3732">
        <v>20</v>
      </c>
      <c r="L3732">
        <f t="shared" si="175"/>
        <v>110.77600000000001</v>
      </c>
      <c r="M3732">
        <v>5</v>
      </c>
      <c r="N3732" t="str">
        <f t="shared" si="176"/>
        <v>Regular</v>
      </c>
    </row>
    <row r="3733" spans="1:14" x14ac:dyDescent="0.35">
      <c r="A3733">
        <v>3732</v>
      </c>
      <c r="B3733">
        <v>49</v>
      </c>
      <c r="C3733" t="str">
        <f t="shared" si="174"/>
        <v>Adult</v>
      </c>
      <c r="D3733" t="s">
        <v>11</v>
      </c>
      <c r="E3733" t="s">
        <v>41</v>
      </c>
      <c r="F3733" t="s">
        <v>42</v>
      </c>
      <c r="G3733">
        <v>61.75</v>
      </c>
      <c r="H3733" t="s">
        <v>31</v>
      </c>
      <c r="I3733" t="s">
        <v>37</v>
      </c>
      <c r="J3733">
        <v>2.9</v>
      </c>
      <c r="K3733">
        <v>4</v>
      </c>
      <c r="L3733">
        <f t="shared" si="175"/>
        <v>59.28</v>
      </c>
      <c r="M3733">
        <v>2</v>
      </c>
      <c r="N3733" t="str">
        <f t="shared" si="176"/>
        <v>New</v>
      </c>
    </row>
    <row r="3734" spans="1:14" x14ac:dyDescent="0.35">
      <c r="A3734">
        <v>3733</v>
      </c>
      <c r="B3734">
        <v>25</v>
      </c>
      <c r="C3734" t="str">
        <f t="shared" si="174"/>
        <v>Youth</v>
      </c>
      <c r="D3734" t="s">
        <v>16</v>
      </c>
      <c r="E3734" t="s">
        <v>17</v>
      </c>
      <c r="F3734" t="s">
        <v>35</v>
      </c>
      <c r="G3734">
        <v>186.83</v>
      </c>
      <c r="H3734" t="s">
        <v>31</v>
      </c>
      <c r="I3734" t="s">
        <v>15</v>
      </c>
      <c r="J3734">
        <v>3.3</v>
      </c>
      <c r="K3734">
        <v>20</v>
      </c>
      <c r="L3734">
        <f t="shared" si="175"/>
        <v>149.46400000000003</v>
      </c>
      <c r="M3734">
        <v>5</v>
      </c>
      <c r="N3734" t="str">
        <f t="shared" si="176"/>
        <v>Regular</v>
      </c>
    </row>
    <row r="3735" spans="1:14" x14ac:dyDescent="0.35">
      <c r="A3735">
        <v>3734</v>
      </c>
      <c r="B3735">
        <v>32</v>
      </c>
      <c r="C3735" t="str">
        <f t="shared" si="174"/>
        <v>Adult</v>
      </c>
      <c r="D3735" t="s">
        <v>11</v>
      </c>
      <c r="E3735" t="s">
        <v>22</v>
      </c>
      <c r="F3735" t="s">
        <v>43</v>
      </c>
      <c r="G3735">
        <v>161.13</v>
      </c>
      <c r="H3735" t="s">
        <v>14</v>
      </c>
      <c r="I3735" t="s">
        <v>15</v>
      </c>
      <c r="J3735">
        <v>4.5999999999999996</v>
      </c>
      <c r="K3735">
        <v>24</v>
      </c>
      <c r="L3735">
        <f t="shared" si="175"/>
        <v>122.4588</v>
      </c>
      <c r="M3735">
        <v>7</v>
      </c>
      <c r="N3735" t="str">
        <f t="shared" si="176"/>
        <v>Regular</v>
      </c>
    </row>
    <row r="3736" spans="1:14" x14ac:dyDescent="0.35">
      <c r="A3736">
        <v>3735</v>
      </c>
      <c r="B3736">
        <v>24</v>
      </c>
      <c r="C3736" t="str">
        <f t="shared" si="174"/>
        <v>Youth</v>
      </c>
      <c r="D3736" t="s">
        <v>11</v>
      </c>
      <c r="E3736" t="s">
        <v>25</v>
      </c>
      <c r="F3736" t="s">
        <v>26</v>
      </c>
      <c r="G3736">
        <v>34.75</v>
      </c>
      <c r="H3736" t="s">
        <v>24</v>
      </c>
      <c r="I3736" t="s">
        <v>37</v>
      </c>
      <c r="J3736">
        <v>3.1</v>
      </c>
      <c r="K3736">
        <v>20</v>
      </c>
      <c r="L3736">
        <f t="shared" si="175"/>
        <v>27.8</v>
      </c>
      <c r="M3736">
        <v>5</v>
      </c>
      <c r="N3736" t="str">
        <f t="shared" si="176"/>
        <v>Regular</v>
      </c>
    </row>
    <row r="3737" spans="1:14" x14ac:dyDescent="0.35">
      <c r="A3737">
        <v>3736</v>
      </c>
      <c r="B3737">
        <v>52</v>
      </c>
      <c r="C3737" t="str">
        <f t="shared" si="174"/>
        <v>Adult</v>
      </c>
      <c r="D3737" t="s">
        <v>16</v>
      </c>
      <c r="E3737" t="s">
        <v>20</v>
      </c>
      <c r="F3737" t="s">
        <v>39</v>
      </c>
      <c r="G3737">
        <v>40.54</v>
      </c>
      <c r="H3737" t="s">
        <v>14</v>
      </c>
      <c r="I3737" t="s">
        <v>15</v>
      </c>
      <c r="J3737">
        <v>5</v>
      </c>
      <c r="K3737">
        <v>15</v>
      </c>
      <c r="L3737">
        <f t="shared" si="175"/>
        <v>34.458999999999996</v>
      </c>
      <c r="M3737">
        <v>5</v>
      </c>
      <c r="N3737" t="str">
        <f t="shared" si="176"/>
        <v>Regular</v>
      </c>
    </row>
    <row r="3738" spans="1:14" x14ac:dyDescent="0.35">
      <c r="A3738">
        <v>3737</v>
      </c>
      <c r="B3738">
        <v>38</v>
      </c>
      <c r="C3738" t="str">
        <f t="shared" si="174"/>
        <v>Adult</v>
      </c>
      <c r="D3738" t="s">
        <v>16</v>
      </c>
      <c r="E3738" t="s">
        <v>17</v>
      </c>
      <c r="F3738" t="s">
        <v>35</v>
      </c>
      <c r="G3738">
        <v>156.15</v>
      </c>
      <c r="H3738" t="s">
        <v>24</v>
      </c>
      <c r="I3738" t="s">
        <v>15</v>
      </c>
      <c r="J3738">
        <v>4.9000000000000004</v>
      </c>
      <c r="K3738">
        <v>18</v>
      </c>
      <c r="L3738">
        <f t="shared" si="175"/>
        <v>128.04300000000001</v>
      </c>
      <c r="M3738">
        <v>4</v>
      </c>
      <c r="N3738" t="str">
        <f t="shared" si="176"/>
        <v>Regular</v>
      </c>
    </row>
    <row r="3739" spans="1:14" x14ac:dyDescent="0.35">
      <c r="A3739">
        <v>3738</v>
      </c>
      <c r="B3739">
        <v>30</v>
      </c>
      <c r="C3739" t="str">
        <f t="shared" si="174"/>
        <v>Youth</v>
      </c>
      <c r="D3739" t="s">
        <v>11</v>
      </c>
      <c r="E3739" t="s">
        <v>41</v>
      </c>
      <c r="F3739" t="s">
        <v>45</v>
      </c>
      <c r="G3739">
        <v>53.27</v>
      </c>
      <c r="H3739" t="s">
        <v>14</v>
      </c>
      <c r="I3739" t="s">
        <v>37</v>
      </c>
      <c r="J3739">
        <v>3.2</v>
      </c>
      <c r="K3739">
        <v>22</v>
      </c>
      <c r="L3739">
        <f t="shared" si="175"/>
        <v>41.550600000000003</v>
      </c>
      <c r="M3739">
        <v>6</v>
      </c>
      <c r="N3739" t="str">
        <f t="shared" si="176"/>
        <v>Regular</v>
      </c>
    </row>
    <row r="3740" spans="1:14" x14ac:dyDescent="0.35">
      <c r="A3740">
        <v>3739</v>
      </c>
      <c r="B3740">
        <v>70</v>
      </c>
      <c r="C3740" t="str">
        <f t="shared" si="174"/>
        <v>Senior</v>
      </c>
      <c r="D3740" t="s">
        <v>11</v>
      </c>
      <c r="E3740" t="s">
        <v>41</v>
      </c>
      <c r="F3740" t="s">
        <v>44</v>
      </c>
      <c r="G3740">
        <v>90.81</v>
      </c>
      <c r="H3740" t="s">
        <v>19</v>
      </c>
      <c r="I3740" t="s">
        <v>37</v>
      </c>
      <c r="J3740">
        <v>4</v>
      </c>
      <c r="K3740">
        <v>8</v>
      </c>
      <c r="L3740">
        <f t="shared" si="175"/>
        <v>83.545200000000008</v>
      </c>
      <c r="M3740">
        <v>4</v>
      </c>
      <c r="N3740" t="str">
        <f t="shared" si="176"/>
        <v>Regular</v>
      </c>
    </row>
    <row r="3741" spans="1:14" x14ac:dyDescent="0.35">
      <c r="A3741">
        <v>3740</v>
      </c>
      <c r="B3741">
        <v>23</v>
      </c>
      <c r="C3741" t="str">
        <f t="shared" si="174"/>
        <v>Youth</v>
      </c>
      <c r="D3741" t="s">
        <v>11</v>
      </c>
      <c r="E3741" t="s">
        <v>41</v>
      </c>
      <c r="F3741" t="s">
        <v>45</v>
      </c>
      <c r="G3741">
        <v>101.78</v>
      </c>
      <c r="H3741" t="s">
        <v>24</v>
      </c>
      <c r="I3741" t="s">
        <v>15</v>
      </c>
      <c r="J3741">
        <v>2.4</v>
      </c>
      <c r="K3741">
        <v>16</v>
      </c>
      <c r="L3741">
        <f t="shared" si="175"/>
        <v>85.495199999999997</v>
      </c>
      <c r="M3741">
        <v>3</v>
      </c>
      <c r="N3741" t="str">
        <f t="shared" si="176"/>
        <v>New</v>
      </c>
    </row>
    <row r="3742" spans="1:14" x14ac:dyDescent="0.35">
      <c r="A3742">
        <v>3741</v>
      </c>
      <c r="B3742">
        <v>52</v>
      </c>
      <c r="C3742" t="str">
        <f t="shared" si="174"/>
        <v>Adult</v>
      </c>
      <c r="D3742" t="s">
        <v>16</v>
      </c>
      <c r="E3742" t="s">
        <v>33</v>
      </c>
      <c r="F3742" t="s">
        <v>34</v>
      </c>
      <c r="G3742">
        <v>83.51</v>
      </c>
      <c r="H3742" t="s">
        <v>14</v>
      </c>
      <c r="I3742" t="s">
        <v>15</v>
      </c>
      <c r="J3742">
        <v>3.5</v>
      </c>
      <c r="K3742">
        <v>15</v>
      </c>
      <c r="L3742">
        <f t="shared" si="175"/>
        <v>70.983500000000006</v>
      </c>
      <c r="M3742">
        <v>5</v>
      </c>
      <c r="N3742" t="str">
        <f t="shared" si="176"/>
        <v>Regular</v>
      </c>
    </row>
    <row r="3743" spans="1:14" x14ac:dyDescent="0.35">
      <c r="A3743">
        <v>3742</v>
      </c>
      <c r="B3743">
        <v>35</v>
      </c>
      <c r="C3743" t="str">
        <f t="shared" si="174"/>
        <v>Adult</v>
      </c>
      <c r="D3743" t="s">
        <v>11</v>
      </c>
      <c r="E3743" t="s">
        <v>41</v>
      </c>
      <c r="F3743" t="s">
        <v>45</v>
      </c>
      <c r="G3743">
        <v>156.25</v>
      </c>
      <c r="H3743" t="s">
        <v>31</v>
      </c>
      <c r="I3743" t="s">
        <v>15</v>
      </c>
      <c r="J3743">
        <v>4.0999999999999996</v>
      </c>
      <c r="K3743">
        <v>15</v>
      </c>
      <c r="L3743">
        <f t="shared" si="175"/>
        <v>132.8125</v>
      </c>
      <c r="M3743">
        <v>5</v>
      </c>
      <c r="N3743" t="str">
        <f t="shared" si="176"/>
        <v>Regular</v>
      </c>
    </row>
    <row r="3744" spans="1:14" x14ac:dyDescent="0.35">
      <c r="A3744">
        <v>3743</v>
      </c>
      <c r="B3744">
        <v>61</v>
      </c>
      <c r="C3744" t="str">
        <f t="shared" si="174"/>
        <v>Senior</v>
      </c>
      <c r="D3744" t="s">
        <v>11</v>
      </c>
      <c r="E3744" t="s">
        <v>33</v>
      </c>
      <c r="F3744" t="s">
        <v>38</v>
      </c>
      <c r="G3744">
        <v>240.97</v>
      </c>
      <c r="H3744" t="s">
        <v>19</v>
      </c>
      <c r="I3744" t="s">
        <v>15</v>
      </c>
      <c r="J3744">
        <v>4</v>
      </c>
      <c r="K3744">
        <v>26</v>
      </c>
      <c r="L3744">
        <f t="shared" si="175"/>
        <v>178.31780000000001</v>
      </c>
      <c r="M3744">
        <v>8</v>
      </c>
      <c r="N3744" t="str">
        <f t="shared" si="176"/>
        <v>Loyal</v>
      </c>
    </row>
    <row r="3745" spans="1:14" x14ac:dyDescent="0.35">
      <c r="A3745">
        <v>3744</v>
      </c>
      <c r="B3745">
        <v>25</v>
      </c>
      <c r="C3745" t="str">
        <f t="shared" si="174"/>
        <v>Youth</v>
      </c>
      <c r="D3745" t="s">
        <v>11</v>
      </c>
      <c r="E3745" t="s">
        <v>33</v>
      </c>
      <c r="F3745" t="s">
        <v>40</v>
      </c>
      <c r="G3745">
        <v>161.52000000000001</v>
      </c>
      <c r="H3745" t="s">
        <v>31</v>
      </c>
      <c r="I3745" t="s">
        <v>15</v>
      </c>
      <c r="J3745">
        <v>4.2</v>
      </c>
      <c r="K3745">
        <v>10</v>
      </c>
      <c r="L3745">
        <f t="shared" si="175"/>
        <v>145.36800000000002</v>
      </c>
      <c r="M3745">
        <v>5</v>
      </c>
      <c r="N3745" t="str">
        <f t="shared" si="176"/>
        <v>Regular</v>
      </c>
    </row>
    <row r="3746" spans="1:14" x14ac:dyDescent="0.35">
      <c r="A3746">
        <v>3745</v>
      </c>
      <c r="B3746">
        <v>60</v>
      </c>
      <c r="C3746" t="str">
        <f t="shared" si="174"/>
        <v>Adult</v>
      </c>
      <c r="D3746" t="s">
        <v>16</v>
      </c>
      <c r="E3746" t="s">
        <v>22</v>
      </c>
      <c r="F3746" t="s">
        <v>43</v>
      </c>
      <c r="G3746">
        <v>52.07</v>
      </c>
      <c r="H3746" t="s">
        <v>24</v>
      </c>
      <c r="I3746" t="s">
        <v>15</v>
      </c>
      <c r="J3746">
        <v>5</v>
      </c>
      <c r="K3746">
        <v>18</v>
      </c>
      <c r="L3746">
        <f t="shared" si="175"/>
        <v>42.697400000000002</v>
      </c>
      <c r="M3746">
        <v>4</v>
      </c>
      <c r="N3746" t="str">
        <f t="shared" si="176"/>
        <v>Regular</v>
      </c>
    </row>
    <row r="3747" spans="1:14" x14ac:dyDescent="0.35">
      <c r="A3747">
        <v>3746</v>
      </c>
      <c r="B3747">
        <v>21</v>
      </c>
      <c r="C3747" t="str">
        <f t="shared" si="174"/>
        <v>Youth</v>
      </c>
      <c r="D3747" t="s">
        <v>11</v>
      </c>
      <c r="E3747" t="s">
        <v>29</v>
      </c>
      <c r="F3747" t="s">
        <v>55</v>
      </c>
      <c r="G3747">
        <v>41.3</v>
      </c>
      <c r="H3747" t="s">
        <v>14</v>
      </c>
      <c r="I3747" t="s">
        <v>37</v>
      </c>
      <c r="J3747">
        <v>3.8</v>
      </c>
      <c r="K3747">
        <v>8</v>
      </c>
      <c r="L3747">
        <f t="shared" si="175"/>
        <v>37.996000000000002</v>
      </c>
      <c r="M3747">
        <v>4</v>
      </c>
      <c r="N3747" t="str">
        <f t="shared" si="176"/>
        <v>Regular</v>
      </c>
    </row>
    <row r="3748" spans="1:14" x14ac:dyDescent="0.35">
      <c r="A3748">
        <v>3747</v>
      </c>
      <c r="B3748">
        <v>59</v>
      </c>
      <c r="C3748" t="str">
        <f t="shared" si="174"/>
        <v>Adult</v>
      </c>
      <c r="D3748" t="s">
        <v>11</v>
      </c>
      <c r="E3748" t="s">
        <v>12</v>
      </c>
      <c r="F3748" t="s">
        <v>50</v>
      </c>
      <c r="G3748">
        <v>77.78</v>
      </c>
      <c r="H3748" t="s">
        <v>31</v>
      </c>
      <c r="I3748" t="s">
        <v>37</v>
      </c>
      <c r="J3748">
        <v>4</v>
      </c>
      <c r="K3748">
        <v>13</v>
      </c>
      <c r="L3748">
        <f t="shared" si="175"/>
        <v>67.668599999999998</v>
      </c>
      <c r="M3748">
        <v>4</v>
      </c>
      <c r="N3748" t="str">
        <f t="shared" si="176"/>
        <v>Regular</v>
      </c>
    </row>
    <row r="3749" spans="1:14" x14ac:dyDescent="0.35">
      <c r="A3749">
        <v>3748</v>
      </c>
      <c r="B3749">
        <v>51</v>
      </c>
      <c r="C3749" t="str">
        <f t="shared" si="174"/>
        <v>Adult</v>
      </c>
      <c r="D3749" t="s">
        <v>11</v>
      </c>
      <c r="E3749" t="s">
        <v>22</v>
      </c>
      <c r="F3749" t="s">
        <v>23</v>
      </c>
      <c r="G3749">
        <v>74.72</v>
      </c>
      <c r="H3749" t="s">
        <v>19</v>
      </c>
      <c r="I3749" t="s">
        <v>15</v>
      </c>
      <c r="J3749">
        <v>4</v>
      </c>
      <c r="K3749">
        <v>8</v>
      </c>
      <c r="L3749">
        <f t="shared" si="175"/>
        <v>68.742400000000004</v>
      </c>
      <c r="M3749">
        <v>4</v>
      </c>
      <c r="N3749" t="str">
        <f t="shared" si="176"/>
        <v>Regular</v>
      </c>
    </row>
    <row r="3750" spans="1:14" x14ac:dyDescent="0.35">
      <c r="A3750">
        <v>3749</v>
      </c>
      <c r="B3750">
        <v>39</v>
      </c>
      <c r="C3750" t="str">
        <f t="shared" si="174"/>
        <v>Adult</v>
      </c>
      <c r="D3750" t="s">
        <v>11</v>
      </c>
      <c r="E3750" t="s">
        <v>33</v>
      </c>
      <c r="F3750" t="s">
        <v>34</v>
      </c>
      <c r="G3750">
        <v>88.03</v>
      </c>
      <c r="H3750" t="s">
        <v>14</v>
      </c>
      <c r="I3750" t="s">
        <v>37</v>
      </c>
      <c r="J3750">
        <v>4</v>
      </c>
      <c r="K3750">
        <v>10</v>
      </c>
      <c r="L3750">
        <f t="shared" si="175"/>
        <v>79.227000000000004</v>
      </c>
      <c r="M3750">
        <v>5</v>
      </c>
      <c r="N3750" t="str">
        <f t="shared" si="176"/>
        <v>Regular</v>
      </c>
    </row>
    <row r="3751" spans="1:14" x14ac:dyDescent="0.35">
      <c r="A3751">
        <v>3750</v>
      </c>
      <c r="B3751">
        <v>23</v>
      </c>
      <c r="C3751" t="str">
        <f t="shared" si="174"/>
        <v>Youth</v>
      </c>
      <c r="D3751" t="s">
        <v>11</v>
      </c>
      <c r="E3751" t="s">
        <v>41</v>
      </c>
      <c r="F3751" t="s">
        <v>42</v>
      </c>
      <c r="G3751">
        <v>83.7</v>
      </c>
      <c r="H3751" t="s">
        <v>19</v>
      </c>
      <c r="I3751" t="s">
        <v>37</v>
      </c>
      <c r="J3751">
        <v>3.3</v>
      </c>
      <c r="K3751">
        <v>20</v>
      </c>
      <c r="L3751">
        <f t="shared" si="175"/>
        <v>66.960000000000008</v>
      </c>
      <c r="M3751">
        <v>5</v>
      </c>
      <c r="N3751" t="str">
        <f t="shared" si="176"/>
        <v>Regular</v>
      </c>
    </row>
    <row r="3752" spans="1:14" x14ac:dyDescent="0.35">
      <c r="A3752">
        <v>3751</v>
      </c>
      <c r="B3752">
        <v>43</v>
      </c>
      <c r="C3752" t="str">
        <f t="shared" si="174"/>
        <v>Adult</v>
      </c>
      <c r="D3752" t="s">
        <v>11</v>
      </c>
      <c r="E3752" t="s">
        <v>41</v>
      </c>
      <c r="F3752" t="s">
        <v>46</v>
      </c>
      <c r="G3752">
        <v>87.63</v>
      </c>
      <c r="H3752" t="s">
        <v>14</v>
      </c>
      <c r="I3752" t="s">
        <v>37</v>
      </c>
      <c r="J3752">
        <v>4.5999999999999996</v>
      </c>
      <c r="K3752">
        <v>4</v>
      </c>
      <c r="L3752">
        <f t="shared" si="175"/>
        <v>84.124799999999993</v>
      </c>
      <c r="M3752">
        <v>2</v>
      </c>
      <c r="N3752" t="str">
        <f t="shared" si="176"/>
        <v>New</v>
      </c>
    </row>
    <row r="3753" spans="1:14" x14ac:dyDescent="0.35">
      <c r="A3753">
        <v>3752</v>
      </c>
      <c r="B3753">
        <v>53</v>
      </c>
      <c r="C3753" t="str">
        <f t="shared" si="174"/>
        <v>Adult</v>
      </c>
      <c r="D3753" t="s">
        <v>11</v>
      </c>
      <c r="E3753" t="s">
        <v>29</v>
      </c>
      <c r="F3753" t="s">
        <v>30</v>
      </c>
      <c r="G3753">
        <v>78.650000000000006</v>
      </c>
      <c r="H3753" t="s">
        <v>14</v>
      </c>
      <c r="I3753" t="s">
        <v>15</v>
      </c>
      <c r="J3753">
        <v>3.6</v>
      </c>
      <c r="K3753">
        <v>12</v>
      </c>
      <c r="L3753">
        <f t="shared" si="175"/>
        <v>69.212000000000003</v>
      </c>
      <c r="M3753">
        <v>6</v>
      </c>
      <c r="N3753" t="str">
        <f t="shared" si="176"/>
        <v>Regular</v>
      </c>
    </row>
    <row r="3754" spans="1:14" x14ac:dyDescent="0.35">
      <c r="A3754">
        <v>3753</v>
      </c>
      <c r="B3754">
        <v>37</v>
      </c>
      <c r="C3754" t="str">
        <f t="shared" si="174"/>
        <v>Adult</v>
      </c>
      <c r="D3754" t="s">
        <v>11</v>
      </c>
      <c r="E3754" t="s">
        <v>12</v>
      </c>
      <c r="F3754" t="s">
        <v>56</v>
      </c>
      <c r="G3754">
        <v>29.21</v>
      </c>
      <c r="H3754" t="s">
        <v>31</v>
      </c>
      <c r="I3754" t="s">
        <v>15</v>
      </c>
      <c r="J3754">
        <v>4.0999999999999996</v>
      </c>
      <c r="K3754">
        <v>11</v>
      </c>
      <c r="L3754">
        <f t="shared" si="175"/>
        <v>25.9969</v>
      </c>
      <c r="M3754">
        <v>3</v>
      </c>
      <c r="N3754" t="str">
        <f t="shared" si="176"/>
        <v>New</v>
      </c>
    </row>
    <row r="3755" spans="1:14" x14ac:dyDescent="0.35">
      <c r="A3755">
        <v>3754</v>
      </c>
      <c r="B3755">
        <v>54</v>
      </c>
      <c r="C3755" t="str">
        <f t="shared" si="174"/>
        <v>Adult</v>
      </c>
      <c r="D3755" t="s">
        <v>11</v>
      </c>
      <c r="E3755" t="s">
        <v>20</v>
      </c>
      <c r="F3755" t="s">
        <v>39</v>
      </c>
      <c r="G3755">
        <v>107.34</v>
      </c>
      <c r="H3755" t="s">
        <v>31</v>
      </c>
      <c r="I3755" t="s">
        <v>15</v>
      </c>
      <c r="J3755">
        <v>3.5</v>
      </c>
      <c r="K3755">
        <v>19</v>
      </c>
      <c r="L3755">
        <f t="shared" si="175"/>
        <v>86.945400000000006</v>
      </c>
      <c r="M3755">
        <v>7</v>
      </c>
      <c r="N3755" t="str">
        <f t="shared" si="176"/>
        <v>Regular</v>
      </c>
    </row>
    <row r="3756" spans="1:14" x14ac:dyDescent="0.35">
      <c r="A3756">
        <v>3755</v>
      </c>
      <c r="B3756">
        <v>56</v>
      </c>
      <c r="C3756" t="str">
        <f t="shared" si="174"/>
        <v>Adult</v>
      </c>
      <c r="D3756" t="s">
        <v>16</v>
      </c>
      <c r="E3756" t="s">
        <v>33</v>
      </c>
      <c r="F3756" t="s">
        <v>40</v>
      </c>
      <c r="G3756">
        <v>241.91</v>
      </c>
      <c r="H3756" t="s">
        <v>31</v>
      </c>
      <c r="I3756" t="s">
        <v>15</v>
      </c>
      <c r="J3756">
        <v>3.5</v>
      </c>
      <c r="K3756">
        <v>16</v>
      </c>
      <c r="L3756">
        <f t="shared" si="175"/>
        <v>203.20439999999999</v>
      </c>
      <c r="M3756">
        <v>3</v>
      </c>
      <c r="N3756" t="str">
        <f t="shared" si="176"/>
        <v>New</v>
      </c>
    </row>
    <row r="3757" spans="1:14" x14ac:dyDescent="0.35">
      <c r="A3757">
        <v>3756</v>
      </c>
      <c r="B3757">
        <v>31</v>
      </c>
      <c r="C3757" t="str">
        <f t="shared" si="174"/>
        <v>Adult</v>
      </c>
      <c r="D3757" t="s">
        <v>11</v>
      </c>
      <c r="E3757" t="s">
        <v>29</v>
      </c>
      <c r="F3757" t="s">
        <v>55</v>
      </c>
      <c r="G3757">
        <v>105.94</v>
      </c>
      <c r="H3757" t="s">
        <v>31</v>
      </c>
      <c r="I3757" t="s">
        <v>15</v>
      </c>
      <c r="J3757">
        <v>3.3</v>
      </c>
      <c r="K3757">
        <v>16</v>
      </c>
      <c r="L3757">
        <f t="shared" si="175"/>
        <v>88.989599999999996</v>
      </c>
      <c r="M3757">
        <v>3</v>
      </c>
      <c r="N3757" t="str">
        <f t="shared" si="176"/>
        <v>New</v>
      </c>
    </row>
    <row r="3758" spans="1:14" x14ac:dyDescent="0.35">
      <c r="A3758">
        <v>3757</v>
      </c>
      <c r="B3758">
        <v>47</v>
      </c>
      <c r="C3758" t="str">
        <f t="shared" si="174"/>
        <v>Adult</v>
      </c>
      <c r="D3758" t="s">
        <v>16</v>
      </c>
      <c r="E3758" t="s">
        <v>17</v>
      </c>
      <c r="F3758" t="s">
        <v>48</v>
      </c>
      <c r="G3758">
        <v>100.06</v>
      </c>
      <c r="H3758" t="s">
        <v>14</v>
      </c>
      <c r="I3758" t="s">
        <v>15</v>
      </c>
      <c r="J3758">
        <v>3.7</v>
      </c>
      <c r="K3758">
        <v>18</v>
      </c>
      <c r="L3758">
        <f t="shared" si="175"/>
        <v>82.049200000000013</v>
      </c>
      <c r="M3758">
        <v>4</v>
      </c>
      <c r="N3758" t="str">
        <f t="shared" si="176"/>
        <v>Regular</v>
      </c>
    </row>
    <row r="3759" spans="1:14" x14ac:dyDescent="0.35">
      <c r="A3759">
        <v>3758</v>
      </c>
      <c r="B3759">
        <v>41</v>
      </c>
      <c r="C3759" t="str">
        <f t="shared" si="174"/>
        <v>Adult</v>
      </c>
      <c r="D3759" t="s">
        <v>11</v>
      </c>
      <c r="E3759" t="s">
        <v>20</v>
      </c>
      <c r="F3759" t="s">
        <v>39</v>
      </c>
      <c r="G3759">
        <v>53.69</v>
      </c>
      <c r="H3759" t="s">
        <v>19</v>
      </c>
      <c r="I3759" t="s">
        <v>37</v>
      </c>
      <c r="J3759">
        <v>3.7</v>
      </c>
      <c r="K3759">
        <v>21</v>
      </c>
      <c r="L3759">
        <f t="shared" si="175"/>
        <v>42.415100000000002</v>
      </c>
      <c r="M3759">
        <v>8</v>
      </c>
      <c r="N3759" t="str">
        <f t="shared" si="176"/>
        <v>Loyal</v>
      </c>
    </row>
    <row r="3760" spans="1:14" x14ac:dyDescent="0.35">
      <c r="A3760">
        <v>3759</v>
      </c>
      <c r="B3760">
        <v>69</v>
      </c>
      <c r="C3760" t="str">
        <f t="shared" si="174"/>
        <v>Senior</v>
      </c>
      <c r="D3760" t="s">
        <v>16</v>
      </c>
      <c r="E3760" t="s">
        <v>17</v>
      </c>
      <c r="F3760" t="s">
        <v>48</v>
      </c>
      <c r="G3760">
        <v>95.85</v>
      </c>
      <c r="H3760" t="s">
        <v>14</v>
      </c>
      <c r="I3760" t="s">
        <v>15</v>
      </c>
      <c r="J3760">
        <v>4.3</v>
      </c>
      <c r="K3760">
        <v>12</v>
      </c>
      <c r="L3760">
        <f t="shared" si="175"/>
        <v>84.347999999999999</v>
      </c>
      <c r="M3760">
        <v>6</v>
      </c>
      <c r="N3760" t="str">
        <f t="shared" si="176"/>
        <v>Regular</v>
      </c>
    </row>
    <row r="3761" spans="1:14" x14ac:dyDescent="0.35">
      <c r="A3761">
        <v>3760</v>
      </c>
      <c r="B3761">
        <v>25</v>
      </c>
      <c r="C3761" t="str">
        <f t="shared" si="174"/>
        <v>Youth</v>
      </c>
      <c r="D3761" t="s">
        <v>11</v>
      </c>
      <c r="E3761" t="s">
        <v>12</v>
      </c>
      <c r="F3761" t="s">
        <v>13</v>
      </c>
      <c r="G3761">
        <v>177.89</v>
      </c>
      <c r="H3761" t="s">
        <v>19</v>
      </c>
      <c r="I3761" t="s">
        <v>15</v>
      </c>
      <c r="J3761">
        <v>3.7</v>
      </c>
      <c r="K3761">
        <v>16</v>
      </c>
      <c r="L3761">
        <f t="shared" si="175"/>
        <v>149.42759999999998</v>
      </c>
      <c r="M3761">
        <v>8</v>
      </c>
      <c r="N3761" t="str">
        <f t="shared" si="176"/>
        <v>Loyal</v>
      </c>
    </row>
    <row r="3762" spans="1:14" x14ac:dyDescent="0.35">
      <c r="A3762">
        <v>3761</v>
      </c>
      <c r="B3762">
        <v>57</v>
      </c>
      <c r="C3762" t="str">
        <f t="shared" si="174"/>
        <v>Adult</v>
      </c>
      <c r="D3762" t="s">
        <v>11</v>
      </c>
      <c r="E3762" t="s">
        <v>12</v>
      </c>
      <c r="F3762" t="s">
        <v>50</v>
      </c>
      <c r="G3762">
        <v>97</v>
      </c>
      <c r="H3762" t="s">
        <v>24</v>
      </c>
      <c r="I3762" t="s">
        <v>37</v>
      </c>
      <c r="J3762">
        <v>4.0999999999999996</v>
      </c>
      <c r="K3762">
        <v>24</v>
      </c>
      <c r="L3762">
        <f t="shared" si="175"/>
        <v>73.72</v>
      </c>
      <c r="M3762">
        <v>7</v>
      </c>
      <c r="N3762" t="str">
        <f t="shared" si="176"/>
        <v>Regular</v>
      </c>
    </row>
    <row r="3763" spans="1:14" x14ac:dyDescent="0.35">
      <c r="A3763">
        <v>3762</v>
      </c>
      <c r="B3763">
        <v>43</v>
      </c>
      <c r="C3763" t="str">
        <f t="shared" si="174"/>
        <v>Adult</v>
      </c>
      <c r="D3763" t="s">
        <v>16</v>
      </c>
      <c r="E3763" t="s">
        <v>33</v>
      </c>
      <c r="F3763" t="s">
        <v>40</v>
      </c>
      <c r="G3763">
        <v>135.26</v>
      </c>
      <c r="H3763" t="s">
        <v>19</v>
      </c>
      <c r="I3763" t="s">
        <v>15</v>
      </c>
      <c r="J3763">
        <v>4.3</v>
      </c>
      <c r="K3763">
        <v>28</v>
      </c>
      <c r="L3763">
        <f t="shared" si="175"/>
        <v>97.387199999999993</v>
      </c>
      <c r="M3763">
        <v>9</v>
      </c>
      <c r="N3763" t="str">
        <f t="shared" si="176"/>
        <v>Loyal</v>
      </c>
    </row>
    <row r="3764" spans="1:14" x14ac:dyDescent="0.35">
      <c r="A3764">
        <v>3763</v>
      </c>
      <c r="B3764">
        <v>55</v>
      </c>
      <c r="C3764" t="str">
        <f t="shared" si="174"/>
        <v>Adult</v>
      </c>
      <c r="D3764" t="s">
        <v>16</v>
      </c>
      <c r="E3764" t="s">
        <v>20</v>
      </c>
      <c r="F3764" t="s">
        <v>39</v>
      </c>
      <c r="G3764">
        <v>153.94999999999999</v>
      </c>
      <c r="H3764" t="s">
        <v>19</v>
      </c>
      <c r="I3764" t="s">
        <v>15</v>
      </c>
      <c r="J3764">
        <v>3.4</v>
      </c>
      <c r="K3764">
        <v>13</v>
      </c>
      <c r="L3764">
        <f t="shared" si="175"/>
        <v>133.9365</v>
      </c>
      <c r="M3764">
        <v>4</v>
      </c>
      <c r="N3764" t="str">
        <f t="shared" si="176"/>
        <v>Regular</v>
      </c>
    </row>
    <row r="3765" spans="1:14" x14ac:dyDescent="0.35">
      <c r="A3765">
        <v>3764</v>
      </c>
      <c r="B3765">
        <v>55</v>
      </c>
      <c r="C3765" t="str">
        <f t="shared" si="174"/>
        <v>Adult</v>
      </c>
      <c r="D3765" t="s">
        <v>16</v>
      </c>
      <c r="E3765" t="s">
        <v>20</v>
      </c>
      <c r="F3765" t="s">
        <v>39</v>
      </c>
      <c r="G3765">
        <v>73.22</v>
      </c>
      <c r="H3765" t="s">
        <v>19</v>
      </c>
      <c r="I3765" t="s">
        <v>37</v>
      </c>
      <c r="J3765">
        <v>3</v>
      </c>
      <c r="K3765">
        <v>17</v>
      </c>
      <c r="L3765">
        <f t="shared" si="175"/>
        <v>60.772599999999997</v>
      </c>
      <c r="M3765">
        <v>6</v>
      </c>
      <c r="N3765" t="str">
        <f t="shared" si="176"/>
        <v>Regular</v>
      </c>
    </row>
    <row r="3766" spans="1:14" x14ac:dyDescent="0.35">
      <c r="A3766">
        <v>3765</v>
      </c>
      <c r="B3766">
        <v>59</v>
      </c>
      <c r="C3766" t="str">
        <f t="shared" si="174"/>
        <v>Adult</v>
      </c>
      <c r="D3766" t="s">
        <v>11</v>
      </c>
      <c r="E3766" t="s">
        <v>41</v>
      </c>
      <c r="F3766" t="s">
        <v>44</v>
      </c>
      <c r="G3766">
        <v>78.739999999999995</v>
      </c>
      <c r="H3766" t="s">
        <v>14</v>
      </c>
      <c r="I3766" t="s">
        <v>15</v>
      </c>
      <c r="J3766">
        <v>3.9</v>
      </c>
      <c r="K3766">
        <v>17</v>
      </c>
      <c r="L3766">
        <f t="shared" si="175"/>
        <v>65.354199999999992</v>
      </c>
      <c r="M3766">
        <v>6</v>
      </c>
      <c r="N3766" t="str">
        <f t="shared" si="176"/>
        <v>Regular</v>
      </c>
    </row>
    <row r="3767" spans="1:14" x14ac:dyDescent="0.35">
      <c r="A3767">
        <v>3766</v>
      </c>
      <c r="B3767">
        <v>59</v>
      </c>
      <c r="C3767" t="str">
        <f t="shared" si="174"/>
        <v>Adult</v>
      </c>
      <c r="D3767" t="s">
        <v>16</v>
      </c>
      <c r="E3767" t="s">
        <v>20</v>
      </c>
      <c r="F3767" t="s">
        <v>39</v>
      </c>
      <c r="G3767">
        <v>193.24</v>
      </c>
      <c r="H3767" t="s">
        <v>14</v>
      </c>
      <c r="I3767" t="s">
        <v>15</v>
      </c>
      <c r="J3767">
        <v>4.0999999999999996</v>
      </c>
      <c r="K3767">
        <v>8</v>
      </c>
      <c r="L3767">
        <f t="shared" si="175"/>
        <v>177.78080000000003</v>
      </c>
      <c r="M3767">
        <v>4</v>
      </c>
      <c r="N3767" t="str">
        <f t="shared" si="176"/>
        <v>Regular</v>
      </c>
    </row>
    <row r="3768" spans="1:14" x14ac:dyDescent="0.35">
      <c r="A3768">
        <v>3767</v>
      </c>
      <c r="B3768">
        <v>58</v>
      </c>
      <c r="C3768" t="str">
        <f t="shared" si="174"/>
        <v>Adult</v>
      </c>
      <c r="D3768" t="s">
        <v>11</v>
      </c>
      <c r="E3768" t="s">
        <v>41</v>
      </c>
      <c r="F3768" t="s">
        <v>46</v>
      </c>
      <c r="G3768">
        <v>123.99</v>
      </c>
      <c r="H3768" t="s">
        <v>31</v>
      </c>
      <c r="I3768" t="s">
        <v>15</v>
      </c>
      <c r="J3768">
        <v>4.3</v>
      </c>
      <c r="K3768">
        <v>12</v>
      </c>
      <c r="L3768">
        <f t="shared" si="175"/>
        <v>109.1112</v>
      </c>
      <c r="M3768">
        <v>6</v>
      </c>
      <c r="N3768" t="str">
        <f t="shared" si="176"/>
        <v>Regular</v>
      </c>
    </row>
    <row r="3769" spans="1:14" x14ac:dyDescent="0.35">
      <c r="A3769">
        <v>3768</v>
      </c>
      <c r="B3769">
        <v>31</v>
      </c>
      <c r="C3769" t="str">
        <f t="shared" si="174"/>
        <v>Adult</v>
      </c>
      <c r="D3769" t="s">
        <v>11</v>
      </c>
      <c r="E3769" t="s">
        <v>12</v>
      </c>
      <c r="F3769" t="s">
        <v>13</v>
      </c>
      <c r="G3769">
        <v>127.18</v>
      </c>
      <c r="H3769" t="s">
        <v>31</v>
      </c>
      <c r="I3769" t="s">
        <v>15</v>
      </c>
      <c r="J3769">
        <v>3.3</v>
      </c>
      <c r="K3769">
        <v>10</v>
      </c>
      <c r="L3769">
        <f t="shared" si="175"/>
        <v>114.462</v>
      </c>
      <c r="M3769">
        <v>5</v>
      </c>
      <c r="N3769" t="str">
        <f t="shared" si="176"/>
        <v>Regular</v>
      </c>
    </row>
    <row r="3770" spans="1:14" x14ac:dyDescent="0.35">
      <c r="A3770">
        <v>3769</v>
      </c>
      <c r="B3770">
        <v>42</v>
      </c>
      <c r="C3770" t="str">
        <f t="shared" si="174"/>
        <v>Adult</v>
      </c>
      <c r="D3770" t="s">
        <v>16</v>
      </c>
      <c r="E3770" t="s">
        <v>27</v>
      </c>
      <c r="F3770" t="s">
        <v>49</v>
      </c>
      <c r="G3770">
        <v>2662.7</v>
      </c>
      <c r="H3770" t="s">
        <v>31</v>
      </c>
      <c r="I3770" t="s">
        <v>15</v>
      </c>
      <c r="J3770">
        <v>3.6</v>
      </c>
      <c r="K3770">
        <v>19</v>
      </c>
      <c r="L3770">
        <f t="shared" si="175"/>
        <v>2156.7869999999998</v>
      </c>
      <c r="M3770">
        <v>7</v>
      </c>
      <c r="N3770" t="str">
        <f t="shared" si="176"/>
        <v>Regular</v>
      </c>
    </row>
    <row r="3771" spans="1:14" x14ac:dyDescent="0.35">
      <c r="A3771">
        <v>3770</v>
      </c>
      <c r="B3771">
        <v>68</v>
      </c>
      <c r="C3771" t="str">
        <f t="shared" si="174"/>
        <v>Senior</v>
      </c>
      <c r="D3771" t="s">
        <v>16</v>
      </c>
      <c r="E3771" t="s">
        <v>33</v>
      </c>
      <c r="F3771" t="s">
        <v>34</v>
      </c>
      <c r="G3771">
        <v>207</v>
      </c>
      <c r="H3771" t="s">
        <v>31</v>
      </c>
      <c r="I3771" t="s">
        <v>15</v>
      </c>
      <c r="J3771">
        <v>5</v>
      </c>
      <c r="K3771">
        <v>26</v>
      </c>
      <c r="L3771">
        <f t="shared" si="175"/>
        <v>153.18</v>
      </c>
      <c r="M3771">
        <v>8</v>
      </c>
      <c r="N3771" t="str">
        <f t="shared" si="176"/>
        <v>Loyal</v>
      </c>
    </row>
    <row r="3772" spans="1:14" x14ac:dyDescent="0.35">
      <c r="A3772">
        <v>3771</v>
      </c>
      <c r="B3772">
        <v>54</v>
      </c>
      <c r="C3772" t="str">
        <f t="shared" si="174"/>
        <v>Adult</v>
      </c>
      <c r="D3772" t="s">
        <v>11</v>
      </c>
      <c r="E3772" t="s">
        <v>12</v>
      </c>
      <c r="F3772" t="s">
        <v>13</v>
      </c>
      <c r="G3772">
        <v>148.96</v>
      </c>
      <c r="H3772" t="s">
        <v>14</v>
      </c>
      <c r="I3772" t="s">
        <v>15</v>
      </c>
      <c r="J3772">
        <v>4</v>
      </c>
      <c r="K3772">
        <v>22</v>
      </c>
      <c r="L3772">
        <f t="shared" si="175"/>
        <v>116.18880000000001</v>
      </c>
      <c r="M3772">
        <v>6</v>
      </c>
      <c r="N3772" t="str">
        <f t="shared" si="176"/>
        <v>Regular</v>
      </c>
    </row>
    <row r="3773" spans="1:14" x14ac:dyDescent="0.35">
      <c r="A3773">
        <v>3772</v>
      </c>
      <c r="B3773">
        <v>33</v>
      </c>
      <c r="C3773" t="str">
        <f t="shared" si="174"/>
        <v>Adult</v>
      </c>
      <c r="D3773" t="s">
        <v>16</v>
      </c>
      <c r="E3773" t="s">
        <v>17</v>
      </c>
      <c r="F3773" t="s">
        <v>48</v>
      </c>
      <c r="G3773">
        <v>91.42</v>
      </c>
      <c r="H3773" t="s">
        <v>14</v>
      </c>
      <c r="I3773" t="s">
        <v>37</v>
      </c>
      <c r="J3773">
        <v>4.5</v>
      </c>
      <c r="K3773">
        <v>14</v>
      </c>
      <c r="L3773">
        <f t="shared" si="175"/>
        <v>78.621200000000002</v>
      </c>
      <c r="M3773">
        <v>2</v>
      </c>
      <c r="N3773" t="str">
        <f t="shared" si="176"/>
        <v>New</v>
      </c>
    </row>
    <row r="3774" spans="1:14" x14ac:dyDescent="0.35">
      <c r="A3774">
        <v>3773</v>
      </c>
      <c r="B3774">
        <v>45</v>
      </c>
      <c r="C3774" t="str">
        <f t="shared" si="174"/>
        <v>Adult</v>
      </c>
      <c r="D3774" t="s">
        <v>11</v>
      </c>
      <c r="E3774" t="s">
        <v>33</v>
      </c>
      <c r="F3774" t="s">
        <v>38</v>
      </c>
      <c r="G3774">
        <v>153.68</v>
      </c>
      <c r="H3774" t="s">
        <v>19</v>
      </c>
      <c r="I3774" t="s">
        <v>15</v>
      </c>
      <c r="J3774">
        <v>4</v>
      </c>
      <c r="K3774">
        <v>20</v>
      </c>
      <c r="L3774">
        <f t="shared" si="175"/>
        <v>122.94400000000002</v>
      </c>
      <c r="M3774">
        <v>5</v>
      </c>
      <c r="N3774" t="str">
        <f t="shared" si="176"/>
        <v>Regular</v>
      </c>
    </row>
    <row r="3775" spans="1:14" x14ac:dyDescent="0.35">
      <c r="A3775">
        <v>3774</v>
      </c>
      <c r="B3775">
        <v>68</v>
      </c>
      <c r="C3775" t="str">
        <f t="shared" si="174"/>
        <v>Senior</v>
      </c>
      <c r="D3775" t="s">
        <v>16</v>
      </c>
      <c r="E3775" t="s">
        <v>20</v>
      </c>
      <c r="F3775" t="s">
        <v>39</v>
      </c>
      <c r="G3775">
        <v>110.62</v>
      </c>
      <c r="H3775" t="s">
        <v>14</v>
      </c>
      <c r="I3775" t="s">
        <v>15</v>
      </c>
      <c r="J3775">
        <v>3.9</v>
      </c>
      <c r="K3775">
        <v>15</v>
      </c>
      <c r="L3775">
        <f t="shared" si="175"/>
        <v>94.027000000000001</v>
      </c>
      <c r="M3775">
        <v>5</v>
      </c>
      <c r="N3775" t="str">
        <f t="shared" si="176"/>
        <v>Regular</v>
      </c>
    </row>
    <row r="3776" spans="1:14" x14ac:dyDescent="0.35">
      <c r="A3776">
        <v>3775</v>
      </c>
      <c r="B3776">
        <v>43</v>
      </c>
      <c r="C3776" t="str">
        <f t="shared" si="174"/>
        <v>Adult</v>
      </c>
      <c r="D3776" t="s">
        <v>11</v>
      </c>
      <c r="E3776" t="s">
        <v>12</v>
      </c>
      <c r="F3776" t="s">
        <v>56</v>
      </c>
      <c r="G3776">
        <v>178.57</v>
      </c>
      <c r="H3776" t="s">
        <v>14</v>
      </c>
      <c r="I3776" t="s">
        <v>15</v>
      </c>
      <c r="J3776">
        <v>3.2</v>
      </c>
      <c r="K3776">
        <v>16</v>
      </c>
      <c r="L3776">
        <f t="shared" si="175"/>
        <v>149.99879999999999</v>
      </c>
      <c r="M3776">
        <v>3</v>
      </c>
      <c r="N3776" t="str">
        <f t="shared" si="176"/>
        <v>New</v>
      </c>
    </row>
    <row r="3777" spans="1:14" x14ac:dyDescent="0.35">
      <c r="A3777">
        <v>3776</v>
      </c>
      <c r="B3777">
        <v>23</v>
      </c>
      <c r="C3777" t="str">
        <f t="shared" si="174"/>
        <v>Youth</v>
      </c>
      <c r="D3777" t="s">
        <v>16</v>
      </c>
      <c r="E3777" t="s">
        <v>17</v>
      </c>
      <c r="F3777" t="s">
        <v>48</v>
      </c>
      <c r="G3777">
        <v>84.91</v>
      </c>
      <c r="H3777" t="s">
        <v>24</v>
      </c>
      <c r="I3777" t="s">
        <v>15</v>
      </c>
      <c r="J3777">
        <v>2.6</v>
      </c>
      <c r="K3777">
        <v>18</v>
      </c>
      <c r="L3777">
        <f t="shared" si="175"/>
        <v>69.626199999999997</v>
      </c>
      <c r="M3777">
        <v>9</v>
      </c>
      <c r="N3777" t="str">
        <f t="shared" si="176"/>
        <v>Loyal</v>
      </c>
    </row>
    <row r="3778" spans="1:14" x14ac:dyDescent="0.35">
      <c r="A3778">
        <v>3777</v>
      </c>
      <c r="B3778">
        <v>59</v>
      </c>
      <c r="C3778" t="str">
        <f t="shared" si="174"/>
        <v>Adult</v>
      </c>
      <c r="D3778" t="s">
        <v>11</v>
      </c>
      <c r="E3778" t="s">
        <v>12</v>
      </c>
      <c r="F3778" t="s">
        <v>50</v>
      </c>
      <c r="G3778">
        <v>95.39</v>
      </c>
      <c r="H3778" t="s">
        <v>14</v>
      </c>
      <c r="I3778" t="s">
        <v>15</v>
      </c>
      <c r="J3778">
        <v>5</v>
      </c>
      <c r="K3778">
        <v>9</v>
      </c>
      <c r="L3778">
        <f t="shared" si="175"/>
        <v>86.804900000000004</v>
      </c>
      <c r="M3778">
        <v>2</v>
      </c>
      <c r="N3778" t="str">
        <f t="shared" si="176"/>
        <v>New</v>
      </c>
    </row>
    <row r="3779" spans="1:14" x14ac:dyDescent="0.35">
      <c r="A3779">
        <v>3778</v>
      </c>
      <c r="B3779">
        <v>21</v>
      </c>
      <c r="C3779" t="str">
        <f t="shared" ref="C3779:C3842" si="177">IF(B3779&lt;=30,"Youth",IF(B3779&lt;=45,"Adult",IF(B3779&lt;=60,"Adult","Senior")))</f>
        <v>Youth</v>
      </c>
      <c r="D3779" t="s">
        <v>16</v>
      </c>
      <c r="E3779" t="s">
        <v>27</v>
      </c>
      <c r="F3779" t="s">
        <v>32</v>
      </c>
      <c r="G3779">
        <v>1512.5</v>
      </c>
      <c r="H3779" t="s">
        <v>19</v>
      </c>
      <c r="I3779" t="s">
        <v>15</v>
      </c>
      <c r="J3779">
        <v>4</v>
      </c>
      <c r="K3779">
        <v>15</v>
      </c>
      <c r="L3779">
        <f t="shared" ref="L3779:L3842" si="178">G3779*(1-K3779/100)</f>
        <v>1285.625</v>
      </c>
      <c r="M3779">
        <v>5</v>
      </c>
      <c r="N3779" t="str">
        <f t="shared" ref="N3779:N3842" si="179">IF(M3779&lt;=3,"New",IF(M3779&lt;=7,"Regular","Loyal"))</f>
        <v>Regular</v>
      </c>
    </row>
    <row r="3780" spans="1:14" x14ac:dyDescent="0.35">
      <c r="A3780">
        <v>3779</v>
      </c>
      <c r="B3780">
        <v>35</v>
      </c>
      <c r="C3780" t="str">
        <f t="shared" si="177"/>
        <v>Adult</v>
      </c>
      <c r="D3780" t="s">
        <v>11</v>
      </c>
      <c r="E3780" t="s">
        <v>33</v>
      </c>
      <c r="F3780" t="s">
        <v>38</v>
      </c>
      <c r="G3780">
        <v>68.790000000000006</v>
      </c>
      <c r="H3780" t="s">
        <v>19</v>
      </c>
      <c r="I3780" t="s">
        <v>37</v>
      </c>
      <c r="J3780">
        <v>5</v>
      </c>
      <c r="K3780">
        <v>20</v>
      </c>
      <c r="L3780">
        <f t="shared" si="178"/>
        <v>55.032000000000011</v>
      </c>
      <c r="M3780">
        <v>5</v>
      </c>
      <c r="N3780" t="str">
        <f t="shared" si="179"/>
        <v>Regular</v>
      </c>
    </row>
    <row r="3781" spans="1:14" x14ac:dyDescent="0.35">
      <c r="A3781">
        <v>3780</v>
      </c>
      <c r="B3781">
        <v>26</v>
      </c>
      <c r="C3781" t="str">
        <f t="shared" si="177"/>
        <v>Youth</v>
      </c>
      <c r="D3781" t="s">
        <v>11</v>
      </c>
      <c r="E3781" t="s">
        <v>29</v>
      </c>
      <c r="F3781" t="s">
        <v>55</v>
      </c>
      <c r="G3781">
        <v>30.17</v>
      </c>
      <c r="H3781" t="s">
        <v>19</v>
      </c>
      <c r="I3781" t="s">
        <v>15</v>
      </c>
      <c r="J3781">
        <v>2.8</v>
      </c>
      <c r="K3781">
        <v>13</v>
      </c>
      <c r="L3781">
        <f t="shared" si="178"/>
        <v>26.247900000000001</v>
      </c>
      <c r="M3781">
        <v>4</v>
      </c>
      <c r="N3781" t="str">
        <f t="shared" si="179"/>
        <v>Regular</v>
      </c>
    </row>
    <row r="3782" spans="1:14" x14ac:dyDescent="0.35">
      <c r="A3782">
        <v>3781</v>
      </c>
      <c r="B3782">
        <v>40</v>
      </c>
      <c r="C3782" t="str">
        <f t="shared" si="177"/>
        <v>Adult</v>
      </c>
      <c r="D3782" t="s">
        <v>16</v>
      </c>
      <c r="E3782" t="s">
        <v>20</v>
      </c>
      <c r="F3782" t="s">
        <v>36</v>
      </c>
      <c r="G3782">
        <v>199.87</v>
      </c>
      <c r="H3782" t="s">
        <v>14</v>
      </c>
      <c r="I3782" t="s">
        <v>15</v>
      </c>
      <c r="J3782">
        <v>3.1</v>
      </c>
      <c r="K3782">
        <v>7</v>
      </c>
      <c r="L3782">
        <f t="shared" si="178"/>
        <v>185.87909999999999</v>
      </c>
      <c r="M3782">
        <v>1</v>
      </c>
      <c r="N3782" t="str">
        <f t="shared" si="179"/>
        <v>New</v>
      </c>
    </row>
    <row r="3783" spans="1:14" x14ac:dyDescent="0.35">
      <c r="A3783">
        <v>3782</v>
      </c>
      <c r="B3783">
        <v>24</v>
      </c>
      <c r="C3783" t="str">
        <f t="shared" si="177"/>
        <v>Youth</v>
      </c>
      <c r="D3783" t="s">
        <v>11</v>
      </c>
      <c r="E3783" t="s">
        <v>29</v>
      </c>
      <c r="F3783" t="s">
        <v>55</v>
      </c>
      <c r="G3783">
        <v>47.98</v>
      </c>
      <c r="H3783" t="s">
        <v>31</v>
      </c>
      <c r="I3783" t="s">
        <v>15</v>
      </c>
      <c r="J3783">
        <v>4.5999999999999996</v>
      </c>
      <c r="K3783">
        <v>4</v>
      </c>
      <c r="L3783">
        <f t="shared" si="178"/>
        <v>46.060799999999993</v>
      </c>
      <c r="M3783">
        <v>2</v>
      </c>
      <c r="N3783" t="str">
        <f t="shared" si="179"/>
        <v>New</v>
      </c>
    </row>
    <row r="3784" spans="1:14" x14ac:dyDescent="0.35">
      <c r="A3784">
        <v>3783</v>
      </c>
      <c r="B3784">
        <v>68</v>
      </c>
      <c r="C3784" t="str">
        <f t="shared" si="177"/>
        <v>Senior</v>
      </c>
      <c r="D3784" t="s">
        <v>11</v>
      </c>
      <c r="E3784" t="s">
        <v>41</v>
      </c>
      <c r="F3784" t="s">
        <v>45</v>
      </c>
      <c r="G3784">
        <v>184.65</v>
      </c>
      <c r="H3784" t="s">
        <v>31</v>
      </c>
      <c r="I3784" t="s">
        <v>15</v>
      </c>
      <c r="J3784">
        <v>3.4</v>
      </c>
      <c r="K3784">
        <v>14</v>
      </c>
      <c r="L3784">
        <f t="shared" si="178"/>
        <v>158.79900000000001</v>
      </c>
      <c r="M3784">
        <v>2</v>
      </c>
      <c r="N3784" t="str">
        <f t="shared" si="179"/>
        <v>New</v>
      </c>
    </row>
    <row r="3785" spans="1:14" x14ac:dyDescent="0.35">
      <c r="A3785">
        <v>3784</v>
      </c>
      <c r="B3785">
        <v>39</v>
      </c>
      <c r="C3785" t="str">
        <f t="shared" si="177"/>
        <v>Adult</v>
      </c>
      <c r="D3785" t="s">
        <v>11</v>
      </c>
      <c r="E3785" t="s">
        <v>20</v>
      </c>
      <c r="F3785" t="s">
        <v>21</v>
      </c>
      <c r="G3785">
        <v>101.5</v>
      </c>
      <c r="H3785" t="s">
        <v>31</v>
      </c>
      <c r="I3785" t="s">
        <v>15</v>
      </c>
      <c r="J3785">
        <v>4.5</v>
      </c>
      <c r="K3785">
        <v>20</v>
      </c>
      <c r="L3785">
        <f t="shared" si="178"/>
        <v>81.2</v>
      </c>
      <c r="M3785">
        <v>5</v>
      </c>
      <c r="N3785" t="str">
        <f t="shared" si="179"/>
        <v>Regular</v>
      </c>
    </row>
    <row r="3786" spans="1:14" x14ac:dyDescent="0.35">
      <c r="A3786">
        <v>3785</v>
      </c>
      <c r="B3786">
        <v>27</v>
      </c>
      <c r="C3786" t="str">
        <f t="shared" si="177"/>
        <v>Youth</v>
      </c>
      <c r="D3786" t="s">
        <v>16</v>
      </c>
      <c r="E3786" t="s">
        <v>27</v>
      </c>
      <c r="F3786" t="s">
        <v>28</v>
      </c>
      <c r="G3786">
        <v>502.45</v>
      </c>
      <c r="H3786" t="s">
        <v>24</v>
      </c>
      <c r="I3786" t="s">
        <v>15</v>
      </c>
      <c r="J3786">
        <v>5</v>
      </c>
      <c r="K3786">
        <v>16</v>
      </c>
      <c r="L3786">
        <f t="shared" si="178"/>
        <v>422.05799999999999</v>
      </c>
      <c r="M3786">
        <v>3</v>
      </c>
      <c r="N3786" t="str">
        <f t="shared" si="179"/>
        <v>New</v>
      </c>
    </row>
    <row r="3787" spans="1:14" x14ac:dyDescent="0.35">
      <c r="A3787">
        <v>3786</v>
      </c>
      <c r="B3787">
        <v>29</v>
      </c>
      <c r="C3787" t="str">
        <f t="shared" si="177"/>
        <v>Youth</v>
      </c>
      <c r="D3787" t="s">
        <v>11</v>
      </c>
      <c r="E3787" t="s">
        <v>29</v>
      </c>
      <c r="F3787" t="s">
        <v>55</v>
      </c>
      <c r="G3787">
        <v>137</v>
      </c>
      <c r="H3787" t="s">
        <v>14</v>
      </c>
      <c r="I3787" t="s">
        <v>15</v>
      </c>
      <c r="J3787">
        <v>4.7</v>
      </c>
      <c r="K3787">
        <v>22</v>
      </c>
      <c r="L3787">
        <f t="shared" si="178"/>
        <v>106.86</v>
      </c>
      <c r="M3787">
        <v>6</v>
      </c>
      <c r="N3787" t="str">
        <f t="shared" si="179"/>
        <v>Regular</v>
      </c>
    </row>
    <row r="3788" spans="1:14" x14ac:dyDescent="0.35">
      <c r="A3788">
        <v>3787</v>
      </c>
      <c r="B3788">
        <v>21</v>
      </c>
      <c r="C3788" t="str">
        <f t="shared" si="177"/>
        <v>Youth</v>
      </c>
      <c r="D3788" t="s">
        <v>16</v>
      </c>
      <c r="E3788" t="s">
        <v>20</v>
      </c>
      <c r="F3788" t="s">
        <v>39</v>
      </c>
      <c r="G3788">
        <v>137.18</v>
      </c>
      <c r="H3788" t="s">
        <v>31</v>
      </c>
      <c r="I3788" t="s">
        <v>15</v>
      </c>
      <c r="J3788">
        <v>2.8</v>
      </c>
      <c r="K3788">
        <v>12</v>
      </c>
      <c r="L3788">
        <f t="shared" si="178"/>
        <v>120.7184</v>
      </c>
      <c r="M3788">
        <v>6</v>
      </c>
      <c r="N3788" t="str">
        <f t="shared" si="179"/>
        <v>Regular</v>
      </c>
    </row>
    <row r="3789" spans="1:14" x14ac:dyDescent="0.35">
      <c r="A3789">
        <v>3788</v>
      </c>
      <c r="B3789">
        <v>52</v>
      </c>
      <c r="C3789" t="str">
        <f t="shared" si="177"/>
        <v>Adult</v>
      </c>
      <c r="D3789" t="s">
        <v>11</v>
      </c>
      <c r="E3789" t="s">
        <v>20</v>
      </c>
      <c r="F3789" t="s">
        <v>21</v>
      </c>
      <c r="G3789">
        <v>129.61000000000001</v>
      </c>
      <c r="H3789" t="s">
        <v>14</v>
      </c>
      <c r="I3789" t="s">
        <v>15</v>
      </c>
      <c r="J3789">
        <v>3.8</v>
      </c>
      <c r="K3789">
        <v>11</v>
      </c>
      <c r="L3789">
        <f t="shared" si="178"/>
        <v>115.35290000000002</v>
      </c>
      <c r="M3789">
        <v>3</v>
      </c>
      <c r="N3789" t="str">
        <f t="shared" si="179"/>
        <v>New</v>
      </c>
    </row>
    <row r="3790" spans="1:14" x14ac:dyDescent="0.35">
      <c r="A3790">
        <v>3789</v>
      </c>
      <c r="B3790">
        <v>39</v>
      </c>
      <c r="C3790" t="str">
        <f t="shared" si="177"/>
        <v>Adult</v>
      </c>
      <c r="D3790" t="s">
        <v>11</v>
      </c>
      <c r="E3790" t="s">
        <v>33</v>
      </c>
      <c r="F3790" t="s">
        <v>40</v>
      </c>
      <c r="G3790">
        <v>129.19</v>
      </c>
      <c r="H3790" t="s">
        <v>19</v>
      </c>
      <c r="I3790" t="s">
        <v>15</v>
      </c>
      <c r="J3790">
        <v>3.5</v>
      </c>
      <c r="K3790">
        <v>11</v>
      </c>
      <c r="L3790">
        <f t="shared" si="178"/>
        <v>114.9791</v>
      </c>
      <c r="M3790">
        <v>3</v>
      </c>
      <c r="N3790" t="str">
        <f t="shared" si="179"/>
        <v>New</v>
      </c>
    </row>
    <row r="3791" spans="1:14" x14ac:dyDescent="0.35">
      <c r="A3791">
        <v>3790</v>
      </c>
      <c r="B3791">
        <v>65</v>
      </c>
      <c r="C3791" t="str">
        <f t="shared" si="177"/>
        <v>Senior</v>
      </c>
      <c r="D3791" t="s">
        <v>16</v>
      </c>
      <c r="E3791" t="s">
        <v>20</v>
      </c>
      <c r="F3791" t="s">
        <v>21</v>
      </c>
      <c r="G3791">
        <v>154.65</v>
      </c>
      <c r="H3791" t="s">
        <v>24</v>
      </c>
      <c r="I3791" t="s">
        <v>15</v>
      </c>
      <c r="J3791">
        <v>3.1</v>
      </c>
      <c r="K3791">
        <v>18</v>
      </c>
      <c r="L3791">
        <f t="shared" si="178"/>
        <v>126.81300000000002</v>
      </c>
      <c r="M3791">
        <v>4</v>
      </c>
      <c r="N3791" t="str">
        <f t="shared" si="179"/>
        <v>Regular</v>
      </c>
    </row>
    <row r="3792" spans="1:14" x14ac:dyDescent="0.35">
      <c r="A3792">
        <v>3791</v>
      </c>
      <c r="B3792">
        <v>67</v>
      </c>
      <c r="C3792" t="str">
        <f t="shared" si="177"/>
        <v>Senior</v>
      </c>
      <c r="D3792" t="s">
        <v>11</v>
      </c>
      <c r="E3792" t="s">
        <v>41</v>
      </c>
      <c r="F3792" t="s">
        <v>42</v>
      </c>
      <c r="G3792">
        <v>54.55</v>
      </c>
      <c r="H3792" t="s">
        <v>14</v>
      </c>
      <c r="I3792" t="s">
        <v>15</v>
      </c>
      <c r="J3792">
        <v>4.7</v>
      </c>
      <c r="K3792">
        <v>19</v>
      </c>
      <c r="L3792">
        <f t="shared" si="178"/>
        <v>44.185499999999998</v>
      </c>
      <c r="M3792">
        <v>7</v>
      </c>
      <c r="N3792" t="str">
        <f t="shared" si="179"/>
        <v>Regular</v>
      </c>
    </row>
    <row r="3793" spans="1:14" x14ac:dyDescent="0.35">
      <c r="A3793">
        <v>3792</v>
      </c>
      <c r="B3793">
        <v>21</v>
      </c>
      <c r="C3793" t="str">
        <f t="shared" si="177"/>
        <v>Youth</v>
      </c>
      <c r="D3793" t="s">
        <v>16</v>
      </c>
      <c r="E3793" t="s">
        <v>20</v>
      </c>
      <c r="F3793" t="s">
        <v>36</v>
      </c>
      <c r="G3793">
        <v>77.209999999999994</v>
      </c>
      <c r="H3793" t="s">
        <v>19</v>
      </c>
      <c r="I3793" t="s">
        <v>15</v>
      </c>
      <c r="J3793">
        <v>4.3</v>
      </c>
      <c r="K3793">
        <v>19</v>
      </c>
      <c r="L3793">
        <f t="shared" si="178"/>
        <v>62.540100000000002</v>
      </c>
      <c r="M3793">
        <v>7</v>
      </c>
      <c r="N3793" t="str">
        <f t="shared" si="179"/>
        <v>Regular</v>
      </c>
    </row>
    <row r="3794" spans="1:14" x14ac:dyDescent="0.35">
      <c r="A3794">
        <v>3793</v>
      </c>
      <c r="B3794">
        <v>62</v>
      </c>
      <c r="C3794" t="str">
        <f t="shared" si="177"/>
        <v>Senior</v>
      </c>
      <c r="D3794" t="s">
        <v>16</v>
      </c>
      <c r="E3794" t="s">
        <v>27</v>
      </c>
      <c r="F3794" t="s">
        <v>49</v>
      </c>
      <c r="G3794">
        <v>1865.21</v>
      </c>
      <c r="H3794" t="s">
        <v>24</v>
      </c>
      <c r="I3794" t="s">
        <v>15</v>
      </c>
      <c r="J3794">
        <v>3.9</v>
      </c>
      <c r="K3794">
        <v>14</v>
      </c>
      <c r="L3794">
        <f t="shared" si="178"/>
        <v>1604.0806</v>
      </c>
      <c r="M3794">
        <v>2</v>
      </c>
      <c r="N3794" t="str">
        <f t="shared" si="179"/>
        <v>New</v>
      </c>
    </row>
    <row r="3795" spans="1:14" x14ac:dyDescent="0.35">
      <c r="A3795">
        <v>3794</v>
      </c>
      <c r="B3795">
        <v>52</v>
      </c>
      <c r="C3795" t="str">
        <f t="shared" si="177"/>
        <v>Adult</v>
      </c>
      <c r="D3795" t="s">
        <v>11</v>
      </c>
      <c r="E3795" t="s">
        <v>29</v>
      </c>
      <c r="F3795" t="s">
        <v>55</v>
      </c>
      <c r="G3795">
        <v>97.56</v>
      </c>
      <c r="H3795" t="s">
        <v>31</v>
      </c>
      <c r="I3795" t="s">
        <v>15</v>
      </c>
      <c r="J3795">
        <v>3.6</v>
      </c>
      <c r="K3795">
        <v>15</v>
      </c>
      <c r="L3795">
        <f t="shared" si="178"/>
        <v>82.926000000000002</v>
      </c>
      <c r="M3795">
        <v>5</v>
      </c>
      <c r="N3795" t="str">
        <f t="shared" si="179"/>
        <v>Regular</v>
      </c>
    </row>
    <row r="3796" spans="1:14" x14ac:dyDescent="0.35">
      <c r="A3796">
        <v>3795</v>
      </c>
      <c r="B3796">
        <v>28</v>
      </c>
      <c r="C3796" t="str">
        <f t="shared" si="177"/>
        <v>Youth</v>
      </c>
      <c r="D3796" t="s">
        <v>16</v>
      </c>
      <c r="E3796" t="s">
        <v>27</v>
      </c>
      <c r="F3796" t="s">
        <v>32</v>
      </c>
      <c r="G3796">
        <v>2248.23</v>
      </c>
      <c r="H3796" t="s">
        <v>19</v>
      </c>
      <c r="I3796" t="s">
        <v>15</v>
      </c>
      <c r="J3796">
        <v>3.6</v>
      </c>
      <c r="K3796">
        <v>23</v>
      </c>
      <c r="L3796">
        <f t="shared" si="178"/>
        <v>1731.1371000000001</v>
      </c>
      <c r="M3796">
        <v>9</v>
      </c>
      <c r="N3796" t="str">
        <f t="shared" si="179"/>
        <v>Loyal</v>
      </c>
    </row>
    <row r="3797" spans="1:14" x14ac:dyDescent="0.35">
      <c r="A3797">
        <v>3796</v>
      </c>
      <c r="B3797">
        <v>59</v>
      </c>
      <c r="C3797" t="str">
        <f t="shared" si="177"/>
        <v>Adult</v>
      </c>
      <c r="D3797" t="s">
        <v>11</v>
      </c>
      <c r="E3797" t="s">
        <v>25</v>
      </c>
      <c r="F3797" t="s">
        <v>54</v>
      </c>
      <c r="G3797">
        <v>26.78</v>
      </c>
      <c r="H3797" t="s">
        <v>24</v>
      </c>
      <c r="I3797" t="s">
        <v>15</v>
      </c>
      <c r="J3797">
        <v>5</v>
      </c>
      <c r="K3797">
        <v>19</v>
      </c>
      <c r="L3797">
        <f t="shared" si="178"/>
        <v>21.691800000000001</v>
      </c>
      <c r="M3797">
        <v>7</v>
      </c>
      <c r="N3797" t="str">
        <f t="shared" si="179"/>
        <v>Regular</v>
      </c>
    </row>
    <row r="3798" spans="1:14" x14ac:dyDescent="0.35">
      <c r="A3798">
        <v>3797</v>
      </c>
      <c r="B3798">
        <v>67</v>
      </c>
      <c r="C3798" t="str">
        <f t="shared" si="177"/>
        <v>Senior</v>
      </c>
      <c r="D3798" t="s">
        <v>11</v>
      </c>
      <c r="E3798" t="s">
        <v>29</v>
      </c>
      <c r="F3798" t="s">
        <v>30</v>
      </c>
      <c r="G3798">
        <v>99.35</v>
      </c>
      <c r="H3798" t="s">
        <v>14</v>
      </c>
      <c r="I3798" t="s">
        <v>37</v>
      </c>
      <c r="J3798">
        <v>4</v>
      </c>
      <c r="K3798">
        <v>15</v>
      </c>
      <c r="L3798">
        <f t="shared" si="178"/>
        <v>84.447499999999991</v>
      </c>
      <c r="M3798">
        <v>5</v>
      </c>
      <c r="N3798" t="str">
        <f t="shared" si="179"/>
        <v>Regular</v>
      </c>
    </row>
    <row r="3799" spans="1:14" x14ac:dyDescent="0.35">
      <c r="A3799">
        <v>3798</v>
      </c>
      <c r="B3799">
        <v>35</v>
      </c>
      <c r="C3799" t="str">
        <f t="shared" si="177"/>
        <v>Adult</v>
      </c>
      <c r="D3799" t="s">
        <v>16</v>
      </c>
      <c r="E3799" t="s">
        <v>27</v>
      </c>
      <c r="F3799" t="s">
        <v>32</v>
      </c>
      <c r="G3799">
        <v>1797.25</v>
      </c>
      <c r="H3799" t="s">
        <v>24</v>
      </c>
      <c r="I3799" t="s">
        <v>15</v>
      </c>
      <c r="J3799">
        <v>4.5</v>
      </c>
      <c r="K3799">
        <v>8</v>
      </c>
      <c r="L3799">
        <f t="shared" si="178"/>
        <v>1653.47</v>
      </c>
      <c r="M3799">
        <v>4</v>
      </c>
      <c r="N3799" t="str">
        <f t="shared" si="179"/>
        <v>Regular</v>
      </c>
    </row>
    <row r="3800" spans="1:14" x14ac:dyDescent="0.35">
      <c r="A3800">
        <v>3799</v>
      </c>
      <c r="B3800">
        <v>68</v>
      </c>
      <c r="C3800" t="str">
        <f t="shared" si="177"/>
        <v>Senior</v>
      </c>
      <c r="D3800" t="s">
        <v>16</v>
      </c>
      <c r="E3800" t="s">
        <v>27</v>
      </c>
      <c r="F3800" t="s">
        <v>53</v>
      </c>
      <c r="G3800">
        <v>2202.2600000000002</v>
      </c>
      <c r="H3800" t="s">
        <v>19</v>
      </c>
      <c r="I3800" t="s">
        <v>15</v>
      </c>
      <c r="J3800">
        <v>3.9</v>
      </c>
      <c r="K3800">
        <v>15</v>
      </c>
      <c r="L3800">
        <f t="shared" si="178"/>
        <v>1871.921</v>
      </c>
      <c r="M3800">
        <v>5</v>
      </c>
      <c r="N3800" t="str">
        <f t="shared" si="179"/>
        <v>Regular</v>
      </c>
    </row>
    <row r="3801" spans="1:14" x14ac:dyDescent="0.35">
      <c r="A3801">
        <v>3800</v>
      </c>
      <c r="B3801">
        <v>43</v>
      </c>
      <c r="C3801" t="str">
        <f t="shared" si="177"/>
        <v>Adult</v>
      </c>
      <c r="D3801" t="s">
        <v>11</v>
      </c>
      <c r="E3801" t="s">
        <v>12</v>
      </c>
      <c r="F3801" t="s">
        <v>56</v>
      </c>
      <c r="G3801">
        <v>109.12</v>
      </c>
      <c r="H3801" t="s">
        <v>24</v>
      </c>
      <c r="I3801" t="s">
        <v>15</v>
      </c>
      <c r="J3801">
        <v>3.6</v>
      </c>
      <c r="K3801">
        <v>16</v>
      </c>
      <c r="L3801">
        <f t="shared" si="178"/>
        <v>91.660799999999995</v>
      </c>
      <c r="M3801">
        <v>3</v>
      </c>
      <c r="N3801" t="str">
        <f t="shared" si="179"/>
        <v>New</v>
      </c>
    </row>
    <row r="3802" spans="1:14" x14ac:dyDescent="0.35">
      <c r="A3802">
        <v>3801</v>
      </c>
      <c r="B3802">
        <v>21</v>
      </c>
      <c r="C3802" t="str">
        <f t="shared" si="177"/>
        <v>Youth</v>
      </c>
      <c r="D3802" t="s">
        <v>11</v>
      </c>
      <c r="E3802" t="s">
        <v>29</v>
      </c>
      <c r="F3802" t="s">
        <v>55</v>
      </c>
      <c r="G3802">
        <v>76.900000000000006</v>
      </c>
      <c r="H3802" t="s">
        <v>19</v>
      </c>
      <c r="I3802" t="s">
        <v>15</v>
      </c>
      <c r="J3802">
        <v>4.9000000000000004</v>
      </c>
      <c r="K3802">
        <v>17</v>
      </c>
      <c r="L3802">
        <f t="shared" si="178"/>
        <v>63.826999999999998</v>
      </c>
      <c r="M3802">
        <v>6</v>
      </c>
      <c r="N3802" t="str">
        <f t="shared" si="179"/>
        <v>Regular</v>
      </c>
    </row>
    <row r="3803" spans="1:14" x14ac:dyDescent="0.35">
      <c r="A3803">
        <v>3802</v>
      </c>
      <c r="B3803">
        <v>51</v>
      </c>
      <c r="C3803" t="str">
        <f t="shared" si="177"/>
        <v>Adult</v>
      </c>
      <c r="D3803" t="s">
        <v>11</v>
      </c>
      <c r="E3803" t="s">
        <v>12</v>
      </c>
      <c r="F3803" t="s">
        <v>56</v>
      </c>
      <c r="G3803">
        <v>99.61</v>
      </c>
      <c r="H3803" t="s">
        <v>24</v>
      </c>
      <c r="I3803" t="s">
        <v>15</v>
      </c>
      <c r="J3803">
        <v>3.8</v>
      </c>
      <c r="K3803">
        <v>20</v>
      </c>
      <c r="L3803">
        <f t="shared" si="178"/>
        <v>79.688000000000002</v>
      </c>
      <c r="M3803">
        <v>10</v>
      </c>
      <c r="N3803" t="str">
        <f t="shared" si="179"/>
        <v>Loyal</v>
      </c>
    </row>
    <row r="3804" spans="1:14" x14ac:dyDescent="0.35">
      <c r="A3804">
        <v>3803</v>
      </c>
      <c r="B3804">
        <v>64</v>
      </c>
      <c r="C3804" t="str">
        <f t="shared" si="177"/>
        <v>Senior</v>
      </c>
      <c r="D3804" t="s">
        <v>11</v>
      </c>
      <c r="E3804" t="s">
        <v>29</v>
      </c>
      <c r="F3804" t="s">
        <v>30</v>
      </c>
      <c r="G3804">
        <v>81.88</v>
      </c>
      <c r="H3804" t="s">
        <v>14</v>
      </c>
      <c r="I3804" t="s">
        <v>37</v>
      </c>
      <c r="J3804">
        <v>4.5999999999999996</v>
      </c>
      <c r="K3804">
        <v>18</v>
      </c>
      <c r="L3804">
        <f t="shared" si="178"/>
        <v>67.141599999999997</v>
      </c>
      <c r="M3804">
        <v>4</v>
      </c>
      <c r="N3804" t="str">
        <f t="shared" si="179"/>
        <v>Regular</v>
      </c>
    </row>
    <row r="3805" spans="1:14" x14ac:dyDescent="0.35">
      <c r="A3805">
        <v>3804</v>
      </c>
      <c r="B3805">
        <v>38</v>
      </c>
      <c r="C3805" t="str">
        <f t="shared" si="177"/>
        <v>Adult</v>
      </c>
      <c r="D3805" t="s">
        <v>11</v>
      </c>
      <c r="E3805" t="s">
        <v>20</v>
      </c>
      <c r="F3805" t="s">
        <v>36</v>
      </c>
      <c r="G3805">
        <v>211.85</v>
      </c>
      <c r="H3805" t="s">
        <v>31</v>
      </c>
      <c r="I3805" t="s">
        <v>15</v>
      </c>
      <c r="J3805">
        <v>4.5</v>
      </c>
      <c r="K3805">
        <v>2</v>
      </c>
      <c r="L3805">
        <f t="shared" si="178"/>
        <v>207.613</v>
      </c>
      <c r="M3805">
        <v>1</v>
      </c>
      <c r="N3805" t="str">
        <f t="shared" si="179"/>
        <v>New</v>
      </c>
    </row>
    <row r="3806" spans="1:14" x14ac:dyDescent="0.35">
      <c r="A3806">
        <v>3805</v>
      </c>
      <c r="B3806">
        <v>60</v>
      </c>
      <c r="C3806" t="str">
        <f t="shared" si="177"/>
        <v>Adult</v>
      </c>
      <c r="D3806" t="s">
        <v>11</v>
      </c>
      <c r="E3806" t="s">
        <v>29</v>
      </c>
      <c r="F3806" t="s">
        <v>51</v>
      </c>
      <c r="G3806">
        <v>72.84</v>
      </c>
      <c r="H3806" t="s">
        <v>19</v>
      </c>
      <c r="I3806" t="s">
        <v>15</v>
      </c>
      <c r="J3806">
        <v>4.5</v>
      </c>
      <c r="K3806">
        <v>13</v>
      </c>
      <c r="L3806">
        <f t="shared" si="178"/>
        <v>63.370800000000003</v>
      </c>
      <c r="M3806">
        <v>4</v>
      </c>
      <c r="N3806" t="str">
        <f t="shared" si="179"/>
        <v>Regular</v>
      </c>
    </row>
    <row r="3807" spans="1:14" x14ac:dyDescent="0.35">
      <c r="A3807">
        <v>3806</v>
      </c>
      <c r="B3807">
        <v>33</v>
      </c>
      <c r="C3807" t="str">
        <f t="shared" si="177"/>
        <v>Adult</v>
      </c>
      <c r="D3807" t="s">
        <v>11</v>
      </c>
      <c r="E3807" t="s">
        <v>12</v>
      </c>
      <c r="F3807" t="s">
        <v>56</v>
      </c>
      <c r="G3807">
        <v>126.38</v>
      </c>
      <c r="H3807" t="s">
        <v>24</v>
      </c>
      <c r="I3807" t="s">
        <v>15</v>
      </c>
      <c r="J3807">
        <v>2.8</v>
      </c>
      <c r="K3807">
        <v>12</v>
      </c>
      <c r="L3807">
        <f t="shared" si="178"/>
        <v>111.2144</v>
      </c>
      <c r="M3807">
        <v>6</v>
      </c>
      <c r="N3807" t="str">
        <f t="shared" si="179"/>
        <v>Regular</v>
      </c>
    </row>
    <row r="3808" spans="1:14" x14ac:dyDescent="0.35">
      <c r="A3808">
        <v>3807</v>
      </c>
      <c r="B3808">
        <v>25</v>
      </c>
      <c r="C3808" t="str">
        <f t="shared" si="177"/>
        <v>Youth</v>
      </c>
      <c r="D3808" t="s">
        <v>11</v>
      </c>
      <c r="E3808" t="s">
        <v>20</v>
      </c>
      <c r="F3808" t="s">
        <v>39</v>
      </c>
      <c r="G3808">
        <v>91.07</v>
      </c>
      <c r="H3808" t="s">
        <v>31</v>
      </c>
      <c r="I3808" t="s">
        <v>15</v>
      </c>
      <c r="J3808">
        <v>4.0999999999999996</v>
      </c>
      <c r="K3808">
        <v>30</v>
      </c>
      <c r="L3808">
        <f t="shared" si="178"/>
        <v>63.748999999999988</v>
      </c>
      <c r="M3808">
        <v>10</v>
      </c>
      <c r="N3808" t="str">
        <f t="shared" si="179"/>
        <v>Loyal</v>
      </c>
    </row>
    <row r="3809" spans="1:14" x14ac:dyDescent="0.35">
      <c r="A3809">
        <v>3808</v>
      </c>
      <c r="B3809">
        <v>42</v>
      </c>
      <c r="C3809" t="str">
        <f t="shared" si="177"/>
        <v>Adult</v>
      </c>
      <c r="D3809" t="s">
        <v>16</v>
      </c>
      <c r="E3809" t="s">
        <v>17</v>
      </c>
      <c r="F3809" t="s">
        <v>48</v>
      </c>
      <c r="G3809">
        <v>104.3</v>
      </c>
      <c r="H3809" t="s">
        <v>31</v>
      </c>
      <c r="I3809" t="s">
        <v>15</v>
      </c>
      <c r="J3809">
        <v>4.7</v>
      </c>
      <c r="K3809">
        <v>11</v>
      </c>
      <c r="L3809">
        <f t="shared" si="178"/>
        <v>92.826999999999998</v>
      </c>
      <c r="M3809">
        <v>3</v>
      </c>
      <c r="N3809" t="str">
        <f t="shared" si="179"/>
        <v>New</v>
      </c>
    </row>
    <row r="3810" spans="1:14" x14ac:dyDescent="0.35">
      <c r="A3810">
        <v>3809</v>
      </c>
      <c r="B3810">
        <v>36</v>
      </c>
      <c r="C3810" t="str">
        <f t="shared" si="177"/>
        <v>Adult</v>
      </c>
      <c r="D3810" t="s">
        <v>11</v>
      </c>
      <c r="E3810" t="s">
        <v>33</v>
      </c>
      <c r="F3810" t="s">
        <v>34</v>
      </c>
      <c r="G3810">
        <v>142.78</v>
      </c>
      <c r="H3810" t="s">
        <v>19</v>
      </c>
      <c r="I3810" t="s">
        <v>15</v>
      </c>
      <c r="J3810">
        <v>3.7</v>
      </c>
      <c r="K3810">
        <v>24</v>
      </c>
      <c r="L3810">
        <f t="shared" si="178"/>
        <v>108.5128</v>
      </c>
      <c r="M3810">
        <v>7</v>
      </c>
      <c r="N3810" t="str">
        <f t="shared" si="179"/>
        <v>Regular</v>
      </c>
    </row>
    <row r="3811" spans="1:14" x14ac:dyDescent="0.35">
      <c r="A3811">
        <v>3810</v>
      </c>
      <c r="B3811">
        <v>64</v>
      </c>
      <c r="C3811" t="str">
        <f t="shared" si="177"/>
        <v>Senior</v>
      </c>
      <c r="D3811" t="s">
        <v>11</v>
      </c>
      <c r="E3811" t="s">
        <v>41</v>
      </c>
      <c r="F3811" t="s">
        <v>44</v>
      </c>
      <c r="G3811">
        <v>152.88</v>
      </c>
      <c r="H3811" t="s">
        <v>14</v>
      </c>
      <c r="I3811" t="s">
        <v>15</v>
      </c>
      <c r="J3811">
        <v>4</v>
      </c>
      <c r="K3811">
        <v>12</v>
      </c>
      <c r="L3811">
        <f t="shared" si="178"/>
        <v>134.53440000000001</v>
      </c>
      <c r="M3811">
        <v>6</v>
      </c>
      <c r="N3811" t="str">
        <f t="shared" si="179"/>
        <v>Regular</v>
      </c>
    </row>
    <row r="3812" spans="1:14" x14ac:dyDescent="0.35">
      <c r="A3812">
        <v>3811</v>
      </c>
      <c r="B3812">
        <v>33</v>
      </c>
      <c r="C3812" t="str">
        <f t="shared" si="177"/>
        <v>Adult</v>
      </c>
      <c r="D3812" t="s">
        <v>11</v>
      </c>
      <c r="E3812" t="s">
        <v>12</v>
      </c>
      <c r="F3812" t="s">
        <v>56</v>
      </c>
      <c r="G3812">
        <v>92.62</v>
      </c>
      <c r="H3812" t="s">
        <v>14</v>
      </c>
      <c r="I3812" t="s">
        <v>15</v>
      </c>
      <c r="J3812">
        <v>3.4</v>
      </c>
      <c r="K3812">
        <v>10</v>
      </c>
      <c r="L3812">
        <f t="shared" si="178"/>
        <v>83.358000000000004</v>
      </c>
      <c r="M3812">
        <v>5</v>
      </c>
      <c r="N3812" t="str">
        <f t="shared" si="179"/>
        <v>Regular</v>
      </c>
    </row>
    <row r="3813" spans="1:14" x14ac:dyDescent="0.35">
      <c r="A3813">
        <v>3812</v>
      </c>
      <c r="B3813">
        <v>24</v>
      </c>
      <c r="C3813" t="str">
        <f t="shared" si="177"/>
        <v>Youth</v>
      </c>
      <c r="D3813" t="s">
        <v>11</v>
      </c>
      <c r="E3813" t="s">
        <v>29</v>
      </c>
      <c r="F3813" t="s">
        <v>51</v>
      </c>
      <c r="G3813">
        <v>35.21</v>
      </c>
      <c r="H3813" t="s">
        <v>31</v>
      </c>
      <c r="I3813" t="s">
        <v>15</v>
      </c>
      <c r="J3813">
        <v>3.5</v>
      </c>
      <c r="K3813">
        <v>7</v>
      </c>
      <c r="L3813">
        <f t="shared" si="178"/>
        <v>32.7453</v>
      </c>
      <c r="M3813">
        <v>1</v>
      </c>
      <c r="N3813" t="str">
        <f t="shared" si="179"/>
        <v>New</v>
      </c>
    </row>
    <row r="3814" spans="1:14" x14ac:dyDescent="0.35">
      <c r="A3814">
        <v>3813</v>
      </c>
      <c r="B3814">
        <v>55</v>
      </c>
      <c r="C3814" t="str">
        <f t="shared" si="177"/>
        <v>Adult</v>
      </c>
      <c r="D3814" t="s">
        <v>11</v>
      </c>
      <c r="E3814" t="s">
        <v>29</v>
      </c>
      <c r="F3814" t="s">
        <v>51</v>
      </c>
      <c r="G3814">
        <v>63.85</v>
      </c>
      <c r="H3814" t="s">
        <v>24</v>
      </c>
      <c r="I3814" t="s">
        <v>15</v>
      </c>
      <c r="J3814">
        <v>4</v>
      </c>
      <c r="K3814">
        <v>17</v>
      </c>
      <c r="L3814">
        <f t="shared" si="178"/>
        <v>52.9955</v>
      </c>
      <c r="M3814">
        <v>6</v>
      </c>
      <c r="N3814" t="str">
        <f t="shared" si="179"/>
        <v>Regular</v>
      </c>
    </row>
    <row r="3815" spans="1:14" x14ac:dyDescent="0.35">
      <c r="A3815">
        <v>3814</v>
      </c>
      <c r="B3815">
        <v>31</v>
      </c>
      <c r="C3815" t="str">
        <f t="shared" si="177"/>
        <v>Adult</v>
      </c>
      <c r="D3815" t="s">
        <v>16</v>
      </c>
      <c r="E3815" t="s">
        <v>27</v>
      </c>
      <c r="F3815" t="s">
        <v>32</v>
      </c>
      <c r="G3815">
        <v>1015.78</v>
      </c>
      <c r="H3815" t="s">
        <v>14</v>
      </c>
      <c r="I3815" t="s">
        <v>15</v>
      </c>
      <c r="J3815">
        <v>3.7</v>
      </c>
      <c r="K3815">
        <v>12</v>
      </c>
      <c r="L3815">
        <f t="shared" si="178"/>
        <v>893.88639999999998</v>
      </c>
      <c r="M3815">
        <v>6</v>
      </c>
      <c r="N3815" t="str">
        <f t="shared" si="179"/>
        <v>Regular</v>
      </c>
    </row>
    <row r="3816" spans="1:14" x14ac:dyDescent="0.35">
      <c r="A3816">
        <v>3815</v>
      </c>
      <c r="B3816">
        <v>49</v>
      </c>
      <c r="C3816" t="str">
        <f t="shared" si="177"/>
        <v>Adult</v>
      </c>
      <c r="D3816" t="s">
        <v>16</v>
      </c>
      <c r="E3816" t="s">
        <v>17</v>
      </c>
      <c r="F3816" t="s">
        <v>42</v>
      </c>
      <c r="G3816">
        <v>60.79</v>
      </c>
      <c r="H3816" t="s">
        <v>14</v>
      </c>
      <c r="I3816" t="s">
        <v>15</v>
      </c>
      <c r="J3816">
        <v>3.9</v>
      </c>
      <c r="K3816">
        <v>4</v>
      </c>
      <c r="L3816">
        <f t="shared" si="178"/>
        <v>58.358399999999996</v>
      </c>
      <c r="M3816">
        <v>2</v>
      </c>
      <c r="N3816" t="str">
        <f t="shared" si="179"/>
        <v>New</v>
      </c>
    </row>
    <row r="3817" spans="1:14" x14ac:dyDescent="0.35">
      <c r="A3817">
        <v>3816</v>
      </c>
      <c r="B3817">
        <v>61</v>
      </c>
      <c r="C3817" t="str">
        <f t="shared" si="177"/>
        <v>Senior</v>
      </c>
      <c r="D3817" t="s">
        <v>11</v>
      </c>
      <c r="E3817" t="s">
        <v>41</v>
      </c>
      <c r="F3817" t="s">
        <v>46</v>
      </c>
      <c r="G3817">
        <v>189.41</v>
      </c>
      <c r="H3817" t="s">
        <v>24</v>
      </c>
      <c r="I3817" t="s">
        <v>15</v>
      </c>
      <c r="J3817">
        <v>3.2</v>
      </c>
      <c r="K3817">
        <v>6</v>
      </c>
      <c r="L3817">
        <f t="shared" si="178"/>
        <v>178.0454</v>
      </c>
      <c r="M3817">
        <v>3</v>
      </c>
      <c r="N3817" t="str">
        <f t="shared" si="179"/>
        <v>New</v>
      </c>
    </row>
    <row r="3818" spans="1:14" x14ac:dyDescent="0.35">
      <c r="A3818">
        <v>3817</v>
      </c>
      <c r="B3818">
        <v>24</v>
      </c>
      <c r="C3818" t="str">
        <f t="shared" si="177"/>
        <v>Youth</v>
      </c>
      <c r="D3818" t="s">
        <v>16</v>
      </c>
      <c r="E3818" t="s">
        <v>25</v>
      </c>
      <c r="F3818" t="s">
        <v>57</v>
      </c>
      <c r="G3818">
        <v>38.06</v>
      </c>
      <c r="H3818" t="s">
        <v>19</v>
      </c>
      <c r="I3818" t="s">
        <v>37</v>
      </c>
      <c r="J3818">
        <v>4.7</v>
      </c>
      <c r="K3818">
        <v>20</v>
      </c>
      <c r="L3818">
        <f t="shared" si="178"/>
        <v>30.448000000000004</v>
      </c>
      <c r="M3818">
        <v>5</v>
      </c>
      <c r="N3818" t="str">
        <f t="shared" si="179"/>
        <v>Regular</v>
      </c>
    </row>
    <row r="3819" spans="1:14" x14ac:dyDescent="0.35">
      <c r="A3819">
        <v>3818</v>
      </c>
      <c r="B3819">
        <v>32</v>
      </c>
      <c r="C3819" t="str">
        <f t="shared" si="177"/>
        <v>Adult</v>
      </c>
      <c r="D3819" t="s">
        <v>11</v>
      </c>
      <c r="E3819" t="s">
        <v>29</v>
      </c>
      <c r="F3819" t="s">
        <v>55</v>
      </c>
      <c r="G3819">
        <v>148.62</v>
      </c>
      <c r="H3819" t="s">
        <v>14</v>
      </c>
      <c r="I3819" t="s">
        <v>15</v>
      </c>
      <c r="J3819">
        <v>3.1</v>
      </c>
      <c r="K3819">
        <v>4</v>
      </c>
      <c r="L3819">
        <f t="shared" si="178"/>
        <v>142.67519999999999</v>
      </c>
      <c r="M3819">
        <v>2</v>
      </c>
      <c r="N3819" t="str">
        <f t="shared" si="179"/>
        <v>New</v>
      </c>
    </row>
    <row r="3820" spans="1:14" x14ac:dyDescent="0.35">
      <c r="A3820">
        <v>3819</v>
      </c>
      <c r="B3820">
        <v>39</v>
      </c>
      <c r="C3820" t="str">
        <f t="shared" si="177"/>
        <v>Adult</v>
      </c>
      <c r="D3820" t="s">
        <v>16</v>
      </c>
      <c r="E3820" t="s">
        <v>25</v>
      </c>
      <c r="F3820" t="s">
        <v>47</v>
      </c>
      <c r="G3820">
        <v>70.510000000000005</v>
      </c>
      <c r="H3820" t="s">
        <v>31</v>
      </c>
      <c r="I3820" t="s">
        <v>15</v>
      </c>
      <c r="J3820">
        <v>4.0999999999999996</v>
      </c>
      <c r="K3820">
        <v>18</v>
      </c>
      <c r="L3820">
        <f t="shared" si="178"/>
        <v>57.818200000000012</v>
      </c>
      <c r="M3820">
        <v>4</v>
      </c>
      <c r="N3820" t="str">
        <f t="shared" si="179"/>
        <v>Regular</v>
      </c>
    </row>
    <row r="3821" spans="1:14" x14ac:dyDescent="0.35">
      <c r="A3821">
        <v>3820</v>
      </c>
      <c r="B3821">
        <v>47</v>
      </c>
      <c r="C3821" t="str">
        <f t="shared" si="177"/>
        <v>Adult</v>
      </c>
      <c r="D3821" t="s">
        <v>16</v>
      </c>
      <c r="E3821" t="s">
        <v>17</v>
      </c>
      <c r="F3821" t="s">
        <v>35</v>
      </c>
      <c r="G3821">
        <v>86.22</v>
      </c>
      <c r="H3821" t="s">
        <v>14</v>
      </c>
      <c r="I3821" t="s">
        <v>37</v>
      </c>
      <c r="J3821">
        <v>5</v>
      </c>
      <c r="K3821">
        <v>28</v>
      </c>
      <c r="L3821">
        <f t="shared" si="178"/>
        <v>62.078399999999995</v>
      </c>
      <c r="M3821">
        <v>9</v>
      </c>
      <c r="N3821" t="str">
        <f t="shared" si="179"/>
        <v>Loyal</v>
      </c>
    </row>
    <row r="3822" spans="1:14" x14ac:dyDescent="0.35">
      <c r="A3822">
        <v>3821</v>
      </c>
      <c r="B3822">
        <v>41</v>
      </c>
      <c r="C3822" t="str">
        <f t="shared" si="177"/>
        <v>Adult</v>
      </c>
      <c r="D3822" t="s">
        <v>16</v>
      </c>
      <c r="E3822" t="s">
        <v>25</v>
      </c>
      <c r="F3822" t="s">
        <v>54</v>
      </c>
      <c r="G3822">
        <v>14.42</v>
      </c>
      <c r="H3822" t="s">
        <v>31</v>
      </c>
      <c r="I3822" t="s">
        <v>37</v>
      </c>
      <c r="J3822">
        <v>3.8</v>
      </c>
      <c r="K3822">
        <v>16</v>
      </c>
      <c r="L3822">
        <f t="shared" si="178"/>
        <v>12.1128</v>
      </c>
      <c r="M3822">
        <v>3</v>
      </c>
      <c r="N3822" t="str">
        <f t="shared" si="179"/>
        <v>New</v>
      </c>
    </row>
    <row r="3823" spans="1:14" x14ac:dyDescent="0.35">
      <c r="A3823">
        <v>3822</v>
      </c>
      <c r="B3823">
        <v>70</v>
      </c>
      <c r="C3823" t="str">
        <f t="shared" si="177"/>
        <v>Senior</v>
      </c>
      <c r="D3823" t="s">
        <v>16</v>
      </c>
      <c r="E3823" t="s">
        <v>17</v>
      </c>
      <c r="F3823" t="s">
        <v>48</v>
      </c>
      <c r="G3823">
        <v>189.46</v>
      </c>
      <c r="H3823" t="s">
        <v>31</v>
      </c>
      <c r="I3823" t="s">
        <v>15</v>
      </c>
      <c r="J3823">
        <v>4.3</v>
      </c>
      <c r="K3823">
        <v>20</v>
      </c>
      <c r="L3823">
        <f t="shared" si="178"/>
        <v>151.56800000000001</v>
      </c>
      <c r="M3823">
        <v>5</v>
      </c>
      <c r="N3823" t="str">
        <f t="shared" si="179"/>
        <v>Regular</v>
      </c>
    </row>
    <row r="3824" spans="1:14" x14ac:dyDescent="0.35">
      <c r="A3824">
        <v>3823</v>
      </c>
      <c r="B3824">
        <v>56</v>
      </c>
      <c r="C3824" t="str">
        <f t="shared" si="177"/>
        <v>Adult</v>
      </c>
      <c r="D3824" t="s">
        <v>11</v>
      </c>
      <c r="E3824" t="s">
        <v>29</v>
      </c>
      <c r="F3824" t="s">
        <v>30</v>
      </c>
      <c r="G3824">
        <v>68.849999999999994</v>
      </c>
      <c r="H3824" t="s">
        <v>14</v>
      </c>
      <c r="I3824" t="s">
        <v>37</v>
      </c>
      <c r="J3824">
        <v>5</v>
      </c>
      <c r="K3824">
        <v>10</v>
      </c>
      <c r="L3824">
        <f t="shared" si="178"/>
        <v>61.964999999999996</v>
      </c>
      <c r="M3824">
        <v>5</v>
      </c>
      <c r="N3824" t="str">
        <f t="shared" si="179"/>
        <v>Regular</v>
      </c>
    </row>
    <row r="3825" spans="1:14" x14ac:dyDescent="0.35">
      <c r="A3825">
        <v>3824</v>
      </c>
      <c r="B3825">
        <v>30</v>
      </c>
      <c r="C3825" t="str">
        <f t="shared" si="177"/>
        <v>Youth</v>
      </c>
      <c r="D3825" t="s">
        <v>16</v>
      </c>
      <c r="E3825" t="s">
        <v>27</v>
      </c>
      <c r="F3825" t="s">
        <v>28</v>
      </c>
      <c r="G3825">
        <v>1289.45</v>
      </c>
      <c r="H3825" t="s">
        <v>19</v>
      </c>
      <c r="I3825" t="s">
        <v>15</v>
      </c>
      <c r="J3825">
        <v>3.9</v>
      </c>
      <c r="K3825">
        <v>24</v>
      </c>
      <c r="L3825">
        <f t="shared" si="178"/>
        <v>979.98200000000008</v>
      </c>
      <c r="M3825">
        <v>7</v>
      </c>
      <c r="N3825" t="str">
        <f t="shared" si="179"/>
        <v>Regular</v>
      </c>
    </row>
    <row r="3826" spans="1:14" x14ac:dyDescent="0.35">
      <c r="A3826">
        <v>3825</v>
      </c>
      <c r="B3826">
        <v>37</v>
      </c>
      <c r="C3826" t="str">
        <f t="shared" si="177"/>
        <v>Adult</v>
      </c>
      <c r="D3826" t="s">
        <v>16</v>
      </c>
      <c r="E3826" t="s">
        <v>20</v>
      </c>
      <c r="F3826" t="s">
        <v>39</v>
      </c>
      <c r="G3826">
        <v>152.16</v>
      </c>
      <c r="H3826" t="s">
        <v>14</v>
      </c>
      <c r="I3826" t="s">
        <v>15</v>
      </c>
      <c r="J3826">
        <v>2.9</v>
      </c>
      <c r="K3826">
        <v>18</v>
      </c>
      <c r="L3826">
        <f t="shared" si="178"/>
        <v>124.77120000000001</v>
      </c>
      <c r="M3826">
        <v>4</v>
      </c>
      <c r="N3826" t="str">
        <f t="shared" si="179"/>
        <v>Regular</v>
      </c>
    </row>
    <row r="3827" spans="1:14" x14ac:dyDescent="0.35">
      <c r="A3827">
        <v>3826</v>
      </c>
      <c r="B3827">
        <v>37</v>
      </c>
      <c r="C3827" t="str">
        <f t="shared" si="177"/>
        <v>Adult</v>
      </c>
      <c r="D3827" t="s">
        <v>11</v>
      </c>
      <c r="E3827" t="s">
        <v>12</v>
      </c>
      <c r="F3827" t="s">
        <v>13</v>
      </c>
      <c r="G3827">
        <v>108.77</v>
      </c>
      <c r="H3827" t="s">
        <v>31</v>
      </c>
      <c r="I3827" t="s">
        <v>15</v>
      </c>
      <c r="J3827">
        <v>4.2</v>
      </c>
      <c r="K3827">
        <v>12</v>
      </c>
      <c r="L3827">
        <f t="shared" si="178"/>
        <v>95.71759999999999</v>
      </c>
      <c r="M3827">
        <v>6</v>
      </c>
      <c r="N3827" t="str">
        <f t="shared" si="179"/>
        <v>Regular</v>
      </c>
    </row>
    <row r="3828" spans="1:14" x14ac:dyDescent="0.35">
      <c r="A3828">
        <v>3827</v>
      </c>
      <c r="B3828">
        <v>57</v>
      </c>
      <c r="C3828" t="str">
        <f t="shared" si="177"/>
        <v>Adult</v>
      </c>
      <c r="D3828" t="s">
        <v>16</v>
      </c>
      <c r="E3828" t="s">
        <v>20</v>
      </c>
      <c r="F3828" t="s">
        <v>36</v>
      </c>
      <c r="G3828">
        <v>102.42</v>
      </c>
      <c r="H3828" t="s">
        <v>14</v>
      </c>
      <c r="I3828" t="s">
        <v>15</v>
      </c>
      <c r="J3828">
        <v>3.5</v>
      </c>
      <c r="K3828">
        <v>2</v>
      </c>
      <c r="L3828">
        <f t="shared" si="178"/>
        <v>100.3716</v>
      </c>
      <c r="M3828">
        <v>1</v>
      </c>
      <c r="N3828" t="str">
        <f t="shared" si="179"/>
        <v>New</v>
      </c>
    </row>
    <row r="3829" spans="1:14" x14ac:dyDescent="0.35">
      <c r="A3829">
        <v>3828</v>
      </c>
      <c r="B3829">
        <v>35</v>
      </c>
      <c r="C3829" t="str">
        <f t="shared" si="177"/>
        <v>Adult</v>
      </c>
      <c r="D3829" t="s">
        <v>11</v>
      </c>
      <c r="E3829" t="s">
        <v>12</v>
      </c>
      <c r="F3829" t="s">
        <v>56</v>
      </c>
      <c r="G3829">
        <v>89.77</v>
      </c>
      <c r="H3829" t="s">
        <v>19</v>
      </c>
      <c r="I3829" t="s">
        <v>15</v>
      </c>
      <c r="J3829">
        <v>3.6</v>
      </c>
      <c r="K3829">
        <v>6</v>
      </c>
      <c r="L3829">
        <f t="shared" si="178"/>
        <v>84.383799999999994</v>
      </c>
      <c r="M3829">
        <v>3</v>
      </c>
      <c r="N3829" t="str">
        <f t="shared" si="179"/>
        <v>New</v>
      </c>
    </row>
    <row r="3830" spans="1:14" x14ac:dyDescent="0.35">
      <c r="A3830">
        <v>3829</v>
      </c>
      <c r="B3830">
        <v>66</v>
      </c>
      <c r="C3830" t="str">
        <f t="shared" si="177"/>
        <v>Senior</v>
      </c>
      <c r="D3830" t="s">
        <v>16</v>
      </c>
      <c r="E3830" t="s">
        <v>27</v>
      </c>
      <c r="F3830" t="s">
        <v>49</v>
      </c>
      <c r="G3830">
        <v>2342.16</v>
      </c>
      <c r="H3830" t="s">
        <v>31</v>
      </c>
      <c r="I3830" t="s">
        <v>15</v>
      </c>
      <c r="J3830">
        <v>3.7</v>
      </c>
      <c r="K3830">
        <v>23</v>
      </c>
      <c r="L3830">
        <f t="shared" si="178"/>
        <v>1803.4631999999999</v>
      </c>
      <c r="M3830">
        <v>9</v>
      </c>
      <c r="N3830" t="str">
        <f t="shared" si="179"/>
        <v>Loyal</v>
      </c>
    </row>
    <row r="3831" spans="1:14" x14ac:dyDescent="0.35">
      <c r="A3831">
        <v>3830</v>
      </c>
      <c r="B3831">
        <v>54</v>
      </c>
      <c r="C3831" t="str">
        <f t="shared" si="177"/>
        <v>Adult</v>
      </c>
      <c r="D3831" t="s">
        <v>11</v>
      </c>
      <c r="E3831" t="s">
        <v>29</v>
      </c>
      <c r="F3831" t="s">
        <v>51</v>
      </c>
      <c r="G3831">
        <v>101.65</v>
      </c>
      <c r="H3831" t="s">
        <v>31</v>
      </c>
      <c r="I3831" t="s">
        <v>15</v>
      </c>
      <c r="J3831">
        <v>3.9</v>
      </c>
      <c r="K3831">
        <v>12</v>
      </c>
      <c r="L3831">
        <f t="shared" si="178"/>
        <v>89.452000000000012</v>
      </c>
      <c r="M3831">
        <v>6</v>
      </c>
      <c r="N3831" t="str">
        <f t="shared" si="179"/>
        <v>Regular</v>
      </c>
    </row>
    <row r="3832" spans="1:14" x14ac:dyDescent="0.35">
      <c r="A3832">
        <v>3831</v>
      </c>
      <c r="B3832">
        <v>57</v>
      </c>
      <c r="C3832" t="str">
        <f t="shared" si="177"/>
        <v>Adult</v>
      </c>
      <c r="D3832" t="s">
        <v>11</v>
      </c>
      <c r="E3832" t="s">
        <v>20</v>
      </c>
      <c r="F3832" t="s">
        <v>39</v>
      </c>
      <c r="G3832">
        <v>194.84</v>
      </c>
      <c r="H3832" t="s">
        <v>19</v>
      </c>
      <c r="I3832" t="s">
        <v>15</v>
      </c>
      <c r="J3832">
        <v>4.7</v>
      </c>
      <c r="K3832">
        <v>22</v>
      </c>
      <c r="L3832">
        <f t="shared" si="178"/>
        <v>151.9752</v>
      </c>
      <c r="M3832">
        <v>6</v>
      </c>
      <c r="N3832" t="str">
        <f t="shared" si="179"/>
        <v>Regular</v>
      </c>
    </row>
    <row r="3833" spans="1:14" x14ac:dyDescent="0.35">
      <c r="A3833">
        <v>3832</v>
      </c>
      <c r="B3833">
        <v>27</v>
      </c>
      <c r="C3833" t="str">
        <f t="shared" si="177"/>
        <v>Youth</v>
      </c>
      <c r="D3833" t="s">
        <v>16</v>
      </c>
      <c r="E3833" t="s">
        <v>27</v>
      </c>
      <c r="F3833" t="s">
        <v>32</v>
      </c>
      <c r="G3833">
        <v>1483.08</v>
      </c>
      <c r="H3833" t="s">
        <v>19</v>
      </c>
      <c r="I3833" t="s">
        <v>15</v>
      </c>
      <c r="J3833">
        <v>4.0999999999999996</v>
      </c>
      <c r="K3833">
        <v>16</v>
      </c>
      <c r="L3833">
        <f t="shared" si="178"/>
        <v>1245.7872</v>
      </c>
      <c r="M3833">
        <v>3</v>
      </c>
      <c r="N3833" t="str">
        <f t="shared" si="179"/>
        <v>New</v>
      </c>
    </row>
    <row r="3834" spans="1:14" x14ac:dyDescent="0.35">
      <c r="A3834">
        <v>3833</v>
      </c>
      <c r="B3834">
        <v>66</v>
      </c>
      <c r="C3834" t="str">
        <f t="shared" si="177"/>
        <v>Senior</v>
      </c>
      <c r="D3834" t="s">
        <v>11</v>
      </c>
      <c r="E3834" t="s">
        <v>25</v>
      </c>
      <c r="F3834" t="s">
        <v>57</v>
      </c>
      <c r="G3834">
        <v>16.63</v>
      </c>
      <c r="H3834" t="s">
        <v>19</v>
      </c>
      <c r="I3834" t="s">
        <v>37</v>
      </c>
      <c r="J3834">
        <v>3</v>
      </c>
      <c r="K3834">
        <v>15</v>
      </c>
      <c r="L3834">
        <f t="shared" si="178"/>
        <v>14.135499999999999</v>
      </c>
      <c r="M3834">
        <v>5</v>
      </c>
      <c r="N3834" t="str">
        <f t="shared" si="179"/>
        <v>Regular</v>
      </c>
    </row>
    <row r="3835" spans="1:14" x14ac:dyDescent="0.35">
      <c r="A3835">
        <v>3834</v>
      </c>
      <c r="B3835">
        <v>45</v>
      </c>
      <c r="C3835" t="str">
        <f t="shared" si="177"/>
        <v>Adult</v>
      </c>
      <c r="D3835" t="s">
        <v>16</v>
      </c>
      <c r="E3835" t="s">
        <v>20</v>
      </c>
      <c r="F3835" t="s">
        <v>21</v>
      </c>
      <c r="G3835">
        <v>191.91</v>
      </c>
      <c r="H3835" t="s">
        <v>24</v>
      </c>
      <c r="I3835" t="s">
        <v>15</v>
      </c>
      <c r="J3835">
        <v>3</v>
      </c>
      <c r="K3835">
        <v>8</v>
      </c>
      <c r="L3835">
        <f t="shared" si="178"/>
        <v>176.55719999999999</v>
      </c>
      <c r="M3835">
        <v>4</v>
      </c>
      <c r="N3835" t="str">
        <f t="shared" si="179"/>
        <v>Regular</v>
      </c>
    </row>
    <row r="3836" spans="1:14" x14ac:dyDescent="0.35">
      <c r="A3836">
        <v>3835</v>
      </c>
      <c r="B3836">
        <v>48</v>
      </c>
      <c r="C3836" t="str">
        <f t="shared" si="177"/>
        <v>Adult</v>
      </c>
      <c r="D3836" t="s">
        <v>16</v>
      </c>
      <c r="E3836" t="s">
        <v>17</v>
      </c>
      <c r="F3836" t="s">
        <v>48</v>
      </c>
      <c r="G3836">
        <v>114.46</v>
      </c>
      <c r="H3836" t="s">
        <v>14</v>
      </c>
      <c r="I3836" t="s">
        <v>15</v>
      </c>
      <c r="J3836">
        <v>3.5</v>
      </c>
      <c r="K3836">
        <v>7</v>
      </c>
      <c r="L3836">
        <f t="shared" si="178"/>
        <v>106.44779999999999</v>
      </c>
      <c r="M3836">
        <v>1</v>
      </c>
      <c r="N3836" t="str">
        <f t="shared" si="179"/>
        <v>New</v>
      </c>
    </row>
    <row r="3837" spans="1:14" x14ac:dyDescent="0.35">
      <c r="A3837">
        <v>3836</v>
      </c>
      <c r="B3837">
        <v>44</v>
      </c>
      <c r="C3837" t="str">
        <f t="shared" si="177"/>
        <v>Adult</v>
      </c>
      <c r="D3837" t="s">
        <v>16</v>
      </c>
      <c r="E3837" t="s">
        <v>22</v>
      </c>
      <c r="F3837" t="s">
        <v>23</v>
      </c>
      <c r="G3837">
        <v>194.94</v>
      </c>
      <c r="H3837" t="s">
        <v>14</v>
      </c>
      <c r="I3837" t="s">
        <v>15</v>
      </c>
      <c r="J3837">
        <v>2.6</v>
      </c>
      <c r="K3837">
        <v>20</v>
      </c>
      <c r="L3837">
        <f t="shared" si="178"/>
        <v>155.952</v>
      </c>
      <c r="M3837">
        <v>5</v>
      </c>
      <c r="N3837" t="str">
        <f t="shared" si="179"/>
        <v>Regular</v>
      </c>
    </row>
    <row r="3838" spans="1:14" x14ac:dyDescent="0.35">
      <c r="A3838">
        <v>3837</v>
      </c>
      <c r="B3838">
        <v>42</v>
      </c>
      <c r="C3838" t="str">
        <f t="shared" si="177"/>
        <v>Adult</v>
      </c>
      <c r="D3838" t="s">
        <v>11</v>
      </c>
      <c r="E3838" t="s">
        <v>41</v>
      </c>
      <c r="F3838" t="s">
        <v>46</v>
      </c>
      <c r="G3838">
        <v>161.16999999999999</v>
      </c>
      <c r="H3838" t="s">
        <v>19</v>
      </c>
      <c r="I3838" t="s">
        <v>15</v>
      </c>
      <c r="J3838">
        <v>3.2</v>
      </c>
      <c r="K3838">
        <v>10</v>
      </c>
      <c r="L3838">
        <f t="shared" si="178"/>
        <v>145.053</v>
      </c>
      <c r="M3838">
        <v>5</v>
      </c>
      <c r="N3838" t="str">
        <f t="shared" si="179"/>
        <v>Regular</v>
      </c>
    </row>
    <row r="3839" spans="1:14" x14ac:dyDescent="0.35">
      <c r="A3839">
        <v>3838</v>
      </c>
      <c r="B3839">
        <v>21</v>
      </c>
      <c r="C3839" t="str">
        <f t="shared" si="177"/>
        <v>Youth</v>
      </c>
      <c r="D3839" t="s">
        <v>11</v>
      </c>
      <c r="E3839" t="s">
        <v>29</v>
      </c>
      <c r="F3839" t="s">
        <v>51</v>
      </c>
      <c r="G3839">
        <v>128.63</v>
      </c>
      <c r="H3839" t="s">
        <v>19</v>
      </c>
      <c r="I3839" t="s">
        <v>15</v>
      </c>
      <c r="J3839">
        <v>3.7</v>
      </c>
      <c r="K3839">
        <v>16</v>
      </c>
      <c r="L3839">
        <f t="shared" si="178"/>
        <v>108.0492</v>
      </c>
      <c r="M3839">
        <v>3</v>
      </c>
      <c r="N3839" t="str">
        <f t="shared" si="179"/>
        <v>New</v>
      </c>
    </row>
    <row r="3840" spans="1:14" x14ac:dyDescent="0.35">
      <c r="A3840">
        <v>3839</v>
      </c>
      <c r="B3840">
        <v>42</v>
      </c>
      <c r="C3840" t="str">
        <f t="shared" si="177"/>
        <v>Adult</v>
      </c>
      <c r="D3840" t="s">
        <v>16</v>
      </c>
      <c r="E3840" t="s">
        <v>27</v>
      </c>
      <c r="F3840" t="s">
        <v>28</v>
      </c>
      <c r="G3840">
        <v>1995.79</v>
      </c>
      <c r="H3840" t="s">
        <v>31</v>
      </c>
      <c r="I3840" t="s">
        <v>15</v>
      </c>
      <c r="J3840">
        <v>3</v>
      </c>
      <c r="K3840">
        <v>4</v>
      </c>
      <c r="L3840">
        <f t="shared" si="178"/>
        <v>1915.9584</v>
      </c>
      <c r="M3840">
        <v>2</v>
      </c>
      <c r="N3840" t="str">
        <f t="shared" si="179"/>
        <v>New</v>
      </c>
    </row>
    <row r="3841" spans="1:14" x14ac:dyDescent="0.35">
      <c r="A3841">
        <v>3840</v>
      </c>
      <c r="B3841">
        <v>57</v>
      </c>
      <c r="C3841" t="str">
        <f t="shared" si="177"/>
        <v>Adult</v>
      </c>
      <c r="D3841" t="s">
        <v>16</v>
      </c>
      <c r="E3841" t="s">
        <v>33</v>
      </c>
      <c r="F3841" t="s">
        <v>40</v>
      </c>
      <c r="G3841">
        <v>184.11</v>
      </c>
      <c r="H3841" t="s">
        <v>19</v>
      </c>
      <c r="I3841" t="s">
        <v>15</v>
      </c>
      <c r="J3841">
        <v>3.4</v>
      </c>
      <c r="K3841">
        <v>17</v>
      </c>
      <c r="L3841">
        <f t="shared" si="178"/>
        <v>152.81130000000002</v>
      </c>
      <c r="M3841">
        <v>6</v>
      </c>
      <c r="N3841" t="str">
        <f t="shared" si="179"/>
        <v>Regular</v>
      </c>
    </row>
    <row r="3842" spans="1:14" x14ac:dyDescent="0.35">
      <c r="A3842">
        <v>3841</v>
      </c>
      <c r="B3842">
        <v>31</v>
      </c>
      <c r="C3842" t="str">
        <f t="shared" si="177"/>
        <v>Adult</v>
      </c>
      <c r="D3842" t="s">
        <v>11</v>
      </c>
      <c r="E3842" t="s">
        <v>41</v>
      </c>
      <c r="F3842" t="s">
        <v>45</v>
      </c>
      <c r="G3842">
        <v>42.28</v>
      </c>
      <c r="H3842" t="s">
        <v>14</v>
      </c>
      <c r="I3842" t="s">
        <v>15</v>
      </c>
      <c r="J3842">
        <v>4.2</v>
      </c>
      <c r="K3842">
        <v>8</v>
      </c>
      <c r="L3842">
        <f t="shared" si="178"/>
        <v>38.897600000000004</v>
      </c>
      <c r="M3842">
        <v>4</v>
      </c>
      <c r="N3842" t="str">
        <f t="shared" si="179"/>
        <v>Regular</v>
      </c>
    </row>
    <row r="3843" spans="1:14" x14ac:dyDescent="0.35">
      <c r="A3843">
        <v>3842</v>
      </c>
      <c r="B3843">
        <v>34</v>
      </c>
      <c r="C3843" t="str">
        <f t="shared" ref="C3843:C3906" si="180">IF(B3843&lt;=30,"Youth",IF(B3843&lt;=45,"Adult",IF(B3843&lt;=60,"Adult","Senior")))</f>
        <v>Adult</v>
      </c>
      <c r="D3843" t="s">
        <v>11</v>
      </c>
      <c r="E3843" t="s">
        <v>25</v>
      </c>
      <c r="F3843" t="s">
        <v>47</v>
      </c>
      <c r="G3843">
        <v>32.97</v>
      </c>
      <c r="H3843" t="s">
        <v>19</v>
      </c>
      <c r="I3843" t="s">
        <v>37</v>
      </c>
      <c r="J3843">
        <v>2.2000000000000002</v>
      </c>
      <c r="K3843">
        <v>22</v>
      </c>
      <c r="L3843">
        <f t="shared" ref="L3843:L3906" si="181">G3843*(1-K3843/100)</f>
        <v>25.7166</v>
      </c>
      <c r="M3843">
        <v>6</v>
      </c>
      <c r="N3843" t="str">
        <f t="shared" ref="N3843:N3906" si="182">IF(M3843&lt;=3,"New",IF(M3843&lt;=7,"Regular","Loyal"))</f>
        <v>Regular</v>
      </c>
    </row>
    <row r="3844" spans="1:14" x14ac:dyDescent="0.35">
      <c r="A3844">
        <v>3843</v>
      </c>
      <c r="B3844">
        <v>36</v>
      </c>
      <c r="C3844" t="str">
        <f t="shared" si="180"/>
        <v>Adult</v>
      </c>
      <c r="D3844" t="s">
        <v>16</v>
      </c>
      <c r="E3844" t="s">
        <v>17</v>
      </c>
      <c r="F3844" t="s">
        <v>42</v>
      </c>
      <c r="G3844">
        <v>177.58</v>
      </c>
      <c r="H3844" t="s">
        <v>14</v>
      </c>
      <c r="I3844" t="s">
        <v>15</v>
      </c>
      <c r="J3844">
        <v>5</v>
      </c>
      <c r="K3844">
        <v>20</v>
      </c>
      <c r="L3844">
        <f t="shared" si="181"/>
        <v>142.06400000000002</v>
      </c>
      <c r="M3844">
        <v>5</v>
      </c>
      <c r="N3844" t="str">
        <f t="shared" si="182"/>
        <v>Regular</v>
      </c>
    </row>
    <row r="3845" spans="1:14" x14ac:dyDescent="0.35">
      <c r="A3845">
        <v>3844</v>
      </c>
      <c r="B3845">
        <v>52</v>
      </c>
      <c r="C3845" t="str">
        <f t="shared" si="180"/>
        <v>Adult</v>
      </c>
      <c r="D3845" t="s">
        <v>16</v>
      </c>
      <c r="E3845" t="s">
        <v>25</v>
      </c>
      <c r="F3845" t="s">
        <v>47</v>
      </c>
      <c r="G3845">
        <v>28.33</v>
      </c>
      <c r="H3845" t="s">
        <v>31</v>
      </c>
      <c r="I3845" t="s">
        <v>15</v>
      </c>
      <c r="J3845">
        <v>2.6</v>
      </c>
      <c r="K3845">
        <v>10</v>
      </c>
      <c r="L3845">
        <f t="shared" si="181"/>
        <v>25.497</v>
      </c>
      <c r="M3845">
        <v>5</v>
      </c>
      <c r="N3845" t="str">
        <f t="shared" si="182"/>
        <v>Regular</v>
      </c>
    </row>
    <row r="3846" spans="1:14" x14ac:dyDescent="0.35">
      <c r="A3846">
        <v>3845</v>
      </c>
      <c r="B3846">
        <v>56</v>
      </c>
      <c r="C3846" t="str">
        <f t="shared" si="180"/>
        <v>Adult</v>
      </c>
      <c r="D3846" t="s">
        <v>16</v>
      </c>
      <c r="E3846" t="s">
        <v>27</v>
      </c>
      <c r="F3846" t="s">
        <v>53</v>
      </c>
      <c r="G3846">
        <v>1509.77</v>
      </c>
      <c r="H3846" t="s">
        <v>19</v>
      </c>
      <c r="I3846" t="s">
        <v>15</v>
      </c>
      <c r="J3846">
        <v>4.0999999999999996</v>
      </c>
      <c r="K3846">
        <v>8</v>
      </c>
      <c r="L3846">
        <f t="shared" si="181"/>
        <v>1388.9884</v>
      </c>
      <c r="M3846">
        <v>4</v>
      </c>
      <c r="N3846" t="str">
        <f t="shared" si="182"/>
        <v>Regular</v>
      </c>
    </row>
    <row r="3847" spans="1:14" x14ac:dyDescent="0.35">
      <c r="A3847">
        <v>3846</v>
      </c>
      <c r="B3847">
        <v>22</v>
      </c>
      <c r="C3847" t="str">
        <f t="shared" si="180"/>
        <v>Youth</v>
      </c>
      <c r="D3847" t="s">
        <v>16</v>
      </c>
      <c r="E3847" t="s">
        <v>33</v>
      </c>
      <c r="F3847" t="s">
        <v>34</v>
      </c>
      <c r="G3847">
        <v>221.34</v>
      </c>
      <c r="H3847" t="s">
        <v>31</v>
      </c>
      <c r="I3847" t="s">
        <v>15</v>
      </c>
      <c r="J3847">
        <v>3</v>
      </c>
      <c r="K3847">
        <v>9</v>
      </c>
      <c r="L3847">
        <f t="shared" si="181"/>
        <v>201.4194</v>
      </c>
      <c r="M3847">
        <v>2</v>
      </c>
      <c r="N3847" t="str">
        <f t="shared" si="182"/>
        <v>New</v>
      </c>
    </row>
    <row r="3848" spans="1:14" x14ac:dyDescent="0.35">
      <c r="A3848">
        <v>3847</v>
      </c>
      <c r="B3848">
        <v>25</v>
      </c>
      <c r="C3848" t="str">
        <f t="shared" si="180"/>
        <v>Youth</v>
      </c>
      <c r="D3848" t="s">
        <v>16</v>
      </c>
      <c r="E3848" t="s">
        <v>33</v>
      </c>
      <c r="F3848" t="s">
        <v>34</v>
      </c>
      <c r="G3848">
        <v>129.19999999999999</v>
      </c>
      <c r="H3848" t="s">
        <v>24</v>
      </c>
      <c r="I3848" t="s">
        <v>15</v>
      </c>
      <c r="J3848">
        <v>3.8</v>
      </c>
      <c r="K3848">
        <v>11</v>
      </c>
      <c r="L3848">
        <f t="shared" si="181"/>
        <v>114.98799999999999</v>
      </c>
      <c r="M3848">
        <v>3</v>
      </c>
      <c r="N3848" t="str">
        <f t="shared" si="182"/>
        <v>New</v>
      </c>
    </row>
    <row r="3849" spans="1:14" x14ac:dyDescent="0.35">
      <c r="A3849">
        <v>3848</v>
      </c>
      <c r="B3849">
        <v>33</v>
      </c>
      <c r="C3849" t="str">
        <f t="shared" si="180"/>
        <v>Adult</v>
      </c>
      <c r="D3849" t="s">
        <v>11</v>
      </c>
      <c r="E3849" t="s">
        <v>29</v>
      </c>
      <c r="F3849" t="s">
        <v>51</v>
      </c>
      <c r="G3849">
        <v>33.51</v>
      </c>
      <c r="H3849" t="s">
        <v>24</v>
      </c>
      <c r="I3849" t="s">
        <v>15</v>
      </c>
      <c r="J3849">
        <v>3.8</v>
      </c>
      <c r="K3849">
        <v>16</v>
      </c>
      <c r="L3849">
        <f t="shared" si="181"/>
        <v>28.148399999999999</v>
      </c>
      <c r="M3849">
        <v>8</v>
      </c>
      <c r="N3849" t="str">
        <f t="shared" si="182"/>
        <v>Loyal</v>
      </c>
    </row>
    <row r="3850" spans="1:14" x14ac:dyDescent="0.35">
      <c r="A3850">
        <v>3849</v>
      </c>
      <c r="B3850">
        <v>60</v>
      </c>
      <c r="C3850" t="str">
        <f t="shared" si="180"/>
        <v>Adult</v>
      </c>
      <c r="D3850" t="s">
        <v>11</v>
      </c>
      <c r="E3850" t="s">
        <v>41</v>
      </c>
      <c r="F3850" t="s">
        <v>42</v>
      </c>
      <c r="G3850">
        <v>73.260000000000005</v>
      </c>
      <c r="H3850" t="s">
        <v>24</v>
      </c>
      <c r="I3850" t="s">
        <v>15</v>
      </c>
      <c r="J3850">
        <v>3</v>
      </c>
      <c r="K3850">
        <v>9</v>
      </c>
      <c r="L3850">
        <f t="shared" si="181"/>
        <v>66.666600000000003</v>
      </c>
      <c r="M3850">
        <v>2</v>
      </c>
      <c r="N3850" t="str">
        <f t="shared" si="182"/>
        <v>New</v>
      </c>
    </row>
    <row r="3851" spans="1:14" x14ac:dyDescent="0.35">
      <c r="A3851">
        <v>3850</v>
      </c>
      <c r="B3851">
        <v>22</v>
      </c>
      <c r="C3851" t="str">
        <f t="shared" si="180"/>
        <v>Youth</v>
      </c>
      <c r="D3851" t="s">
        <v>16</v>
      </c>
      <c r="E3851" t="s">
        <v>27</v>
      </c>
      <c r="F3851" t="s">
        <v>53</v>
      </c>
      <c r="G3851">
        <v>2440.87</v>
      </c>
      <c r="H3851" t="s">
        <v>31</v>
      </c>
      <c r="I3851" t="s">
        <v>15</v>
      </c>
      <c r="J3851">
        <v>3.7</v>
      </c>
      <c r="K3851">
        <v>22</v>
      </c>
      <c r="L3851">
        <f t="shared" si="181"/>
        <v>1903.8786</v>
      </c>
      <c r="M3851">
        <v>6</v>
      </c>
      <c r="N3851" t="str">
        <f t="shared" si="182"/>
        <v>Regular</v>
      </c>
    </row>
    <row r="3852" spans="1:14" x14ac:dyDescent="0.35">
      <c r="A3852">
        <v>3851</v>
      </c>
      <c r="B3852">
        <v>35</v>
      </c>
      <c r="C3852" t="str">
        <f t="shared" si="180"/>
        <v>Adult</v>
      </c>
      <c r="D3852" t="s">
        <v>11</v>
      </c>
      <c r="E3852" t="s">
        <v>22</v>
      </c>
      <c r="F3852" t="s">
        <v>52</v>
      </c>
      <c r="G3852">
        <v>164.39</v>
      </c>
      <c r="H3852" t="s">
        <v>31</v>
      </c>
      <c r="I3852" t="s">
        <v>15</v>
      </c>
      <c r="J3852">
        <v>3.9</v>
      </c>
      <c r="K3852">
        <v>15</v>
      </c>
      <c r="L3852">
        <f t="shared" si="181"/>
        <v>139.73149999999998</v>
      </c>
      <c r="M3852">
        <v>5</v>
      </c>
      <c r="N3852" t="str">
        <f t="shared" si="182"/>
        <v>Regular</v>
      </c>
    </row>
    <row r="3853" spans="1:14" x14ac:dyDescent="0.35">
      <c r="A3853">
        <v>3852</v>
      </c>
      <c r="B3853">
        <v>35</v>
      </c>
      <c r="C3853" t="str">
        <f t="shared" si="180"/>
        <v>Adult</v>
      </c>
      <c r="D3853" t="s">
        <v>11</v>
      </c>
      <c r="E3853" t="s">
        <v>12</v>
      </c>
      <c r="F3853" t="s">
        <v>13</v>
      </c>
      <c r="G3853">
        <v>72.819999999999993</v>
      </c>
      <c r="H3853" t="s">
        <v>19</v>
      </c>
      <c r="I3853" t="s">
        <v>37</v>
      </c>
      <c r="J3853">
        <v>5</v>
      </c>
      <c r="K3853">
        <v>24</v>
      </c>
      <c r="L3853">
        <f t="shared" si="181"/>
        <v>55.343199999999996</v>
      </c>
      <c r="M3853">
        <v>7</v>
      </c>
      <c r="N3853" t="str">
        <f t="shared" si="182"/>
        <v>Regular</v>
      </c>
    </row>
    <row r="3854" spans="1:14" x14ac:dyDescent="0.35">
      <c r="A3854">
        <v>3853</v>
      </c>
      <c r="B3854">
        <v>22</v>
      </c>
      <c r="C3854" t="str">
        <f t="shared" si="180"/>
        <v>Youth</v>
      </c>
      <c r="D3854" t="s">
        <v>11</v>
      </c>
      <c r="E3854" t="s">
        <v>33</v>
      </c>
      <c r="F3854" t="s">
        <v>38</v>
      </c>
      <c r="G3854">
        <v>195.2</v>
      </c>
      <c r="H3854" t="s">
        <v>31</v>
      </c>
      <c r="I3854" t="s">
        <v>15</v>
      </c>
      <c r="J3854">
        <v>3.6</v>
      </c>
      <c r="K3854">
        <v>17</v>
      </c>
      <c r="L3854">
        <f t="shared" si="181"/>
        <v>162.01599999999999</v>
      </c>
      <c r="M3854">
        <v>6</v>
      </c>
      <c r="N3854" t="str">
        <f t="shared" si="182"/>
        <v>Regular</v>
      </c>
    </row>
    <row r="3855" spans="1:14" x14ac:dyDescent="0.35">
      <c r="A3855">
        <v>3854</v>
      </c>
      <c r="B3855">
        <v>52</v>
      </c>
      <c r="C3855" t="str">
        <f t="shared" si="180"/>
        <v>Adult</v>
      </c>
      <c r="D3855" t="s">
        <v>11</v>
      </c>
      <c r="E3855" t="s">
        <v>33</v>
      </c>
      <c r="F3855" t="s">
        <v>38</v>
      </c>
      <c r="G3855">
        <v>165.9</v>
      </c>
      <c r="H3855" t="s">
        <v>19</v>
      </c>
      <c r="I3855" t="s">
        <v>15</v>
      </c>
      <c r="J3855">
        <v>3.3</v>
      </c>
      <c r="K3855">
        <v>7</v>
      </c>
      <c r="L3855">
        <f t="shared" si="181"/>
        <v>154.28700000000001</v>
      </c>
      <c r="M3855">
        <v>1</v>
      </c>
      <c r="N3855" t="str">
        <f t="shared" si="182"/>
        <v>New</v>
      </c>
    </row>
    <row r="3856" spans="1:14" x14ac:dyDescent="0.35">
      <c r="A3856">
        <v>3855</v>
      </c>
      <c r="B3856">
        <v>57</v>
      </c>
      <c r="C3856" t="str">
        <f t="shared" si="180"/>
        <v>Adult</v>
      </c>
      <c r="D3856" t="s">
        <v>16</v>
      </c>
      <c r="E3856" t="s">
        <v>20</v>
      </c>
      <c r="F3856" t="s">
        <v>36</v>
      </c>
      <c r="G3856">
        <v>53.33</v>
      </c>
      <c r="H3856" t="s">
        <v>14</v>
      </c>
      <c r="I3856" t="s">
        <v>15</v>
      </c>
      <c r="J3856">
        <v>3.7</v>
      </c>
      <c r="K3856">
        <v>15</v>
      </c>
      <c r="L3856">
        <f t="shared" si="181"/>
        <v>45.330500000000001</v>
      </c>
      <c r="M3856">
        <v>5</v>
      </c>
      <c r="N3856" t="str">
        <f t="shared" si="182"/>
        <v>Regular</v>
      </c>
    </row>
    <row r="3857" spans="1:14" x14ac:dyDescent="0.35">
      <c r="A3857">
        <v>3856</v>
      </c>
      <c r="B3857">
        <v>43</v>
      </c>
      <c r="C3857" t="str">
        <f t="shared" si="180"/>
        <v>Adult</v>
      </c>
      <c r="D3857" t="s">
        <v>16</v>
      </c>
      <c r="E3857" t="s">
        <v>20</v>
      </c>
      <c r="F3857" t="s">
        <v>36</v>
      </c>
      <c r="G3857">
        <v>186.13</v>
      </c>
      <c r="H3857" t="s">
        <v>31</v>
      </c>
      <c r="I3857" t="s">
        <v>15</v>
      </c>
      <c r="J3857">
        <v>2.7</v>
      </c>
      <c r="K3857">
        <v>8</v>
      </c>
      <c r="L3857">
        <f t="shared" si="181"/>
        <v>171.2396</v>
      </c>
      <c r="M3857">
        <v>4</v>
      </c>
      <c r="N3857" t="str">
        <f t="shared" si="182"/>
        <v>Regular</v>
      </c>
    </row>
    <row r="3858" spans="1:14" x14ac:dyDescent="0.35">
      <c r="A3858">
        <v>3857</v>
      </c>
      <c r="B3858">
        <v>51</v>
      </c>
      <c r="C3858" t="str">
        <f t="shared" si="180"/>
        <v>Adult</v>
      </c>
      <c r="D3858" t="s">
        <v>16</v>
      </c>
      <c r="E3858" t="s">
        <v>17</v>
      </c>
      <c r="F3858" t="s">
        <v>35</v>
      </c>
      <c r="G3858">
        <v>71.650000000000006</v>
      </c>
      <c r="H3858" t="s">
        <v>31</v>
      </c>
      <c r="I3858" t="s">
        <v>37</v>
      </c>
      <c r="J3858">
        <v>4.2</v>
      </c>
      <c r="K3858">
        <v>19</v>
      </c>
      <c r="L3858">
        <f t="shared" si="181"/>
        <v>58.036500000000011</v>
      </c>
      <c r="M3858">
        <v>7</v>
      </c>
      <c r="N3858" t="str">
        <f t="shared" si="182"/>
        <v>Regular</v>
      </c>
    </row>
    <row r="3859" spans="1:14" x14ac:dyDescent="0.35">
      <c r="A3859">
        <v>3858</v>
      </c>
      <c r="B3859">
        <v>55</v>
      </c>
      <c r="C3859" t="str">
        <f t="shared" si="180"/>
        <v>Adult</v>
      </c>
      <c r="D3859" t="s">
        <v>16</v>
      </c>
      <c r="E3859" t="s">
        <v>20</v>
      </c>
      <c r="F3859" t="s">
        <v>36</v>
      </c>
      <c r="G3859">
        <v>128.66999999999999</v>
      </c>
      <c r="H3859" t="s">
        <v>19</v>
      </c>
      <c r="I3859" t="s">
        <v>15</v>
      </c>
      <c r="J3859">
        <v>4.0999999999999996</v>
      </c>
      <c r="K3859">
        <v>20</v>
      </c>
      <c r="L3859">
        <f t="shared" si="181"/>
        <v>102.93599999999999</v>
      </c>
      <c r="M3859">
        <v>5</v>
      </c>
      <c r="N3859" t="str">
        <f t="shared" si="182"/>
        <v>Regular</v>
      </c>
    </row>
    <row r="3860" spans="1:14" x14ac:dyDescent="0.35">
      <c r="A3860">
        <v>3859</v>
      </c>
      <c r="B3860">
        <v>68</v>
      </c>
      <c r="C3860" t="str">
        <f t="shared" si="180"/>
        <v>Senior</v>
      </c>
      <c r="D3860" t="s">
        <v>11</v>
      </c>
      <c r="E3860" t="s">
        <v>29</v>
      </c>
      <c r="F3860" t="s">
        <v>51</v>
      </c>
      <c r="G3860">
        <v>72.5</v>
      </c>
      <c r="H3860" t="s">
        <v>14</v>
      </c>
      <c r="I3860" t="s">
        <v>37</v>
      </c>
      <c r="J3860">
        <v>3</v>
      </c>
      <c r="K3860">
        <v>28</v>
      </c>
      <c r="L3860">
        <f t="shared" si="181"/>
        <v>52.199999999999996</v>
      </c>
      <c r="M3860">
        <v>9</v>
      </c>
      <c r="N3860" t="str">
        <f t="shared" si="182"/>
        <v>Loyal</v>
      </c>
    </row>
    <row r="3861" spans="1:14" x14ac:dyDescent="0.35">
      <c r="A3861">
        <v>3860</v>
      </c>
      <c r="B3861">
        <v>61</v>
      </c>
      <c r="C3861" t="str">
        <f t="shared" si="180"/>
        <v>Senior</v>
      </c>
      <c r="D3861" t="s">
        <v>11</v>
      </c>
      <c r="E3861" t="s">
        <v>25</v>
      </c>
      <c r="F3861" t="s">
        <v>54</v>
      </c>
      <c r="G3861">
        <v>25.6</v>
      </c>
      <c r="H3861" t="s">
        <v>19</v>
      </c>
      <c r="I3861" t="s">
        <v>37</v>
      </c>
      <c r="J3861">
        <v>4</v>
      </c>
      <c r="K3861">
        <v>13</v>
      </c>
      <c r="L3861">
        <f t="shared" si="181"/>
        <v>22.272000000000002</v>
      </c>
      <c r="M3861">
        <v>4</v>
      </c>
      <c r="N3861" t="str">
        <f t="shared" si="182"/>
        <v>Regular</v>
      </c>
    </row>
    <row r="3862" spans="1:14" x14ac:dyDescent="0.35">
      <c r="A3862">
        <v>3861</v>
      </c>
      <c r="B3862">
        <v>54</v>
      </c>
      <c r="C3862" t="str">
        <f t="shared" si="180"/>
        <v>Adult</v>
      </c>
      <c r="D3862" t="s">
        <v>11</v>
      </c>
      <c r="E3862" t="s">
        <v>41</v>
      </c>
      <c r="F3862" t="s">
        <v>42</v>
      </c>
      <c r="G3862">
        <v>48.92</v>
      </c>
      <c r="H3862" t="s">
        <v>31</v>
      </c>
      <c r="I3862" t="s">
        <v>15</v>
      </c>
      <c r="J3862">
        <v>4.2</v>
      </c>
      <c r="K3862">
        <v>22</v>
      </c>
      <c r="L3862">
        <f t="shared" si="181"/>
        <v>38.157600000000002</v>
      </c>
      <c r="M3862">
        <v>6</v>
      </c>
      <c r="N3862" t="str">
        <f t="shared" si="182"/>
        <v>Regular</v>
      </c>
    </row>
    <row r="3863" spans="1:14" x14ac:dyDescent="0.35">
      <c r="A3863">
        <v>3862</v>
      </c>
      <c r="B3863">
        <v>65</v>
      </c>
      <c r="C3863" t="str">
        <f t="shared" si="180"/>
        <v>Senior</v>
      </c>
      <c r="D3863" t="s">
        <v>11</v>
      </c>
      <c r="E3863" t="s">
        <v>12</v>
      </c>
      <c r="F3863" t="s">
        <v>13</v>
      </c>
      <c r="G3863">
        <v>82.14</v>
      </c>
      <c r="H3863" t="s">
        <v>31</v>
      </c>
      <c r="I3863" t="s">
        <v>37</v>
      </c>
      <c r="J3863">
        <v>3.3</v>
      </c>
      <c r="K3863">
        <v>17</v>
      </c>
      <c r="L3863">
        <f t="shared" si="181"/>
        <v>68.176199999999994</v>
      </c>
      <c r="M3863">
        <v>6</v>
      </c>
      <c r="N3863" t="str">
        <f t="shared" si="182"/>
        <v>Regular</v>
      </c>
    </row>
    <row r="3864" spans="1:14" x14ac:dyDescent="0.35">
      <c r="A3864">
        <v>3863</v>
      </c>
      <c r="B3864">
        <v>42</v>
      </c>
      <c r="C3864" t="str">
        <f t="shared" si="180"/>
        <v>Adult</v>
      </c>
      <c r="D3864" t="s">
        <v>16</v>
      </c>
      <c r="E3864" t="s">
        <v>33</v>
      </c>
      <c r="F3864" t="s">
        <v>34</v>
      </c>
      <c r="G3864">
        <v>74.959999999999994</v>
      </c>
      <c r="H3864" t="s">
        <v>24</v>
      </c>
      <c r="I3864" t="s">
        <v>37</v>
      </c>
      <c r="J3864">
        <v>2.4</v>
      </c>
      <c r="K3864">
        <v>22</v>
      </c>
      <c r="L3864">
        <f t="shared" si="181"/>
        <v>58.468799999999995</v>
      </c>
      <c r="M3864">
        <v>6</v>
      </c>
      <c r="N3864" t="str">
        <f t="shared" si="182"/>
        <v>Regular</v>
      </c>
    </row>
    <row r="3865" spans="1:14" x14ac:dyDescent="0.35">
      <c r="A3865">
        <v>3864</v>
      </c>
      <c r="B3865">
        <v>53</v>
      </c>
      <c r="C3865" t="str">
        <f t="shared" si="180"/>
        <v>Adult</v>
      </c>
      <c r="D3865" t="s">
        <v>11</v>
      </c>
      <c r="E3865" t="s">
        <v>25</v>
      </c>
      <c r="F3865" t="s">
        <v>47</v>
      </c>
      <c r="G3865">
        <v>36.549999999999997</v>
      </c>
      <c r="H3865" t="s">
        <v>19</v>
      </c>
      <c r="I3865" t="s">
        <v>15</v>
      </c>
      <c r="J3865">
        <v>3.8</v>
      </c>
      <c r="K3865">
        <v>15</v>
      </c>
      <c r="L3865">
        <f t="shared" si="181"/>
        <v>31.067499999999995</v>
      </c>
      <c r="M3865">
        <v>5</v>
      </c>
      <c r="N3865" t="str">
        <f t="shared" si="182"/>
        <v>Regular</v>
      </c>
    </row>
    <row r="3866" spans="1:14" x14ac:dyDescent="0.35">
      <c r="A3866">
        <v>3865</v>
      </c>
      <c r="B3866">
        <v>25</v>
      </c>
      <c r="C3866" t="str">
        <f t="shared" si="180"/>
        <v>Youth</v>
      </c>
      <c r="D3866" t="s">
        <v>16</v>
      </c>
      <c r="E3866" t="s">
        <v>20</v>
      </c>
      <c r="F3866" t="s">
        <v>21</v>
      </c>
      <c r="G3866">
        <v>162.61000000000001</v>
      </c>
      <c r="H3866" t="s">
        <v>24</v>
      </c>
      <c r="I3866" t="s">
        <v>15</v>
      </c>
      <c r="J3866">
        <v>4.7</v>
      </c>
      <c r="K3866">
        <v>16</v>
      </c>
      <c r="L3866">
        <f t="shared" si="181"/>
        <v>136.5924</v>
      </c>
      <c r="M3866">
        <v>3</v>
      </c>
      <c r="N3866" t="str">
        <f t="shared" si="182"/>
        <v>New</v>
      </c>
    </row>
    <row r="3867" spans="1:14" x14ac:dyDescent="0.35">
      <c r="A3867">
        <v>3866</v>
      </c>
      <c r="B3867">
        <v>49</v>
      </c>
      <c r="C3867" t="str">
        <f t="shared" si="180"/>
        <v>Adult</v>
      </c>
      <c r="D3867" t="s">
        <v>16</v>
      </c>
      <c r="E3867" t="s">
        <v>20</v>
      </c>
      <c r="F3867" t="s">
        <v>21</v>
      </c>
      <c r="G3867">
        <v>75.87</v>
      </c>
      <c r="H3867" t="s">
        <v>19</v>
      </c>
      <c r="I3867" t="s">
        <v>37</v>
      </c>
      <c r="J3867">
        <v>3</v>
      </c>
      <c r="K3867">
        <v>11</v>
      </c>
      <c r="L3867">
        <f t="shared" si="181"/>
        <v>67.524300000000011</v>
      </c>
      <c r="M3867">
        <v>3</v>
      </c>
      <c r="N3867" t="str">
        <f t="shared" si="182"/>
        <v>New</v>
      </c>
    </row>
    <row r="3868" spans="1:14" x14ac:dyDescent="0.35">
      <c r="A3868">
        <v>3867</v>
      </c>
      <c r="B3868">
        <v>59</v>
      </c>
      <c r="C3868" t="str">
        <f t="shared" si="180"/>
        <v>Adult</v>
      </c>
      <c r="D3868" t="s">
        <v>11</v>
      </c>
      <c r="E3868" t="s">
        <v>25</v>
      </c>
      <c r="F3868" t="s">
        <v>47</v>
      </c>
      <c r="G3868">
        <v>16.71</v>
      </c>
      <c r="H3868" t="s">
        <v>31</v>
      </c>
      <c r="I3868" t="s">
        <v>15</v>
      </c>
      <c r="J3868">
        <v>3.9</v>
      </c>
      <c r="K3868">
        <v>17</v>
      </c>
      <c r="L3868">
        <f t="shared" si="181"/>
        <v>13.869300000000001</v>
      </c>
      <c r="M3868">
        <v>6</v>
      </c>
      <c r="N3868" t="str">
        <f t="shared" si="182"/>
        <v>Regular</v>
      </c>
    </row>
    <row r="3869" spans="1:14" x14ac:dyDescent="0.35">
      <c r="A3869">
        <v>3868</v>
      </c>
      <c r="B3869">
        <v>66</v>
      </c>
      <c r="C3869" t="str">
        <f t="shared" si="180"/>
        <v>Senior</v>
      </c>
      <c r="D3869" t="s">
        <v>11</v>
      </c>
      <c r="E3869" t="s">
        <v>12</v>
      </c>
      <c r="F3869" t="s">
        <v>13</v>
      </c>
      <c r="G3869">
        <v>118.57</v>
      </c>
      <c r="H3869" t="s">
        <v>14</v>
      </c>
      <c r="I3869" t="s">
        <v>15</v>
      </c>
      <c r="J3869">
        <v>2.9</v>
      </c>
      <c r="K3869">
        <v>15</v>
      </c>
      <c r="L3869">
        <f t="shared" si="181"/>
        <v>100.78449999999999</v>
      </c>
      <c r="M3869">
        <v>5</v>
      </c>
      <c r="N3869" t="str">
        <f t="shared" si="182"/>
        <v>Regular</v>
      </c>
    </row>
    <row r="3870" spans="1:14" x14ac:dyDescent="0.35">
      <c r="A3870">
        <v>3869</v>
      </c>
      <c r="B3870">
        <v>26</v>
      </c>
      <c r="C3870" t="str">
        <f t="shared" si="180"/>
        <v>Youth</v>
      </c>
      <c r="D3870" t="s">
        <v>11</v>
      </c>
      <c r="E3870" t="s">
        <v>41</v>
      </c>
      <c r="F3870" t="s">
        <v>42</v>
      </c>
      <c r="G3870">
        <v>71.72</v>
      </c>
      <c r="H3870" t="s">
        <v>19</v>
      </c>
      <c r="I3870" t="s">
        <v>15</v>
      </c>
      <c r="J3870">
        <v>3.5</v>
      </c>
      <c r="K3870">
        <v>21</v>
      </c>
      <c r="L3870">
        <f t="shared" si="181"/>
        <v>56.658799999999999</v>
      </c>
      <c r="M3870">
        <v>8</v>
      </c>
      <c r="N3870" t="str">
        <f t="shared" si="182"/>
        <v>Loyal</v>
      </c>
    </row>
    <row r="3871" spans="1:14" x14ac:dyDescent="0.35">
      <c r="A3871">
        <v>3870</v>
      </c>
      <c r="B3871">
        <v>64</v>
      </c>
      <c r="C3871" t="str">
        <f t="shared" si="180"/>
        <v>Senior</v>
      </c>
      <c r="D3871" t="s">
        <v>11</v>
      </c>
      <c r="E3871" t="s">
        <v>22</v>
      </c>
      <c r="F3871" t="s">
        <v>52</v>
      </c>
      <c r="G3871">
        <v>280.58999999999997</v>
      </c>
      <c r="H3871" t="s">
        <v>31</v>
      </c>
      <c r="I3871" t="s">
        <v>15</v>
      </c>
      <c r="J3871">
        <v>4.9000000000000004</v>
      </c>
      <c r="K3871">
        <v>17</v>
      </c>
      <c r="L3871">
        <f t="shared" si="181"/>
        <v>232.88969999999998</v>
      </c>
      <c r="M3871">
        <v>6</v>
      </c>
      <c r="N3871" t="str">
        <f t="shared" si="182"/>
        <v>Regular</v>
      </c>
    </row>
    <row r="3872" spans="1:14" x14ac:dyDescent="0.35">
      <c r="A3872">
        <v>3871</v>
      </c>
      <c r="B3872">
        <v>46</v>
      </c>
      <c r="C3872" t="str">
        <f t="shared" si="180"/>
        <v>Adult</v>
      </c>
      <c r="D3872" t="s">
        <v>11</v>
      </c>
      <c r="E3872" t="s">
        <v>41</v>
      </c>
      <c r="F3872" t="s">
        <v>42</v>
      </c>
      <c r="G3872">
        <v>121.97</v>
      </c>
      <c r="H3872" t="s">
        <v>31</v>
      </c>
      <c r="I3872" t="s">
        <v>15</v>
      </c>
      <c r="J3872">
        <v>4.5999999999999996</v>
      </c>
      <c r="K3872">
        <v>26</v>
      </c>
      <c r="L3872">
        <f t="shared" si="181"/>
        <v>90.257800000000003</v>
      </c>
      <c r="M3872">
        <v>8</v>
      </c>
      <c r="N3872" t="str">
        <f t="shared" si="182"/>
        <v>Loyal</v>
      </c>
    </row>
    <row r="3873" spans="1:14" x14ac:dyDescent="0.35">
      <c r="A3873">
        <v>3872</v>
      </c>
      <c r="B3873">
        <v>62</v>
      </c>
      <c r="C3873" t="str">
        <f t="shared" si="180"/>
        <v>Senior</v>
      </c>
      <c r="D3873" t="s">
        <v>16</v>
      </c>
      <c r="E3873" t="s">
        <v>20</v>
      </c>
      <c r="F3873" t="s">
        <v>39</v>
      </c>
      <c r="G3873">
        <v>125.84</v>
      </c>
      <c r="H3873" t="s">
        <v>14</v>
      </c>
      <c r="I3873" t="s">
        <v>15</v>
      </c>
      <c r="J3873">
        <v>3.9</v>
      </c>
      <c r="K3873">
        <v>8</v>
      </c>
      <c r="L3873">
        <f t="shared" si="181"/>
        <v>115.7728</v>
      </c>
      <c r="M3873">
        <v>4</v>
      </c>
      <c r="N3873" t="str">
        <f t="shared" si="182"/>
        <v>Regular</v>
      </c>
    </row>
    <row r="3874" spans="1:14" x14ac:dyDescent="0.35">
      <c r="A3874">
        <v>3873</v>
      </c>
      <c r="B3874">
        <v>43</v>
      </c>
      <c r="C3874" t="str">
        <f t="shared" si="180"/>
        <v>Adult</v>
      </c>
      <c r="D3874" t="s">
        <v>16</v>
      </c>
      <c r="E3874" t="s">
        <v>20</v>
      </c>
      <c r="F3874" t="s">
        <v>39</v>
      </c>
      <c r="G3874">
        <v>199.76</v>
      </c>
      <c r="H3874" t="s">
        <v>31</v>
      </c>
      <c r="I3874" t="s">
        <v>15</v>
      </c>
      <c r="J3874">
        <v>2.4</v>
      </c>
      <c r="K3874">
        <v>24</v>
      </c>
      <c r="L3874">
        <f t="shared" si="181"/>
        <v>151.8176</v>
      </c>
      <c r="M3874">
        <v>7</v>
      </c>
      <c r="N3874" t="str">
        <f t="shared" si="182"/>
        <v>Regular</v>
      </c>
    </row>
    <row r="3875" spans="1:14" x14ac:dyDescent="0.35">
      <c r="A3875">
        <v>3874</v>
      </c>
      <c r="B3875">
        <v>63</v>
      </c>
      <c r="C3875" t="str">
        <f t="shared" si="180"/>
        <v>Senior</v>
      </c>
      <c r="D3875" t="s">
        <v>16</v>
      </c>
      <c r="E3875" t="s">
        <v>20</v>
      </c>
      <c r="F3875" t="s">
        <v>21</v>
      </c>
      <c r="G3875">
        <v>245.47</v>
      </c>
      <c r="H3875" t="s">
        <v>19</v>
      </c>
      <c r="I3875" t="s">
        <v>15</v>
      </c>
      <c r="J3875">
        <v>4.0999999999999996</v>
      </c>
      <c r="K3875">
        <v>12</v>
      </c>
      <c r="L3875">
        <f t="shared" si="181"/>
        <v>216.0136</v>
      </c>
      <c r="M3875">
        <v>6</v>
      </c>
      <c r="N3875" t="str">
        <f t="shared" si="182"/>
        <v>Regular</v>
      </c>
    </row>
    <row r="3876" spans="1:14" x14ac:dyDescent="0.35">
      <c r="A3876">
        <v>3875</v>
      </c>
      <c r="B3876">
        <v>36</v>
      </c>
      <c r="C3876" t="str">
        <f t="shared" si="180"/>
        <v>Adult</v>
      </c>
      <c r="D3876" t="s">
        <v>11</v>
      </c>
      <c r="E3876" t="s">
        <v>29</v>
      </c>
      <c r="F3876" t="s">
        <v>51</v>
      </c>
      <c r="G3876">
        <v>63.27</v>
      </c>
      <c r="H3876" t="s">
        <v>31</v>
      </c>
      <c r="I3876" t="s">
        <v>15</v>
      </c>
      <c r="J3876">
        <v>2.8</v>
      </c>
      <c r="K3876">
        <v>12</v>
      </c>
      <c r="L3876">
        <f t="shared" si="181"/>
        <v>55.677600000000005</v>
      </c>
      <c r="M3876">
        <v>6</v>
      </c>
      <c r="N3876" t="str">
        <f t="shared" si="182"/>
        <v>Regular</v>
      </c>
    </row>
    <row r="3877" spans="1:14" x14ac:dyDescent="0.35">
      <c r="A3877">
        <v>3876</v>
      </c>
      <c r="B3877">
        <v>48</v>
      </c>
      <c r="C3877" t="str">
        <f t="shared" si="180"/>
        <v>Adult</v>
      </c>
      <c r="D3877" t="s">
        <v>11</v>
      </c>
      <c r="E3877" t="s">
        <v>33</v>
      </c>
      <c r="F3877" t="s">
        <v>38</v>
      </c>
      <c r="G3877">
        <v>71.12</v>
      </c>
      <c r="H3877" t="s">
        <v>14</v>
      </c>
      <c r="I3877" t="s">
        <v>15</v>
      </c>
      <c r="J3877">
        <v>4.2</v>
      </c>
      <c r="K3877">
        <v>18</v>
      </c>
      <c r="L3877">
        <f t="shared" si="181"/>
        <v>58.318400000000011</v>
      </c>
      <c r="M3877">
        <v>4</v>
      </c>
      <c r="N3877" t="str">
        <f t="shared" si="182"/>
        <v>Regular</v>
      </c>
    </row>
    <row r="3878" spans="1:14" x14ac:dyDescent="0.35">
      <c r="A3878">
        <v>3877</v>
      </c>
      <c r="B3878">
        <v>52</v>
      </c>
      <c r="C3878" t="str">
        <f t="shared" si="180"/>
        <v>Adult</v>
      </c>
      <c r="D3878" t="s">
        <v>11</v>
      </c>
      <c r="E3878" t="s">
        <v>22</v>
      </c>
      <c r="F3878" t="s">
        <v>43</v>
      </c>
      <c r="G3878">
        <v>71.95</v>
      </c>
      <c r="H3878" t="s">
        <v>31</v>
      </c>
      <c r="I3878" t="s">
        <v>37</v>
      </c>
      <c r="J3878">
        <v>3.6</v>
      </c>
      <c r="K3878">
        <v>21</v>
      </c>
      <c r="L3878">
        <f t="shared" si="181"/>
        <v>56.840500000000006</v>
      </c>
      <c r="M3878">
        <v>8</v>
      </c>
      <c r="N3878" t="str">
        <f t="shared" si="182"/>
        <v>Loyal</v>
      </c>
    </row>
    <row r="3879" spans="1:14" x14ac:dyDescent="0.35">
      <c r="A3879">
        <v>3878</v>
      </c>
      <c r="B3879">
        <v>34</v>
      </c>
      <c r="C3879" t="str">
        <f t="shared" si="180"/>
        <v>Adult</v>
      </c>
      <c r="D3879" t="s">
        <v>16</v>
      </c>
      <c r="E3879" t="s">
        <v>22</v>
      </c>
      <c r="F3879" t="s">
        <v>52</v>
      </c>
      <c r="G3879">
        <v>199.66</v>
      </c>
      <c r="H3879" t="s">
        <v>24</v>
      </c>
      <c r="I3879" t="s">
        <v>15</v>
      </c>
      <c r="J3879">
        <v>3.3</v>
      </c>
      <c r="K3879">
        <v>8</v>
      </c>
      <c r="L3879">
        <f t="shared" si="181"/>
        <v>183.68720000000002</v>
      </c>
      <c r="M3879">
        <v>4</v>
      </c>
      <c r="N3879" t="str">
        <f t="shared" si="182"/>
        <v>Regular</v>
      </c>
    </row>
    <row r="3880" spans="1:14" x14ac:dyDescent="0.35">
      <c r="A3880">
        <v>3879</v>
      </c>
      <c r="B3880">
        <v>46</v>
      </c>
      <c r="C3880" t="str">
        <f t="shared" si="180"/>
        <v>Adult</v>
      </c>
      <c r="D3880" t="s">
        <v>11</v>
      </c>
      <c r="E3880" t="s">
        <v>12</v>
      </c>
      <c r="F3880" t="s">
        <v>13</v>
      </c>
      <c r="G3880">
        <v>52.31</v>
      </c>
      <c r="H3880" t="s">
        <v>24</v>
      </c>
      <c r="I3880" t="s">
        <v>37</v>
      </c>
      <c r="J3880">
        <v>5</v>
      </c>
      <c r="K3880">
        <v>22</v>
      </c>
      <c r="L3880">
        <f t="shared" si="181"/>
        <v>40.8018</v>
      </c>
      <c r="M3880">
        <v>6</v>
      </c>
      <c r="N3880" t="str">
        <f t="shared" si="182"/>
        <v>Regular</v>
      </c>
    </row>
    <row r="3881" spans="1:14" x14ac:dyDescent="0.35">
      <c r="A3881">
        <v>3880</v>
      </c>
      <c r="B3881">
        <v>35</v>
      </c>
      <c r="C3881" t="str">
        <f t="shared" si="180"/>
        <v>Adult</v>
      </c>
      <c r="D3881" t="s">
        <v>11</v>
      </c>
      <c r="E3881" t="s">
        <v>29</v>
      </c>
      <c r="F3881" t="s">
        <v>55</v>
      </c>
      <c r="G3881">
        <v>92</v>
      </c>
      <c r="H3881" t="s">
        <v>31</v>
      </c>
      <c r="I3881" t="s">
        <v>37</v>
      </c>
      <c r="J3881">
        <v>4.8</v>
      </c>
      <c r="K3881">
        <v>30</v>
      </c>
      <c r="L3881">
        <f t="shared" si="181"/>
        <v>64.399999999999991</v>
      </c>
      <c r="M3881">
        <v>10</v>
      </c>
      <c r="N3881" t="str">
        <f t="shared" si="182"/>
        <v>Loyal</v>
      </c>
    </row>
    <row r="3882" spans="1:14" x14ac:dyDescent="0.35">
      <c r="A3882">
        <v>3881</v>
      </c>
      <c r="B3882">
        <v>39</v>
      </c>
      <c r="C3882" t="str">
        <f t="shared" si="180"/>
        <v>Adult</v>
      </c>
      <c r="D3882" t="s">
        <v>11</v>
      </c>
      <c r="E3882" t="s">
        <v>12</v>
      </c>
      <c r="F3882" t="s">
        <v>56</v>
      </c>
      <c r="G3882">
        <v>41.86</v>
      </c>
      <c r="H3882" t="s">
        <v>19</v>
      </c>
      <c r="I3882" t="s">
        <v>15</v>
      </c>
      <c r="J3882">
        <v>2.8</v>
      </c>
      <c r="K3882">
        <v>18</v>
      </c>
      <c r="L3882">
        <f t="shared" si="181"/>
        <v>34.325200000000002</v>
      </c>
      <c r="M3882">
        <v>4</v>
      </c>
      <c r="N3882" t="str">
        <f t="shared" si="182"/>
        <v>Regular</v>
      </c>
    </row>
    <row r="3883" spans="1:14" x14ac:dyDescent="0.35">
      <c r="A3883">
        <v>3882</v>
      </c>
      <c r="B3883">
        <v>67</v>
      </c>
      <c r="C3883" t="str">
        <f t="shared" si="180"/>
        <v>Senior</v>
      </c>
      <c r="D3883" t="s">
        <v>11</v>
      </c>
      <c r="E3883" t="s">
        <v>33</v>
      </c>
      <c r="F3883" t="s">
        <v>40</v>
      </c>
      <c r="G3883">
        <v>134.68</v>
      </c>
      <c r="H3883" t="s">
        <v>31</v>
      </c>
      <c r="I3883" t="s">
        <v>15</v>
      </c>
      <c r="J3883">
        <v>4.0999999999999996</v>
      </c>
      <c r="K3883">
        <v>15</v>
      </c>
      <c r="L3883">
        <f t="shared" si="181"/>
        <v>114.47800000000001</v>
      </c>
      <c r="M3883">
        <v>5</v>
      </c>
      <c r="N3883" t="str">
        <f t="shared" si="182"/>
        <v>Regular</v>
      </c>
    </row>
    <row r="3884" spans="1:14" x14ac:dyDescent="0.35">
      <c r="A3884">
        <v>3883</v>
      </c>
      <c r="B3884">
        <v>52</v>
      </c>
      <c r="C3884" t="str">
        <f t="shared" si="180"/>
        <v>Adult</v>
      </c>
      <c r="D3884" t="s">
        <v>16</v>
      </c>
      <c r="E3884" t="s">
        <v>20</v>
      </c>
      <c r="F3884" t="s">
        <v>21</v>
      </c>
      <c r="G3884">
        <v>91.41</v>
      </c>
      <c r="H3884" t="s">
        <v>14</v>
      </c>
      <c r="I3884" t="s">
        <v>37</v>
      </c>
      <c r="J3884">
        <v>2.9</v>
      </c>
      <c r="K3884">
        <v>6</v>
      </c>
      <c r="L3884">
        <f t="shared" si="181"/>
        <v>85.925399999999996</v>
      </c>
      <c r="M3884">
        <v>3</v>
      </c>
      <c r="N3884" t="str">
        <f t="shared" si="182"/>
        <v>New</v>
      </c>
    </row>
    <row r="3885" spans="1:14" x14ac:dyDescent="0.35">
      <c r="A3885">
        <v>3884</v>
      </c>
      <c r="B3885">
        <v>29</v>
      </c>
      <c r="C3885" t="str">
        <f t="shared" si="180"/>
        <v>Youth</v>
      </c>
      <c r="D3885" t="s">
        <v>11</v>
      </c>
      <c r="E3885" t="s">
        <v>25</v>
      </c>
      <c r="F3885" t="s">
        <v>47</v>
      </c>
      <c r="G3885">
        <v>29.99</v>
      </c>
      <c r="H3885" t="s">
        <v>31</v>
      </c>
      <c r="I3885" t="s">
        <v>15</v>
      </c>
      <c r="J3885">
        <v>4.5</v>
      </c>
      <c r="K3885">
        <v>17</v>
      </c>
      <c r="L3885">
        <f t="shared" si="181"/>
        <v>24.891699999999997</v>
      </c>
      <c r="M3885">
        <v>6</v>
      </c>
      <c r="N3885" t="str">
        <f t="shared" si="182"/>
        <v>Regular</v>
      </c>
    </row>
    <row r="3886" spans="1:14" x14ac:dyDescent="0.35">
      <c r="A3886">
        <v>3885</v>
      </c>
      <c r="B3886">
        <v>55</v>
      </c>
      <c r="C3886" t="str">
        <f t="shared" si="180"/>
        <v>Adult</v>
      </c>
      <c r="D3886" t="s">
        <v>16</v>
      </c>
      <c r="E3886" t="s">
        <v>22</v>
      </c>
      <c r="F3886" t="s">
        <v>43</v>
      </c>
      <c r="G3886">
        <v>261.19</v>
      </c>
      <c r="H3886" t="s">
        <v>19</v>
      </c>
      <c r="I3886" t="s">
        <v>15</v>
      </c>
      <c r="J3886">
        <v>3.2</v>
      </c>
      <c r="K3886">
        <v>24</v>
      </c>
      <c r="L3886">
        <f t="shared" si="181"/>
        <v>198.5044</v>
      </c>
      <c r="M3886">
        <v>7</v>
      </c>
      <c r="N3886" t="str">
        <f t="shared" si="182"/>
        <v>Regular</v>
      </c>
    </row>
    <row r="3887" spans="1:14" x14ac:dyDescent="0.35">
      <c r="A3887">
        <v>3886</v>
      </c>
      <c r="B3887">
        <v>70</v>
      </c>
      <c r="C3887" t="str">
        <f t="shared" si="180"/>
        <v>Senior</v>
      </c>
      <c r="D3887" t="s">
        <v>16</v>
      </c>
      <c r="E3887" t="s">
        <v>33</v>
      </c>
      <c r="F3887" t="s">
        <v>38</v>
      </c>
      <c r="G3887">
        <v>87.98</v>
      </c>
      <c r="H3887" t="s">
        <v>19</v>
      </c>
      <c r="I3887" t="s">
        <v>15</v>
      </c>
      <c r="J3887">
        <v>3.2</v>
      </c>
      <c r="K3887">
        <v>12</v>
      </c>
      <c r="L3887">
        <f t="shared" si="181"/>
        <v>77.42240000000001</v>
      </c>
      <c r="M3887">
        <v>6</v>
      </c>
      <c r="N3887" t="str">
        <f t="shared" si="182"/>
        <v>Regular</v>
      </c>
    </row>
    <row r="3888" spans="1:14" x14ac:dyDescent="0.35">
      <c r="A3888">
        <v>3887</v>
      </c>
      <c r="B3888">
        <v>41</v>
      </c>
      <c r="C3888" t="str">
        <f t="shared" si="180"/>
        <v>Adult</v>
      </c>
      <c r="D3888" t="s">
        <v>16</v>
      </c>
      <c r="E3888" t="s">
        <v>17</v>
      </c>
      <c r="F3888" t="s">
        <v>35</v>
      </c>
      <c r="G3888">
        <v>152.87</v>
      </c>
      <c r="H3888" t="s">
        <v>31</v>
      </c>
      <c r="I3888" t="s">
        <v>15</v>
      </c>
      <c r="J3888">
        <v>4.5</v>
      </c>
      <c r="K3888">
        <v>12</v>
      </c>
      <c r="L3888">
        <f t="shared" si="181"/>
        <v>134.5256</v>
      </c>
      <c r="M3888">
        <v>6</v>
      </c>
      <c r="N3888" t="str">
        <f t="shared" si="182"/>
        <v>Regular</v>
      </c>
    </row>
    <row r="3889" spans="1:14" x14ac:dyDescent="0.35">
      <c r="A3889">
        <v>3888</v>
      </c>
      <c r="B3889">
        <v>24</v>
      </c>
      <c r="C3889" t="str">
        <f t="shared" si="180"/>
        <v>Youth</v>
      </c>
      <c r="D3889" t="s">
        <v>16</v>
      </c>
      <c r="E3889" t="s">
        <v>22</v>
      </c>
      <c r="F3889" t="s">
        <v>52</v>
      </c>
      <c r="G3889">
        <v>160.16999999999999</v>
      </c>
      <c r="H3889" t="s">
        <v>19</v>
      </c>
      <c r="I3889" t="s">
        <v>15</v>
      </c>
      <c r="J3889">
        <v>3.7</v>
      </c>
      <c r="K3889">
        <v>18</v>
      </c>
      <c r="L3889">
        <f t="shared" si="181"/>
        <v>131.33940000000001</v>
      </c>
      <c r="M3889">
        <v>4</v>
      </c>
      <c r="N3889" t="str">
        <f t="shared" si="182"/>
        <v>Regular</v>
      </c>
    </row>
    <row r="3890" spans="1:14" x14ac:dyDescent="0.35">
      <c r="A3890">
        <v>3889</v>
      </c>
      <c r="B3890">
        <v>61</v>
      </c>
      <c r="C3890" t="str">
        <f t="shared" si="180"/>
        <v>Senior</v>
      </c>
      <c r="D3890" t="s">
        <v>16</v>
      </c>
      <c r="E3890" t="s">
        <v>20</v>
      </c>
      <c r="F3890" t="s">
        <v>21</v>
      </c>
      <c r="G3890">
        <v>92.21</v>
      </c>
      <c r="H3890" t="s">
        <v>19</v>
      </c>
      <c r="I3890" t="s">
        <v>15</v>
      </c>
      <c r="J3890">
        <v>4.2</v>
      </c>
      <c r="K3890">
        <v>10</v>
      </c>
      <c r="L3890">
        <f t="shared" si="181"/>
        <v>82.98899999999999</v>
      </c>
      <c r="M3890">
        <v>5</v>
      </c>
      <c r="N3890" t="str">
        <f t="shared" si="182"/>
        <v>Regular</v>
      </c>
    </row>
    <row r="3891" spans="1:14" x14ac:dyDescent="0.35">
      <c r="A3891">
        <v>3890</v>
      </c>
      <c r="B3891">
        <v>55</v>
      </c>
      <c r="C3891" t="str">
        <f t="shared" si="180"/>
        <v>Adult</v>
      </c>
      <c r="D3891" t="s">
        <v>11</v>
      </c>
      <c r="E3891" t="s">
        <v>41</v>
      </c>
      <c r="F3891" t="s">
        <v>46</v>
      </c>
      <c r="G3891">
        <v>68.75</v>
      </c>
      <c r="H3891" t="s">
        <v>31</v>
      </c>
      <c r="I3891" t="s">
        <v>15</v>
      </c>
      <c r="J3891">
        <v>4.9000000000000004</v>
      </c>
      <c r="K3891">
        <v>9</v>
      </c>
      <c r="L3891">
        <f t="shared" si="181"/>
        <v>62.5625</v>
      </c>
      <c r="M3891">
        <v>2</v>
      </c>
      <c r="N3891" t="str">
        <f t="shared" si="182"/>
        <v>New</v>
      </c>
    </row>
    <row r="3892" spans="1:14" x14ac:dyDescent="0.35">
      <c r="A3892">
        <v>3891</v>
      </c>
      <c r="B3892">
        <v>36</v>
      </c>
      <c r="C3892" t="str">
        <f t="shared" si="180"/>
        <v>Adult</v>
      </c>
      <c r="D3892" t="s">
        <v>16</v>
      </c>
      <c r="E3892" t="s">
        <v>27</v>
      </c>
      <c r="F3892" t="s">
        <v>32</v>
      </c>
      <c r="G3892">
        <v>2199.9299999999998</v>
      </c>
      <c r="H3892" t="s">
        <v>24</v>
      </c>
      <c r="I3892" t="s">
        <v>15</v>
      </c>
      <c r="J3892">
        <v>4.3</v>
      </c>
      <c r="K3892">
        <v>17</v>
      </c>
      <c r="L3892">
        <f t="shared" si="181"/>
        <v>1825.9418999999998</v>
      </c>
      <c r="M3892">
        <v>6</v>
      </c>
      <c r="N3892" t="str">
        <f t="shared" si="182"/>
        <v>Regular</v>
      </c>
    </row>
    <row r="3893" spans="1:14" x14ac:dyDescent="0.35">
      <c r="A3893">
        <v>3892</v>
      </c>
      <c r="B3893">
        <v>67</v>
      </c>
      <c r="C3893" t="str">
        <f t="shared" si="180"/>
        <v>Senior</v>
      </c>
      <c r="D3893" t="s">
        <v>11</v>
      </c>
      <c r="E3893" t="s">
        <v>33</v>
      </c>
      <c r="F3893" t="s">
        <v>38</v>
      </c>
      <c r="G3893">
        <v>191.36</v>
      </c>
      <c r="H3893" t="s">
        <v>24</v>
      </c>
      <c r="I3893" t="s">
        <v>15</v>
      </c>
      <c r="J3893">
        <v>4.0999999999999996</v>
      </c>
      <c r="K3893">
        <v>18</v>
      </c>
      <c r="L3893">
        <f t="shared" si="181"/>
        <v>156.91520000000003</v>
      </c>
      <c r="M3893">
        <v>4</v>
      </c>
      <c r="N3893" t="str">
        <f t="shared" si="182"/>
        <v>Regular</v>
      </c>
    </row>
    <row r="3894" spans="1:14" x14ac:dyDescent="0.35">
      <c r="A3894">
        <v>3893</v>
      </c>
      <c r="B3894">
        <v>50</v>
      </c>
      <c r="C3894" t="str">
        <f t="shared" si="180"/>
        <v>Adult</v>
      </c>
      <c r="D3894" t="s">
        <v>16</v>
      </c>
      <c r="E3894" t="s">
        <v>22</v>
      </c>
      <c r="F3894" t="s">
        <v>52</v>
      </c>
      <c r="G3894">
        <v>55.82</v>
      </c>
      <c r="H3894" t="s">
        <v>19</v>
      </c>
      <c r="I3894" t="s">
        <v>37</v>
      </c>
      <c r="J3894">
        <v>3.7</v>
      </c>
      <c r="K3894">
        <v>16</v>
      </c>
      <c r="L3894">
        <f t="shared" si="181"/>
        <v>46.888799999999996</v>
      </c>
      <c r="M3894">
        <v>3</v>
      </c>
      <c r="N3894" t="str">
        <f t="shared" si="182"/>
        <v>New</v>
      </c>
    </row>
    <row r="3895" spans="1:14" x14ac:dyDescent="0.35">
      <c r="A3895">
        <v>3894</v>
      </c>
      <c r="B3895">
        <v>33</v>
      </c>
      <c r="C3895" t="str">
        <f t="shared" si="180"/>
        <v>Adult</v>
      </c>
      <c r="D3895" t="s">
        <v>11</v>
      </c>
      <c r="E3895" t="s">
        <v>33</v>
      </c>
      <c r="F3895" t="s">
        <v>34</v>
      </c>
      <c r="G3895">
        <v>222.12</v>
      </c>
      <c r="H3895" t="s">
        <v>24</v>
      </c>
      <c r="I3895" t="s">
        <v>15</v>
      </c>
      <c r="J3895">
        <v>4.0999999999999996</v>
      </c>
      <c r="K3895">
        <v>10</v>
      </c>
      <c r="L3895">
        <f t="shared" si="181"/>
        <v>199.90800000000002</v>
      </c>
      <c r="M3895">
        <v>5</v>
      </c>
      <c r="N3895" t="str">
        <f t="shared" si="182"/>
        <v>Regular</v>
      </c>
    </row>
    <row r="3896" spans="1:14" x14ac:dyDescent="0.35">
      <c r="A3896">
        <v>3895</v>
      </c>
      <c r="B3896">
        <v>33</v>
      </c>
      <c r="C3896" t="str">
        <f t="shared" si="180"/>
        <v>Adult</v>
      </c>
      <c r="D3896" t="s">
        <v>11</v>
      </c>
      <c r="E3896" t="s">
        <v>25</v>
      </c>
      <c r="F3896" t="s">
        <v>47</v>
      </c>
      <c r="G3896">
        <v>78.680000000000007</v>
      </c>
      <c r="H3896" t="s">
        <v>31</v>
      </c>
      <c r="I3896" t="s">
        <v>15</v>
      </c>
      <c r="J3896">
        <v>3.4</v>
      </c>
      <c r="K3896">
        <v>6</v>
      </c>
      <c r="L3896">
        <f t="shared" si="181"/>
        <v>73.959199999999996</v>
      </c>
      <c r="M3896">
        <v>3</v>
      </c>
      <c r="N3896" t="str">
        <f t="shared" si="182"/>
        <v>New</v>
      </c>
    </row>
    <row r="3897" spans="1:14" x14ac:dyDescent="0.35">
      <c r="A3897">
        <v>3896</v>
      </c>
      <c r="B3897">
        <v>53</v>
      </c>
      <c r="C3897" t="str">
        <f t="shared" si="180"/>
        <v>Adult</v>
      </c>
      <c r="D3897" t="s">
        <v>11</v>
      </c>
      <c r="E3897" t="s">
        <v>33</v>
      </c>
      <c r="F3897" t="s">
        <v>34</v>
      </c>
      <c r="G3897">
        <v>151.9</v>
      </c>
      <c r="H3897" t="s">
        <v>31</v>
      </c>
      <c r="I3897" t="s">
        <v>15</v>
      </c>
      <c r="J3897">
        <v>3.5</v>
      </c>
      <c r="K3897">
        <v>7</v>
      </c>
      <c r="L3897">
        <f t="shared" si="181"/>
        <v>141.267</v>
      </c>
      <c r="M3897">
        <v>1</v>
      </c>
      <c r="N3897" t="str">
        <f t="shared" si="182"/>
        <v>New</v>
      </c>
    </row>
    <row r="3898" spans="1:14" x14ac:dyDescent="0.35">
      <c r="A3898">
        <v>3897</v>
      </c>
      <c r="B3898">
        <v>41</v>
      </c>
      <c r="C3898" t="str">
        <f t="shared" si="180"/>
        <v>Adult</v>
      </c>
      <c r="D3898" t="s">
        <v>11</v>
      </c>
      <c r="E3898" t="s">
        <v>41</v>
      </c>
      <c r="F3898" t="s">
        <v>45</v>
      </c>
      <c r="G3898">
        <v>34.340000000000003</v>
      </c>
      <c r="H3898" t="s">
        <v>14</v>
      </c>
      <c r="I3898" t="s">
        <v>37</v>
      </c>
      <c r="J3898">
        <v>3.7</v>
      </c>
      <c r="K3898">
        <v>24</v>
      </c>
      <c r="L3898">
        <f t="shared" si="181"/>
        <v>26.098400000000002</v>
      </c>
      <c r="M3898">
        <v>7</v>
      </c>
      <c r="N3898" t="str">
        <f t="shared" si="182"/>
        <v>Regular</v>
      </c>
    </row>
    <row r="3899" spans="1:14" x14ac:dyDescent="0.35">
      <c r="A3899">
        <v>3898</v>
      </c>
      <c r="B3899">
        <v>44</v>
      </c>
      <c r="C3899" t="str">
        <f t="shared" si="180"/>
        <v>Adult</v>
      </c>
      <c r="D3899" t="s">
        <v>16</v>
      </c>
      <c r="E3899" t="s">
        <v>22</v>
      </c>
      <c r="F3899" t="s">
        <v>52</v>
      </c>
      <c r="G3899">
        <v>193.78</v>
      </c>
      <c r="H3899" t="s">
        <v>14</v>
      </c>
      <c r="I3899" t="s">
        <v>15</v>
      </c>
      <c r="J3899">
        <v>3.9</v>
      </c>
      <c r="K3899">
        <v>11</v>
      </c>
      <c r="L3899">
        <f t="shared" si="181"/>
        <v>172.46420000000001</v>
      </c>
      <c r="M3899">
        <v>3</v>
      </c>
      <c r="N3899" t="str">
        <f t="shared" si="182"/>
        <v>New</v>
      </c>
    </row>
    <row r="3900" spans="1:14" x14ac:dyDescent="0.35">
      <c r="A3900">
        <v>3899</v>
      </c>
      <c r="B3900">
        <v>44</v>
      </c>
      <c r="C3900" t="str">
        <f t="shared" si="180"/>
        <v>Adult</v>
      </c>
      <c r="D3900" t="s">
        <v>11</v>
      </c>
      <c r="E3900" t="s">
        <v>33</v>
      </c>
      <c r="F3900" t="s">
        <v>40</v>
      </c>
      <c r="G3900">
        <v>165.49</v>
      </c>
      <c r="H3900" t="s">
        <v>24</v>
      </c>
      <c r="I3900" t="s">
        <v>15</v>
      </c>
      <c r="J3900">
        <v>3.8</v>
      </c>
      <c r="K3900">
        <v>20</v>
      </c>
      <c r="L3900">
        <f t="shared" si="181"/>
        <v>132.39200000000002</v>
      </c>
      <c r="M3900">
        <v>5</v>
      </c>
      <c r="N3900" t="str">
        <f t="shared" si="182"/>
        <v>Regular</v>
      </c>
    </row>
    <row r="3901" spans="1:14" x14ac:dyDescent="0.35">
      <c r="A3901">
        <v>3900</v>
      </c>
      <c r="B3901">
        <v>26</v>
      </c>
      <c r="C3901" t="str">
        <f t="shared" si="180"/>
        <v>Youth</v>
      </c>
      <c r="D3901" t="s">
        <v>11</v>
      </c>
      <c r="E3901" t="s">
        <v>41</v>
      </c>
      <c r="F3901" t="s">
        <v>46</v>
      </c>
      <c r="G3901">
        <v>98.13</v>
      </c>
      <c r="H3901" t="s">
        <v>31</v>
      </c>
      <c r="I3901" t="s">
        <v>37</v>
      </c>
      <c r="J3901">
        <v>3</v>
      </c>
      <c r="K3901">
        <v>15</v>
      </c>
      <c r="L3901">
        <f t="shared" si="181"/>
        <v>83.410499999999999</v>
      </c>
      <c r="M3901">
        <v>5</v>
      </c>
      <c r="N3901" t="str">
        <f t="shared" si="182"/>
        <v>Regular</v>
      </c>
    </row>
    <row r="3902" spans="1:14" x14ac:dyDescent="0.35">
      <c r="A3902">
        <v>3901</v>
      </c>
      <c r="B3902">
        <v>60</v>
      </c>
      <c r="C3902" t="str">
        <f t="shared" si="180"/>
        <v>Adult</v>
      </c>
      <c r="D3902" t="s">
        <v>16</v>
      </c>
      <c r="E3902" t="s">
        <v>17</v>
      </c>
      <c r="F3902" t="s">
        <v>18</v>
      </c>
      <c r="G3902">
        <v>101.85</v>
      </c>
      <c r="H3902" t="s">
        <v>24</v>
      </c>
      <c r="I3902" t="s">
        <v>15</v>
      </c>
      <c r="J3902">
        <v>4.4000000000000004</v>
      </c>
      <c r="K3902">
        <v>10</v>
      </c>
      <c r="L3902">
        <f t="shared" si="181"/>
        <v>91.664999999999992</v>
      </c>
      <c r="M3902">
        <v>5</v>
      </c>
      <c r="N3902" t="str">
        <f t="shared" si="182"/>
        <v>Regular</v>
      </c>
    </row>
    <row r="3903" spans="1:14" x14ac:dyDescent="0.35">
      <c r="A3903">
        <v>3902</v>
      </c>
      <c r="B3903">
        <v>20</v>
      </c>
      <c r="C3903" t="str">
        <f t="shared" si="180"/>
        <v>Youth</v>
      </c>
      <c r="D3903" t="s">
        <v>11</v>
      </c>
      <c r="E3903" t="s">
        <v>29</v>
      </c>
      <c r="F3903" t="s">
        <v>55</v>
      </c>
      <c r="G3903">
        <v>140.1</v>
      </c>
      <c r="H3903" t="s">
        <v>31</v>
      </c>
      <c r="I3903" t="s">
        <v>15</v>
      </c>
      <c r="J3903">
        <v>3.7</v>
      </c>
      <c r="K3903">
        <v>4</v>
      </c>
      <c r="L3903">
        <f t="shared" si="181"/>
        <v>134.49599999999998</v>
      </c>
      <c r="M3903">
        <v>2</v>
      </c>
      <c r="N3903" t="str">
        <f t="shared" si="182"/>
        <v>New</v>
      </c>
    </row>
    <row r="3904" spans="1:14" x14ac:dyDescent="0.35">
      <c r="A3904">
        <v>3903</v>
      </c>
      <c r="B3904">
        <v>45</v>
      </c>
      <c r="C3904" t="str">
        <f t="shared" si="180"/>
        <v>Adult</v>
      </c>
      <c r="D3904" t="s">
        <v>16</v>
      </c>
      <c r="E3904" t="s">
        <v>25</v>
      </c>
      <c r="F3904" t="s">
        <v>47</v>
      </c>
      <c r="G3904">
        <v>8.33</v>
      </c>
      <c r="H3904" t="s">
        <v>19</v>
      </c>
      <c r="I3904" t="s">
        <v>15</v>
      </c>
      <c r="J3904">
        <v>2.7</v>
      </c>
      <c r="K3904">
        <v>12</v>
      </c>
      <c r="L3904">
        <f t="shared" si="181"/>
        <v>7.3304</v>
      </c>
      <c r="M3904">
        <v>6</v>
      </c>
      <c r="N3904" t="str">
        <f t="shared" si="182"/>
        <v>Regular</v>
      </c>
    </row>
    <row r="3905" spans="1:14" x14ac:dyDescent="0.35">
      <c r="A3905">
        <v>3904</v>
      </c>
      <c r="B3905">
        <v>41</v>
      </c>
      <c r="C3905" t="str">
        <f t="shared" si="180"/>
        <v>Adult</v>
      </c>
      <c r="D3905" t="s">
        <v>16</v>
      </c>
      <c r="E3905" t="s">
        <v>27</v>
      </c>
      <c r="F3905" t="s">
        <v>28</v>
      </c>
      <c r="G3905">
        <v>2137.8000000000002</v>
      </c>
      <c r="H3905" t="s">
        <v>24</v>
      </c>
      <c r="I3905" t="s">
        <v>15</v>
      </c>
      <c r="J3905">
        <v>2.9</v>
      </c>
      <c r="K3905">
        <v>11</v>
      </c>
      <c r="L3905">
        <f t="shared" si="181"/>
        <v>1902.6420000000003</v>
      </c>
      <c r="M3905">
        <v>3</v>
      </c>
      <c r="N3905" t="str">
        <f t="shared" si="182"/>
        <v>New</v>
      </c>
    </row>
    <row r="3906" spans="1:14" x14ac:dyDescent="0.35">
      <c r="A3906">
        <v>3905</v>
      </c>
      <c r="B3906">
        <v>24</v>
      </c>
      <c r="C3906" t="str">
        <f t="shared" si="180"/>
        <v>Youth</v>
      </c>
      <c r="D3906" t="s">
        <v>16</v>
      </c>
      <c r="E3906" t="s">
        <v>27</v>
      </c>
      <c r="F3906" t="s">
        <v>49</v>
      </c>
      <c r="G3906">
        <v>1012.48</v>
      </c>
      <c r="H3906" t="s">
        <v>24</v>
      </c>
      <c r="I3906" t="s">
        <v>15</v>
      </c>
      <c r="J3906">
        <v>5</v>
      </c>
      <c r="K3906">
        <v>12</v>
      </c>
      <c r="L3906">
        <f t="shared" si="181"/>
        <v>890.98239999999998</v>
      </c>
      <c r="M3906">
        <v>6</v>
      </c>
      <c r="N3906" t="str">
        <f t="shared" si="182"/>
        <v>Regular</v>
      </c>
    </row>
    <row r="3907" spans="1:14" x14ac:dyDescent="0.35">
      <c r="A3907">
        <v>3906</v>
      </c>
      <c r="B3907">
        <v>23</v>
      </c>
      <c r="C3907" t="str">
        <f t="shared" ref="C3907:C3970" si="183">IF(B3907&lt;=30,"Youth",IF(B3907&lt;=45,"Adult",IF(B3907&lt;=60,"Adult","Senior")))</f>
        <v>Youth</v>
      </c>
      <c r="D3907" t="s">
        <v>16</v>
      </c>
      <c r="E3907" t="s">
        <v>33</v>
      </c>
      <c r="F3907" t="s">
        <v>34</v>
      </c>
      <c r="G3907">
        <v>159.02000000000001</v>
      </c>
      <c r="H3907" t="s">
        <v>19</v>
      </c>
      <c r="I3907" t="s">
        <v>15</v>
      </c>
      <c r="J3907">
        <v>3.4</v>
      </c>
      <c r="K3907">
        <v>6</v>
      </c>
      <c r="L3907">
        <f t="shared" ref="L3907:L3970" si="184">G3907*(1-K3907/100)</f>
        <v>149.47880000000001</v>
      </c>
      <c r="M3907">
        <v>3</v>
      </c>
      <c r="N3907" t="str">
        <f t="shared" ref="N3907:N3970" si="185">IF(M3907&lt;=3,"New",IF(M3907&lt;=7,"Regular","Loyal"))</f>
        <v>New</v>
      </c>
    </row>
    <row r="3908" spans="1:14" x14ac:dyDescent="0.35">
      <c r="A3908">
        <v>3907</v>
      </c>
      <c r="B3908">
        <v>70</v>
      </c>
      <c r="C3908" t="str">
        <f t="shared" si="183"/>
        <v>Senior</v>
      </c>
      <c r="D3908" t="s">
        <v>11</v>
      </c>
      <c r="E3908" t="s">
        <v>29</v>
      </c>
      <c r="F3908" t="s">
        <v>30</v>
      </c>
      <c r="G3908">
        <v>65.099999999999994</v>
      </c>
      <c r="H3908" t="s">
        <v>24</v>
      </c>
      <c r="I3908" t="s">
        <v>37</v>
      </c>
      <c r="J3908">
        <v>3.5</v>
      </c>
      <c r="K3908">
        <v>11</v>
      </c>
      <c r="L3908">
        <f t="shared" si="184"/>
        <v>57.938999999999993</v>
      </c>
      <c r="M3908">
        <v>3</v>
      </c>
      <c r="N3908" t="str">
        <f t="shared" si="185"/>
        <v>New</v>
      </c>
    </row>
    <row r="3909" spans="1:14" x14ac:dyDescent="0.35">
      <c r="A3909">
        <v>3908</v>
      </c>
      <c r="B3909">
        <v>45</v>
      </c>
      <c r="C3909" t="str">
        <f t="shared" si="183"/>
        <v>Adult</v>
      </c>
      <c r="D3909" t="s">
        <v>16</v>
      </c>
      <c r="E3909" t="s">
        <v>27</v>
      </c>
      <c r="F3909" t="s">
        <v>53</v>
      </c>
      <c r="G3909">
        <v>1162.1500000000001</v>
      </c>
      <c r="H3909" t="s">
        <v>19</v>
      </c>
      <c r="I3909" t="s">
        <v>15</v>
      </c>
      <c r="J3909">
        <v>3.9</v>
      </c>
      <c r="K3909">
        <v>9</v>
      </c>
      <c r="L3909">
        <f t="shared" si="184"/>
        <v>1057.5565000000001</v>
      </c>
      <c r="M3909">
        <v>2</v>
      </c>
      <c r="N3909" t="str">
        <f t="shared" si="185"/>
        <v>New</v>
      </c>
    </row>
    <row r="3910" spans="1:14" x14ac:dyDescent="0.35">
      <c r="A3910">
        <v>3909</v>
      </c>
      <c r="B3910">
        <v>51</v>
      </c>
      <c r="C3910" t="str">
        <f t="shared" si="183"/>
        <v>Adult</v>
      </c>
      <c r="D3910" t="s">
        <v>16</v>
      </c>
      <c r="E3910" t="s">
        <v>33</v>
      </c>
      <c r="F3910" t="s">
        <v>34</v>
      </c>
      <c r="G3910">
        <v>226.35</v>
      </c>
      <c r="H3910" t="s">
        <v>31</v>
      </c>
      <c r="I3910" t="s">
        <v>15</v>
      </c>
      <c r="J3910">
        <v>4.2</v>
      </c>
      <c r="K3910">
        <v>20</v>
      </c>
      <c r="L3910">
        <f t="shared" si="184"/>
        <v>181.08</v>
      </c>
      <c r="M3910">
        <v>10</v>
      </c>
      <c r="N3910" t="str">
        <f t="shared" si="185"/>
        <v>Loyal</v>
      </c>
    </row>
    <row r="3911" spans="1:14" x14ac:dyDescent="0.35">
      <c r="A3911">
        <v>3910</v>
      </c>
      <c r="B3911">
        <v>38</v>
      </c>
      <c r="C3911" t="str">
        <f t="shared" si="183"/>
        <v>Adult</v>
      </c>
      <c r="D3911" t="s">
        <v>16</v>
      </c>
      <c r="E3911" t="s">
        <v>27</v>
      </c>
      <c r="F3911" t="s">
        <v>49</v>
      </c>
      <c r="G3911">
        <v>1523</v>
      </c>
      <c r="H3911" t="s">
        <v>31</v>
      </c>
      <c r="I3911" t="s">
        <v>15</v>
      </c>
      <c r="J3911">
        <v>5</v>
      </c>
      <c r="K3911">
        <v>32</v>
      </c>
      <c r="L3911">
        <f t="shared" si="184"/>
        <v>1035.6399999999999</v>
      </c>
      <c r="M3911">
        <v>11</v>
      </c>
      <c r="N3911" t="str">
        <f t="shared" si="185"/>
        <v>Loyal</v>
      </c>
    </row>
    <row r="3912" spans="1:14" x14ac:dyDescent="0.35">
      <c r="A3912">
        <v>3911</v>
      </c>
      <c r="B3912">
        <v>59</v>
      </c>
      <c r="C3912" t="str">
        <f t="shared" si="183"/>
        <v>Adult</v>
      </c>
      <c r="D3912" t="s">
        <v>16</v>
      </c>
      <c r="E3912" t="s">
        <v>22</v>
      </c>
      <c r="F3912" t="s">
        <v>52</v>
      </c>
      <c r="G3912">
        <v>152.75</v>
      </c>
      <c r="H3912" t="s">
        <v>14</v>
      </c>
      <c r="I3912" t="s">
        <v>15</v>
      </c>
      <c r="J3912">
        <v>3.6</v>
      </c>
      <c r="K3912">
        <v>30</v>
      </c>
      <c r="L3912">
        <f t="shared" si="184"/>
        <v>106.925</v>
      </c>
      <c r="M3912">
        <v>10</v>
      </c>
      <c r="N3912" t="str">
        <f t="shared" si="185"/>
        <v>Loyal</v>
      </c>
    </row>
    <row r="3913" spans="1:14" x14ac:dyDescent="0.35">
      <c r="A3913">
        <v>3912</v>
      </c>
      <c r="B3913">
        <v>42</v>
      </c>
      <c r="C3913" t="str">
        <f t="shared" si="183"/>
        <v>Adult</v>
      </c>
      <c r="D3913" t="s">
        <v>16</v>
      </c>
      <c r="E3913" t="s">
        <v>20</v>
      </c>
      <c r="F3913" t="s">
        <v>36</v>
      </c>
      <c r="G3913">
        <v>243.12</v>
      </c>
      <c r="H3913" t="s">
        <v>14</v>
      </c>
      <c r="I3913" t="s">
        <v>15</v>
      </c>
      <c r="J3913">
        <v>5</v>
      </c>
      <c r="K3913">
        <v>14</v>
      </c>
      <c r="L3913">
        <f t="shared" si="184"/>
        <v>209.08320000000001</v>
      </c>
      <c r="M3913">
        <v>7</v>
      </c>
      <c r="N3913" t="str">
        <f t="shared" si="185"/>
        <v>Regular</v>
      </c>
    </row>
    <row r="3914" spans="1:14" x14ac:dyDescent="0.35">
      <c r="A3914">
        <v>3913</v>
      </c>
      <c r="B3914">
        <v>64</v>
      </c>
      <c r="C3914" t="str">
        <f t="shared" si="183"/>
        <v>Senior</v>
      </c>
      <c r="D3914" t="s">
        <v>16</v>
      </c>
      <c r="E3914" t="s">
        <v>25</v>
      </c>
      <c r="F3914" t="s">
        <v>26</v>
      </c>
      <c r="G3914">
        <v>11.97</v>
      </c>
      <c r="H3914" t="s">
        <v>31</v>
      </c>
      <c r="I3914" t="s">
        <v>15</v>
      </c>
      <c r="J3914">
        <v>4</v>
      </c>
      <c r="K3914">
        <v>9</v>
      </c>
      <c r="L3914">
        <f t="shared" si="184"/>
        <v>10.892700000000001</v>
      </c>
      <c r="M3914">
        <v>2</v>
      </c>
      <c r="N3914" t="str">
        <f t="shared" si="185"/>
        <v>New</v>
      </c>
    </row>
    <row r="3915" spans="1:14" x14ac:dyDescent="0.35">
      <c r="A3915">
        <v>3914</v>
      </c>
      <c r="B3915">
        <v>23</v>
      </c>
      <c r="C3915" t="str">
        <f t="shared" si="183"/>
        <v>Youth</v>
      </c>
      <c r="D3915" t="s">
        <v>16</v>
      </c>
      <c r="E3915" t="s">
        <v>33</v>
      </c>
      <c r="F3915" t="s">
        <v>38</v>
      </c>
      <c r="G3915">
        <v>75.64</v>
      </c>
      <c r="H3915" t="s">
        <v>14</v>
      </c>
      <c r="I3915" t="s">
        <v>15</v>
      </c>
      <c r="J3915">
        <v>2.8</v>
      </c>
      <c r="K3915">
        <v>22</v>
      </c>
      <c r="L3915">
        <f t="shared" si="184"/>
        <v>58.999200000000002</v>
      </c>
      <c r="M3915">
        <v>6</v>
      </c>
      <c r="N3915" t="str">
        <f t="shared" si="185"/>
        <v>Regular</v>
      </c>
    </row>
    <row r="3916" spans="1:14" x14ac:dyDescent="0.35">
      <c r="A3916">
        <v>3915</v>
      </c>
      <c r="B3916">
        <v>31</v>
      </c>
      <c r="C3916" t="str">
        <f t="shared" si="183"/>
        <v>Adult</v>
      </c>
      <c r="D3916" t="s">
        <v>16</v>
      </c>
      <c r="E3916" t="s">
        <v>20</v>
      </c>
      <c r="F3916" t="s">
        <v>21</v>
      </c>
      <c r="G3916">
        <v>107.78</v>
      </c>
      <c r="H3916" t="s">
        <v>14</v>
      </c>
      <c r="I3916" t="s">
        <v>15</v>
      </c>
      <c r="J3916">
        <v>3.5</v>
      </c>
      <c r="K3916">
        <v>15</v>
      </c>
      <c r="L3916">
        <f t="shared" si="184"/>
        <v>91.613</v>
      </c>
      <c r="M3916">
        <v>5</v>
      </c>
      <c r="N3916" t="str">
        <f t="shared" si="185"/>
        <v>Regular</v>
      </c>
    </row>
    <row r="3917" spans="1:14" x14ac:dyDescent="0.35">
      <c r="A3917">
        <v>3916</v>
      </c>
      <c r="B3917">
        <v>64</v>
      </c>
      <c r="C3917" t="str">
        <f t="shared" si="183"/>
        <v>Senior</v>
      </c>
      <c r="D3917" t="s">
        <v>16</v>
      </c>
      <c r="E3917" t="s">
        <v>20</v>
      </c>
      <c r="F3917" t="s">
        <v>21</v>
      </c>
      <c r="G3917">
        <v>170.99</v>
      </c>
      <c r="H3917" t="s">
        <v>31</v>
      </c>
      <c r="I3917" t="s">
        <v>15</v>
      </c>
      <c r="J3917">
        <v>3.7</v>
      </c>
      <c r="K3917">
        <v>14</v>
      </c>
      <c r="L3917">
        <f t="shared" si="184"/>
        <v>147.0514</v>
      </c>
      <c r="M3917">
        <v>7</v>
      </c>
      <c r="N3917" t="str">
        <f t="shared" si="185"/>
        <v>Regular</v>
      </c>
    </row>
    <row r="3918" spans="1:14" x14ac:dyDescent="0.35">
      <c r="A3918">
        <v>3917</v>
      </c>
      <c r="B3918">
        <v>61</v>
      </c>
      <c r="C3918" t="str">
        <f t="shared" si="183"/>
        <v>Senior</v>
      </c>
      <c r="D3918" t="s">
        <v>11</v>
      </c>
      <c r="E3918" t="s">
        <v>12</v>
      </c>
      <c r="F3918" t="s">
        <v>56</v>
      </c>
      <c r="G3918">
        <v>171.53</v>
      </c>
      <c r="H3918" t="s">
        <v>31</v>
      </c>
      <c r="I3918" t="s">
        <v>15</v>
      </c>
      <c r="J3918">
        <v>3.5</v>
      </c>
      <c r="K3918">
        <v>16</v>
      </c>
      <c r="L3918">
        <f t="shared" si="184"/>
        <v>144.08519999999999</v>
      </c>
      <c r="M3918">
        <v>3</v>
      </c>
      <c r="N3918" t="str">
        <f t="shared" si="185"/>
        <v>New</v>
      </c>
    </row>
    <row r="3919" spans="1:14" x14ac:dyDescent="0.35">
      <c r="A3919">
        <v>3918</v>
      </c>
      <c r="B3919">
        <v>27</v>
      </c>
      <c r="C3919" t="str">
        <f t="shared" si="183"/>
        <v>Youth</v>
      </c>
      <c r="D3919" t="s">
        <v>11</v>
      </c>
      <c r="E3919" t="s">
        <v>29</v>
      </c>
      <c r="F3919" t="s">
        <v>55</v>
      </c>
      <c r="G3919">
        <v>76.489999999999995</v>
      </c>
      <c r="H3919" t="s">
        <v>19</v>
      </c>
      <c r="I3919" t="s">
        <v>15</v>
      </c>
      <c r="J3919">
        <v>4.3</v>
      </c>
      <c r="K3919">
        <v>9</v>
      </c>
      <c r="L3919">
        <f t="shared" si="184"/>
        <v>69.605899999999991</v>
      </c>
      <c r="M3919">
        <v>2</v>
      </c>
      <c r="N3919" t="str">
        <f t="shared" si="185"/>
        <v>New</v>
      </c>
    </row>
    <row r="3920" spans="1:14" x14ac:dyDescent="0.35">
      <c r="A3920">
        <v>3919</v>
      </c>
      <c r="B3920">
        <v>22</v>
      </c>
      <c r="C3920" t="str">
        <f t="shared" si="183"/>
        <v>Youth</v>
      </c>
      <c r="D3920" t="s">
        <v>11</v>
      </c>
      <c r="E3920" t="s">
        <v>41</v>
      </c>
      <c r="F3920" t="s">
        <v>42</v>
      </c>
      <c r="G3920">
        <v>180.68</v>
      </c>
      <c r="H3920" t="s">
        <v>24</v>
      </c>
      <c r="I3920" t="s">
        <v>15</v>
      </c>
      <c r="J3920">
        <v>4.5</v>
      </c>
      <c r="K3920">
        <v>21</v>
      </c>
      <c r="L3920">
        <f t="shared" si="184"/>
        <v>142.7372</v>
      </c>
      <c r="M3920">
        <v>8</v>
      </c>
      <c r="N3920" t="str">
        <f t="shared" si="185"/>
        <v>Loyal</v>
      </c>
    </row>
    <row r="3921" spans="1:14" x14ac:dyDescent="0.35">
      <c r="A3921">
        <v>3920</v>
      </c>
      <c r="B3921">
        <v>69</v>
      </c>
      <c r="C3921" t="str">
        <f t="shared" si="183"/>
        <v>Senior</v>
      </c>
      <c r="D3921" t="s">
        <v>16</v>
      </c>
      <c r="E3921" t="s">
        <v>20</v>
      </c>
      <c r="F3921" t="s">
        <v>39</v>
      </c>
      <c r="G3921">
        <v>51.3</v>
      </c>
      <c r="H3921" t="s">
        <v>14</v>
      </c>
      <c r="I3921" t="s">
        <v>37</v>
      </c>
      <c r="J3921">
        <v>2.5</v>
      </c>
      <c r="K3921">
        <v>9</v>
      </c>
      <c r="L3921">
        <f t="shared" si="184"/>
        <v>46.683</v>
      </c>
      <c r="M3921">
        <v>2</v>
      </c>
      <c r="N3921" t="str">
        <f t="shared" si="185"/>
        <v>New</v>
      </c>
    </row>
    <row r="3922" spans="1:14" x14ac:dyDescent="0.35">
      <c r="A3922">
        <v>3921</v>
      </c>
      <c r="B3922">
        <v>66</v>
      </c>
      <c r="C3922" t="str">
        <f t="shared" si="183"/>
        <v>Senior</v>
      </c>
      <c r="D3922" t="s">
        <v>16</v>
      </c>
      <c r="E3922" t="s">
        <v>17</v>
      </c>
      <c r="F3922" t="s">
        <v>42</v>
      </c>
      <c r="G3922">
        <v>40.06</v>
      </c>
      <c r="H3922" t="s">
        <v>31</v>
      </c>
      <c r="I3922" t="s">
        <v>37</v>
      </c>
      <c r="J3922">
        <v>3.1</v>
      </c>
      <c r="K3922">
        <v>20</v>
      </c>
      <c r="L3922">
        <f t="shared" si="184"/>
        <v>32.048000000000002</v>
      </c>
      <c r="M3922">
        <v>5</v>
      </c>
      <c r="N3922" t="str">
        <f t="shared" si="185"/>
        <v>Regular</v>
      </c>
    </row>
    <row r="3923" spans="1:14" x14ac:dyDescent="0.35">
      <c r="A3923">
        <v>3922</v>
      </c>
      <c r="B3923">
        <v>39</v>
      </c>
      <c r="C3923" t="str">
        <f t="shared" si="183"/>
        <v>Adult</v>
      </c>
      <c r="D3923" t="s">
        <v>16</v>
      </c>
      <c r="E3923" t="s">
        <v>20</v>
      </c>
      <c r="F3923" t="s">
        <v>39</v>
      </c>
      <c r="G3923">
        <v>149.28</v>
      </c>
      <c r="H3923" t="s">
        <v>24</v>
      </c>
      <c r="I3923" t="s">
        <v>15</v>
      </c>
      <c r="J3923">
        <v>2.9</v>
      </c>
      <c r="K3923">
        <v>15</v>
      </c>
      <c r="L3923">
        <f t="shared" si="184"/>
        <v>126.88799999999999</v>
      </c>
      <c r="M3923">
        <v>5</v>
      </c>
      <c r="N3923" t="str">
        <f t="shared" si="185"/>
        <v>Regular</v>
      </c>
    </row>
    <row r="3924" spans="1:14" x14ac:dyDescent="0.35">
      <c r="A3924">
        <v>3923</v>
      </c>
      <c r="B3924">
        <v>22</v>
      </c>
      <c r="C3924" t="str">
        <f t="shared" si="183"/>
        <v>Youth</v>
      </c>
      <c r="D3924" t="s">
        <v>16</v>
      </c>
      <c r="E3924" t="s">
        <v>33</v>
      </c>
      <c r="F3924" t="s">
        <v>38</v>
      </c>
      <c r="G3924">
        <v>168.49</v>
      </c>
      <c r="H3924" t="s">
        <v>19</v>
      </c>
      <c r="I3924" t="s">
        <v>15</v>
      </c>
      <c r="J3924">
        <v>4.9000000000000004</v>
      </c>
      <c r="K3924">
        <v>19</v>
      </c>
      <c r="L3924">
        <f t="shared" si="184"/>
        <v>136.47690000000003</v>
      </c>
      <c r="M3924">
        <v>7</v>
      </c>
      <c r="N3924" t="str">
        <f t="shared" si="185"/>
        <v>Regular</v>
      </c>
    </row>
    <row r="3925" spans="1:14" x14ac:dyDescent="0.35">
      <c r="A3925">
        <v>3924</v>
      </c>
      <c r="B3925">
        <v>53</v>
      </c>
      <c r="C3925" t="str">
        <f t="shared" si="183"/>
        <v>Adult</v>
      </c>
      <c r="D3925" t="s">
        <v>11</v>
      </c>
      <c r="E3925" t="s">
        <v>33</v>
      </c>
      <c r="F3925" t="s">
        <v>38</v>
      </c>
      <c r="G3925">
        <v>141.58000000000001</v>
      </c>
      <c r="H3925" t="s">
        <v>19</v>
      </c>
      <c r="I3925" t="s">
        <v>15</v>
      </c>
      <c r="J3925">
        <v>1.7</v>
      </c>
      <c r="K3925">
        <v>10</v>
      </c>
      <c r="L3925">
        <f t="shared" si="184"/>
        <v>127.42200000000001</v>
      </c>
      <c r="M3925">
        <v>5</v>
      </c>
      <c r="N3925" t="str">
        <f t="shared" si="185"/>
        <v>Regular</v>
      </c>
    </row>
    <row r="3926" spans="1:14" x14ac:dyDescent="0.35">
      <c r="A3926">
        <v>3925</v>
      </c>
      <c r="B3926">
        <v>50</v>
      </c>
      <c r="C3926" t="str">
        <f t="shared" si="183"/>
        <v>Adult</v>
      </c>
      <c r="D3926" t="s">
        <v>11</v>
      </c>
      <c r="E3926" t="s">
        <v>33</v>
      </c>
      <c r="F3926" t="s">
        <v>38</v>
      </c>
      <c r="G3926">
        <v>227.28</v>
      </c>
      <c r="H3926" t="s">
        <v>19</v>
      </c>
      <c r="I3926" t="s">
        <v>15</v>
      </c>
      <c r="J3926">
        <v>3.8</v>
      </c>
      <c r="K3926">
        <v>16</v>
      </c>
      <c r="L3926">
        <f t="shared" si="184"/>
        <v>190.9152</v>
      </c>
      <c r="M3926">
        <v>3</v>
      </c>
      <c r="N3926" t="str">
        <f t="shared" si="185"/>
        <v>New</v>
      </c>
    </row>
    <row r="3927" spans="1:14" x14ac:dyDescent="0.35">
      <c r="A3927">
        <v>3926</v>
      </c>
      <c r="B3927">
        <v>45</v>
      </c>
      <c r="C3927" t="str">
        <f t="shared" si="183"/>
        <v>Adult</v>
      </c>
      <c r="D3927" t="s">
        <v>16</v>
      </c>
      <c r="E3927" t="s">
        <v>17</v>
      </c>
      <c r="F3927" t="s">
        <v>18</v>
      </c>
      <c r="G3927">
        <v>49.65</v>
      </c>
      <c r="H3927" t="s">
        <v>31</v>
      </c>
      <c r="I3927" t="s">
        <v>15</v>
      </c>
      <c r="J3927">
        <v>4.9000000000000004</v>
      </c>
      <c r="K3927">
        <v>26</v>
      </c>
      <c r="L3927">
        <f t="shared" si="184"/>
        <v>36.741</v>
      </c>
      <c r="M3927">
        <v>8</v>
      </c>
      <c r="N3927" t="str">
        <f t="shared" si="185"/>
        <v>Loyal</v>
      </c>
    </row>
    <row r="3928" spans="1:14" x14ac:dyDescent="0.35">
      <c r="A3928">
        <v>3927</v>
      </c>
      <c r="B3928">
        <v>54</v>
      </c>
      <c r="C3928" t="str">
        <f t="shared" si="183"/>
        <v>Adult</v>
      </c>
      <c r="D3928" t="s">
        <v>16</v>
      </c>
      <c r="E3928" t="s">
        <v>17</v>
      </c>
      <c r="F3928" t="s">
        <v>48</v>
      </c>
      <c r="G3928">
        <v>48.95</v>
      </c>
      <c r="H3928" t="s">
        <v>24</v>
      </c>
      <c r="I3928" t="s">
        <v>15</v>
      </c>
      <c r="J3928">
        <v>2.6</v>
      </c>
      <c r="K3928">
        <v>13</v>
      </c>
      <c r="L3928">
        <f t="shared" si="184"/>
        <v>42.586500000000001</v>
      </c>
      <c r="M3928">
        <v>4</v>
      </c>
      <c r="N3928" t="str">
        <f t="shared" si="185"/>
        <v>Regular</v>
      </c>
    </row>
    <row r="3929" spans="1:14" x14ac:dyDescent="0.35">
      <c r="A3929">
        <v>3928</v>
      </c>
      <c r="B3929">
        <v>38</v>
      </c>
      <c r="C3929" t="str">
        <f t="shared" si="183"/>
        <v>Adult</v>
      </c>
      <c r="D3929" t="s">
        <v>11</v>
      </c>
      <c r="E3929" t="s">
        <v>22</v>
      </c>
      <c r="F3929" t="s">
        <v>43</v>
      </c>
      <c r="G3929">
        <v>289.17</v>
      </c>
      <c r="H3929" t="s">
        <v>24</v>
      </c>
      <c r="I3929" t="s">
        <v>15</v>
      </c>
      <c r="J3929">
        <v>3.9</v>
      </c>
      <c r="K3929">
        <v>6</v>
      </c>
      <c r="L3929">
        <f t="shared" si="184"/>
        <v>271.81979999999999</v>
      </c>
      <c r="M3929">
        <v>3</v>
      </c>
      <c r="N3929" t="str">
        <f t="shared" si="185"/>
        <v>New</v>
      </c>
    </row>
    <row r="3930" spans="1:14" x14ac:dyDescent="0.35">
      <c r="A3930">
        <v>3929</v>
      </c>
      <c r="B3930">
        <v>45</v>
      </c>
      <c r="C3930" t="str">
        <f t="shared" si="183"/>
        <v>Adult</v>
      </c>
      <c r="D3930" t="s">
        <v>11</v>
      </c>
      <c r="E3930" t="s">
        <v>12</v>
      </c>
      <c r="F3930" t="s">
        <v>56</v>
      </c>
      <c r="G3930">
        <v>51.88</v>
      </c>
      <c r="H3930" t="s">
        <v>24</v>
      </c>
      <c r="I3930" t="s">
        <v>15</v>
      </c>
      <c r="J3930">
        <v>4.5999999999999996</v>
      </c>
      <c r="K3930">
        <v>8</v>
      </c>
      <c r="L3930">
        <f t="shared" si="184"/>
        <v>47.729600000000005</v>
      </c>
      <c r="M3930">
        <v>4</v>
      </c>
      <c r="N3930" t="str">
        <f t="shared" si="185"/>
        <v>Regular</v>
      </c>
    </row>
    <row r="3931" spans="1:14" x14ac:dyDescent="0.35">
      <c r="A3931">
        <v>3930</v>
      </c>
      <c r="B3931">
        <v>36</v>
      </c>
      <c r="C3931" t="str">
        <f t="shared" si="183"/>
        <v>Adult</v>
      </c>
      <c r="D3931" t="s">
        <v>11</v>
      </c>
      <c r="E3931" t="s">
        <v>41</v>
      </c>
      <c r="F3931" t="s">
        <v>45</v>
      </c>
      <c r="G3931">
        <v>70.98</v>
      </c>
      <c r="H3931" t="s">
        <v>24</v>
      </c>
      <c r="I3931" t="s">
        <v>37</v>
      </c>
      <c r="J3931">
        <v>3.4</v>
      </c>
      <c r="K3931">
        <v>6</v>
      </c>
      <c r="L3931">
        <f t="shared" si="184"/>
        <v>66.721199999999996</v>
      </c>
      <c r="M3931">
        <v>3</v>
      </c>
      <c r="N3931" t="str">
        <f t="shared" si="185"/>
        <v>New</v>
      </c>
    </row>
    <row r="3932" spans="1:14" x14ac:dyDescent="0.35">
      <c r="A3932">
        <v>3931</v>
      </c>
      <c r="B3932">
        <v>34</v>
      </c>
      <c r="C3932" t="str">
        <f t="shared" si="183"/>
        <v>Adult</v>
      </c>
      <c r="D3932" t="s">
        <v>16</v>
      </c>
      <c r="E3932" t="s">
        <v>17</v>
      </c>
      <c r="F3932" t="s">
        <v>35</v>
      </c>
      <c r="G3932">
        <v>63.17</v>
      </c>
      <c r="H3932" t="s">
        <v>31</v>
      </c>
      <c r="I3932" t="s">
        <v>15</v>
      </c>
      <c r="J3932">
        <v>3.6</v>
      </c>
      <c r="K3932">
        <v>20</v>
      </c>
      <c r="L3932">
        <f t="shared" si="184"/>
        <v>50.536000000000001</v>
      </c>
      <c r="M3932">
        <v>10</v>
      </c>
      <c r="N3932" t="str">
        <f t="shared" si="185"/>
        <v>Loyal</v>
      </c>
    </row>
    <row r="3933" spans="1:14" x14ac:dyDescent="0.35">
      <c r="A3933">
        <v>3932</v>
      </c>
      <c r="B3933">
        <v>69</v>
      </c>
      <c r="C3933" t="str">
        <f t="shared" si="183"/>
        <v>Senior</v>
      </c>
      <c r="D3933" t="s">
        <v>16</v>
      </c>
      <c r="E3933" t="s">
        <v>20</v>
      </c>
      <c r="F3933" t="s">
        <v>36</v>
      </c>
      <c r="G3933">
        <v>235.79</v>
      </c>
      <c r="H3933" t="s">
        <v>24</v>
      </c>
      <c r="I3933" t="s">
        <v>15</v>
      </c>
      <c r="J3933">
        <v>3.7</v>
      </c>
      <c r="K3933">
        <v>11</v>
      </c>
      <c r="L3933">
        <f t="shared" si="184"/>
        <v>209.85309999999998</v>
      </c>
      <c r="M3933">
        <v>3</v>
      </c>
      <c r="N3933" t="str">
        <f t="shared" si="185"/>
        <v>New</v>
      </c>
    </row>
    <row r="3934" spans="1:14" x14ac:dyDescent="0.35">
      <c r="A3934">
        <v>3933</v>
      </c>
      <c r="B3934">
        <v>25</v>
      </c>
      <c r="C3934" t="str">
        <f t="shared" si="183"/>
        <v>Youth</v>
      </c>
      <c r="D3934" t="s">
        <v>16</v>
      </c>
      <c r="E3934" t="s">
        <v>20</v>
      </c>
      <c r="F3934" t="s">
        <v>39</v>
      </c>
      <c r="G3934">
        <v>156.57</v>
      </c>
      <c r="H3934" t="s">
        <v>24</v>
      </c>
      <c r="I3934" t="s">
        <v>15</v>
      </c>
      <c r="J3934">
        <v>3.5</v>
      </c>
      <c r="K3934">
        <v>17</v>
      </c>
      <c r="L3934">
        <f t="shared" si="184"/>
        <v>129.95309999999998</v>
      </c>
      <c r="M3934">
        <v>6</v>
      </c>
      <c r="N3934" t="str">
        <f t="shared" si="185"/>
        <v>Regular</v>
      </c>
    </row>
    <row r="3935" spans="1:14" x14ac:dyDescent="0.35">
      <c r="A3935">
        <v>3934</v>
      </c>
      <c r="B3935">
        <v>70</v>
      </c>
      <c r="C3935" t="str">
        <f t="shared" si="183"/>
        <v>Senior</v>
      </c>
      <c r="D3935" t="s">
        <v>11</v>
      </c>
      <c r="E3935" t="s">
        <v>25</v>
      </c>
      <c r="F3935" t="s">
        <v>26</v>
      </c>
      <c r="G3935">
        <v>58.72</v>
      </c>
      <c r="H3935" t="s">
        <v>19</v>
      </c>
      <c r="I3935" t="s">
        <v>15</v>
      </c>
      <c r="J3935">
        <v>4.5</v>
      </c>
      <c r="K3935">
        <v>26</v>
      </c>
      <c r="L3935">
        <f t="shared" si="184"/>
        <v>43.452799999999996</v>
      </c>
      <c r="M3935">
        <v>8</v>
      </c>
      <c r="N3935" t="str">
        <f t="shared" si="185"/>
        <v>Loyal</v>
      </c>
    </row>
    <row r="3936" spans="1:14" x14ac:dyDescent="0.35">
      <c r="A3936">
        <v>3935</v>
      </c>
      <c r="B3936">
        <v>26</v>
      </c>
      <c r="C3936" t="str">
        <f t="shared" si="183"/>
        <v>Youth</v>
      </c>
      <c r="D3936" t="s">
        <v>16</v>
      </c>
      <c r="E3936" t="s">
        <v>17</v>
      </c>
      <c r="F3936" t="s">
        <v>42</v>
      </c>
      <c r="G3936">
        <v>148.72999999999999</v>
      </c>
      <c r="H3936" t="s">
        <v>24</v>
      </c>
      <c r="I3936" t="s">
        <v>15</v>
      </c>
      <c r="J3936">
        <v>3.5</v>
      </c>
      <c r="K3936">
        <v>20</v>
      </c>
      <c r="L3936">
        <f t="shared" si="184"/>
        <v>118.98399999999999</v>
      </c>
      <c r="M3936">
        <v>5</v>
      </c>
      <c r="N3936" t="str">
        <f t="shared" si="185"/>
        <v>Regular</v>
      </c>
    </row>
    <row r="3937" spans="1:14" x14ac:dyDescent="0.35">
      <c r="A3937">
        <v>3936</v>
      </c>
      <c r="B3937">
        <v>41</v>
      </c>
      <c r="C3937" t="str">
        <f t="shared" si="183"/>
        <v>Adult</v>
      </c>
      <c r="D3937" t="s">
        <v>16</v>
      </c>
      <c r="E3937" t="s">
        <v>27</v>
      </c>
      <c r="F3937" t="s">
        <v>53</v>
      </c>
      <c r="G3937">
        <v>560.16</v>
      </c>
      <c r="H3937" t="s">
        <v>14</v>
      </c>
      <c r="I3937" t="s">
        <v>15</v>
      </c>
      <c r="J3937">
        <v>3.4</v>
      </c>
      <c r="K3937">
        <v>8</v>
      </c>
      <c r="L3937">
        <f t="shared" si="184"/>
        <v>515.34720000000004</v>
      </c>
      <c r="M3937">
        <v>4</v>
      </c>
      <c r="N3937" t="str">
        <f t="shared" si="185"/>
        <v>Regular</v>
      </c>
    </row>
    <row r="3938" spans="1:14" x14ac:dyDescent="0.35">
      <c r="A3938">
        <v>3937</v>
      </c>
      <c r="B3938">
        <v>70</v>
      </c>
      <c r="C3938" t="str">
        <f t="shared" si="183"/>
        <v>Senior</v>
      </c>
      <c r="D3938" t="s">
        <v>11</v>
      </c>
      <c r="E3938" t="s">
        <v>29</v>
      </c>
      <c r="F3938" t="s">
        <v>51</v>
      </c>
      <c r="G3938">
        <v>57.57</v>
      </c>
      <c r="H3938" t="s">
        <v>19</v>
      </c>
      <c r="I3938" t="s">
        <v>15</v>
      </c>
      <c r="J3938">
        <v>4.2</v>
      </c>
      <c r="K3938">
        <v>28</v>
      </c>
      <c r="L3938">
        <f t="shared" si="184"/>
        <v>41.450400000000002</v>
      </c>
      <c r="M3938">
        <v>9</v>
      </c>
      <c r="N3938" t="str">
        <f t="shared" si="185"/>
        <v>Loyal</v>
      </c>
    </row>
    <row r="3939" spans="1:14" x14ac:dyDescent="0.35">
      <c r="A3939">
        <v>3938</v>
      </c>
      <c r="B3939">
        <v>67</v>
      </c>
      <c r="C3939" t="str">
        <f t="shared" si="183"/>
        <v>Senior</v>
      </c>
      <c r="D3939" t="s">
        <v>16</v>
      </c>
      <c r="E3939" t="s">
        <v>20</v>
      </c>
      <c r="F3939" t="s">
        <v>21</v>
      </c>
      <c r="G3939">
        <v>177.81</v>
      </c>
      <c r="H3939" t="s">
        <v>31</v>
      </c>
      <c r="I3939" t="s">
        <v>15</v>
      </c>
      <c r="J3939">
        <v>4.4000000000000004</v>
      </c>
      <c r="K3939">
        <v>24</v>
      </c>
      <c r="L3939">
        <f t="shared" si="184"/>
        <v>135.13560000000001</v>
      </c>
      <c r="M3939">
        <v>7</v>
      </c>
      <c r="N3939" t="str">
        <f t="shared" si="185"/>
        <v>Regular</v>
      </c>
    </row>
    <row r="3940" spans="1:14" x14ac:dyDescent="0.35">
      <c r="A3940">
        <v>3939</v>
      </c>
      <c r="B3940">
        <v>51</v>
      </c>
      <c r="C3940" t="str">
        <f t="shared" si="183"/>
        <v>Adult</v>
      </c>
      <c r="D3940" t="s">
        <v>11</v>
      </c>
      <c r="E3940" t="s">
        <v>20</v>
      </c>
      <c r="F3940" t="s">
        <v>21</v>
      </c>
      <c r="G3940">
        <v>184.15</v>
      </c>
      <c r="H3940" t="s">
        <v>14</v>
      </c>
      <c r="I3940" t="s">
        <v>15</v>
      </c>
      <c r="J3940">
        <v>4.5</v>
      </c>
      <c r="K3940">
        <v>19</v>
      </c>
      <c r="L3940">
        <f t="shared" si="184"/>
        <v>149.16150000000002</v>
      </c>
      <c r="M3940">
        <v>7</v>
      </c>
      <c r="N3940" t="str">
        <f t="shared" si="185"/>
        <v>Regular</v>
      </c>
    </row>
    <row r="3941" spans="1:14" x14ac:dyDescent="0.35">
      <c r="A3941">
        <v>3940</v>
      </c>
      <c r="B3941">
        <v>57</v>
      </c>
      <c r="C3941" t="str">
        <f t="shared" si="183"/>
        <v>Adult</v>
      </c>
      <c r="D3941" t="s">
        <v>11</v>
      </c>
      <c r="E3941" t="s">
        <v>29</v>
      </c>
      <c r="F3941" t="s">
        <v>51</v>
      </c>
      <c r="G3941">
        <v>113.42</v>
      </c>
      <c r="H3941" t="s">
        <v>24</v>
      </c>
      <c r="I3941" t="s">
        <v>15</v>
      </c>
      <c r="J3941">
        <v>5</v>
      </c>
      <c r="K3941">
        <v>24</v>
      </c>
      <c r="L3941">
        <f t="shared" si="184"/>
        <v>86.199200000000005</v>
      </c>
      <c r="M3941">
        <v>7</v>
      </c>
      <c r="N3941" t="str">
        <f t="shared" si="185"/>
        <v>Regular</v>
      </c>
    </row>
    <row r="3942" spans="1:14" x14ac:dyDescent="0.35">
      <c r="A3942">
        <v>3941</v>
      </c>
      <c r="B3942">
        <v>43</v>
      </c>
      <c r="C3942" t="str">
        <f t="shared" si="183"/>
        <v>Adult</v>
      </c>
      <c r="D3942" t="s">
        <v>16</v>
      </c>
      <c r="E3942" t="s">
        <v>17</v>
      </c>
      <c r="F3942" t="s">
        <v>18</v>
      </c>
      <c r="G3942">
        <v>73.540000000000006</v>
      </c>
      <c r="H3942" t="s">
        <v>14</v>
      </c>
      <c r="I3942" t="s">
        <v>37</v>
      </c>
      <c r="J3942">
        <v>2.4</v>
      </c>
      <c r="K3942">
        <v>11</v>
      </c>
      <c r="L3942">
        <f t="shared" si="184"/>
        <v>65.450600000000009</v>
      </c>
      <c r="M3942">
        <v>3</v>
      </c>
      <c r="N3942" t="str">
        <f t="shared" si="185"/>
        <v>New</v>
      </c>
    </row>
    <row r="3943" spans="1:14" x14ac:dyDescent="0.35">
      <c r="A3943">
        <v>3942</v>
      </c>
      <c r="B3943">
        <v>63</v>
      </c>
      <c r="C3943" t="str">
        <f t="shared" si="183"/>
        <v>Senior</v>
      </c>
      <c r="D3943" t="s">
        <v>11</v>
      </c>
      <c r="E3943" t="s">
        <v>12</v>
      </c>
      <c r="F3943" t="s">
        <v>13</v>
      </c>
      <c r="G3943">
        <v>83.01</v>
      </c>
      <c r="H3943" t="s">
        <v>31</v>
      </c>
      <c r="I3943" t="s">
        <v>15</v>
      </c>
      <c r="J3943">
        <v>2.9</v>
      </c>
      <c r="K3943">
        <v>20</v>
      </c>
      <c r="L3943">
        <f t="shared" si="184"/>
        <v>66.408000000000001</v>
      </c>
      <c r="M3943">
        <v>5</v>
      </c>
      <c r="N3943" t="str">
        <f t="shared" si="185"/>
        <v>Regular</v>
      </c>
    </row>
    <row r="3944" spans="1:14" x14ac:dyDescent="0.35">
      <c r="A3944">
        <v>3943</v>
      </c>
      <c r="B3944">
        <v>42</v>
      </c>
      <c r="C3944" t="str">
        <f t="shared" si="183"/>
        <v>Adult</v>
      </c>
      <c r="D3944" t="s">
        <v>11</v>
      </c>
      <c r="E3944" t="s">
        <v>12</v>
      </c>
      <c r="F3944" t="s">
        <v>56</v>
      </c>
      <c r="G3944">
        <v>136.71</v>
      </c>
      <c r="H3944" t="s">
        <v>24</v>
      </c>
      <c r="I3944" t="s">
        <v>15</v>
      </c>
      <c r="J3944">
        <v>2.2999999999999998</v>
      </c>
      <c r="K3944">
        <v>16</v>
      </c>
      <c r="L3944">
        <f t="shared" si="184"/>
        <v>114.8364</v>
      </c>
      <c r="M3944">
        <v>3</v>
      </c>
      <c r="N3944" t="str">
        <f t="shared" si="185"/>
        <v>New</v>
      </c>
    </row>
    <row r="3945" spans="1:14" x14ac:dyDescent="0.35">
      <c r="A3945">
        <v>3944</v>
      </c>
      <c r="B3945">
        <v>46</v>
      </c>
      <c r="C3945" t="str">
        <f t="shared" si="183"/>
        <v>Adult</v>
      </c>
      <c r="D3945" t="s">
        <v>16</v>
      </c>
      <c r="E3945" t="s">
        <v>27</v>
      </c>
      <c r="F3945" t="s">
        <v>32</v>
      </c>
      <c r="G3945">
        <v>1464.71</v>
      </c>
      <c r="H3945" t="s">
        <v>14</v>
      </c>
      <c r="I3945" t="s">
        <v>15</v>
      </c>
      <c r="J3945">
        <v>2.2999999999999998</v>
      </c>
      <c r="K3945">
        <v>12</v>
      </c>
      <c r="L3945">
        <f t="shared" si="184"/>
        <v>1288.9448</v>
      </c>
      <c r="M3945">
        <v>6</v>
      </c>
      <c r="N3945" t="str">
        <f t="shared" si="185"/>
        <v>Regular</v>
      </c>
    </row>
    <row r="3946" spans="1:14" x14ac:dyDescent="0.35">
      <c r="A3946">
        <v>3945</v>
      </c>
      <c r="B3946">
        <v>69</v>
      </c>
      <c r="C3946" t="str">
        <f t="shared" si="183"/>
        <v>Senior</v>
      </c>
      <c r="D3946" t="s">
        <v>16</v>
      </c>
      <c r="E3946" t="s">
        <v>17</v>
      </c>
      <c r="F3946" t="s">
        <v>48</v>
      </c>
      <c r="G3946">
        <v>173.52</v>
      </c>
      <c r="H3946" t="s">
        <v>31</v>
      </c>
      <c r="I3946" t="s">
        <v>15</v>
      </c>
      <c r="J3946">
        <v>3.2</v>
      </c>
      <c r="K3946">
        <v>10</v>
      </c>
      <c r="L3946">
        <f t="shared" si="184"/>
        <v>156.16800000000001</v>
      </c>
      <c r="M3946">
        <v>5</v>
      </c>
      <c r="N3946" t="str">
        <f t="shared" si="185"/>
        <v>Regular</v>
      </c>
    </row>
    <row r="3947" spans="1:14" x14ac:dyDescent="0.35">
      <c r="A3947">
        <v>3946</v>
      </c>
      <c r="B3947">
        <v>49</v>
      </c>
      <c r="C3947" t="str">
        <f t="shared" si="183"/>
        <v>Adult</v>
      </c>
      <c r="D3947" t="s">
        <v>16</v>
      </c>
      <c r="E3947" t="s">
        <v>27</v>
      </c>
      <c r="F3947" t="s">
        <v>53</v>
      </c>
      <c r="G3947">
        <v>1875.63</v>
      </c>
      <c r="H3947" t="s">
        <v>24</v>
      </c>
      <c r="I3947" t="s">
        <v>15</v>
      </c>
      <c r="J3947">
        <v>3.5</v>
      </c>
      <c r="K3947">
        <v>18</v>
      </c>
      <c r="L3947">
        <f t="shared" si="184"/>
        <v>1538.0166000000002</v>
      </c>
      <c r="M3947">
        <v>4</v>
      </c>
      <c r="N3947" t="str">
        <f t="shared" si="185"/>
        <v>Regular</v>
      </c>
    </row>
    <row r="3948" spans="1:14" x14ac:dyDescent="0.35">
      <c r="A3948">
        <v>3947</v>
      </c>
      <c r="B3948">
        <v>36</v>
      </c>
      <c r="C3948" t="str">
        <f t="shared" si="183"/>
        <v>Adult</v>
      </c>
      <c r="D3948" t="s">
        <v>11</v>
      </c>
      <c r="E3948" t="s">
        <v>29</v>
      </c>
      <c r="F3948" t="s">
        <v>55</v>
      </c>
      <c r="G3948">
        <v>149.27000000000001</v>
      </c>
      <c r="H3948" t="s">
        <v>24</v>
      </c>
      <c r="I3948" t="s">
        <v>15</v>
      </c>
      <c r="J3948">
        <v>3.2</v>
      </c>
      <c r="K3948">
        <v>6</v>
      </c>
      <c r="L3948">
        <f t="shared" si="184"/>
        <v>140.31380000000001</v>
      </c>
      <c r="M3948">
        <v>3</v>
      </c>
      <c r="N3948" t="str">
        <f t="shared" si="185"/>
        <v>New</v>
      </c>
    </row>
    <row r="3949" spans="1:14" x14ac:dyDescent="0.35">
      <c r="A3949">
        <v>3948</v>
      </c>
      <c r="B3949">
        <v>37</v>
      </c>
      <c r="C3949" t="str">
        <f t="shared" si="183"/>
        <v>Adult</v>
      </c>
      <c r="D3949" t="s">
        <v>11</v>
      </c>
      <c r="E3949" t="s">
        <v>33</v>
      </c>
      <c r="F3949" t="s">
        <v>38</v>
      </c>
      <c r="G3949">
        <v>116.16</v>
      </c>
      <c r="H3949" t="s">
        <v>14</v>
      </c>
      <c r="I3949" t="s">
        <v>15</v>
      </c>
      <c r="J3949">
        <v>4.7</v>
      </c>
      <c r="K3949">
        <v>20</v>
      </c>
      <c r="L3949">
        <f t="shared" si="184"/>
        <v>92.927999999999997</v>
      </c>
      <c r="M3949">
        <v>5</v>
      </c>
      <c r="N3949" t="str">
        <f t="shared" si="185"/>
        <v>Regular</v>
      </c>
    </row>
    <row r="3950" spans="1:14" x14ac:dyDescent="0.35">
      <c r="A3950">
        <v>3949</v>
      </c>
      <c r="B3950">
        <v>21</v>
      </c>
      <c r="C3950" t="str">
        <f t="shared" si="183"/>
        <v>Youth</v>
      </c>
      <c r="D3950" t="s">
        <v>11</v>
      </c>
      <c r="E3950" t="s">
        <v>12</v>
      </c>
      <c r="F3950" t="s">
        <v>13</v>
      </c>
      <c r="G3950">
        <v>159.82</v>
      </c>
      <c r="H3950" t="s">
        <v>14</v>
      </c>
      <c r="I3950" t="s">
        <v>15</v>
      </c>
      <c r="J3950">
        <v>3.9</v>
      </c>
      <c r="K3950">
        <v>4</v>
      </c>
      <c r="L3950">
        <f t="shared" si="184"/>
        <v>153.4272</v>
      </c>
      <c r="M3950">
        <v>2</v>
      </c>
      <c r="N3950" t="str">
        <f t="shared" si="185"/>
        <v>New</v>
      </c>
    </row>
    <row r="3951" spans="1:14" x14ac:dyDescent="0.35">
      <c r="A3951">
        <v>3950</v>
      </c>
      <c r="B3951">
        <v>70</v>
      </c>
      <c r="C3951" t="str">
        <f t="shared" si="183"/>
        <v>Senior</v>
      </c>
      <c r="D3951" t="s">
        <v>11</v>
      </c>
      <c r="E3951" t="s">
        <v>41</v>
      </c>
      <c r="F3951" t="s">
        <v>45</v>
      </c>
      <c r="G3951">
        <v>53.66</v>
      </c>
      <c r="H3951" t="s">
        <v>31</v>
      </c>
      <c r="I3951" t="s">
        <v>37</v>
      </c>
      <c r="J3951">
        <v>2.6</v>
      </c>
      <c r="K3951">
        <v>20</v>
      </c>
      <c r="L3951">
        <f t="shared" si="184"/>
        <v>42.927999999999997</v>
      </c>
      <c r="M3951">
        <v>5</v>
      </c>
      <c r="N3951" t="str">
        <f t="shared" si="185"/>
        <v>Regular</v>
      </c>
    </row>
    <row r="3952" spans="1:14" x14ac:dyDescent="0.35">
      <c r="A3952">
        <v>3951</v>
      </c>
      <c r="B3952">
        <v>40</v>
      </c>
      <c r="C3952" t="str">
        <f t="shared" si="183"/>
        <v>Adult</v>
      </c>
      <c r="D3952" t="s">
        <v>11</v>
      </c>
      <c r="E3952" t="s">
        <v>41</v>
      </c>
      <c r="F3952" t="s">
        <v>44</v>
      </c>
      <c r="G3952">
        <v>180.23</v>
      </c>
      <c r="H3952" t="s">
        <v>19</v>
      </c>
      <c r="I3952" t="s">
        <v>15</v>
      </c>
      <c r="J3952">
        <v>3.8</v>
      </c>
      <c r="K3952">
        <v>13</v>
      </c>
      <c r="L3952">
        <f t="shared" si="184"/>
        <v>156.80009999999999</v>
      </c>
      <c r="M3952">
        <v>4</v>
      </c>
      <c r="N3952" t="str">
        <f t="shared" si="185"/>
        <v>Regular</v>
      </c>
    </row>
    <row r="3953" spans="1:14" x14ac:dyDescent="0.35">
      <c r="A3953">
        <v>3952</v>
      </c>
      <c r="B3953">
        <v>65</v>
      </c>
      <c r="C3953" t="str">
        <f t="shared" si="183"/>
        <v>Senior</v>
      </c>
      <c r="D3953" t="s">
        <v>16</v>
      </c>
      <c r="E3953" t="s">
        <v>20</v>
      </c>
      <c r="F3953" t="s">
        <v>39</v>
      </c>
      <c r="G3953">
        <v>177.72</v>
      </c>
      <c r="H3953" t="s">
        <v>24</v>
      </c>
      <c r="I3953" t="s">
        <v>15</v>
      </c>
      <c r="J3953">
        <v>3.6</v>
      </c>
      <c r="K3953">
        <v>21</v>
      </c>
      <c r="L3953">
        <f t="shared" si="184"/>
        <v>140.39879999999999</v>
      </c>
      <c r="M3953">
        <v>8</v>
      </c>
      <c r="N3953" t="str">
        <f t="shared" si="185"/>
        <v>Loyal</v>
      </c>
    </row>
    <row r="3954" spans="1:14" x14ac:dyDescent="0.35">
      <c r="A3954">
        <v>3953</v>
      </c>
      <c r="B3954">
        <v>65</v>
      </c>
      <c r="C3954" t="str">
        <f t="shared" si="183"/>
        <v>Senior</v>
      </c>
      <c r="D3954" t="s">
        <v>16</v>
      </c>
      <c r="E3954" t="s">
        <v>27</v>
      </c>
      <c r="F3954" t="s">
        <v>32</v>
      </c>
      <c r="G3954">
        <v>2849.33</v>
      </c>
      <c r="H3954" t="s">
        <v>19</v>
      </c>
      <c r="I3954" t="s">
        <v>15</v>
      </c>
      <c r="J3954">
        <v>4.5999999999999996</v>
      </c>
      <c r="K3954">
        <v>18</v>
      </c>
      <c r="L3954">
        <f t="shared" si="184"/>
        <v>2336.4506000000001</v>
      </c>
      <c r="M3954">
        <v>4</v>
      </c>
      <c r="N3954" t="str">
        <f t="shared" si="185"/>
        <v>Regular</v>
      </c>
    </row>
    <row r="3955" spans="1:14" x14ac:dyDescent="0.35">
      <c r="A3955">
        <v>3954</v>
      </c>
      <c r="B3955">
        <v>34</v>
      </c>
      <c r="C3955" t="str">
        <f t="shared" si="183"/>
        <v>Adult</v>
      </c>
      <c r="D3955" t="s">
        <v>16</v>
      </c>
      <c r="E3955" t="s">
        <v>25</v>
      </c>
      <c r="F3955" t="s">
        <v>57</v>
      </c>
      <c r="G3955">
        <v>5.92</v>
      </c>
      <c r="H3955" t="s">
        <v>19</v>
      </c>
      <c r="I3955" t="s">
        <v>15</v>
      </c>
      <c r="J3955">
        <v>4.2</v>
      </c>
      <c r="K3955">
        <v>15</v>
      </c>
      <c r="L3955">
        <f t="shared" si="184"/>
        <v>5.032</v>
      </c>
      <c r="M3955">
        <v>5</v>
      </c>
      <c r="N3955" t="str">
        <f t="shared" si="185"/>
        <v>Regular</v>
      </c>
    </row>
    <row r="3956" spans="1:14" x14ac:dyDescent="0.35">
      <c r="A3956">
        <v>3955</v>
      </c>
      <c r="B3956">
        <v>37</v>
      </c>
      <c r="C3956" t="str">
        <f t="shared" si="183"/>
        <v>Adult</v>
      </c>
      <c r="D3956" t="s">
        <v>16</v>
      </c>
      <c r="E3956" t="s">
        <v>20</v>
      </c>
      <c r="F3956" t="s">
        <v>21</v>
      </c>
      <c r="G3956">
        <v>120</v>
      </c>
      <c r="H3956" t="s">
        <v>19</v>
      </c>
      <c r="I3956" t="s">
        <v>15</v>
      </c>
      <c r="J3956">
        <v>2.8</v>
      </c>
      <c r="K3956">
        <v>15</v>
      </c>
      <c r="L3956">
        <f t="shared" si="184"/>
        <v>102</v>
      </c>
      <c r="M3956">
        <v>5</v>
      </c>
      <c r="N3956" t="str">
        <f t="shared" si="185"/>
        <v>Regular</v>
      </c>
    </row>
    <row r="3957" spans="1:14" x14ac:dyDescent="0.35">
      <c r="A3957">
        <v>3956</v>
      </c>
      <c r="B3957">
        <v>35</v>
      </c>
      <c r="C3957" t="str">
        <f t="shared" si="183"/>
        <v>Adult</v>
      </c>
      <c r="D3957" t="s">
        <v>16</v>
      </c>
      <c r="E3957" t="s">
        <v>33</v>
      </c>
      <c r="F3957" t="s">
        <v>34</v>
      </c>
      <c r="G3957">
        <v>151.72999999999999</v>
      </c>
      <c r="H3957" t="s">
        <v>31</v>
      </c>
      <c r="I3957" t="s">
        <v>15</v>
      </c>
      <c r="J3957">
        <v>3.3</v>
      </c>
      <c r="K3957">
        <v>8</v>
      </c>
      <c r="L3957">
        <f t="shared" si="184"/>
        <v>139.5916</v>
      </c>
      <c r="M3957">
        <v>4</v>
      </c>
      <c r="N3957" t="str">
        <f t="shared" si="185"/>
        <v>Regular</v>
      </c>
    </row>
    <row r="3958" spans="1:14" x14ac:dyDescent="0.35">
      <c r="A3958">
        <v>3957</v>
      </c>
      <c r="B3958">
        <v>66</v>
      </c>
      <c r="C3958" t="str">
        <f t="shared" si="183"/>
        <v>Senior</v>
      </c>
      <c r="D3958" t="s">
        <v>16</v>
      </c>
      <c r="E3958" t="s">
        <v>17</v>
      </c>
      <c r="F3958" t="s">
        <v>35</v>
      </c>
      <c r="G3958">
        <v>188.31</v>
      </c>
      <c r="H3958" t="s">
        <v>24</v>
      </c>
      <c r="I3958" t="s">
        <v>15</v>
      </c>
      <c r="J3958">
        <v>5</v>
      </c>
      <c r="K3958">
        <v>6</v>
      </c>
      <c r="L3958">
        <f t="shared" si="184"/>
        <v>177.01139999999998</v>
      </c>
      <c r="M3958">
        <v>3</v>
      </c>
      <c r="N3958" t="str">
        <f t="shared" si="185"/>
        <v>New</v>
      </c>
    </row>
    <row r="3959" spans="1:14" x14ac:dyDescent="0.35">
      <c r="A3959">
        <v>3958</v>
      </c>
      <c r="B3959">
        <v>63</v>
      </c>
      <c r="C3959" t="str">
        <f t="shared" si="183"/>
        <v>Senior</v>
      </c>
      <c r="D3959" t="s">
        <v>11</v>
      </c>
      <c r="E3959" t="s">
        <v>22</v>
      </c>
      <c r="F3959" t="s">
        <v>52</v>
      </c>
      <c r="G3959">
        <v>96.14</v>
      </c>
      <c r="H3959" t="s">
        <v>19</v>
      </c>
      <c r="I3959" t="s">
        <v>37</v>
      </c>
      <c r="J3959">
        <v>4.9000000000000004</v>
      </c>
      <c r="K3959">
        <v>24</v>
      </c>
      <c r="L3959">
        <f t="shared" si="184"/>
        <v>73.066400000000002</v>
      </c>
      <c r="M3959">
        <v>7</v>
      </c>
      <c r="N3959" t="str">
        <f t="shared" si="185"/>
        <v>Regular</v>
      </c>
    </row>
    <row r="3960" spans="1:14" x14ac:dyDescent="0.35">
      <c r="A3960">
        <v>3959</v>
      </c>
      <c r="B3960">
        <v>68</v>
      </c>
      <c r="C3960" t="str">
        <f t="shared" si="183"/>
        <v>Senior</v>
      </c>
      <c r="D3960" t="s">
        <v>11</v>
      </c>
      <c r="E3960" t="s">
        <v>20</v>
      </c>
      <c r="F3960" t="s">
        <v>39</v>
      </c>
      <c r="G3960">
        <v>57.13</v>
      </c>
      <c r="H3960" t="s">
        <v>14</v>
      </c>
      <c r="I3960" t="s">
        <v>37</v>
      </c>
      <c r="J3960">
        <v>3.9</v>
      </c>
      <c r="K3960">
        <v>18</v>
      </c>
      <c r="L3960">
        <f t="shared" si="184"/>
        <v>46.846600000000002</v>
      </c>
      <c r="M3960">
        <v>9</v>
      </c>
      <c r="N3960" t="str">
        <f t="shared" si="185"/>
        <v>Loyal</v>
      </c>
    </row>
    <row r="3961" spans="1:14" x14ac:dyDescent="0.35">
      <c r="A3961">
        <v>3960</v>
      </c>
      <c r="B3961">
        <v>58</v>
      </c>
      <c r="C3961" t="str">
        <f t="shared" si="183"/>
        <v>Adult</v>
      </c>
      <c r="D3961" t="s">
        <v>16</v>
      </c>
      <c r="E3961" t="s">
        <v>22</v>
      </c>
      <c r="F3961" t="s">
        <v>52</v>
      </c>
      <c r="G3961">
        <v>53.9</v>
      </c>
      <c r="H3961" t="s">
        <v>24</v>
      </c>
      <c r="I3961" t="s">
        <v>37</v>
      </c>
      <c r="J3961">
        <v>4.4000000000000004</v>
      </c>
      <c r="K3961">
        <v>24</v>
      </c>
      <c r="L3961">
        <f t="shared" si="184"/>
        <v>40.963999999999999</v>
      </c>
      <c r="M3961">
        <v>7</v>
      </c>
      <c r="N3961" t="str">
        <f t="shared" si="185"/>
        <v>Regular</v>
      </c>
    </row>
    <row r="3962" spans="1:14" x14ac:dyDescent="0.35">
      <c r="A3962">
        <v>3961</v>
      </c>
      <c r="B3962">
        <v>48</v>
      </c>
      <c r="C3962" t="str">
        <f t="shared" si="183"/>
        <v>Adult</v>
      </c>
      <c r="D3962" t="s">
        <v>11</v>
      </c>
      <c r="E3962" t="s">
        <v>41</v>
      </c>
      <c r="F3962" t="s">
        <v>46</v>
      </c>
      <c r="G3962">
        <v>108.03</v>
      </c>
      <c r="H3962" t="s">
        <v>19</v>
      </c>
      <c r="I3962" t="s">
        <v>15</v>
      </c>
      <c r="J3962">
        <v>2.9</v>
      </c>
      <c r="K3962">
        <v>13</v>
      </c>
      <c r="L3962">
        <f t="shared" si="184"/>
        <v>93.986100000000008</v>
      </c>
      <c r="M3962">
        <v>4</v>
      </c>
      <c r="N3962" t="str">
        <f t="shared" si="185"/>
        <v>Regular</v>
      </c>
    </row>
    <row r="3963" spans="1:14" x14ac:dyDescent="0.35">
      <c r="A3963">
        <v>3962</v>
      </c>
      <c r="B3963">
        <v>33</v>
      </c>
      <c r="C3963" t="str">
        <f t="shared" si="183"/>
        <v>Adult</v>
      </c>
      <c r="D3963" t="s">
        <v>11</v>
      </c>
      <c r="E3963" t="s">
        <v>12</v>
      </c>
      <c r="F3963" t="s">
        <v>13</v>
      </c>
      <c r="G3963">
        <v>37.950000000000003</v>
      </c>
      <c r="H3963" t="s">
        <v>24</v>
      </c>
      <c r="I3963" t="s">
        <v>37</v>
      </c>
      <c r="J3963">
        <v>4.5</v>
      </c>
      <c r="K3963">
        <v>14</v>
      </c>
      <c r="L3963">
        <f t="shared" si="184"/>
        <v>32.637</v>
      </c>
      <c r="M3963">
        <v>7</v>
      </c>
      <c r="N3963" t="str">
        <f t="shared" si="185"/>
        <v>Regular</v>
      </c>
    </row>
    <row r="3964" spans="1:14" x14ac:dyDescent="0.35">
      <c r="A3964">
        <v>3963</v>
      </c>
      <c r="B3964">
        <v>61</v>
      </c>
      <c r="C3964" t="str">
        <f t="shared" si="183"/>
        <v>Senior</v>
      </c>
      <c r="D3964" t="s">
        <v>16</v>
      </c>
      <c r="E3964" t="s">
        <v>20</v>
      </c>
      <c r="F3964" t="s">
        <v>39</v>
      </c>
      <c r="G3964">
        <v>105.24</v>
      </c>
      <c r="H3964" t="s">
        <v>31</v>
      </c>
      <c r="I3964" t="s">
        <v>15</v>
      </c>
      <c r="J3964">
        <v>4.5999999999999996</v>
      </c>
      <c r="K3964">
        <v>12</v>
      </c>
      <c r="L3964">
        <f t="shared" si="184"/>
        <v>92.611199999999997</v>
      </c>
      <c r="M3964">
        <v>6</v>
      </c>
      <c r="N3964" t="str">
        <f t="shared" si="185"/>
        <v>Regular</v>
      </c>
    </row>
    <row r="3965" spans="1:14" x14ac:dyDescent="0.35">
      <c r="A3965">
        <v>3964</v>
      </c>
      <c r="B3965">
        <v>39</v>
      </c>
      <c r="C3965" t="str">
        <f t="shared" si="183"/>
        <v>Adult</v>
      </c>
      <c r="D3965" t="s">
        <v>16</v>
      </c>
      <c r="E3965" t="s">
        <v>27</v>
      </c>
      <c r="F3965" t="s">
        <v>49</v>
      </c>
      <c r="G3965">
        <v>1041.0999999999999</v>
      </c>
      <c r="H3965" t="s">
        <v>24</v>
      </c>
      <c r="I3965" t="s">
        <v>15</v>
      </c>
      <c r="J3965">
        <v>3.4</v>
      </c>
      <c r="K3965">
        <v>19</v>
      </c>
      <c r="L3965">
        <f t="shared" si="184"/>
        <v>843.29099999999994</v>
      </c>
      <c r="M3965">
        <v>7</v>
      </c>
      <c r="N3965" t="str">
        <f t="shared" si="185"/>
        <v>Regular</v>
      </c>
    </row>
    <row r="3966" spans="1:14" x14ac:dyDescent="0.35">
      <c r="A3966">
        <v>3965</v>
      </c>
      <c r="B3966">
        <v>41</v>
      </c>
      <c r="C3966" t="str">
        <f t="shared" si="183"/>
        <v>Adult</v>
      </c>
      <c r="D3966" t="s">
        <v>16</v>
      </c>
      <c r="E3966" t="s">
        <v>20</v>
      </c>
      <c r="F3966" t="s">
        <v>39</v>
      </c>
      <c r="G3966">
        <v>171.63</v>
      </c>
      <c r="H3966" t="s">
        <v>24</v>
      </c>
      <c r="I3966" t="s">
        <v>15</v>
      </c>
      <c r="J3966">
        <v>4.4000000000000004</v>
      </c>
      <c r="K3966">
        <v>16</v>
      </c>
      <c r="L3966">
        <f t="shared" si="184"/>
        <v>144.16919999999999</v>
      </c>
      <c r="M3966">
        <v>3</v>
      </c>
      <c r="N3966" t="str">
        <f t="shared" si="185"/>
        <v>New</v>
      </c>
    </row>
    <row r="3967" spans="1:14" x14ac:dyDescent="0.35">
      <c r="A3967">
        <v>3966</v>
      </c>
      <c r="B3967">
        <v>60</v>
      </c>
      <c r="C3967" t="str">
        <f t="shared" si="183"/>
        <v>Adult</v>
      </c>
      <c r="D3967" t="s">
        <v>11</v>
      </c>
      <c r="E3967" t="s">
        <v>33</v>
      </c>
      <c r="F3967" t="s">
        <v>40</v>
      </c>
      <c r="G3967">
        <v>234.84</v>
      </c>
      <c r="H3967" t="s">
        <v>31</v>
      </c>
      <c r="I3967" t="s">
        <v>15</v>
      </c>
      <c r="J3967">
        <v>5</v>
      </c>
      <c r="K3967">
        <v>29</v>
      </c>
      <c r="L3967">
        <f t="shared" si="184"/>
        <v>166.7364</v>
      </c>
      <c r="M3967">
        <v>12</v>
      </c>
      <c r="N3967" t="str">
        <f t="shared" si="185"/>
        <v>Loyal</v>
      </c>
    </row>
    <row r="3968" spans="1:14" x14ac:dyDescent="0.35">
      <c r="A3968">
        <v>3967</v>
      </c>
      <c r="B3968">
        <v>38</v>
      </c>
      <c r="C3968" t="str">
        <f t="shared" si="183"/>
        <v>Adult</v>
      </c>
      <c r="D3968" t="s">
        <v>11</v>
      </c>
      <c r="E3968" t="s">
        <v>33</v>
      </c>
      <c r="F3968" t="s">
        <v>38</v>
      </c>
      <c r="G3968">
        <v>68.16</v>
      </c>
      <c r="H3968" t="s">
        <v>24</v>
      </c>
      <c r="I3968" t="s">
        <v>15</v>
      </c>
      <c r="J3968">
        <v>4.3</v>
      </c>
      <c r="K3968">
        <v>22</v>
      </c>
      <c r="L3968">
        <f t="shared" si="184"/>
        <v>53.1648</v>
      </c>
      <c r="M3968">
        <v>6</v>
      </c>
      <c r="N3968" t="str">
        <f t="shared" si="185"/>
        <v>Regular</v>
      </c>
    </row>
    <row r="3969" spans="1:14" x14ac:dyDescent="0.35">
      <c r="A3969">
        <v>3968</v>
      </c>
      <c r="B3969">
        <v>21</v>
      </c>
      <c r="C3969" t="str">
        <f t="shared" si="183"/>
        <v>Youth</v>
      </c>
      <c r="D3969" t="s">
        <v>16</v>
      </c>
      <c r="E3969" t="s">
        <v>33</v>
      </c>
      <c r="F3969" t="s">
        <v>34</v>
      </c>
      <c r="G3969">
        <v>245.4</v>
      </c>
      <c r="H3969" t="s">
        <v>24</v>
      </c>
      <c r="I3969" t="s">
        <v>15</v>
      </c>
      <c r="J3969">
        <v>3.9</v>
      </c>
      <c r="K3969">
        <v>4</v>
      </c>
      <c r="L3969">
        <f t="shared" si="184"/>
        <v>235.584</v>
      </c>
      <c r="M3969">
        <v>2</v>
      </c>
      <c r="N3969" t="str">
        <f t="shared" si="185"/>
        <v>New</v>
      </c>
    </row>
    <row r="3970" spans="1:14" x14ac:dyDescent="0.35">
      <c r="A3970">
        <v>3969</v>
      </c>
      <c r="B3970">
        <v>56</v>
      </c>
      <c r="C3970" t="str">
        <f t="shared" si="183"/>
        <v>Adult</v>
      </c>
      <c r="D3970" t="s">
        <v>11</v>
      </c>
      <c r="E3970" t="s">
        <v>29</v>
      </c>
      <c r="F3970" t="s">
        <v>30</v>
      </c>
      <c r="G3970">
        <v>79.16</v>
      </c>
      <c r="H3970" t="s">
        <v>24</v>
      </c>
      <c r="I3970" t="s">
        <v>37</v>
      </c>
      <c r="J3970">
        <v>3</v>
      </c>
      <c r="K3970">
        <v>9</v>
      </c>
      <c r="L3970">
        <f t="shared" si="184"/>
        <v>72.035600000000002</v>
      </c>
      <c r="M3970">
        <v>2</v>
      </c>
      <c r="N3970" t="str">
        <f t="shared" si="185"/>
        <v>New</v>
      </c>
    </row>
    <row r="3971" spans="1:14" x14ac:dyDescent="0.35">
      <c r="A3971">
        <v>3970</v>
      </c>
      <c r="B3971">
        <v>51</v>
      </c>
      <c r="C3971" t="str">
        <f t="shared" ref="C3971:C4034" si="186">IF(B3971&lt;=30,"Youth",IF(B3971&lt;=45,"Adult",IF(B3971&lt;=60,"Adult","Senior")))</f>
        <v>Adult</v>
      </c>
      <c r="D3971" t="s">
        <v>11</v>
      </c>
      <c r="E3971" t="s">
        <v>33</v>
      </c>
      <c r="F3971" t="s">
        <v>38</v>
      </c>
      <c r="G3971">
        <v>88.4</v>
      </c>
      <c r="H3971" t="s">
        <v>14</v>
      </c>
      <c r="I3971" t="s">
        <v>37</v>
      </c>
      <c r="J3971">
        <v>4</v>
      </c>
      <c r="K3971">
        <v>6</v>
      </c>
      <c r="L3971">
        <f t="shared" ref="L3971:L4034" si="187">G3971*(1-K3971/100)</f>
        <v>83.096000000000004</v>
      </c>
      <c r="M3971">
        <v>3</v>
      </c>
      <c r="N3971" t="str">
        <f t="shared" ref="N3971:N4034" si="188">IF(M3971&lt;=3,"New",IF(M3971&lt;=7,"Regular","Loyal"))</f>
        <v>New</v>
      </c>
    </row>
    <row r="3972" spans="1:14" x14ac:dyDescent="0.35">
      <c r="A3972">
        <v>3971</v>
      </c>
      <c r="B3972">
        <v>27</v>
      </c>
      <c r="C3972" t="str">
        <f t="shared" si="186"/>
        <v>Youth</v>
      </c>
      <c r="D3972" t="s">
        <v>11</v>
      </c>
      <c r="E3972" t="s">
        <v>22</v>
      </c>
      <c r="F3972" t="s">
        <v>23</v>
      </c>
      <c r="G3972">
        <v>271.83999999999997</v>
      </c>
      <c r="H3972" t="s">
        <v>19</v>
      </c>
      <c r="I3972" t="s">
        <v>15</v>
      </c>
      <c r="J3972">
        <v>3.5</v>
      </c>
      <c r="K3972">
        <v>12</v>
      </c>
      <c r="L3972">
        <f t="shared" si="187"/>
        <v>239.21919999999997</v>
      </c>
      <c r="M3972">
        <v>6</v>
      </c>
      <c r="N3972" t="str">
        <f t="shared" si="188"/>
        <v>Regular</v>
      </c>
    </row>
    <row r="3973" spans="1:14" x14ac:dyDescent="0.35">
      <c r="A3973">
        <v>3972</v>
      </c>
      <c r="B3973">
        <v>68</v>
      </c>
      <c r="C3973" t="str">
        <f t="shared" si="186"/>
        <v>Senior</v>
      </c>
      <c r="D3973" t="s">
        <v>11</v>
      </c>
      <c r="E3973" t="s">
        <v>12</v>
      </c>
      <c r="F3973" t="s">
        <v>13</v>
      </c>
      <c r="G3973">
        <v>119.54</v>
      </c>
      <c r="H3973" t="s">
        <v>24</v>
      </c>
      <c r="I3973" t="s">
        <v>15</v>
      </c>
      <c r="J3973">
        <v>3.8</v>
      </c>
      <c r="K3973">
        <v>4</v>
      </c>
      <c r="L3973">
        <f t="shared" si="187"/>
        <v>114.75840000000001</v>
      </c>
      <c r="M3973">
        <v>2</v>
      </c>
      <c r="N3973" t="str">
        <f t="shared" si="188"/>
        <v>New</v>
      </c>
    </row>
    <row r="3974" spans="1:14" x14ac:dyDescent="0.35">
      <c r="A3974">
        <v>3973</v>
      </c>
      <c r="B3974">
        <v>20</v>
      </c>
      <c r="C3974" t="str">
        <f t="shared" si="186"/>
        <v>Youth</v>
      </c>
      <c r="D3974" t="s">
        <v>16</v>
      </c>
      <c r="E3974" t="s">
        <v>33</v>
      </c>
      <c r="F3974" t="s">
        <v>40</v>
      </c>
      <c r="G3974">
        <v>99.98</v>
      </c>
      <c r="H3974" t="s">
        <v>14</v>
      </c>
      <c r="I3974" t="s">
        <v>37</v>
      </c>
      <c r="J3974">
        <v>4.3</v>
      </c>
      <c r="K3974">
        <v>4</v>
      </c>
      <c r="L3974">
        <f t="shared" si="187"/>
        <v>95.980800000000002</v>
      </c>
      <c r="M3974">
        <v>2</v>
      </c>
      <c r="N3974" t="str">
        <f t="shared" si="188"/>
        <v>New</v>
      </c>
    </row>
    <row r="3975" spans="1:14" x14ac:dyDescent="0.35">
      <c r="A3975">
        <v>3974</v>
      </c>
      <c r="B3975">
        <v>51</v>
      </c>
      <c r="C3975" t="str">
        <f t="shared" si="186"/>
        <v>Adult</v>
      </c>
      <c r="D3975" t="s">
        <v>11</v>
      </c>
      <c r="E3975" t="s">
        <v>29</v>
      </c>
      <c r="F3975" t="s">
        <v>30</v>
      </c>
      <c r="G3975">
        <v>98.45</v>
      </c>
      <c r="H3975" t="s">
        <v>24</v>
      </c>
      <c r="I3975" t="s">
        <v>37</v>
      </c>
      <c r="J3975">
        <v>4</v>
      </c>
      <c r="K3975">
        <v>20</v>
      </c>
      <c r="L3975">
        <f t="shared" si="187"/>
        <v>78.760000000000005</v>
      </c>
      <c r="M3975">
        <v>5</v>
      </c>
      <c r="N3975" t="str">
        <f t="shared" si="188"/>
        <v>Regular</v>
      </c>
    </row>
    <row r="3976" spans="1:14" x14ac:dyDescent="0.35">
      <c r="A3976">
        <v>3975</v>
      </c>
      <c r="B3976">
        <v>52</v>
      </c>
      <c r="C3976" t="str">
        <f t="shared" si="186"/>
        <v>Adult</v>
      </c>
      <c r="D3976" t="s">
        <v>16</v>
      </c>
      <c r="E3976" t="s">
        <v>33</v>
      </c>
      <c r="F3976" t="s">
        <v>34</v>
      </c>
      <c r="G3976">
        <v>152.72</v>
      </c>
      <c r="H3976" t="s">
        <v>14</v>
      </c>
      <c r="I3976" t="s">
        <v>15</v>
      </c>
      <c r="J3976">
        <v>3.6</v>
      </c>
      <c r="K3976">
        <v>19</v>
      </c>
      <c r="L3976">
        <f t="shared" si="187"/>
        <v>123.70320000000001</v>
      </c>
      <c r="M3976">
        <v>7</v>
      </c>
      <c r="N3976" t="str">
        <f t="shared" si="188"/>
        <v>Regular</v>
      </c>
    </row>
    <row r="3977" spans="1:14" x14ac:dyDescent="0.35">
      <c r="A3977">
        <v>3976</v>
      </c>
      <c r="B3977">
        <v>36</v>
      </c>
      <c r="C3977" t="str">
        <f t="shared" si="186"/>
        <v>Adult</v>
      </c>
      <c r="D3977" t="s">
        <v>16</v>
      </c>
      <c r="E3977" t="s">
        <v>33</v>
      </c>
      <c r="F3977" t="s">
        <v>38</v>
      </c>
      <c r="G3977">
        <v>149.22999999999999</v>
      </c>
      <c r="H3977" t="s">
        <v>24</v>
      </c>
      <c r="I3977" t="s">
        <v>15</v>
      </c>
      <c r="J3977">
        <v>4.2</v>
      </c>
      <c r="K3977">
        <v>13</v>
      </c>
      <c r="L3977">
        <f t="shared" si="187"/>
        <v>129.83009999999999</v>
      </c>
      <c r="M3977">
        <v>4</v>
      </c>
      <c r="N3977" t="str">
        <f t="shared" si="188"/>
        <v>Regular</v>
      </c>
    </row>
    <row r="3978" spans="1:14" x14ac:dyDescent="0.35">
      <c r="A3978">
        <v>3977</v>
      </c>
      <c r="B3978">
        <v>57</v>
      </c>
      <c r="C3978" t="str">
        <f t="shared" si="186"/>
        <v>Adult</v>
      </c>
      <c r="D3978" t="s">
        <v>11</v>
      </c>
      <c r="E3978" t="s">
        <v>33</v>
      </c>
      <c r="F3978" t="s">
        <v>34</v>
      </c>
      <c r="G3978">
        <v>222.63</v>
      </c>
      <c r="H3978" t="s">
        <v>14</v>
      </c>
      <c r="I3978" t="s">
        <v>15</v>
      </c>
      <c r="J3978">
        <v>3.9</v>
      </c>
      <c r="K3978">
        <v>14</v>
      </c>
      <c r="L3978">
        <f t="shared" si="187"/>
        <v>191.46179999999998</v>
      </c>
      <c r="M3978">
        <v>2</v>
      </c>
      <c r="N3978" t="str">
        <f t="shared" si="188"/>
        <v>New</v>
      </c>
    </row>
    <row r="3979" spans="1:14" x14ac:dyDescent="0.35">
      <c r="A3979">
        <v>3978</v>
      </c>
      <c r="B3979">
        <v>60</v>
      </c>
      <c r="C3979" t="str">
        <f t="shared" si="186"/>
        <v>Adult</v>
      </c>
      <c r="D3979" t="s">
        <v>11</v>
      </c>
      <c r="E3979" t="s">
        <v>33</v>
      </c>
      <c r="F3979" t="s">
        <v>40</v>
      </c>
      <c r="G3979">
        <v>180.72</v>
      </c>
      <c r="H3979" t="s">
        <v>31</v>
      </c>
      <c r="I3979" t="s">
        <v>15</v>
      </c>
      <c r="J3979">
        <v>3.7</v>
      </c>
      <c r="K3979">
        <v>4</v>
      </c>
      <c r="L3979">
        <f t="shared" si="187"/>
        <v>173.49119999999999</v>
      </c>
      <c r="M3979">
        <v>2</v>
      </c>
      <c r="N3979" t="str">
        <f t="shared" si="188"/>
        <v>New</v>
      </c>
    </row>
    <row r="3980" spans="1:14" x14ac:dyDescent="0.35">
      <c r="A3980">
        <v>3979</v>
      </c>
      <c r="B3980">
        <v>61</v>
      </c>
      <c r="C3980" t="str">
        <f t="shared" si="186"/>
        <v>Senior</v>
      </c>
      <c r="D3980" t="s">
        <v>16</v>
      </c>
      <c r="E3980" t="s">
        <v>33</v>
      </c>
      <c r="F3980" t="s">
        <v>38</v>
      </c>
      <c r="G3980">
        <v>223.63</v>
      </c>
      <c r="H3980" t="s">
        <v>19</v>
      </c>
      <c r="I3980" t="s">
        <v>15</v>
      </c>
      <c r="J3980">
        <v>2.4</v>
      </c>
      <c r="K3980">
        <v>10</v>
      </c>
      <c r="L3980">
        <f t="shared" si="187"/>
        <v>201.267</v>
      </c>
      <c r="M3980">
        <v>5</v>
      </c>
      <c r="N3980" t="str">
        <f t="shared" si="188"/>
        <v>Regular</v>
      </c>
    </row>
    <row r="3981" spans="1:14" x14ac:dyDescent="0.35">
      <c r="A3981">
        <v>3980</v>
      </c>
      <c r="B3981">
        <v>43</v>
      </c>
      <c r="C3981" t="str">
        <f t="shared" si="186"/>
        <v>Adult</v>
      </c>
      <c r="D3981" t="s">
        <v>16</v>
      </c>
      <c r="E3981" t="s">
        <v>27</v>
      </c>
      <c r="F3981" t="s">
        <v>28</v>
      </c>
      <c r="G3981">
        <v>2843.54</v>
      </c>
      <c r="H3981" t="s">
        <v>14</v>
      </c>
      <c r="I3981" t="s">
        <v>15</v>
      </c>
      <c r="J3981">
        <v>4.7</v>
      </c>
      <c r="K3981">
        <v>12</v>
      </c>
      <c r="L3981">
        <f t="shared" si="187"/>
        <v>2502.3152</v>
      </c>
      <c r="M3981">
        <v>6</v>
      </c>
      <c r="N3981" t="str">
        <f t="shared" si="188"/>
        <v>Regular</v>
      </c>
    </row>
    <row r="3982" spans="1:14" x14ac:dyDescent="0.35">
      <c r="A3982">
        <v>3981</v>
      </c>
      <c r="B3982">
        <v>21</v>
      </c>
      <c r="C3982" t="str">
        <f t="shared" si="186"/>
        <v>Youth</v>
      </c>
      <c r="D3982" t="s">
        <v>16</v>
      </c>
      <c r="E3982" t="s">
        <v>20</v>
      </c>
      <c r="F3982" t="s">
        <v>21</v>
      </c>
      <c r="G3982">
        <v>84.88</v>
      </c>
      <c r="H3982" t="s">
        <v>14</v>
      </c>
      <c r="I3982" t="s">
        <v>37</v>
      </c>
      <c r="J3982">
        <v>3.5</v>
      </c>
      <c r="K3982">
        <v>12</v>
      </c>
      <c r="L3982">
        <f t="shared" si="187"/>
        <v>74.694400000000002</v>
      </c>
      <c r="M3982">
        <v>6</v>
      </c>
      <c r="N3982" t="str">
        <f t="shared" si="188"/>
        <v>Regular</v>
      </c>
    </row>
    <row r="3983" spans="1:14" x14ac:dyDescent="0.35">
      <c r="A3983">
        <v>3982</v>
      </c>
      <c r="B3983">
        <v>31</v>
      </c>
      <c r="C3983" t="str">
        <f t="shared" si="186"/>
        <v>Adult</v>
      </c>
      <c r="D3983" t="s">
        <v>16</v>
      </c>
      <c r="E3983" t="s">
        <v>27</v>
      </c>
      <c r="F3983" t="s">
        <v>28</v>
      </c>
      <c r="G3983">
        <v>2371.4899999999998</v>
      </c>
      <c r="H3983" t="s">
        <v>24</v>
      </c>
      <c r="I3983" t="s">
        <v>15</v>
      </c>
      <c r="J3983">
        <v>4.5</v>
      </c>
      <c r="K3983">
        <v>8</v>
      </c>
      <c r="L3983">
        <f t="shared" si="187"/>
        <v>2181.7707999999998</v>
      </c>
      <c r="M3983">
        <v>4</v>
      </c>
      <c r="N3983" t="str">
        <f t="shared" si="188"/>
        <v>Regular</v>
      </c>
    </row>
    <row r="3984" spans="1:14" x14ac:dyDescent="0.35">
      <c r="A3984">
        <v>3983</v>
      </c>
      <c r="B3984">
        <v>62</v>
      </c>
      <c r="C3984" t="str">
        <f t="shared" si="186"/>
        <v>Senior</v>
      </c>
      <c r="D3984" t="s">
        <v>16</v>
      </c>
      <c r="E3984" t="s">
        <v>20</v>
      </c>
      <c r="F3984" t="s">
        <v>39</v>
      </c>
      <c r="G3984">
        <v>150.02000000000001</v>
      </c>
      <c r="H3984" t="s">
        <v>14</v>
      </c>
      <c r="I3984" t="s">
        <v>15</v>
      </c>
      <c r="J3984">
        <v>3.8</v>
      </c>
      <c r="K3984">
        <v>20</v>
      </c>
      <c r="L3984">
        <f t="shared" si="187"/>
        <v>120.01600000000002</v>
      </c>
      <c r="M3984">
        <v>10</v>
      </c>
      <c r="N3984" t="str">
        <f t="shared" si="188"/>
        <v>Loyal</v>
      </c>
    </row>
    <row r="3985" spans="1:14" x14ac:dyDescent="0.35">
      <c r="A3985">
        <v>3984</v>
      </c>
      <c r="B3985">
        <v>63</v>
      </c>
      <c r="C3985" t="str">
        <f t="shared" si="186"/>
        <v>Senior</v>
      </c>
      <c r="D3985" t="s">
        <v>16</v>
      </c>
      <c r="E3985" t="s">
        <v>17</v>
      </c>
      <c r="F3985" t="s">
        <v>42</v>
      </c>
      <c r="G3985">
        <v>136.77000000000001</v>
      </c>
      <c r="H3985" t="s">
        <v>24</v>
      </c>
      <c r="I3985" t="s">
        <v>15</v>
      </c>
      <c r="J3985">
        <v>4.5</v>
      </c>
      <c r="K3985">
        <v>14</v>
      </c>
      <c r="L3985">
        <f t="shared" si="187"/>
        <v>117.62220000000001</v>
      </c>
      <c r="M3985">
        <v>2</v>
      </c>
      <c r="N3985" t="str">
        <f t="shared" si="188"/>
        <v>New</v>
      </c>
    </row>
    <row r="3986" spans="1:14" x14ac:dyDescent="0.35">
      <c r="A3986">
        <v>3985</v>
      </c>
      <c r="B3986">
        <v>66</v>
      </c>
      <c r="C3986" t="str">
        <f t="shared" si="186"/>
        <v>Senior</v>
      </c>
      <c r="D3986" t="s">
        <v>16</v>
      </c>
      <c r="E3986" t="s">
        <v>27</v>
      </c>
      <c r="F3986" t="s">
        <v>32</v>
      </c>
      <c r="G3986">
        <v>2709.03</v>
      </c>
      <c r="H3986" t="s">
        <v>31</v>
      </c>
      <c r="I3986" t="s">
        <v>15</v>
      </c>
      <c r="J3986">
        <v>2</v>
      </c>
      <c r="K3986">
        <v>20</v>
      </c>
      <c r="L3986">
        <f t="shared" si="187"/>
        <v>2167.2240000000002</v>
      </c>
      <c r="M3986">
        <v>10</v>
      </c>
      <c r="N3986" t="str">
        <f t="shared" si="188"/>
        <v>Loyal</v>
      </c>
    </row>
    <row r="3987" spans="1:14" x14ac:dyDescent="0.35">
      <c r="A3987">
        <v>3986</v>
      </c>
      <c r="B3987">
        <v>31</v>
      </c>
      <c r="C3987" t="str">
        <f t="shared" si="186"/>
        <v>Adult</v>
      </c>
      <c r="D3987" t="s">
        <v>11</v>
      </c>
      <c r="E3987" t="s">
        <v>41</v>
      </c>
      <c r="F3987" t="s">
        <v>44</v>
      </c>
      <c r="G3987">
        <v>147.94999999999999</v>
      </c>
      <c r="H3987" t="s">
        <v>19</v>
      </c>
      <c r="I3987" t="s">
        <v>15</v>
      </c>
      <c r="J3987">
        <v>3.5</v>
      </c>
      <c r="K3987">
        <v>17</v>
      </c>
      <c r="L3987">
        <f t="shared" si="187"/>
        <v>122.79849999999999</v>
      </c>
      <c r="M3987">
        <v>6</v>
      </c>
      <c r="N3987" t="str">
        <f t="shared" si="188"/>
        <v>Regular</v>
      </c>
    </row>
    <row r="3988" spans="1:14" x14ac:dyDescent="0.35">
      <c r="A3988">
        <v>3987</v>
      </c>
      <c r="B3988">
        <v>42</v>
      </c>
      <c r="C3988" t="str">
        <f t="shared" si="186"/>
        <v>Adult</v>
      </c>
      <c r="D3988" t="s">
        <v>16</v>
      </c>
      <c r="E3988" t="s">
        <v>20</v>
      </c>
      <c r="F3988" t="s">
        <v>21</v>
      </c>
      <c r="G3988">
        <v>114.5</v>
      </c>
      <c r="H3988" t="s">
        <v>19</v>
      </c>
      <c r="I3988" t="s">
        <v>15</v>
      </c>
      <c r="J3988">
        <v>2.8</v>
      </c>
      <c r="K3988">
        <v>14</v>
      </c>
      <c r="L3988">
        <f t="shared" si="187"/>
        <v>98.47</v>
      </c>
      <c r="M3988">
        <v>2</v>
      </c>
      <c r="N3988" t="str">
        <f t="shared" si="188"/>
        <v>New</v>
      </c>
    </row>
    <row r="3989" spans="1:14" x14ac:dyDescent="0.35">
      <c r="A3989">
        <v>3988</v>
      </c>
      <c r="B3989">
        <v>34</v>
      </c>
      <c r="C3989" t="str">
        <f t="shared" si="186"/>
        <v>Adult</v>
      </c>
      <c r="D3989" t="s">
        <v>16</v>
      </c>
      <c r="E3989" t="s">
        <v>20</v>
      </c>
      <c r="F3989" t="s">
        <v>39</v>
      </c>
      <c r="G3989">
        <v>238.61</v>
      </c>
      <c r="H3989" t="s">
        <v>31</v>
      </c>
      <c r="I3989" t="s">
        <v>15</v>
      </c>
      <c r="J3989">
        <v>3.9</v>
      </c>
      <c r="K3989">
        <v>11</v>
      </c>
      <c r="L3989">
        <f t="shared" si="187"/>
        <v>212.36290000000002</v>
      </c>
      <c r="M3989">
        <v>3</v>
      </c>
      <c r="N3989" t="str">
        <f t="shared" si="188"/>
        <v>New</v>
      </c>
    </row>
    <row r="3990" spans="1:14" x14ac:dyDescent="0.35">
      <c r="A3990">
        <v>3989</v>
      </c>
      <c r="B3990">
        <v>61</v>
      </c>
      <c r="C3990" t="str">
        <f t="shared" si="186"/>
        <v>Senior</v>
      </c>
      <c r="D3990" t="s">
        <v>16</v>
      </c>
      <c r="E3990" t="s">
        <v>27</v>
      </c>
      <c r="F3990" t="s">
        <v>28</v>
      </c>
      <c r="G3990">
        <v>2513.3200000000002</v>
      </c>
      <c r="H3990" t="s">
        <v>24</v>
      </c>
      <c r="I3990" t="s">
        <v>15</v>
      </c>
      <c r="J3990">
        <v>3.6</v>
      </c>
      <c r="K3990">
        <v>6</v>
      </c>
      <c r="L3990">
        <f t="shared" si="187"/>
        <v>2362.5208000000002</v>
      </c>
      <c r="M3990">
        <v>3</v>
      </c>
      <c r="N3990" t="str">
        <f t="shared" si="188"/>
        <v>New</v>
      </c>
    </row>
    <row r="3991" spans="1:14" x14ac:dyDescent="0.35">
      <c r="A3991">
        <v>3990</v>
      </c>
      <c r="B3991">
        <v>47</v>
      </c>
      <c r="C3991" t="str">
        <f t="shared" si="186"/>
        <v>Adult</v>
      </c>
      <c r="D3991" t="s">
        <v>16</v>
      </c>
      <c r="E3991" t="s">
        <v>20</v>
      </c>
      <c r="F3991" t="s">
        <v>36</v>
      </c>
      <c r="G3991">
        <v>221.85</v>
      </c>
      <c r="H3991" t="s">
        <v>19</v>
      </c>
      <c r="I3991" t="s">
        <v>15</v>
      </c>
      <c r="J3991">
        <v>4.4000000000000004</v>
      </c>
      <c r="K3991">
        <v>16</v>
      </c>
      <c r="L3991">
        <f t="shared" si="187"/>
        <v>186.35399999999998</v>
      </c>
      <c r="M3991">
        <v>3</v>
      </c>
      <c r="N3991" t="str">
        <f t="shared" si="188"/>
        <v>New</v>
      </c>
    </row>
    <row r="3992" spans="1:14" x14ac:dyDescent="0.35">
      <c r="A3992">
        <v>3991</v>
      </c>
      <c r="B3992">
        <v>39</v>
      </c>
      <c r="C3992" t="str">
        <f t="shared" si="186"/>
        <v>Adult</v>
      </c>
      <c r="D3992" t="s">
        <v>16</v>
      </c>
      <c r="E3992" t="s">
        <v>33</v>
      </c>
      <c r="F3992" t="s">
        <v>40</v>
      </c>
      <c r="G3992">
        <v>217.91</v>
      </c>
      <c r="H3992" t="s">
        <v>19</v>
      </c>
      <c r="I3992" t="s">
        <v>15</v>
      </c>
      <c r="J3992">
        <v>3</v>
      </c>
      <c r="K3992">
        <v>20</v>
      </c>
      <c r="L3992">
        <f t="shared" si="187"/>
        <v>174.328</v>
      </c>
      <c r="M3992">
        <v>5</v>
      </c>
      <c r="N3992" t="str">
        <f t="shared" si="188"/>
        <v>Regular</v>
      </c>
    </row>
    <row r="3993" spans="1:14" x14ac:dyDescent="0.35">
      <c r="A3993">
        <v>3992</v>
      </c>
      <c r="B3993">
        <v>29</v>
      </c>
      <c r="C3993" t="str">
        <f t="shared" si="186"/>
        <v>Youth</v>
      </c>
      <c r="D3993" t="s">
        <v>16</v>
      </c>
      <c r="E3993" t="s">
        <v>33</v>
      </c>
      <c r="F3993" t="s">
        <v>40</v>
      </c>
      <c r="G3993">
        <v>88.9</v>
      </c>
      <c r="H3993" t="s">
        <v>31</v>
      </c>
      <c r="I3993" t="s">
        <v>37</v>
      </c>
      <c r="J3993">
        <v>2.8</v>
      </c>
      <c r="K3993">
        <v>15</v>
      </c>
      <c r="L3993">
        <f t="shared" si="187"/>
        <v>75.564999999999998</v>
      </c>
      <c r="M3993">
        <v>5</v>
      </c>
      <c r="N3993" t="str">
        <f t="shared" si="188"/>
        <v>Regular</v>
      </c>
    </row>
    <row r="3994" spans="1:14" x14ac:dyDescent="0.35">
      <c r="A3994">
        <v>3993</v>
      </c>
      <c r="B3994">
        <v>49</v>
      </c>
      <c r="C3994" t="str">
        <f t="shared" si="186"/>
        <v>Adult</v>
      </c>
      <c r="D3994" t="s">
        <v>11</v>
      </c>
      <c r="E3994" t="s">
        <v>22</v>
      </c>
      <c r="F3994" t="s">
        <v>23</v>
      </c>
      <c r="G3994">
        <v>248.98</v>
      </c>
      <c r="H3994" t="s">
        <v>19</v>
      </c>
      <c r="I3994" t="s">
        <v>15</v>
      </c>
      <c r="J3994">
        <v>3.8</v>
      </c>
      <c r="K3994">
        <v>23</v>
      </c>
      <c r="L3994">
        <f t="shared" si="187"/>
        <v>191.71459999999999</v>
      </c>
      <c r="M3994">
        <v>9</v>
      </c>
      <c r="N3994" t="str">
        <f t="shared" si="188"/>
        <v>Loyal</v>
      </c>
    </row>
    <row r="3995" spans="1:14" x14ac:dyDescent="0.35">
      <c r="A3995">
        <v>3994</v>
      </c>
      <c r="B3995">
        <v>28</v>
      </c>
      <c r="C3995" t="str">
        <f t="shared" si="186"/>
        <v>Youth</v>
      </c>
      <c r="D3995" t="s">
        <v>11</v>
      </c>
      <c r="E3995" t="s">
        <v>22</v>
      </c>
      <c r="F3995" t="s">
        <v>23</v>
      </c>
      <c r="G3995">
        <v>225.31</v>
      </c>
      <c r="H3995" t="s">
        <v>24</v>
      </c>
      <c r="I3995" t="s">
        <v>15</v>
      </c>
      <c r="J3995">
        <v>3.9</v>
      </c>
      <c r="K3995">
        <v>10</v>
      </c>
      <c r="L3995">
        <f t="shared" si="187"/>
        <v>202.779</v>
      </c>
      <c r="M3995">
        <v>5</v>
      </c>
      <c r="N3995" t="str">
        <f t="shared" si="188"/>
        <v>Regular</v>
      </c>
    </row>
    <row r="3996" spans="1:14" x14ac:dyDescent="0.35">
      <c r="A3996">
        <v>3995</v>
      </c>
      <c r="B3996">
        <v>23</v>
      </c>
      <c r="C3996" t="str">
        <f t="shared" si="186"/>
        <v>Youth</v>
      </c>
      <c r="D3996" t="s">
        <v>11</v>
      </c>
      <c r="E3996" t="s">
        <v>12</v>
      </c>
      <c r="F3996" t="s">
        <v>13</v>
      </c>
      <c r="G3996">
        <v>163.88</v>
      </c>
      <c r="H3996" t="s">
        <v>19</v>
      </c>
      <c r="I3996" t="s">
        <v>15</v>
      </c>
      <c r="J3996">
        <v>4.7</v>
      </c>
      <c r="K3996">
        <v>12</v>
      </c>
      <c r="L3996">
        <f t="shared" si="187"/>
        <v>144.21439999999998</v>
      </c>
      <c r="M3996">
        <v>6</v>
      </c>
      <c r="N3996" t="str">
        <f t="shared" si="188"/>
        <v>Regular</v>
      </c>
    </row>
    <row r="3997" spans="1:14" x14ac:dyDescent="0.35">
      <c r="A3997">
        <v>3996</v>
      </c>
      <c r="B3997">
        <v>28</v>
      </c>
      <c r="C3997" t="str">
        <f t="shared" si="186"/>
        <v>Youth</v>
      </c>
      <c r="D3997" t="s">
        <v>11</v>
      </c>
      <c r="E3997" t="s">
        <v>12</v>
      </c>
      <c r="F3997" t="s">
        <v>13</v>
      </c>
      <c r="G3997">
        <v>139.87</v>
      </c>
      <c r="H3997" t="s">
        <v>31</v>
      </c>
      <c r="I3997" t="s">
        <v>15</v>
      </c>
      <c r="J3997">
        <v>4.8</v>
      </c>
      <c r="K3997">
        <v>15</v>
      </c>
      <c r="L3997">
        <f t="shared" si="187"/>
        <v>118.8895</v>
      </c>
      <c r="M3997">
        <v>5</v>
      </c>
      <c r="N3997" t="str">
        <f t="shared" si="188"/>
        <v>Regular</v>
      </c>
    </row>
    <row r="3998" spans="1:14" x14ac:dyDescent="0.35">
      <c r="A3998">
        <v>3997</v>
      </c>
      <c r="B3998">
        <v>67</v>
      </c>
      <c r="C3998" t="str">
        <f t="shared" si="186"/>
        <v>Senior</v>
      </c>
      <c r="D3998" t="s">
        <v>11</v>
      </c>
      <c r="E3998" t="s">
        <v>12</v>
      </c>
      <c r="F3998" t="s">
        <v>13</v>
      </c>
      <c r="G3998">
        <v>133.21</v>
      </c>
      <c r="H3998" t="s">
        <v>31</v>
      </c>
      <c r="I3998" t="s">
        <v>15</v>
      </c>
      <c r="J3998">
        <v>4.5999999999999996</v>
      </c>
      <c r="K3998">
        <v>12</v>
      </c>
      <c r="L3998">
        <f t="shared" si="187"/>
        <v>117.2248</v>
      </c>
      <c r="M3998">
        <v>6</v>
      </c>
      <c r="N3998" t="str">
        <f t="shared" si="188"/>
        <v>Regular</v>
      </c>
    </row>
    <row r="3999" spans="1:14" x14ac:dyDescent="0.35">
      <c r="A3999">
        <v>3998</v>
      </c>
      <c r="B3999">
        <v>63</v>
      </c>
      <c r="C3999" t="str">
        <f t="shared" si="186"/>
        <v>Senior</v>
      </c>
      <c r="D3999" t="s">
        <v>11</v>
      </c>
      <c r="E3999" t="s">
        <v>12</v>
      </c>
      <c r="F3999" t="s">
        <v>13</v>
      </c>
      <c r="G3999">
        <v>138.94</v>
      </c>
      <c r="H3999" t="s">
        <v>31</v>
      </c>
      <c r="I3999" t="s">
        <v>15</v>
      </c>
      <c r="J3999">
        <v>3.8</v>
      </c>
      <c r="K3999">
        <v>18</v>
      </c>
      <c r="L3999">
        <f t="shared" si="187"/>
        <v>113.9308</v>
      </c>
      <c r="M3999">
        <v>9</v>
      </c>
      <c r="N3999" t="str">
        <f t="shared" si="188"/>
        <v>Loyal</v>
      </c>
    </row>
    <row r="4000" spans="1:14" x14ac:dyDescent="0.35">
      <c r="A4000">
        <v>3999</v>
      </c>
      <c r="B4000">
        <v>38</v>
      </c>
      <c r="C4000" t="str">
        <f t="shared" si="186"/>
        <v>Adult</v>
      </c>
      <c r="D4000" t="s">
        <v>11</v>
      </c>
      <c r="E4000" t="s">
        <v>20</v>
      </c>
      <c r="F4000" t="s">
        <v>39</v>
      </c>
      <c r="G4000">
        <v>52.35</v>
      </c>
      <c r="H4000" t="s">
        <v>19</v>
      </c>
      <c r="I4000" t="s">
        <v>15</v>
      </c>
      <c r="J4000">
        <v>4.0999999999999996</v>
      </c>
      <c r="K4000">
        <v>21</v>
      </c>
      <c r="L4000">
        <f t="shared" si="187"/>
        <v>41.356500000000004</v>
      </c>
      <c r="M4000">
        <v>8</v>
      </c>
      <c r="N4000" t="str">
        <f t="shared" si="188"/>
        <v>Loyal</v>
      </c>
    </row>
    <row r="4001" spans="1:14" x14ac:dyDescent="0.35">
      <c r="A4001">
        <v>4000</v>
      </c>
      <c r="B4001">
        <v>41</v>
      </c>
      <c r="C4001" t="str">
        <f t="shared" si="186"/>
        <v>Adult</v>
      </c>
      <c r="D4001" t="s">
        <v>16</v>
      </c>
      <c r="E4001" t="s">
        <v>17</v>
      </c>
      <c r="F4001" t="s">
        <v>42</v>
      </c>
      <c r="G4001">
        <v>36.25</v>
      </c>
      <c r="H4001" t="s">
        <v>14</v>
      </c>
      <c r="I4001" t="s">
        <v>37</v>
      </c>
      <c r="J4001">
        <v>4.5999999999999996</v>
      </c>
      <c r="K4001">
        <v>18</v>
      </c>
      <c r="L4001">
        <f t="shared" si="187"/>
        <v>29.725000000000001</v>
      </c>
      <c r="M4001">
        <v>4</v>
      </c>
      <c r="N4001" t="str">
        <f t="shared" si="188"/>
        <v>Regular</v>
      </c>
    </row>
    <row r="4002" spans="1:14" x14ac:dyDescent="0.35">
      <c r="A4002">
        <v>4001</v>
      </c>
      <c r="B4002">
        <v>50</v>
      </c>
      <c r="C4002" t="str">
        <f t="shared" si="186"/>
        <v>Adult</v>
      </c>
      <c r="D4002" t="s">
        <v>16</v>
      </c>
      <c r="E4002" t="s">
        <v>17</v>
      </c>
      <c r="F4002" t="s">
        <v>35</v>
      </c>
      <c r="G4002">
        <v>96.94</v>
      </c>
      <c r="H4002" t="s">
        <v>31</v>
      </c>
      <c r="I4002" t="s">
        <v>37</v>
      </c>
      <c r="J4002">
        <v>3.6</v>
      </c>
      <c r="K4002">
        <v>6</v>
      </c>
      <c r="L4002">
        <f t="shared" si="187"/>
        <v>91.123599999999996</v>
      </c>
      <c r="M4002">
        <v>3</v>
      </c>
      <c r="N4002" t="str">
        <f t="shared" si="188"/>
        <v>New</v>
      </c>
    </row>
    <row r="4003" spans="1:14" x14ac:dyDescent="0.35">
      <c r="A4003">
        <v>4002</v>
      </c>
      <c r="B4003">
        <v>65</v>
      </c>
      <c r="C4003" t="str">
        <f t="shared" si="186"/>
        <v>Senior</v>
      </c>
      <c r="D4003" t="s">
        <v>11</v>
      </c>
      <c r="E4003" t="s">
        <v>41</v>
      </c>
      <c r="F4003" t="s">
        <v>42</v>
      </c>
      <c r="G4003">
        <v>170.25</v>
      </c>
      <c r="H4003" t="s">
        <v>14</v>
      </c>
      <c r="I4003" t="s">
        <v>15</v>
      </c>
      <c r="J4003">
        <v>4.7</v>
      </c>
      <c r="K4003">
        <v>26</v>
      </c>
      <c r="L4003">
        <f t="shared" si="187"/>
        <v>125.985</v>
      </c>
      <c r="M4003">
        <v>8</v>
      </c>
      <c r="N4003" t="str">
        <f t="shared" si="188"/>
        <v>Loyal</v>
      </c>
    </row>
    <row r="4004" spans="1:14" x14ac:dyDescent="0.35">
      <c r="A4004">
        <v>4003</v>
      </c>
      <c r="B4004">
        <v>49</v>
      </c>
      <c r="C4004" t="str">
        <f t="shared" si="186"/>
        <v>Adult</v>
      </c>
      <c r="D4004" t="s">
        <v>16</v>
      </c>
      <c r="E4004" t="s">
        <v>20</v>
      </c>
      <c r="F4004" t="s">
        <v>39</v>
      </c>
      <c r="G4004">
        <v>190.85</v>
      </c>
      <c r="H4004" t="s">
        <v>19</v>
      </c>
      <c r="I4004" t="s">
        <v>15</v>
      </c>
      <c r="J4004">
        <v>4</v>
      </c>
      <c r="K4004">
        <v>14</v>
      </c>
      <c r="L4004">
        <f t="shared" si="187"/>
        <v>164.131</v>
      </c>
      <c r="M4004">
        <v>7</v>
      </c>
      <c r="N4004" t="str">
        <f t="shared" si="188"/>
        <v>Regular</v>
      </c>
    </row>
    <row r="4005" spans="1:14" x14ac:dyDescent="0.35">
      <c r="A4005">
        <v>4004</v>
      </c>
      <c r="B4005">
        <v>41</v>
      </c>
      <c r="C4005" t="str">
        <f t="shared" si="186"/>
        <v>Adult</v>
      </c>
      <c r="D4005" t="s">
        <v>16</v>
      </c>
      <c r="E4005" t="s">
        <v>17</v>
      </c>
      <c r="F4005" t="s">
        <v>18</v>
      </c>
      <c r="G4005">
        <v>106.08</v>
      </c>
      <c r="H4005" t="s">
        <v>14</v>
      </c>
      <c r="I4005" t="s">
        <v>15</v>
      </c>
      <c r="J4005">
        <v>4.0999999999999996</v>
      </c>
      <c r="K4005">
        <v>9</v>
      </c>
      <c r="L4005">
        <f t="shared" si="187"/>
        <v>96.532800000000009</v>
      </c>
      <c r="M4005">
        <v>2</v>
      </c>
      <c r="N4005" t="str">
        <f t="shared" si="188"/>
        <v>New</v>
      </c>
    </row>
    <row r="4006" spans="1:14" x14ac:dyDescent="0.35">
      <c r="A4006">
        <v>4005</v>
      </c>
      <c r="B4006">
        <v>24</v>
      </c>
      <c r="C4006" t="str">
        <f t="shared" si="186"/>
        <v>Youth</v>
      </c>
      <c r="D4006" t="s">
        <v>11</v>
      </c>
      <c r="E4006" t="s">
        <v>29</v>
      </c>
      <c r="F4006" t="s">
        <v>51</v>
      </c>
      <c r="G4006">
        <v>124.83</v>
      </c>
      <c r="H4006" t="s">
        <v>24</v>
      </c>
      <c r="I4006" t="s">
        <v>15</v>
      </c>
      <c r="J4006">
        <v>2.6</v>
      </c>
      <c r="K4006">
        <v>12</v>
      </c>
      <c r="L4006">
        <f t="shared" si="187"/>
        <v>109.85039999999999</v>
      </c>
      <c r="M4006">
        <v>1</v>
      </c>
      <c r="N4006" t="str">
        <f t="shared" si="188"/>
        <v>New</v>
      </c>
    </row>
    <row r="4007" spans="1:14" x14ac:dyDescent="0.35">
      <c r="A4007">
        <v>4006</v>
      </c>
      <c r="B4007">
        <v>27</v>
      </c>
      <c r="C4007" t="str">
        <f t="shared" si="186"/>
        <v>Youth</v>
      </c>
      <c r="D4007" t="s">
        <v>11</v>
      </c>
      <c r="E4007" t="s">
        <v>29</v>
      </c>
      <c r="F4007" t="s">
        <v>55</v>
      </c>
      <c r="G4007">
        <v>140.07</v>
      </c>
      <c r="H4007" t="s">
        <v>31</v>
      </c>
      <c r="I4007" t="s">
        <v>15</v>
      </c>
      <c r="J4007">
        <v>3.2</v>
      </c>
      <c r="K4007">
        <v>11</v>
      </c>
      <c r="L4007">
        <f t="shared" si="187"/>
        <v>124.6623</v>
      </c>
      <c r="M4007">
        <v>3</v>
      </c>
      <c r="N4007" t="str">
        <f t="shared" si="188"/>
        <v>New</v>
      </c>
    </row>
    <row r="4008" spans="1:14" x14ac:dyDescent="0.35">
      <c r="A4008">
        <v>4007</v>
      </c>
      <c r="B4008">
        <v>50</v>
      </c>
      <c r="C4008" t="str">
        <f t="shared" si="186"/>
        <v>Adult</v>
      </c>
      <c r="D4008" t="s">
        <v>11</v>
      </c>
      <c r="E4008" t="s">
        <v>25</v>
      </c>
      <c r="F4008" t="s">
        <v>26</v>
      </c>
      <c r="G4008">
        <v>72.930000000000007</v>
      </c>
      <c r="H4008" t="s">
        <v>24</v>
      </c>
      <c r="I4008" t="s">
        <v>37</v>
      </c>
      <c r="J4008">
        <v>3.8</v>
      </c>
      <c r="K4008">
        <v>10</v>
      </c>
      <c r="L4008">
        <f t="shared" si="187"/>
        <v>65.637000000000015</v>
      </c>
      <c r="M4008">
        <v>5</v>
      </c>
      <c r="N4008" t="str">
        <f t="shared" si="188"/>
        <v>Regular</v>
      </c>
    </row>
    <row r="4009" spans="1:14" x14ac:dyDescent="0.35">
      <c r="A4009">
        <v>4008</v>
      </c>
      <c r="B4009">
        <v>36</v>
      </c>
      <c r="C4009" t="str">
        <f t="shared" si="186"/>
        <v>Adult</v>
      </c>
      <c r="D4009" t="s">
        <v>11</v>
      </c>
      <c r="E4009" t="s">
        <v>29</v>
      </c>
      <c r="F4009" t="s">
        <v>51</v>
      </c>
      <c r="G4009">
        <v>122.19</v>
      </c>
      <c r="H4009" t="s">
        <v>24</v>
      </c>
      <c r="I4009" t="s">
        <v>15</v>
      </c>
      <c r="J4009">
        <v>3.8</v>
      </c>
      <c r="K4009">
        <v>12</v>
      </c>
      <c r="L4009">
        <f t="shared" si="187"/>
        <v>107.52719999999999</v>
      </c>
      <c r="M4009">
        <v>6</v>
      </c>
      <c r="N4009" t="str">
        <f t="shared" si="188"/>
        <v>Regular</v>
      </c>
    </row>
    <row r="4010" spans="1:14" x14ac:dyDescent="0.35">
      <c r="A4010">
        <v>4009</v>
      </c>
      <c r="B4010">
        <v>52</v>
      </c>
      <c r="C4010" t="str">
        <f t="shared" si="186"/>
        <v>Adult</v>
      </c>
      <c r="D4010" t="s">
        <v>16</v>
      </c>
      <c r="E4010" t="s">
        <v>27</v>
      </c>
      <c r="F4010" t="s">
        <v>32</v>
      </c>
      <c r="G4010">
        <v>1169.3900000000001</v>
      </c>
      <c r="H4010" t="s">
        <v>31</v>
      </c>
      <c r="I4010" t="s">
        <v>15</v>
      </c>
      <c r="J4010">
        <v>3</v>
      </c>
      <c r="K4010">
        <v>20</v>
      </c>
      <c r="L4010">
        <f t="shared" si="187"/>
        <v>935.51200000000017</v>
      </c>
      <c r="M4010">
        <v>10</v>
      </c>
      <c r="N4010" t="str">
        <f t="shared" si="188"/>
        <v>Loyal</v>
      </c>
    </row>
    <row r="4011" spans="1:14" x14ac:dyDescent="0.35">
      <c r="A4011">
        <v>4010</v>
      </c>
      <c r="B4011">
        <v>66</v>
      </c>
      <c r="C4011" t="str">
        <f t="shared" si="186"/>
        <v>Senior</v>
      </c>
      <c r="D4011" t="s">
        <v>11</v>
      </c>
      <c r="E4011" t="s">
        <v>20</v>
      </c>
      <c r="F4011" t="s">
        <v>21</v>
      </c>
      <c r="G4011">
        <v>195.24</v>
      </c>
      <c r="H4011" t="s">
        <v>24</v>
      </c>
      <c r="I4011" t="s">
        <v>15</v>
      </c>
      <c r="J4011">
        <v>5</v>
      </c>
      <c r="K4011">
        <v>18</v>
      </c>
      <c r="L4011">
        <f t="shared" si="187"/>
        <v>160.09680000000003</v>
      </c>
      <c r="M4011">
        <v>4</v>
      </c>
      <c r="N4011" t="str">
        <f t="shared" si="188"/>
        <v>Regular</v>
      </c>
    </row>
    <row r="4012" spans="1:14" x14ac:dyDescent="0.35">
      <c r="A4012">
        <v>4011</v>
      </c>
      <c r="B4012">
        <v>70</v>
      </c>
      <c r="C4012" t="str">
        <f t="shared" si="186"/>
        <v>Senior</v>
      </c>
      <c r="D4012" t="s">
        <v>11</v>
      </c>
      <c r="E4012" t="s">
        <v>41</v>
      </c>
      <c r="F4012" t="s">
        <v>44</v>
      </c>
      <c r="G4012">
        <v>199.98</v>
      </c>
      <c r="H4012" t="s">
        <v>19</v>
      </c>
      <c r="I4012" t="s">
        <v>15</v>
      </c>
      <c r="J4012">
        <v>4</v>
      </c>
      <c r="K4012">
        <v>13</v>
      </c>
      <c r="L4012">
        <f t="shared" si="187"/>
        <v>173.98259999999999</v>
      </c>
      <c r="M4012">
        <v>4</v>
      </c>
      <c r="N4012" t="str">
        <f t="shared" si="188"/>
        <v>Regular</v>
      </c>
    </row>
    <row r="4013" spans="1:14" x14ac:dyDescent="0.35">
      <c r="A4013">
        <v>4012</v>
      </c>
      <c r="B4013">
        <v>44</v>
      </c>
      <c r="C4013" t="str">
        <f t="shared" si="186"/>
        <v>Adult</v>
      </c>
      <c r="D4013" t="s">
        <v>11</v>
      </c>
      <c r="E4013" t="s">
        <v>41</v>
      </c>
      <c r="F4013" t="s">
        <v>44</v>
      </c>
      <c r="G4013">
        <v>81.96</v>
      </c>
      <c r="H4013" t="s">
        <v>14</v>
      </c>
      <c r="I4013" t="s">
        <v>37</v>
      </c>
      <c r="J4013">
        <v>2.7</v>
      </c>
      <c r="K4013">
        <v>10</v>
      </c>
      <c r="L4013">
        <f t="shared" si="187"/>
        <v>73.763999999999996</v>
      </c>
      <c r="M4013">
        <v>5</v>
      </c>
      <c r="N4013" t="str">
        <f t="shared" si="188"/>
        <v>Regular</v>
      </c>
    </row>
    <row r="4014" spans="1:14" x14ac:dyDescent="0.35">
      <c r="A4014">
        <v>4013</v>
      </c>
      <c r="B4014">
        <v>64</v>
      </c>
      <c r="C4014" t="str">
        <f t="shared" si="186"/>
        <v>Senior</v>
      </c>
      <c r="D4014" t="s">
        <v>11</v>
      </c>
      <c r="E4014" t="s">
        <v>41</v>
      </c>
      <c r="F4014" t="s">
        <v>45</v>
      </c>
      <c r="G4014">
        <v>168.24</v>
      </c>
      <c r="H4014" t="s">
        <v>24</v>
      </c>
      <c r="I4014" t="s">
        <v>15</v>
      </c>
      <c r="J4014">
        <v>3.1</v>
      </c>
      <c r="K4014">
        <v>4</v>
      </c>
      <c r="L4014">
        <f t="shared" si="187"/>
        <v>161.5104</v>
      </c>
      <c r="M4014">
        <v>2</v>
      </c>
      <c r="N4014" t="str">
        <f t="shared" si="188"/>
        <v>New</v>
      </c>
    </row>
    <row r="4015" spans="1:14" x14ac:dyDescent="0.35">
      <c r="A4015">
        <v>4014</v>
      </c>
      <c r="B4015">
        <v>37</v>
      </c>
      <c r="C4015" t="str">
        <f t="shared" si="186"/>
        <v>Adult</v>
      </c>
      <c r="D4015" t="s">
        <v>11</v>
      </c>
      <c r="E4015" t="s">
        <v>29</v>
      </c>
      <c r="F4015" t="s">
        <v>30</v>
      </c>
      <c r="G4015">
        <v>38</v>
      </c>
      <c r="H4015" t="s">
        <v>14</v>
      </c>
      <c r="I4015" t="s">
        <v>15</v>
      </c>
      <c r="J4015">
        <v>4</v>
      </c>
      <c r="K4015">
        <v>16</v>
      </c>
      <c r="L4015">
        <f t="shared" si="187"/>
        <v>31.919999999999998</v>
      </c>
      <c r="M4015">
        <v>8</v>
      </c>
      <c r="N4015" t="str">
        <f t="shared" si="188"/>
        <v>Loyal</v>
      </c>
    </row>
    <row r="4016" spans="1:14" x14ac:dyDescent="0.35">
      <c r="A4016">
        <v>4015</v>
      </c>
      <c r="B4016">
        <v>36</v>
      </c>
      <c r="C4016" t="str">
        <f t="shared" si="186"/>
        <v>Adult</v>
      </c>
      <c r="D4016" t="s">
        <v>16</v>
      </c>
      <c r="E4016" t="s">
        <v>20</v>
      </c>
      <c r="F4016" t="s">
        <v>21</v>
      </c>
      <c r="G4016">
        <v>37.32</v>
      </c>
      <c r="H4016" t="s">
        <v>24</v>
      </c>
      <c r="I4016" t="s">
        <v>15</v>
      </c>
      <c r="J4016">
        <v>5</v>
      </c>
      <c r="K4016">
        <v>23</v>
      </c>
      <c r="L4016">
        <f t="shared" si="187"/>
        <v>28.7364</v>
      </c>
      <c r="M4016">
        <v>9</v>
      </c>
      <c r="N4016" t="str">
        <f t="shared" si="188"/>
        <v>Loyal</v>
      </c>
    </row>
    <row r="4017" spans="1:14" x14ac:dyDescent="0.35">
      <c r="A4017">
        <v>4016</v>
      </c>
      <c r="B4017">
        <v>58</v>
      </c>
      <c r="C4017" t="str">
        <f t="shared" si="186"/>
        <v>Adult</v>
      </c>
      <c r="D4017" t="s">
        <v>11</v>
      </c>
      <c r="E4017" t="s">
        <v>12</v>
      </c>
      <c r="F4017" t="s">
        <v>56</v>
      </c>
      <c r="G4017">
        <v>152.99</v>
      </c>
      <c r="H4017" t="s">
        <v>31</v>
      </c>
      <c r="I4017" t="s">
        <v>15</v>
      </c>
      <c r="J4017">
        <v>3.2</v>
      </c>
      <c r="K4017">
        <v>17</v>
      </c>
      <c r="L4017">
        <f t="shared" si="187"/>
        <v>126.9817</v>
      </c>
      <c r="M4017">
        <v>6</v>
      </c>
      <c r="N4017" t="str">
        <f t="shared" si="188"/>
        <v>Regular</v>
      </c>
    </row>
    <row r="4018" spans="1:14" x14ac:dyDescent="0.35">
      <c r="A4018">
        <v>4017</v>
      </c>
      <c r="B4018">
        <v>65</v>
      </c>
      <c r="C4018" t="str">
        <f t="shared" si="186"/>
        <v>Senior</v>
      </c>
      <c r="D4018" t="s">
        <v>11</v>
      </c>
      <c r="E4018" t="s">
        <v>12</v>
      </c>
      <c r="F4018" t="s">
        <v>56</v>
      </c>
      <c r="G4018">
        <v>88.31</v>
      </c>
      <c r="H4018" t="s">
        <v>14</v>
      </c>
      <c r="I4018" t="s">
        <v>15</v>
      </c>
      <c r="J4018">
        <v>3.8</v>
      </c>
      <c r="K4018">
        <v>18</v>
      </c>
      <c r="L4018">
        <f t="shared" si="187"/>
        <v>72.414200000000008</v>
      </c>
      <c r="M4018">
        <v>4</v>
      </c>
      <c r="N4018" t="str">
        <f t="shared" si="188"/>
        <v>Regular</v>
      </c>
    </row>
    <row r="4019" spans="1:14" x14ac:dyDescent="0.35">
      <c r="A4019">
        <v>4018</v>
      </c>
      <c r="B4019">
        <v>35</v>
      </c>
      <c r="C4019" t="str">
        <f t="shared" si="186"/>
        <v>Adult</v>
      </c>
      <c r="D4019" t="s">
        <v>16</v>
      </c>
      <c r="E4019" t="s">
        <v>17</v>
      </c>
      <c r="F4019" t="s">
        <v>18</v>
      </c>
      <c r="G4019">
        <v>49.5</v>
      </c>
      <c r="H4019" t="s">
        <v>19</v>
      </c>
      <c r="I4019" t="s">
        <v>37</v>
      </c>
      <c r="J4019">
        <v>4.5999999999999996</v>
      </c>
      <c r="K4019">
        <v>18</v>
      </c>
      <c r="L4019">
        <f t="shared" si="187"/>
        <v>40.590000000000003</v>
      </c>
      <c r="M4019">
        <v>4</v>
      </c>
      <c r="N4019" t="str">
        <f t="shared" si="188"/>
        <v>Regular</v>
      </c>
    </row>
    <row r="4020" spans="1:14" x14ac:dyDescent="0.35">
      <c r="A4020">
        <v>4019</v>
      </c>
      <c r="B4020">
        <v>41</v>
      </c>
      <c r="C4020" t="str">
        <f t="shared" si="186"/>
        <v>Adult</v>
      </c>
      <c r="D4020" t="s">
        <v>16</v>
      </c>
      <c r="E4020" t="s">
        <v>20</v>
      </c>
      <c r="F4020" t="s">
        <v>21</v>
      </c>
      <c r="G4020">
        <v>201</v>
      </c>
      <c r="H4020" t="s">
        <v>31</v>
      </c>
      <c r="I4020" t="s">
        <v>15</v>
      </c>
      <c r="J4020">
        <v>4.5999999999999996</v>
      </c>
      <c r="K4020">
        <v>4</v>
      </c>
      <c r="L4020">
        <f t="shared" si="187"/>
        <v>192.95999999999998</v>
      </c>
      <c r="M4020">
        <v>2</v>
      </c>
      <c r="N4020" t="str">
        <f t="shared" si="188"/>
        <v>New</v>
      </c>
    </row>
    <row r="4021" spans="1:14" x14ac:dyDescent="0.35">
      <c r="A4021">
        <v>4020</v>
      </c>
      <c r="B4021">
        <v>52</v>
      </c>
      <c r="C4021" t="str">
        <f t="shared" si="186"/>
        <v>Adult</v>
      </c>
      <c r="D4021" t="s">
        <v>11</v>
      </c>
      <c r="E4021" t="s">
        <v>12</v>
      </c>
      <c r="F4021" t="s">
        <v>56</v>
      </c>
      <c r="G4021">
        <v>85.67</v>
      </c>
      <c r="H4021" t="s">
        <v>31</v>
      </c>
      <c r="I4021" t="s">
        <v>37</v>
      </c>
      <c r="J4021">
        <v>2.7</v>
      </c>
      <c r="K4021">
        <v>8</v>
      </c>
      <c r="L4021">
        <f t="shared" si="187"/>
        <v>78.816400000000002</v>
      </c>
      <c r="M4021">
        <v>4</v>
      </c>
      <c r="N4021" t="str">
        <f t="shared" si="188"/>
        <v>Regular</v>
      </c>
    </row>
    <row r="4022" spans="1:14" x14ac:dyDescent="0.35">
      <c r="A4022">
        <v>4021</v>
      </c>
      <c r="B4022">
        <v>41</v>
      </c>
      <c r="C4022" t="str">
        <f t="shared" si="186"/>
        <v>Adult</v>
      </c>
      <c r="D4022" t="s">
        <v>16</v>
      </c>
      <c r="E4022" t="s">
        <v>25</v>
      </c>
      <c r="F4022" t="s">
        <v>26</v>
      </c>
      <c r="G4022">
        <v>35.58</v>
      </c>
      <c r="H4022" t="s">
        <v>24</v>
      </c>
      <c r="I4022" t="s">
        <v>15</v>
      </c>
      <c r="J4022">
        <v>4.4000000000000004</v>
      </c>
      <c r="K4022">
        <v>24</v>
      </c>
      <c r="L4022">
        <f t="shared" si="187"/>
        <v>27.040799999999997</v>
      </c>
      <c r="M4022">
        <v>7</v>
      </c>
      <c r="N4022" t="str">
        <f t="shared" si="188"/>
        <v>Regular</v>
      </c>
    </row>
    <row r="4023" spans="1:14" x14ac:dyDescent="0.35">
      <c r="A4023">
        <v>4022</v>
      </c>
      <c r="B4023">
        <v>28</v>
      </c>
      <c r="C4023" t="str">
        <f t="shared" si="186"/>
        <v>Youth</v>
      </c>
      <c r="D4023" t="s">
        <v>11</v>
      </c>
      <c r="E4023" t="s">
        <v>29</v>
      </c>
      <c r="F4023" t="s">
        <v>55</v>
      </c>
      <c r="G4023">
        <v>132.91</v>
      </c>
      <c r="H4023" t="s">
        <v>19</v>
      </c>
      <c r="I4023" t="s">
        <v>15</v>
      </c>
      <c r="J4023">
        <v>3.4</v>
      </c>
      <c r="K4023">
        <v>10</v>
      </c>
      <c r="L4023">
        <f t="shared" si="187"/>
        <v>119.619</v>
      </c>
      <c r="M4023">
        <v>5</v>
      </c>
      <c r="N4023" t="str">
        <f t="shared" si="188"/>
        <v>Regular</v>
      </c>
    </row>
    <row r="4024" spans="1:14" x14ac:dyDescent="0.35">
      <c r="A4024">
        <v>4023</v>
      </c>
      <c r="B4024">
        <v>54</v>
      </c>
      <c r="C4024" t="str">
        <f t="shared" si="186"/>
        <v>Adult</v>
      </c>
      <c r="D4024" t="s">
        <v>11</v>
      </c>
      <c r="E4024" t="s">
        <v>41</v>
      </c>
      <c r="F4024" t="s">
        <v>42</v>
      </c>
      <c r="G4024">
        <v>41.9</v>
      </c>
      <c r="H4024" t="s">
        <v>19</v>
      </c>
      <c r="I4024" t="s">
        <v>37</v>
      </c>
      <c r="J4024">
        <v>3.3</v>
      </c>
      <c r="K4024">
        <v>14</v>
      </c>
      <c r="L4024">
        <f t="shared" si="187"/>
        <v>36.033999999999999</v>
      </c>
      <c r="M4024">
        <v>2</v>
      </c>
      <c r="N4024" t="str">
        <f t="shared" si="188"/>
        <v>New</v>
      </c>
    </row>
    <row r="4025" spans="1:14" x14ac:dyDescent="0.35">
      <c r="A4025">
        <v>4024</v>
      </c>
      <c r="B4025">
        <v>62</v>
      </c>
      <c r="C4025" t="str">
        <f t="shared" si="186"/>
        <v>Senior</v>
      </c>
      <c r="D4025" t="s">
        <v>16</v>
      </c>
      <c r="E4025" t="s">
        <v>33</v>
      </c>
      <c r="F4025" t="s">
        <v>34</v>
      </c>
      <c r="G4025">
        <v>237.74</v>
      </c>
      <c r="H4025" t="s">
        <v>19</v>
      </c>
      <c r="I4025" t="s">
        <v>15</v>
      </c>
      <c r="J4025">
        <v>3.1</v>
      </c>
      <c r="K4025">
        <v>16</v>
      </c>
      <c r="L4025">
        <f t="shared" si="187"/>
        <v>199.70160000000001</v>
      </c>
      <c r="M4025">
        <v>8</v>
      </c>
      <c r="N4025" t="str">
        <f t="shared" si="188"/>
        <v>Loyal</v>
      </c>
    </row>
    <row r="4026" spans="1:14" x14ac:dyDescent="0.35">
      <c r="A4026">
        <v>4025</v>
      </c>
      <c r="B4026">
        <v>66</v>
      </c>
      <c r="C4026" t="str">
        <f t="shared" si="186"/>
        <v>Senior</v>
      </c>
      <c r="D4026" t="s">
        <v>11</v>
      </c>
      <c r="E4026" t="s">
        <v>29</v>
      </c>
      <c r="F4026" t="s">
        <v>55</v>
      </c>
      <c r="G4026">
        <v>66.59</v>
      </c>
      <c r="H4026" t="s">
        <v>14</v>
      </c>
      <c r="I4026" t="s">
        <v>15</v>
      </c>
      <c r="J4026">
        <v>3.4</v>
      </c>
      <c r="K4026">
        <v>22</v>
      </c>
      <c r="L4026">
        <f t="shared" si="187"/>
        <v>51.940200000000004</v>
      </c>
      <c r="M4026">
        <v>6</v>
      </c>
      <c r="N4026" t="str">
        <f t="shared" si="188"/>
        <v>Regular</v>
      </c>
    </row>
    <row r="4027" spans="1:14" x14ac:dyDescent="0.35">
      <c r="A4027">
        <v>4026</v>
      </c>
      <c r="B4027">
        <v>35</v>
      </c>
      <c r="C4027" t="str">
        <f t="shared" si="186"/>
        <v>Adult</v>
      </c>
      <c r="D4027" t="s">
        <v>11</v>
      </c>
      <c r="E4027" t="s">
        <v>20</v>
      </c>
      <c r="F4027" t="s">
        <v>39</v>
      </c>
      <c r="G4027">
        <v>127.31</v>
      </c>
      <c r="H4027" t="s">
        <v>14</v>
      </c>
      <c r="I4027" t="s">
        <v>15</v>
      </c>
      <c r="J4027">
        <v>3.1</v>
      </c>
      <c r="K4027">
        <v>17</v>
      </c>
      <c r="L4027">
        <f t="shared" si="187"/>
        <v>105.6673</v>
      </c>
      <c r="M4027">
        <v>6</v>
      </c>
      <c r="N4027" t="str">
        <f t="shared" si="188"/>
        <v>Regular</v>
      </c>
    </row>
    <row r="4028" spans="1:14" x14ac:dyDescent="0.35">
      <c r="A4028">
        <v>4027</v>
      </c>
      <c r="B4028">
        <v>59</v>
      </c>
      <c r="C4028" t="str">
        <f t="shared" si="186"/>
        <v>Adult</v>
      </c>
      <c r="D4028" t="s">
        <v>11</v>
      </c>
      <c r="E4028" t="s">
        <v>22</v>
      </c>
      <c r="F4028" t="s">
        <v>23</v>
      </c>
      <c r="G4028">
        <v>123.5</v>
      </c>
      <c r="H4028" t="s">
        <v>31</v>
      </c>
      <c r="I4028" t="s">
        <v>15</v>
      </c>
      <c r="J4028">
        <v>3.3</v>
      </c>
      <c r="K4028">
        <v>22</v>
      </c>
      <c r="L4028">
        <f t="shared" si="187"/>
        <v>96.33</v>
      </c>
      <c r="M4028">
        <v>11</v>
      </c>
      <c r="N4028" t="str">
        <f t="shared" si="188"/>
        <v>Loyal</v>
      </c>
    </row>
    <row r="4029" spans="1:14" x14ac:dyDescent="0.35">
      <c r="A4029">
        <v>4028</v>
      </c>
      <c r="B4029">
        <v>65</v>
      </c>
      <c r="C4029" t="str">
        <f t="shared" si="186"/>
        <v>Senior</v>
      </c>
      <c r="D4029" t="s">
        <v>11</v>
      </c>
      <c r="E4029" t="s">
        <v>33</v>
      </c>
      <c r="F4029" t="s">
        <v>38</v>
      </c>
      <c r="G4029">
        <v>187.64</v>
      </c>
      <c r="H4029" t="s">
        <v>31</v>
      </c>
      <c r="I4029" t="s">
        <v>15</v>
      </c>
      <c r="J4029">
        <v>4.0999999999999996</v>
      </c>
      <c r="K4029">
        <v>26</v>
      </c>
      <c r="L4029">
        <f t="shared" si="187"/>
        <v>138.8536</v>
      </c>
      <c r="M4029">
        <v>8</v>
      </c>
      <c r="N4029" t="str">
        <f t="shared" si="188"/>
        <v>Loyal</v>
      </c>
    </row>
    <row r="4030" spans="1:14" x14ac:dyDescent="0.35">
      <c r="A4030">
        <v>4029</v>
      </c>
      <c r="B4030">
        <v>33</v>
      </c>
      <c r="C4030" t="str">
        <f t="shared" si="186"/>
        <v>Adult</v>
      </c>
      <c r="D4030" t="s">
        <v>16</v>
      </c>
      <c r="E4030" t="s">
        <v>33</v>
      </c>
      <c r="F4030" t="s">
        <v>40</v>
      </c>
      <c r="G4030">
        <v>156.02000000000001</v>
      </c>
      <c r="H4030" t="s">
        <v>19</v>
      </c>
      <c r="I4030" t="s">
        <v>15</v>
      </c>
      <c r="J4030">
        <v>4.5999999999999996</v>
      </c>
      <c r="K4030">
        <v>13</v>
      </c>
      <c r="L4030">
        <f t="shared" si="187"/>
        <v>135.73740000000001</v>
      </c>
      <c r="M4030">
        <v>4</v>
      </c>
      <c r="N4030" t="str">
        <f t="shared" si="188"/>
        <v>Regular</v>
      </c>
    </row>
    <row r="4031" spans="1:14" x14ac:dyDescent="0.35">
      <c r="A4031">
        <v>4030</v>
      </c>
      <c r="B4031">
        <v>37</v>
      </c>
      <c r="C4031" t="str">
        <f t="shared" si="186"/>
        <v>Adult</v>
      </c>
      <c r="D4031" t="s">
        <v>11</v>
      </c>
      <c r="E4031" t="s">
        <v>29</v>
      </c>
      <c r="F4031" t="s">
        <v>30</v>
      </c>
      <c r="G4031">
        <v>21.66</v>
      </c>
      <c r="H4031" t="s">
        <v>24</v>
      </c>
      <c r="I4031" t="s">
        <v>15</v>
      </c>
      <c r="J4031">
        <v>2.9</v>
      </c>
      <c r="K4031">
        <v>10</v>
      </c>
      <c r="L4031">
        <f t="shared" si="187"/>
        <v>19.494</v>
      </c>
      <c r="M4031">
        <v>5</v>
      </c>
      <c r="N4031" t="str">
        <f t="shared" si="188"/>
        <v>Regular</v>
      </c>
    </row>
    <row r="4032" spans="1:14" x14ac:dyDescent="0.35">
      <c r="A4032">
        <v>4031</v>
      </c>
      <c r="B4032">
        <v>66</v>
      </c>
      <c r="C4032" t="str">
        <f t="shared" si="186"/>
        <v>Senior</v>
      </c>
      <c r="D4032" t="s">
        <v>11</v>
      </c>
      <c r="E4032" t="s">
        <v>12</v>
      </c>
      <c r="F4032" t="s">
        <v>50</v>
      </c>
      <c r="G4032">
        <v>155.30000000000001</v>
      </c>
      <c r="H4032" t="s">
        <v>14</v>
      </c>
      <c r="I4032" t="s">
        <v>15</v>
      </c>
      <c r="J4032">
        <v>2.8</v>
      </c>
      <c r="K4032">
        <v>10</v>
      </c>
      <c r="L4032">
        <f t="shared" si="187"/>
        <v>139.77000000000001</v>
      </c>
      <c r="M4032">
        <v>5</v>
      </c>
      <c r="N4032" t="str">
        <f t="shared" si="188"/>
        <v>Regular</v>
      </c>
    </row>
    <row r="4033" spans="1:14" x14ac:dyDescent="0.35">
      <c r="A4033">
        <v>4032</v>
      </c>
      <c r="B4033">
        <v>62</v>
      </c>
      <c r="C4033" t="str">
        <f t="shared" si="186"/>
        <v>Senior</v>
      </c>
      <c r="D4033" t="s">
        <v>11</v>
      </c>
      <c r="E4033" t="s">
        <v>33</v>
      </c>
      <c r="F4033" t="s">
        <v>40</v>
      </c>
      <c r="G4033">
        <v>112.89</v>
      </c>
      <c r="H4033" t="s">
        <v>19</v>
      </c>
      <c r="I4033" t="s">
        <v>15</v>
      </c>
      <c r="J4033">
        <v>3.8</v>
      </c>
      <c r="K4033">
        <v>20</v>
      </c>
      <c r="L4033">
        <f t="shared" si="187"/>
        <v>90.312000000000012</v>
      </c>
      <c r="M4033">
        <v>10</v>
      </c>
      <c r="N4033" t="str">
        <f t="shared" si="188"/>
        <v>Loyal</v>
      </c>
    </row>
    <row r="4034" spans="1:14" x14ac:dyDescent="0.35">
      <c r="A4034">
        <v>4033</v>
      </c>
      <c r="B4034">
        <v>22</v>
      </c>
      <c r="C4034" t="str">
        <f t="shared" si="186"/>
        <v>Youth</v>
      </c>
      <c r="D4034" t="s">
        <v>11</v>
      </c>
      <c r="E4034" t="s">
        <v>12</v>
      </c>
      <c r="F4034" t="s">
        <v>13</v>
      </c>
      <c r="G4034">
        <v>66.64</v>
      </c>
      <c r="H4034" t="s">
        <v>24</v>
      </c>
      <c r="I4034" t="s">
        <v>37</v>
      </c>
      <c r="J4034">
        <v>3</v>
      </c>
      <c r="K4034">
        <v>15</v>
      </c>
      <c r="L4034">
        <f t="shared" si="187"/>
        <v>56.643999999999998</v>
      </c>
      <c r="M4034">
        <v>5</v>
      </c>
      <c r="N4034" t="str">
        <f t="shared" si="188"/>
        <v>Regular</v>
      </c>
    </row>
    <row r="4035" spans="1:14" x14ac:dyDescent="0.35">
      <c r="A4035">
        <v>4034</v>
      </c>
      <c r="B4035">
        <v>29</v>
      </c>
      <c r="C4035" t="str">
        <f t="shared" ref="C4035:C4098" si="189">IF(B4035&lt;=30,"Youth",IF(B4035&lt;=45,"Adult",IF(B4035&lt;=60,"Adult","Senior")))</f>
        <v>Youth</v>
      </c>
      <c r="D4035" t="s">
        <v>16</v>
      </c>
      <c r="E4035" t="s">
        <v>33</v>
      </c>
      <c r="F4035" t="s">
        <v>38</v>
      </c>
      <c r="G4035">
        <v>139.43</v>
      </c>
      <c r="H4035" t="s">
        <v>19</v>
      </c>
      <c r="I4035" t="s">
        <v>15</v>
      </c>
      <c r="J4035">
        <v>3.3</v>
      </c>
      <c r="K4035">
        <v>13</v>
      </c>
      <c r="L4035">
        <f t="shared" ref="L4035:L4098" si="190">G4035*(1-K4035/100)</f>
        <v>121.30410000000001</v>
      </c>
      <c r="M4035">
        <v>4</v>
      </c>
      <c r="N4035" t="str">
        <f t="shared" ref="N4035:N4098" si="191">IF(M4035&lt;=3,"New",IF(M4035&lt;=7,"Regular","Loyal"))</f>
        <v>Regular</v>
      </c>
    </row>
    <row r="4036" spans="1:14" x14ac:dyDescent="0.35">
      <c r="A4036">
        <v>4035</v>
      </c>
      <c r="B4036">
        <v>52</v>
      </c>
      <c r="C4036" t="str">
        <f t="shared" si="189"/>
        <v>Adult</v>
      </c>
      <c r="D4036" t="s">
        <v>11</v>
      </c>
      <c r="E4036" t="s">
        <v>29</v>
      </c>
      <c r="F4036" t="s">
        <v>55</v>
      </c>
      <c r="G4036">
        <v>106.44</v>
      </c>
      <c r="H4036" t="s">
        <v>31</v>
      </c>
      <c r="I4036" t="s">
        <v>15</v>
      </c>
      <c r="J4036">
        <v>4.5</v>
      </c>
      <c r="K4036">
        <v>18</v>
      </c>
      <c r="L4036">
        <f t="shared" si="190"/>
        <v>87.280799999999999</v>
      </c>
      <c r="M4036">
        <v>4</v>
      </c>
      <c r="N4036" t="str">
        <f t="shared" si="191"/>
        <v>Regular</v>
      </c>
    </row>
    <row r="4037" spans="1:14" x14ac:dyDescent="0.35">
      <c r="A4037">
        <v>4036</v>
      </c>
      <c r="B4037">
        <v>47</v>
      </c>
      <c r="C4037" t="str">
        <f t="shared" si="189"/>
        <v>Adult</v>
      </c>
      <c r="D4037" t="s">
        <v>11</v>
      </c>
      <c r="E4037" t="s">
        <v>41</v>
      </c>
      <c r="F4037" t="s">
        <v>45</v>
      </c>
      <c r="G4037">
        <v>79.709999999999994</v>
      </c>
      <c r="H4037" t="s">
        <v>14</v>
      </c>
      <c r="I4037" t="s">
        <v>37</v>
      </c>
      <c r="J4037">
        <v>3.3</v>
      </c>
      <c r="K4037">
        <v>6</v>
      </c>
      <c r="L4037">
        <f t="shared" si="190"/>
        <v>74.927399999999992</v>
      </c>
      <c r="M4037">
        <v>3</v>
      </c>
      <c r="N4037" t="str">
        <f t="shared" si="191"/>
        <v>New</v>
      </c>
    </row>
    <row r="4038" spans="1:14" x14ac:dyDescent="0.35">
      <c r="A4038">
        <v>4037</v>
      </c>
      <c r="B4038">
        <v>67</v>
      </c>
      <c r="C4038" t="str">
        <f t="shared" si="189"/>
        <v>Senior</v>
      </c>
      <c r="D4038" t="s">
        <v>16</v>
      </c>
      <c r="E4038" t="s">
        <v>17</v>
      </c>
      <c r="F4038" t="s">
        <v>35</v>
      </c>
      <c r="G4038">
        <v>188.64</v>
      </c>
      <c r="H4038" t="s">
        <v>24</v>
      </c>
      <c r="I4038" t="s">
        <v>15</v>
      </c>
      <c r="J4038">
        <v>4.5</v>
      </c>
      <c r="K4038">
        <v>20</v>
      </c>
      <c r="L4038">
        <f t="shared" si="190"/>
        <v>150.91200000000001</v>
      </c>
      <c r="M4038">
        <v>5</v>
      </c>
      <c r="N4038" t="str">
        <f t="shared" si="191"/>
        <v>Regular</v>
      </c>
    </row>
    <row r="4039" spans="1:14" x14ac:dyDescent="0.35">
      <c r="A4039">
        <v>4038</v>
      </c>
      <c r="B4039">
        <v>34</v>
      </c>
      <c r="C4039" t="str">
        <f t="shared" si="189"/>
        <v>Adult</v>
      </c>
      <c r="D4039" t="s">
        <v>16</v>
      </c>
      <c r="E4039" t="s">
        <v>22</v>
      </c>
      <c r="F4039" t="s">
        <v>52</v>
      </c>
      <c r="G4039">
        <v>136.71</v>
      </c>
      <c r="H4039" t="s">
        <v>24</v>
      </c>
      <c r="I4039" t="s">
        <v>15</v>
      </c>
      <c r="J4039">
        <v>4</v>
      </c>
      <c r="K4039">
        <v>14</v>
      </c>
      <c r="L4039">
        <f t="shared" si="190"/>
        <v>117.5706</v>
      </c>
      <c r="M4039">
        <v>7</v>
      </c>
      <c r="N4039" t="str">
        <f t="shared" si="191"/>
        <v>Regular</v>
      </c>
    </row>
    <row r="4040" spans="1:14" x14ac:dyDescent="0.35">
      <c r="A4040">
        <v>4039</v>
      </c>
      <c r="B4040">
        <v>42</v>
      </c>
      <c r="C4040" t="str">
        <f t="shared" si="189"/>
        <v>Adult</v>
      </c>
      <c r="D4040" t="s">
        <v>11</v>
      </c>
      <c r="E4040" t="s">
        <v>33</v>
      </c>
      <c r="F4040" t="s">
        <v>34</v>
      </c>
      <c r="G4040">
        <v>211.73</v>
      </c>
      <c r="H4040" t="s">
        <v>24</v>
      </c>
      <c r="I4040" t="s">
        <v>15</v>
      </c>
      <c r="J4040">
        <v>4.5999999999999996</v>
      </c>
      <c r="K4040">
        <v>17</v>
      </c>
      <c r="L4040">
        <f t="shared" si="190"/>
        <v>175.73589999999999</v>
      </c>
      <c r="M4040">
        <v>6</v>
      </c>
      <c r="N4040" t="str">
        <f t="shared" si="191"/>
        <v>Regular</v>
      </c>
    </row>
    <row r="4041" spans="1:14" x14ac:dyDescent="0.35">
      <c r="A4041">
        <v>4040</v>
      </c>
      <c r="B4041">
        <v>51</v>
      </c>
      <c r="C4041" t="str">
        <f t="shared" si="189"/>
        <v>Adult</v>
      </c>
      <c r="D4041" t="s">
        <v>11</v>
      </c>
      <c r="E4041" t="s">
        <v>29</v>
      </c>
      <c r="F4041" t="s">
        <v>55</v>
      </c>
      <c r="G4041">
        <v>86.9</v>
      </c>
      <c r="H4041" t="s">
        <v>31</v>
      </c>
      <c r="I4041" t="s">
        <v>15</v>
      </c>
      <c r="J4041">
        <v>4</v>
      </c>
      <c r="K4041">
        <v>16</v>
      </c>
      <c r="L4041">
        <f t="shared" si="190"/>
        <v>72.995999999999995</v>
      </c>
      <c r="M4041">
        <v>8</v>
      </c>
      <c r="N4041" t="str">
        <f t="shared" si="191"/>
        <v>Loyal</v>
      </c>
    </row>
    <row r="4042" spans="1:14" x14ac:dyDescent="0.35">
      <c r="A4042">
        <v>4041</v>
      </c>
      <c r="B4042">
        <v>51</v>
      </c>
      <c r="C4042" t="str">
        <f t="shared" si="189"/>
        <v>Adult</v>
      </c>
      <c r="D4042" t="s">
        <v>11</v>
      </c>
      <c r="E4042" t="s">
        <v>33</v>
      </c>
      <c r="F4042" t="s">
        <v>40</v>
      </c>
      <c r="G4042">
        <v>80.319999999999993</v>
      </c>
      <c r="H4042" t="s">
        <v>31</v>
      </c>
      <c r="I4042" t="s">
        <v>37</v>
      </c>
      <c r="J4042">
        <v>4</v>
      </c>
      <c r="K4042">
        <v>25</v>
      </c>
      <c r="L4042">
        <f t="shared" si="190"/>
        <v>60.239999999999995</v>
      </c>
      <c r="M4042">
        <v>10</v>
      </c>
      <c r="N4042" t="str">
        <f t="shared" si="191"/>
        <v>Loyal</v>
      </c>
    </row>
    <row r="4043" spans="1:14" x14ac:dyDescent="0.35">
      <c r="A4043">
        <v>4042</v>
      </c>
      <c r="B4043">
        <v>50</v>
      </c>
      <c r="C4043" t="str">
        <f t="shared" si="189"/>
        <v>Adult</v>
      </c>
      <c r="D4043" t="s">
        <v>11</v>
      </c>
      <c r="E4043" t="s">
        <v>41</v>
      </c>
      <c r="F4043" t="s">
        <v>46</v>
      </c>
      <c r="G4043">
        <v>110.41</v>
      </c>
      <c r="H4043" t="s">
        <v>24</v>
      </c>
      <c r="I4043" t="s">
        <v>15</v>
      </c>
      <c r="J4043">
        <v>3</v>
      </c>
      <c r="K4043">
        <v>17</v>
      </c>
      <c r="L4043">
        <f t="shared" si="190"/>
        <v>91.640299999999996</v>
      </c>
      <c r="M4043">
        <v>6</v>
      </c>
      <c r="N4043" t="str">
        <f t="shared" si="191"/>
        <v>Regular</v>
      </c>
    </row>
    <row r="4044" spans="1:14" x14ac:dyDescent="0.35">
      <c r="A4044">
        <v>4043</v>
      </c>
      <c r="B4044">
        <v>62</v>
      </c>
      <c r="C4044" t="str">
        <f t="shared" si="189"/>
        <v>Senior</v>
      </c>
      <c r="D4044" t="s">
        <v>11</v>
      </c>
      <c r="E4044" t="s">
        <v>12</v>
      </c>
      <c r="F4044" t="s">
        <v>56</v>
      </c>
      <c r="G4044">
        <v>173.41</v>
      </c>
      <c r="H4044" t="s">
        <v>24</v>
      </c>
      <c r="I4044" t="s">
        <v>15</v>
      </c>
      <c r="J4044">
        <v>3.9</v>
      </c>
      <c r="K4044">
        <v>13</v>
      </c>
      <c r="L4044">
        <f t="shared" si="190"/>
        <v>150.86670000000001</v>
      </c>
      <c r="M4044">
        <v>4</v>
      </c>
      <c r="N4044" t="str">
        <f t="shared" si="191"/>
        <v>Regular</v>
      </c>
    </row>
    <row r="4045" spans="1:14" x14ac:dyDescent="0.35">
      <c r="A4045">
        <v>4044</v>
      </c>
      <c r="B4045">
        <v>41</v>
      </c>
      <c r="C4045" t="str">
        <f t="shared" si="189"/>
        <v>Adult</v>
      </c>
      <c r="D4045" t="s">
        <v>16</v>
      </c>
      <c r="E4045" t="s">
        <v>33</v>
      </c>
      <c r="F4045" t="s">
        <v>34</v>
      </c>
      <c r="G4045">
        <v>227.74</v>
      </c>
      <c r="H4045" t="s">
        <v>24</v>
      </c>
      <c r="I4045" t="s">
        <v>15</v>
      </c>
      <c r="J4045">
        <v>3.6</v>
      </c>
      <c r="K4045">
        <v>8</v>
      </c>
      <c r="L4045">
        <f t="shared" si="190"/>
        <v>209.52080000000001</v>
      </c>
      <c r="M4045">
        <v>4</v>
      </c>
      <c r="N4045" t="str">
        <f t="shared" si="191"/>
        <v>Regular</v>
      </c>
    </row>
    <row r="4046" spans="1:14" x14ac:dyDescent="0.35">
      <c r="A4046">
        <v>4045</v>
      </c>
      <c r="B4046">
        <v>59</v>
      </c>
      <c r="C4046" t="str">
        <f t="shared" si="189"/>
        <v>Adult</v>
      </c>
      <c r="D4046" t="s">
        <v>16</v>
      </c>
      <c r="E4046" t="s">
        <v>20</v>
      </c>
      <c r="F4046" t="s">
        <v>36</v>
      </c>
      <c r="G4046">
        <v>63.64</v>
      </c>
      <c r="H4046" t="s">
        <v>24</v>
      </c>
      <c r="I4046" t="s">
        <v>37</v>
      </c>
      <c r="J4046">
        <v>3.9</v>
      </c>
      <c r="K4046">
        <v>22</v>
      </c>
      <c r="L4046">
        <f t="shared" si="190"/>
        <v>49.639200000000002</v>
      </c>
      <c r="M4046">
        <v>6</v>
      </c>
      <c r="N4046" t="str">
        <f t="shared" si="191"/>
        <v>Regular</v>
      </c>
    </row>
    <row r="4047" spans="1:14" x14ac:dyDescent="0.35">
      <c r="A4047">
        <v>4046</v>
      </c>
      <c r="B4047">
        <v>39</v>
      </c>
      <c r="C4047" t="str">
        <f t="shared" si="189"/>
        <v>Adult</v>
      </c>
      <c r="D4047" t="s">
        <v>16</v>
      </c>
      <c r="E4047" t="s">
        <v>27</v>
      </c>
      <c r="F4047" t="s">
        <v>53</v>
      </c>
      <c r="G4047">
        <v>2936.44</v>
      </c>
      <c r="H4047" t="s">
        <v>19</v>
      </c>
      <c r="I4047" t="s">
        <v>15</v>
      </c>
      <c r="J4047">
        <v>4.3</v>
      </c>
      <c r="K4047">
        <v>9</v>
      </c>
      <c r="L4047">
        <f t="shared" si="190"/>
        <v>2672.1604000000002</v>
      </c>
      <c r="M4047">
        <v>2</v>
      </c>
      <c r="N4047" t="str">
        <f t="shared" si="191"/>
        <v>New</v>
      </c>
    </row>
    <row r="4048" spans="1:14" x14ac:dyDescent="0.35">
      <c r="A4048">
        <v>4047</v>
      </c>
      <c r="B4048">
        <v>48</v>
      </c>
      <c r="C4048" t="str">
        <f t="shared" si="189"/>
        <v>Adult</v>
      </c>
      <c r="D4048" t="s">
        <v>11</v>
      </c>
      <c r="E4048" t="s">
        <v>41</v>
      </c>
      <c r="F4048" t="s">
        <v>46</v>
      </c>
      <c r="G4048">
        <v>85.77</v>
      </c>
      <c r="H4048" t="s">
        <v>14</v>
      </c>
      <c r="I4048" t="s">
        <v>37</v>
      </c>
      <c r="J4048">
        <v>4.2</v>
      </c>
      <c r="K4048">
        <v>15</v>
      </c>
      <c r="L4048">
        <f t="shared" si="190"/>
        <v>72.904499999999999</v>
      </c>
      <c r="M4048">
        <v>5</v>
      </c>
      <c r="N4048" t="str">
        <f t="shared" si="191"/>
        <v>Regular</v>
      </c>
    </row>
    <row r="4049" spans="1:14" x14ac:dyDescent="0.35">
      <c r="A4049">
        <v>4048</v>
      </c>
      <c r="B4049">
        <v>42</v>
      </c>
      <c r="C4049" t="str">
        <f t="shared" si="189"/>
        <v>Adult</v>
      </c>
      <c r="D4049" t="s">
        <v>11</v>
      </c>
      <c r="E4049" t="s">
        <v>41</v>
      </c>
      <c r="F4049" t="s">
        <v>42</v>
      </c>
      <c r="G4049">
        <v>149.1</v>
      </c>
      <c r="H4049" t="s">
        <v>24</v>
      </c>
      <c r="I4049" t="s">
        <v>15</v>
      </c>
      <c r="J4049">
        <v>4.5999999999999996</v>
      </c>
      <c r="K4049">
        <v>32</v>
      </c>
      <c r="L4049">
        <f t="shared" si="190"/>
        <v>101.38799999999999</v>
      </c>
      <c r="M4049">
        <v>11</v>
      </c>
      <c r="N4049" t="str">
        <f t="shared" si="191"/>
        <v>Loyal</v>
      </c>
    </row>
    <row r="4050" spans="1:14" x14ac:dyDescent="0.35">
      <c r="A4050">
        <v>4049</v>
      </c>
      <c r="B4050">
        <v>54</v>
      </c>
      <c r="C4050" t="str">
        <f t="shared" si="189"/>
        <v>Adult</v>
      </c>
      <c r="D4050" t="s">
        <v>16</v>
      </c>
      <c r="E4050" t="s">
        <v>20</v>
      </c>
      <c r="F4050" t="s">
        <v>21</v>
      </c>
      <c r="G4050">
        <v>231.13</v>
      </c>
      <c r="H4050" t="s">
        <v>31</v>
      </c>
      <c r="I4050" t="s">
        <v>15</v>
      </c>
      <c r="J4050">
        <v>4.5999999999999996</v>
      </c>
      <c r="K4050">
        <v>21</v>
      </c>
      <c r="L4050">
        <f t="shared" si="190"/>
        <v>182.59270000000001</v>
      </c>
      <c r="M4050">
        <v>8</v>
      </c>
      <c r="N4050" t="str">
        <f t="shared" si="191"/>
        <v>Loyal</v>
      </c>
    </row>
    <row r="4051" spans="1:14" x14ac:dyDescent="0.35">
      <c r="A4051">
        <v>4050</v>
      </c>
      <c r="B4051">
        <v>36</v>
      </c>
      <c r="C4051" t="str">
        <f t="shared" si="189"/>
        <v>Adult</v>
      </c>
      <c r="D4051" t="s">
        <v>16</v>
      </c>
      <c r="E4051" t="s">
        <v>20</v>
      </c>
      <c r="F4051" t="s">
        <v>36</v>
      </c>
      <c r="G4051">
        <v>193.53</v>
      </c>
      <c r="H4051" t="s">
        <v>14</v>
      </c>
      <c r="I4051" t="s">
        <v>15</v>
      </c>
      <c r="J4051">
        <v>2.2000000000000002</v>
      </c>
      <c r="K4051">
        <v>10</v>
      </c>
      <c r="L4051">
        <f t="shared" si="190"/>
        <v>174.17699999999999</v>
      </c>
      <c r="M4051">
        <v>5</v>
      </c>
      <c r="N4051" t="str">
        <f t="shared" si="191"/>
        <v>Regular</v>
      </c>
    </row>
    <row r="4052" spans="1:14" x14ac:dyDescent="0.35">
      <c r="A4052">
        <v>4051</v>
      </c>
      <c r="B4052">
        <v>30</v>
      </c>
      <c r="C4052" t="str">
        <f t="shared" si="189"/>
        <v>Youth</v>
      </c>
      <c r="D4052" t="s">
        <v>16</v>
      </c>
      <c r="E4052" t="s">
        <v>17</v>
      </c>
      <c r="F4052" t="s">
        <v>42</v>
      </c>
      <c r="G4052">
        <v>47.15</v>
      </c>
      <c r="H4052" t="s">
        <v>14</v>
      </c>
      <c r="I4052" t="s">
        <v>37</v>
      </c>
      <c r="J4052">
        <v>4.9000000000000004</v>
      </c>
      <c r="K4052">
        <v>24</v>
      </c>
      <c r="L4052">
        <f t="shared" si="190"/>
        <v>35.833999999999996</v>
      </c>
      <c r="M4052">
        <v>7</v>
      </c>
      <c r="N4052" t="str">
        <f t="shared" si="191"/>
        <v>Regular</v>
      </c>
    </row>
    <row r="4053" spans="1:14" x14ac:dyDescent="0.35">
      <c r="A4053">
        <v>4052</v>
      </c>
      <c r="B4053">
        <v>38</v>
      </c>
      <c r="C4053" t="str">
        <f t="shared" si="189"/>
        <v>Adult</v>
      </c>
      <c r="D4053" t="s">
        <v>16</v>
      </c>
      <c r="E4053" t="s">
        <v>27</v>
      </c>
      <c r="F4053" t="s">
        <v>49</v>
      </c>
      <c r="G4053">
        <v>824.08</v>
      </c>
      <c r="H4053" t="s">
        <v>19</v>
      </c>
      <c r="I4053" t="s">
        <v>15</v>
      </c>
      <c r="J4053">
        <v>4.9000000000000004</v>
      </c>
      <c r="K4053">
        <v>12</v>
      </c>
      <c r="L4053">
        <f t="shared" si="190"/>
        <v>725.19040000000007</v>
      </c>
      <c r="M4053">
        <v>6</v>
      </c>
      <c r="N4053" t="str">
        <f t="shared" si="191"/>
        <v>Regular</v>
      </c>
    </row>
    <row r="4054" spans="1:14" x14ac:dyDescent="0.35">
      <c r="A4054">
        <v>4053</v>
      </c>
      <c r="B4054">
        <v>47</v>
      </c>
      <c r="C4054" t="str">
        <f t="shared" si="189"/>
        <v>Adult</v>
      </c>
      <c r="D4054" t="s">
        <v>11</v>
      </c>
      <c r="E4054" t="s">
        <v>41</v>
      </c>
      <c r="F4054" t="s">
        <v>45</v>
      </c>
      <c r="G4054">
        <v>86.68</v>
      </c>
      <c r="H4054" t="s">
        <v>14</v>
      </c>
      <c r="I4054" t="s">
        <v>15</v>
      </c>
      <c r="J4054">
        <v>4.9000000000000004</v>
      </c>
      <c r="K4054">
        <v>16</v>
      </c>
      <c r="L4054">
        <f t="shared" si="190"/>
        <v>72.811199999999999</v>
      </c>
      <c r="M4054">
        <v>3</v>
      </c>
      <c r="N4054" t="str">
        <f t="shared" si="191"/>
        <v>New</v>
      </c>
    </row>
    <row r="4055" spans="1:14" x14ac:dyDescent="0.35">
      <c r="A4055">
        <v>4054</v>
      </c>
      <c r="B4055">
        <v>37</v>
      </c>
      <c r="C4055" t="str">
        <f t="shared" si="189"/>
        <v>Adult</v>
      </c>
      <c r="D4055" t="s">
        <v>16</v>
      </c>
      <c r="E4055" t="s">
        <v>20</v>
      </c>
      <c r="F4055" t="s">
        <v>39</v>
      </c>
      <c r="G4055">
        <v>218.43</v>
      </c>
      <c r="H4055" t="s">
        <v>14</v>
      </c>
      <c r="I4055" t="s">
        <v>15</v>
      </c>
      <c r="J4055">
        <v>4.0999999999999996</v>
      </c>
      <c r="K4055">
        <v>20</v>
      </c>
      <c r="L4055">
        <f t="shared" si="190"/>
        <v>174.74400000000003</v>
      </c>
      <c r="M4055">
        <v>5</v>
      </c>
      <c r="N4055" t="str">
        <f t="shared" si="191"/>
        <v>Regular</v>
      </c>
    </row>
    <row r="4056" spans="1:14" x14ac:dyDescent="0.35">
      <c r="A4056">
        <v>4055</v>
      </c>
      <c r="B4056">
        <v>68</v>
      </c>
      <c r="C4056" t="str">
        <f t="shared" si="189"/>
        <v>Senior</v>
      </c>
      <c r="D4056" t="s">
        <v>16</v>
      </c>
      <c r="E4056" t="s">
        <v>25</v>
      </c>
      <c r="F4056" t="s">
        <v>47</v>
      </c>
      <c r="G4056">
        <v>21.72</v>
      </c>
      <c r="H4056" t="s">
        <v>24</v>
      </c>
      <c r="I4056" t="s">
        <v>37</v>
      </c>
      <c r="J4056">
        <v>3.1</v>
      </c>
      <c r="K4056">
        <v>18</v>
      </c>
      <c r="L4056">
        <f t="shared" si="190"/>
        <v>17.810400000000001</v>
      </c>
      <c r="M4056">
        <v>4</v>
      </c>
      <c r="N4056" t="str">
        <f t="shared" si="191"/>
        <v>Regular</v>
      </c>
    </row>
    <row r="4057" spans="1:14" x14ac:dyDescent="0.35">
      <c r="A4057">
        <v>4056</v>
      </c>
      <c r="B4057">
        <v>21</v>
      </c>
      <c r="C4057" t="str">
        <f t="shared" si="189"/>
        <v>Youth</v>
      </c>
      <c r="D4057" t="s">
        <v>11</v>
      </c>
      <c r="E4057" t="s">
        <v>29</v>
      </c>
      <c r="F4057" t="s">
        <v>30</v>
      </c>
      <c r="G4057">
        <v>23.57</v>
      </c>
      <c r="H4057" t="s">
        <v>31</v>
      </c>
      <c r="I4057" t="s">
        <v>37</v>
      </c>
      <c r="J4057">
        <v>4.3</v>
      </c>
      <c r="K4057">
        <v>22</v>
      </c>
      <c r="L4057">
        <f t="shared" si="190"/>
        <v>18.384600000000002</v>
      </c>
      <c r="M4057">
        <v>6</v>
      </c>
      <c r="N4057" t="str">
        <f t="shared" si="191"/>
        <v>Regular</v>
      </c>
    </row>
    <row r="4058" spans="1:14" x14ac:dyDescent="0.35">
      <c r="A4058">
        <v>4057</v>
      </c>
      <c r="B4058">
        <v>70</v>
      </c>
      <c r="C4058" t="str">
        <f t="shared" si="189"/>
        <v>Senior</v>
      </c>
      <c r="D4058" t="s">
        <v>16</v>
      </c>
      <c r="E4058" t="s">
        <v>22</v>
      </c>
      <c r="F4058" t="s">
        <v>23</v>
      </c>
      <c r="G4058">
        <v>177.36</v>
      </c>
      <c r="H4058" t="s">
        <v>14</v>
      </c>
      <c r="I4058" t="s">
        <v>15</v>
      </c>
      <c r="J4058">
        <v>3.2</v>
      </c>
      <c r="K4058">
        <v>22</v>
      </c>
      <c r="L4058">
        <f t="shared" si="190"/>
        <v>138.3408</v>
      </c>
      <c r="M4058">
        <v>6</v>
      </c>
      <c r="N4058" t="str">
        <f t="shared" si="191"/>
        <v>Regular</v>
      </c>
    </row>
    <row r="4059" spans="1:14" x14ac:dyDescent="0.35">
      <c r="A4059">
        <v>4058</v>
      </c>
      <c r="B4059">
        <v>49</v>
      </c>
      <c r="C4059" t="str">
        <f t="shared" si="189"/>
        <v>Adult</v>
      </c>
      <c r="D4059" t="s">
        <v>11</v>
      </c>
      <c r="E4059" t="s">
        <v>41</v>
      </c>
      <c r="F4059" t="s">
        <v>46</v>
      </c>
      <c r="G4059">
        <v>125.76</v>
      </c>
      <c r="H4059" t="s">
        <v>19</v>
      </c>
      <c r="I4059" t="s">
        <v>15</v>
      </c>
      <c r="J4059">
        <v>3.6</v>
      </c>
      <c r="K4059">
        <v>16</v>
      </c>
      <c r="L4059">
        <f t="shared" si="190"/>
        <v>105.6384</v>
      </c>
      <c r="M4059">
        <v>3</v>
      </c>
      <c r="N4059" t="str">
        <f t="shared" si="191"/>
        <v>New</v>
      </c>
    </row>
    <row r="4060" spans="1:14" x14ac:dyDescent="0.35">
      <c r="A4060">
        <v>4059</v>
      </c>
      <c r="B4060">
        <v>70</v>
      </c>
      <c r="C4060" t="str">
        <f t="shared" si="189"/>
        <v>Senior</v>
      </c>
      <c r="D4060" t="s">
        <v>16</v>
      </c>
      <c r="E4060" t="s">
        <v>22</v>
      </c>
      <c r="F4060" t="s">
        <v>23</v>
      </c>
      <c r="G4060">
        <v>118.9</v>
      </c>
      <c r="H4060" t="s">
        <v>14</v>
      </c>
      <c r="I4060" t="s">
        <v>15</v>
      </c>
      <c r="J4060">
        <v>4.5</v>
      </c>
      <c r="K4060">
        <v>8</v>
      </c>
      <c r="L4060">
        <f t="shared" si="190"/>
        <v>109.38800000000001</v>
      </c>
      <c r="M4060">
        <v>4</v>
      </c>
      <c r="N4060" t="str">
        <f t="shared" si="191"/>
        <v>Regular</v>
      </c>
    </row>
    <row r="4061" spans="1:14" x14ac:dyDescent="0.35">
      <c r="A4061">
        <v>4060</v>
      </c>
      <c r="B4061">
        <v>60</v>
      </c>
      <c r="C4061" t="str">
        <f t="shared" si="189"/>
        <v>Adult</v>
      </c>
      <c r="D4061" t="s">
        <v>16</v>
      </c>
      <c r="E4061" t="s">
        <v>20</v>
      </c>
      <c r="F4061" t="s">
        <v>36</v>
      </c>
      <c r="G4061">
        <v>103.3</v>
      </c>
      <c r="H4061" t="s">
        <v>24</v>
      </c>
      <c r="I4061" t="s">
        <v>15</v>
      </c>
      <c r="J4061">
        <v>3.2</v>
      </c>
      <c r="K4061">
        <v>26</v>
      </c>
      <c r="L4061">
        <f t="shared" si="190"/>
        <v>76.441999999999993</v>
      </c>
      <c r="M4061">
        <v>8</v>
      </c>
      <c r="N4061" t="str">
        <f t="shared" si="191"/>
        <v>Loyal</v>
      </c>
    </row>
    <row r="4062" spans="1:14" x14ac:dyDescent="0.35">
      <c r="A4062">
        <v>4061</v>
      </c>
      <c r="B4062">
        <v>22</v>
      </c>
      <c r="C4062" t="str">
        <f t="shared" si="189"/>
        <v>Youth</v>
      </c>
      <c r="D4062" t="s">
        <v>11</v>
      </c>
      <c r="E4062" t="s">
        <v>41</v>
      </c>
      <c r="F4062" t="s">
        <v>44</v>
      </c>
      <c r="G4062">
        <v>34.979999999999997</v>
      </c>
      <c r="H4062" t="s">
        <v>19</v>
      </c>
      <c r="I4062" t="s">
        <v>15</v>
      </c>
      <c r="J4062">
        <v>3.9</v>
      </c>
      <c r="K4062">
        <v>4</v>
      </c>
      <c r="L4062">
        <f t="shared" si="190"/>
        <v>33.580799999999996</v>
      </c>
      <c r="M4062">
        <v>2</v>
      </c>
      <c r="N4062" t="str">
        <f t="shared" si="191"/>
        <v>New</v>
      </c>
    </row>
    <row r="4063" spans="1:14" x14ac:dyDescent="0.35">
      <c r="A4063">
        <v>4062</v>
      </c>
      <c r="B4063">
        <v>44</v>
      </c>
      <c r="C4063" t="str">
        <f t="shared" si="189"/>
        <v>Adult</v>
      </c>
      <c r="D4063" t="s">
        <v>16</v>
      </c>
      <c r="E4063" t="s">
        <v>17</v>
      </c>
      <c r="F4063" t="s">
        <v>48</v>
      </c>
      <c r="G4063">
        <v>193.69</v>
      </c>
      <c r="H4063" t="s">
        <v>31</v>
      </c>
      <c r="I4063" t="s">
        <v>15</v>
      </c>
      <c r="J4063">
        <v>2.8</v>
      </c>
      <c r="K4063">
        <v>17</v>
      </c>
      <c r="L4063">
        <f t="shared" si="190"/>
        <v>160.7627</v>
      </c>
      <c r="M4063">
        <v>6</v>
      </c>
      <c r="N4063" t="str">
        <f t="shared" si="191"/>
        <v>Regular</v>
      </c>
    </row>
    <row r="4064" spans="1:14" x14ac:dyDescent="0.35">
      <c r="A4064">
        <v>4063</v>
      </c>
      <c r="B4064">
        <v>29</v>
      </c>
      <c r="C4064" t="str">
        <f t="shared" si="189"/>
        <v>Youth</v>
      </c>
      <c r="D4064" t="s">
        <v>16</v>
      </c>
      <c r="E4064" t="s">
        <v>20</v>
      </c>
      <c r="F4064" t="s">
        <v>39</v>
      </c>
      <c r="G4064">
        <v>40.36</v>
      </c>
      <c r="H4064" t="s">
        <v>24</v>
      </c>
      <c r="I4064" t="s">
        <v>37</v>
      </c>
      <c r="J4064">
        <v>3.5</v>
      </c>
      <c r="K4064">
        <v>7</v>
      </c>
      <c r="L4064">
        <f t="shared" si="190"/>
        <v>37.534799999999997</v>
      </c>
      <c r="M4064">
        <v>1</v>
      </c>
      <c r="N4064" t="str">
        <f t="shared" si="191"/>
        <v>New</v>
      </c>
    </row>
    <row r="4065" spans="1:14" x14ac:dyDescent="0.35">
      <c r="A4065">
        <v>4064</v>
      </c>
      <c r="B4065">
        <v>66</v>
      </c>
      <c r="C4065" t="str">
        <f t="shared" si="189"/>
        <v>Senior</v>
      </c>
      <c r="D4065" t="s">
        <v>16</v>
      </c>
      <c r="E4065" t="s">
        <v>27</v>
      </c>
      <c r="F4065" t="s">
        <v>28</v>
      </c>
      <c r="G4065">
        <v>1248.04</v>
      </c>
      <c r="H4065" t="s">
        <v>31</v>
      </c>
      <c r="I4065" t="s">
        <v>15</v>
      </c>
      <c r="J4065">
        <v>3.8</v>
      </c>
      <c r="K4065">
        <v>20</v>
      </c>
      <c r="L4065">
        <f t="shared" si="190"/>
        <v>998.43200000000002</v>
      </c>
      <c r="M4065">
        <v>5</v>
      </c>
      <c r="N4065" t="str">
        <f t="shared" si="191"/>
        <v>Regular</v>
      </c>
    </row>
    <row r="4066" spans="1:14" x14ac:dyDescent="0.35">
      <c r="A4066">
        <v>4065</v>
      </c>
      <c r="B4066">
        <v>64</v>
      </c>
      <c r="C4066" t="str">
        <f t="shared" si="189"/>
        <v>Senior</v>
      </c>
      <c r="D4066" t="s">
        <v>16</v>
      </c>
      <c r="E4066" t="s">
        <v>20</v>
      </c>
      <c r="F4066" t="s">
        <v>39</v>
      </c>
      <c r="G4066">
        <v>176.11</v>
      </c>
      <c r="H4066" t="s">
        <v>14</v>
      </c>
      <c r="I4066" t="s">
        <v>15</v>
      </c>
      <c r="J4066">
        <v>3.5</v>
      </c>
      <c r="K4066">
        <v>10</v>
      </c>
      <c r="L4066">
        <f t="shared" si="190"/>
        <v>158.49900000000002</v>
      </c>
      <c r="M4066">
        <v>5</v>
      </c>
      <c r="N4066" t="str">
        <f t="shared" si="191"/>
        <v>Regular</v>
      </c>
    </row>
    <row r="4067" spans="1:14" x14ac:dyDescent="0.35">
      <c r="A4067">
        <v>4066</v>
      </c>
      <c r="B4067">
        <v>56</v>
      </c>
      <c r="C4067" t="str">
        <f t="shared" si="189"/>
        <v>Adult</v>
      </c>
      <c r="D4067" t="s">
        <v>16</v>
      </c>
      <c r="E4067" t="s">
        <v>20</v>
      </c>
      <c r="F4067" t="s">
        <v>21</v>
      </c>
      <c r="G4067">
        <v>165.49</v>
      </c>
      <c r="H4067" t="s">
        <v>14</v>
      </c>
      <c r="I4067" t="s">
        <v>15</v>
      </c>
      <c r="J4067">
        <v>3.8</v>
      </c>
      <c r="K4067">
        <v>22</v>
      </c>
      <c r="L4067">
        <f t="shared" si="190"/>
        <v>129.0822</v>
      </c>
      <c r="M4067">
        <v>6</v>
      </c>
      <c r="N4067" t="str">
        <f t="shared" si="191"/>
        <v>Regular</v>
      </c>
    </row>
    <row r="4068" spans="1:14" x14ac:dyDescent="0.35">
      <c r="A4068">
        <v>4067</v>
      </c>
      <c r="B4068">
        <v>65</v>
      </c>
      <c r="C4068" t="str">
        <f t="shared" si="189"/>
        <v>Senior</v>
      </c>
      <c r="D4068" t="s">
        <v>16</v>
      </c>
      <c r="E4068" t="s">
        <v>20</v>
      </c>
      <c r="F4068" t="s">
        <v>36</v>
      </c>
      <c r="G4068">
        <v>147.71</v>
      </c>
      <c r="H4068" t="s">
        <v>14</v>
      </c>
      <c r="I4068" t="s">
        <v>15</v>
      </c>
      <c r="J4068">
        <v>3.4</v>
      </c>
      <c r="K4068">
        <v>13</v>
      </c>
      <c r="L4068">
        <f t="shared" si="190"/>
        <v>128.5077</v>
      </c>
      <c r="M4068">
        <v>4</v>
      </c>
      <c r="N4068" t="str">
        <f t="shared" si="191"/>
        <v>Regular</v>
      </c>
    </row>
    <row r="4069" spans="1:14" x14ac:dyDescent="0.35">
      <c r="A4069">
        <v>4068</v>
      </c>
      <c r="B4069">
        <v>26</v>
      </c>
      <c r="C4069" t="str">
        <f t="shared" si="189"/>
        <v>Youth</v>
      </c>
      <c r="D4069" t="s">
        <v>11</v>
      </c>
      <c r="E4069" t="s">
        <v>33</v>
      </c>
      <c r="F4069" t="s">
        <v>38</v>
      </c>
      <c r="G4069">
        <v>167.62</v>
      </c>
      <c r="H4069" t="s">
        <v>31</v>
      </c>
      <c r="I4069" t="s">
        <v>15</v>
      </c>
      <c r="J4069">
        <v>3.4</v>
      </c>
      <c r="K4069">
        <v>30</v>
      </c>
      <c r="L4069">
        <f t="shared" si="190"/>
        <v>117.33399999999999</v>
      </c>
      <c r="M4069">
        <v>10</v>
      </c>
      <c r="N4069" t="str">
        <f t="shared" si="191"/>
        <v>Loyal</v>
      </c>
    </row>
    <row r="4070" spans="1:14" x14ac:dyDescent="0.35">
      <c r="A4070">
        <v>4069</v>
      </c>
      <c r="B4070">
        <v>53</v>
      </c>
      <c r="C4070" t="str">
        <f t="shared" si="189"/>
        <v>Adult</v>
      </c>
      <c r="D4070" t="s">
        <v>16</v>
      </c>
      <c r="E4070" t="s">
        <v>22</v>
      </c>
      <c r="F4070" t="s">
        <v>52</v>
      </c>
      <c r="G4070">
        <v>103.21</v>
      </c>
      <c r="H4070" t="s">
        <v>24</v>
      </c>
      <c r="I4070" t="s">
        <v>15</v>
      </c>
      <c r="J4070">
        <v>3.3</v>
      </c>
      <c r="K4070">
        <v>11</v>
      </c>
      <c r="L4070">
        <f t="shared" si="190"/>
        <v>91.856899999999996</v>
      </c>
      <c r="M4070">
        <v>3</v>
      </c>
      <c r="N4070" t="str">
        <f t="shared" si="191"/>
        <v>New</v>
      </c>
    </row>
    <row r="4071" spans="1:14" x14ac:dyDescent="0.35">
      <c r="A4071">
        <v>4070</v>
      </c>
      <c r="B4071">
        <v>70</v>
      </c>
      <c r="C4071" t="str">
        <f t="shared" si="189"/>
        <v>Senior</v>
      </c>
      <c r="D4071" t="s">
        <v>16</v>
      </c>
      <c r="E4071" t="s">
        <v>33</v>
      </c>
      <c r="F4071" t="s">
        <v>40</v>
      </c>
      <c r="G4071">
        <v>56.28</v>
      </c>
      <c r="H4071" t="s">
        <v>31</v>
      </c>
      <c r="I4071" t="s">
        <v>15</v>
      </c>
      <c r="J4071">
        <v>2.9</v>
      </c>
      <c r="K4071">
        <v>10</v>
      </c>
      <c r="L4071">
        <f t="shared" si="190"/>
        <v>50.652000000000001</v>
      </c>
      <c r="M4071">
        <v>5</v>
      </c>
      <c r="N4071" t="str">
        <f t="shared" si="191"/>
        <v>Regular</v>
      </c>
    </row>
    <row r="4072" spans="1:14" x14ac:dyDescent="0.35">
      <c r="A4072">
        <v>4071</v>
      </c>
      <c r="B4072">
        <v>48</v>
      </c>
      <c r="C4072" t="str">
        <f t="shared" si="189"/>
        <v>Adult</v>
      </c>
      <c r="D4072" t="s">
        <v>16</v>
      </c>
      <c r="E4072" t="s">
        <v>20</v>
      </c>
      <c r="F4072" t="s">
        <v>36</v>
      </c>
      <c r="G4072">
        <v>136.24</v>
      </c>
      <c r="H4072" t="s">
        <v>31</v>
      </c>
      <c r="I4072" t="s">
        <v>15</v>
      </c>
      <c r="J4072">
        <v>3.3</v>
      </c>
      <c r="K4072">
        <v>14</v>
      </c>
      <c r="L4072">
        <f t="shared" si="190"/>
        <v>117.16640000000001</v>
      </c>
      <c r="M4072">
        <v>7</v>
      </c>
      <c r="N4072" t="str">
        <f t="shared" si="191"/>
        <v>Regular</v>
      </c>
    </row>
    <row r="4073" spans="1:14" x14ac:dyDescent="0.35">
      <c r="A4073">
        <v>4072</v>
      </c>
      <c r="B4073">
        <v>53</v>
      </c>
      <c r="C4073" t="str">
        <f t="shared" si="189"/>
        <v>Adult</v>
      </c>
      <c r="D4073" t="s">
        <v>11</v>
      </c>
      <c r="E4073" t="s">
        <v>29</v>
      </c>
      <c r="F4073" t="s">
        <v>55</v>
      </c>
      <c r="G4073">
        <v>125.77</v>
      </c>
      <c r="H4073" t="s">
        <v>19</v>
      </c>
      <c r="I4073" t="s">
        <v>15</v>
      </c>
      <c r="J4073">
        <v>3.4</v>
      </c>
      <c r="K4073">
        <v>10</v>
      </c>
      <c r="L4073">
        <f t="shared" si="190"/>
        <v>113.193</v>
      </c>
      <c r="M4073">
        <v>5</v>
      </c>
      <c r="N4073" t="str">
        <f t="shared" si="191"/>
        <v>Regular</v>
      </c>
    </row>
    <row r="4074" spans="1:14" x14ac:dyDescent="0.35">
      <c r="A4074">
        <v>4073</v>
      </c>
      <c r="B4074">
        <v>26</v>
      </c>
      <c r="C4074" t="str">
        <f t="shared" si="189"/>
        <v>Youth</v>
      </c>
      <c r="D4074" t="s">
        <v>11</v>
      </c>
      <c r="E4074" t="s">
        <v>12</v>
      </c>
      <c r="F4074" t="s">
        <v>50</v>
      </c>
      <c r="G4074">
        <v>62.53</v>
      </c>
      <c r="H4074" t="s">
        <v>31</v>
      </c>
      <c r="I4074" t="s">
        <v>37</v>
      </c>
      <c r="J4074">
        <v>3.8</v>
      </c>
      <c r="K4074">
        <v>16</v>
      </c>
      <c r="L4074">
        <f t="shared" si="190"/>
        <v>52.525199999999998</v>
      </c>
      <c r="M4074">
        <v>8</v>
      </c>
      <c r="N4074" t="str">
        <f t="shared" si="191"/>
        <v>Loyal</v>
      </c>
    </row>
    <row r="4075" spans="1:14" x14ac:dyDescent="0.35">
      <c r="A4075">
        <v>4074</v>
      </c>
      <c r="B4075">
        <v>28</v>
      </c>
      <c r="C4075" t="str">
        <f t="shared" si="189"/>
        <v>Youth</v>
      </c>
      <c r="D4075" t="s">
        <v>11</v>
      </c>
      <c r="E4075" t="s">
        <v>33</v>
      </c>
      <c r="F4075" t="s">
        <v>40</v>
      </c>
      <c r="G4075">
        <v>205.3</v>
      </c>
      <c r="H4075" t="s">
        <v>14</v>
      </c>
      <c r="I4075" t="s">
        <v>15</v>
      </c>
      <c r="J4075">
        <v>4.8</v>
      </c>
      <c r="K4075">
        <v>10</v>
      </c>
      <c r="L4075">
        <f t="shared" si="190"/>
        <v>184.77</v>
      </c>
      <c r="M4075">
        <v>5</v>
      </c>
      <c r="N4075" t="str">
        <f t="shared" si="191"/>
        <v>Regular</v>
      </c>
    </row>
    <row r="4076" spans="1:14" x14ac:dyDescent="0.35">
      <c r="A4076">
        <v>4075</v>
      </c>
      <c r="B4076">
        <v>39</v>
      </c>
      <c r="C4076" t="str">
        <f t="shared" si="189"/>
        <v>Adult</v>
      </c>
      <c r="D4076" t="s">
        <v>11</v>
      </c>
      <c r="E4076" t="s">
        <v>29</v>
      </c>
      <c r="F4076" t="s">
        <v>51</v>
      </c>
      <c r="G4076">
        <v>99.04</v>
      </c>
      <c r="H4076" t="s">
        <v>14</v>
      </c>
      <c r="I4076" t="s">
        <v>15</v>
      </c>
      <c r="J4076">
        <v>4.5</v>
      </c>
      <c r="K4076">
        <v>26</v>
      </c>
      <c r="L4076">
        <f t="shared" si="190"/>
        <v>73.289600000000007</v>
      </c>
      <c r="M4076">
        <v>8</v>
      </c>
      <c r="N4076" t="str">
        <f t="shared" si="191"/>
        <v>Loyal</v>
      </c>
    </row>
    <row r="4077" spans="1:14" x14ac:dyDescent="0.35">
      <c r="A4077">
        <v>4076</v>
      </c>
      <c r="B4077">
        <v>33</v>
      </c>
      <c r="C4077" t="str">
        <f t="shared" si="189"/>
        <v>Adult</v>
      </c>
      <c r="D4077" t="s">
        <v>16</v>
      </c>
      <c r="E4077" t="s">
        <v>20</v>
      </c>
      <c r="F4077" t="s">
        <v>36</v>
      </c>
      <c r="G4077">
        <v>123.12</v>
      </c>
      <c r="H4077" t="s">
        <v>24</v>
      </c>
      <c r="I4077" t="s">
        <v>15</v>
      </c>
      <c r="J4077">
        <v>4</v>
      </c>
      <c r="K4077">
        <v>18</v>
      </c>
      <c r="L4077">
        <f t="shared" si="190"/>
        <v>100.95840000000001</v>
      </c>
      <c r="M4077">
        <v>9</v>
      </c>
      <c r="N4077" t="str">
        <f t="shared" si="191"/>
        <v>Loyal</v>
      </c>
    </row>
    <row r="4078" spans="1:14" x14ac:dyDescent="0.35">
      <c r="A4078">
        <v>4077</v>
      </c>
      <c r="B4078">
        <v>40</v>
      </c>
      <c r="C4078" t="str">
        <f t="shared" si="189"/>
        <v>Adult</v>
      </c>
      <c r="D4078" t="s">
        <v>16</v>
      </c>
      <c r="E4078" t="s">
        <v>27</v>
      </c>
      <c r="F4078" t="s">
        <v>49</v>
      </c>
      <c r="G4078">
        <v>1512.28</v>
      </c>
      <c r="H4078" t="s">
        <v>19</v>
      </c>
      <c r="I4078" t="s">
        <v>15</v>
      </c>
      <c r="J4078">
        <v>3.8</v>
      </c>
      <c r="K4078">
        <v>15</v>
      </c>
      <c r="L4078">
        <f t="shared" si="190"/>
        <v>1285.4379999999999</v>
      </c>
      <c r="M4078">
        <v>5</v>
      </c>
      <c r="N4078" t="str">
        <f t="shared" si="191"/>
        <v>Regular</v>
      </c>
    </row>
    <row r="4079" spans="1:14" x14ac:dyDescent="0.35">
      <c r="A4079">
        <v>4078</v>
      </c>
      <c r="B4079">
        <v>62</v>
      </c>
      <c r="C4079" t="str">
        <f t="shared" si="189"/>
        <v>Senior</v>
      </c>
      <c r="D4079" t="s">
        <v>16</v>
      </c>
      <c r="E4079" t="s">
        <v>17</v>
      </c>
      <c r="F4079" t="s">
        <v>35</v>
      </c>
      <c r="G4079">
        <v>71.94</v>
      </c>
      <c r="H4079" t="s">
        <v>31</v>
      </c>
      <c r="I4079" t="s">
        <v>15</v>
      </c>
      <c r="J4079">
        <v>4.9000000000000004</v>
      </c>
      <c r="K4079">
        <v>17</v>
      </c>
      <c r="L4079">
        <f t="shared" si="190"/>
        <v>59.710199999999993</v>
      </c>
      <c r="M4079">
        <v>6</v>
      </c>
      <c r="N4079" t="str">
        <f t="shared" si="191"/>
        <v>Regular</v>
      </c>
    </row>
    <row r="4080" spans="1:14" x14ac:dyDescent="0.35">
      <c r="A4080">
        <v>4079</v>
      </c>
      <c r="B4080">
        <v>28</v>
      </c>
      <c r="C4080" t="str">
        <f t="shared" si="189"/>
        <v>Youth</v>
      </c>
      <c r="D4080" t="s">
        <v>16</v>
      </c>
      <c r="E4080" t="s">
        <v>20</v>
      </c>
      <c r="F4080" t="s">
        <v>21</v>
      </c>
      <c r="G4080">
        <v>153.12</v>
      </c>
      <c r="H4080" t="s">
        <v>24</v>
      </c>
      <c r="I4080" t="s">
        <v>15</v>
      </c>
      <c r="J4080">
        <v>4.4000000000000004</v>
      </c>
      <c r="K4080">
        <v>9</v>
      </c>
      <c r="L4080">
        <f t="shared" si="190"/>
        <v>139.33920000000001</v>
      </c>
      <c r="M4080">
        <v>2</v>
      </c>
      <c r="N4080" t="str">
        <f t="shared" si="191"/>
        <v>New</v>
      </c>
    </row>
    <row r="4081" spans="1:14" x14ac:dyDescent="0.35">
      <c r="A4081">
        <v>4080</v>
      </c>
      <c r="B4081">
        <v>43</v>
      </c>
      <c r="C4081" t="str">
        <f t="shared" si="189"/>
        <v>Adult</v>
      </c>
      <c r="D4081" t="s">
        <v>11</v>
      </c>
      <c r="E4081" t="s">
        <v>12</v>
      </c>
      <c r="F4081" t="s">
        <v>50</v>
      </c>
      <c r="G4081">
        <v>74.33</v>
      </c>
      <c r="H4081" t="s">
        <v>14</v>
      </c>
      <c r="I4081" t="s">
        <v>15</v>
      </c>
      <c r="J4081">
        <v>3.6</v>
      </c>
      <c r="K4081">
        <v>11</v>
      </c>
      <c r="L4081">
        <f t="shared" si="190"/>
        <v>66.153700000000001</v>
      </c>
      <c r="M4081">
        <v>3</v>
      </c>
      <c r="N4081" t="str">
        <f t="shared" si="191"/>
        <v>New</v>
      </c>
    </row>
    <row r="4082" spans="1:14" x14ac:dyDescent="0.35">
      <c r="A4082">
        <v>4081</v>
      </c>
      <c r="B4082">
        <v>22</v>
      </c>
      <c r="C4082" t="str">
        <f t="shared" si="189"/>
        <v>Youth</v>
      </c>
      <c r="D4082" t="s">
        <v>11</v>
      </c>
      <c r="E4082" t="s">
        <v>12</v>
      </c>
      <c r="F4082" t="s">
        <v>50</v>
      </c>
      <c r="G4082">
        <v>100.98</v>
      </c>
      <c r="H4082" t="s">
        <v>19</v>
      </c>
      <c r="I4082" t="s">
        <v>15</v>
      </c>
      <c r="J4082">
        <v>4.3</v>
      </c>
      <c r="K4082">
        <v>13</v>
      </c>
      <c r="L4082">
        <f t="shared" si="190"/>
        <v>87.85260000000001</v>
      </c>
      <c r="M4082">
        <v>4</v>
      </c>
      <c r="N4082" t="str">
        <f t="shared" si="191"/>
        <v>Regular</v>
      </c>
    </row>
    <row r="4083" spans="1:14" x14ac:dyDescent="0.35">
      <c r="A4083">
        <v>4082</v>
      </c>
      <c r="B4083">
        <v>51</v>
      </c>
      <c r="C4083" t="str">
        <f t="shared" si="189"/>
        <v>Adult</v>
      </c>
      <c r="D4083" t="s">
        <v>16</v>
      </c>
      <c r="E4083" t="s">
        <v>27</v>
      </c>
      <c r="F4083" t="s">
        <v>49</v>
      </c>
      <c r="G4083">
        <v>2199.5100000000002</v>
      </c>
      <c r="H4083" t="s">
        <v>19</v>
      </c>
      <c r="I4083" t="s">
        <v>15</v>
      </c>
      <c r="J4083">
        <v>3.6</v>
      </c>
      <c r="K4083">
        <v>15</v>
      </c>
      <c r="L4083">
        <f t="shared" si="190"/>
        <v>1869.5835000000002</v>
      </c>
      <c r="M4083">
        <v>5</v>
      </c>
      <c r="N4083" t="str">
        <f t="shared" si="191"/>
        <v>Regular</v>
      </c>
    </row>
    <row r="4084" spans="1:14" x14ac:dyDescent="0.35">
      <c r="A4084">
        <v>4083</v>
      </c>
      <c r="B4084">
        <v>53</v>
      </c>
      <c r="C4084" t="str">
        <f t="shared" si="189"/>
        <v>Adult</v>
      </c>
      <c r="D4084" t="s">
        <v>16</v>
      </c>
      <c r="E4084" t="s">
        <v>20</v>
      </c>
      <c r="F4084" t="s">
        <v>39</v>
      </c>
      <c r="G4084">
        <v>74.23</v>
      </c>
      <c r="H4084" t="s">
        <v>24</v>
      </c>
      <c r="I4084" t="s">
        <v>15</v>
      </c>
      <c r="J4084">
        <v>2.2000000000000002</v>
      </c>
      <c r="K4084">
        <v>19</v>
      </c>
      <c r="L4084">
        <f t="shared" si="190"/>
        <v>60.126300000000008</v>
      </c>
      <c r="M4084">
        <v>7</v>
      </c>
      <c r="N4084" t="str">
        <f t="shared" si="191"/>
        <v>Regular</v>
      </c>
    </row>
    <row r="4085" spans="1:14" x14ac:dyDescent="0.35">
      <c r="A4085">
        <v>4084</v>
      </c>
      <c r="B4085">
        <v>36</v>
      </c>
      <c r="C4085" t="str">
        <f t="shared" si="189"/>
        <v>Adult</v>
      </c>
      <c r="D4085" t="s">
        <v>16</v>
      </c>
      <c r="E4085" t="s">
        <v>27</v>
      </c>
      <c r="F4085" t="s">
        <v>49</v>
      </c>
      <c r="G4085">
        <v>2049.23</v>
      </c>
      <c r="H4085" t="s">
        <v>19</v>
      </c>
      <c r="I4085" t="s">
        <v>15</v>
      </c>
      <c r="J4085">
        <v>3</v>
      </c>
      <c r="K4085">
        <v>22</v>
      </c>
      <c r="L4085">
        <f t="shared" si="190"/>
        <v>1598.3994</v>
      </c>
      <c r="M4085">
        <v>6</v>
      </c>
      <c r="N4085" t="str">
        <f t="shared" si="191"/>
        <v>Regular</v>
      </c>
    </row>
    <row r="4086" spans="1:14" x14ac:dyDescent="0.35">
      <c r="A4086">
        <v>4085</v>
      </c>
      <c r="B4086">
        <v>68</v>
      </c>
      <c r="C4086" t="str">
        <f t="shared" si="189"/>
        <v>Senior</v>
      </c>
      <c r="D4086" t="s">
        <v>16</v>
      </c>
      <c r="E4086" t="s">
        <v>27</v>
      </c>
      <c r="F4086" t="s">
        <v>28</v>
      </c>
      <c r="G4086">
        <v>2813.71</v>
      </c>
      <c r="H4086" t="s">
        <v>31</v>
      </c>
      <c r="I4086" t="s">
        <v>15</v>
      </c>
      <c r="J4086">
        <v>4.0999999999999996</v>
      </c>
      <c r="K4086">
        <v>13</v>
      </c>
      <c r="L4086">
        <f t="shared" si="190"/>
        <v>2447.9277000000002</v>
      </c>
      <c r="M4086">
        <v>4</v>
      </c>
      <c r="N4086" t="str">
        <f t="shared" si="191"/>
        <v>Regular</v>
      </c>
    </row>
    <row r="4087" spans="1:14" x14ac:dyDescent="0.35">
      <c r="A4087">
        <v>4086</v>
      </c>
      <c r="B4087">
        <v>53</v>
      </c>
      <c r="C4087" t="str">
        <f t="shared" si="189"/>
        <v>Adult</v>
      </c>
      <c r="D4087" t="s">
        <v>11</v>
      </c>
      <c r="E4087" t="s">
        <v>41</v>
      </c>
      <c r="F4087" t="s">
        <v>44</v>
      </c>
      <c r="G4087">
        <v>81.17</v>
      </c>
      <c r="H4087" t="s">
        <v>24</v>
      </c>
      <c r="I4087" t="s">
        <v>37</v>
      </c>
      <c r="J4087">
        <v>5</v>
      </c>
      <c r="K4087">
        <v>20</v>
      </c>
      <c r="L4087">
        <f t="shared" si="190"/>
        <v>64.936000000000007</v>
      </c>
      <c r="M4087">
        <v>5</v>
      </c>
      <c r="N4087" t="str">
        <f t="shared" si="191"/>
        <v>Regular</v>
      </c>
    </row>
    <row r="4088" spans="1:14" x14ac:dyDescent="0.35">
      <c r="A4088">
        <v>4087</v>
      </c>
      <c r="B4088">
        <v>46</v>
      </c>
      <c r="C4088" t="str">
        <f t="shared" si="189"/>
        <v>Adult</v>
      </c>
      <c r="D4088" t="s">
        <v>16</v>
      </c>
      <c r="E4088" t="s">
        <v>17</v>
      </c>
      <c r="F4088" t="s">
        <v>42</v>
      </c>
      <c r="G4088">
        <v>30.78</v>
      </c>
      <c r="H4088" t="s">
        <v>24</v>
      </c>
      <c r="I4088" t="s">
        <v>15</v>
      </c>
      <c r="J4088">
        <v>5</v>
      </c>
      <c r="K4088">
        <v>12</v>
      </c>
      <c r="L4088">
        <f t="shared" si="190"/>
        <v>27.086400000000001</v>
      </c>
      <c r="M4088">
        <v>6</v>
      </c>
      <c r="N4088" t="str">
        <f t="shared" si="191"/>
        <v>Regular</v>
      </c>
    </row>
    <row r="4089" spans="1:14" x14ac:dyDescent="0.35">
      <c r="A4089">
        <v>4088</v>
      </c>
      <c r="B4089">
        <v>66</v>
      </c>
      <c r="C4089" t="str">
        <f t="shared" si="189"/>
        <v>Senior</v>
      </c>
      <c r="D4089" t="s">
        <v>16</v>
      </c>
      <c r="E4089" t="s">
        <v>20</v>
      </c>
      <c r="F4089" t="s">
        <v>39</v>
      </c>
      <c r="G4089">
        <v>181.35</v>
      </c>
      <c r="H4089" t="s">
        <v>19</v>
      </c>
      <c r="I4089" t="s">
        <v>15</v>
      </c>
      <c r="J4089">
        <v>4</v>
      </c>
      <c r="K4089">
        <v>23</v>
      </c>
      <c r="L4089">
        <f t="shared" si="190"/>
        <v>139.6395</v>
      </c>
      <c r="M4089">
        <v>9</v>
      </c>
      <c r="N4089" t="str">
        <f t="shared" si="191"/>
        <v>Loyal</v>
      </c>
    </row>
    <row r="4090" spans="1:14" x14ac:dyDescent="0.35">
      <c r="A4090">
        <v>4089</v>
      </c>
      <c r="B4090">
        <v>68</v>
      </c>
      <c r="C4090" t="str">
        <f t="shared" si="189"/>
        <v>Senior</v>
      </c>
      <c r="D4090" t="s">
        <v>16</v>
      </c>
      <c r="E4090" t="s">
        <v>27</v>
      </c>
      <c r="F4090" t="s">
        <v>49</v>
      </c>
      <c r="G4090">
        <v>2171.9299999999998</v>
      </c>
      <c r="H4090" t="s">
        <v>19</v>
      </c>
      <c r="I4090" t="s">
        <v>15</v>
      </c>
      <c r="J4090">
        <v>3.8</v>
      </c>
      <c r="K4090">
        <v>14</v>
      </c>
      <c r="L4090">
        <f t="shared" si="190"/>
        <v>1867.8597999999997</v>
      </c>
      <c r="M4090">
        <v>2</v>
      </c>
      <c r="N4090" t="str">
        <f t="shared" si="191"/>
        <v>New</v>
      </c>
    </row>
    <row r="4091" spans="1:14" x14ac:dyDescent="0.35">
      <c r="A4091">
        <v>4090</v>
      </c>
      <c r="B4091">
        <v>24</v>
      </c>
      <c r="C4091" t="str">
        <f t="shared" si="189"/>
        <v>Youth</v>
      </c>
      <c r="D4091" t="s">
        <v>11</v>
      </c>
      <c r="E4091" t="s">
        <v>20</v>
      </c>
      <c r="F4091" t="s">
        <v>36</v>
      </c>
      <c r="G4091">
        <v>164.57</v>
      </c>
      <c r="H4091" t="s">
        <v>19</v>
      </c>
      <c r="I4091" t="s">
        <v>15</v>
      </c>
      <c r="J4091">
        <v>3</v>
      </c>
      <c r="K4091">
        <v>14</v>
      </c>
      <c r="L4091">
        <f t="shared" si="190"/>
        <v>141.53019999999998</v>
      </c>
      <c r="M4091">
        <v>7</v>
      </c>
      <c r="N4091" t="str">
        <f t="shared" si="191"/>
        <v>Regular</v>
      </c>
    </row>
    <row r="4092" spans="1:14" x14ac:dyDescent="0.35">
      <c r="A4092">
        <v>4091</v>
      </c>
      <c r="B4092">
        <v>37</v>
      </c>
      <c r="C4092" t="str">
        <f t="shared" si="189"/>
        <v>Adult</v>
      </c>
      <c r="D4092" t="s">
        <v>16</v>
      </c>
      <c r="E4092" t="s">
        <v>25</v>
      </c>
      <c r="F4092" t="s">
        <v>54</v>
      </c>
      <c r="G4092">
        <v>18.23</v>
      </c>
      <c r="H4092" t="s">
        <v>14</v>
      </c>
      <c r="I4092" t="s">
        <v>15</v>
      </c>
      <c r="J4092">
        <v>3.5</v>
      </c>
      <c r="K4092">
        <v>10</v>
      </c>
      <c r="L4092">
        <f t="shared" si="190"/>
        <v>16.407</v>
      </c>
      <c r="M4092">
        <v>5</v>
      </c>
      <c r="N4092" t="str">
        <f t="shared" si="191"/>
        <v>Regular</v>
      </c>
    </row>
    <row r="4093" spans="1:14" x14ac:dyDescent="0.35">
      <c r="A4093">
        <v>4092</v>
      </c>
      <c r="B4093">
        <v>64</v>
      </c>
      <c r="C4093" t="str">
        <f t="shared" si="189"/>
        <v>Senior</v>
      </c>
      <c r="D4093" t="s">
        <v>11</v>
      </c>
      <c r="E4093" t="s">
        <v>29</v>
      </c>
      <c r="F4093" t="s">
        <v>55</v>
      </c>
      <c r="G4093">
        <v>73.92</v>
      </c>
      <c r="H4093" t="s">
        <v>24</v>
      </c>
      <c r="I4093" t="s">
        <v>15</v>
      </c>
      <c r="J4093">
        <v>3.1</v>
      </c>
      <c r="K4093">
        <v>7</v>
      </c>
      <c r="L4093">
        <f t="shared" si="190"/>
        <v>68.745599999999996</v>
      </c>
      <c r="M4093">
        <v>1</v>
      </c>
      <c r="N4093" t="str">
        <f t="shared" si="191"/>
        <v>New</v>
      </c>
    </row>
    <row r="4094" spans="1:14" x14ac:dyDescent="0.35">
      <c r="A4094">
        <v>4093</v>
      </c>
      <c r="B4094">
        <v>43</v>
      </c>
      <c r="C4094" t="str">
        <f t="shared" si="189"/>
        <v>Adult</v>
      </c>
      <c r="D4094" t="s">
        <v>16</v>
      </c>
      <c r="E4094" t="s">
        <v>20</v>
      </c>
      <c r="F4094" t="s">
        <v>21</v>
      </c>
      <c r="G4094">
        <v>221.83</v>
      </c>
      <c r="H4094" t="s">
        <v>14</v>
      </c>
      <c r="I4094" t="s">
        <v>15</v>
      </c>
      <c r="J4094">
        <v>4.3</v>
      </c>
      <c r="K4094">
        <v>21</v>
      </c>
      <c r="L4094">
        <f t="shared" si="190"/>
        <v>175.24570000000003</v>
      </c>
      <c r="M4094">
        <v>8</v>
      </c>
      <c r="N4094" t="str">
        <f t="shared" si="191"/>
        <v>Loyal</v>
      </c>
    </row>
    <row r="4095" spans="1:14" x14ac:dyDescent="0.35">
      <c r="A4095">
        <v>4094</v>
      </c>
      <c r="B4095">
        <v>68</v>
      </c>
      <c r="C4095" t="str">
        <f t="shared" si="189"/>
        <v>Senior</v>
      </c>
      <c r="D4095" t="s">
        <v>11</v>
      </c>
      <c r="E4095" t="s">
        <v>29</v>
      </c>
      <c r="F4095" t="s">
        <v>51</v>
      </c>
      <c r="G4095">
        <v>100.18</v>
      </c>
      <c r="H4095" t="s">
        <v>14</v>
      </c>
      <c r="I4095" t="s">
        <v>15</v>
      </c>
      <c r="J4095">
        <v>3.3</v>
      </c>
      <c r="K4095">
        <v>18</v>
      </c>
      <c r="L4095">
        <f t="shared" si="190"/>
        <v>82.147600000000011</v>
      </c>
      <c r="M4095">
        <v>4</v>
      </c>
      <c r="N4095" t="str">
        <f t="shared" si="191"/>
        <v>Regular</v>
      </c>
    </row>
    <row r="4096" spans="1:14" x14ac:dyDescent="0.35">
      <c r="A4096">
        <v>4095</v>
      </c>
      <c r="B4096">
        <v>41</v>
      </c>
      <c r="C4096" t="str">
        <f t="shared" si="189"/>
        <v>Adult</v>
      </c>
      <c r="D4096" t="s">
        <v>16</v>
      </c>
      <c r="E4096" t="s">
        <v>20</v>
      </c>
      <c r="F4096" t="s">
        <v>21</v>
      </c>
      <c r="G4096">
        <v>70.849999999999994</v>
      </c>
      <c r="H4096" t="s">
        <v>31</v>
      </c>
      <c r="I4096" t="s">
        <v>37</v>
      </c>
      <c r="J4096">
        <v>5</v>
      </c>
      <c r="K4096">
        <v>18</v>
      </c>
      <c r="L4096">
        <f t="shared" si="190"/>
        <v>58.097000000000001</v>
      </c>
      <c r="M4096">
        <v>4</v>
      </c>
      <c r="N4096" t="str">
        <f t="shared" si="191"/>
        <v>Regular</v>
      </c>
    </row>
    <row r="4097" spans="1:14" x14ac:dyDescent="0.35">
      <c r="A4097">
        <v>4096</v>
      </c>
      <c r="B4097">
        <v>26</v>
      </c>
      <c r="C4097" t="str">
        <f t="shared" si="189"/>
        <v>Youth</v>
      </c>
      <c r="D4097" t="s">
        <v>11</v>
      </c>
      <c r="E4097" t="s">
        <v>22</v>
      </c>
      <c r="F4097" t="s">
        <v>23</v>
      </c>
      <c r="G4097">
        <v>209.2</v>
      </c>
      <c r="H4097" t="s">
        <v>19</v>
      </c>
      <c r="I4097" t="s">
        <v>15</v>
      </c>
      <c r="J4097">
        <v>4.3</v>
      </c>
      <c r="K4097">
        <v>6</v>
      </c>
      <c r="L4097">
        <f t="shared" si="190"/>
        <v>196.64799999999997</v>
      </c>
      <c r="M4097">
        <v>3</v>
      </c>
      <c r="N4097" t="str">
        <f t="shared" si="191"/>
        <v>New</v>
      </c>
    </row>
    <row r="4098" spans="1:14" x14ac:dyDescent="0.35">
      <c r="A4098">
        <v>4097</v>
      </c>
      <c r="B4098">
        <v>30</v>
      </c>
      <c r="C4098" t="str">
        <f t="shared" si="189"/>
        <v>Youth</v>
      </c>
      <c r="D4098" t="s">
        <v>11</v>
      </c>
      <c r="E4098" t="s">
        <v>41</v>
      </c>
      <c r="F4098" t="s">
        <v>44</v>
      </c>
      <c r="G4098">
        <v>186.87</v>
      </c>
      <c r="H4098" t="s">
        <v>24</v>
      </c>
      <c r="I4098" t="s">
        <v>15</v>
      </c>
      <c r="J4098">
        <v>2.6</v>
      </c>
      <c r="K4098">
        <v>4</v>
      </c>
      <c r="L4098">
        <f t="shared" si="190"/>
        <v>179.39519999999999</v>
      </c>
      <c r="M4098">
        <v>2</v>
      </c>
      <c r="N4098" t="str">
        <f t="shared" si="191"/>
        <v>New</v>
      </c>
    </row>
    <row r="4099" spans="1:14" x14ac:dyDescent="0.35">
      <c r="A4099">
        <v>4098</v>
      </c>
      <c r="B4099">
        <v>68</v>
      </c>
      <c r="C4099" t="str">
        <f t="shared" ref="C4099:C4162" si="192">IF(B4099&lt;=30,"Youth",IF(B4099&lt;=45,"Adult",IF(B4099&lt;=60,"Adult","Senior")))</f>
        <v>Senior</v>
      </c>
      <c r="D4099" t="s">
        <v>11</v>
      </c>
      <c r="E4099" t="s">
        <v>12</v>
      </c>
      <c r="F4099" t="s">
        <v>56</v>
      </c>
      <c r="G4099">
        <v>150.12</v>
      </c>
      <c r="H4099" t="s">
        <v>24</v>
      </c>
      <c r="I4099" t="s">
        <v>15</v>
      </c>
      <c r="J4099">
        <v>2.9</v>
      </c>
      <c r="K4099">
        <v>6</v>
      </c>
      <c r="L4099">
        <f t="shared" ref="L4099:L4162" si="193">G4099*(1-K4099/100)</f>
        <v>141.11279999999999</v>
      </c>
      <c r="M4099">
        <v>3</v>
      </c>
      <c r="N4099" t="str">
        <f t="shared" ref="N4099:N4162" si="194">IF(M4099&lt;=3,"New",IF(M4099&lt;=7,"Regular","Loyal"))</f>
        <v>New</v>
      </c>
    </row>
    <row r="4100" spans="1:14" x14ac:dyDescent="0.35">
      <c r="A4100">
        <v>4099</v>
      </c>
      <c r="B4100">
        <v>26</v>
      </c>
      <c r="C4100" t="str">
        <f t="shared" si="192"/>
        <v>Youth</v>
      </c>
      <c r="D4100" t="s">
        <v>16</v>
      </c>
      <c r="E4100" t="s">
        <v>17</v>
      </c>
      <c r="F4100" t="s">
        <v>42</v>
      </c>
      <c r="G4100">
        <v>119.13</v>
      </c>
      <c r="H4100" t="s">
        <v>14</v>
      </c>
      <c r="I4100" t="s">
        <v>15</v>
      </c>
      <c r="J4100">
        <v>4.5</v>
      </c>
      <c r="K4100">
        <v>6</v>
      </c>
      <c r="L4100">
        <f t="shared" si="193"/>
        <v>111.98219999999999</v>
      </c>
      <c r="M4100">
        <v>3</v>
      </c>
      <c r="N4100" t="str">
        <f t="shared" si="194"/>
        <v>New</v>
      </c>
    </row>
    <row r="4101" spans="1:14" x14ac:dyDescent="0.35">
      <c r="A4101">
        <v>4100</v>
      </c>
      <c r="B4101">
        <v>40</v>
      </c>
      <c r="C4101" t="str">
        <f t="shared" si="192"/>
        <v>Adult</v>
      </c>
      <c r="D4101" t="s">
        <v>16</v>
      </c>
      <c r="E4101" t="s">
        <v>27</v>
      </c>
      <c r="F4101" t="s">
        <v>49</v>
      </c>
      <c r="G4101">
        <v>2011.55</v>
      </c>
      <c r="H4101" t="s">
        <v>24</v>
      </c>
      <c r="I4101" t="s">
        <v>15</v>
      </c>
      <c r="J4101">
        <v>3.8</v>
      </c>
      <c r="K4101">
        <v>10</v>
      </c>
      <c r="L4101">
        <f t="shared" si="193"/>
        <v>1810.395</v>
      </c>
      <c r="M4101">
        <v>5</v>
      </c>
      <c r="N4101" t="str">
        <f t="shared" si="194"/>
        <v>Regular</v>
      </c>
    </row>
    <row r="4102" spans="1:14" x14ac:dyDescent="0.35">
      <c r="A4102">
        <v>4101</v>
      </c>
      <c r="B4102">
        <v>65</v>
      </c>
      <c r="C4102" t="str">
        <f t="shared" si="192"/>
        <v>Senior</v>
      </c>
      <c r="D4102" t="s">
        <v>11</v>
      </c>
      <c r="E4102" t="s">
        <v>12</v>
      </c>
      <c r="F4102" t="s">
        <v>50</v>
      </c>
      <c r="G4102">
        <v>98.52</v>
      </c>
      <c r="H4102" t="s">
        <v>31</v>
      </c>
      <c r="I4102" t="s">
        <v>37</v>
      </c>
      <c r="J4102">
        <v>5</v>
      </c>
      <c r="K4102">
        <v>12</v>
      </c>
      <c r="L4102">
        <f t="shared" si="193"/>
        <v>86.697599999999994</v>
      </c>
      <c r="M4102">
        <v>6</v>
      </c>
      <c r="N4102" t="str">
        <f t="shared" si="194"/>
        <v>Regular</v>
      </c>
    </row>
    <row r="4103" spans="1:14" x14ac:dyDescent="0.35">
      <c r="A4103">
        <v>4102</v>
      </c>
      <c r="B4103">
        <v>53</v>
      </c>
      <c r="C4103" t="str">
        <f t="shared" si="192"/>
        <v>Adult</v>
      </c>
      <c r="D4103" t="s">
        <v>16</v>
      </c>
      <c r="E4103" t="s">
        <v>20</v>
      </c>
      <c r="F4103" t="s">
        <v>21</v>
      </c>
      <c r="G4103">
        <v>138.94</v>
      </c>
      <c r="H4103" t="s">
        <v>14</v>
      </c>
      <c r="I4103" t="s">
        <v>15</v>
      </c>
      <c r="J4103">
        <v>3.6</v>
      </c>
      <c r="K4103">
        <v>10</v>
      </c>
      <c r="L4103">
        <f t="shared" si="193"/>
        <v>125.04600000000001</v>
      </c>
      <c r="M4103">
        <v>5</v>
      </c>
      <c r="N4103" t="str">
        <f t="shared" si="194"/>
        <v>Regular</v>
      </c>
    </row>
    <row r="4104" spans="1:14" x14ac:dyDescent="0.35">
      <c r="A4104">
        <v>4103</v>
      </c>
      <c r="B4104">
        <v>60</v>
      </c>
      <c r="C4104" t="str">
        <f t="shared" si="192"/>
        <v>Adult</v>
      </c>
      <c r="D4104" t="s">
        <v>11</v>
      </c>
      <c r="E4104" t="s">
        <v>12</v>
      </c>
      <c r="F4104" t="s">
        <v>13</v>
      </c>
      <c r="G4104">
        <v>84.56</v>
      </c>
      <c r="H4104" t="s">
        <v>19</v>
      </c>
      <c r="I4104" t="s">
        <v>37</v>
      </c>
      <c r="J4104">
        <v>3.5</v>
      </c>
      <c r="K4104">
        <v>22</v>
      </c>
      <c r="L4104">
        <f t="shared" si="193"/>
        <v>65.956800000000001</v>
      </c>
      <c r="M4104">
        <v>6</v>
      </c>
      <c r="N4104" t="str">
        <f t="shared" si="194"/>
        <v>Regular</v>
      </c>
    </row>
    <row r="4105" spans="1:14" x14ac:dyDescent="0.35">
      <c r="A4105">
        <v>4104</v>
      </c>
      <c r="B4105">
        <v>58</v>
      </c>
      <c r="C4105" t="str">
        <f t="shared" si="192"/>
        <v>Adult</v>
      </c>
      <c r="D4105" t="s">
        <v>11</v>
      </c>
      <c r="E4105" t="s">
        <v>41</v>
      </c>
      <c r="F4105" t="s">
        <v>46</v>
      </c>
      <c r="G4105">
        <v>71.760000000000005</v>
      </c>
      <c r="H4105" t="s">
        <v>19</v>
      </c>
      <c r="I4105" t="s">
        <v>15</v>
      </c>
      <c r="J4105">
        <v>5</v>
      </c>
      <c r="K4105">
        <v>9</v>
      </c>
      <c r="L4105">
        <f t="shared" si="193"/>
        <v>65.301600000000008</v>
      </c>
      <c r="M4105">
        <v>2</v>
      </c>
      <c r="N4105" t="str">
        <f t="shared" si="194"/>
        <v>New</v>
      </c>
    </row>
    <row r="4106" spans="1:14" x14ac:dyDescent="0.35">
      <c r="A4106">
        <v>4105</v>
      </c>
      <c r="B4106">
        <v>47</v>
      </c>
      <c r="C4106" t="str">
        <f t="shared" si="192"/>
        <v>Adult</v>
      </c>
      <c r="D4106" t="s">
        <v>16</v>
      </c>
      <c r="E4106" t="s">
        <v>27</v>
      </c>
      <c r="F4106" t="s">
        <v>49</v>
      </c>
      <c r="G4106">
        <v>2924.57</v>
      </c>
      <c r="H4106" t="s">
        <v>24</v>
      </c>
      <c r="I4106" t="s">
        <v>15</v>
      </c>
      <c r="J4106">
        <v>3.5</v>
      </c>
      <c r="K4106">
        <v>13</v>
      </c>
      <c r="L4106">
        <f t="shared" si="193"/>
        <v>2544.3759</v>
      </c>
      <c r="M4106">
        <v>4</v>
      </c>
      <c r="N4106" t="str">
        <f t="shared" si="194"/>
        <v>Regular</v>
      </c>
    </row>
    <row r="4107" spans="1:14" x14ac:dyDescent="0.35">
      <c r="A4107">
        <v>4106</v>
      </c>
      <c r="B4107">
        <v>57</v>
      </c>
      <c r="C4107" t="str">
        <f t="shared" si="192"/>
        <v>Adult</v>
      </c>
      <c r="D4107" t="s">
        <v>11</v>
      </c>
      <c r="E4107" t="s">
        <v>12</v>
      </c>
      <c r="F4107" t="s">
        <v>13</v>
      </c>
      <c r="G4107">
        <v>96.5</v>
      </c>
      <c r="H4107" t="s">
        <v>19</v>
      </c>
      <c r="I4107" t="s">
        <v>15</v>
      </c>
      <c r="J4107">
        <v>2.9</v>
      </c>
      <c r="K4107">
        <v>13</v>
      </c>
      <c r="L4107">
        <f t="shared" si="193"/>
        <v>83.954999999999998</v>
      </c>
      <c r="M4107">
        <v>4</v>
      </c>
      <c r="N4107" t="str">
        <f t="shared" si="194"/>
        <v>Regular</v>
      </c>
    </row>
    <row r="4108" spans="1:14" x14ac:dyDescent="0.35">
      <c r="A4108">
        <v>4107</v>
      </c>
      <c r="B4108">
        <v>62</v>
      </c>
      <c r="C4108" t="str">
        <f t="shared" si="192"/>
        <v>Senior</v>
      </c>
      <c r="D4108" t="s">
        <v>11</v>
      </c>
      <c r="E4108" t="s">
        <v>33</v>
      </c>
      <c r="F4108" t="s">
        <v>40</v>
      </c>
      <c r="G4108">
        <v>93.71</v>
      </c>
      <c r="H4108" t="s">
        <v>31</v>
      </c>
      <c r="I4108" t="s">
        <v>15</v>
      </c>
      <c r="J4108">
        <v>3.4</v>
      </c>
      <c r="K4108">
        <v>14</v>
      </c>
      <c r="L4108">
        <f t="shared" si="193"/>
        <v>80.590599999999995</v>
      </c>
      <c r="M4108">
        <v>7</v>
      </c>
      <c r="N4108" t="str">
        <f t="shared" si="194"/>
        <v>Regular</v>
      </c>
    </row>
    <row r="4109" spans="1:14" x14ac:dyDescent="0.35">
      <c r="A4109">
        <v>4108</v>
      </c>
      <c r="B4109">
        <v>59</v>
      </c>
      <c r="C4109" t="str">
        <f t="shared" si="192"/>
        <v>Adult</v>
      </c>
      <c r="D4109" t="s">
        <v>11</v>
      </c>
      <c r="E4109" t="s">
        <v>41</v>
      </c>
      <c r="F4109" t="s">
        <v>46</v>
      </c>
      <c r="G4109">
        <v>107.94</v>
      </c>
      <c r="H4109" t="s">
        <v>24</v>
      </c>
      <c r="I4109" t="s">
        <v>15</v>
      </c>
      <c r="J4109">
        <v>3.5</v>
      </c>
      <c r="K4109">
        <v>10</v>
      </c>
      <c r="L4109">
        <f t="shared" si="193"/>
        <v>97.146000000000001</v>
      </c>
      <c r="M4109">
        <v>5</v>
      </c>
      <c r="N4109" t="str">
        <f t="shared" si="194"/>
        <v>Regular</v>
      </c>
    </row>
    <row r="4110" spans="1:14" x14ac:dyDescent="0.35">
      <c r="A4110">
        <v>4109</v>
      </c>
      <c r="B4110">
        <v>29</v>
      </c>
      <c r="C4110" t="str">
        <f t="shared" si="192"/>
        <v>Youth</v>
      </c>
      <c r="D4110" t="s">
        <v>16</v>
      </c>
      <c r="E4110" t="s">
        <v>33</v>
      </c>
      <c r="F4110" t="s">
        <v>40</v>
      </c>
      <c r="G4110">
        <v>75.989999999999995</v>
      </c>
      <c r="H4110" t="s">
        <v>19</v>
      </c>
      <c r="I4110" t="s">
        <v>37</v>
      </c>
      <c r="J4110">
        <v>4.5999999999999996</v>
      </c>
      <c r="K4110">
        <v>18</v>
      </c>
      <c r="L4110">
        <f t="shared" si="193"/>
        <v>62.311799999999998</v>
      </c>
      <c r="M4110">
        <v>4</v>
      </c>
      <c r="N4110" t="str">
        <f t="shared" si="194"/>
        <v>Regular</v>
      </c>
    </row>
    <row r="4111" spans="1:14" x14ac:dyDescent="0.35">
      <c r="A4111">
        <v>4110</v>
      </c>
      <c r="B4111">
        <v>39</v>
      </c>
      <c r="C4111" t="str">
        <f t="shared" si="192"/>
        <v>Adult</v>
      </c>
      <c r="D4111" t="s">
        <v>11</v>
      </c>
      <c r="E4111" t="s">
        <v>41</v>
      </c>
      <c r="F4111" t="s">
        <v>46</v>
      </c>
      <c r="G4111">
        <v>154.16999999999999</v>
      </c>
      <c r="H4111" t="s">
        <v>14</v>
      </c>
      <c r="I4111" t="s">
        <v>15</v>
      </c>
      <c r="J4111">
        <v>4</v>
      </c>
      <c r="K4111">
        <v>23</v>
      </c>
      <c r="L4111">
        <f t="shared" si="193"/>
        <v>118.7109</v>
      </c>
      <c r="M4111">
        <v>9</v>
      </c>
      <c r="N4111" t="str">
        <f t="shared" si="194"/>
        <v>Loyal</v>
      </c>
    </row>
    <row r="4112" spans="1:14" x14ac:dyDescent="0.35">
      <c r="A4112">
        <v>4111</v>
      </c>
      <c r="B4112">
        <v>23</v>
      </c>
      <c r="C4112" t="str">
        <f t="shared" si="192"/>
        <v>Youth</v>
      </c>
      <c r="D4112" t="s">
        <v>11</v>
      </c>
      <c r="E4112" t="s">
        <v>12</v>
      </c>
      <c r="F4112" t="s">
        <v>13</v>
      </c>
      <c r="G4112">
        <v>100.67</v>
      </c>
      <c r="H4112" t="s">
        <v>31</v>
      </c>
      <c r="I4112" t="s">
        <v>15</v>
      </c>
      <c r="J4112">
        <v>3.7</v>
      </c>
      <c r="K4112">
        <v>18</v>
      </c>
      <c r="L4112">
        <f t="shared" si="193"/>
        <v>82.549400000000006</v>
      </c>
      <c r="M4112">
        <v>4</v>
      </c>
      <c r="N4112" t="str">
        <f t="shared" si="194"/>
        <v>Regular</v>
      </c>
    </row>
    <row r="4113" spans="1:14" x14ac:dyDescent="0.35">
      <c r="A4113">
        <v>4112</v>
      </c>
      <c r="B4113">
        <v>63</v>
      </c>
      <c r="C4113" t="str">
        <f t="shared" si="192"/>
        <v>Senior</v>
      </c>
      <c r="D4113" t="s">
        <v>11</v>
      </c>
      <c r="E4113" t="s">
        <v>33</v>
      </c>
      <c r="F4113" t="s">
        <v>38</v>
      </c>
      <c r="G4113">
        <v>116.77</v>
      </c>
      <c r="H4113" t="s">
        <v>31</v>
      </c>
      <c r="I4113" t="s">
        <v>15</v>
      </c>
      <c r="J4113">
        <v>4.3</v>
      </c>
      <c r="K4113">
        <v>26</v>
      </c>
      <c r="L4113">
        <f t="shared" si="193"/>
        <v>86.40979999999999</v>
      </c>
      <c r="M4113">
        <v>8</v>
      </c>
      <c r="N4113" t="str">
        <f t="shared" si="194"/>
        <v>Loyal</v>
      </c>
    </row>
    <row r="4114" spans="1:14" x14ac:dyDescent="0.35">
      <c r="A4114">
        <v>4113</v>
      </c>
      <c r="B4114">
        <v>38</v>
      </c>
      <c r="C4114" t="str">
        <f t="shared" si="192"/>
        <v>Adult</v>
      </c>
      <c r="D4114" t="s">
        <v>16</v>
      </c>
      <c r="E4114" t="s">
        <v>33</v>
      </c>
      <c r="F4114" t="s">
        <v>38</v>
      </c>
      <c r="G4114">
        <v>157.97999999999999</v>
      </c>
      <c r="H4114" t="s">
        <v>31</v>
      </c>
      <c r="I4114" t="s">
        <v>15</v>
      </c>
      <c r="J4114">
        <v>4.9000000000000004</v>
      </c>
      <c r="K4114">
        <v>22</v>
      </c>
      <c r="L4114">
        <f t="shared" si="193"/>
        <v>123.2244</v>
      </c>
      <c r="M4114">
        <v>6</v>
      </c>
      <c r="N4114" t="str">
        <f t="shared" si="194"/>
        <v>Regular</v>
      </c>
    </row>
    <row r="4115" spans="1:14" x14ac:dyDescent="0.35">
      <c r="A4115">
        <v>4114</v>
      </c>
      <c r="B4115">
        <v>63</v>
      </c>
      <c r="C4115" t="str">
        <f t="shared" si="192"/>
        <v>Senior</v>
      </c>
      <c r="D4115" t="s">
        <v>11</v>
      </c>
      <c r="E4115" t="s">
        <v>20</v>
      </c>
      <c r="F4115" t="s">
        <v>21</v>
      </c>
      <c r="G4115">
        <v>108.5</v>
      </c>
      <c r="H4115" t="s">
        <v>14</v>
      </c>
      <c r="I4115" t="s">
        <v>15</v>
      </c>
      <c r="J4115">
        <v>3.5</v>
      </c>
      <c r="K4115">
        <v>17</v>
      </c>
      <c r="L4115">
        <f t="shared" si="193"/>
        <v>90.054999999999993</v>
      </c>
      <c r="M4115">
        <v>6</v>
      </c>
      <c r="N4115" t="str">
        <f t="shared" si="194"/>
        <v>Regular</v>
      </c>
    </row>
    <row r="4116" spans="1:14" x14ac:dyDescent="0.35">
      <c r="A4116">
        <v>4115</v>
      </c>
      <c r="B4116">
        <v>44</v>
      </c>
      <c r="C4116" t="str">
        <f t="shared" si="192"/>
        <v>Adult</v>
      </c>
      <c r="D4116" t="s">
        <v>16</v>
      </c>
      <c r="E4116" t="s">
        <v>33</v>
      </c>
      <c r="F4116" t="s">
        <v>40</v>
      </c>
      <c r="G4116">
        <v>45.36</v>
      </c>
      <c r="H4116" t="s">
        <v>31</v>
      </c>
      <c r="I4116" t="s">
        <v>15</v>
      </c>
      <c r="J4116">
        <v>3</v>
      </c>
      <c r="K4116">
        <v>28</v>
      </c>
      <c r="L4116">
        <f t="shared" si="193"/>
        <v>32.659199999999998</v>
      </c>
      <c r="M4116">
        <v>9</v>
      </c>
      <c r="N4116" t="str">
        <f t="shared" si="194"/>
        <v>Loyal</v>
      </c>
    </row>
    <row r="4117" spans="1:14" x14ac:dyDescent="0.35">
      <c r="A4117">
        <v>4116</v>
      </c>
      <c r="B4117">
        <v>68</v>
      </c>
      <c r="C4117" t="str">
        <f t="shared" si="192"/>
        <v>Senior</v>
      </c>
      <c r="D4117" t="s">
        <v>16</v>
      </c>
      <c r="E4117" t="s">
        <v>17</v>
      </c>
      <c r="F4117" t="s">
        <v>42</v>
      </c>
      <c r="G4117">
        <v>185.02</v>
      </c>
      <c r="H4117" t="s">
        <v>14</v>
      </c>
      <c r="I4117" t="s">
        <v>15</v>
      </c>
      <c r="J4117">
        <v>3.8</v>
      </c>
      <c r="K4117">
        <v>14</v>
      </c>
      <c r="L4117">
        <f t="shared" si="193"/>
        <v>159.1172</v>
      </c>
      <c r="M4117">
        <v>2</v>
      </c>
      <c r="N4117" t="str">
        <f t="shared" si="194"/>
        <v>New</v>
      </c>
    </row>
    <row r="4118" spans="1:14" x14ac:dyDescent="0.35">
      <c r="A4118">
        <v>4117</v>
      </c>
      <c r="B4118">
        <v>63</v>
      </c>
      <c r="C4118" t="str">
        <f t="shared" si="192"/>
        <v>Senior</v>
      </c>
      <c r="D4118" t="s">
        <v>11</v>
      </c>
      <c r="E4118" t="s">
        <v>41</v>
      </c>
      <c r="F4118" t="s">
        <v>42</v>
      </c>
      <c r="G4118">
        <v>44.04</v>
      </c>
      <c r="H4118" t="s">
        <v>24</v>
      </c>
      <c r="I4118" t="s">
        <v>15</v>
      </c>
      <c r="J4118">
        <v>5</v>
      </c>
      <c r="K4118">
        <v>16</v>
      </c>
      <c r="L4118">
        <f t="shared" si="193"/>
        <v>36.993600000000001</v>
      </c>
      <c r="M4118">
        <v>3</v>
      </c>
      <c r="N4118" t="str">
        <f t="shared" si="194"/>
        <v>New</v>
      </c>
    </row>
    <row r="4119" spans="1:14" x14ac:dyDescent="0.35">
      <c r="A4119">
        <v>4118</v>
      </c>
      <c r="B4119">
        <v>27</v>
      </c>
      <c r="C4119" t="str">
        <f t="shared" si="192"/>
        <v>Youth</v>
      </c>
      <c r="D4119" t="s">
        <v>16</v>
      </c>
      <c r="E4119" t="s">
        <v>20</v>
      </c>
      <c r="F4119" t="s">
        <v>39</v>
      </c>
      <c r="G4119">
        <v>100.08</v>
      </c>
      <c r="H4119" t="s">
        <v>19</v>
      </c>
      <c r="I4119" t="s">
        <v>15</v>
      </c>
      <c r="J4119">
        <v>3.6</v>
      </c>
      <c r="K4119">
        <v>5</v>
      </c>
      <c r="L4119">
        <f t="shared" si="193"/>
        <v>95.075999999999993</v>
      </c>
      <c r="M4119">
        <v>0</v>
      </c>
      <c r="N4119" t="str">
        <f t="shared" si="194"/>
        <v>New</v>
      </c>
    </row>
    <row r="4120" spans="1:14" x14ac:dyDescent="0.35">
      <c r="A4120">
        <v>4119</v>
      </c>
      <c r="B4120">
        <v>49</v>
      </c>
      <c r="C4120" t="str">
        <f t="shared" si="192"/>
        <v>Adult</v>
      </c>
      <c r="D4120" t="s">
        <v>11</v>
      </c>
      <c r="E4120" t="s">
        <v>20</v>
      </c>
      <c r="F4120" t="s">
        <v>36</v>
      </c>
      <c r="G4120">
        <v>107.29</v>
      </c>
      <c r="H4120" t="s">
        <v>24</v>
      </c>
      <c r="I4120" t="s">
        <v>15</v>
      </c>
      <c r="J4120">
        <v>3.8</v>
      </c>
      <c r="K4120">
        <v>16</v>
      </c>
      <c r="L4120">
        <f t="shared" si="193"/>
        <v>90.123599999999996</v>
      </c>
      <c r="M4120">
        <v>8</v>
      </c>
      <c r="N4120" t="str">
        <f t="shared" si="194"/>
        <v>Loyal</v>
      </c>
    </row>
    <row r="4121" spans="1:14" x14ac:dyDescent="0.35">
      <c r="A4121">
        <v>4120</v>
      </c>
      <c r="B4121">
        <v>43</v>
      </c>
      <c r="C4121" t="str">
        <f t="shared" si="192"/>
        <v>Adult</v>
      </c>
      <c r="D4121" t="s">
        <v>11</v>
      </c>
      <c r="E4121" t="s">
        <v>22</v>
      </c>
      <c r="F4121" t="s">
        <v>52</v>
      </c>
      <c r="G4121">
        <v>163.18</v>
      </c>
      <c r="H4121" t="s">
        <v>31</v>
      </c>
      <c r="I4121" t="s">
        <v>15</v>
      </c>
      <c r="J4121">
        <v>5</v>
      </c>
      <c r="K4121">
        <v>6</v>
      </c>
      <c r="L4121">
        <f t="shared" si="193"/>
        <v>153.38919999999999</v>
      </c>
      <c r="M4121">
        <v>3</v>
      </c>
      <c r="N4121" t="str">
        <f t="shared" si="194"/>
        <v>New</v>
      </c>
    </row>
    <row r="4122" spans="1:14" x14ac:dyDescent="0.35">
      <c r="A4122">
        <v>4121</v>
      </c>
      <c r="B4122">
        <v>67</v>
      </c>
      <c r="C4122" t="str">
        <f t="shared" si="192"/>
        <v>Senior</v>
      </c>
      <c r="D4122" t="s">
        <v>11</v>
      </c>
      <c r="E4122" t="s">
        <v>29</v>
      </c>
      <c r="F4122" t="s">
        <v>30</v>
      </c>
      <c r="G4122">
        <v>58.38</v>
      </c>
      <c r="H4122" t="s">
        <v>31</v>
      </c>
      <c r="I4122" t="s">
        <v>15</v>
      </c>
      <c r="J4122">
        <v>4</v>
      </c>
      <c r="K4122">
        <v>12</v>
      </c>
      <c r="L4122">
        <f t="shared" si="193"/>
        <v>51.374400000000001</v>
      </c>
      <c r="M4122">
        <v>6</v>
      </c>
      <c r="N4122" t="str">
        <f t="shared" si="194"/>
        <v>Regular</v>
      </c>
    </row>
    <row r="4123" spans="1:14" x14ac:dyDescent="0.35">
      <c r="A4123">
        <v>4122</v>
      </c>
      <c r="B4123">
        <v>69</v>
      </c>
      <c r="C4123" t="str">
        <f t="shared" si="192"/>
        <v>Senior</v>
      </c>
      <c r="D4123" t="s">
        <v>16</v>
      </c>
      <c r="E4123" t="s">
        <v>20</v>
      </c>
      <c r="F4123" t="s">
        <v>21</v>
      </c>
      <c r="G4123">
        <v>169.84</v>
      </c>
      <c r="H4123" t="s">
        <v>19</v>
      </c>
      <c r="I4123" t="s">
        <v>15</v>
      </c>
      <c r="J4123">
        <v>3.5</v>
      </c>
      <c r="K4123">
        <v>18</v>
      </c>
      <c r="L4123">
        <f t="shared" si="193"/>
        <v>139.26880000000003</v>
      </c>
      <c r="M4123">
        <v>4</v>
      </c>
      <c r="N4123" t="str">
        <f t="shared" si="194"/>
        <v>Regular</v>
      </c>
    </row>
    <row r="4124" spans="1:14" x14ac:dyDescent="0.35">
      <c r="A4124">
        <v>4123</v>
      </c>
      <c r="B4124">
        <v>20</v>
      </c>
      <c r="C4124" t="str">
        <f t="shared" si="192"/>
        <v>Youth</v>
      </c>
      <c r="D4124" t="s">
        <v>11</v>
      </c>
      <c r="E4124" t="s">
        <v>12</v>
      </c>
      <c r="F4124" t="s">
        <v>50</v>
      </c>
      <c r="G4124">
        <v>145.22</v>
      </c>
      <c r="H4124" t="s">
        <v>14</v>
      </c>
      <c r="I4124" t="s">
        <v>15</v>
      </c>
      <c r="J4124">
        <v>3.8</v>
      </c>
      <c r="K4124">
        <v>20</v>
      </c>
      <c r="L4124">
        <f t="shared" si="193"/>
        <v>116.176</v>
      </c>
      <c r="M4124">
        <v>5</v>
      </c>
      <c r="N4124" t="str">
        <f t="shared" si="194"/>
        <v>Regular</v>
      </c>
    </row>
    <row r="4125" spans="1:14" x14ac:dyDescent="0.35">
      <c r="A4125">
        <v>4124</v>
      </c>
      <c r="B4125">
        <v>31</v>
      </c>
      <c r="C4125" t="str">
        <f t="shared" si="192"/>
        <v>Adult</v>
      </c>
      <c r="D4125" t="s">
        <v>16</v>
      </c>
      <c r="E4125" t="s">
        <v>20</v>
      </c>
      <c r="F4125" t="s">
        <v>21</v>
      </c>
      <c r="G4125">
        <v>117.9</v>
      </c>
      <c r="H4125" t="s">
        <v>24</v>
      </c>
      <c r="I4125" t="s">
        <v>15</v>
      </c>
      <c r="J4125">
        <v>4.5999999999999996</v>
      </c>
      <c r="K4125">
        <v>24</v>
      </c>
      <c r="L4125">
        <f t="shared" si="193"/>
        <v>89.603999999999999</v>
      </c>
      <c r="M4125">
        <v>7</v>
      </c>
      <c r="N4125" t="str">
        <f t="shared" si="194"/>
        <v>Regular</v>
      </c>
    </row>
    <row r="4126" spans="1:14" x14ac:dyDescent="0.35">
      <c r="A4126">
        <v>4125</v>
      </c>
      <c r="B4126">
        <v>23</v>
      </c>
      <c r="C4126" t="str">
        <f t="shared" si="192"/>
        <v>Youth</v>
      </c>
      <c r="D4126" t="s">
        <v>11</v>
      </c>
      <c r="E4126" t="s">
        <v>33</v>
      </c>
      <c r="F4126" t="s">
        <v>38</v>
      </c>
      <c r="G4126">
        <v>92.07</v>
      </c>
      <c r="H4126" t="s">
        <v>19</v>
      </c>
      <c r="I4126" t="s">
        <v>15</v>
      </c>
      <c r="J4126">
        <v>3.2</v>
      </c>
      <c r="K4126">
        <v>18</v>
      </c>
      <c r="L4126">
        <f t="shared" si="193"/>
        <v>75.497399999999999</v>
      </c>
      <c r="M4126">
        <v>4</v>
      </c>
      <c r="N4126" t="str">
        <f t="shared" si="194"/>
        <v>Regular</v>
      </c>
    </row>
    <row r="4127" spans="1:14" x14ac:dyDescent="0.35">
      <c r="A4127">
        <v>4126</v>
      </c>
      <c r="B4127">
        <v>33</v>
      </c>
      <c r="C4127" t="str">
        <f t="shared" si="192"/>
        <v>Adult</v>
      </c>
      <c r="D4127" t="s">
        <v>11</v>
      </c>
      <c r="E4127" t="s">
        <v>41</v>
      </c>
      <c r="F4127" t="s">
        <v>44</v>
      </c>
      <c r="G4127">
        <v>133.31</v>
      </c>
      <c r="H4127" t="s">
        <v>31</v>
      </c>
      <c r="I4127" t="s">
        <v>15</v>
      </c>
      <c r="J4127">
        <v>2.9</v>
      </c>
      <c r="K4127">
        <v>4</v>
      </c>
      <c r="L4127">
        <f t="shared" si="193"/>
        <v>127.9776</v>
      </c>
      <c r="M4127">
        <v>2</v>
      </c>
      <c r="N4127" t="str">
        <f t="shared" si="194"/>
        <v>New</v>
      </c>
    </row>
    <row r="4128" spans="1:14" x14ac:dyDescent="0.35">
      <c r="A4128">
        <v>4127</v>
      </c>
      <c r="B4128">
        <v>22</v>
      </c>
      <c r="C4128" t="str">
        <f t="shared" si="192"/>
        <v>Youth</v>
      </c>
      <c r="D4128" t="s">
        <v>11</v>
      </c>
      <c r="E4128" t="s">
        <v>12</v>
      </c>
      <c r="F4128" t="s">
        <v>56</v>
      </c>
      <c r="G4128">
        <v>77.069999999999993</v>
      </c>
      <c r="H4128" t="s">
        <v>19</v>
      </c>
      <c r="I4128" t="s">
        <v>15</v>
      </c>
      <c r="J4128">
        <v>4.7</v>
      </c>
      <c r="K4128">
        <v>18</v>
      </c>
      <c r="L4128">
        <f t="shared" si="193"/>
        <v>63.197400000000002</v>
      </c>
      <c r="M4128">
        <v>4</v>
      </c>
      <c r="N4128" t="str">
        <f t="shared" si="194"/>
        <v>Regular</v>
      </c>
    </row>
    <row r="4129" spans="1:14" x14ac:dyDescent="0.35">
      <c r="A4129">
        <v>4128</v>
      </c>
      <c r="B4129">
        <v>45</v>
      </c>
      <c r="C4129" t="str">
        <f t="shared" si="192"/>
        <v>Adult</v>
      </c>
      <c r="D4129" t="s">
        <v>11</v>
      </c>
      <c r="E4129" t="s">
        <v>25</v>
      </c>
      <c r="F4129" t="s">
        <v>54</v>
      </c>
      <c r="G4129">
        <v>60.2</v>
      </c>
      <c r="H4129" t="s">
        <v>24</v>
      </c>
      <c r="I4129" t="s">
        <v>15</v>
      </c>
      <c r="J4129">
        <v>3.3</v>
      </c>
      <c r="K4129">
        <v>10</v>
      </c>
      <c r="L4129">
        <f t="shared" si="193"/>
        <v>54.180000000000007</v>
      </c>
      <c r="M4129">
        <v>5</v>
      </c>
      <c r="N4129" t="str">
        <f t="shared" si="194"/>
        <v>Regular</v>
      </c>
    </row>
    <row r="4130" spans="1:14" x14ac:dyDescent="0.35">
      <c r="A4130">
        <v>4129</v>
      </c>
      <c r="B4130">
        <v>39</v>
      </c>
      <c r="C4130" t="str">
        <f t="shared" si="192"/>
        <v>Adult</v>
      </c>
      <c r="D4130" t="s">
        <v>11</v>
      </c>
      <c r="E4130" t="s">
        <v>33</v>
      </c>
      <c r="F4130" t="s">
        <v>34</v>
      </c>
      <c r="G4130">
        <v>113.87</v>
      </c>
      <c r="H4130" t="s">
        <v>19</v>
      </c>
      <c r="I4130" t="s">
        <v>15</v>
      </c>
      <c r="J4130">
        <v>4.3</v>
      </c>
      <c r="K4130">
        <v>8</v>
      </c>
      <c r="L4130">
        <f t="shared" si="193"/>
        <v>104.7604</v>
      </c>
      <c r="M4130">
        <v>4</v>
      </c>
      <c r="N4130" t="str">
        <f t="shared" si="194"/>
        <v>Regular</v>
      </c>
    </row>
    <row r="4131" spans="1:14" x14ac:dyDescent="0.35">
      <c r="A4131">
        <v>4130</v>
      </c>
      <c r="B4131">
        <v>43</v>
      </c>
      <c r="C4131" t="str">
        <f t="shared" si="192"/>
        <v>Adult</v>
      </c>
      <c r="D4131" t="s">
        <v>16</v>
      </c>
      <c r="E4131" t="s">
        <v>17</v>
      </c>
      <c r="F4131" t="s">
        <v>35</v>
      </c>
      <c r="G4131">
        <v>143.99</v>
      </c>
      <c r="H4131" t="s">
        <v>24</v>
      </c>
      <c r="I4131" t="s">
        <v>15</v>
      </c>
      <c r="J4131">
        <v>4</v>
      </c>
      <c r="K4131">
        <v>23</v>
      </c>
      <c r="L4131">
        <f t="shared" si="193"/>
        <v>110.87230000000001</v>
      </c>
      <c r="M4131">
        <v>9</v>
      </c>
      <c r="N4131" t="str">
        <f t="shared" si="194"/>
        <v>Loyal</v>
      </c>
    </row>
    <row r="4132" spans="1:14" x14ac:dyDescent="0.35">
      <c r="A4132">
        <v>4131</v>
      </c>
      <c r="B4132">
        <v>50</v>
      </c>
      <c r="C4132" t="str">
        <f t="shared" si="192"/>
        <v>Adult</v>
      </c>
      <c r="D4132" t="s">
        <v>16</v>
      </c>
      <c r="E4132" t="s">
        <v>17</v>
      </c>
      <c r="F4132" t="s">
        <v>18</v>
      </c>
      <c r="G4132">
        <v>131.03</v>
      </c>
      <c r="H4132" t="s">
        <v>14</v>
      </c>
      <c r="I4132" t="s">
        <v>15</v>
      </c>
      <c r="J4132">
        <v>3.3</v>
      </c>
      <c r="K4132">
        <v>24</v>
      </c>
      <c r="L4132">
        <f t="shared" si="193"/>
        <v>99.582800000000006</v>
      </c>
      <c r="M4132">
        <v>7</v>
      </c>
      <c r="N4132" t="str">
        <f t="shared" si="194"/>
        <v>Regular</v>
      </c>
    </row>
    <row r="4133" spans="1:14" x14ac:dyDescent="0.35">
      <c r="A4133">
        <v>4132</v>
      </c>
      <c r="B4133">
        <v>54</v>
      </c>
      <c r="C4133" t="str">
        <f t="shared" si="192"/>
        <v>Adult</v>
      </c>
      <c r="D4133" t="s">
        <v>11</v>
      </c>
      <c r="E4133" t="s">
        <v>41</v>
      </c>
      <c r="F4133" t="s">
        <v>46</v>
      </c>
      <c r="G4133">
        <v>197.73</v>
      </c>
      <c r="H4133" t="s">
        <v>31</v>
      </c>
      <c r="I4133" t="s">
        <v>15</v>
      </c>
      <c r="J4133">
        <v>5</v>
      </c>
      <c r="K4133">
        <v>10</v>
      </c>
      <c r="L4133">
        <f t="shared" si="193"/>
        <v>177.95699999999999</v>
      </c>
      <c r="M4133">
        <v>5</v>
      </c>
      <c r="N4133" t="str">
        <f t="shared" si="194"/>
        <v>Regular</v>
      </c>
    </row>
    <row r="4134" spans="1:14" x14ac:dyDescent="0.35">
      <c r="A4134">
        <v>4133</v>
      </c>
      <c r="B4134">
        <v>46</v>
      </c>
      <c r="C4134" t="str">
        <f t="shared" si="192"/>
        <v>Adult</v>
      </c>
      <c r="D4134" t="s">
        <v>11</v>
      </c>
      <c r="E4134" t="s">
        <v>33</v>
      </c>
      <c r="F4134" t="s">
        <v>38</v>
      </c>
      <c r="G4134">
        <v>40.76</v>
      </c>
      <c r="H4134" t="s">
        <v>14</v>
      </c>
      <c r="I4134" t="s">
        <v>37</v>
      </c>
      <c r="J4134">
        <v>4.7</v>
      </c>
      <c r="K4134">
        <v>2</v>
      </c>
      <c r="L4134">
        <f t="shared" si="193"/>
        <v>39.944800000000001</v>
      </c>
      <c r="M4134">
        <v>1</v>
      </c>
      <c r="N4134" t="str">
        <f t="shared" si="194"/>
        <v>New</v>
      </c>
    </row>
    <row r="4135" spans="1:14" x14ac:dyDescent="0.35">
      <c r="A4135">
        <v>4134</v>
      </c>
      <c r="B4135">
        <v>65</v>
      </c>
      <c r="C4135" t="str">
        <f t="shared" si="192"/>
        <v>Senior</v>
      </c>
      <c r="D4135" t="s">
        <v>11</v>
      </c>
      <c r="E4135" t="s">
        <v>29</v>
      </c>
      <c r="F4135" t="s">
        <v>51</v>
      </c>
      <c r="G4135">
        <v>74.680000000000007</v>
      </c>
      <c r="H4135" t="s">
        <v>19</v>
      </c>
      <c r="I4135" t="s">
        <v>15</v>
      </c>
      <c r="J4135">
        <v>4.0999999999999996</v>
      </c>
      <c r="K4135">
        <v>18</v>
      </c>
      <c r="L4135">
        <f t="shared" si="193"/>
        <v>61.237600000000008</v>
      </c>
      <c r="M4135">
        <v>9</v>
      </c>
      <c r="N4135" t="str">
        <f t="shared" si="194"/>
        <v>Loyal</v>
      </c>
    </row>
    <row r="4136" spans="1:14" x14ac:dyDescent="0.35">
      <c r="A4136">
        <v>4135</v>
      </c>
      <c r="B4136">
        <v>27</v>
      </c>
      <c r="C4136" t="str">
        <f t="shared" si="192"/>
        <v>Youth</v>
      </c>
      <c r="D4136" t="s">
        <v>11</v>
      </c>
      <c r="E4136" t="s">
        <v>29</v>
      </c>
      <c r="F4136" t="s">
        <v>51</v>
      </c>
      <c r="G4136">
        <v>117.55</v>
      </c>
      <c r="H4136" t="s">
        <v>14</v>
      </c>
      <c r="I4136" t="s">
        <v>15</v>
      </c>
      <c r="J4136">
        <v>3.2</v>
      </c>
      <c r="K4136">
        <v>11</v>
      </c>
      <c r="L4136">
        <f t="shared" si="193"/>
        <v>104.6195</v>
      </c>
      <c r="M4136">
        <v>3</v>
      </c>
      <c r="N4136" t="str">
        <f t="shared" si="194"/>
        <v>New</v>
      </c>
    </row>
    <row r="4137" spans="1:14" x14ac:dyDescent="0.35">
      <c r="A4137">
        <v>4136</v>
      </c>
      <c r="B4137">
        <v>44</v>
      </c>
      <c r="C4137" t="str">
        <f t="shared" si="192"/>
        <v>Adult</v>
      </c>
      <c r="D4137" t="s">
        <v>11</v>
      </c>
      <c r="E4137" t="s">
        <v>22</v>
      </c>
      <c r="F4137" t="s">
        <v>23</v>
      </c>
      <c r="G4137">
        <v>211.32</v>
      </c>
      <c r="H4137" t="s">
        <v>14</v>
      </c>
      <c r="I4137" t="s">
        <v>15</v>
      </c>
      <c r="J4137">
        <v>4.5</v>
      </c>
      <c r="K4137">
        <v>16</v>
      </c>
      <c r="L4137">
        <f t="shared" si="193"/>
        <v>177.50879999999998</v>
      </c>
      <c r="M4137">
        <v>8</v>
      </c>
      <c r="N4137" t="str">
        <f t="shared" si="194"/>
        <v>Loyal</v>
      </c>
    </row>
    <row r="4138" spans="1:14" x14ac:dyDescent="0.35">
      <c r="A4138">
        <v>4137</v>
      </c>
      <c r="B4138">
        <v>29</v>
      </c>
      <c r="C4138" t="str">
        <f t="shared" si="192"/>
        <v>Youth</v>
      </c>
      <c r="D4138" t="s">
        <v>16</v>
      </c>
      <c r="E4138" t="s">
        <v>17</v>
      </c>
      <c r="F4138" t="s">
        <v>35</v>
      </c>
      <c r="G4138">
        <v>32.81</v>
      </c>
      <c r="H4138" t="s">
        <v>19</v>
      </c>
      <c r="I4138" t="s">
        <v>37</v>
      </c>
      <c r="J4138">
        <v>3.8</v>
      </c>
      <c r="K4138">
        <v>9</v>
      </c>
      <c r="L4138">
        <f t="shared" si="193"/>
        <v>29.857100000000003</v>
      </c>
      <c r="M4138">
        <v>2</v>
      </c>
      <c r="N4138" t="str">
        <f t="shared" si="194"/>
        <v>New</v>
      </c>
    </row>
    <row r="4139" spans="1:14" x14ac:dyDescent="0.35">
      <c r="A4139">
        <v>4138</v>
      </c>
      <c r="B4139">
        <v>41</v>
      </c>
      <c r="C4139" t="str">
        <f t="shared" si="192"/>
        <v>Adult</v>
      </c>
      <c r="D4139" t="s">
        <v>16</v>
      </c>
      <c r="E4139" t="s">
        <v>33</v>
      </c>
      <c r="F4139" t="s">
        <v>34</v>
      </c>
      <c r="G4139">
        <v>104.2</v>
      </c>
      <c r="H4139" t="s">
        <v>24</v>
      </c>
      <c r="I4139" t="s">
        <v>15</v>
      </c>
      <c r="J4139">
        <v>4.0999999999999996</v>
      </c>
      <c r="K4139">
        <v>11</v>
      </c>
      <c r="L4139">
        <f t="shared" si="193"/>
        <v>92.738</v>
      </c>
      <c r="M4139">
        <v>3</v>
      </c>
      <c r="N4139" t="str">
        <f t="shared" si="194"/>
        <v>New</v>
      </c>
    </row>
    <row r="4140" spans="1:14" x14ac:dyDescent="0.35">
      <c r="A4140">
        <v>4139</v>
      </c>
      <c r="B4140">
        <v>25</v>
      </c>
      <c r="C4140" t="str">
        <f t="shared" si="192"/>
        <v>Youth</v>
      </c>
      <c r="D4140" t="s">
        <v>16</v>
      </c>
      <c r="E4140" t="s">
        <v>27</v>
      </c>
      <c r="F4140" t="s">
        <v>32</v>
      </c>
      <c r="G4140">
        <v>991.14</v>
      </c>
      <c r="H4140" t="s">
        <v>24</v>
      </c>
      <c r="I4140" t="s">
        <v>15</v>
      </c>
      <c r="J4140">
        <v>2.1</v>
      </c>
      <c r="K4140">
        <v>4</v>
      </c>
      <c r="L4140">
        <f t="shared" si="193"/>
        <v>951.49439999999993</v>
      </c>
      <c r="M4140">
        <v>2</v>
      </c>
      <c r="N4140" t="str">
        <f t="shared" si="194"/>
        <v>New</v>
      </c>
    </row>
    <row r="4141" spans="1:14" x14ac:dyDescent="0.35">
      <c r="A4141">
        <v>4140</v>
      </c>
      <c r="B4141">
        <v>34</v>
      </c>
      <c r="C4141" t="str">
        <f t="shared" si="192"/>
        <v>Adult</v>
      </c>
      <c r="D4141" t="s">
        <v>11</v>
      </c>
      <c r="E4141" t="s">
        <v>22</v>
      </c>
      <c r="F4141" t="s">
        <v>52</v>
      </c>
      <c r="G4141">
        <v>138.43</v>
      </c>
      <c r="H4141" t="s">
        <v>24</v>
      </c>
      <c r="I4141" t="s">
        <v>15</v>
      </c>
      <c r="J4141">
        <v>4.0999999999999996</v>
      </c>
      <c r="K4141">
        <v>12</v>
      </c>
      <c r="L4141">
        <f t="shared" si="193"/>
        <v>121.81840000000001</v>
      </c>
      <c r="M4141">
        <v>1</v>
      </c>
      <c r="N4141" t="str">
        <f t="shared" si="194"/>
        <v>New</v>
      </c>
    </row>
    <row r="4142" spans="1:14" x14ac:dyDescent="0.35">
      <c r="A4142">
        <v>4141</v>
      </c>
      <c r="B4142">
        <v>61</v>
      </c>
      <c r="C4142" t="str">
        <f t="shared" si="192"/>
        <v>Senior</v>
      </c>
      <c r="D4142" t="s">
        <v>16</v>
      </c>
      <c r="E4142" t="s">
        <v>20</v>
      </c>
      <c r="F4142" t="s">
        <v>39</v>
      </c>
      <c r="G4142">
        <v>176.45</v>
      </c>
      <c r="H4142" t="s">
        <v>14</v>
      </c>
      <c r="I4142" t="s">
        <v>15</v>
      </c>
      <c r="J4142">
        <v>3.9</v>
      </c>
      <c r="K4142">
        <v>6</v>
      </c>
      <c r="L4142">
        <f t="shared" si="193"/>
        <v>165.86299999999997</v>
      </c>
      <c r="M4142">
        <v>3</v>
      </c>
      <c r="N4142" t="str">
        <f t="shared" si="194"/>
        <v>New</v>
      </c>
    </row>
    <row r="4143" spans="1:14" x14ac:dyDescent="0.35">
      <c r="A4143">
        <v>4142</v>
      </c>
      <c r="B4143">
        <v>56</v>
      </c>
      <c r="C4143" t="str">
        <f t="shared" si="192"/>
        <v>Adult</v>
      </c>
      <c r="D4143" t="s">
        <v>16</v>
      </c>
      <c r="E4143" t="s">
        <v>17</v>
      </c>
      <c r="F4143" t="s">
        <v>35</v>
      </c>
      <c r="G4143">
        <v>156.69</v>
      </c>
      <c r="H4143" t="s">
        <v>31</v>
      </c>
      <c r="I4143" t="s">
        <v>15</v>
      </c>
      <c r="J4143">
        <v>3.7</v>
      </c>
      <c r="K4143">
        <v>11</v>
      </c>
      <c r="L4143">
        <f t="shared" si="193"/>
        <v>139.45410000000001</v>
      </c>
      <c r="M4143">
        <v>3</v>
      </c>
      <c r="N4143" t="str">
        <f t="shared" si="194"/>
        <v>New</v>
      </c>
    </row>
    <row r="4144" spans="1:14" x14ac:dyDescent="0.35">
      <c r="A4144">
        <v>4143</v>
      </c>
      <c r="B4144">
        <v>34</v>
      </c>
      <c r="C4144" t="str">
        <f t="shared" si="192"/>
        <v>Adult</v>
      </c>
      <c r="D4144" t="s">
        <v>16</v>
      </c>
      <c r="E4144" t="s">
        <v>27</v>
      </c>
      <c r="F4144" t="s">
        <v>53</v>
      </c>
      <c r="G4144">
        <v>1532.93</v>
      </c>
      <c r="H4144" t="s">
        <v>24</v>
      </c>
      <c r="I4144" t="s">
        <v>15</v>
      </c>
      <c r="J4144">
        <v>3.8</v>
      </c>
      <c r="K4144">
        <v>24</v>
      </c>
      <c r="L4144">
        <f t="shared" si="193"/>
        <v>1165.0268000000001</v>
      </c>
      <c r="M4144">
        <v>7</v>
      </c>
      <c r="N4144" t="str">
        <f t="shared" si="194"/>
        <v>Regular</v>
      </c>
    </row>
    <row r="4145" spans="1:14" x14ac:dyDescent="0.35">
      <c r="A4145">
        <v>4144</v>
      </c>
      <c r="B4145">
        <v>24</v>
      </c>
      <c r="C4145" t="str">
        <f t="shared" si="192"/>
        <v>Youth</v>
      </c>
      <c r="D4145" t="s">
        <v>11</v>
      </c>
      <c r="E4145" t="s">
        <v>29</v>
      </c>
      <c r="F4145" t="s">
        <v>30</v>
      </c>
      <c r="G4145">
        <v>37.85</v>
      </c>
      <c r="H4145" t="s">
        <v>19</v>
      </c>
      <c r="I4145" t="s">
        <v>37</v>
      </c>
      <c r="J4145">
        <v>3.7</v>
      </c>
      <c r="K4145">
        <v>18</v>
      </c>
      <c r="L4145">
        <f t="shared" si="193"/>
        <v>31.037000000000003</v>
      </c>
      <c r="M4145">
        <v>4</v>
      </c>
      <c r="N4145" t="str">
        <f t="shared" si="194"/>
        <v>Regular</v>
      </c>
    </row>
    <row r="4146" spans="1:14" x14ac:dyDescent="0.35">
      <c r="A4146">
        <v>4145</v>
      </c>
      <c r="B4146">
        <v>49</v>
      </c>
      <c r="C4146" t="str">
        <f t="shared" si="192"/>
        <v>Adult</v>
      </c>
      <c r="D4146" t="s">
        <v>16</v>
      </c>
      <c r="E4146" t="s">
        <v>17</v>
      </c>
      <c r="F4146" t="s">
        <v>42</v>
      </c>
      <c r="G4146">
        <v>132.37</v>
      </c>
      <c r="H4146" t="s">
        <v>31</v>
      </c>
      <c r="I4146" t="s">
        <v>15</v>
      </c>
      <c r="J4146">
        <v>2.9</v>
      </c>
      <c r="K4146">
        <v>13</v>
      </c>
      <c r="L4146">
        <f t="shared" si="193"/>
        <v>115.1619</v>
      </c>
      <c r="M4146">
        <v>4</v>
      </c>
      <c r="N4146" t="str">
        <f t="shared" si="194"/>
        <v>Regular</v>
      </c>
    </row>
    <row r="4147" spans="1:14" x14ac:dyDescent="0.35">
      <c r="A4147">
        <v>4146</v>
      </c>
      <c r="B4147">
        <v>40</v>
      </c>
      <c r="C4147" t="str">
        <f t="shared" si="192"/>
        <v>Adult</v>
      </c>
      <c r="D4147" t="s">
        <v>16</v>
      </c>
      <c r="E4147" t="s">
        <v>20</v>
      </c>
      <c r="F4147" t="s">
        <v>21</v>
      </c>
      <c r="G4147">
        <v>42.76</v>
      </c>
      <c r="H4147" t="s">
        <v>14</v>
      </c>
      <c r="I4147" t="s">
        <v>37</v>
      </c>
      <c r="J4147">
        <v>2.7</v>
      </c>
      <c r="K4147">
        <v>8</v>
      </c>
      <c r="L4147">
        <f t="shared" si="193"/>
        <v>39.339199999999998</v>
      </c>
      <c r="M4147">
        <v>4</v>
      </c>
      <c r="N4147" t="str">
        <f t="shared" si="194"/>
        <v>Regular</v>
      </c>
    </row>
    <row r="4148" spans="1:14" x14ac:dyDescent="0.35">
      <c r="A4148">
        <v>4147</v>
      </c>
      <c r="B4148">
        <v>39</v>
      </c>
      <c r="C4148" t="str">
        <f t="shared" si="192"/>
        <v>Adult</v>
      </c>
      <c r="D4148" t="s">
        <v>11</v>
      </c>
      <c r="E4148" t="s">
        <v>29</v>
      </c>
      <c r="F4148" t="s">
        <v>51</v>
      </c>
      <c r="G4148">
        <v>28.3</v>
      </c>
      <c r="H4148" t="s">
        <v>19</v>
      </c>
      <c r="I4148" t="s">
        <v>15</v>
      </c>
      <c r="J4148">
        <v>3.9</v>
      </c>
      <c r="K4148">
        <v>28</v>
      </c>
      <c r="L4148">
        <f t="shared" si="193"/>
        <v>20.376000000000001</v>
      </c>
      <c r="M4148">
        <v>9</v>
      </c>
      <c r="N4148" t="str">
        <f t="shared" si="194"/>
        <v>Loyal</v>
      </c>
    </row>
    <row r="4149" spans="1:14" x14ac:dyDescent="0.35">
      <c r="A4149">
        <v>4148</v>
      </c>
      <c r="B4149">
        <v>27</v>
      </c>
      <c r="C4149" t="str">
        <f t="shared" si="192"/>
        <v>Youth</v>
      </c>
      <c r="D4149" t="s">
        <v>16</v>
      </c>
      <c r="E4149" t="s">
        <v>27</v>
      </c>
      <c r="F4149" t="s">
        <v>49</v>
      </c>
      <c r="G4149">
        <v>2662.63</v>
      </c>
      <c r="H4149" t="s">
        <v>19</v>
      </c>
      <c r="I4149" t="s">
        <v>15</v>
      </c>
      <c r="J4149">
        <v>3.4</v>
      </c>
      <c r="K4149">
        <v>15</v>
      </c>
      <c r="L4149">
        <f t="shared" si="193"/>
        <v>2263.2355000000002</v>
      </c>
      <c r="M4149">
        <v>5</v>
      </c>
      <c r="N4149" t="str">
        <f t="shared" si="194"/>
        <v>Regular</v>
      </c>
    </row>
    <row r="4150" spans="1:14" x14ac:dyDescent="0.35">
      <c r="A4150">
        <v>4149</v>
      </c>
      <c r="B4150">
        <v>63</v>
      </c>
      <c r="C4150" t="str">
        <f t="shared" si="192"/>
        <v>Senior</v>
      </c>
      <c r="D4150" t="s">
        <v>16</v>
      </c>
      <c r="E4150" t="s">
        <v>27</v>
      </c>
      <c r="F4150" t="s">
        <v>53</v>
      </c>
      <c r="G4150">
        <v>783.46</v>
      </c>
      <c r="H4150" t="s">
        <v>19</v>
      </c>
      <c r="I4150" t="s">
        <v>15</v>
      </c>
      <c r="J4150">
        <v>2.9</v>
      </c>
      <c r="K4150">
        <v>16</v>
      </c>
      <c r="L4150">
        <f t="shared" si="193"/>
        <v>658.10640000000001</v>
      </c>
      <c r="M4150">
        <v>8</v>
      </c>
      <c r="N4150" t="str">
        <f t="shared" si="194"/>
        <v>Loyal</v>
      </c>
    </row>
    <row r="4151" spans="1:14" x14ac:dyDescent="0.35">
      <c r="A4151">
        <v>4150</v>
      </c>
      <c r="B4151">
        <v>40</v>
      </c>
      <c r="C4151" t="str">
        <f t="shared" si="192"/>
        <v>Adult</v>
      </c>
      <c r="D4151" t="s">
        <v>11</v>
      </c>
      <c r="E4151" t="s">
        <v>12</v>
      </c>
      <c r="F4151" t="s">
        <v>50</v>
      </c>
      <c r="G4151">
        <v>28.71</v>
      </c>
      <c r="H4151" t="s">
        <v>24</v>
      </c>
      <c r="I4151" t="s">
        <v>37</v>
      </c>
      <c r="J4151">
        <v>2.5</v>
      </c>
      <c r="K4151">
        <v>16</v>
      </c>
      <c r="L4151">
        <f t="shared" si="193"/>
        <v>24.116399999999999</v>
      </c>
      <c r="M4151">
        <v>8</v>
      </c>
      <c r="N4151" t="str">
        <f t="shared" si="194"/>
        <v>Loyal</v>
      </c>
    </row>
    <row r="4152" spans="1:14" x14ac:dyDescent="0.35">
      <c r="A4152">
        <v>4151</v>
      </c>
      <c r="B4152">
        <v>29</v>
      </c>
      <c r="C4152" t="str">
        <f t="shared" si="192"/>
        <v>Youth</v>
      </c>
      <c r="D4152" t="s">
        <v>16</v>
      </c>
      <c r="E4152" t="s">
        <v>20</v>
      </c>
      <c r="F4152" t="s">
        <v>39</v>
      </c>
      <c r="G4152">
        <v>103</v>
      </c>
      <c r="H4152" t="s">
        <v>31</v>
      </c>
      <c r="I4152" t="s">
        <v>15</v>
      </c>
      <c r="J4152">
        <v>2.9</v>
      </c>
      <c r="K4152">
        <v>23</v>
      </c>
      <c r="L4152">
        <f t="shared" si="193"/>
        <v>79.31</v>
      </c>
      <c r="M4152">
        <v>9</v>
      </c>
      <c r="N4152" t="str">
        <f t="shared" si="194"/>
        <v>Loyal</v>
      </c>
    </row>
    <row r="4153" spans="1:14" x14ac:dyDescent="0.35">
      <c r="A4153">
        <v>4152</v>
      </c>
      <c r="B4153">
        <v>48</v>
      </c>
      <c r="C4153" t="str">
        <f t="shared" si="192"/>
        <v>Adult</v>
      </c>
      <c r="D4153" t="s">
        <v>16</v>
      </c>
      <c r="E4153" t="s">
        <v>17</v>
      </c>
      <c r="F4153" t="s">
        <v>48</v>
      </c>
      <c r="G4153">
        <v>121.26</v>
      </c>
      <c r="H4153" t="s">
        <v>31</v>
      </c>
      <c r="I4153" t="s">
        <v>15</v>
      </c>
      <c r="J4153">
        <v>1.9</v>
      </c>
      <c r="K4153">
        <v>12</v>
      </c>
      <c r="L4153">
        <f t="shared" si="193"/>
        <v>106.70880000000001</v>
      </c>
      <c r="M4153">
        <v>6</v>
      </c>
      <c r="N4153" t="str">
        <f t="shared" si="194"/>
        <v>Regular</v>
      </c>
    </row>
    <row r="4154" spans="1:14" x14ac:dyDescent="0.35">
      <c r="A4154">
        <v>4153</v>
      </c>
      <c r="B4154">
        <v>30</v>
      </c>
      <c r="C4154" t="str">
        <f t="shared" si="192"/>
        <v>Youth</v>
      </c>
      <c r="D4154" t="s">
        <v>16</v>
      </c>
      <c r="E4154" t="s">
        <v>25</v>
      </c>
      <c r="F4154" t="s">
        <v>57</v>
      </c>
      <c r="G4154">
        <v>5.89</v>
      </c>
      <c r="H4154" t="s">
        <v>31</v>
      </c>
      <c r="I4154" t="s">
        <v>37</v>
      </c>
      <c r="J4154">
        <v>3.2</v>
      </c>
      <c r="K4154">
        <v>17</v>
      </c>
      <c r="L4154">
        <f t="shared" si="193"/>
        <v>4.8886999999999992</v>
      </c>
      <c r="M4154">
        <v>6</v>
      </c>
      <c r="N4154" t="str">
        <f t="shared" si="194"/>
        <v>Regular</v>
      </c>
    </row>
    <row r="4155" spans="1:14" x14ac:dyDescent="0.35">
      <c r="A4155">
        <v>4154</v>
      </c>
      <c r="B4155">
        <v>35</v>
      </c>
      <c r="C4155" t="str">
        <f t="shared" si="192"/>
        <v>Adult</v>
      </c>
      <c r="D4155" t="s">
        <v>16</v>
      </c>
      <c r="E4155" t="s">
        <v>33</v>
      </c>
      <c r="F4155" t="s">
        <v>38</v>
      </c>
      <c r="G4155">
        <v>240.97</v>
      </c>
      <c r="H4155" t="s">
        <v>31</v>
      </c>
      <c r="I4155" t="s">
        <v>15</v>
      </c>
      <c r="J4155">
        <v>2.8</v>
      </c>
      <c r="K4155">
        <v>22</v>
      </c>
      <c r="L4155">
        <f t="shared" si="193"/>
        <v>187.95660000000001</v>
      </c>
      <c r="M4155">
        <v>6</v>
      </c>
      <c r="N4155" t="str">
        <f t="shared" si="194"/>
        <v>Regular</v>
      </c>
    </row>
    <row r="4156" spans="1:14" x14ac:dyDescent="0.35">
      <c r="A4156">
        <v>4155</v>
      </c>
      <c r="B4156">
        <v>62</v>
      </c>
      <c r="C4156" t="str">
        <f t="shared" si="192"/>
        <v>Senior</v>
      </c>
      <c r="D4156" t="s">
        <v>11</v>
      </c>
      <c r="E4156" t="s">
        <v>29</v>
      </c>
      <c r="F4156" t="s">
        <v>51</v>
      </c>
      <c r="G4156">
        <v>140.77000000000001</v>
      </c>
      <c r="H4156" t="s">
        <v>31</v>
      </c>
      <c r="I4156" t="s">
        <v>15</v>
      </c>
      <c r="J4156">
        <v>2.7</v>
      </c>
      <c r="K4156">
        <v>6</v>
      </c>
      <c r="L4156">
        <f t="shared" si="193"/>
        <v>132.32380000000001</v>
      </c>
      <c r="M4156">
        <v>3</v>
      </c>
      <c r="N4156" t="str">
        <f t="shared" si="194"/>
        <v>New</v>
      </c>
    </row>
    <row r="4157" spans="1:14" x14ac:dyDescent="0.35">
      <c r="A4157">
        <v>4156</v>
      </c>
      <c r="B4157">
        <v>21</v>
      </c>
      <c r="C4157" t="str">
        <f t="shared" si="192"/>
        <v>Youth</v>
      </c>
      <c r="D4157" t="s">
        <v>16</v>
      </c>
      <c r="E4157" t="s">
        <v>27</v>
      </c>
      <c r="F4157" t="s">
        <v>53</v>
      </c>
      <c r="G4157">
        <v>1584.57</v>
      </c>
      <c r="H4157" t="s">
        <v>24</v>
      </c>
      <c r="I4157" t="s">
        <v>15</v>
      </c>
      <c r="J4157">
        <v>3.6</v>
      </c>
      <c r="K4157">
        <v>15</v>
      </c>
      <c r="L4157">
        <f t="shared" si="193"/>
        <v>1346.8844999999999</v>
      </c>
      <c r="M4157">
        <v>5</v>
      </c>
      <c r="N4157" t="str">
        <f t="shared" si="194"/>
        <v>Regular</v>
      </c>
    </row>
    <row r="4158" spans="1:14" x14ac:dyDescent="0.35">
      <c r="A4158">
        <v>4157</v>
      </c>
      <c r="B4158">
        <v>56</v>
      </c>
      <c r="C4158" t="str">
        <f t="shared" si="192"/>
        <v>Adult</v>
      </c>
      <c r="D4158" t="s">
        <v>11</v>
      </c>
      <c r="E4158" t="s">
        <v>41</v>
      </c>
      <c r="F4158" t="s">
        <v>45</v>
      </c>
      <c r="G4158">
        <v>123.71</v>
      </c>
      <c r="H4158" t="s">
        <v>14</v>
      </c>
      <c r="I4158" t="s">
        <v>15</v>
      </c>
      <c r="J4158">
        <v>3.2</v>
      </c>
      <c r="K4158">
        <v>11</v>
      </c>
      <c r="L4158">
        <f t="shared" si="193"/>
        <v>110.1019</v>
      </c>
      <c r="M4158">
        <v>3</v>
      </c>
      <c r="N4158" t="str">
        <f t="shared" si="194"/>
        <v>New</v>
      </c>
    </row>
    <row r="4159" spans="1:14" x14ac:dyDescent="0.35">
      <c r="A4159">
        <v>4158</v>
      </c>
      <c r="B4159">
        <v>20</v>
      </c>
      <c r="C4159" t="str">
        <f t="shared" si="192"/>
        <v>Youth</v>
      </c>
      <c r="D4159" t="s">
        <v>11</v>
      </c>
      <c r="E4159" t="s">
        <v>12</v>
      </c>
      <c r="F4159" t="s">
        <v>56</v>
      </c>
      <c r="G4159">
        <v>127.91</v>
      </c>
      <c r="H4159" t="s">
        <v>19</v>
      </c>
      <c r="I4159" t="s">
        <v>15</v>
      </c>
      <c r="J4159">
        <v>2.9</v>
      </c>
      <c r="K4159">
        <v>17</v>
      </c>
      <c r="L4159">
        <f t="shared" si="193"/>
        <v>106.16529999999999</v>
      </c>
      <c r="M4159">
        <v>6</v>
      </c>
      <c r="N4159" t="str">
        <f t="shared" si="194"/>
        <v>Regular</v>
      </c>
    </row>
    <row r="4160" spans="1:14" x14ac:dyDescent="0.35">
      <c r="A4160">
        <v>4159</v>
      </c>
      <c r="B4160">
        <v>22</v>
      </c>
      <c r="C4160" t="str">
        <f t="shared" si="192"/>
        <v>Youth</v>
      </c>
      <c r="D4160" t="s">
        <v>11</v>
      </c>
      <c r="E4160" t="s">
        <v>25</v>
      </c>
      <c r="F4160" t="s">
        <v>26</v>
      </c>
      <c r="G4160">
        <v>23.75</v>
      </c>
      <c r="H4160" t="s">
        <v>19</v>
      </c>
      <c r="I4160" t="s">
        <v>15</v>
      </c>
      <c r="J4160">
        <v>3.7</v>
      </c>
      <c r="K4160">
        <v>18</v>
      </c>
      <c r="L4160">
        <f t="shared" si="193"/>
        <v>19.475000000000001</v>
      </c>
      <c r="M4160">
        <v>4</v>
      </c>
      <c r="N4160" t="str">
        <f t="shared" si="194"/>
        <v>Regular</v>
      </c>
    </row>
    <row r="4161" spans="1:14" x14ac:dyDescent="0.35">
      <c r="A4161">
        <v>4160</v>
      </c>
      <c r="B4161">
        <v>47</v>
      </c>
      <c r="C4161" t="str">
        <f t="shared" si="192"/>
        <v>Adult</v>
      </c>
      <c r="D4161" t="s">
        <v>16</v>
      </c>
      <c r="E4161" t="s">
        <v>33</v>
      </c>
      <c r="F4161" t="s">
        <v>38</v>
      </c>
      <c r="G4161">
        <v>71.63</v>
      </c>
      <c r="H4161" t="s">
        <v>14</v>
      </c>
      <c r="I4161" t="s">
        <v>37</v>
      </c>
      <c r="J4161">
        <v>3.2</v>
      </c>
      <c r="K4161">
        <v>15</v>
      </c>
      <c r="L4161">
        <f t="shared" si="193"/>
        <v>60.885499999999993</v>
      </c>
      <c r="M4161">
        <v>5</v>
      </c>
      <c r="N4161" t="str">
        <f t="shared" si="194"/>
        <v>Regular</v>
      </c>
    </row>
    <row r="4162" spans="1:14" x14ac:dyDescent="0.35">
      <c r="A4162">
        <v>4161</v>
      </c>
      <c r="B4162">
        <v>44</v>
      </c>
      <c r="C4162" t="str">
        <f t="shared" si="192"/>
        <v>Adult</v>
      </c>
      <c r="D4162" t="s">
        <v>11</v>
      </c>
      <c r="E4162" t="s">
        <v>12</v>
      </c>
      <c r="F4162" t="s">
        <v>56</v>
      </c>
      <c r="G4162">
        <v>132.41999999999999</v>
      </c>
      <c r="H4162" t="s">
        <v>14</v>
      </c>
      <c r="I4162" t="s">
        <v>15</v>
      </c>
      <c r="J4162">
        <v>3.7</v>
      </c>
      <c r="K4162">
        <v>15</v>
      </c>
      <c r="L4162">
        <f t="shared" si="193"/>
        <v>112.55699999999999</v>
      </c>
      <c r="M4162">
        <v>5</v>
      </c>
      <c r="N4162" t="str">
        <f t="shared" si="194"/>
        <v>Regular</v>
      </c>
    </row>
    <row r="4163" spans="1:14" x14ac:dyDescent="0.35">
      <c r="A4163">
        <v>4162</v>
      </c>
      <c r="B4163">
        <v>50</v>
      </c>
      <c r="C4163" t="str">
        <f t="shared" ref="C4163:C4226" si="195">IF(B4163&lt;=30,"Youth",IF(B4163&lt;=45,"Adult",IF(B4163&lt;=60,"Adult","Senior")))</f>
        <v>Adult</v>
      </c>
      <c r="D4163" t="s">
        <v>11</v>
      </c>
      <c r="E4163" t="s">
        <v>29</v>
      </c>
      <c r="F4163" t="s">
        <v>55</v>
      </c>
      <c r="G4163">
        <v>128.51</v>
      </c>
      <c r="H4163" t="s">
        <v>19</v>
      </c>
      <c r="I4163" t="s">
        <v>15</v>
      </c>
      <c r="J4163">
        <v>3.8</v>
      </c>
      <c r="K4163">
        <v>16</v>
      </c>
      <c r="L4163">
        <f t="shared" ref="L4163:L4226" si="196">G4163*(1-K4163/100)</f>
        <v>107.94839999999999</v>
      </c>
      <c r="M4163">
        <v>8</v>
      </c>
      <c r="N4163" t="str">
        <f t="shared" ref="N4163:N4226" si="197">IF(M4163&lt;=3,"New",IF(M4163&lt;=7,"Regular","Loyal"))</f>
        <v>Loyal</v>
      </c>
    </row>
    <row r="4164" spans="1:14" x14ac:dyDescent="0.35">
      <c r="A4164">
        <v>4163</v>
      </c>
      <c r="B4164">
        <v>39</v>
      </c>
      <c r="C4164" t="str">
        <f t="shared" si="195"/>
        <v>Adult</v>
      </c>
      <c r="D4164" t="s">
        <v>16</v>
      </c>
      <c r="E4164" t="s">
        <v>17</v>
      </c>
      <c r="F4164" t="s">
        <v>48</v>
      </c>
      <c r="G4164">
        <v>143.5</v>
      </c>
      <c r="H4164" t="s">
        <v>24</v>
      </c>
      <c r="I4164" t="s">
        <v>15</v>
      </c>
      <c r="J4164">
        <v>4.9000000000000004</v>
      </c>
      <c r="K4164">
        <v>19</v>
      </c>
      <c r="L4164">
        <f t="shared" si="196"/>
        <v>116.23500000000001</v>
      </c>
      <c r="M4164">
        <v>7</v>
      </c>
      <c r="N4164" t="str">
        <f t="shared" si="197"/>
        <v>Regular</v>
      </c>
    </row>
    <row r="4165" spans="1:14" x14ac:dyDescent="0.35">
      <c r="A4165">
        <v>4164</v>
      </c>
      <c r="B4165">
        <v>64</v>
      </c>
      <c r="C4165" t="str">
        <f t="shared" si="195"/>
        <v>Senior</v>
      </c>
      <c r="D4165" t="s">
        <v>11</v>
      </c>
      <c r="E4165" t="s">
        <v>33</v>
      </c>
      <c r="F4165" t="s">
        <v>40</v>
      </c>
      <c r="G4165">
        <v>162.31</v>
      </c>
      <c r="H4165" t="s">
        <v>31</v>
      </c>
      <c r="I4165" t="s">
        <v>15</v>
      </c>
      <c r="J4165">
        <v>3.7</v>
      </c>
      <c r="K4165">
        <v>14</v>
      </c>
      <c r="L4165">
        <f t="shared" si="196"/>
        <v>139.5866</v>
      </c>
      <c r="M4165">
        <v>7</v>
      </c>
      <c r="N4165" t="str">
        <f t="shared" si="197"/>
        <v>Regular</v>
      </c>
    </row>
    <row r="4166" spans="1:14" x14ac:dyDescent="0.35">
      <c r="A4166">
        <v>4165</v>
      </c>
      <c r="B4166">
        <v>67</v>
      </c>
      <c r="C4166" t="str">
        <f t="shared" si="195"/>
        <v>Senior</v>
      </c>
      <c r="D4166" t="s">
        <v>11</v>
      </c>
      <c r="E4166" t="s">
        <v>33</v>
      </c>
      <c r="F4166" t="s">
        <v>38</v>
      </c>
      <c r="G4166">
        <v>210.1</v>
      </c>
      <c r="H4166" t="s">
        <v>14</v>
      </c>
      <c r="I4166" t="s">
        <v>15</v>
      </c>
      <c r="J4166">
        <v>3.9</v>
      </c>
      <c r="K4166">
        <v>4</v>
      </c>
      <c r="L4166">
        <f t="shared" si="196"/>
        <v>201.696</v>
      </c>
      <c r="M4166">
        <v>2</v>
      </c>
      <c r="N4166" t="str">
        <f t="shared" si="197"/>
        <v>New</v>
      </c>
    </row>
    <row r="4167" spans="1:14" x14ac:dyDescent="0.35">
      <c r="A4167">
        <v>4166</v>
      </c>
      <c r="B4167">
        <v>48</v>
      </c>
      <c r="C4167" t="str">
        <f t="shared" si="195"/>
        <v>Adult</v>
      </c>
      <c r="D4167" t="s">
        <v>16</v>
      </c>
      <c r="E4167" t="s">
        <v>27</v>
      </c>
      <c r="F4167" t="s">
        <v>28</v>
      </c>
      <c r="G4167">
        <v>1794.93</v>
      </c>
      <c r="H4167" t="s">
        <v>19</v>
      </c>
      <c r="I4167" t="s">
        <v>15</v>
      </c>
      <c r="J4167">
        <v>4.5999999999999996</v>
      </c>
      <c r="K4167">
        <v>16</v>
      </c>
      <c r="L4167">
        <f t="shared" si="196"/>
        <v>1507.7411999999999</v>
      </c>
      <c r="M4167">
        <v>8</v>
      </c>
      <c r="N4167" t="str">
        <f t="shared" si="197"/>
        <v>Loyal</v>
      </c>
    </row>
    <row r="4168" spans="1:14" x14ac:dyDescent="0.35">
      <c r="A4168">
        <v>4167</v>
      </c>
      <c r="B4168">
        <v>26</v>
      </c>
      <c r="C4168" t="str">
        <f t="shared" si="195"/>
        <v>Youth</v>
      </c>
      <c r="D4168" t="s">
        <v>16</v>
      </c>
      <c r="E4168" t="s">
        <v>17</v>
      </c>
      <c r="F4168" t="s">
        <v>35</v>
      </c>
      <c r="G4168">
        <v>52.64</v>
      </c>
      <c r="H4168" t="s">
        <v>14</v>
      </c>
      <c r="I4168" t="s">
        <v>37</v>
      </c>
      <c r="J4168">
        <v>4.5</v>
      </c>
      <c r="K4168">
        <v>9</v>
      </c>
      <c r="L4168">
        <f t="shared" si="196"/>
        <v>47.9024</v>
      </c>
      <c r="M4168">
        <v>2</v>
      </c>
      <c r="N4168" t="str">
        <f t="shared" si="197"/>
        <v>New</v>
      </c>
    </row>
    <row r="4169" spans="1:14" x14ac:dyDescent="0.35">
      <c r="A4169">
        <v>4168</v>
      </c>
      <c r="B4169">
        <v>46</v>
      </c>
      <c r="C4169" t="str">
        <f t="shared" si="195"/>
        <v>Adult</v>
      </c>
      <c r="D4169" t="s">
        <v>16</v>
      </c>
      <c r="E4169" t="s">
        <v>20</v>
      </c>
      <c r="F4169" t="s">
        <v>39</v>
      </c>
      <c r="G4169">
        <v>119.62</v>
      </c>
      <c r="H4169" t="s">
        <v>14</v>
      </c>
      <c r="I4169" t="s">
        <v>15</v>
      </c>
      <c r="J4169">
        <v>4.5</v>
      </c>
      <c r="K4169">
        <v>15</v>
      </c>
      <c r="L4169">
        <f t="shared" si="196"/>
        <v>101.67700000000001</v>
      </c>
      <c r="M4169">
        <v>5</v>
      </c>
      <c r="N4169" t="str">
        <f t="shared" si="197"/>
        <v>Regular</v>
      </c>
    </row>
    <row r="4170" spans="1:14" x14ac:dyDescent="0.35">
      <c r="A4170">
        <v>4169</v>
      </c>
      <c r="B4170">
        <v>26</v>
      </c>
      <c r="C4170" t="str">
        <f t="shared" si="195"/>
        <v>Youth</v>
      </c>
      <c r="D4170" t="s">
        <v>11</v>
      </c>
      <c r="E4170" t="s">
        <v>33</v>
      </c>
      <c r="F4170" t="s">
        <v>38</v>
      </c>
      <c r="G4170">
        <v>230.19</v>
      </c>
      <c r="H4170" t="s">
        <v>24</v>
      </c>
      <c r="I4170" t="s">
        <v>15</v>
      </c>
      <c r="J4170">
        <v>3.9</v>
      </c>
      <c r="K4170">
        <v>22</v>
      </c>
      <c r="L4170">
        <f t="shared" si="196"/>
        <v>179.54820000000001</v>
      </c>
      <c r="M4170">
        <v>6</v>
      </c>
      <c r="N4170" t="str">
        <f t="shared" si="197"/>
        <v>Regular</v>
      </c>
    </row>
    <row r="4171" spans="1:14" x14ac:dyDescent="0.35">
      <c r="A4171">
        <v>4170</v>
      </c>
      <c r="B4171">
        <v>50</v>
      </c>
      <c r="C4171" t="str">
        <f t="shared" si="195"/>
        <v>Adult</v>
      </c>
      <c r="D4171" t="s">
        <v>11</v>
      </c>
      <c r="E4171" t="s">
        <v>22</v>
      </c>
      <c r="F4171" t="s">
        <v>23</v>
      </c>
      <c r="G4171">
        <v>58.78</v>
      </c>
      <c r="H4171" t="s">
        <v>24</v>
      </c>
      <c r="I4171" t="s">
        <v>37</v>
      </c>
      <c r="J4171">
        <v>4.8</v>
      </c>
      <c r="K4171">
        <v>16</v>
      </c>
      <c r="L4171">
        <f t="shared" si="196"/>
        <v>49.3752</v>
      </c>
      <c r="M4171">
        <v>3</v>
      </c>
      <c r="N4171" t="str">
        <f t="shared" si="197"/>
        <v>New</v>
      </c>
    </row>
    <row r="4172" spans="1:14" x14ac:dyDescent="0.35">
      <c r="A4172">
        <v>4171</v>
      </c>
      <c r="B4172">
        <v>36</v>
      </c>
      <c r="C4172" t="str">
        <f t="shared" si="195"/>
        <v>Adult</v>
      </c>
      <c r="D4172" t="s">
        <v>16</v>
      </c>
      <c r="E4172" t="s">
        <v>27</v>
      </c>
      <c r="F4172" t="s">
        <v>53</v>
      </c>
      <c r="G4172">
        <v>2331.58</v>
      </c>
      <c r="H4172" t="s">
        <v>24</v>
      </c>
      <c r="I4172" t="s">
        <v>15</v>
      </c>
      <c r="J4172">
        <v>3</v>
      </c>
      <c r="K4172">
        <v>8</v>
      </c>
      <c r="L4172">
        <f t="shared" si="196"/>
        <v>2145.0536000000002</v>
      </c>
      <c r="M4172">
        <v>4</v>
      </c>
      <c r="N4172" t="str">
        <f t="shared" si="197"/>
        <v>Regular</v>
      </c>
    </row>
    <row r="4173" spans="1:14" x14ac:dyDescent="0.35">
      <c r="A4173">
        <v>4172</v>
      </c>
      <c r="B4173">
        <v>36</v>
      </c>
      <c r="C4173" t="str">
        <f t="shared" si="195"/>
        <v>Adult</v>
      </c>
      <c r="D4173" t="s">
        <v>16</v>
      </c>
      <c r="E4173" t="s">
        <v>20</v>
      </c>
      <c r="F4173" t="s">
        <v>39</v>
      </c>
      <c r="G4173">
        <v>149.44</v>
      </c>
      <c r="H4173" t="s">
        <v>14</v>
      </c>
      <c r="I4173" t="s">
        <v>15</v>
      </c>
      <c r="J4173">
        <v>3.6</v>
      </c>
      <c r="K4173">
        <v>20</v>
      </c>
      <c r="L4173">
        <f t="shared" si="196"/>
        <v>119.55200000000001</v>
      </c>
      <c r="M4173">
        <v>5</v>
      </c>
      <c r="N4173" t="str">
        <f t="shared" si="197"/>
        <v>Regular</v>
      </c>
    </row>
    <row r="4174" spans="1:14" x14ac:dyDescent="0.35">
      <c r="A4174">
        <v>4173</v>
      </c>
      <c r="B4174">
        <v>64</v>
      </c>
      <c r="C4174" t="str">
        <f t="shared" si="195"/>
        <v>Senior</v>
      </c>
      <c r="D4174" t="s">
        <v>16</v>
      </c>
      <c r="E4174" t="s">
        <v>27</v>
      </c>
      <c r="F4174" t="s">
        <v>53</v>
      </c>
      <c r="G4174">
        <v>2758.3</v>
      </c>
      <c r="H4174" t="s">
        <v>19</v>
      </c>
      <c r="I4174" t="s">
        <v>15</v>
      </c>
      <c r="J4174">
        <v>3.4</v>
      </c>
      <c r="K4174">
        <v>17</v>
      </c>
      <c r="L4174">
        <f t="shared" si="196"/>
        <v>2289.3890000000001</v>
      </c>
      <c r="M4174">
        <v>6</v>
      </c>
      <c r="N4174" t="str">
        <f t="shared" si="197"/>
        <v>Regular</v>
      </c>
    </row>
    <row r="4175" spans="1:14" x14ac:dyDescent="0.35">
      <c r="A4175">
        <v>4174</v>
      </c>
      <c r="B4175">
        <v>69</v>
      </c>
      <c r="C4175" t="str">
        <f t="shared" si="195"/>
        <v>Senior</v>
      </c>
      <c r="D4175" t="s">
        <v>11</v>
      </c>
      <c r="E4175" t="s">
        <v>29</v>
      </c>
      <c r="F4175" t="s">
        <v>51</v>
      </c>
      <c r="G4175">
        <v>87.77</v>
      </c>
      <c r="H4175" t="s">
        <v>14</v>
      </c>
      <c r="I4175" t="s">
        <v>37</v>
      </c>
      <c r="J4175">
        <v>3.9</v>
      </c>
      <c r="K4175">
        <v>9</v>
      </c>
      <c r="L4175">
        <f t="shared" si="196"/>
        <v>79.870699999999999</v>
      </c>
      <c r="M4175">
        <v>2</v>
      </c>
      <c r="N4175" t="str">
        <f t="shared" si="197"/>
        <v>New</v>
      </c>
    </row>
    <row r="4176" spans="1:14" x14ac:dyDescent="0.35">
      <c r="A4176">
        <v>4175</v>
      </c>
      <c r="B4176">
        <v>41</v>
      </c>
      <c r="C4176" t="str">
        <f t="shared" si="195"/>
        <v>Adult</v>
      </c>
      <c r="D4176" t="s">
        <v>16</v>
      </c>
      <c r="E4176" t="s">
        <v>17</v>
      </c>
      <c r="F4176" t="s">
        <v>18</v>
      </c>
      <c r="G4176">
        <v>199.07</v>
      </c>
      <c r="H4176" t="s">
        <v>24</v>
      </c>
      <c r="I4176" t="s">
        <v>15</v>
      </c>
      <c r="J4176">
        <v>3.1</v>
      </c>
      <c r="K4176">
        <v>6</v>
      </c>
      <c r="L4176">
        <f t="shared" si="196"/>
        <v>187.12579999999997</v>
      </c>
      <c r="M4176">
        <v>3</v>
      </c>
      <c r="N4176" t="str">
        <f t="shared" si="197"/>
        <v>New</v>
      </c>
    </row>
    <row r="4177" spans="1:14" x14ac:dyDescent="0.35">
      <c r="A4177">
        <v>4176</v>
      </c>
      <c r="B4177">
        <v>39</v>
      </c>
      <c r="C4177" t="str">
        <f t="shared" si="195"/>
        <v>Adult</v>
      </c>
      <c r="D4177" t="s">
        <v>16</v>
      </c>
      <c r="E4177" t="s">
        <v>17</v>
      </c>
      <c r="F4177" t="s">
        <v>18</v>
      </c>
      <c r="G4177">
        <v>145.5</v>
      </c>
      <c r="H4177" t="s">
        <v>14</v>
      </c>
      <c r="I4177" t="s">
        <v>15</v>
      </c>
      <c r="J4177">
        <v>3.8</v>
      </c>
      <c r="K4177">
        <v>4</v>
      </c>
      <c r="L4177">
        <f t="shared" si="196"/>
        <v>139.68</v>
      </c>
      <c r="M4177">
        <v>2</v>
      </c>
      <c r="N4177" t="str">
        <f t="shared" si="197"/>
        <v>New</v>
      </c>
    </row>
    <row r="4178" spans="1:14" x14ac:dyDescent="0.35">
      <c r="A4178">
        <v>4177</v>
      </c>
      <c r="B4178">
        <v>62</v>
      </c>
      <c r="C4178" t="str">
        <f t="shared" si="195"/>
        <v>Senior</v>
      </c>
      <c r="D4178" t="s">
        <v>11</v>
      </c>
      <c r="E4178" t="s">
        <v>29</v>
      </c>
      <c r="F4178" t="s">
        <v>51</v>
      </c>
      <c r="G4178">
        <v>145.38999999999999</v>
      </c>
      <c r="H4178" t="s">
        <v>31</v>
      </c>
      <c r="I4178" t="s">
        <v>15</v>
      </c>
      <c r="J4178">
        <v>3.8</v>
      </c>
      <c r="K4178">
        <v>13</v>
      </c>
      <c r="L4178">
        <f t="shared" si="196"/>
        <v>126.48929999999999</v>
      </c>
      <c r="M4178">
        <v>4</v>
      </c>
      <c r="N4178" t="str">
        <f t="shared" si="197"/>
        <v>Regular</v>
      </c>
    </row>
    <row r="4179" spans="1:14" x14ac:dyDescent="0.35">
      <c r="A4179">
        <v>4178</v>
      </c>
      <c r="B4179">
        <v>47</v>
      </c>
      <c r="C4179" t="str">
        <f t="shared" si="195"/>
        <v>Adult</v>
      </c>
      <c r="D4179" t="s">
        <v>16</v>
      </c>
      <c r="E4179" t="s">
        <v>27</v>
      </c>
      <c r="F4179" t="s">
        <v>28</v>
      </c>
      <c r="G4179">
        <v>1665.59</v>
      </c>
      <c r="H4179" t="s">
        <v>31</v>
      </c>
      <c r="I4179" t="s">
        <v>15</v>
      </c>
      <c r="J4179">
        <v>3.9</v>
      </c>
      <c r="K4179">
        <v>17</v>
      </c>
      <c r="L4179">
        <f t="shared" si="196"/>
        <v>1382.4396999999999</v>
      </c>
      <c r="M4179">
        <v>6</v>
      </c>
      <c r="N4179" t="str">
        <f t="shared" si="197"/>
        <v>Regular</v>
      </c>
    </row>
    <row r="4180" spans="1:14" x14ac:dyDescent="0.35">
      <c r="A4180">
        <v>4179</v>
      </c>
      <c r="B4180">
        <v>46</v>
      </c>
      <c r="C4180" t="str">
        <f t="shared" si="195"/>
        <v>Adult</v>
      </c>
      <c r="D4180" t="s">
        <v>11</v>
      </c>
      <c r="E4180" t="s">
        <v>33</v>
      </c>
      <c r="F4180" t="s">
        <v>38</v>
      </c>
      <c r="G4180">
        <v>89.47</v>
      </c>
      <c r="H4180" t="s">
        <v>19</v>
      </c>
      <c r="I4180" t="s">
        <v>37</v>
      </c>
      <c r="J4180">
        <v>4.3</v>
      </c>
      <c r="K4180">
        <v>17</v>
      </c>
      <c r="L4180">
        <f t="shared" si="196"/>
        <v>74.260099999999994</v>
      </c>
      <c r="M4180">
        <v>6</v>
      </c>
      <c r="N4180" t="str">
        <f t="shared" si="197"/>
        <v>Regular</v>
      </c>
    </row>
    <row r="4181" spans="1:14" x14ac:dyDescent="0.35">
      <c r="A4181">
        <v>4180</v>
      </c>
      <c r="B4181">
        <v>56</v>
      </c>
      <c r="C4181" t="str">
        <f t="shared" si="195"/>
        <v>Adult</v>
      </c>
      <c r="D4181" t="s">
        <v>16</v>
      </c>
      <c r="E4181" t="s">
        <v>17</v>
      </c>
      <c r="F4181" t="s">
        <v>18</v>
      </c>
      <c r="G4181">
        <v>153.46</v>
      </c>
      <c r="H4181" t="s">
        <v>19</v>
      </c>
      <c r="I4181" t="s">
        <v>15</v>
      </c>
      <c r="J4181">
        <v>3.2</v>
      </c>
      <c r="K4181">
        <v>11</v>
      </c>
      <c r="L4181">
        <f t="shared" si="196"/>
        <v>136.57940000000002</v>
      </c>
      <c r="M4181">
        <v>3</v>
      </c>
      <c r="N4181" t="str">
        <f t="shared" si="197"/>
        <v>New</v>
      </c>
    </row>
    <row r="4182" spans="1:14" x14ac:dyDescent="0.35">
      <c r="A4182">
        <v>4181</v>
      </c>
      <c r="B4182">
        <v>32</v>
      </c>
      <c r="C4182" t="str">
        <f t="shared" si="195"/>
        <v>Adult</v>
      </c>
      <c r="D4182" t="s">
        <v>11</v>
      </c>
      <c r="E4182" t="s">
        <v>12</v>
      </c>
      <c r="F4182" t="s">
        <v>50</v>
      </c>
      <c r="G4182">
        <v>156.18</v>
      </c>
      <c r="H4182" t="s">
        <v>24</v>
      </c>
      <c r="I4182" t="s">
        <v>15</v>
      </c>
      <c r="J4182">
        <v>2.6</v>
      </c>
      <c r="K4182">
        <v>12</v>
      </c>
      <c r="L4182">
        <f t="shared" si="196"/>
        <v>137.4384</v>
      </c>
      <c r="M4182">
        <v>6</v>
      </c>
      <c r="N4182" t="str">
        <f t="shared" si="197"/>
        <v>Regular</v>
      </c>
    </row>
    <row r="4183" spans="1:14" x14ac:dyDescent="0.35">
      <c r="A4183">
        <v>4182</v>
      </c>
      <c r="B4183">
        <v>50</v>
      </c>
      <c r="C4183" t="str">
        <f t="shared" si="195"/>
        <v>Adult</v>
      </c>
      <c r="D4183" t="s">
        <v>16</v>
      </c>
      <c r="E4183" t="s">
        <v>20</v>
      </c>
      <c r="F4183" t="s">
        <v>39</v>
      </c>
      <c r="G4183">
        <v>83.36</v>
      </c>
      <c r="H4183" t="s">
        <v>31</v>
      </c>
      <c r="I4183" t="s">
        <v>15</v>
      </c>
      <c r="J4183">
        <v>3.4</v>
      </c>
      <c r="K4183">
        <v>10</v>
      </c>
      <c r="L4183">
        <f t="shared" si="196"/>
        <v>75.024000000000001</v>
      </c>
      <c r="M4183">
        <v>5</v>
      </c>
      <c r="N4183" t="str">
        <f t="shared" si="197"/>
        <v>Regular</v>
      </c>
    </row>
    <row r="4184" spans="1:14" x14ac:dyDescent="0.35">
      <c r="A4184">
        <v>4183</v>
      </c>
      <c r="B4184">
        <v>58</v>
      </c>
      <c r="C4184" t="str">
        <f t="shared" si="195"/>
        <v>Adult</v>
      </c>
      <c r="D4184" t="s">
        <v>16</v>
      </c>
      <c r="E4184" t="s">
        <v>17</v>
      </c>
      <c r="F4184" t="s">
        <v>35</v>
      </c>
      <c r="G4184">
        <v>171.56</v>
      </c>
      <c r="H4184" t="s">
        <v>31</v>
      </c>
      <c r="I4184" t="s">
        <v>15</v>
      </c>
      <c r="J4184">
        <v>3.9</v>
      </c>
      <c r="K4184">
        <v>8</v>
      </c>
      <c r="L4184">
        <f t="shared" si="196"/>
        <v>157.83520000000001</v>
      </c>
      <c r="M4184">
        <v>4</v>
      </c>
      <c r="N4184" t="str">
        <f t="shared" si="197"/>
        <v>Regular</v>
      </c>
    </row>
    <row r="4185" spans="1:14" x14ac:dyDescent="0.35">
      <c r="A4185">
        <v>4184</v>
      </c>
      <c r="B4185">
        <v>26</v>
      </c>
      <c r="C4185" t="str">
        <f t="shared" si="195"/>
        <v>Youth</v>
      </c>
      <c r="D4185" t="s">
        <v>11</v>
      </c>
      <c r="E4185" t="s">
        <v>41</v>
      </c>
      <c r="F4185" t="s">
        <v>45</v>
      </c>
      <c r="G4185">
        <v>31.99</v>
      </c>
      <c r="H4185" t="s">
        <v>24</v>
      </c>
      <c r="I4185" t="s">
        <v>37</v>
      </c>
      <c r="J4185">
        <v>3.4</v>
      </c>
      <c r="K4185">
        <v>23</v>
      </c>
      <c r="L4185">
        <f t="shared" si="196"/>
        <v>24.632300000000001</v>
      </c>
      <c r="M4185">
        <v>9</v>
      </c>
      <c r="N4185" t="str">
        <f t="shared" si="197"/>
        <v>Loyal</v>
      </c>
    </row>
    <row r="4186" spans="1:14" x14ac:dyDescent="0.35">
      <c r="A4186">
        <v>4185</v>
      </c>
      <c r="B4186">
        <v>58</v>
      </c>
      <c r="C4186" t="str">
        <f t="shared" si="195"/>
        <v>Adult</v>
      </c>
      <c r="D4186" t="s">
        <v>11</v>
      </c>
      <c r="E4186" t="s">
        <v>41</v>
      </c>
      <c r="F4186" t="s">
        <v>45</v>
      </c>
      <c r="G4186">
        <v>199.24</v>
      </c>
      <c r="H4186" t="s">
        <v>24</v>
      </c>
      <c r="I4186" t="s">
        <v>15</v>
      </c>
      <c r="J4186">
        <v>3.3</v>
      </c>
      <c r="K4186">
        <v>15</v>
      </c>
      <c r="L4186">
        <f t="shared" si="196"/>
        <v>169.35400000000001</v>
      </c>
      <c r="M4186">
        <v>5</v>
      </c>
      <c r="N4186" t="str">
        <f t="shared" si="197"/>
        <v>Regular</v>
      </c>
    </row>
    <row r="4187" spans="1:14" x14ac:dyDescent="0.35">
      <c r="A4187">
        <v>4186</v>
      </c>
      <c r="B4187">
        <v>24</v>
      </c>
      <c r="C4187" t="str">
        <f t="shared" si="195"/>
        <v>Youth</v>
      </c>
      <c r="D4187" t="s">
        <v>11</v>
      </c>
      <c r="E4187" t="s">
        <v>41</v>
      </c>
      <c r="F4187" t="s">
        <v>45</v>
      </c>
      <c r="G4187">
        <v>80.739999999999995</v>
      </c>
      <c r="H4187" t="s">
        <v>19</v>
      </c>
      <c r="I4187" t="s">
        <v>15</v>
      </c>
      <c r="J4187">
        <v>3.4</v>
      </c>
      <c r="K4187">
        <v>24</v>
      </c>
      <c r="L4187">
        <f t="shared" si="196"/>
        <v>61.362399999999994</v>
      </c>
      <c r="M4187">
        <v>7</v>
      </c>
      <c r="N4187" t="str">
        <f t="shared" si="197"/>
        <v>Regular</v>
      </c>
    </row>
    <row r="4188" spans="1:14" x14ac:dyDescent="0.35">
      <c r="A4188">
        <v>4187</v>
      </c>
      <c r="B4188">
        <v>65</v>
      </c>
      <c r="C4188" t="str">
        <f t="shared" si="195"/>
        <v>Senior</v>
      </c>
      <c r="D4188" t="s">
        <v>11</v>
      </c>
      <c r="E4188" t="s">
        <v>33</v>
      </c>
      <c r="F4188" t="s">
        <v>38</v>
      </c>
      <c r="G4188">
        <v>231.77</v>
      </c>
      <c r="H4188" t="s">
        <v>14</v>
      </c>
      <c r="I4188" t="s">
        <v>15</v>
      </c>
      <c r="J4188">
        <v>3.5</v>
      </c>
      <c r="K4188">
        <v>22</v>
      </c>
      <c r="L4188">
        <f t="shared" si="196"/>
        <v>180.78060000000002</v>
      </c>
      <c r="M4188">
        <v>6</v>
      </c>
      <c r="N4188" t="str">
        <f t="shared" si="197"/>
        <v>Regular</v>
      </c>
    </row>
    <row r="4189" spans="1:14" x14ac:dyDescent="0.35">
      <c r="A4189">
        <v>4188</v>
      </c>
      <c r="B4189">
        <v>46</v>
      </c>
      <c r="C4189" t="str">
        <f t="shared" si="195"/>
        <v>Adult</v>
      </c>
      <c r="D4189" t="s">
        <v>16</v>
      </c>
      <c r="E4189" t="s">
        <v>17</v>
      </c>
      <c r="F4189" t="s">
        <v>35</v>
      </c>
      <c r="G4189">
        <v>79.069999999999993</v>
      </c>
      <c r="H4189" t="s">
        <v>14</v>
      </c>
      <c r="I4189" t="s">
        <v>15</v>
      </c>
      <c r="J4189">
        <v>4.3</v>
      </c>
      <c r="K4189">
        <v>14</v>
      </c>
      <c r="L4189">
        <f t="shared" si="196"/>
        <v>68.000199999999992</v>
      </c>
      <c r="M4189">
        <v>2</v>
      </c>
      <c r="N4189" t="str">
        <f t="shared" si="197"/>
        <v>New</v>
      </c>
    </row>
    <row r="4190" spans="1:14" x14ac:dyDescent="0.35">
      <c r="A4190">
        <v>4189</v>
      </c>
      <c r="B4190">
        <v>57</v>
      </c>
      <c r="C4190" t="str">
        <f t="shared" si="195"/>
        <v>Adult</v>
      </c>
      <c r="D4190" t="s">
        <v>11</v>
      </c>
      <c r="E4190" t="s">
        <v>25</v>
      </c>
      <c r="F4190" t="s">
        <v>47</v>
      </c>
      <c r="G4190">
        <v>13.76</v>
      </c>
      <c r="H4190" t="s">
        <v>24</v>
      </c>
      <c r="I4190" t="s">
        <v>15</v>
      </c>
      <c r="J4190">
        <v>4.4000000000000004</v>
      </c>
      <c r="K4190">
        <v>7</v>
      </c>
      <c r="L4190">
        <f t="shared" si="196"/>
        <v>12.796799999999999</v>
      </c>
      <c r="M4190">
        <v>1</v>
      </c>
      <c r="N4190" t="str">
        <f t="shared" si="197"/>
        <v>New</v>
      </c>
    </row>
    <row r="4191" spans="1:14" x14ac:dyDescent="0.35">
      <c r="A4191">
        <v>4190</v>
      </c>
      <c r="B4191">
        <v>27</v>
      </c>
      <c r="C4191" t="str">
        <f t="shared" si="195"/>
        <v>Youth</v>
      </c>
      <c r="D4191" t="s">
        <v>11</v>
      </c>
      <c r="E4191" t="s">
        <v>29</v>
      </c>
      <c r="F4191" t="s">
        <v>30</v>
      </c>
      <c r="G4191">
        <v>113.95</v>
      </c>
      <c r="H4191" t="s">
        <v>19</v>
      </c>
      <c r="I4191" t="s">
        <v>15</v>
      </c>
      <c r="J4191">
        <v>3.7</v>
      </c>
      <c r="K4191">
        <v>11</v>
      </c>
      <c r="L4191">
        <f t="shared" si="196"/>
        <v>101.41550000000001</v>
      </c>
      <c r="M4191">
        <v>3</v>
      </c>
      <c r="N4191" t="str">
        <f t="shared" si="197"/>
        <v>New</v>
      </c>
    </row>
    <row r="4192" spans="1:14" x14ac:dyDescent="0.35">
      <c r="A4192">
        <v>4191</v>
      </c>
      <c r="B4192">
        <v>41</v>
      </c>
      <c r="C4192" t="str">
        <f t="shared" si="195"/>
        <v>Adult</v>
      </c>
      <c r="D4192" t="s">
        <v>11</v>
      </c>
      <c r="E4192" t="s">
        <v>33</v>
      </c>
      <c r="F4192" t="s">
        <v>34</v>
      </c>
      <c r="G4192">
        <v>216.85</v>
      </c>
      <c r="H4192" t="s">
        <v>19</v>
      </c>
      <c r="I4192" t="s">
        <v>15</v>
      </c>
      <c r="J4192">
        <v>3.3</v>
      </c>
      <c r="K4192">
        <v>21</v>
      </c>
      <c r="L4192">
        <f t="shared" si="196"/>
        <v>171.3115</v>
      </c>
      <c r="M4192">
        <v>8</v>
      </c>
      <c r="N4192" t="str">
        <f t="shared" si="197"/>
        <v>Loyal</v>
      </c>
    </row>
    <row r="4193" spans="1:14" x14ac:dyDescent="0.35">
      <c r="A4193">
        <v>4192</v>
      </c>
      <c r="B4193">
        <v>40</v>
      </c>
      <c r="C4193" t="str">
        <f t="shared" si="195"/>
        <v>Adult</v>
      </c>
      <c r="D4193" t="s">
        <v>11</v>
      </c>
      <c r="E4193" t="s">
        <v>29</v>
      </c>
      <c r="F4193" t="s">
        <v>30</v>
      </c>
      <c r="G4193">
        <v>58.55</v>
      </c>
      <c r="H4193" t="s">
        <v>19</v>
      </c>
      <c r="I4193" t="s">
        <v>37</v>
      </c>
      <c r="J4193">
        <v>4.8</v>
      </c>
      <c r="K4193">
        <v>6</v>
      </c>
      <c r="L4193">
        <f t="shared" si="196"/>
        <v>55.036999999999992</v>
      </c>
      <c r="M4193">
        <v>3</v>
      </c>
      <c r="N4193" t="str">
        <f t="shared" si="197"/>
        <v>New</v>
      </c>
    </row>
    <row r="4194" spans="1:14" x14ac:dyDescent="0.35">
      <c r="A4194">
        <v>4193</v>
      </c>
      <c r="B4194">
        <v>43</v>
      </c>
      <c r="C4194" t="str">
        <f t="shared" si="195"/>
        <v>Adult</v>
      </c>
      <c r="D4194" t="s">
        <v>16</v>
      </c>
      <c r="E4194" t="s">
        <v>20</v>
      </c>
      <c r="F4194" t="s">
        <v>36</v>
      </c>
      <c r="G4194">
        <v>188.28</v>
      </c>
      <c r="H4194" t="s">
        <v>24</v>
      </c>
      <c r="I4194" t="s">
        <v>15</v>
      </c>
      <c r="J4194">
        <v>4.4000000000000004</v>
      </c>
      <c r="K4194">
        <v>19</v>
      </c>
      <c r="L4194">
        <f t="shared" si="196"/>
        <v>152.5068</v>
      </c>
      <c r="M4194">
        <v>7</v>
      </c>
      <c r="N4194" t="str">
        <f t="shared" si="197"/>
        <v>Regular</v>
      </c>
    </row>
    <row r="4195" spans="1:14" x14ac:dyDescent="0.35">
      <c r="A4195">
        <v>4194</v>
      </c>
      <c r="B4195">
        <v>37</v>
      </c>
      <c r="C4195" t="str">
        <f t="shared" si="195"/>
        <v>Adult</v>
      </c>
      <c r="D4195" t="s">
        <v>11</v>
      </c>
      <c r="E4195" t="s">
        <v>41</v>
      </c>
      <c r="F4195" t="s">
        <v>44</v>
      </c>
      <c r="G4195">
        <v>116.17</v>
      </c>
      <c r="H4195" t="s">
        <v>14</v>
      </c>
      <c r="I4195" t="s">
        <v>15</v>
      </c>
      <c r="J4195">
        <v>4.4000000000000004</v>
      </c>
      <c r="K4195">
        <v>22</v>
      </c>
      <c r="L4195">
        <f t="shared" si="196"/>
        <v>90.6126</v>
      </c>
      <c r="M4195">
        <v>6</v>
      </c>
      <c r="N4195" t="str">
        <f t="shared" si="197"/>
        <v>Regular</v>
      </c>
    </row>
    <row r="4196" spans="1:14" x14ac:dyDescent="0.35">
      <c r="A4196">
        <v>4195</v>
      </c>
      <c r="B4196">
        <v>34</v>
      </c>
      <c r="C4196" t="str">
        <f t="shared" si="195"/>
        <v>Adult</v>
      </c>
      <c r="D4196" t="s">
        <v>11</v>
      </c>
      <c r="E4196" t="s">
        <v>22</v>
      </c>
      <c r="F4196" t="s">
        <v>23</v>
      </c>
      <c r="G4196">
        <v>142.76</v>
      </c>
      <c r="H4196" t="s">
        <v>31</v>
      </c>
      <c r="I4196" t="s">
        <v>15</v>
      </c>
      <c r="J4196">
        <v>4.5999999999999996</v>
      </c>
      <c r="K4196">
        <v>19</v>
      </c>
      <c r="L4196">
        <f t="shared" si="196"/>
        <v>115.6356</v>
      </c>
      <c r="M4196">
        <v>7</v>
      </c>
      <c r="N4196" t="str">
        <f t="shared" si="197"/>
        <v>Regular</v>
      </c>
    </row>
    <row r="4197" spans="1:14" x14ac:dyDescent="0.35">
      <c r="A4197">
        <v>4196</v>
      </c>
      <c r="B4197">
        <v>43</v>
      </c>
      <c r="C4197" t="str">
        <f t="shared" si="195"/>
        <v>Adult</v>
      </c>
      <c r="D4197" t="s">
        <v>16</v>
      </c>
      <c r="E4197" t="s">
        <v>33</v>
      </c>
      <c r="F4197" t="s">
        <v>40</v>
      </c>
      <c r="G4197">
        <v>158.75</v>
      </c>
      <c r="H4197" t="s">
        <v>24</v>
      </c>
      <c r="I4197" t="s">
        <v>15</v>
      </c>
      <c r="J4197">
        <v>4.5</v>
      </c>
      <c r="K4197">
        <v>16</v>
      </c>
      <c r="L4197">
        <f t="shared" si="196"/>
        <v>133.35</v>
      </c>
      <c r="M4197">
        <v>8</v>
      </c>
      <c r="N4197" t="str">
        <f t="shared" si="197"/>
        <v>Loyal</v>
      </c>
    </row>
    <row r="4198" spans="1:14" x14ac:dyDescent="0.35">
      <c r="A4198">
        <v>4197</v>
      </c>
      <c r="B4198">
        <v>49</v>
      </c>
      <c r="C4198" t="str">
        <f t="shared" si="195"/>
        <v>Adult</v>
      </c>
      <c r="D4198" t="s">
        <v>11</v>
      </c>
      <c r="E4198" t="s">
        <v>25</v>
      </c>
      <c r="F4198" t="s">
        <v>54</v>
      </c>
      <c r="G4198">
        <v>43.81</v>
      </c>
      <c r="H4198" t="s">
        <v>19</v>
      </c>
      <c r="I4198" t="s">
        <v>37</v>
      </c>
      <c r="J4198">
        <v>4</v>
      </c>
      <c r="K4198">
        <v>12</v>
      </c>
      <c r="L4198">
        <f t="shared" si="196"/>
        <v>38.552800000000005</v>
      </c>
      <c r="M4198">
        <v>6</v>
      </c>
      <c r="N4198" t="str">
        <f t="shared" si="197"/>
        <v>Regular</v>
      </c>
    </row>
    <row r="4199" spans="1:14" x14ac:dyDescent="0.35">
      <c r="A4199">
        <v>4198</v>
      </c>
      <c r="B4199">
        <v>57</v>
      </c>
      <c r="C4199" t="str">
        <f t="shared" si="195"/>
        <v>Adult</v>
      </c>
      <c r="D4199" t="s">
        <v>16</v>
      </c>
      <c r="E4199" t="s">
        <v>20</v>
      </c>
      <c r="F4199" t="s">
        <v>21</v>
      </c>
      <c r="G4199">
        <v>66.09</v>
      </c>
      <c r="H4199" t="s">
        <v>19</v>
      </c>
      <c r="I4199" t="s">
        <v>37</v>
      </c>
      <c r="J4199">
        <v>3.6</v>
      </c>
      <c r="K4199">
        <v>11</v>
      </c>
      <c r="L4199">
        <f t="shared" si="196"/>
        <v>58.820100000000004</v>
      </c>
      <c r="M4199">
        <v>3</v>
      </c>
      <c r="N4199" t="str">
        <f t="shared" si="197"/>
        <v>New</v>
      </c>
    </row>
    <row r="4200" spans="1:14" x14ac:dyDescent="0.35">
      <c r="A4200">
        <v>4199</v>
      </c>
      <c r="B4200">
        <v>60</v>
      </c>
      <c r="C4200" t="str">
        <f t="shared" si="195"/>
        <v>Adult</v>
      </c>
      <c r="D4200" t="s">
        <v>16</v>
      </c>
      <c r="E4200" t="s">
        <v>27</v>
      </c>
      <c r="F4200" t="s">
        <v>49</v>
      </c>
      <c r="G4200">
        <v>2585.88</v>
      </c>
      <c r="H4200" t="s">
        <v>24</v>
      </c>
      <c r="I4200" t="s">
        <v>15</v>
      </c>
      <c r="J4200">
        <v>3.1</v>
      </c>
      <c r="K4200">
        <v>15</v>
      </c>
      <c r="L4200">
        <f t="shared" si="196"/>
        <v>2197.998</v>
      </c>
      <c r="M4200">
        <v>5</v>
      </c>
      <c r="N4200" t="str">
        <f t="shared" si="197"/>
        <v>Regular</v>
      </c>
    </row>
    <row r="4201" spans="1:14" x14ac:dyDescent="0.35">
      <c r="A4201">
        <v>4200</v>
      </c>
      <c r="B4201">
        <v>45</v>
      </c>
      <c r="C4201" t="str">
        <f t="shared" si="195"/>
        <v>Adult</v>
      </c>
      <c r="D4201" t="s">
        <v>16</v>
      </c>
      <c r="E4201" t="s">
        <v>27</v>
      </c>
      <c r="F4201" t="s">
        <v>49</v>
      </c>
      <c r="G4201">
        <v>2462.83</v>
      </c>
      <c r="H4201" t="s">
        <v>19</v>
      </c>
      <c r="I4201" t="s">
        <v>15</v>
      </c>
      <c r="J4201">
        <v>4.5</v>
      </c>
      <c r="K4201">
        <v>12</v>
      </c>
      <c r="L4201">
        <f t="shared" si="196"/>
        <v>2167.2903999999999</v>
      </c>
      <c r="M4201">
        <v>6</v>
      </c>
      <c r="N4201" t="str">
        <f t="shared" si="197"/>
        <v>Regular</v>
      </c>
    </row>
    <row r="4202" spans="1:14" x14ac:dyDescent="0.35">
      <c r="A4202">
        <v>4201</v>
      </c>
      <c r="B4202">
        <v>38</v>
      </c>
      <c r="C4202" t="str">
        <f t="shared" si="195"/>
        <v>Adult</v>
      </c>
      <c r="D4202" t="s">
        <v>16</v>
      </c>
      <c r="E4202" t="s">
        <v>20</v>
      </c>
      <c r="F4202" t="s">
        <v>36</v>
      </c>
      <c r="G4202">
        <v>92.59</v>
      </c>
      <c r="H4202" t="s">
        <v>19</v>
      </c>
      <c r="I4202" t="s">
        <v>15</v>
      </c>
      <c r="J4202">
        <v>4.5999999999999996</v>
      </c>
      <c r="K4202">
        <v>19</v>
      </c>
      <c r="L4202">
        <f t="shared" si="196"/>
        <v>74.997900000000001</v>
      </c>
      <c r="M4202">
        <v>7</v>
      </c>
      <c r="N4202" t="str">
        <f t="shared" si="197"/>
        <v>Regular</v>
      </c>
    </row>
    <row r="4203" spans="1:14" x14ac:dyDescent="0.35">
      <c r="A4203">
        <v>4202</v>
      </c>
      <c r="B4203">
        <v>52</v>
      </c>
      <c r="C4203" t="str">
        <f t="shared" si="195"/>
        <v>Adult</v>
      </c>
      <c r="D4203" t="s">
        <v>11</v>
      </c>
      <c r="E4203" t="s">
        <v>41</v>
      </c>
      <c r="F4203" t="s">
        <v>42</v>
      </c>
      <c r="G4203">
        <v>132.66999999999999</v>
      </c>
      <c r="H4203" t="s">
        <v>14</v>
      </c>
      <c r="I4203" t="s">
        <v>15</v>
      </c>
      <c r="J4203">
        <v>5</v>
      </c>
      <c r="K4203">
        <v>13</v>
      </c>
      <c r="L4203">
        <f t="shared" si="196"/>
        <v>115.42289999999998</v>
      </c>
      <c r="M4203">
        <v>4</v>
      </c>
      <c r="N4203" t="str">
        <f t="shared" si="197"/>
        <v>Regular</v>
      </c>
    </row>
    <row r="4204" spans="1:14" x14ac:dyDescent="0.35">
      <c r="A4204">
        <v>4203</v>
      </c>
      <c r="B4204">
        <v>49</v>
      </c>
      <c r="C4204" t="str">
        <f t="shared" si="195"/>
        <v>Adult</v>
      </c>
      <c r="D4204" t="s">
        <v>11</v>
      </c>
      <c r="E4204" t="s">
        <v>25</v>
      </c>
      <c r="F4204" t="s">
        <v>54</v>
      </c>
      <c r="G4204">
        <v>44.3</v>
      </c>
      <c r="H4204" t="s">
        <v>24</v>
      </c>
      <c r="I4204" t="s">
        <v>15</v>
      </c>
      <c r="J4204">
        <v>4.3</v>
      </c>
      <c r="K4204">
        <v>17</v>
      </c>
      <c r="L4204">
        <f t="shared" si="196"/>
        <v>36.768999999999998</v>
      </c>
      <c r="M4204">
        <v>6</v>
      </c>
      <c r="N4204" t="str">
        <f t="shared" si="197"/>
        <v>Regular</v>
      </c>
    </row>
    <row r="4205" spans="1:14" x14ac:dyDescent="0.35">
      <c r="A4205">
        <v>4204</v>
      </c>
      <c r="B4205">
        <v>26</v>
      </c>
      <c r="C4205" t="str">
        <f t="shared" si="195"/>
        <v>Youth</v>
      </c>
      <c r="D4205" t="s">
        <v>11</v>
      </c>
      <c r="E4205" t="s">
        <v>29</v>
      </c>
      <c r="F4205" t="s">
        <v>30</v>
      </c>
      <c r="G4205">
        <v>76.87</v>
      </c>
      <c r="H4205" t="s">
        <v>19</v>
      </c>
      <c r="I4205" t="s">
        <v>15</v>
      </c>
      <c r="J4205">
        <v>3</v>
      </c>
      <c r="K4205">
        <v>10</v>
      </c>
      <c r="L4205">
        <f t="shared" si="196"/>
        <v>69.183000000000007</v>
      </c>
      <c r="M4205">
        <v>5</v>
      </c>
      <c r="N4205" t="str">
        <f t="shared" si="197"/>
        <v>Regular</v>
      </c>
    </row>
    <row r="4206" spans="1:14" x14ac:dyDescent="0.35">
      <c r="A4206">
        <v>4205</v>
      </c>
      <c r="B4206">
        <v>58</v>
      </c>
      <c r="C4206" t="str">
        <f t="shared" si="195"/>
        <v>Adult</v>
      </c>
      <c r="D4206" t="s">
        <v>16</v>
      </c>
      <c r="E4206" t="s">
        <v>17</v>
      </c>
      <c r="F4206" t="s">
        <v>48</v>
      </c>
      <c r="G4206">
        <v>53.51</v>
      </c>
      <c r="H4206" t="s">
        <v>19</v>
      </c>
      <c r="I4206" t="s">
        <v>15</v>
      </c>
      <c r="J4206">
        <v>4.4000000000000004</v>
      </c>
      <c r="K4206">
        <v>12</v>
      </c>
      <c r="L4206">
        <f t="shared" si="196"/>
        <v>47.088799999999999</v>
      </c>
      <c r="M4206">
        <v>6</v>
      </c>
      <c r="N4206" t="str">
        <f t="shared" si="197"/>
        <v>Regular</v>
      </c>
    </row>
    <row r="4207" spans="1:14" x14ac:dyDescent="0.35">
      <c r="A4207">
        <v>4206</v>
      </c>
      <c r="B4207">
        <v>52</v>
      </c>
      <c r="C4207" t="str">
        <f t="shared" si="195"/>
        <v>Adult</v>
      </c>
      <c r="D4207" t="s">
        <v>16</v>
      </c>
      <c r="E4207" t="s">
        <v>20</v>
      </c>
      <c r="F4207" t="s">
        <v>39</v>
      </c>
      <c r="G4207">
        <v>103.02</v>
      </c>
      <c r="H4207" t="s">
        <v>14</v>
      </c>
      <c r="I4207" t="s">
        <v>15</v>
      </c>
      <c r="J4207">
        <v>3.6</v>
      </c>
      <c r="K4207">
        <v>14</v>
      </c>
      <c r="L4207">
        <f t="shared" si="196"/>
        <v>88.597200000000001</v>
      </c>
      <c r="M4207">
        <v>7</v>
      </c>
      <c r="N4207" t="str">
        <f t="shared" si="197"/>
        <v>Regular</v>
      </c>
    </row>
    <row r="4208" spans="1:14" x14ac:dyDescent="0.35">
      <c r="A4208">
        <v>4207</v>
      </c>
      <c r="B4208">
        <v>64</v>
      </c>
      <c r="C4208" t="str">
        <f t="shared" si="195"/>
        <v>Senior</v>
      </c>
      <c r="D4208" t="s">
        <v>16</v>
      </c>
      <c r="E4208" t="s">
        <v>33</v>
      </c>
      <c r="F4208" t="s">
        <v>40</v>
      </c>
      <c r="G4208">
        <v>184.26</v>
      </c>
      <c r="H4208" t="s">
        <v>24</v>
      </c>
      <c r="I4208" t="s">
        <v>15</v>
      </c>
      <c r="J4208">
        <v>4.5999999999999996</v>
      </c>
      <c r="K4208">
        <v>12</v>
      </c>
      <c r="L4208">
        <f t="shared" si="196"/>
        <v>162.14879999999999</v>
      </c>
      <c r="M4208">
        <v>1</v>
      </c>
      <c r="N4208" t="str">
        <f t="shared" si="197"/>
        <v>New</v>
      </c>
    </row>
    <row r="4209" spans="1:14" x14ac:dyDescent="0.35">
      <c r="A4209">
        <v>4208</v>
      </c>
      <c r="B4209">
        <v>55</v>
      </c>
      <c r="C4209" t="str">
        <f t="shared" si="195"/>
        <v>Adult</v>
      </c>
      <c r="D4209" t="s">
        <v>11</v>
      </c>
      <c r="E4209" t="s">
        <v>33</v>
      </c>
      <c r="F4209" t="s">
        <v>40</v>
      </c>
      <c r="G4209">
        <v>171.05</v>
      </c>
      <c r="H4209" t="s">
        <v>14</v>
      </c>
      <c r="I4209" t="s">
        <v>15</v>
      </c>
      <c r="J4209">
        <v>3.8</v>
      </c>
      <c r="K4209">
        <v>12</v>
      </c>
      <c r="L4209">
        <f t="shared" si="196"/>
        <v>150.524</v>
      </c>
      <c r="M4209">
        <v>6</v>
      </c>
      <c r="N4209" t="str">
        <f t="shared" si="197"/>
        <v>Regular</v>
      </c>
    </row>
    <row r="4210" spans="1:14" x14ac:dyDescent="0.35">
      <c r="A4210">
        <v>4209</v>
      </c>
      <c r="B4210">
        <v>67</v>
      </c>
      <c r="C4210" t="str">
        <f t="shared" si="195"/>
        <v>Senior</v>
      </c>
      <c r="D4210" t="s">
        <v>11</v>
      </c>
      <c r="E4210" t="s">
        <v>12</v>
      </c>
      <c r="F4210" t="s">
        <v>56</v>
      </c>
      <c r="G4210">
        <v>37.770000000000003</v>
      </c>
      <c r="H4210" t="s">
        <v>24</v>
      </c>
      <c r="I4210" t="s">
        <v>37</v>
      </c>
      <c r="J4210">
        <v>4.5</v>
      </c>
      <c r="K4210">
        <v>20</v>
      </c>
      <c r="L4210">
        <f t="shared" si="196"/>
        <v>30.216000000000005</v>
      </c>
      <c r="M4210">
        <v>5</v>
      </c>
      <c r="N4210" t="str">
        <f t="shared" si="197"/>
        <v>Regular</v>
      </c>
    </row>
    <row r="4211" spans="1:14" x14ac:dyDescent="0.35">
      <c r="A4211">
        <v>4210</v>
      </c>
      <c r="B4211">
        <v>41</v>
      </c>
      <c r="C4211" t="str">
        <f t="shared" si="195"/>
        <v>Adult</v>
      </c>
      <c r="D4211" t="s">
        <v>16</v>
      </c>
      <c r="E4211" t="s">
        <v>22</v>
      </c>
      <c r="F4211" t="s">
        <v>43</v>
      </c>
      <c r="G4211">
        <v>170.89</v>
      </c>
      <c r="H4211" t="s">
        <v>14</v>
      </c>
      <c r="I4211" t="s">
        <v>15</v>
      </c>
      <c r="J4211">
        <v>4.7</v>
      </c>
      <c r="K4211">
        <v>24</v>
      </c>
      <c r="L4211">
        <f t="shared" si="196"/>
        <v>129.87639999999999</v>
      </c>
      <c r="M4211">
        <v>7</v>
      </c>
      <c r="N4211" t="str">
        <f t="shared" si="197"/>
        <v>Regular</v>
      </c>
    </row>
    <row r="4212" spans="1:14" x14ac:dyDescent="0.35">
      <c r="A4212">
        <v>4211</v>
      </c>
      <c r="B4212">
        <v>23</v>
      </c>
      <c r="C4212" t="str">
        <f t="shared" si="195"/>
        <v>Youth</v>
      </c>
      <c r="D4212" t="s">
        <v>16</v>
      </c>
      <c r="E4212" t="s">
        <v>33</v>
      </c>
      <c r="F4212" t="s">
        <v>34</v>
      </c>
      <c r="G4212">
        <v>249.42</v>
      </c>
      <c r="H4212" t="s">
        <v>19</v>
      </c>
      <c r="I4212" t="s">
        <v>15</v>
      </c>
      <c r="J4212">
        <v>2.7</v>
      </c>
      <c r="K4212">
        <v>23</v>
      </c>
      <c r="L4212">
        <f t="shared" si="196"/>
        <v>192.05339999999998</v>
      </c>
      <c r="M4212">
        <v>9</v>
      </c>
      <c r="N4212" t="str">
        <f t="shared" si="197"/>
        <v>Loyal</v>
      </c>
    </row>
    <row r="4213" spans="1:14" x14ac:dyDescent="0.35">
      <c r="A4213">
        <v>4212</v>
      </c>
      <c r="B4213">
        <v>66</v>
      </c>
      <c r="C4213" t="str">
        <f t="shared" si="195"/>
        <v>Senior</v>
      </c>
      <c r="D4213" t="s">
        <v>11</v>
      </c>
      <c r="E4213" t="s">
        <v>33</v>
      </c>
      <c r="F4213" t="s">
        <v>38</v>
      </c>
      <c r="G4213">
        <v>167.08</v>
      </c>
      <c r="H4213" t="s">
        <v>19</v>
      </c>
      <c r="I4213" t="s">
        <v>15</v>
      </c>
      <c r="J4213">
        <v>4.2</v>
      </c>
      <c r="K4213">
        <v>24</v>
      </c>
      <c r="L4213">
        <f t="shared" si="196"/>
        <v>126.98080000000002</v>
      </c>
      <c r="M4213">
        <v>7</v>
      </c>
      <c r="N4213" t="str">
        <f t="shared" si="197"/>
        <v>Regular</v>
      </c>
    </row>
    <row r="4214" spans="1:14" x14ac:dyDescent="0.35">
      <c r="A4214">
        <v>4213</v>
      </c>
      <c r="B4214">
        <v>26</v>
      </c>
      <c r="C4214" t="str">
        <f t="shared" si="195"/>
        <v>Youth</v>
      </c>
      <c r="D4214" t="s">
        <v>11</v>
      </c>
      <c r="E4214" t="s">
        <v>25</v>
      </c>
      <c r="F4214" t="s">
        <v>54</v>
      </c>
      <c r="G4214">
        <v>59.78</v>
      </c>
      <c r="H4214" t="s">
        <v>14</v>
      </c>
      <c r="I4214" t="s">
        <v>15</v>
      </c>
      <c r="J4214">
        <v>4.3</v>
      </c>
      <c r="K4214">
        <v>15</v>
      </c>
      <c r="L4214">
        <f t="shared" si="196"/>
        <v>50.813000000000002</v>
      </c>
      <c r="M4214">
        <v>5</v>
      </c>
      <c r="N4214" t="str">
        <f t="shared" si="197"/>
        <v>Regular</v>
      </c>
    </row>
    <row r="4215" spans="1:14" x14ac:dyDescent="0.35">
      <c r="A4215">
        <v>4214</v>
      </c>
      <c r="B4215">
        <v>44</v>
      </c>
      <c r="C4215" t="str">
        <f t="shared" si="195"/>
        <v>Adult</v>
      </c>
      <c r="D4215" t="s">
        <v>11</v>
      </c>
      <c r="E4215" t="s">
        <v>41</v>
      </c>
      <c r="F4215" t="s">
        <v>45</v>
      </c>
      <c r="G4215">
        <v>32</v>
      </c>
      <c r="H4215" t="s">
        <v>14</v>
      </c>
      <c r="I4215" t="s">
        <v>15</v>
      </c>
      <c r="J4215">
        <v>5</v>
      </c>
      <c r="K4215">
        <v>14</v>
      </c>
      <c r="L4215">
        <f t="shared" si="196"/>
        <v>27.52</v>
      </c>
      <c r="M4215">
        <v>7</v>
      </c>
      <c r="N4215" t="str">
        <f t="shared" si="197"/>
        <v>Regular</v>
      </c>
    </row>
    <row r="4216" spans="1:14" x14ac:dyDescent="0.35">
      <c r="A4216">
        <v>4215</v>
      </c>
      <c r="B4216">
        <v>36</v>
      </c>
      <c r="C4216" t="str">
        <f t="shared" si="195"/>
        <v>Adult</v>
      </c>
      <c r="D4216" t="s">
        <v>16</v>
      </c>
      <c r="E4216" t="s">
        <v>20</v>
      </c>
      <c r="F4216" t="s">
        <v>36</v>
      </c>
      <c r="G4216">
        <v>46.99</v>
      </c>
      <c r="H4216" t="s">
        <v>19</v>
      </c>
      <c r="I4216" t="s">
        <v>37</v>
      </c>
      <c r="J4216">
        <v>3.7</v>
      </c>
      <c r="K4216">
        <v>8</v>
      </c>
      <c r="L4216">
        <f t="shared" si="196"/>
        <v>43.230800000000002</v>
      </c>
      <c r="M4216">
        <v>4</v>
      </c>
      <c r="N4216" t="str">
        <f t="shared" si="197"/>
        <v>Regular</v>
      </c>
    </row>
    <row r="4217" spans="1:14" x14ac:dyDescent="0.35">
      <c r="A4217">
        <v>4216</v>
      </c>
      <c r="B4217">
        <v>31</v>
      </c>
      <c r="C4217" t="str">
        <f t="shared" si="195"/>
        <v>Adult</v>
      </c>
      <c r="D4217" t="s">
        <v>16</v>
      </c>
      <c r="E4217" t="s">
        <v>33</v>
      </c>
      <c r="F4217" t="s">
        <v>40</v>
      </c>
      <c r="G4217">
        <v>82.9</v>
      </c>
      <c r="H4217" t="s">
        <v>24</v>
      </c>
      <c r="I4217" t="s">
        <v>15</v>
      </c>
      <c r="J4217">
        <v>4.2</v>
      </c>
      <c r="K4217">
        <v>16</v>
      </c>
      <c r="L4217">
        <f t="shared" si="196"/>
        <v>69.635999999999996</v>
      </c>
      <c r="M4217">
        <v>3</v>
      </c>
      <c r="N4217" t="str">
        <f t="shared" si="197"/>
        <v>New</v>
      </c>
    </row>
    <row r="4218" spans="1:14" x14ac:dyDescent="0.35">
      <c r="A4218">
        <v>4217</v>
      </c>
      <c r="B4218">
        <v>69</v>
      </c>
      <c r="C4218" t="str">
        <f t="shared" si="195"/>
        <v>Senior</v>
      </c>
      <c r="D4218" t="s">
        <v>16</v>
      </c>
      <c r="E4218" t="s">
        <v>33</v>
      </c>
      <c r="F4218" t="s">
        <v>40</v>
      </c>
      <c r="G4218">
        <v>245.86</v>
      </c>
      <c r="H4218" t="s">
        <v>24</v>
      </c>
      <c r="I4218" t="s">
        <v>15</v>
      </c>
      <c r="J4218">
        <v>4</v>
      </c>
      <c r="K4218">
        <v>15</v>
      </c>
      <c r="L4218">
        <f t="shared" si="196"/>
        <v>208.98099999999999</v>
      </c>
      <c r="M4218">
        <v>5</v>
      </c>
      <c r="N4218" t="str">
        <f t="shared" si="197"/>
        <v>Regular</v>
      </c>
    </row>
    <row r="4219" spans="1:14" x14ac:dyDescent="0.35">
      <c r="A4219">
        <v>4218</v>
      </c>
      <c r="B4219">
        <v>48</v>
      </c>
      <c r="C4219" t="str">
        <f t="shared" si="195"/>
        <v>Adult</v>
      </c>
      <c r="D4219" t="s">
        <v>11</v>
      </c>
      <c r="E4219" t="s">
        <v>12</v>
      </c>
      <c r="F4219" t="s">
        <v>13</v>
      </c>
      <c r="G4219">
        <v>94.05</v>
      </c>
      <c r="H4219" t="s">
        <v>19</v>
      </c>
      <c r="I4219" t="s">
        <v>37</v>
      </c>
      <c r="J4219">
        <v>4.3</v>
      </c>
      <c r="K4219">
        <v>10</v>
      </c>
      <c r="L4219">
        <f t="shared" si="196"/>
        <v>84.644999999999996</v>
      </c>
      <c r="M4219">
        <v>5</v>
      </c>
      <c r="N4219" t="str">
        <f t="shared" si="197"/>
        <v>Regular</v>
      </c>
    </row>
    <row r="4220" spans="1:14" x14ac:dyDescent="0.35">
      <c r="A4220">
        <v>4219</v>
      </c>
      <c r="B4220">
        <v>31</v>
      </c>
      <c r="C4220" t="str">
        <f t="shared" si="195"/>
        <v>Adult</v>
      </c>
      <c r="D4220" t="s">
        <v>11</v>
      </c>
      <c r="E4220" t="s">
        <v>25</v>
      </c>
      <c r="F4220" t="s">
        <v>47</v>
      </c>
      <c r="G4220">
        <v>9.39</v>
      </c>
      <c r="H4220" t="s">
        <v>14</v>
      </c>
      <c r="I4220" t="s">
        <v>15</v>
      </c>
      <c r="J4220">
        <v>4.2</v>
      </c>
      <c r="K4220">
        <v>14</v>
      </c>
      <c r="L4220">
        <f t="shared" si="196"/>
        <v>8.0754000000000001</v>
      </c>
      <c r="M4220">
        <v>2</v>
      </c>
      <c r="N4220" t="str">
        <f t="shared" si="197"/>
        <v>New</v>
      </c>
    </row>
    <row r="4221" spans="1:14" x14ac:dyDescent="0.35">
      <c r="A4221">
        <v>4220</v>
      </c>
      <c r="B4221">
        <v>33</v>
      </c>
      <c r="C4221" t="str">
        <f t="shared" si="195"/>
        <v>Adult</v>
      </c>
      <c r="D4221" t="s">
        <v>11</v>
      </c>
      <c r="E4221" t="s">
        <v>33</v>
      </c>
      <c r="F4221" t="s">
        <v>34</v>
      </c>
      <c r="G4221">
        <v>115.37</v>
      </c>
      <c r="H4221" t="s">
        <v>24</v>
      </c>
      <c r="I4221" t="s">
        <v>15</v>
      </c>
      <c r="J4221">
        <v>2.8</v>
      </c>
      <c r="K4221">
        <v>6</v>
      </c>
      <c r="L4221">
        <f t="shared" si="196"/>
        <v>108.4478</v>
      </c>
      <c r="M4221">
        <v>3</v>
      </c>
      <c r="N4221" t="str">
        <f t="shared" si="197"/>
        <v>New</v>
      </c>
    </row>
    <row r="4222" spans="1:14" x14ac:dyDescent="0.35">
      <c r="A4222">
        <v>4221</v>
      </c>
      <c r="B4222">
        <v>42</v>
      </c>
      <c r="C4222" t="str">
        <f t="shared" si="195"/>
        <v>Adult</v>
      </c>
      <c r="D4222" t="s">
        <v>16</v>
      </c>
      <c r="E4222" t="s">
        <v>22</v>
      </c>
      <c r="F4222" t="s">
        <v>43</v>
      </c>
      <c r="G4222">
        <v>288.26</v>
      </c>
      <c r="H4222" t="s">
        <v>19</v>
      </c>
      <c r="I4222" t="s">
        <v>15</v>
      </c>
      <c r="J4222">
        <v>4.0999999999999996</v>
      </c>
      <c r="K4222">
        <v>10</v>
      </c>
      <c r="L4222">
        <f t="shared" si="196"/>
        <v>259.43400000000003</v>
      </c>
      <c r="M4222">
        <v>5</v>
      </c>
      <c r="N4222" t="str">
        <f t="shared" si="197"/>
        <v>Regular</v>
      </c>
    </row>
    <row r="4223" spans="1:14" x14ac:dyDescent="0.35">
      <c r="A4223">
        <v>4222</v>
      </c>
      <c r="B4223">
        <v>61</v>
      </c>
      <c r="C4223" t="str">
        <f t="shared" si="195"/>
        <v>Senior</v>
      </c>
      <c r="D4223" t="s">
        <v>16</v>
      </c>
      <c r="E4223" t="s">
        <v>27</v>
      </c>
      <c r="F4223" t="s">
        <v>28</v>
      </c>
      <c r="G4223">
        <v>2235.09</v>
      </c>
      <c r="H4223" t="s">
        <v>24</v>
      </c>
      <c r="I4223" t="s">
        <v>15</v>
      </c>
      <c r="J4223">
        <v>4.4000000000000004</v>
      </c>
      <c r="K4223">
        <v>14</v>
      </c>
      <c r="L4223">
        <f t="shared" si="196"/>
        <v>1922.1774</v>
      </c>
      <c r="M4223">
        <v>7</v>
      </c>
      <c r="N4223" t="str">
        <f t="shared" si="197"/>
        <v>Regular</v>
      </c>
    </row>
    <row r="4224" spans="1:14" x14ac:dyDescent="0.35">
      <c r="A4224">
        <v>4223</v>
      </c>
      <c r="B4224">
        <v>62</v>
      </c>
      <c r="C4224" t="str">
        <f t="shared" si="195"/>
        <v>Senior</v>
      </c>
      <c r="D4224" t="s">
        <v>16</v>
      </c>
      <c r="E4224" t="s">
        <v>20</v>
      </c>
      <c r="F4224" t="s">
        <v>21</v>
      </c>
      <c r="G4224">
        <v>173.92</v>
      </c>
      <c r="H4224" t="s">
        <v>31</v>
      </c>
      <c r="I4224" t="s">
        <v>15</v>
      </c>
      <c r="J4224">
        <v>4.2</v>
      </c>
      <c r="K4224">
        <v>8</v>
      </c>
      <c r="L4224">
        <f t="shared" si="196"/>
        <v>160.00639999999999</v>
      </c>
      <c r="M4224">
        <v>4</v>
      </c>
      <c r="N4224" t="str">
        <f t="shared" si="197"/>
        <v>Regular</v>
      </c>
    </row>
    <row r="4225" spans="1:14" x14ac:dyDescent="0.35">
      <c r="A4225">
        <v>4224</v>
      </c>
      <c r="B4225">
        <v>29</v>
      </c>
      <c r="C4225" t="str">
        <f t="shared" si="195"/>
        <v>Youth</v>
      </c>
      <c r="D4225" t="s">
        <v>11</v>
      </c>
      <c r="E4225" t="s">
        <v>29</v>
      </c>
      <c r="F4225" t="s">
        <v>30</v>
      </c>
      <c r="G4225">
        <v>20.49</v>
      </c>
      <c r="H4225" t="s">
        <v>19</v>
      </c>
      <c r="I4225" t="s">
        <v>37</v>
      </c>
      <c r="J4225">
        <v>3.7</v>
      </c>
      <c r="K4225">
        <v>14</v>
      </c>
      <c r="L4225">
        <f t="shared" si="196"/>
        <v>17.621399999999998</v>
      </c>
      <c r="M4225">
        <v>7</v>
      </c>
      <c r="N4225" t="str">
        <f t="shared" si="197"/>
        <v>Regular</v>
      </c>
    </row>
    <row r="4226" spans="1:14" x14ac:dyDescent="0.35">
      <c r="A4226">
        <v>4225</v>
      </c>
      <c r="B4226">
        <v>23</v>
      </c>
      <c r="C4226" t="str">
        <f t="shared" si="195"/>
        <v>Youth</v>
      </c>
      <c r="D4226" t="s">
        <v>11</v>
      </c>
      <c r="E4226" t="s">
        <v>29</v>
      </c>
      <c r="F4226" t="s">
        <v>55</v>
      </c>
      <c r="G4226">
        <v>46.62</v>
      </c>
      <c r="H4226" t="s">
        <v>24</v>
      </c>
      <c r="I4226" t="s">
        <v>37</v>
      </c>
      <c r="J4226">
        <v>5</v>
      </c>
      <c r="K4226">
        <v>22</v>
      </c>
      <c r="L4226">
        <f t="shared" si="196"/>
        <v>36.363599999999998</v>
      </c>
      <c r="M4226">
        <v>6</v>
      </c>
      <c r="N4226" t="str">
        <f t="shared" si="197"/>
        <v>Regular</v>
      </c>
    </row>
    <row r="4227" spans="1:14" x14ac:dyDescent="0.35">
      <c r="A4227">
        <v>4226</v>
      </c>
      <c r="B4227">
        <v>49</v>
      </c>
      <c r="C4227" t="str">
        <f t="shared" ref="C4227:C4290" si="198">IF(B4227&lt;=30,"Youth",IF(B4227&lt;=45,"Adult",IF(B4227&lt;=60,"Adult","Senior")))</f>
        <v>Adult</v>
      </c>
      <c r="D4227" t="s">
        <v>16</v>
      </c>
      <c r="E4227" t="s">
        <v>27</v>
      </c>
      <c r="F4227" t="s">
        <v>28</v>
      </c>
      <c r="G4227">
        <v>2552</v>
      </c>
      <c r="H4227" t="s">
        <v>14</v>
      </c>
      <c r="I4227" t="s">
        <v>15</v>
      </c>
      <c r="J4227">
        <v>4.5</v>
      </c>
      <c r="K4227">
        <v>18</v>
      </c>
      <c r="L4227">
        <f t="shared" ref="L4227:L4290" si="199">G4227*(1-K4227/100)</f>
        <v>2092.6400000000003</v>
      </c>
      <c r="M4227">
        <v>4</v>
      </c>
      <c r="N4227" t="str">
        <f t="shared" ref="N4227:N4290" si="200">IF(M4227&lt;=3,"New",IF(M4227&lt;=7,"Regular","Loyal"))</f>
        <v>Regular</v>
      </c>
    </row>
    <row r="4228" spans="1:14" x14ac:dyDescent="0.35">
      <c r="A4228">
        <v>4227</v>
      </c>
      <c r="B4228">
        <v>67</v>
      </c>
      <c r="C4228" t="str">
        <f t="shared" si="198"/>
        <v>Senior</v>
      </c>
      <c r="D4228" t="s">
        <v>16</v>
      </c>
      <c r="E4228" t="s">
        <v>20</v>
      </c>
      <c r="F4228" t="s">
        <v>36</v>
      </c>
      <c r="G4228">
        <v>123.27</v>
      </c>
      <c r="H4228" t="s">
        <v>31</v>
      </c>
      <c r="I4228" t="s">
        <v>15</v>
      </c>
      <c r="J4228">
        <v>4.0999999999999996</v>
      </c>
      <c r="K4228">
        <v>12</v>
      </c>
      <c r="L4228">
        <f t="shared" si="199"/>
        <v>108.4776</v>
      </c>
      <c r="M4228">
        <v>6</v>
      </c>
      <c r="N4228" t="str">
        <f t="shared" si="200"/>
        <v>Regular</v>
      </c>
    </row>
    <row r="4229" spans="1:14" x14ac:dyDescent="0.35">
      <c r="A4229">
        <v>4228</v>
      </c>
      <c r="B4229">
        <v>65</v>
      </c>
      <c r="C4229" t="str">
        <f t="shared" si="198"/>
        <v>Senior</v>
      </c>
      <c r="D4229" t="s">
        <v>16</v>
      </c>
      <c r="E4229" t="s">
        <v>33</v>
      </c>
      <c r="F4229" t="s">
        <v>34</v>
      </c>
      <c r="G4229">
        <v>92.07</v>
      </c>
      <c r="H4229" t="s">
        <v>31</v>
      </c>
      <c r="I4229" t="s">
        <v>37</v>
      </c>
      <c r="J4229">
        <v>4.2</v>
      </c>
      <c r="K4229">
        <v>18</v>
      </c>
      <c r="L4229">
        <f t="shared" si="199"/>
        <v>75.497399999999999</v>
      </c>
      <c r="M4229">
        <v>4</v>
      </c>
      <c r="N4229" t="str">
        <f t="shared" si="200"/>
        <v>Regular</v>
      </c>
    </row>
    <row r="4230" spans="1:14" x14ac:dyDescent="0.35">
      <c r="A4230">
        <v>4229</v>
      </c>
      <c r="B4230">
        <v>30</v>
      </c>
      <c r="C4230" t="str">
        <f t="shared" si="198"/>
        <v>Youth</v>
      </c>
      <c r="D4230" t="s">
        <v>11</v>
      </c>
      <c r="E4230" t="s">
        <v>12</v>
      </c>
      <c r="F4230" t="s">
        <v>56</v>
      </c>
      <c r="G4230">
        <v>37.86</v>
      </c>
      <c r="H4230" t="s">
        <v>19</v>
      </c>
      <c r="I4230" t="s">
        <v>37</v>
      </c>
      <c r="J4230">
        <v>4.9000000000000004</v>
      </c>
      <c r="K4230">
        <v>16</v>
      </c>
      <c r="L4230">
        <f t="shared" si="199"/>
        <v>31.802399999999999</v>
      </c>
      <c r="M4230">
        <v>3</v>
      </c>
      <c r="N4230" t="str">
        <f t="shared" si="200"/>
        <v>New</v>
      </c>
    </row>
    <row r="4231" spans="1:14" x14ac:dyDescent="0.35">
      <c r="A4231">
        <v>4230</v>
      </c>
      <c r="B4231">
        <v>52</v>
      </c>
      <c r="C4231" t="str">
        <f t="shared" si="198"/>
        <v>Adult</v>
      </c>
      <c r="D4231" t="s">
        <v>16</v>
      </c>
      <c r="E4231" t="s">
        <v>27</v>
      </c>
      <c r="F4231" t="s">
        <v>32</v>
      </c>
      <c r="G4231">
        <v>1075.98</v>
      </c>
      <c r="H4231" t="s">
        <v>14</v>
      </c>
      <c r="I4231" t="s">
        <v>15</v>
      </c>
      <c r="J4231">
        <v>4</v>
      </c>
      <c r="K4231">
        <v>4</v>
      </c>
      <c r="L4231">
        <f t="shared" si="199"/>
        <v>1032.9408000000001</v>
      </c>
      <c r="M4231">
        <v>2</v>
      </c>
      <c r="N4231" t="str">
        <f t="shared" si="200"/>
        <v>New</v>
      </c>
    </row>
    <row r="4232" spans="1:14" x14ac:dyDescent="0.35">
      <c r="A4232">
        <v>4231</v>
      </c>
      <c r="B4232">
        <v>70</v>
      </c>
      <c r="C4232" t="str">
        <f t="shared" si="198"/>
        <v>Senior</v>
      </c>
      <c r="D4232" t="s">
        <v>16</v>
      </c>
      <c r="E4232" t="s">
        <v>33</v>
      </c>
      <c r="F4232" t="s">
        <v>34</v>
      </c>
      <c r="G4232">
        <v>71.55</v>
      </c>
      <c r="H4232" t="s">
        <v>31</v>
      </c>
      <c r="I4232" t="s">
        <v>37</v>
      </c>
      <c r="J4232">
        <v>4.5</v>
      </c>
      <c r="K4232">
        <v>10</v>
      </c>
      <c r="L4232">
        <f t="shared" si="199"/>
        <v>64.394999999999996</v>
      </c>
      <c r="M4232">
        <v>5</v>
      </c>
      <c r="N4232" t="str">
        <f t="shared" si="200"/>
        <v>Regular</v>
      </c>
    </row>
    <row r="4233" spans="1:14" x14ac:dyDescent="0.35">
      <c r="A4233">
        <v>4232</v>
      </c>
      <c r="B4233">
        <v>27</v>
      </c>
      <c r="C4233" t="str">
        <f t="shared" si="198"/>
        <v>Youth</v>
      </c>
      <c r="D4233" t="s">
        <v>16</v>
      </c>
      <c r="E4233" t="s">
        <v>27</v>
      </c>
      <c r="F4233" t="s">
        <v>53</v>
      </c>
      <c r="G4233">
        <v>2020.46</v>
      </c>
      <c r="H4233" t="s">
        <v>14</v>
      </c>
      <c r="I4233" t="s">
        <v>15</v>
      </c>
      <c r="J4233">
        <v>5</v>
      </c>
      <c r="K4233">
        <v>23</v>
      </c>
      <c r="L4233">
        <f t="shared" si="199"/>
        <v>1555.7542000000001</v>
      </c>
      <c r="M4233">
        <v>9</v>
      </c>
      <c r="N4233" t="str">
        <f t="shared" si="200"/>
        <v>Loyal</v>
      </c>
    </row>
    <row r="4234" spans="1:14" x14ac:dyDescent="0.35">
      <c r="A4234">
        <v>4233</v>
      </c>
      <c r="B4234">
        <v>41</v>
      </c>
      <c r="C4234" t="str">
        <f t="shared" si="198"/>
        <v>Adult</v>
      </c>
      <c r="D4234" t="s">
        <v>11</v>
      </c>
      <c r="E4234" t="s">
        <v>12</v>
      </c>
      <c r="F4234" t="s">
        <v>13</v>
      </c>
      <c r="G4234">
        <v>55.11</v>
      </c>
      <c r="H4234" t="s">
        <v>19</v>
      </c>
      <c r="I4234" t="s">
        <v>15</v>
      </c>
      <c r="J4234">
        <v>3.2</v>
      </c>
      <c r="K4234">
        <v>15</v>
      </c>
      <c r="L4234">
        <f t="shared" si="199"/>
        <v>46.843499999999999</v>
      </c>
      <c r="M4234">
        <v>5</v>
      </c>
      <c r="N4234" t="str">
        <f t="shared" si="200"/>
        <v>Regular</v>
      </c>
    </row>
    <row r="4235" spans="1:14" x14ac:dyDescent="0.35">
      <c r="A4235">
        <v>4234</v>
      </c>
      <c r="B4235">
        <v>22</v>
      </c>
      <c r="C4235" t="str">
        <f t="shared" si="198"/>
        <v>Youth</v>
      </c>
      <c r="D4235" t="s">
        <v>11</v>
      </c>
      <c r="E4235" t="s">
        <v>29</v>
      </c>
      <c r="F4235" t="s">
        <v>51</v>
      </c>
      <c r="G4235">
        <v>120.3</v>
      </c>
      <c r="H4235" t="s">
        <v>19</v>
      </c>
      <c r="I4235" t="s">
        <v>15</v>
      </c>
      <c r="J4235">
        <v>3.3</v>
      </c>
      <c r="K4235">
        <v>11</v>
      </c>
      <c r="L4235">
        <f t="shared" si="199"/>
        <v>107.06699999999999</v>
      </c>
      <c r="M4235">
        <v>3</v>
      </c>
      <c r="N4235" t="str">
        <f t="shared" si="200"/>
        <v>New</v>
      </c>
    </row>
    <row r="4236" spans="1:14" x14ac:dyDescent="0.35">
      <c r="A4236">
        <v>4235</v>
      </c>
      <c r="B4236">
        <v>50</v>
      </c>
      <c r="C4236" t="str">
        <f t="shared" si="198"/>
        <v>Adult</v>
      </c>
      <c r="D4236" t="s">
        <v>11</v>
      </c>
      <c r="E4236" t="s">
        <v>12</v>
      </c>
      <c r="F4236" t="s">
        <v>56</v>
      </c>
      <c r="G4236">
        <v>69.930000000000007</v>
      </c>
      <c r="H4236" t="s">
        <v>14</v>
      </c>
      <c r="I4236" t="s">
        <v>37</v>
      </c>
      <c r="J4236">
        <v>3.9</v>
      </c>
      <c r="K4236">
        <v>13</v>
      </c>
      <c r="L4236">
        <f t="shared" si="199"/>
        <v>60.839100000000009</v>
      </c>
      <c r="M4236">
        <v>4</v>
      </c>
      <c r="N4236" t="str">
        <f t="shared" si="200"/>
        <v>Regular</v>
      </c>
    </row>
    <row r="4237" spans="1:14" x14ac:dyDescent="0.35">
      <c r="A4237">
        <v>4236</v>
      </c>
      <c r="B4237">
        <v>27</v>
      </c>
      <c r="C4237" t="str">
        <f t="shared" si="198"/>
        <v>Youth</v>
      </c>
      <c r="D4237" t="s">
        <v>11</v>
      </c>
      <c r="E4237" t="s">
        <v>41</v>
      </c>
      <c r="F4237" t="s">
        <v>45</v>
      </c>
      <c r="G4237">
        <v>185.32</v>
      </c>
      <c r="H4237" t="s">
        <v>31</v>
      </c>
      <c r="I4237" t="s">
        <v>15</v>
      </c>
      <c r="J4237">
        <v>4.5</v>
      </c>
      <c r="K4237">
        <v>19</v>
      </c>
      <c r="L4237">
        <f t="shared" si="199"/>
        <v>150.10920000000002</v>
      </c>
      <c r="M4237">
        <v>7</v>
      </c>
      <c r="N4237" t="str">
        <f t="shared" si="200"/>
        <v>Regular</v>
      </c>
    </row>
    <row r="4238" spans="1:14" x14ac:dyDescent="0.35">
      <c r="A4238">
        <v>4237</v>
      </c>
      <c r="B4238">
        <v>28</v>
      </c>
      <c r="C4238" t="str">
        <f t="shared" si="198"/>
        <v>Youth</v>
      </c>
      <c r="D4238" t="s">
        <v>11</v>
      </c>
      <c r="E4238" t="s">
        <v>12</v>
      </c>
      <c r="F4238" t="s">
        <v>13</v>
      </c>
      <c r="G4238">
        <v>123.5</v>
      </c>
      <c r="H4238" t="s">
        <v>19</v>
      </c>
      <c r="I4238" t="s">
        <v>15</v>
      </c>
      <c r="J4238">
        <v>3</v>
      </c>
      <c r="K4238">
        <v>14</v>
      </c>
      <c r="L4238">
        <f t="shared" si="199"/>
        <v>106.21</v>
      </c>
      <c r="M4238">
        <v>2</v>
      </c>
      <c r="N4238" t="str">
        <f t="shared" si="200"/>
        <v>New</v>
      </c>
    </row>
    <row r="4239" spans="1:14" x14ac:dyDescent="0.35">
      <c r="A4239">
        <v>4238</v>
      </c>
      <c r="B4239">
        <v>52</v>
      </c>
      <c r="C4239" t="str">
        <f t="shared" si="198"/>
        <v>Adult</v>
      </c>
      <c r="D4239" t="s">
        <v>16</v>
      </c>
      <c r="E4239" t="s">
        <v>33</v>
      </c>
      <c r="F4239" t="s">
        <v>34</v>
      </c>
      <c r="G4239">
        <v>56.61</v>
      </c>
      <c r="H4239" t="s">
        <v>31</v>
      </c>
      <c r="I4239" t="s">
        <v>37</v>
      </c>
      <c r="J4239">
        <v>2.9</v>
      </c>
      <c r="K4239">
        <v>15</v>
      </c>
      <c r="L4239">
        <f t="shared" si="199"/>
        <v>48.118499999999997</v>
      </c>
      <c r="M4239">
        <v>5</v>
      </c>
      <c r="N4239" t="str">
        <f t="shared" si="200"/>
        <v>Regular</v>
      </c>
    </row>
    <row r="4240" spans="1:14" x14ac:dyDescent="0.35">
      <c r="A4240">
        <v>4239</v>
      </c>
      <c r="B4240">
        <v>32</v>
      </c>
      <c r="C4240" t="str">
        <f t="shared" si="198"/>
        <v>Adult</v>
      </c>
      <c r="D4240" t="s">
        <v>11</v>
      </c>
      <c r="E4240" t="s">
        <v>41</v>
      </c>
      <c r="F4240" t="s">
        <v>45</v>
      </c>
      <c r="G4240">
        <v>60.63</v>
      </c>
      <c r="H4240" t="s">
        <v>24</v>
      </c>
      <c r="I4240" t="s">
        <v>37</v>
      </c>
      <c r="J4240">
        <v>3.6</v>
      </c>
      <c r="K4240">
        <v>12</v>
      </c>
      <c r="L4240">
        <f t="shared" si="199"/>
        <v>53.354400000000005</v>
      </c>
      <c r="M4240">
        <v>6</v>
      </c>
      <c r="N4240" t="str">
        <f t="shared" si="200"/>
        <v>Regular</v>
      </c>
    </row>
    <row r="4241" spans="1:14" x14ac:dyDescent="0.35">
      <c r="A4241">
        <v>4240</v>
      </c>
      <c r="B4241">
        <v>68</v>
      </c>
      <c r="C4241" t="str">
        <f t="shared" si="198"/>
        <v>Senior</v>
      </c>
      <c r="D4241" t="s">
        <v>11</v>
      </c>
      <c r="E4241" t="s">
        <v>12</v>
      </c>
      <c r="F4241" t="s">
        <v>56</v>
      </c>
      <c r="G4241">
        <v>80.92</v>
      </c>
      <c r="H4241" t="s">
        <v>19</v>
      </c>
      <c r="I4241" t="s">
        <v>15</v>
      </c>
      <c r="J4241">
        <v>4</v>
      </c>
      <c r="K4241">
        <v>16</v>
      </c>
      <c r="L4241">
        <f t="shared" si="199"/>
        <v>67.972799999999992</v>
      </c>
      <c r="M4241">
        <v>3</v>
      </c>
      <c r="N4241" t="str">
        <f t="shared" si="200"/>
        <v>New</v>
      </c>
    </row>
    <row r="4242" spans="1:14" x14ac:dyDescent="0.35">
      <c r="A4242">
        <v>4241</v>
      </c>
      <c r="B4242">
        <v>52</v>
      </c>
      <c r="C4242" t="str">
        <f t="shared" si="198"/>
        <v>Adult</v>
      </c>
      <c r="D4242" t="s">
        <v>11</v>
      </c>
      <c r="E4242" t="s">
        <v>12</v>
      </c>
      <c r="F4242" t="s">
        <v>13</v>
      </c>
      <c r="G4242">
        <v>152.85</v>
      </c>
      <c r="H4242" t="s">
        <v>14</v>
      </c>
      <c r="I4242" t="s">
        <v>15</v>
      </c>
      <c r="J4242">
        <v>4.5</v>
      </c>
      <c r="K4242">
        <v>15</v>
      </c>
      <c r="L4242">
        <f t="shared" si="199"/>
        <v>129.92249999999999</v>
      </c>
      <c r="M4242">
        <v>5</v>
      </c>
      <c r="N4242" t="str">
        <f t="shared" si="200"/>
        <v>Regular</v>
      </c>
    </row>
    <row r="4243" spans="1:14" x14ac:dyDescent="0.35">
      <c r="A4243">
        <v>4242</v>
      </c>
      <c r="B4243">
        <v>29</v>
      </c>
      <c r="C4243" t="str">
        <f t="shared" si="198"/>
        <v>Youth</v>
      </c>
      <c r="D4243" t="s">
        <v>16</v>
      </c>
      <c r="E4243" t="s">
        <v>27</v>
      </c>
      <c r="F4243" t="s">
        <v>28</v>
      </c>
      <c r="G4243">
        <v>2125.29</v>
      </c>
      <c r="H4243" t="s">
        <v>24</v>
      </c>
      <c r="I4243" t="s">
        <v>15</v>
      </c>
      <c r="J4243">
        <v>3.2</v>
      </c>
      <c r="K4243">
        <v>15</v>
      </c>
      <c r="L4243">
        <f t="shared" si="199"/>
        <v>1806.4965</v>
      </c>
      <c r="M4243">
        <v>5</v>
      </c>
      <c r="N4243" t="str">
        <f t="shared" si="200"/>
        <v>Regular</v>
      </c>
    </row>
    <row r="4244" spans="1:14" x14ac:dyDescent="0.35">
      <c r="A4244">
        <v>4243</v>
      </c>
      <c r="B4244">
        <v>58</v>
      </c>
      <c r="C4244" t="str">
        <f t="shared" si="198"/>
        <v>Adult</v>
      </c>
      <c r="D4244" t="s">
        <v>16</v>
      </c>
      <c r="E4244" t="s">
        <v>17</v>
      </c>
      <c r="F4244" t="s">
        <v>48</v>
      </c>
      <c r="G4244">
        <v>123.77</v>
      </c>
      <c r="H4244" t="s">
        <v>14</v>
      </c>
      <c r="I4244" t="s">
        <v>15</v>
      </c>
      <c r="J4244">
        <v>3</v>
      </c>
      <c r="K4244">
        <v>17</v>
      </c>
      <c r="L4244">
        <f t="shared" si="199"/>
        <v>102.72909999999999</v>
      </c>
      <c r="M4244">
        <v>6</v>
      </c>
      <c r="N4244" t="str">
        <f t="shared" si="200"/>
        <v>Regular</v>
      </c>
    </row>
    <row r="4245" spans="1:14" x14ac:dyDescent="0.35">
      <c r="A4245">
        <v>4244</v>
      </c>
      <c r="B4245">
        <v>54</v>
      </c>
      <c r="C4245" t="str">
        <f t="shared" si="198"/>
        <v>Adult</v>
      </c>
      <c r="D4245" t="s">
        <v>11</v>
      </c>
      <c r="E4245" t="s">
        <v>33</v>
      </c>
      <c r="F4245" t="s">
        <v>38</v>
      </c>
      <c r="G4245">
        <v>90.38</v>
      </c>
      <c r="H4245" t="s">
        <v>19</v>
      </c>
      <c r="I4245" t="s">
        <v>15</v>
      </c>
      <c r="J4245">
        <v>2.2000000000000002</v>
      </c>
      <c r="K4245">
        <v>11</v>
      </c>
      <c r="L4245">
        <f t="shared" si="199"/>
        <v>80.438199999999995</v>
      </c>
      <c r="M4245">
        <v>3</v>
      </c>
      <c r="N4245" t="str">
        <f t="shared" si="200"/>
        <v>New</v>
      </c>
    </row>
    <row r="4246" spans="1:14" x14ac:dyDescent="0.35">
      <c r="A4246">
        <v>4245</v>
      </c>
      <c r="B4246">
        <v>32</v>
      </c>
      <c r="C4246" t="str">
        <f t="shared" si="198"/>
        <v>Adult</v>
      </c>
      <c r="D4246" t="s">
        <v>16</v>
      </c>
      <c r="E4246" t="s">
        <v>20</v>
      </c>
      <c r="F4246" t="s">
        <v>21</v>
      </c>
      <c r="G4246">
        <v>76.58</v>
      </c>
      <c r="H4246" t="s">
        <v>31</v>
      </c>
      <c r="I4246" t="s">
        <v>15</v>
      </c>
      <c r="J4246">
        <v>3</v>
      </c>
      <c r="K4246">
        <v>18</v>
      </c>
      <c r="L4246">
        <f t="shared" si="199"/>
        <v>62.7956</v>
      </c>
      <c r="M4246">
        <v>4</v>
      </c>
      <c r="N4246" t="str">
        <f t="shared" si="200"/>
        <v>Regular</v>
      </c>
    </row>
    <row r="4247" spans="1:14" x14ac:dyDescent="0.35">
      <c r="A4247">
        <v>4246</v>
      </c>
      <c r="B4247">
        <v>68</v>
      </c>
      <c r="C4247" t="str">
        <f t="shared" si="198"/>
        <v>Senior</v>
      </c>
      <c r="D4247" t="s">
        <v>11</v>
      </c>
      <c r="E4247" t="s">
        <v>33</v>
      </c>
      <c r="F4247" t="s">
        <v>40</v>
      </c>
      <c r="G4247">
        <v>167.65</v>
      </c>
      <c r="H4247" t="s">
        <v>31</v>
      </c>
      <c r="I4247" t="s">
        <v>15</v>
      </c>
      <c r="J4247">
        <v>4.4000000000000004</v>
      </c>
      <c r="K4247">
        <v>15</v>
      </c>
      <c r="L4247">
        <f t="shared" si="199"/>
        <v>142.5025</v>
      </c>
      <c r="M4247">
        <v>5</v>
      </c>
      <c r="N4247" t="str">
        <f t="shared" si="200"/>
        <v>Regular</v>
      </c>
    </row>
    <row r="4248" spans="1:14" x14ac:dyDescent="0.35">
      <c r="A4248">
        <v>4247</v>
      </c>
      <c r="B4248">
        <v>29</v>
      </c>
      <c r="C4248" t="str">
        <f t="shared" si="198"/>
        <v>Youth</v>
      </c>
      <c r="D4248" t="s">
        <v>16</v>
      </c>
      <c r="E4248" t="s">
        <v>20</v>
      </c>
      <c r="F4248" t="s">
        <v>36</v>
      </c>
      <c r="G4248">
        <v>140.16999999999999</v>
      </c>
      <c r="H4248" t="s">
        <v>19</v>
      </c>
      <c r="I4248" t="s">
        <v>15</v>
      </c>
      <c r="J4248">
        <v>3.1</v>
      </c>
      <c r="K4248">
        <v>14</v>
      </c>
      <c r="L4248">
        <f t="shared" si="199"/>
        <v>120.54619999999998</v>
      </c>
      <c r="M4248">
        <v>2</v>
      </c>
      <c r="N4248" t="str">
        <f t="shared" si="200"/>
        <v>New</v>
      </c>
    </row>
    <row r="4249" spans="1:14" x14ac:dyDescent="0.35">
      <c r="A4249">
        <v>4248</v>
      </c>
      <c r="B4249">
        <v>63</v>
      </c>
      <c r="C4249" t="str">
        <f t="shared" si="198"/>
        <v>Senior</v>
      </c>
      <c r="D4249" t="s">
        <v>11</v>
      </c>
      <c r="E4249" t="s">
        <v>12</v>
      </c>
      <c r="F4249" t="s">
        <v>56</v>
      </c>
      <c r="G4249">
        <v>159.29</v>
      </c>
      <c r="H4249" t="s">
        <v>24</v>
      </c>
      <c r="I4249" t="s">
        <v>15</v>
      </c>
      <c r="J4249">
        <v>5</v>
      </c>
      <c r="K4249">
        <v>13</v>
      </c>
      <c r="L4249">
        <f t="shared" si="199"/>
        <v>138.5823</v>
      </c>
      <c r="M4249">
        <v>4</v>
      </c>
      <c r="N4249" t="str">
        <f t="shared" si="200"/>
        <v>Regular</v>
      </c>
    </row>
    <row r="4250" spans="1:14" x14ac:dyDescent="0.35">
      <c r="A4250">
        <v>4249</v>
      </c>
      <c r="B4250">
        <v>51</v>
      </c>
      <c r="C4250" t="str">
        <f t="shared" si="198"/>
        <v>Adult</v>
      </c>
      <c r="D4250" t="s">
        <v>11</v>
      </c>
      <c r="E4250" t="s">
        <v>41</v>
      </c>
      <c r="F4250" t="s">
        <v>45</v>
      </c>
      <c r="G4250">
        <v>182.14</v>
      </c>
      <c r="H4250" t="s">
        <v>14</v>
      </c>
      <c r="I4250" t="s">
        <v>15</v>
      </c>
      <c r="J4250">
        <v>3.3</v>
      </c>
      <c r="K4250">
        <v>18</v>
      </c>
      <c r="L4250">
        <f t="shared" si="199"/>
        <v>149.35480000000001</v>
      </c>
      <c r="M4250">
        <v>4</v>
      </c>
      <c r="N4250" t="str">
        <f t="shared" si="200"/>
        <v>Regular</v>
      </c>
    </row>
    <row r="4251" spans="1:14" x14ac:dyDescent="0.35">
      <c r="A4251">
        <v>4250</v>
      </c>
      <c r="B4251">
        <v>43</v>
      </c>
      <c r="C4251" t="str">
        <f t="shared" si="198"/>
        <v>Adult</v>
      </c>
      <c r="D4251" t="s">
        <v>11</v>
      </c>
      <c r="E4251" t="s">
        <v>33</v>
      </c>
      <c r="F4251" t="s">
        <v>34</v>
      </c>
      <c r="G4251">
        <v>207.33</v>
      </c>
      <c r="H4251" t="s">
        <v>14</v>
      </c>
      <c r="I4251" t="s">
        <v>15</v>
      </c>
      <c r="J4251">
        <v>3.9</v>
      </c>
      <c r="K4251">
        <v>10</v>
      </c>
      <c r="L4251">
        <f t="shared" si="199"/>
        <v>186.59700000000001</v>
      </c>
      <c r="M4251">
        <v>5</v>
      </c>
      <c r="N4251" t="str">
        <f t="shared" si="200"/>
        <v>Regular</v>
      </c>
    </row>
    <row r="4252" spans="1:14" x14ac:dyDescent="0.35">
      <c r="A4252">
        <v>4251</v>
      </c>
      <c r="B4252">
        <v>20</v>
      </c>
      <c r="C4252" t="str">
        <f t="shared" si="198"/>
        <v>Youth</v>
      </c>
      <c r="D4252" t="s">
        <v>11</v>
      </c>
      <c r="E4252" t="s">
        <v>29</v>
      </c>
      <c r="F4252" t="s">
        <v>51</v>
      </c>
      <c r="G4252">
        <v>142.55000000000001</v>
      </c>
      <c r="H4252" t="s">
        <v>14</v>
      </c>
      <c r="I4252" t="s">
        <v>15</v>
      </c>
      <c r="J4252">
        <v>3.7</v>
      </c>
      <c r="K4252">
        <v>14</v>
      </c>
      <c r="L4252">
        <f t="shared" si="199"/>
        <v>122.593</v>
      </c>
      <c r="M4252">
        <v>2</v>
      </c>
      <c r="N4252" t="str">
        <f t="shared" si="200"/>
        <v>New</v>
      </c>
    </row>
    <row r="4253" spans="1:14" x14ac:dyDescent="0.35">
      <c r="A4253">
        <v>4252</v>
      </c>
      <c r="B4253">
        <v>24</v>
      </c>
      <c r="C4253" t="str">
        <f t="shared" si="198"/>
        <v>Youth</v>
      </c>
      <c r="D4253" t="s">
        <v>16</v>
      </c>
      <c r="E4253" t="s">
        <v>20</v>
      </c>
      <c r="F4253" t="s">
        <v>39</v>
      </c>
      <c r="G4253">
        <v>28.41</v>
      </c>
      <c r="H4253" t="s">
        <v>19</v>
      </c>
      <c r="I4253" t="s">
        <v>15</v>
      </c>
      <c r="J4253">
        <v>3.7</v>
      </c>
      <c r="K4253">
        <v>18</v>
      </c>
      <c r="L4253">
        <f t="shared" si="199"/>
        <v>23.296200000000002</v>
      </c>
      <c r="M4253">
        <v>4</v>
      </c>
      <c r="N4253" t="str">
        <f t="shared" si="200"/>
        <v>Regular</v>
      </c>
    </row>
    <row r="4254" spans="1:14" x14ac:dyDescent="0.35">
      <c r="A4254">
        <v>4253</v>
      </c>
      <c r="B4254">
        <v>22</v>
      </c>
      <c r="C4254" t="str">
        <f t="shared" si="198"/>
        <v>Youth</v>
      </c>
      <c r="D4254" t="s">
        <v>11</v>
      </c>
      <c r="E4254" t="s">
        <v>22</v>
      </c>
      <c r="F4254" t="s">
        <v>52</v>
      </c>
      <c r="G4254">
        <v>53.87</v>
      </c>
      <c r="H4254" t="s">
        <v>31</v>
      </c>
      <c r="I4254" t="s">
        <v>15</v>
      </c>
      <c r="J4254">
        <v>3.7</v>
      </c>
      <c r="K4254">
        <v>9</v>
      </c>
      <c r="L4254">
        <f t="shared" si="199"/>
        <v>49.021700000000003</v>
      </c>
      <c r="M4254">
        <v>2</v>
      </c>
      <c r="N4254" t="str">
        <f t="shared" si="200"/>
        <v>New</v>
      </c>
    </row>
    <row r="4255" spans="1:14" x14ac:dyDescent="0.35">
      <c r="A4255">
        <v>4254</v>
      </c>
      <c r="B4255">
        <v>40</v>
      </c>
      <c r="C4255" t="str">
        <f t="shared" si="198"/>
        <v>Adult</v>
      </c>
      <c r="D4255" t="s">
        <v>16</v>
      </c>
      <c r="E4255" t="s">
        <v>27</v>
      </c>
      <c r="F4255" t="s">
        <v>49</v>
      </c>
      <c r="G4255">
        <v>2648.55</v>
      </c>
      <c r="H4255" t="s">
        <v>14</v>
      </c>
      <c r="I4255" t="s">
        <v>15</v>
      </c>
      <c r="J4255">
        <v>5</v>
      </c>
      <c r="K4255">
        <v>16</v>
      </c>
      <c r="L4255">
        <f t="shared" si="199"/>
        <v>2224.7820000000002</v>
      </c>
      <c r="M4255">
        <v>8</v>
      </c>
      <c r="N4255" t="str">
        <f t="shared" si="200"/>
        <v>Loyal</v>
      </c>
    </row>
    <row r="4256" spans="1:14" x14ac:dyDescent="0.35">
      <c r="A4256">
        <v>4255</v>
      </c>
      <c r="B4256">
        <v>56</v>
      </c>
      <c r="C4256" t="str">
        <f t="shared" si="198"/>
        <v>Adult</v>
      </c>
      <c r="D4256" t="s">
        <v>16</v>
      </c>
      <c r="E4256" t="s">
        <v>27</v>
      </c>
      <c r="F4256" t="s">
        <v>53</v>
      </c>
      <c r="G4256">
        <v>2273.5300000000002</v>
      </c>
      <c r="H4256" t="s">
        <v>31</v>
      </c>
      <c r="I4256" t="s">
        <v>15</v>
      </c>
      <c r="J4256">
        <v>3.9</v>
      </c>
      <c r="K4256">
        <v>25</v>
      </c>
      <c r="L4256">
        <f t="shared" si="199"/>
        <v>1705.1475</v>
      </c>
      <c r="M4256">
        <v>10</v>
      </c>
      <c r="N4256" t="str">
        <f t="shared" si="200"/>
        <v>Loyal</v>
      </c>
    </row>
    <row r="4257" spans="1:14" x14ac:dyDescent="0.35">
      <c r="A4257">
        <v>4256</v>
      </c>
      <c r="B4257">
        <v>68</v>
      </c>
      <c r="C4257" t="str">
        <f t="shared" si="198"/>
        <v>Senior</v>
      </c>
      <c r="D4257" t="s">
        <v>11</v>
      </c>
      <c r="E4257" t="s">
        <v>20</v>
      </c>
      <c r="F4257" t="s">
        <v>21</v>
      </c>
      <c r="G4257">
        <v>118.12</v>
      </c>
      <c r="H4257" t="s">
        <v>24</v>
      </c>
      <c r="I4257" t="s">
        <v>15</v>
      </c>
      <c r="J4257">
        <v>3.3</v>
      </c>
      <c r="K4257">
        <v>22</v>
      </c>
      <c r="L4257">
        <f t="shared" si="199"/>
        <v>92.133600000000001</v>
      </c>
      <c r="M4257">
        <v>6</v>
      </c>
      <c r="N4257" t="str">
        <f t="shared" si="200"/>
        <v>Regular</v>
      </c>
    </row>
    <row r="4258" spans="1:14" x14ac:dyDescent="0.35">
      <c r="A4258">
        <v>4257</v>
      </c>
      <c r="B4258">
        <v>39</v>
      </c>
      <c r="C4258" t="str">
        <f t="shared" si="198"/>
        <v>Adult</v>
      </c>
      <c r="D4258" t="s">
        <v>11</v>
      </c>
      <c r="E4258" t="s">
        <v>33</v>
      </c>
      <c r="F4258" t="s">
        <v>38</v>
      </c>
      <c r="G4258">
        <v>226.03</v>
      </c>
      <c r="H4258" t="s">
        <v>24</v>
      </c>
      <c r="I4258" t="s">
        <v>15</v>
      </c>
      <c r="J4258">
        <v>3.8</v>
      </c>
      <c r="K4258">
        <v>20</v>
      </c>
      <c r="L4258">
        <f t="shared" si="199"/>
        <v>180.82400000000001</v>
      </c>
      <c r="M4258">
        <v>5</v>
      </c>
      <c r="N4258" t="str">
        <f t="shared" si="200"/>
        <v>Regular</v>
      </c>
    </row>
    <row r="4259" spans="1:14" x14ac:dyDescent="0.35">
      <c r="A4259">
        <v>4258</v>
      </c>
      <c r="B4259">
        <v>45</v>
      </c>
      <c r="C4259" t="str">
        <f t="shared" si="198"/>
        <v>Adult</v>
      </c>
      <c r="D4259" t="s">
        <v>11</v>
      </c>
      <c r="E4259" t="s">
        <v>41</v>
      </c>
      <c r="F4259" t="s">
        <v>45</v>
      </c>
      <c r="G4259">
        <v>78.87</v>
      </c>
      <c r="H4259" t="s">
        <v>19</v>
      </c>
      <c r="I4259" t="s">
        <v>37</v>
      </c>
      <c r="J4259">
        <v>3.7</v>
      </c>
      <c r="K4259">
        <v>18</v>
      </c>
      <c r="L4259">
        <f t="shared" si="199"/>
        <v>64.673400000000015</v>
      </c>
      <c r="M4259">
        <v>4</v>
      </c>
      <c r="N4259" t="str">
        <f t="shared" si="200"/>
        <v>Regular</v>
      </c>
    </row>
    <row r="4260" spans="1:14" x14ac:dyDescent="0.35">
      <c r="A4260">
        <v>4259</v>
      </c>
      <c r="B4260">
        <v>63</v>
      </c>
      <c r="C4260" t="str">
        <f t="shared" si="198"/>
        <v>Senior</v>
      </c>
      <c r="D4260" t="s">
        <v>16</v>
      </c>
      <c r="E4260" t="s">
        <v>20</v>
      </c>
      <c r="F4260" t="s">
        <v>21</v>
      </c>
      <c r="G4260">
        <v>119.9</v>
      </c>
      <c r="H4260" t="s">
        <v>14</v>
      </c>
      <c r="I4260" t="s">
        <v>15</v>
      </c>
      <c r="J4260">
        <v>4.5999999999999996</v>
      </c>
      <c r="K4260">
        <v>30</v>
      </c>
      <c r="L4260">
        <f t="shared" si="199"/>
        <v>83.929999999999993</v>
      </c>
      <c r="M4260">
        <v>10</v>
      </c>
      <c r="N4260" t="str">
        <f t="shared" si="200"/>
        <v>Loyal</v>
      </c>
    </row>
    <row r="4261" spans="1:14" x14ac:dyDescent="0.35">
      <c r="A4261">
        <v>4260</v>
      </c>
      <c r="B4261">
        <v>46</v>
      </c>
      <c r="C4261" t="str">
        <f t="shared" si="198"/>
        <v>Adult</v>
      </c>
      <c r="D4261" t="s">
        <v>11</v>
      </c>
      <c r="E4261" t="s">
        <v>12</v>
      </c>
      <c r="F4261" t="s">
        <v>13</v>
      </c>
      <c r="G4261">
        <v>64.95</v>
      </c>
      <c r="H4261" t="s">
        <v>14</v>
      </c>
      <c r="I4261" t="s">
        <v>37</v>
      </c>
      <c r="J4261">
        <v>3.6</v>
      </c>
      <c r="K4261">
        <v>12</v>
      </c>
      <c r="L4261">
        <f t="shared" si="199"/>
        <v>57.156000000000006</v>
      </c>
      <c r="M4261">
        <v>1</v>
      </c>
      <c r="N4261" t="str">
        <f t="shared" si="200"/>
        <v>New</v>
      </c>
    </row>
    <row r="4262" spans="1:14" x14ac:dyDescent="0.35">
      <c r="A4262">
        <v>4261</v>
      </c>
      <c r="B4262">
        <v>34</v>
      </c>
      <c r="C4262" t="str">
        <f t="shared" si="198"/>
        <v>Adult</v>
      </c>
      <c r="D4262" t="s">
        <v>16</v>
      </c>
      <c r="E4262" t="s">
        <v>33</v>
      </c>
      <c r="F4262" t="s">
        <v>38</v>
      </c>
      <c r="G4262">
        <v>103.26</v>
      </c>
      <c r="H4262" t="s">
        <v>24</v>
      </c>
      <c r="I4262" t="s">
        <v>15</v>
      </c>
      <c r="J4262">
        <v>5</v>
      </c>
      <c r="K4262">
        <v>15</v>
      </c>
      <c r="L4262">
        <f t="shared" si="199"/>
        <v>87.771000000000001</v>
      </c>
      <c r="M4262">
        <v>5</v>
      </c>
      <c r="N4262" t="str">
        <f t="shared" si="200"/>
        <v>Regular</v>
      </c>
    </row>
    <row r="4263" spans="1:14" x14ac:dyDescent="0.35">
      <c r="A4263">
        <v>4262</v>
      </c>
      <c r="B4263">
        <v>69</v>
      </c>
      <c r="C4263" t="str">
        <f t="shared" si="198"/>
        <v>Senior</v>
      </c>
      <c r="D4263" t="s">
        <v>16</v>
      </c>
      <c r="E4263" t="s">
        <v>27</v>
      </c>
      <c r="F4263" t="s">
        <v>53</v>
      </c>
      <c r="G4263">
        <v>1019.98</v>
      </c>
      <c r="H4263" t="s">
        <v>19</v>
      </c>
      <c r="I4263" t="s">
        <v>15</v>
      </c>
      <c r="J4263">
        <v>4.5</v>
      </c>
      <c r="K4263">
        <v>18</v>
      </c>
      <c r="L4263">
        <f t="shared" si="199"/>
        <v>836.38360000000011</v>
      </c>
      <c r="M4263">
        <v>4</v>
      </c>
      <c r="N4263" t="str">
        <f t="shared" si="200"/>
        <v>Regular</v>
      </c>
    </row>
    <row r="4264" spans="1:14" x14ac:dyDescent="0.35">
      <c r="A4264">
        <v>4263</v>
      </c>
      <c r="B4264">
        <v>48</v>
      </c>
      <c r="C4264" t="str">
        <f t="shared" si="198"/>
        <v>Adult</v>
      </c>
      <c r="D4264" t="s">
        <v>11</v>
      </c>
      <c r="E4264" t="s">
        <v>12</v>
      </c>
      <c r="F4264" t="s">
        <v>50</v>
      </c>
      <c r="G4264">
        <v>177.11</v>
      </c>
      <c r="H4264" t="s">
        <v>14</v>
      </c>
      <c r="I4264" t="s">
        <v>15</v>
      </c>
      <c r="J4264">
        <v>4.7</v>
      </c>
      <c r="K4264">
        <v>6</v>
      </c>
      <c r="L4264">
        <f t="shared" si="199"/>
        <v>166.48340000000002</v>
      </c>
      <c r="M4264">
        <v>3</v>
      </c>
      <c r="N4264" t="str">
        <f t="shared" si="200"/>
        <v>New</v>
      </c>
    </row>
    <row r="4265" spans="1:14" x14ac:dyDescent="0.35">
      <c r="A4265">
        <v>4264</v>
      </c>
      <c r="B4265">
        <v>68</v>
      </c>
      <c r="C4265" t="str">
        <f t="shared" si="198"/>
        <v>Senior</v>
      </c>
      <c r="D4265" t="s">
        <v>11</v>
      </c>
      <c r="E4265" t="s">
        <v>41</v>
      </c>
      <c r="F4265" t="s">
        <v>45</v>
      </c>
      <c r="G4265">
        <v>102.76</v>
      </c>
      <c r="H4265" t="s">
        <v>19</v>
      </c>
      <c r="I4265" t="s">
        <v>15</v>
      </c>
      <c r="J4265">
        <v>3.5</v>
      </c>
      <c r="K4265">
        <v>17</v>
      </c>
      <c r="L4265">
        <f t="shared" si="199"/>
        <v>85.290800000000004</v>
      </c>
      <c r="M4265">
        <v>6</v>
      </c>
      <c r="N4265" t="str">
        <f t="shared" si="200"/>
        <v>Regular</v>
      </c>
    </row>
    <row r="4266" spans="1:14" x14ac:dyDescent="0.35">
      <c r="A4266">
        <v>4265</v>
      </c>
      <c r="B4266">
        <v>58</v>
      </c>
      <c r="C4266" t="str">
        <f t="shared" si="198"/>
        <v>Adult</v>
      </c>
      <c r="D4266" t="s">
        <v>16</v>
      </c>
      <c r="E4266" t="s">
        <v>17</v>
      </c>
      <c r="F4266" t="s">
        <v>35</v>
      </c>
      <c r="G4266">
        <v>115.46</v>
      </c>
      <c r="H4266" t="s">
        <v>19</v>
      </c>
      <c r="I4266" t="s">
        <v>15</v>
      </c>
      <c r="J4266">
        <v>5</v>
      </c>
      <c r="K4266">
        <v>14</v>
      </c>
      <c r="L4266">
        <f t="shared" si="199"/>
        <v>99.295599999999993</v>
      </c>
      <c r="M4266">
        <v>7</v>
      </c>
      <c r="N4266" t="str">
        <f t="shared" si="200"/>
        <v>Regular</v>
      </c>
    </row>
    <row r="4267" spans="1:14" x14ac:dyDescent="0.35">
      <c r="A4267">
        <v>4266</v>
      </c>
      <c r="B4267">
        <v>23</v>
      </c>
      <c r="C4267" t="str">
        <f t="shared" si="198"/>
        <v>Youth</v>
      </c>
      <c r="D4267" t="s">
        <v>16</v>
      </c>
      <c r="E4267" t="s">
        <v>17</v>
      </c>
      <c r="F4267" t="s">
        <v>48</v>
      </c>
      <c r="G4267">
        <v>180.94</v>
      </c>
      <c r="H4267" t="s">
        <v>31</v>
      </c>
      <c r="I4267" t="s">
        <v>15</v>
      </c>
      <c r="J4267">
        <v>3.9</v>
      </c>
      <c r="K4267">
        <v>14</v>
      </c>
      <c r="L4267">
        <f t="shared" si="199"/>
        <v>155.60839999999999</v>
      </c>
      <c r="M4267">
        <v>7</v>
      </c>
      <c r="N4267" t="str">
        <f t="shared" si="200"/>
        <v>Regular</v>
      </c>
    </row>
    <row r="4268" spans="1:14" x14ac:dyDescent="0.35">
      <c r="A4268">
        <v>4267</v>
      </c>
      <c r="B4268">
        <v>62</v>
      </c>
      <c r="C4268" t="str">
        <f t="shared" si="198"/>
        <v>Senior</v>
      </c>
      <c r="D4268" t="s">
        <v>11</v>
      </c>
      <c r="E4268" t="s">
        <v>12</v>
      </c>
      <c r="F4268" t="s">
        <v>56</v>
      </c>
      <c r="G4268">
        <v>155.55000000000001</v>
      </c>
      <c r="H4268" t="s">
        <v>14</v>
      </c>
      <c r="I4268" t="s">
        <v>15</v>
      </c>
      <c r="J4268">
        <v>3.9</v>
      </c>
      <c r="K4268">
        <v>22</v>
      </c>
      <c r="L4268">
        <f t="shared" si="199"/>
        <v>121.32900000000001</v>
      </c>
      <c r="M4268">
        <v>6</v>
      </c>
      <c r="N4268" t="str">
        <f t="shared" si="200"/>
        <v>Regular</v>
      </c>
    </row>
    <row r="4269" spans="1:14" x14ac:dyDescent="0.35">
      <c r="A4269">
        <v>4268</v>
      </c>
      <c r="B4269">
        <v>41</v>
      </c>
      <c r="C4269" t="str">
        <f t="shared" si="198"/>
        <v>Adult</v>
      </c>
      <c r="D4269" t="s">
        <v>11</v>
      </c>
      <c r="E4269" t="s">
        <v>25</v>
      </c>
      <c r="F4269" t="s">
        <v>57</v>
      </c>
      <c r="G4269">
        <v>8.82</v>
      </c>
      <c r="H4269" t="s">
        <v>24</v>
      </c>
      <c r="I4269" t="s">
        <v>37</v>
      </c>
      <c r="J4269">
        <v>3.6</v>
      </c>
      <c r="K4269">
        <v>6</v>
      </c>
      <c r="L4269">
        <f t="shared" si="199"/>
        <v>8.2907999999999991</v>
      </c>
      <c r="M4269">
        <v>3</v>
      </c>
      <c r="N4269" t="str">
        <f t="shared" si="200"/>
        <v>New</v>
      </c>
    </row>
    <row r="4270" spans="1:14" x14ac:dyDescent="0.35">
      <c r="A4270">
        <v>4269</v>
      </c>
      <c r="B4270">
        <v>38</v>
      </c>
      <c r="C4270" t="str">
        <f t="shared" si="198"/>
        <v>Adult</v>
      </c>
      <c r="D4270" t="s">
        <v>11</v>
      </c>
      <c r="E4270" t="s">
        <v>41</v>
      </c>
      <c r="F4270" t="s">
        <v>44</v>
      </c>
      <c r="G4270">
        <v>87.41</v>
      </c>
      <c r="H4270" t="s">
        <v>19</v>
      </c>
      <c r="I4270" t="s">
        <v>15</v>
      </c>
      <c r="J4270">
        <v>3.8</v>
      </c>
      <c r="K4270">
        <v>2</v>
      </c>
      <c r="L4270">
        <f t="shared" si="199"/>
        <v>85.661799999999999</v>
      </c>
      <c r="M4270">
        <v>1</v>
      </c>
      <c r="N4270" t="str">
        <f t="shared" si="200"/>
        <v>New</v>
      </c>
    </row>
    <row r="4271" spans="1:14" x14ac:dyDescent="0.35">
      <c r="A4271">
        <v>4270</v>
      </c>
      <c r="B4271">
        <v>48</v>
      </c>
      <c r="C4271" t="str">
        <f t="shared" si="198"/>
        <v>Adult</v>
      </c>
      <c r="D4271" t="s">
        <v>16</v>
      </c>
      <c r="E4271" t="s">
        <v>20</v>
      </c>
      <c r="F4271" t="s">
        <v>21</v>
      </c>
      <c r="G4271">
        <v>134.24</v>
      </c>
      <c r="H4271" t="s">
        <v>14</v>
      </c>
      <c r="I4271" t="s">
        <v>15</v>
      </c>
      <c r="J4271">
        <v>2.7</v>
      </c>
      <c r="K4271">
        <v>14</v>
      </c>
      <c r="L4271">
        <f t="shared" si="199"/>
        <v>115.44640000000001</v>
      </c>
      <c r="M4271">
        <v>7</v>
      </c>
      <c r="N4271" t="str">
        <f t="shared" si="200"/>
        <v>Regular</v>
      </c>
    </row>
    <row r="4272" spans="1:14" x14ac:dyDescent="0.35">
      <c r="A4272">
        <v>4271</v>
      </c>
      <c r="B4272">
        <v>48</v>
      </c>
      <c r="C4272" t="str">
        <f t="shared" si="198"/>
        <v>Adult</v>
      </c>
      <c r="D4272" t="s">
        <v>11</v>
      </c>
      <c r="E4272" t="s">
        <v>29</v>
      </c>
      <c r="F4272" t="s">
        <v>30</v>
      </c>
      <c r="G4272">
        <v>101.02</v>
      </c>
      <c r="H4272" t="s">
        <v>31</v>
      </c>
      <c r="I4272" t="s">
        <v>15</v>
      </c>
      <c r="J4272">
        <v>4</v>
      </c>
      <c r="K4272">
        <v>22</v>
      </c>
      <c r="L4272">
        <f t="shared" si="199"/>
        <v>78.795599999999993</v>
      </c>
      <c r="M4272">
        <v>6</v>
      </c>
      <c r="N4272" t="str">
        <f t="shared" si="200"/>
        <v>Regular</v>
      </c>
    </row>
    <row r="4273" spans="1:14" x14ac:dyDescent="0.35">
      <c r="A4273">
        <v>4272</v>
      </c>
      <c r="B4273">
        <v>27</v>
      </c>
      <c r="C4273" t="str">
        <f t="shared" si="198"/>
        <v>Youth</v>
      </c>
      <c r="D4273" t="s">
        <v>11</v>
      </c>
      <c r="E4273" t="s">
        <v>20</v>
      </c>
      <c r="F4273" t="s">
        <v>39</v>
      </c>
      <c r="G4273">
        <v>83.72</v>
      </c>
      <c r="H4273" t="s">
        <v>19</v>
      </c>
      <c r="I4273" t="s">
        <v>15</v>
      </c>
      <c r="J4273">
        <v>3</v>
      </c>
      <c r="K4273">
        <v>22</v>
      </c>
      <c r="L4273">
        <f t="shared" si="199"/>
        <v>65.301600000000008</v>
      </c>
      <c r="M4273">
        <v>6</v>
      </c>
      <c r="N4273" t="str">
        <f t="shared" si="200"/>
        <v>Regular</v>
      </c>
    </row>
    <row r="4274" spans="1:14" x14ac:dyDescent="0.35">
      <c r="A4274">
        <v>4273</v>
      </c>
      <c r="B4274">
        <v>64</v>
      </c>
      <c r="C4274" t="str">
        <f t="shared" si="198"/>
        <v>Senior</v>
      </c>
      <c r="D4274" t="s">
        <v>16</v>
      </c>
      <c r="E4274" t="s">
        <v>17</v>
      </c>
      <c r="F4274" t="s">
        <v>48</v>
      </c>
      <c r="G4274">
        <v>71.42</v>
      </c>
      <c r="H4274" t="s">
        <v>19</v>
      </c>
      <c r="I4274" t="s">
        <v>37</v>
      </c>
      <c r="J4274">
        <v>2.8</v>
      </c>
      <c r="K4274">
        <v>10</v>
      </c>
      <c r="L4274">
        <f t="shared" si="199"/>
        <v>64.278000000000006</v>
      </c>
      <c r="M4274">
        <v>5</v>
      </c>
      <c r="N4274" t="str">
        <f t="shared" si="200"/>
        <v>Regular</v>
      </c>
    </row>
    <row r="4275" spans="1:14" x14ac:dyDescent="0.35">
      <c r="A4275">
        <v>4274</v>
      </c>
      <c r="B4275">
        <v>62</v>
      </c>
      <c r="C4275" t="str">
        <f t="shared" si="198"/>
        <v>Senior</v>
      </c>
      <c r="D4275" t="s">
        <v>11</v>
      </c>
      <c r="E4275" t="s">
        <v>41</v>
      </c>
      <c r="F4275" t="s">
        <v>44</v>
      </c>
      <c r="G4275">
        <v>89.76</v>
      </c>
      <c r="H4275" t="s">
        <v>14</v>
      </c>
      <c r="I4275" t="s">
        <v>15</v>
      </c>
      <c r="J4275">
        <v>4.5999999999999996</v>
      </c>
      <c r="K4275">
        <v>28</v>
      </c>
      <c r="L4275">
        <f t="shared" si="199"/>
        <v>64.627200000000002</v>
      </c>
      <c r="M4275">
        <v>9</v>
      </c>
      <c r="N4275" t="str">
        <f t="shared" si="200"/>
        <v>Loyal</v>
      </c>
    </row>
    <row r="4276" spans="1:14" x14ac:dyDescent="0.35">
      <c r="A4276">
        <v>4275</v>
      </c>
      <c r="B4276">
        <v>46</v>
      </c>
      <c r="C4276" t="str">
        <f t="shared" si="198"/>
        <v>Adult</v>
      </c>
      <c r="D4276" t="s">
        <v>16</v>
      </c>
      <c r="E4276" t="s">
        <v>27</v>
      </c>
      <c r="F4276" t="s">
        <v>28</v>
      </c>
      <c r="G4276">
        <v>683.7</v>
      </c>
      <c r="H4276" t="s">
        <v>19</v>
      </c>
      <c r="I4276" t="s">
        <v>15</v>
      </c>
      <c r="J4276">
        <v>3.8</v>
      </c>
      <c r="K4276">
        <v>26</v>
      </c>
      <c r="L4276">
        <f t="shared" si="199"/>
        <v>505.93800000000005</v>
      </c>
      <c r="M4276">
        <v>8</v>
      </c>
      <c r="N4276" t="str">
        <f t="shared" si="200"/>
        <v>Loyal</v>
      </c>
    </row>
    <row r="4277" spans="1:14" x14ac:dyDescent="0.35">
      <c r="A4277">
        <v>4276</v>
      </c>
      <c r="B4277">
        <v>58</v>
      </c>
      <c r="C4277" t="str">
        <f t="shared" si="198"/>
        <v>Adult</v>
      </c>
      <c r="D4277" t="s">
        <v>16</v>
      </c>
      <c r="E4277" t="s">
        <v>20</v>
      </c>
      <c r="F4277" t="s">
        <v>39</v>
      </c>
      <c r="G4277">
        <v>151.74</v>
      </c>
      <c r="H4277" t="s">
        <v>14</v>
      </c>
      <c r="I4277" t="s">
        <v>15</v>
      </c>
      <c r="J4277">
        <v>4.4000000000000004</v>
      </c>
      <c r="K4277">
        <v>16</v>
      </c>
      <c r="L4277">
        <f t="shared" si="199"/>
        <v>127.4616</v>
      </c>
      <c r="M4277">
        <v>8</v>
      </c>
      <c r="N4277" t="str">
        <f t="shared" si="200"/>
        <v>Loyal</v>
      </c>
    </row>
    <row r="4278" spans="1:14" x14ac:dyDescent="0.35">
      <c r="A4278">
        <v>4277</v>
      </c>
      <c r="B4278">
        <v>58</v>
      </c>
      <c r="C4278" t="str">
        <f t="shared" si="198"/>
        <v>Adult</v>
      </c>
      <c r="D4278" t="s">
        <v>16</v>
      </c>
      <c r="E4278" t="s">
        <v>33</v>
      </c>
      <c r="F4278" t="s">
        <v>40</v>
      </c>
      <c r="G4278">
        <v>72.22</v>
      </c>
      <c r="H4278" t="s">
        <v>24</v>
      </c>
      <c r="I4278" t="s">
        <v>15</v>
      </c>
      <c r="J4278">
        <v>2.6</v>
      </c>
      <c r="K4278">
        <v>16</v>
      </c>
      <c r="L4278">
        <f t="shared" si="199"/>
        <v>60.6648</v>
      </c>
      <c r="M4278">
        <v>8</v>
      </c>
      <c r="N4278" t="str">
        <f t="shared" si="200"/>
        <v>Loyal</v>
      </c>
    </row>
    <row r="4279" spans="1:14" x14ac:dyDescent="0.35">
      <c r="A4279">
        <v>4278</v>
      </c>
      <c r="B4279">
        <v>25</v>
      </c>
      <c r="C4279" t="str">
        <f t="shared" si="198"/>
        <v>Youth</v>
      </c>
      <c r="D4279" t="s">
        <v>16</v>
      </c>
      <c r="E4279" t="s">
        <v>25</v>
      </c>
      <c r="F4279" t="s">
        <v>26</v>
      </c>
      <c r="G4279">
        <v>53.37</v>
      </c>
      <c r="H4279" t="s">
        <v>14</v>
      </c>
      <c r="I4279" t="s">
        <v>37</v>
      </c>
      <c r="J4279">
        <v>3.5</v>
      </c>
      <c r="K4279">
        <v>26</v>
      </c>
      <c r="L4279">
        <f t="shared" si="199"/>
        <v>39.4938</v>
      </c>
      <c r="M4279">
        <v>8</v>
      </c>
      <c r="N4279" t="str">
        <f t="shared" si="200"/>
        <v>Loyal</v>
      </c>
    </row>
    <row r="4280" spans="1:14" x14ac:dyDescent="0.35">
      <c r="A4280">
        <v>4279</v>
      </c>
      <c r="B4280">
        <v>49</v>
      </c>
      <c r="C4280" t="str">
        <f t="shared" si="198"/>
        <v>Adult</v>
      </c>
      <c r="D4280" t="s">
        <v>16</v>
      </c>
      <c r="E4280" t="s">
        <v>20</v>
      </c>
      <c r="F4280" t="s">
        <v>36</v>
      </c>
      <c r="G4280">
        <v>33.07</v>
      </c>
      <c r="H4280" t="s">
        <v>24</v>
      </c>
      <c r="I4280" t="s">
        <v>15</v>
      </c>
      <c r="J4280">
        <v>2.9</v>
      </c>
      <c r="K4280">
        <v>22</v>
      </c>
      <c r="L4280">
        <f t="shared" si="199"/>
        <v>25.794600000000003</v>
      </c>
      <c r="M4280">
        <v>6</v>
      </c>
      <c r="N4280" t="str">
        <f t="shared" si="200"/>
        <v>Regular</v>
      </c>
    </row>
    <row r="4281" spans="1:14" x14ac:dyDescent="0.35">
      <c r="A4281">
        <v>4280</v>
      </c>
      <c r="B4281">
        <v>33</v>
      </c>
      <c r="C4281" t="str">
        <f t="shared" si="198"/>
        <v>Adult</v>
      </c>
      <c r="D4281" t="s">
        <v>11</v>
      </c>
      <c r="E4281" t="s">
        <v>12</v>
      </c>
      <c r="F4281" t="s">
        <v>50</v>
      </c>
      <c r="G4281">
        <v>61.92</v>
      </c>
      <c r="H4281" t="s">
        <v>19</v>
      </c>
      <c r="I4281" t="s">
        <v>37</v>
      </c>
      <c r="J4281">
        <v>4.2</v>
      </c>
      <c r="K4281">
        <v>28</v>
      </c>
      <c r="L4281">
        <f t="shared" si="199"/>
        <v>44.5824</v>
      </c>
      <c r="M4281">
        <v>9</v>
      </c>
      <c r="N4281" t="str">
        <f t="shared" si="200"/>
        <v>Loyal</v>
      </c>
    </row>
    <row r="4282" spans="1:14" x14ac:dyDescent="0.35">
      <c r="A4282">
        <v>4281</v>
      </c>
      <c r="B4282">
        <v>43</v>
      </c>
      <c r="C4282" t="str">
        <f t="shared" si="198"/>
        <v>Adult</v>
      </c>
      <c r="D4282" t="s">
        <v>16</v>
      </c>
      <c r="E4282" t="s">
        <v>20</v>
      </c>
      <c r="F4282" t="s">
        <v>39</v>
      </c>
      <c r="G4282">
        <v>88.84</v>
      </c>
      <c r="H4282" t="s">
        <v>14</v>
      </c>
      <c r="I4282" t="s">
        <v>15</v>
      </c>
      <c r="J4282">
        <v>3.5</v>
      </c>
      <c r="K4282">
        <v>16</v>
      </c>
      <c r="L4282">
        <f t="shared" si="199"/>
        <v>74.625600000000006</v>
      </c>
      <c r="M4282">
        <v>8</v>
      </c>
      <c r="N4282" t="str">
        <f t="shared" si="200"/>
        <v>Loyal</v>
      </c>
    </row>
    <row r="4283" spans="1:14" x14ac:dyDescent="0.35">
      <c r="A4283">
        <v>4282</v>
      </c>
      <c r="B4283">
        <v>46</v>
      </c>
      <c r="C4283" t="str">
        <f t="shared" si="198"/>
        <v>Adult</v>
      </c>
      <c r="D4283" t="s">
        <v>11</v>
      </c>
      <c r="E4283" t="s">
        <v>33</v>
      </c>
      <c r="F4283" t="s">
        <v>40</v>
      </c>
      <c r="G4283">
        <v>213.67</v>
      </c>
      <c r="H4283" t="s">
        <v>31</v>
      </c>
      <c r="I4283" t="s">
        <v>15</v>
      </c>
      <c r="J4283">
        <v>3.8</v>
      </c>
      <c r="K4283">
        <v>13</v>
      </c>
      <c r="L4283">
        <f t="shared" si="199"/>
        <v>185.8929</v>
      </c>
      <c r="M4283">
        <v>4</v>
      </c>
      <c r="N4283" t="str">
        <f t="shared" si="200"/>
        <v>Regular</v>
      </c>
    </row>
    <row r="4284" spans="1:14" x14ac:dyDescent="0.35">
      <c r="A4284">
        <v>4283</v>
      </c>
      <c r="B4284">
        <v>32</v>
      </c>
      <c r="C4284" t="str">
        <f t="shared" si="198"/>
        <v>Adult</v>
      </c>
      <c r="D4284" t="s">
        <v>16</v>
      </c>
      <c r="E4284" t="s">
        <v>27</v>
      </c>
      <c r="F4284" t="s">
        <v>32</v>
      </c>
      <c r="G4284">
        <v>744.74</v>
      </c>
      <c r="H4284" t="s">
        <v>24</v>
      </c>
      <c r="I4284" t="s">
        <v>15</v>
      </c>
      <c r="J4284">
        <v>2.9</v>
      </c>
      <c r="K4284">
        <v>4</v>
      </c>
      <c r="L4284">
        <f t="shared" si="199"/>
        <v>714.95039999999995</v>
      </c>
      <c r="M4284">
        <v>2</v>
      </c>
      <c r="N4284" t="str">
        <f t="shared" si="200"/>
        <v>New</v>
      </c>
    </row>
    <row r="4285" spans="1:14" x14ac:dyDescent="0.35">
      <c r="A4285">
        <v>4284</v>
      </c>
      <c r="B4285">
        <v>64</v>
      </c>
      <c r="C4285" t="str">
        <f t="shared" si="198"/>
        <v>Senior</v>
      </c>
      <c r="D4285" t="s">
        <v>11</v>
      </c>
      <c r="E4285" t="s">
        <v>41</v>
      </c>
      <c r="F4285" t="s">
        <v>42</v>
      </c>
      <c r="G4285">
        <v>199.4</v>
      </c>
      <c r="H4285" t="s">
        <v>19</v>
      </c>
      <c r="I4285" t="s">
        <v>15</v>
      </c>
      <c r="J4285">
        <v>3.2</v>
      </c>
      <c r="K4285">
        <v>11</v>
      </c>
      <c r="L4285">
        <f t="shared" si="199"/>
        <v>177.46600000000001</v>
      </c>
      <c r="M4285">
        <v>3</v>
      </c>
      <c r="N4285" t="str">
        <f t="shared" si="200"/>
        <v>New</v>
      </c>
    </row>
    <row r="4286" spans="1:14" x14ac:dyDescent="0.35">
      <c r="A4286">
        <v>4285</v>
      </c>
      <c r="B4286">
        <v>67</v>
      </c>
      <c r="C4286" t="str">
        <f t="shared" si="198"/>
        <v>Senior</v>
      </c>
      <c r="D4286" t="s">
        <v>11</v>
      </c>
      <c r="E4286" t="s">
        <v>41</v>
      </c>
      <c r="F4286" t="s">
        <v>46</v>
      </c>
      <c r="G4286">
        <v>122.67</v>
      </c>
      <c r="H4286" t="s">
        <v>14</v>
      </c>
      <c r="I4286" t="s">
        <v>15</v>
      </c>
      <c r="J4286">
        <v>3.6</v>
      </c>
      <c r="K4286">
        <v>24</v>
      </c>
      <c r="L4286">
        <f t="shared" si="199"/>
        <v>93.229200000000006</v>
      </c>
      <c r="M4286">
        <v>7</v>
      </c>
      <c r="N4286" t="str">
        <f t="shared" si="200"/>
        <v>Regular</v>
      </c>
    </row>
    <row r="4287" spans="1:14" x14ac:dyDescent="0.35">
      <c r="A4287">
        <v>4286</v>
      </c>
      <c r="B4287">
        <v>56</v>
      </c>
      <c r="C4287" t="str">
        <f t="shared" si="198"/>
        <v>Adult</v>
      </c>
      <c r="D4287" t="s">
        <v>11</v>
      </c>
      <c r="E4287" t="s">
        <v>41</v>
      </c>
      <c r="F4287" t="s">
        <v>42</v>
      </c>
      <c r="G4287">
        <v>81.62</v>
      </c>
      <c r="H4287" t="s">
        <v>19</v>
      </c>
      <c r="I4287" t="s">
        <v>15</v>
      </c>
      <c r="J4287">
        <v>4.0999999999999996</v>
      </c>
      <c r="K4287">
        <v>22</v>
      </c>
      <c r="L4287">
        <f t="shared" si="199"/>
        <v>63.663600000000002</v>
      </c>
      <c r="M4287">
        <v>6</v>
      </c>
      <c r="N4287" t="str">
        <f t="shared" si="200"/>
        <v>Regular</v>
      </c>
    </row>
    <row r="4288" spans="1:14" x14ac:dyDescent="0.35">
      <c r="A4288">
        <v>4287</v>
      </c>
      <c r="B4288">
        <v>51</v>
      </c>
      <c r="C4288" t="str">
        <f t="shared" si="198"/>
        <v>Adult</v>
      </c>
      <c r="D4288" t="s">
        <v>11</v>
      </c>
      <c r="E4288" t="s">
        <v>25</v>
      </c>
      <c r="F4288" t="s">
        <v>26</v>
      </c>
      <c r="G4288">
        <v>50.86</v>
      </c>
      <c r="H4288" t="s">
        <v>31</v>
      </c>
      <c r="I4288" t="s">
        <v>37</v>
      </c>
      <c r="J4288">
        <v>3.4</v>
      </c>
      <c r="K4288">
        <v>20</v>
      </c>
      <c r="L4288">
        <f t="shared" si="199"/>
        <v>40.688000000000002</v>
      </c>
      <c r="M4288">
        <v>5</v>
      </c>
      <c r="N4288" t="str">
        <f t="shared" si="200"/>
        <v>Regular</v>
      </c>
    </row>
    <row r="4289" spans="1:14" x14ac:dyDescent="0.35">
      <c r="A4289">
        <v>4288</v>
      </c>
      <c r="B4289">
        <v>42</v>
      </c>
      <c r="C4289" t="str">
        <f t="shared" si="198"/>
        <v>Adult</v>
      </c>
      <c r="D4289" t="s">
        <v>11</v>
      </c>
      <c r="E4289" t="s">
        <v>33</v>
      </c>
      <c r="F4289" t="s">
        <v>34</v>
      </c>
      <c r="G4289">
        <v>50.03</v>
      </c>
      <c r="H4289" t="s">
        <v>19</v>
      </c>
      <c r="I4289" t="s">
        <v>37</v>
      </c>
      <c r="J4289">
        <v>4.0999999999999996</v>
      </c>
      <c r="K4289">
        <v>12</v>
      </c>
      <c r="L4289">
        <f t="shared" si="199"/>
        <v>44.026400000000002</v>
      </c>
      <c r="M4289">
        <v>6</v>
      </c>
      <c r="N4289" t="str">
        <f t="shared" si="200"/>
        <v>Regular</v>
      </c>
    </row>
    <row r="4290" spans="1:14" x14ac:dyDescent="0.35">
      <c r="A4290">
        <v>4289</v>
      </c>
      <c r="B4290">
        <v>46</v>
      </c>
      <c r="C4290" t="str">
        <f t="shared" si="198"/>
        <v>Adult</v>
      </c>
      <c r="D4290" t="s">
        <v>16</v>
      </c>
      <c r="E4290" t="s">
        <v>33</v>
      </c>
      <c r="F4290" t="s">
        <v>34</v>
      </c>
      <c r="G4290">
        <v>140.4</v>
      </c>
      <c r="H4290" t="s">
        <v>24</v>
      </c>
      <c r="I4290" t="s">
        <v>15</v>
      </c>
      <c r="J4290">
        <v>3.5</v>
      </c>
      <c r="K4290">
        <v>18</v>
      </c>
      <c r="L4290">
        <f t="shared" si="199"/>
        <v>115.12800000000001</v>
      </c>
      <c r="M4290">
        <v>9</v>
      </c>
      <c r="N4290" t="str">
        <f t="shared" si="200"/>
        <v>Loyal</v>
      </c>
    </row>
    <row r="4291" spans="1:14" x14ac:dyDescent="0.35">
      <c r="A4291">
        <v>4290</v>
      </c>
      <c r="B4291">
        <v>29</v>
      </c>
      <c r="C4291" t="str">
        <f t="shared" ref="C4291:C4354" si="201">IF(B4291&lt;=30,"Youth",IF(B4291&lt;=45,"Adult",IF(B4291&lt;=60,"Adult","Senior")))</f>
        <v>Youth</v>
      </c>
      <c r="D4291" t="s">
        <v>11</v>
      </c>
      <c r="E4291" t="s">
        <v>29</v>
      </c>
      <c r="F4291" t="s">
        <v>30</v>
      </c>
      <c r="G4291">
        <v>52.2</v>
      </c>
      <c r="H4291" t="s">
        <v>24</v>
      </c>
      <c r="I4291" t="s">
        <v>15</v>
      </c>
      <c r="J4291">
        <v>4.3</v>
      </c>
      <c r="K4291">
        <v>6</v>
      </c>
      <c r="L4291">
        <f t="shared" ref="L4291:L4354" si="202">G4291*(1-K4291/100)</f>
        <v>49.067999999999998</v>
      </c>
      <c r="M4291">
        <v>3</v>
      </c>
      <c r="N4291" t="str">
        <f t="shared" ref="N4291:N4354" si="203">IF(M4291&lt;=3,"New",IF(M4291&lt;=7,"Regular","Loyal"))</f>
        <v>New</v>
      </c>
    </row>
    <row r="4292" spans="1:14" x14ac:dyDescent="0.35">
      <c r="A4292">
        <v>4291</v>
      </c>
      <c r="B4292">
        <v>67</v>
      </c>
      <c r="C4292" t="str">
        <f t="shared" si="201"/>
        <v>Senior</v>
      </c>
      <c r="D4292" t="s">
        <v>16</v>
      </c>
      <c r="E4292" t="s">
        <v>20</v>
      </c>
      <c r="F4292" t="s">
        <v>39</v>
      </c>
      <c r="G4292">
        <v>161.66999999999999</v>
      </c>
      <c r="H4292" t="s">
        <v>19</v>
      </c>
      <c r="I4292" t="s">
        <v>15</v>
      </c>
      <c r="J4292">
        <v>2.8</v>
      </c>
      <c r="K4292">
        <v>10</v>
      </c>
      <c r="L4292">
        <f t="shared" si="202"/>
        <v>145.50299999999999</v>
      </c>
      <c r="M4292">
        <v>5</v>
      </c>
      <c r="N4292" t="str">
        <f t="shared" si="203"/>
        <v>Regular</v>
      </c>
    </row>
    <row r="4293" spans="1:14" x14ac:dyDescent="0.35">
      <c r="A4293">
        <v>4292</v>
      </c>
      <c r="B4293">
        <v>61</v>
      </c>
      <c r="C4293" t="str">
        <f t="shared" si="201"/>
        <v>Senior</v>
      </c>
      <c r="D4293" t="s">
        <v>16</v>
      </c>
      <c r="E4293" t="s">
        <v>20</v>
      </c>
      <c r="F4293" t="s">
        <v>39</v>
      </c>
      <c r="G4293">
        <v>116.32</v>
      </c>
      <c r="H4293" t="s">
        <v>14</v>
      </c>
      <c r="I4293" t="s">
        <v>15</v>
      </c>
      <c r="J4293">
        <v>3.6</v>
      </c>
      <c r="K4293">
        <v>16</v>
      </c>
      <c r="L4293">
        <f t="shared" si="202"/>
        <v>97.708799999999997</v>
      </c>
      <c r="M4293">
        <v>3</v>
      </c>
      <c r="N4293" t="str">
        <f t="shared" si="203"/>
        <v>New</v>
      </c>
    </row>
    <row r="4294" spans="1:14" x14ac:dyDescent="0.35">
      <c r="A4294">
        <v>4293</v>
      </c>
      <c r="B4294">
        <v>63</v>
      </c>
      <c r="C4294" t="str">
        <f t="shared" si="201"/>
        <v>Senior</v>
      </c>
      <c r="D4294" t="s">
        <v>11</v>
      </c>
      <c r="E4294" t="s">
        <v>29</v>
      </c>
      <c r="F4294" t="s">
        <v>55</v>
      </c>
      <c r="G4294">
        <v>88.46</v>
      </c>
      <c r="H4294" t="s">
        <v>24</v>
      </c>
      <c r="I4294" t="s">
        <v>37</v>
      </c>
      <c r="J4294">
        <v>4.2</v>
      </c>
      <c r="K4294">
        <v>18</v>
      </c>
      <c r="L4294">
        <f t="shared" si="202"/>
        <v>72.537199999999999</v>
      </c>
      <c r="M4294">
        <v>4</v>
      </c>
      <c r="N4294" t="str">
        <f t="shared" si="203"/>
        <v>Regular</v>
      </c>
    </row>
    <row r="4295" spans="1:14" x14ac:dyDescent="0.35">
      <c r="A4295">
        <v>4294</v>
      </c>
      <c r="B4295">
        <v>20</v>
      </c>
      <c r="C4295" t="str">
        <f t="shared" si="201"/>
        <v>Youth</v>
      </c>
      <c r="D4295" t="s">
        <v>16</v>
      </c>
      <c r="E4295" t="s">
        <v>17</v>
      </c>
      <c r="F4295" t="s">
        <v>35</v>
      </c>
      <c r="G4295">
        <v>175.64</v>
      </c>
      <c r="H4295" t="s">
        <v>31</v>
      </c>
      <c r="I4295" t="s">
        <v>15</v>
      </c>
      <c r="J4295">
        <v>4</v>
      </c>
      <c r="K4295">
        <v>21</v>
      </c>
      <c r="L4295">
        <f t="shared" si="202"/>
        <v>138.75559999999999</v>
      </c>
      <c r="M4295">
        <v>8</v>
      </c>
      <c r="N4295" t="str">
        <f t="shared" si="203"/>
        <v>Loyal</v>
      </c>
    </row>
    <row r="4296" spans="1:14" x14ac:dyDescent="0.35">
      <c r="A4296">
        <v>4295</v>
      </c>
      <c r="B4296">
        <v>68</v>
      </c>
      <c r="C4296" t="str">
        <f t="shared" si="201"/>
        <v>Senior</v>
      </c>
      <c r="D4296" t="s">
        <v>11</v>
      </c>
      <c r="E4296" t="s">
        <v>33</v>
      </c>
      <c r="F4296" t="s">
        <v>38</v>
      </c>
      <c r="G4296">
        <v>109.35</v>
      </c>
      <c r="H4296" t="s">
        <v>31</v>
      </c>
      <c r="I4296" t="s">
        <v>15</v>
      </c>
      <c r="J4296">
        <v>4.2</v>
      </c>
      <c r="K4296">
        <v>15</v>
      </c>
      <c r="L4296">
        <f t="shared" si="202"/>
        <v>92.947499999999991</v>
      </c>
      <c r="M4296">
        <v>5</v>
      </c>
      <c r="N4296" t="str">
        <f t="shared" si="203"/>
        <v>Regular</v>
      </c>
    </row>
    <row r="4297" spans="1:14" x14ac:dyDescent="0.35">
      <c r="A4297">
        <v>4296</v>
      </c>
      <c r="B4297">
        <v>41</v>
      </c>
      <c r="C4297" t="str">
        <f t="shared" si="201"/>
        <v>Adult</v>
      </c>
      <c r="D4297" t="s">
        <v>11</v>
      </c>
      <c r="E4297" t="s">
        <v>22</v>
      </c>
      <c r="F4297" t="s">
        <v>43</v>
      </c>
      <c r="G4297">
        <v>63.09</v>
      </c>
      <c r="H4297" t="s">
        <v>14</v>
      </c>
      <c r="I4297" t="s">
        <v>15</v>
      </c>
      <c r="J4297">
        <v>4.0999999999999996</v>
      </c>
      <c r="K4297">
        <v>20</v>
      </c>
      <c r="L4297">
        <f t="shared" si="202"/>
        <v>50.472000000000008</v>
      </c>
      <c r="M4297">
        <v>5</v>
      </c>
      <c r="N4297" t="str">
        <f t="shared" si="203"/>
        <v>Regular</v>
      </c>
    </row>
    <row r="4298" spans="1:14" x14ac:dyDescent="0.35">
      <c r="A4298">
        <v>4297</v>
      </c>
      <c r="B4298">
        <v>66</v>
      </c>
      <c r="C4298" t="str">
        <f t="shared" si="201"/>
        <v>Senior</v>
      </c>
      <c r="D4298" t="s">
        <v>16</v>
      </c>
      <c r="E4298" t="s">
        <v>17</v>
      </c>
      <c r="F4298" t="s">
        <v>35</v>
      </c>
      <c r="G4298">
        <v>177.68</v>
      </c>
      <c r="H4298" t="s">
        <v>24</v>
      </c>
      <c r="I4298" t="s">
        <v>15</v>
      </c>
      <c r="J4298">
        <v>4.5999999999999996</v>
      </c>
      <c r="K4298">
        <v>22</v>
      </c>
      <c r="L4298">
        <f t="shared" si="202"/>
        <v>138.59040000000002</v>
      </c>
      <c r="M4298">
        <v>6</v>
      </c>
      <c r="N4298" t="str">
        <f t="shared" si="203"/>
        <v>Regular</v>
      </c>
    </row>
    <row r="4299" spans="1:14" x14ac:dyDescent="0.35">
      <c r="A4299">
        <v>4298</v>
      </c>
      <c r="B4299">
        <v>53</v>
      </c>
      <c r="C4299" t="str">
        <f t="shared" si="201"/>
        <v>Adult</v>
      </c>
      <c r="D4299" t="s">
        <v>16</v>
      </c>
      <c r="E4299" t="s">
        <v>20</v>
      </c>
      <c r="F4299" t="s">
        <v>21</v>
      </c>
      <c r="G4299">
        <v>203.97</v>
      </c>
      <c r="H4299" t="s">
        <v>19</v>
      </c>
      <c r="I4299" t="s">
        <v>15</v>
      </c>
      <c r="J4299">
        <v>3.8</v>
      </c>
      <c r="K4299">
        <v>6</v>
      </c>
      <c r="L4299">
        <f t="shared" si="202"/>
        <v>191.73179999999999</v>
      </c>
      <c r="M4299">
        <v>3</v>
      </c>
      <c r="N4299" t="str">
        <f t="shared" si="203"/>
        <v>New</v>
      </c>
    </row>
    <row r="4300" spans="1:14" x14ac:dyDescent="0.35">
      <c r="A4300">
        <v>4299</v>
      </c>
      <c r="B4300">
        <v>66</v>
      </c>
      <c r="C4300" t="str">
        <f t="shared" si="201"/>
        <v>Senior</v>
      </c>
      <c r="D4300" t="s">
        <v>16</v>
      </c>
      <c r="E4300" t="s">
        <v>33</v>
      </c>
      <c r="F4300" t="s">
        <v>38</v>
      </c>
      <c r="G4300">
        <v>55.18</v>
      </c>
      <c r="H4300" t="s">
        <v>19</v>
      </c>
      <c r="I4300" t="s">
        <v>37</v>
      </c>
      <c r="J4300">
        <v>5</v>
      </c>
      <c r="K4300">
        <v>16</v>
      </c>
      <c r="L4300">
        <f t="shared" si="202"/>
        <v>46.351199999999999</v>
      </c>
      <c r="M4300">
        <v>8</v>
      </c>
      <c r="N4300" t="str">
        <f t="shared" si="203"/>
        <v>Loyal</v>
      </c>
    </row>
    <row r="4301" spans="1:14" x14ac:dyDescent="0.35">
      <c r="A4301">
        <v>4300</v>
      </c>
      <c r="B4301">
        <v>58</v>
      </c>
      <c r="C4301" t="str">
        <f t="shared" si="201"/>
        <v>Adult</v>
      </c>
      <c r="D4301" t="s">
        <v>11</v>
      </c>
      <c r="E4301" t="s">
        <v>29</v>
      </c>
      <c r="F4301" t="s">
        <v>30</v>
      </c>
      <c r="G4301">
        <v>120.91</v>
      </c>
      <c r="H4301" t="s">
        <v>24</v>
      </c>
      <c r="I4301" t="s">
        <v>15</v>
      </c>
      <c r="J4301">
        <v>4.2</v>
      </c>
      <c r="K4301">
        <v>18</v>
      </c>
      <c r="L4301">
        <f t="shared" si="202"/>
        <v>99.146200000000007</v>
      </c>
      <c r="M4301">
        <v>4</v>
      </c>
      <c r="N4301" t="str">
        <f t="shared" si="203"/>
        <v>Regular</v>
      </c>
    </row>
    <row r="4302" spans="1:14" x14ac:dyDescent="0.35">
      <c r="A4302">
        <v>4301</v>
      </c>
      <c r="B4302">
        <v>65</v>
      </c>
      <c r="C4302" t="str">
        <f t="shared" si="201"/>
        <v>Senior</v>
      </c>
      <c r="D4302" t="s">
        <v>11</v>
      </c>
      <c r="E4302" t="s">
        <v>33</v>
      </c>
      <c r="F4302" t="s">
        <v>40</v>
      </c>
      <c r="G4302">
        <v>107.79</v>
      </c>
      <c r="H4302" t="s">
        <v>31</v>
      </c>
      <c r="I4302" t="s">
        <v>15</v>
      </c>
      <c r="J4302">
        <v>3.9</v>
      </c>
      <c r="K4302">
        <v>12</v>
      </c>
      <c r="L4302">
        <f t="shared" si="202"/>
        <v>94.855200000000011</v>
      </c>
      <c r="M4302">
        <v>6</v>
      </c>
      <c r="N4302" t="str">
        <f t="shared" si="203"/>
        <v>Regular</v>
      </c>
    </row>
    <row r="4303" spans="1:14" x14ac:dyDescent="0.35">
      <c r="A4303">
        <v>4302</v>
      </c>
      <c r="B4303">
        <v>22</v>
      </c>
      <c r="C4303" t="str">
        <f t="shared" si="201"/>
        <v>Youth</v>
      </c>
      <c r="D4303" t="s">
        <v>11</v>
      </c>
      <c r="E4303" t="s">
        <v>29</v>
      </c>
      <c r="F4303" t="s">
        <v>55</v>
      </c>
      <c r="G4303">
        <v>88.76</v>
      </c>
      <c r="H4303" t="s">
        <v>19</v>
      </c>
      <c r="I4303" t="s">
        <v>15</v>
      </c>
      <c r="J4303">
        <v>4</v>
      </c>
      <c r="K4303">
        <v>21</v>
      </c>
      <c r="L4303">
        <f t="shared" si="202"/>
        <v>70.120400000000004</v>
      </c>
      <c r="M4303">
        <v>8</v>
      </c>
      <c r="N4303" t="str">
        <f t="shared" si="203"/>
        <v>Loyal</v>
      </c>
    </row>
    <row r="4304" spans="1:14" x14ac:dyDescent="0.35">
      <c r="A4304">
        <v>4303</v>
      </c>
      <c r="B4304">
        <v>41</v>
      </c>
      <c r="C4304" t="str">
        <f t="shared" si="201"/>
        <v>Adult</v>
      </c>
      <c r="D4304" t="s">
        <v>16</v>
      </c>
      <c r="E4304" t="s">
        <v>20</v>
      </c>
      <c r="F4304" t="s">
        <v>39</v>
      </c>
      <c r="G4304">
        <v>131.51</v>
      </c>
      <c r="H4304" t="s">
        <v>24</v>
      </c>
      <c r="I4304" t="s">
        <v>15</v>
      </c>
      <c r="J4304">
        <v>3.4</v>
      </c>
      <c r="K4304">
        <v>14</v>
      </c>
      <c r="L4304">
        <f t="shared" si="202"/>
        <v>113.09859999999999</v>
      </c>
      <c r="M4304">
        <v>7</v>
      </c>
      <c r="N4304" t="str">
        <f t="shared" si="203"/>
        <v>Regular</v>
      </c>
    </row>
    <row r="4305" spans="1:14" x14ac:dyDescent="0.35">
      <c r="A4305">
        <v>4304</v>
      </c>
      <c r="B4305">
        <v>54</v>
      </c>
      <c r="C4305" t="str">
        <f t="shared" si="201"/>
        <v>Adult</v>
      </c>
      <c r="D4305" t="s">
        <v>16</v>
      </c>
      <c r="E4305" t="s">
        <v>22</v>
      </c>
      <c r="F4305" t="s">
        <v>52</v>
      </c>
      <c r="G4305">
        <v>58.82</v>
      </c>
      <c r="H4305" t="s">
        <v>31</v>
      </c>
      <c r="I4305" t="s">
        <v>37</v>
      </c>
      <c r="J4305">
        <v>3.8</v>
      </c>
      <c r="K4305">
        <v>23</v>
      </c>
      <c r="L4305">
        <f t="shared" si="202"/>
        <v>45.291400000000003</v>
      </c>
      <c r="M4305">
        <v>9</v>
      </c>
      <c r="N4305" t="str">
        <f t="shared" si="203"/>
        <v>Loyal</v>
      </c>
    </row>
    <row r="4306" spans="1:14" x14ac:dyDescent="0.35">
      <c r="A4306">
        <v>4305</v>
      </c>
      <c r="B4306">
        <v>62</v>
      </c>
      <c r="C4306" t="str">
        <f t="shared" si="201"/>
        <v>Senior</v>
      </c>
      <c r="D4306" t="s">
        <v>16</v>
      </c>
      <c r="E4306" t="s">
        <v>17</v>
      </c>
      <c r="F4306" t="s">
        <v>35</v>
      </c>
      <c r="G4306">
        <v>184.53</v>
      </c>
      <c r="H4306" t="s">
        <v>24</v>
      </c>
      <c r="I4306" t="s">
        <v>15</v>
      </c>
      <c r="J4306">
        <v>4.2</v>
      </c>
      <c r="K4306">
        <v>28</v>
      </c>
      <c r="L4306">
        <f t="shared" si="202"/>
        <v>132.86160000000001</v>
      </c>
      <c r="M4306">
        <v>9</v>
      </c>
      <c r="N4306" t="str">
        <f t="shared" si="203"/>
        <v>Loyal</v>
      </c>
    </row>
    <row r="4307" spans="1:14" x14ac:dyDescent="0.35">
      <c r="A4307">
        <v>4306</v>
      </c>
      <c r="B4307">
        <v>65</v>
      </c>
      <c r="C4307" t="str">
        <f t="shared" si="201"/>
        <v>Senior</v>
      </c>
      <c r="D4307" t="s">
        <v>16</v>
      </c>
      <c r="E4307" t="s">
        <v>27</v>
      </c>
      <c r="F4307" t="s">
        <v>32</v>
      </c>
      <c r="G4307">
        <v>2803.45</v>
      </c>
      <c r="H4307" t="s">
        <v>19</v>
      </c>
      <c r="I4307" t="s">
        <v>15</v>
      </c>
      <c r="J4307">
        <v>3.1</v>
      </c>
      <c r="K4307">
        <v>12</v>
      </c>
      <c r="L4307">
        <f t="shared" si="202"/>
        <v>2467.0360000000001</v>
      </c>
      <c r="M4307">
        <v>1</v>
      </c>
      <c r="N4307" t="str">
        <f t="shared" si="203"/>
        <v>New</v>
      </c>
    </row>
    <row r="4308" spans="1:14" x14ac:dyDescent="0.35">
      <c r="A4308">
        <v>4307</v>
      </c>
      <c r="B4308">
        <v>54</v>
      </c>
      <c r="C4308" t="str">
        <f t="shared" si="201"/>
        <v>Adult</v>
      </c>
      <c r="D4308" t="s">
        <v>11</v>
      </c>
      <c r="E4308" t="s">
        <v>12</v>
      </c>
      <c r="F4308" t="s">
        <v>56</v>
      </c>
      <c r="G4308">
        <v>91.94</v>
      </c>
      <c r="H4308" t="s">
        <v>14</v>
      </c>
      <c r="I4308" t="s">
        <v>15</v>
      </c>
      <c r="J4308">
        <v>3.6</v>
      </c>
      <c r="K4308">
        <v>16</v>
      </c>
      <c r="L4308">
        <f t="shared" si="202"/>
        <v>77.229599999999991</v>
      </c>
      <c r="M4308">
        <v>3</v>
      </c>
      <c r="N4308" t="str">
        <f t="shared" si="203"/>
        <v>New</v>
      </c>
    </row>
    <row r="4309" spans="1:14" x14ac:dyDescent="0.35">
      <c r="A4309">
        <v>4308</v>
      </c>
      <c r="B4309">
        <v>45</v>
      </c>
      <c r="C4309" t="str">
        <f t="shared" si="201"/>
        <v>Adult</v>
      </c>
      <c r="D4309" t="s">
        <v>16</v>
      </c>
      <c r="E4309" t="s">
        <v>22</v>
      </c>
      <c r="F4309" t="s">
        <v>23</v>
      </c>
      <c r="G4309">
        <v>130.44999999999999</v>
      </c>
      <c r="H4309" t="s">
        <v>24</v>
      </c>
      <c r="I4309" t="s">
        <v>15</v>
      </c>
      <c r="J4309">
        <v>4.5</v>
      </c>
      <c r="K4309">
        <v>14</v>
      </c>
      <c r="L4309">
        <f t="shared" si="202"/>
        <v>112.18699999999998</v>
      </c>
      <c r="M4309">
        <v>7</v>
      </c>
      <c r="N4309" t="str">
        <f t="shared" si="203"/>
        <v>Regular</v>
      </c>
    </row>
    <row r="4310" spans="1:14" x14ac:dyDescent="0.35">
      <c r="A4310">
        <v>4309</v>
      </c>
      <c r="B4310">
        <v>34</v>
      </c>
      <c r="C4310" t="str">
        <f t="shared" si="201"/>
        <v>Adult</v>
      </c>
      <c r="D4310" t="s">
        <v>16</v>
      </c>
      <c r="E4310" t="s">
        <v>22</v>
      </c>
      <c r="F4310" t="s">
        <v>43</v>
      </c>
      <c r="G4310">
        <v>225</v>
      </c>
      <c r="H4310" t="s">
        <v>31</v>
      </c>
      <c r="I4310" t="s">
        <v>15</v>
      </c>
      <c r="J4310">
        <v>3.2</v>
      </c>
      <c r="K4310">
        <v>14</v>
      </c>
      <c r="L4310">
        <f t="shared" si="202"/>
        <v>193.5</v>
      </c>
      <c r="M4310">
        <v>2</v>
      </c>
      <c r="N4310" t="str">
        <f t="shared" si="203"/>
        <v>New</v>
      </c>
    </row>
    <row r="4311" spans="1:14" x14ac:dyDescent="0.35">
      <c r="A4311">
        <v>4310</v>
      </c>
      <c r="B4311">
        <v>32</v>
      </c>
      <c r="C4311" t="str">
        <f t="shared" si="201"/>
        <v>Adult</v>
      </c>
      <c r="D4311" t="s">
        <v>16</v>
      </c>
      <c r="E4311" t="s">
        <v>33</v>
      </c>
      <c r="F4311" t="s">
        <v>38</v>
      </c>
      <c r="G4311">
        <v>237.39</v>
      </c>
      <c r="H4311" t="s">
        <v>14</v>
      </c>
      <c r="I4311" t="s">
        <v>15</v>
      </c>
      <c r="J4311">
        <v>5</v>
      </c>
      <c r="K4311">
        <v>24</v>
      </c>
      <c r="L4311">
        <f t="shared" si="202"/>
        <v>180.41639999999998</v>
      </c>
      <c r="M4311">
        <v>7</v>
      </c>
      <c r="N4311" t="str">
        <f t="shared" si="203"/>
        <v>Regular</v>
      </c>
    </row>
    <row r="4312" spans="1:14" x14ac:dyDescent="0.35">
      <c r="A4312">
        <v>4311</v>
      </c>
      <c r="B4312">
        <v>52</v>
      </c>
      <c r="C4312" t="str">
        <f t="shared" si="201"/>
        <v>Adult</v>
      </c>
      <c r="D4312" t="s">
        <v>11</v>
      </c>
      <c r="E4312" t="s">
        <v>12</v>
      </c>
      <c r="F4312" t="s">
        <v>50</v>
      </c>
      <c r="G4312">
        <v>36.25</v>
      </c>
      <c r="H4312" t="s">
        <v>24</v>
      </c>
      <c r="I4312" t="s">
        <v>37</v>
      </c>
      <c r="J4312">
        <v>4</v>
      </c>
      <c r="K4312">
        <v>17</v>
      </c>
      <c r="L4312">
        <f t="shared" si="202"/>
        <v>30.087499999999999</v>
      </c>
      <c r="M4312">
        <v>6</v>
      </c>
      <c r="N4312" t="str">
        <f t="shared" si="203"/>
        <v>Regular</v>
      </c>
    </row>
    <row r="4313" spans="1:14" x14ac:dyDescent="0.35">
      <c r="A4313">
        <v>4312</v>
      </c>
      <c r="B4313">
        <v>53</v>
      </c>
      <c r="C4313" t="str">
        <f t="shared" si="201"/>
        <v>Adult</v>
      </c>
      <c r="D4313" t="s">
        <v>16</v>
      </c>
      <c r="E4313" t="s">
        <v>33</v>
      </c>
      <c r="F4313" t="s">
        <v>34</v>
      </c>
      <c r="G4313">
        <v>70.209999999999994</v>
      </c>
      <c r="H4313" t="s">
        <v>19</v>
      </c>
      <c r="I4313" t="s">
        <v>15</v>
      </c>
      <c r="J4313">
        <v>3</v>
      </c>
      <c r="K4313">
        <v>8</v>
      </c>
      <c r="L4313">
        <f t="shared" si="202"/>
        <v>64.593199999999996</v>
      </c>
      <c r="M4313">
        <v>4</v>
      </c>
      <c r="N4313" t="str">
        <f t="shared" si="203"/>
        <v>Regular</v>
      </c>
    </row>
    <row r="4314" spans="1:14" x14ac:dyDescent="0.35">
      <c r="A4314">
        <v>4313</v>
      </c>
      <c r="B4314">
        <v>38</v>
      </c>
      <c r="C4314" t="str">
        <f t="shared" si="201"/>
        <v>Adult</v>
      </c>
      <c r="D4314" t="s">
        <v>11</v>
      </c>
      <c r="E4314" t="s">
        <v>41</v>
      </c>
      <c r="F4314" t="s">
        <v>46</v>
      </c>
      <c r="G4314">
        <v>136.24</v>
      </c>
      <c r="H4314" t="s">
        <v>24</v>
      </c>
      <c r="I4314" t="s">
        <v>15</v>
      </c>
      <c r="J4314">
        <v>3.9</v>
      </c>
      <c r="K4314">
        <v>8</v>
      </c>
      <c r="L4314">
        <f t="shared" si="202"/>
        <v>125.34080000000002</v>
      </c>
      <c r="M4314">
        <v>4</v>
      </c>
      <c r="N4314" t="str">
        <f t="shared" si="203"/>
        <v>Regular</v>
      </c>
    </row>
    <row r="4315" spans="1:14" x14ac:dyDescent="0.35">
      <c r="A4315">
        <v>4314</v>
      </c>
      <c r="B4315">
        <v>44</v>
      </c>
      <c r="C4315" t="str">
        <f t="shared" si="201"/>
        <v>Adult</v>
      </c>
      <c r="D4315" t="s">
        <v>11</v>
      </c>
      <c r="E4315" t="s">
        <v>41</v>
      </c>
      <c r="F4315" t="s">
        <v>44</v>
      </c>
      <c r="G4315">
        <v>159.32</v>
      </c>
      <c r="H4315" t="s">
        <v>14</v>
      </c>
      <c r="I4315" t="s">
        <v>15</v>
      </c>
      <c r="J4315">
        <v>4.3</v>
      </c>
      <c r="K4315">
        <v>10</v>
      </c>
      <c r="L4315">
        <f t="shared" si="202"/>
        <v>143.38800000000001</v>
      </c>
      <c r="M4315">
        <v>5</v>
      </c>
      <c r="N4315" t="str">
        <f t="shared" si="203"/>
        <v>Regular</v>
      </c>
    </row>
    <row r="4316" spans="1:14" x14ac:dyDescent="0.35">
      <c r="A4316">
        <v>4315</v>
      </c>
      <c r="B4316">
        <v>27</v>
      </c>
      <c r="C4316" t="str">
        <f t="shared" si="201"/>
        <v>Youth</v>
      </c>
      <c r="D4316" t="s">
        <v>16</v>
      </c>
      <c r="E4316" t="s">
        <v>22</v>
      </c>
      <c r="F4316" t="s">
        <v>23</v>
      </c>
      <c r="G4316">
        <v>105.26</v>
      </c>
      <c r="H4316" t="s">
        <v>24</v>
      </c>
      <c r="I4316" t="s">
        <v>15</v>
      </c>
      <c r="J4316">
        <v>3.7</v>
      </c>
      <c r="K4316">
        <v>15</v>
      </c>
      <c r="L4316">
        <f t="shared" si="202"/>
        <v>89.471000000000004</v>
      </c>
      <c r="M4316">
        <v>5</v>
      </c>
      <c r="N4316" t="str">
        <f t="shared" si="203"/>
        <v>Regular</v>
      </c>
    </row>
    <row r="4317" spans="1:14" x14ac:dyDescent="0.35">
      <c r="A4317">
        <v>4316</v>
      </c>
      <c r="B4317">
        <v>55</v>
      </c>
      <c r="C4317" t="str">
        <f t="shared" si="201"/>
        <v>Adult</v>
      </c>
      <c r="D4317" t="s">
        <v>11</v>
      </c>
      <c r="E4317" t="s">
        <v>22</v>
      </c>
      <c r="F4317" t="s">
        <v>43</v>
      </c>
      <c r="G4317">
        <v>214.41</v>
      </c>
      <c r="H4317" t="s">
        <v>24</v>
      </c>
      <c r="I4317" t="s">
        <v>15</v>
      </c>
      <c r="J4317">
        <v>3.7</v>
      </c>
      <c r="K4317">
        <v>11</v>
      </c>
      <c r="L4317">
        <f t="shared" si="202"/>
        <v>190.82490000000001</v>
      </c>
      <c r="M4317">
        <v>3</v>
      </c>
      <c r="N4317" t="str">
        <f t="shared" si="203"/>
        <v>New</v>
      </c>
    </row>
    <row r="4318" spans="1:14" x14ac:dyDescent="0.35">
      <c r="A4318">
        <v>4317</v>
      </c>
      <c r="B4318">
        <v>42</v>
      </c>
      <c r="C4318" t="str">
        <f t="shared" si="201"/>
        <v>Adult</v>
      </c>
      <c r="D4318" t="s">
        <v>11</v>
      </c>
      <c r="E4318" t="s">
        <v>41</v>
      </c>
      <c r="F4318" t="s">
        <v>44</v>
      </c>
      <c r="G4318">
        <v>101.15</v>
      </c>
      <c r="H4318" t="s">
        <v>14</v>
      </c>
      <c r="I4318" t="s">
        <v>15</v>
      </c>
      <c r="J4318">
        <v>2.6</v>
      </c>
      <c r="K4318">
        <v>12</v>
      </c>
      <c r="L4318">
        <f t="shared" si="202"/>
        <v>89.012</v>
      </c>
      <c r="M4318">
        <v>6</v>
      </c>
      <c r="N4318" t="str">
        <f t="shared" si="203"/>
        <v>Regular</v>
      </c>
    </row>
    <row r="4319" spans="1:14" x14ac:dyDescent="0.35">
      <c r="A4319">
        <v>4318</v>
      </c>
      <c r="B4319">
        <v>39</v>
      </c>
      <c r="C4319" t="str">
        <f t="shared" si="201"/>
        <v>Adult</v>
      </c>
      <c r="D4319" t="s">
        <v>11</v>
      </c>
      <c r="E4319" t="s">
        <v>25</v>
      </c>
      <c r="F4319" t="s">
        <v>47</v>
      </c>
      <c r="G4319">
        <v>23.86</v>
      </c>
      <c r="H4319" t="s">
        <v>31</v>
      </c>
      <c r="I4319" t="s">
        <v>37</v>
      </c>
      <c r="J4319">
        <v>3.7</v>
      </c>
      <c r="K4319">
        <v>14</v>
      </c>
      <c r="L4319">
        <f t="shared" si="202"/>
        <v>20.519600000000001</v>
      </c>
      <c r="M4319">
        <v>7</v>
      </c>
      <c r="N4319" t="str">
        <f t="shared" si="203"/>
        <v>Regular</v>
      </c>
    </row>
    <row r="4320" spans="1:14" x14ac:dyDescent="0.35">
      <c r="A4320">
        <v>4319</v>
      </c>
      <c r="B4320">
        <v>38</v>
      </c>
      <c r="C4320" t="str">
        <f t="shared" si="201"/>
        <v>Adult</v>
      </c>
      <c r="D4320" t="s">
        <v>16</v>
      </c>
      <c r="E4320" t="s">
        <v>33</v>
      </c>
      <c r="F4320" t="s">
        <v>40</v>
      </c>
      <c r="G4320">
        <v>206.88</v>
      </c>
      <c r="H4320" t="s">
        <v>24</v>
      </c>
      <c r="I4320" t="s">
        <v>15</v>
      </c>
      <c r="J4320">
        <v>4.5</v>
      </c>
      <c r="K4320">
        <v>23</v>
      </c>
      <c r="L4320">
        <f t="shared" si="202"/>
        <v>159.29759999999999</v>
      </c>
      <c r="M4320">
        <v>9</v>
      </c>
      <c r="N4320" t="str">
        <f t="shared" si="203"/>
        <v>Loyal</v>
      </c>
    </row>
    <row r="4321" spans="1:14" x14ac:dyDescent="0.35">
      <c r="A4321">
        <v>4320</v>
      </c>
      <c r="B4321">
        <v>33</v>
      </c>
      <c r="C4321" t="str">
        <f t="shared" si="201"/>
        <v>Adult</v>
      </c>
      <c r="D4321" t="s">
        <v>11</v>
      </c>
      <c r="E4321" t="s">
        <v>41</v>
      </c>
      <c r="F4321" t="s">
        <v>42</v>
      </c>
      <c r="G4321">
        <v>152.85</v>
      </c>
      <c r="H4321" t="s">
        <v>24</v>
      </c>
      <c r="I4321" t="s">
        <v>15</v>
      </c>
      <c r="J4321">
        <v>2.9</v>
      </c>
      <c r="K4321">
        <v>17</v>
      </c>
      <c r="L4321">
        <f t="shared" si="202"/>
        <v>126.86549999999998</v>
      </c>
      <c r="M4321">
        <v>6</v>
      </c>
      <c r="N4321" t="str">
        <f t="shared" si="203"/>
        <v>Regular</v>
      </c>
    </row>
    <row r="4322" spans="1:14" x14ac:dyDescent="0.35">
      <c r="A4322">
        <v>4321</v>
      </c>
      <c r="B4322">
        <v>41</v>
      </c>
      <c r="C4322" t="str">
        <f t="shared" si="201"/>
        <v>Adult</v>
      </c>
      <c r="D4322" t="s">
        <v>11</v>
      </c>
      <c r="E4322" t="s">
        <v>41</v>
      </c>
      <c r="F4322" t="s">
        <v>45</v>
      </c>
      <c r="G4322">
        <v>131.57</v>
      </c>
      <c r="H4322" t="s">
        <v>31</v>
      </c>
      <c r="I4322" t="s">
        <v>15</v>
      </c>
      <c r="J4322">
        <v>5</v>
      </c>
      <c r="K4322">
        <v>9</v>
      </c>
      <c r="L4322">
        <f t="shared" si="202"/>
        <v>119.7287</v>
      </c>
      <c r="M4322">
        <v>2</v>
      </c>
      <c r="N4322" t="str">
        <f t="shared" si="203"/>
        <v>New</v>
      </c>
    </row>
    <row r="4323" spans="1:14" x14ac:dyDescent="0.35">
      <c r="A4323">
        <v>4322</v>
      </c>
      <c r="B4323">
        <v>46</v>
      </c>
      <c r="C4323" t="str">
        <f t="shared" si="201"/>
        <v>Adult</v>
      </c>
      <c r="D4323" t="s">
        <v>16</v>
      </c>
      <c r="E4323" t="s">
        <v>20</v>
      </c>
      <c r="F4323" t="s">
        <v>21</v>
      </c>
      <c r="G4323">
        <v>61.71</v>
      </c>
      <c r="H4323" t="s">
        <v>14</v>
      </c>
      <c r="I4323" t="s">
        <v>15</v>
      </c>
      <c r="J4323">
        <v>4.8</v>
      </c>
      <c r="K4323">
        <v>18</v>
      </c>
      <c r="L4323">
        <f t="shared" si="202"/>
        <v>50.602200000000003</v>
      </c>
      <c r="M4323">
        <v>4</v>
      </c>
      <c r="N4323" t="str">
        <f t="shared" si="203"/>
        <v>Regular</v>
      </c>
    </row>
    <row r="4324" spans="1:14" x14ac:dyDescent="0.35">
      <c r="A4324">
        <v>4323</v>
      </c>
      <c r="B4324">
        <v>33</v>
      </c>
      <c r="C4324" t="str">
        <f t="shared" si="201"/>
        <v>Adult</v>
      </c>
      <c r="D4324" t="s">
        <v>11</v>
      </c>
      <c r="E4324" t="s">
        <v>20</v>
      </c>
      <c r="F4324" t="s">
        <v>36</v>
      </c>
      <c r="G4324">
        <v>146.32</v>
      </c>
      <c r="H4324" t="s">
        <v>14</v>
      </c>
      <c r="I4324" t="s">
        <v>15</v>
      </c>
      <c r="J4324">
        <v>3.9</v>
      </c>
      <c r="K4324">
        <v>14</v>
      </c>
      <c r="L4324">
        <f t="shared" si="202"/>
        <v>125.83519999999999</v>
      </c>
      <c r="M4324">
        <v>2</v>
      </c>
      <c r="N4324" t="str">
        <f t="shared" si="203"/>
        <v>New</v>
      </c>
    </row>
    <row r="4325" spans="1:14" x14ac:dyDescent="0.35">
      <c r="A4325">
        <v>4324</v>
      </c>
      <c r="B4325">
        <v>30</v>
      </c>
      <c r="C4325" t="str">
        <f t="shared" si="201"/>
        <v>Youth</v>
      </c>
      <c r="D4325" t="s">
        <v>16</v>
      </c>
      <c r="E4325" t="s">
        <v>20</v>
      </c>
      <c r="F4325" t="s">
        <v>21</v>
      </c>
      <c r="G4325">
        <v>176.43</v>
      </c>
      <c r="H4325" t="s">
        <v>14</v>
      </c>
      <c r="I4325" t="s">
        <v>15</v>
      </c>
      <c r="J4325">
        <v>3.9</v>
      </c>
      <c r="K4325">
        <v>10</v>
      </c>
      <c r="L4325">
        <f t="shared" si="202"/>
        <v>158.78700000000001</v>
      </c>
      <c r="M4325">
        <v>5</v>
      </c>
      <c r="N4325" t="str">
        <f t="shared" si="203"/>
        <v>Regular</v>
      </c>
    </row>
    <row r="4326" spans="1:14" x14ac:dyDescent="0.35">
      <c r="A4326">
        <v>4325</v>
      </c>
      <c r="B4326">
        <v>40</v>
      </c>
      <c r="C4326" t="str">
        <f t="shared" si="201"/>
        <v>Adult</v>
      </c>
      <c r="D4326" t="s">
        <v>16</v>
      </c>
      <c r="E4326" t="s">
        <v>33</v>
      </c>
      <c r="F4326" t="s">
        <v>40</v>
      </c>
      <c r="G4326">
        <v>180.35</v>
      </c>
      <c r="H4326" t="s">
        <v>14</v>
      </c>
      <c r="I4326" t="s">
        <v>15</v>
      </c>
      <c r="J4326">
        <v>3.5</v>
      </c>
      <c r="K4326">
        <v>10</v>
      </c>
      <c r="L4326">
        <f t="shared" si="202"/>
        <v>162.315</v>
      </c>
      <c r="M4326">
        <v>5</v>
      </c>
      <c r="N4326" t="str">
        <f t="shared" si="203"/>
        <v>Regular</v>
      </c>
    </row>
    <row r="4327" spans="1:14" x14ac:dyDescent="0.35">
      <c r="A4327">
        <v>4326</v>
      </c>
      <c r="B4327">
        <v>31</v>
      </c>
      <c r="C4327" t="str">
        <f t="shared" si="201"/>
        <v>Adult</v>
      </c>
      <c r="D4327" t="s">
        <v>11</v>
      </c>
      <c r="E4327" t="s">
        <v>22</v>
      </c>
      <c r="F4327" t="s">
        <v>43</v>
      </c>
      <c r="G4327">
        <v>46.08</v>
      </c>
      <c r="H4327" t="s">
        <v>14</v>
      </c>
      <c r="I4327" t="s">
        <v>15</v>
      </c>
      <c r="J4327">
        <v>3</v>
      </c>
      <c r="K4327">
        <v>17</v>
      </c>
      <c r="L4327">
        <f t="shared" si="202"/>
        <v>38.246399999999994</v>
      </c>
      <c r="M4327">
        <v>6</v>
      </c>
      <c r="N4327" t="str">
        <f t="shared" si="203"/>
        <v>Regular</v>
      </c>
    </row>
    <row r="4328" spans="1:14" x14ac:dyDescent="0.35">
      <c r="A4328">
        <v>4327</v>
      </c>
      <c r="B4328">
        <v>52</v>
      </c>
      <c r="C4328" t="str">
        <f t="shared" si="201"/>
        <v>Adult</v>
      </c>
      <c r="D4328" t="s">
        <v>11</v>
      </c>
      <c r="E4328" t="s">
        <v>29</v>
      </c>
      <c r="F4328" t="s">
        <v>51</v>
      </c>
      <c r="G4328">
        <v>89.09</v>
      </c>
      <c r="H4328" t="s">
        <v>14</v>
      </c>
      <c r="I4328" t="s">
        <v>37</v>
      </c>
      <c r="J4328">
        <v>4.4000000000000004</v>
      </c>
      <c r="K4328">
        <v>12</v>
      </c>
      <c r="L4328">
        <f t="shared" si="202"/>
        <v>78.399200000000008</v>
      </c>
      <c r="M4328">
        <v>6</v>
      </c>
      <c r="N4328" t="str">
        <f t="shared" si="203"/>
        <v>Regular</v>
      </c>
    </row>
    <row r="4329" spans="1:14" x14ac:dyDescent="0.35">
      <c r="A4329">
        <v>4328</v>
      </c>
      <c r="B4329">
        <v>65</v>
      </c>
      <c r="C4329" t="str">
        <f t="shared" si="201"/>
        <v>Senior</v>
      </c>
      <c r="D4329" t="s">
        <v>11</v>
      </c>
      <c r="E4329" t="s">
        <v>20</v>
      </c>
      <c r="F4329" t="s">
        <v>36</v>
      </c>
      <c r="G4329">
        <v>100.42</v>
      </c>
      <c r="H4329" t="s">
        <v>14</v>
      </c>
      <c r="I4329" t="s">
        <v>15</v>
      </c>
      <c r="J4329">
        <v>3.8</v>
      </c>
      <c r="K4329">
        <v>22</v>
      </c>
      <c r="L4329">
        <f t="shared" si="202"/>
        <v>78.327600000000004</v>
      </c>
      <c r="M4329">
        <v>6</v>
      </c>
      <c r="N4329" t="str">
        <f t="shared" si="203"/>
        <v>Regular</v>
      </c>
    </row>
    <row r="4330" spans="1:14" x14ac:dyDescent="0.35">
      <c r="A4330">
        <v>4329</v>
      </c>
      <c r="B4330">
        <v>48</v>
      </c>
      <c r="C4330" t="str">
        <f t="shared" si="201"/>
        <v>Adult</v>
      </c>
      <c r="D4330" t="s">
        <v>16</v>
      </c>
      <c r="E4330" t="s">
        <v>17</v>
      </c>
      <c r="F4330" t="s">
        <v>35</v>
      </c>
      <c r="G4330">
        <v>89.83</v>
      </c>
      <c r="H4330" t="s">
        <v>31</v>
      </c>
      <c r="I4330" t="s">
        <v>15</v>
      </c>
      <c r="J4330">
        <v>4.0999999999999996</v>
      </c>
      <c r="K4330">
        <v>20</v>
      </c>
      <c r="L4330">
        <f t="shared" si="202"/>
        <v>71.864000000000004</v>
      </c>
      <c r="M4330">
        <v>5</v>
      </c>
      <c r="N4330" t="str">
        <f t="shared" si="203"/>
        <v>Regular</v>
      </c>
    </row>
    <row r="4331" spans="1:14" x14ac:dyDescent="0.35">
      <c r="A4331">
        <v>4330</v>
      </c>
      <c r="B4331">
        <v>54</v>
      </c>
      <c r="C4331" t="str">
        <f t="shared" si="201"/>
        <v>Adult</v>
      </c>
      <c r="D4331" t="s">
        <v>16</v>
      </c>
      <c r="E4331" t="s">
        <v>27</v>
      </c>
      <c r="F4331" t="s">
        <v>28</v>
      </c>
      <c r="G4331">
        <v>970.58</v>
      </c>
      <c r="H4331" t="s">
        <v>31</v>
      </c>
      <c r="I4331" t="s">
        <v>15</v>
      </c>
      <c r="J4331">
        <v>4.7</v>
      </c>
      <c r="K4331">
        <v>18</v>
      </c>
      <c r="L4331">
        <f t="shared" si="202"/>
        <v>795.87560000000008</v>
      </c>
      <c r="M4331">
        <v>9</v>
      </c>
      <c r="N4331" t="str">
        <f t="shared" si="203"/>
        <v>Loyal</v>
      </c>
    </row>
    <row r="4332" spans="1:14" x14ac:dyDescent="0.35">
      <c r="A4332">
        <v>4331</v>
      </c>
      <c r="B4332">
        <v>33</v>
      </c>
      <c r="C4332" t="str">
        <f t="shared" si="201"/>
        <v>Adult</v>
      </c>
      <c r="D4332" t="s">
        <v>16</v>
      </c>
      <c r="E4332" t="s">
        <v>27</v>
      </c>
      <c r="F4332" t="s">
        <v>49</v>
      </c>
      <c r="G4332">
        <v>1987.37</v>
      </c>
      <c r="H4332" t="s">
        <v>31</v>
      </c>
      <c r="I4332" t="s">
        <v>15</v>
      </c>
      <c r="J4332">
        <v>3.9</v>
      </c>
      <c r="K4332">
        <v>14</v>
      </c>
      <c r="L4332">
        <f t="shared" si="202"/>
        <v>1709.1381999999999</v>
      </c>
      <c r="M4332">
        <v>2</v>
      </c>
      <c r="N4332" t="str">
        <f t="shared" si="203"/>
        <v>New</v>
      </c>
    </row>
    <row r="4333" spans="1:14" x14ac:dyDescent="0.35">
      <c r="A4333">
        <v>4332</v>
      </c>
      <c r="B4333">
        <v>56</v>
      </c>
      <c r="C4333" t="str">
        <f t="shared" si="201"/>
        <v>Adult</v>
      </c>
      <c r="D4333" t="s">
        <v>16</v>
      </c>
      <c r="E4333" t="s">
        <v>27</v>
      </c>
      <c r="F4333" t="s">
        <v>32</v>
      </c>
      <c r="G4333">
        <v>2918.5</v>
      </c>
      <c r="H4333" t="s">
        <v>24</v>
      </c>
      <c r="I4333" t="s">
        <v>15</v>
      </c>
      <c r="J4333">
        <v>2.8</v>
      </c>
      <c r="K4333">
        <v>15</v>
      </c>
      <c r="L4333">
        <f t="shared" si="202"/>
        <v>2480.7249999999999</v>
      </c>
      <c r="M4333">
        <v>5</v>
      </c>
      <c r="N4333" t="str">
        <f t="shared" si="203"/>
        <v>Regular</v>
      </c>
    </row>
    <row r="4334" spans="1:14" x14ac:dyDescent="0.35">
      <c r="A4334">
        <v>4333</v>
      </c>
      <c r="B4334">
        <v>41</v>
      </c>
      <c r="C4334" t="str">
        <f t="shared" si="201"/>
        <v>Adult</v>
      </c>
      <c r="D4334" t="s">
        <v>11</v>
      </c>
      <c r="E4334" t="s">
        <v>20</v>
      </c>
      <c r="F4334" t="s">
        <v>36</v>
      </c>
      <c r="G4334">
        <v>25.82</v>
      </c>
      <c r="H4334" t="s">
        <v>31</v>
      </c>
      <c r="I4334" t="s">
        <v>15</v>
      </c>
      <c r="J4334">
        <v>4.4000000000000004</v>
      </c>
      <c r="K4334">
        <v>16</v>
      </c>
      <c r="L4334">
        <f t="shared" si="202"/>
        <v>21.688800000000001</v>
      </c>
      <c r="M4334">
        <v>3</v>
      </c>
      <c r="N4334" t="str">
        <f t="shared" si="203"/>
        <v>New</v>
      </c>
    </row>
    <row r="4335" spans="1:14" x14ac:dyDescent="0.35">
      <c r="A4335">
        <v>4334</v>
      </c>
      <c r="B4335">
        <v>65</v>
      </c>
      <c r="C4335" t="str">
        <f t="shared" si="201"/>
        <v>Senior</v>
      </c>
      <c r="D4335" t="s">
        <v>16</v>
      </c>
      <c r="E4335" t="s">
        <v>33</v>
      </c>
      <c r="F4335" t="s">
        <v>34</v>
      </c>
      <c r="G4335">
        <v>72.739999999999995</v>
      </c>
      <c r="H4335" t="s">
        <v>24</v>
      </c>
      <c r="I4335" t="s">
        <v>15</v>
      </c>
      <c r="J4335">
        <v>3</v>
      </c>
      <c r="K4335">
        <v>12</v>
      </c>
      <c r="L4335">
        <f t="shared" si="202"/>
        <v>64.011200000000002</v>
      </c>
      <c r="M4335">
        <v>6</v>
      </c>
      <c r="N4335" t="str">
        <f t="shared" si="203"/>
        <v>Regular</v>
      </c>
    </row>
    <row r="4336" spans="1:14" x14ac:dyDescent="0.35">
      <c r="A4336">
        <v>4335</v>
      </c>
      <c r="B4336">
        <v>32</v>
      </c>
      <c r="C4336" t="str">
        <f t="shared" si="201"/>
        <v>Adult</v>
      </c>
      <c r="D4336" t="s">
        <v>11</v>
      </c>
      <c r="E4336" t="s">
        <v>29</v>
      </c>
      <c r="F4336" t="s">
        <v>55</v>
      </c>
      <c r="G4336">
        <v>139.69999999999999</v>
      </c>
      <c r="H4336" t="s">
        <v>31</v>
      </c>
      <c r="I4336" t="s">
        <v>15</v>
      </c>
      <c r="J4336">
        <v>3.1</v>
      </c>
      <c r="K4336">
        <v>20</v>
      </c>
      <c r="L4336">
        <f t="shared" si="202"/>
        <v>111.75999999999999</v>
      </c>
      <c r="M4336">
        <v>5</v>
      </c>
      <c r="N4336" t="str">
        <f t="shared" si="203"/>
        <v>Regular</v>
      </c>
    </row>
    <row r="4337" spans="1:14" x14ac:dyDescent="0.35">
      <c r="A4337">
        <v>4336</v>
      </c>
      <c r="B4337">
        <v>49</v>
      </c>
      <c r="C4337" t="str">
        <f t="shared" si="201"/>
        <v>Adult</v>
      </c>
      <c r="D4337" t="s">
        <v>11</v>
      </c>
      <c r="E4337" t="s">
        <v>33</v>
      </c>
      <c r="F4337" t="s">
        <v>34</v>
      </c>
      <c r="G4337">
        <v>59.06</v>
      </c>
      <c r="H4337" t="s">
        <v>19</v>
      </c>
      <c r="I4337" t="s">
        <v>37</v>
      </c>
      <c r="J4337">
        <v>2.9</v>
      </c>
      <c r="K4337">
        <v>14</v>
      </c>
      <c r="L4337">
        <f t="shared" si="202"/>
        <v>50.791600000000003</v>
      </c>
      <c r="M4337">
        <v>7</v>
      </c>
      <c r="N4337" t="str">
        <f t="shared" si="203"/>
        <v>Regular</v>
      </c>
    </row>
    <row r="4338" spans="1:14" x14ac:dyDescent="0.35">
      <c r="A4338">
        <v>4337</v>
      </c>
      <c r="B4338">
        <v>61</v>
      </c>
      <c r="C4338" t="str">
        <f t="shared" si="201"/>
        <v>Senior</v>
      </c>
      <c r="D4338" t="s">
        <v>16</v>
      </c>
      <c r="E4338" t="s">
        <v>20</v>
      </c>
      <c r="F4338" t="s">
        <v>21</v>
      </c>
      <c r="G4338">
        <v>101.88</v>
      </c>
      <c r="H4338" t="s">
        <v>19</v>
      </c>
      <c r="I4338" t="s">
        <v>15</v>
      </c>
      <c r="J4338">
        <v>3.9</v>
      </c>
      <c r="K4338">
        <v>11</v>
      </c>
      <c r="L4338">
        <f t="shared" si="202"/>
        <v>90.673199999999994</v>
      </c>
      <c r="M4338">
        <v>3</v>
      </c>
      <c r="N4338" t="str">
        <f t="shared" si="203"/>
        <v>New</v>
      </c>
    </row>
    <row r="4339" spans="1:14" x14ac:dyDescent="0.35">
      <c r="A4339">
        <v>4338</v>
      </c>
      <c r="B4339">
        <v>54</v>
      </c>
      <c r="C4339" t="str">
        <f t="shared" si="201"/>
        <v>Adult</v>
      </c>
      <c r="D4339" t="s">
        <v>16</v>
      </c>
      <c r="E4339" t="s">
        <v>20</v>
      </c>
      <c r="F4339" t="s">
        <v>21</v>
      </c>
      <c r="G4339">
        <v>92.18</v>
      </c>
      <c r="H4339" t="s">
        <v>19</v>
      </c>
      <c r="I4339" t="s">
        <v>15</v>
      </c>
      <c r="J4339">
        <v>3.3</v>
      </c>
      <c r="K4339">
        <v>11</v>
      </c>
      <c r="L4339">
        <f t="shared" si="202"/>
        <v>82.040200000000013</v>
      </c>
      <c r="M4339">
        <v>3</v>
      </c>
      <c r="N4339" t="str">
        <f t="shared" si="203"/>
        <v>New</v>
      </c>
    </row>
    <row r="4340" spans="1:14" x14ac:dyDescent="0.35">
      <c r="A4340">
        <v>4339</v>
      </c>
      <c r="B4340">
        <v>50</v>
      </c>
      <c r="C4340" t="str">
        <f t="shared" si="201"/>
        <v>Adult</v>
      </c>
      <c r="D4340" t="s">
        <v>11</v>
      </c>
      <c r="E4340" t="s">
        <v>20</v>
      </c>
      <c r="F4340" t="s">
        <v>21</v>
      </c>
      <c r="G4340">
        <v>118.5</v>
      </c>
      <c r="H4340" t="s">
        <v>31</v>
      </c>
      <c r="I4340" t="s">
        <v>15</v>
      </c>
      <c r="J4340">
        <v>4.5999999999999996</v>
      </c>
      <c r="K4340">
        <v>20</v>
      </c>
      <c r="L4340">
        <f t="shared" si="202"/>
        <v>94.800000000000011</v>
      </c>
      <c r="M4340">
        <v>10</v>
      </c>
      <c r="N4340" t="str">
        <f t="shared" si="203"/>
        <v>Loyal</v>
      </c>
    </row>
    <row r="4341" spans="1:14" x14ac:dyDescent="0.35">
      <c r="A4341">
        <v>4340</v>
      </c>
      <c r="B4341">
        <v>61</v>
      </c>
      <c r="C4341" t="str">
        <f t="shared" si="201"/>
        <v>Senior</v>
      </c>
      <c r="D4341" t="s">
        <v>16</v>
      </c>
      <c r="E4341" t="s">
        <v>27</v>
      </c>
      <c r="F4341" t="s">
        <v>28</v>
      </c>
      <c r="G4341">
        <v>1079.3399999999999</v>
      </c>
      <c r="H4341" t="s">
        <v>14</v>
      </c>
      <c r="I4341" t="s">
        <v>15</v>
      </c>
      <c r="J4341">
        <v>3.6</v>
      </c>
      <c r="K4341">
        <v>26</v>
      </c>
      <c r="L4341">
        <f t="shared" si="202"/>
        <v>798.71159999999998</v>
      </c>
      <c r="M4341">
        <v>8</v>
      </c>
      <c r="N4341" t="str">
        <f t="shared" si="203"/>
        <v>Loyal</v>
      </c>
    </row>
    <row r="4342" spans="1:14" x14ac:dyDescent="0.35">
      <c r="A4342">
        <v>4341</v>
      </c>
      <c r="B4342">
        <v>60</v>
      </c>
      <c r="C4342" t="str">
        <f t="shared" si="201"/>
        <v>Adult</v>
      </c>
      <c r="D4342" t="s">
        <v>11</v>
      </c>
      <c r="E4342" t="s">
        <v>29</v>
      </c>
      <c r="F4342" t="s">
        <v>30</v>
      </c>
      <c r="G4342">
        <v>65.44</v>
      </c>
      <c r="H4342" t="s">
        <v>14</v>
      </c>
      <c r="I4342" t="s">
        <v>37</v>
      </c>
      <c r="J4342">
        <v>5</v>
      </c>
      <c r="K4342">
        <v>16</v>
      </c>
      <c r="L4342">
        <f t="shared" si="202"/>
        <v>54.969599999999993</v>
      </c>
      <c r="M4342">
        <v>3</v>
      </c>
      <c r="N4342" t="str">
        <f t="shared" si="203"/>
        <v>New</v>
      </c>
    </row>
    <row r="4343" spans="1:14" x14ac:dyDescent="0.35">
      <c r="A4343">
        <v>4342</v>
      </c>
      <c r="B4343">
        <v>42</v>
      </c>
      <c r="C4343" t="str">
        <f t="shared" si="201"/>
        <v>Adult</v>
      </c>
      <c r="D4343" t="s">
        <v>11</v>
      </c>
      <c r="E4343" t="s">
        <v>29</v>
      </c>
      <c r="F4343" t="s">
        <v>55</v>
      </c>
      <c r="G4343">
        <v>25.79</v>
      </c>
      <c r="H4343" t="s">
        <v>24</v>
      </c>
      <c r="I4343" t="s">
        <v>37</v>
      </c>
      <c r="J4343">
        <v>4</v>
      </c>
      <c r="K4343">
        <v>8</v>
      </c>
      <c r="L4343">
        <f t="shared" si="202"/>
        <v>23.726800000000001</v>
      </c>
      <c r="M4343">
        <v>4</v>
      </c>
      <c r="N4343" t="str">
        <f t="shared" si="203"/>
        <v>Regular</v>
      </c>
    </row>
    <row r="4344" spans="1:14" x14ac:dyDescent="0.35">
      <c r="A4344">
        <v>4343</v>
      </c>
      <c r="B4344">
        <v>45</v>
      </c>
      <c r="C4344" t="str">
        <f t="shared" si="201"/>
        <v>Adult</v>
      </c>
      <c r="D4344" t="s">
        <v>11</v>
      </c>
      <c r="E4344" t="s">
        <v>33</v>
      </c>
      <c r="F4344" t="s">
        <v>38</v>
      </c>
      <c r="G4344">
        <v>50.12</v>
      </c>
      <c r="H4344" t="s">
        <v>24</v>
      </c>
      <c r="I4344" t="s">
        <v>37</v>
      </c>
      <c r="J4344">
        <v>3.3</v>
      </c>
      <c r="K4344">
        <v>9</v>
      </c>
      <c r="L4344">
        <f t="shared" si="202"/>
        <v>45.609200000000001</v>
      </c>
      <c r="M4344">
        <v>2</v>
      </c>
      <c r="N4344" t="str">
        <f t="shared" si="203"/>
        <v>New</v>
      </c>
    </row>
    <row r="4345" spans="1:14" x14ac:dyDescent="0.35">
      <c r="A4345">
        <v>4344</v>
      </c>
      <c r="B4345">
        <v>28</v>
      </c>
      <c r="C4345" t="str">
        <f t="shared" si="201"/>
        <v>Youth</v>
      </c>
      <c r="D4345" t="s">
        <v>16</v>
      </c>
      <c r="E4345" t="s">
        <v>20</v>
      </c>
      <c r="F4345" t="s">
        <v>36</v>
      </c>
      <c r="G4345">
        <v>131.99</v>
      </c>
      <c r="H4345" t="s">
        <v>24</v>
      </c>
      <c r="I4345" t="s">
        <v>15</v>
      </c>
      <c r="J4345">
        <v>4</v>
      </c>
      <c r="K4345">
        <v>23</v>
      </c>
      <c r="L4345">
        <f t="shared" si="202"/>
        <v>101.63230000000001</v>
      </c>
      <c r="M4345">
        <v>9</v>
      </c>
      <c r="N4345" t="str">
        <f t="shared" si="203"/>
        <v>Loyal</v>
      </c>
    </row>
    <row r="4346" spans="1:14" x14ac:dyDescent="0.35">
      <c r="A4346">
        <v>4345</v>
      </c>
      <c r="B4346">
        <v>53</v>
      </c>
      <c r="C4346" t="str">
        <f t="shared" si="201"/>
        <v>Adult</v>
      </c>
      <c r="D4346" t="s">
        <v>11</v>
      </c>
      <c r="E4346" t="s">
        <v>33</v>
      </c>
      <c r="F4346" t="s">
        <v>38</v>
      </c>
      <c r="G4346">
        <v>56.27</v>
      </c>
      <c r="H4346" t="s">
        <v>19</v>
      </c>
      <c r="I4346" t="s">
        <v>37</v>
      </c>
      <c r="J4346">
        <v>3.3</v>
      </c>
      <c r="K4346">
        <v>16</v>
      </c>
      <c r="L4346">
        <f t="shared" si="202"/>
        <v>47.266800000000003</v>
      </c>
      <c r="M4346">
        <v>8</v>
      </c>
      <c r="N4346" t="str">
        <f t="shared" si="203"/>
        <v>Loyal</v>
      </c>
    </row>
    <row r="4347" spans="1:14" x14ac:dyDescent="0.35">
      <c r="A4347">
        <v>4346</v>
      </c>
      <c r="B4347">
        <v>59</v>
      </c>
      <c r="C4347" t="str">
        <f t="shared" si="201"/>
        <v>Adult</v>
      </c>
      <c r="D4347" t="s">
        <v>16</v>
      </c>
      <c r="E4347" t="s">
        <v>27</v>
      </c>
      <c r="F4347" t="s">
        <v>49</v>
      </c>
      <c r="G4347">
        <v>639.16999999999996</v>
      </c>
      <c r="H4347" t="s">
        <v>24</v>
      </c>
      <c r="I4347" t="s">
        <v>15</v>
      </c>
      <c r="J4347">
        <v>3.9</v>
      </c>
      <c r="K4347">
        <v>16</v>
      </c>
      <c r="L4347">
        <f t="shared" si="202"/>
        <v>536.90279999999996</v>
      </c>
      <c r="M4347">
        <v>8</v>
      </c>
      <c r="N4347" t="str">
        <f t="shared" si="203"/>
        <v>Loyal</v>
      </c>
    </row>
    <row r="4348" spans="1:14" x14ac:dyDescent="0.35">
      <c r="A4348">
        <v>4347</v>
      </c>
      <c r="B4348">
        <v>42</v>
      </c>
      <c r="C4348" t="str">
        <f t="shared" si="201"/>
        <v>Adult</v>
      </c>
      <c r="D4348" t="s">
        <v>11</v>
      </c>
      <c r="E4348" t="s">
        <v>33</v>
      </c>
      <c r="F4348" t="s">
        <v>34</v>
      </c>
      <c r="G4348">
        <v>56.5</v>
      </c>
      <c r="H4348" t="s">
        <v>19</v>
      </c>
      <c r="I4348" t="s">
        <v>15</v>
      </c>
      <c r="J4348">
        <v>4.0999999999999996</v>
      </c>
      <c r="K4348">
        <v>8</v>
      </c>
      <c r="L4348">
        <f t="shared" si="202"/>
        <v>51.980000000000004</v>
      </c>
      <c r="M4348">
        <v>4</v>
      </c>
      <c r="N4348" t="str">
        <f t="shared" si="203"/>
        <v>Regular</v>
      </c>
    </row>
    <row r="4349" spans="1:14" x14ac:dyDescent="0.35">
      <c r="A4349">
        <v>4348</v>
      </c>
      <c r="B4349">
        <v>69</v>
      </c>
      <c r="C4349" t="str">
        <f t="shared" si="201"/>
        <v>Senior</v>
      </c>
      <c r="D4349" t="s">
        <v>11</v>
      </c>
      <c r="E4349" t="s">
        <v>20</v>
      </c>
      <c r="F4349" t="s">
        <v>21</v>
      </c>
      <c r="G4349">
        <v>49.1</v>
      </c>
      <c r="H4349" t="s">
        <v>31</v>
      </c>
      <c r="I4349" t="s">
        <v>37</v>
      </c>
      <c r="J4349">
        <v>3</v>
      </c>
      <c r="K4349">
        <v>22</v>
      </c>
      <c r="L4349">
        <f t="shared" si="202"/>
        <v>38.298000000000002</v>
      </c>
      <c r="M4349">
        <v>6</v>
      </c>
      <c r="N4349" t="str">
        <f t="shared" si="203"/>
        <v>Regular</v>
      </c>
    </row>
    <row r="4350" spans="1:14" x14ac:dyDescent="0.35">
      <c r="A4350">
        <v>4349</v>
      </c>
      <c r="B4350">
        <v>70</v>
      </c>
      <c r="C4350" t="str">
        <f t="shared" si="201"/>
        <v>Senior</v>
      </c>
      <c r="D4350" t="s">
        <v>11</v>
      </c>
      <c r="E4350" t="s">
        <v>12</v>
      </c>
      <c r="F4350" t="s">
        <v>56</v>
      </c>
      <c r="G4350">
        <v>27.04</v>
      </c>
      <c r="H4350" t="s">
        <v>24</v>
      </c>
      <c r="I4350" t="s">
        <v>15</v>
      </c>
      <c r="J4350">
        <v>3.9</v>
      </c>
      <c r="K4350">
        <v>16</v>
      </c>
      <c r="L4350">
        <f t="shared" si="202"/>
        <v>22.7136</v>
      </c>
      <c r="M4350">
        <v>3</v>
      </c>
      <c r="N4350" t="str">
        <f t="shared" si="203"/>
        <v>New</v>
      </c>
    </row>
    <row r="4351" spans="1:14" x14ac:dyDescent="0.35">
      <c r="A4351">
        <v>4350</v>
      </c>
      <c r="B4351">
        <v>69</v>
      </c>
      <c r="C4351" t="str">
        <f t="shared" si="201"/>
        <v>Senior</v>
      </c>
      <c r="D4351" t="s">
        <v>16</v>
      </c>
      <c r="E4351" t="s">
        <v>33</v>
      </c>
      <c r="F4351" t="s">
        <v>40</v>
      </c>
      <c r="G4351">
        <v>116.04</v>
      </c>
      <c r="H4351" t="s">
        <v>24</v>
      </c>
      <c r="I4351" t="s">
        <v>15</v>
      </c>
      <c r="J4351">
        <v>3.3</v>
      </c>
      <c r="K4351">
        <v>17</v>
      </c>
      <c r="L4351">
        <f t="shared" si="202"/>
        <v>96.313199999999995</v>
      </c>
      <c r="M4351">
        <v>6</v>
      </c>
      <c r="N4351" t="str">
        <f t="shared" si="203"/>
        <v>Regular</v>
      </c>
    </row>
    <row r="4352" spans="1:14" x14ac:dyDescent="0.35">
      <c r="A4352">
        <v>4351</v>
      </c>
      <c r="B4352">
        <v>21</v>
      </c>
      <c r="C4352" t="str">
        <f t="shared" si="201"/>
        <v>Youth</v>
      </c>
      <c r="D4352" t="s">
        <v>11</v>
      </c>
      <c r="E4352" t="s">
        <v>20</v>
      </c>
      <c r="F4352" t="s">
        <v>36</v>
      </c>
      <c r="G4352">
        <v>130.69999999999999</v>
      </c>
      <c r="H4352" t="s">
        <v>14</v>
      </c>
      <c r="I4352" t="s">
        <v>15</v>
      </c>
      <c r="J4352">
        <v>3.5</v>
      </c>
      <c r="K4352">
        <v>10</v>
      </c>
      <c r="L4352">
        <f t="shared" si="202"/>
        <v>117.63</v>
      </c>
      <c r="M4352">
        <v>5</v>
      </c>
      <c r="N4352" t="str">
        <f t="shared" si="203"/>
        <v>Regular</v>
      </c>
    </row>
    <row r="4353" spans="1:14" x14ac:dyDescent="0.35">
      <c r="A4353">
        <v>4352</v>
      </c>
      <c r="B4353">
        <v>23</v>
      </c>
      <c r="C4353" t="str">
        <f t="shared" si="201"/>
        <v>Youth</v>
      </c>
      <c r="D4353" t="s">
        <v>16</v>
      </c>
      <c r="E4353" t="s">
        <v>27</v>
      </c>
      <c r="F4353" t="s">
        <v>28</v>
      </c>
      <c r="G4353">
        <v>1990.13</v>
      </c>
      <c r="H4353" t="s">
        <v>19</v>
      </c>
      <c r="I4353" t="s">
        <v>15</v>
      </c>
      <c r="J4353">
        <v>4.0999999999999996</v>
      </c>
      <c r="K4353">
        <v>10</v>
      </c>
      <c r="L4353">
        <f t="shared" si="202"/>
        <v>1791.1170000000002</v>
      </c>
      <c r="M4353">
        <v>0</v>
      </c>
      <c r="N4353" t="str">
        <f t="shared" si="203"/>
        <v>New</v>
      </c>
    </row>
    <row r="4354" spans="1:14" x14ac:dyDescent="0.35">
      <c r="A4354">
        <v>4353</v>
      </c>
      <c r="B4354">
        <v>59</v>
      </c>
      <c r="C4354" t="str">
        <f t="shared" si="201"/>
        <v>Adult</v>
      </c>
      <c r="D4354" t="s">
        <v>11</v>
      </c>
      <c r="E4354" t="s">
        <v>33</v>
      </c>
      <c r="F4354" t="s">
        <v>40</v>
      </c>
      <c r="G4354">
        <v>198.56</v>
      </c>
      <c r="H4354" t="s">
        <v>31</v>
      </c>
      <c r="I4354" t="s">
        <v>15</v>
      </c>
      <c r="J4354">
        <v>3.4</v>
      </c>
      <c r="K4354">
        <v>10</v>
      </c>
      <c r="L4354">
        <f t="shared" si="202"/>
        <v>178.70400000000001</v>
      </c>
      <c r="M4354">
        <v>5</v>
      </c>
      <c r="N4354" t="str">
        <f t="shared" si="203"/>
        <v>Regular</v>
      </c>
    </row>
    <row r="4355" spans="1:14" x14ac:dyDescent="0.35">
      <c r="A4355">
        <v>4354</v>
      </c>
      <c r="B4355">
        <v>68</v>
      </c>
      <c r="C4355" t="str">
        <f t="shared" ref="C4355:C4418" si="204">IF(B4355&lt;=30,"Youth",IF(B4355&lt;=45,"Adult",IF(B4355&lt;=60,"Adult","Senior")))</f>
        <v>Senior</v>
      </c>
      <c r="D4355" t="s">
        <v>11</v>
      </c>
      <c r="E4355" t="s">
        <v>12</v>
      </c>
      <c r="F4355" t="s">
        <v>50</v>
      </c>
      <c r="G4355">
        <v>116.6</v>
      </c>
      <c r="H4355" t="s">
        <v>24</v>
      </c>
      <c r="I4355" t="s">
        <v>15</v>
      </c>
      <c r="J4355">
        <v>3.4</v>
      </c>
      <c r="K4355">
        <v>16</v>
      </c>
      <c r="L4355">
        <f t="shared" ref="L4355:L4418" si="205">G4355*(1-K4355/100)</f>
        <v>97.943999999999988</v>
      </c>
      <c r="M4355">
        <v>3</v>
      </c>
      <c r="N4355" t="str">
        <f t="shared" ref="N4355:N4418" si="206">IF(M4355&lt;=3,"New",IF(M4355&lt;=7,"Regular","Loyal"))</f>
        <v>New</v>
      </c>
    </row>
    <row r="4356" spans="1:14" x14ac:dyDescent="0.35">
      <c r="A4356">
        <v>4355</v>
      </c>
      <c r="B4356">
        <v>41</v>
      </c>
      <c r="C4356" t="str">
        <f t="shared" si="204"/>
        <v>Adult</v>
      </c>
      <c r="D4356" t="s">
        <v>16</v>
      </c>
      <c r="E4356" t="s">
        <v>17</v>
      </c>
      <c r="F4356" t="s">
        <v>18</v>
      </c>
      <c r="G4356">
        <v>143.78</v>
      </c>
      <c r="H4356" t="s">
        <v>24</v>
      </c>
      <c r="I4356" t="s">
        <v>15</v>
      </c>
      <c r="J4356">
        <v>3.6</v>
      </c>
      <c r="K4356">
        <v>24</v>
      </c>
      <c r="L4356">
        <f t="shared" si="205"/>
        <v>109.2728</v>
      </c>
      <c r="M4356">
        <v>12</v>
      </c>
      <c r="N4356" t="str">
        <f t="shared" si="206"/>
        <v>Loyal</v>
      </c>
    </row>
    <row r="4357" spans="1:14" x14ac:dyDescent="0.35">
      <c r="A4357">
        <v>4356</v>
      </c>
      <c r="B4357">
        <v>22</v>
      </c>
      <c r="C4357" t="str">
        <f t="shared" si="204"/>
        <v>Youth</v>
      </c>
      <c r="D4357" t="s">
        <v>16</v>
      </c>
      <c r="E4357" t="s">
        <v>33</v>
      </c>
      <c r="F4357" t="s">
        <v>34</v>
      </c>
      <c r="G4357">
        <v>72.510000000000005</v>
      </c>
      <c r="H4357" t="s">
        <v>19</v>
      </c>
      <c r="I4357" t="s">
        <v>37</v>
      </c>
      <c r="J4357">
        <v>3.7</v>
      </c>
      <c r="K4357">
        <v>11</v>
      </c>
      <c r="L4357">
        <f t="shared" si="205"/>
        <v>64.533900000000003</v>
      </c>
      <c r="M4357">
        <v>3</v>
      </c>
      <c r="N4357" t="str">
        <f t="shared" si="206"/>
        <v>New</v>
      </c>
    </row>
    <row r="4358" spans="1:14" x14ac:dyDescent="0.35">
      <c r="A4358">
        <v>4357</v>
      </c>
      <c r="B4358">
        <v>20</v>
      </c>
      <c r="C4358" t="str">
        <f t="shared" si="204"/>
        <v>Youth</v>
      </c>
      <c r="D4358" t="s">
        <v>16</v>
      </c>
      <c r="E4358" t="s">
        <v>33</v>
      </c>
      <c r="F4358" t="s">
        <v>34</v>
      </c>
      <c r="G4358">
        <v>238.67</v>
      </c>
      <c r="H4358" t="s">
        <v>19</v>
      </c>
      <c r="I4358" t="s">
        <v>15</v>
      </c>
      <c r="J4358">
        <v>4.0999999999999996</v>
      </c>
      <c r="K4358">
        <v>12</v>
      </c>
      <c r="L4358">
        <f t="shared" si="205"/>
        <v>210.02959999999999</v>
      </c>
      <c r="M4358">
        <v>6</v>
      </c>
      <c r="N4358" t="str">
        <f t="shared" si="206"/>
        <v>Regular</v>
      </c>
    </row>
    <row r="4359" spans="1:14" x14ac:dyDescent="0.35">
      <c r="A4359">
        <v>4358</v>
      </c>
      <c r="B4359">
        <v>52</v>
      </c>
      <c r="C4359" t="str">
        <f t="shared" si="204"/>
        <v>Adult</v>
      </c>
      <c r="D4359" t="s">
        <v>16</v>
      </c>
      <c r="E4359" t="s">
        <v>17</v>
      </c>
      <c r="F4359" t="s">
        <v>18</v>
      </c>
      <c r="G4359">
        <v>164.35</v>
      </c>
      <c r="H4359" t="s">
        <v>24</v>
      </c>
      <c r="I4359" t="s">
        <v>15</v>
      </c>
      <c r="J4359">
        <v>4.0999999999999996</v>
      </c>
      <c r="K4359">
        <v>4</v>
      </c>
      <c r="L4359">
        <f t="shared" si="205"/>
        <v>157.77599999999998</v>
      </c>
      <c r="M4359">
        <v>2</v>
      </c>
      <c r="N4359" t="str">
        <f t="shared" si="206"/>
        <v>New</v>
      </c>
    </row>
    <row r="4360" spans="1:14" x14ac:dyDescent="0.35">
      <c r="A4360">
        <v>4359</v>
      </c>
      <c r="B4360">
        <v>69</v>
      </c>
      <c r="C4360" t="str">
        <f t="shared" si="204"/>
        <v>Senior</v>
      </c>
      <c r="D4360" t="s">
        <v>16</v>
      </c>
      <c r="E4360" t="s">
        <v>27</v>
      </c>
      <c r="F4360" t="s">
        <v>53</v>
      </c>
      <c r="G4360">
        <v>1339.11</v>
      </c>
      <c r="H4360" t="s">
        <v>14</v>
      </c>
      <c r="I4360" t="s">
        <v>15</v>
      </c>
      <c r="J4360">
        <v>3.5</v>
      </c>
      <c r="K4360">
        <v>9</v>
      </c>
      <c r="L4360">
        <f t="shared" si="205"/>
        <v>1218.5900999999999</v>
      </c>
      <c r="M4360">
        <v>2</v>
      </c>
      <c r="N4360" t="str">
        <f t="shared" si="206"/>
        <v>New</v>
      </c>
    </row>
    <row r="4361" spans="1:14" x14ac:dyDescent="0.35">
      <c r="A4361">
        <v>4360</v>
      </c>
      <c r="B4361">
        <v>42</v>
      </c>
      <c r="C4361" t="str">
        <f t="shared" si="204"/>
        <v>Adult</v>
      </c>
      <c r="D4361" t="s">
        <v>16</v>
      </c>
      <c r="E4361" t="s">
        <v>20</v>
      </c>
      <c r="F4361" t="s">
        <v>39</v>
      </c>
      <c r="G4361">
        <v>198.2</v>
      </c>
      <c r="H4361" t="s">
        <v>14</v>
      </c>
      <c r="I4361" t="s">
        <v>15</v>
      </c>
      <c r="J4361">
        <v>3.3</v>
      </c>
      <c r="K4361">
        <v>8</v>
      </c>
      <c r="L4361">
        <f t="shared" si="205"/>
        <v>182.34399999999999</v>
      </c>
      <c r="M4361">
        <v>4</v>
      </c>
      <c r="N4361" t="str">
        <f t="shared" si="206"/>
        <v>Regular</v>
      </c>
    </row>
    <row r="4362" spans="1:14" x14ac:dyDescent="0.35">
      <c r="A4362">
        <v>4361</v>
      </c>
      <c r="B4362">
        <v>37</v>
      </c>
      <c r="C4362" t="str">
        <f t="shared" si="204"/>
        <v>Adult</v>
      </c>
      <c r="D4362" t="s">
        <v>16</v>
      </c>
      <c r="E4362" t="s">
        <v>25</v>
      </c>
      <c r="F4362" t="s">
        <v>54</v>
      </c>
      <c r="G4362">
        <v>62.87</v>
      </c>
      <c r="H4362" t="s">
        <v>31</v>
      </c>
      <c r="I4362" t="s">
        <v>37</v>
      </c>
      <c r="J4362">
        <v>3.5</v>
      </c>
      <c r="K4362">
        <v>14</v>
      </c>
      <c r="L4362">
        <f t="shared" si="205"/>
        <v>54.068199999999997</v>
      </c>
      <c r="M4362">
        <v>7</v>
      </c>
      <c r="N4362" t="str">
        <f t="shared" si="206"/>
        <v>Regular</v>
      </c>
    </row>
    <row r="4363" spans="1:14" x14ac:dyDescent="0.35">
      <c r="A4363">
        <v>4362</v>
      </c>
      <c r="B4363">
        <v>29</v>
      </c>
      <c r="C4363" t="str">
        <f t="shared" si="204"/>
        <v>Youth</v>
      </c>
      <c r="D4363" t="s">
        <v>11</v>
      </c>
      <c r="E4363" t="s">
        <v>41</v>
      </c>
      <c r="F4363" t="s">
        <v>46</v>
      </c>
      <c r="G4363">
        <v>150.07</v>
      </c>
      <c r="H4363" t="s">
        <v>19</v>
      </c>
      <c r="I4363" t="s">
        <v>15</v>
      </c>
      <c r="J4363">
        <v>3.9</v>
      </c>
      <c r="K4363">
        <v>19</v>
      </c>
      <c r="L4363">
        <f t="shared" si="205"/>
        <v>121.55670000000001</v>
      </c>
      <c r="M4363">
        <v>7</v>
      </c>
      <c r="N4363" t="str">
        <f t="shared" si="206"/>
        <v>Regular</v>
      </c>
    </row>
    <row r="4364" spans="1:14" x14ac:dyDescent="0.35">
      <c r="A4364">
        <v>4363</v>
      </c>
      <c r="B4364">
        <v>51</v>
      </c>
      <c r="C4364" t="str">
        <f t="shared" si="204"/>
        <v>Adult</v>
      </c>
      <c r="D4364" t="s">
        <v>16</v>
      </c>
      <c r="E4364" t="s">
        <v>25</v>
      </c>
      <c r="F4364" t="s">
        <v>54</v>
      </c>
      <c r="G4364">
        <v>71.540000000000006</v>
      </c>
      <c r="H4364" t="s">
        <v>24</v>
      </c>
      <c r="I4364" t="s">
        <v>37</v>
      </c>
      <c r="J4364">
        <v>3.5</v>
      </c>
      <c r="K4364">
        <v>16</v>
      </c>
      <c r="L4364">
        <f t="shared" si="205"/>
        <v>60.093600000000002</v>
      </c>
      <c r="M4364">
        <v>3</v>
      </c>
      <c r="N4364" t="str">
        <f t="shared" si="206"/>
        <v>New</v>
      </c>
    </row>
    <row r="4365" spans="1:14" x14ac:dyDescent="0.35">
      <c r="A4365">
        <v>4364</v>
      </c>
      <c r="B4365">
        <v>26</v>
      </c>
      <c r="C4365" t="str">
        <f t="shared" si="204"/>
        <v>Youth</v>
      </c>
      <c r="D4365" t="s">
        <v>11</v>
      </c>
      <c r="E4365" t="s">
        <v>41</v>
      </c>
      <c r="F4365" t="s">
        <v>44</v>
      </c>
      <c r="G4365">
        <v>43.22</v>
      </c>
      <c r="H4365" t="s">
        <v>19</v>
      </c>
      <c r="I4365" t="s">
        <v>37</v>
      </c>
      <c r="J4365">
        <v>2.9</v>
      </c>
      <c r="K4365">
        <v>2</v>
      </c>
      <c r="L4365">
        <f t="shared" si="205"/>
        <v>42.355599999999995</v>
      </c>
      <c r="M4365">
        <v>1</v>
      </c>
      <c r="N4365" t="str">
        <f t="shared" si="206"/>
        <v>New</v>
      </c>
    </row>
    <row r="4366" spans="1:14" x14ac:dyDescent="0.35">
      <c r="A4366">
        <v>4365</v>
      </c>
      <c r="B4366">
        <v>49</v>
      </c>
      <c r="C4366" t="str">
        <f t="shared" si="204"/>
        <v>Adult</v>
      </c>
      <c r="D4366" t="s">
        <v>16</v>
      </c>
      <c r="E4366" t="s">
        <v>33</v>
      </c>
      <c r="F4366" t="s">
        <v>38</v>
      </c>
      <c r="G4366">
        <v>173.46</v>
      </c>
      <c r="H4366" t="s">
        <v>14</v>
      </c>
      <c r="I4366" t="s">
        <v>15</v>
      </c>
      <c r="J4366">
        <v>3.8</v>
      </c>
      <c r="K4366">
        <v>22</v>
      </c>
      <c r="L4366">
        <f t="shared" si="205"/>
        <v>135.2988</v>
      </c>
      <c r="M4366">
        <v>6</v>
      </c>
      <c r="N4366" t="str">
        <f t="shared" si="206"/>
        <v>Regular</v>
      </c>
    </row>
    <row r="4367" spans="1:14" x14ac:dyDescent="0.35">
      <c r="A4367">
        <v>4366</v>
      </c>
      <c r="B4367">
        <v>47</v>
      </c>
      <c r="C4367" t="str">
        <f t="shared" si="204"/>
        <v>Adult</v>
      </c>
      <c r="D4367" t="s">
        <v>16</v>
      </c>
      <c r="E4367" t="s">
        <v>22</v>
      </c>
      <c r="F4367" t="s">
        <v>43</v>
      </c>
      <c r="G4367">
        <v>286.8</v>
      </c>
      <c r="H4367" t="s">
        <v>19</v>
      </c>
      <c r="I4367" t="s">
        <v>15</v>
      </c>
      <c r="J4367">
        <v>5</v>
      </c>
      <c r="K4367">
        <v>19</v>
      </c>
      <c r="L4367">
        <f t="shared" si="205"/>
        <v>232.30800000000002</v>
      </c>
      <c r="M4367">
        <v>7</v>
      </c>
      <c r="N4367" t="str">
        <f t="shared" si="206"/>
        <v>Regular</v>
      </c>
    </row>
    <row r="4368" spans="1:14" x14ac:dyDescent="0.35">
      <c r="A4368">
        <v>4367</v>
      </c>
      <c r="B4368">
        <v>30</v>
      </c>
      <c r="C4368" t="str">
        <f t="shared" si="204"/>
        <v>Youth</v>
      </c>
      <c r="D4368" t="s">
        <v>16</v>
      </c>
      <c r="E4368" t="s">
        <v>17</v>
      </c>
      <c r="F4368" t="s">
        <v>48</v>
      </c>
      <c r="G4368">
        <v>83.11</v>
      </c>
      <c r="H4368" t="s">
        <v>14</v>
      </c>
      <c r="I4368" t="s">
        <v>15</v>
      </c>
      <c r="J4368">
        <v>3.6</v>
      </c>
      <c r="K4368">
        <v>14</v>
      </c>
      <c r="L4368">
        <f t="shared" si="205"/>
        <v>71.474599999999995</v>
      </c>
      <c r="M4368">
        <v>2</v>
      </c>
      <c r="N4368" t="str">
        <f t="shared" si="206"/>
        <v>New</v>
      </c>
    </row>
    <row r="4369" spans="1:14" x14ac:dyDescent="0.35">
      <c r="A4369">
        <v>4368</v>
      </c>
      <c r="B4369">
        <v>22</v>
      </c>
      <c r="C4369" t="str">
        <f t="shared" si="204"/>
        <v>Youth</v>
      </c>
      <c r="D4369" t="s">
        <v>11</v>
      </c>
      <c r="E4369" t="s">
        <v>29</v>
      </c>
      <c r="F4369" t="s">
        <v>30</v>
      </c>
      <c r="G4369">
        <v>27.57</v>
      </c>
      <c r="H4369" t="s">
        <v>19</v>
      </c>
      <c r="I4369" t="s">
        <v>37</v>
      </c>
      <c r="J4369">
        <v>4.0999999999999996</v>
      </c>
      <c r="K4369">
        <v>14</v>
      </c>
      <c r="L4369">
        <f t="shared" si="205"/>
        <v>23.7102</v>
      </c>
      <c r="M4369">
        <v>7</v>
      </c>
      <c r="N4369" t="str">
        <f t="shared" si="206"/>
        <v>Regular</v>
      </c>
    </row>
    <row r="4370" spans="1:14" x14ac:dyDescent="0.35">
      <c r="A4370">
        <v>4369</v>
      </c>
      <c r="B4370">
        <v>46</v>
      </c>
      <c r="C4370" t="str">
        <f t="shared" si="204"/>
        <v>Adult</v>
      </c>
      <c r="D4370" t="s">
        <v>11</v>
      </c>
      <c r="E4370" t="s">
        <v>33</v>
      </c>
      <c r="F4370" t="s">
        <v>40</v>
      </c>
      <c r="G4370">
        <v>208.33</v>
      </c>
      <c r="H4370" t="s">
        <v>24</v>
      </c>
      <c r="I4370" t="s">
        <v>15</v>
      </c>
      <c r="J4370">
        <v>3.9</v>
      </c>
      <c r="K4370">
        <v>8</v>
      </c>
      <c r="L4370">
        <f t="shared" si="205"/>
        <v>191.66360000000003</v>
      </c>
      <c r="M4370">
        <v>4</v>
      </c>
      <c r="N4370" t="str">
        <f t="shared" si="206"/>
        <v>Regular</v>
      </c>
    </row>
    <row r="4371" spans="1:14" x14ac:dyDescent="0.35">
      <c r="A4371">
        <v>4370</v>
      </c>
      <c r="B4371">
        <v>57</v>
      </c>
      <c r="C4371" t="str">
        <f t="shared" si="204"/>
        <v>Adult</v>
      </c>
      <c r="D4371" t="s">
        <v>11</v>
      </c>
      <c r="E4371" t="s">
        <v>41</v>
      </c>
      <c r="F4371" t="s">
        <v>46</v>
      </c>
      <c r="G4371">
        <v>43.06</v>
      </c>
      <c r="H4371" t="s">
        <v>24</v>
      </c>
      <c r="I4371" t="s">
        <v>15</v>
      </c>
      <c r="J4371">
        <v>5</v>
      </c>
      <c r="K4371">
        <v>20</v>
      </c>
      <c r="L4371">
        <f t="shared" si="205"/>
        <v>34.448</v>
      </c>
      <c r="M4371">
        <v>5</v>
      </c>
      <c r="N4371" t="str">
        <f t="shared" si="206"/>
        <v>Regular</v>
      </c>
    </row>
    <row r="4372" spans="1:14" x14ac:dyDescent="0.35">
      <c r="A4372">
        <v>4371</v>
      </c>
      <c r="B4372">
        <v>63</v>
      </c>
      <c r="C4372" t="str">
        <f t="shared" si="204"/>
        <v>Senior</v>
      </c>
      <c r="D4372" t="s">
        <v>11</v>
      </c>
      <c r="E4372" t="s">
        <v>25</v>
      </c>
      <c r="F4372" t="s">
        <v>57</v>
      </c>
      <c r="G4372">
        <v>42.76</v>
      </c>
      <c r="H4372" t="s">
        <v>14</v>
      </c>
      <c r="I4372" t="s">
        <v>37</v>
      </c>
      <c r="J4372">
        <v>4.3</v>
      </c>
      <c r="K4372">
        <v>24</v>
      </c>
      <c r="L4372">
        <f t="shared" si="205"/>
        <v>32.497599999999998</v>
      </c>
      <c r="M4372">
        <v>7</v>
      </c>
      <c r="N4372" t="str">
        <f t="shared" si="206"/>
        <v>Regular</v>
      </c>
    </row>
    <row r="4373" spans="1:14" x14ac:dyDescent="0.35">
      <c r="A4373">
        <v>4372</v>
      </c>
      <c r="B4373">
        <v>54</v>
      </c>
      <c r="C4373" t="str">
        <f t="shared" si="204"/>
        <v>Adult</v>
      </c>
      <c r="D4373" t="s">
        <v>16</v>
      </c>
      <c r="E4373" t="s">
        <v>17</v>
      </c>
      <c r="F4373" t="s">
        <v>48</v>
      </c>
      <c r="G4373">
        <v>80.56</v>
      </c>
      <c r="H4373" t="s">
        <v>31</v>
      </c>
      <c r="I4373" t="s">
        <v>15</v>
      </c>
      <c r="J4373">
        <v>4</v>
      </c>
      <c r="K4373">
        <v>26</v>
      </c>
      <c r="L4373">
        <f t="shared" si="205"/>
        <v>59.614400000000003</v>
      </c>
      <c r="M4373">
        <v>8</v>
      </c>
      <c r="N4373" t="str">
        <f t="shared" si="206"/>
        <v>Loyal</v>
      </c>
    </row>
    <row r="4374" spans="1:14" x14ac:dyDescent="0.35">
      <c r="A4374">
        <v>4373</v>
      </c>
      <c r="B4374">
        <v>32</v>
      </c>
      <c r="C4374" t="str">
        <f t="shared" si="204"/>
        <v>Adult</v>
      </c>
      <c r="D4374" t="s">
        <v>11</v>
      </c>
      <c r="E4374" t="s">
        <v>41</v>
      </c>
      <c r="F4374" t="s">
        <v>44</v>
      </c>
      <c r="G4374">
        <v>59.17</v>
      </c>
      <c r="H4374" t="s">
        <v>24</v>
      </c>
      <c r="I4374" t="s">
        <v>15</v>
      </c>
      <c r="J4374">
        <v>3</v>
      </c>
      <c r="K4374">
        <v>12</v>
      </c>
      <c r="L4374">
        <f t="shared" si="205"/>
        <v>52.069600000000001</v>
      </c>
      <c r="M4374">
        <v>6</v>
      </c>
      <c r="N4374" t="str">
        <f t="shared" si="206"/>
        <v>Regular</v>
      </c>
    </row>
    <row r="4375" spans="1:14" x14ac:dyDescent="0.35">
      <c r="A4375">
        <v>4374</v>
      </c>
      <c r="B4375">
        <v>69</v>
      </c>
      <c r="C4375" t="str">
        <f t="shared" si="204"/>
        <v>Senior</v>
      </c>
      <c r="D4375" t="s">
        <v>16</v>
      </c>
      <c r="E4375" t="s">
        <v>25</v>
      </c>
      <c r="F4375" t="s">
        <v>47</v>
      </c>
      <c r="G4375">
        <v>58.67</v>
      </c>
      <c r="H4375" t="s">
        <v>24</v>
      </c>
      <c r="I4375" t="s">
        <v>37</v>
      </c>
      <c r="J4375">
        <v>4.7</v>
      </c>
      <c r="K4375">
        <v>28</v>
      </c>
      <c r="L4375">
        <f t="shared" si="205"/>
        <v>42.242399999999996</v>
      </c>
      <c r="M4375">
        <v>9</v>
      </c>
      <c r="N4375" t="str">
        <f t="shared" si="206"/>
        <v>Loyal</v>
      </c>
    </row>
    <row r="4376" spans="1:14" x14ac:dyDescent="0.35">
      <c r="A4376">
        <v>4375</v>
      </c>
      <c r="B4376">
        <v>65</v>
      </c>
      <c r="C4376" t="str">
        <f t="shared" si="204"/>
        <v>Senior</v>
      </c>
      <c r="D4376" t="s">
        <v>16</v>
      </c>
      <c r="E4376" t="s">
        <v>27</v>
      </c>
      <c r="F4376" t="s">
        <v>49</v>
      </c>
      <c r="G4376">
        <v>2600.4699999999998</v>
      </c>
      <c r="H4376" t="s">
        <v>14</v>
      </c>
      <c r="I4376" t="s">
        <v>15</v>
      </c>
      <c r="J4376">
        <v>2.1</v>
      </c>
      <c r="K4376">
        <v>13</v>
      </c>
      <c r="L4376">
        <f t="shared" si="205"/>
        <v>2262.4088999999999</v>
      </c>
      <c r="M4376">
        <v>4</v>
      </c>
      <c r="N4376" t="str">
        <f t="shared" si="206"/>
        <v>Regular</v>
      </c>
    </row>
    <row r="4377" spans="1:14" x14ac:dyDescent="0.35">
      <c r="A4377">
        <v>4376</v>
      </c>
      <c r="B4377">
        <v>57</v>
      </c>
      <c r="C4377" t="str">
        <f t="shared" si="204"/>
        <v>Adult</v>
      </c>
      <c r="D4377" t="s">
        <v>11</v>
      </c>
      <c r="E4377" t="s">
        <v>41</v>
      </c>
      <c r="F4377" t="s">
        <v>44</v>
      </c>
      <c r="G4377">
        <v>54.73</v>
      </c>
      <c r="H4377" t="s">
        <v>14</v>
      </c>
      <c r="I4377" t="s">
        <v>37</v>
      </c>
      <c r="J4377">
        <v>3.7</v>
      </c>
      <c r="K4377">
        <v>22</v>
      </c>
      <c r="L4377">
        <f t="shared" si="205"/>
        <v>42.689399999999999</v>
      </c>
      <c r="M4377">
        <v>11</v>
      </c>
      <c r="N4377" t="str">
        <f t="shared" si="206"/>
        <v>Loyal</v>
      </c>
    </row>
    <row r="4378" spans="1:14" x14ac:dyDescent="0.35">
      <c r="A4378">
        <v>4377</v>
      </c>
      <c r="B4378">
        <v>27</v>
      </c>
      <c r="C4378" t="str">
        <f t="shared" si="204"/>
        <v>Youth</v>
      </c>
      <c r="D4378" t="s">
        <v>16</v>
      </c>
      <c r="E4378" t="s">
        <v>33</v>
      </c>
      <c r="F4378" t="s">
        <v>38</v>
      </c>
      <c r="G4378">
        <v>66.290000000000006</v>
      </c>
      <c r="H4378" t="s">
        <v>14</v>
      </c>
      <c r="I4378" t="s">
        <v>37</v>
      </c>
      <c r="J4378">
        <v>3</v>
      </c>
      <c r="K4378">
        <v>11</v>
      </c>
      <c r="L4378">
        <f t="shared" si="205"/>
        <v>58.998100000000008</v>
      </c>
      <c r="M4378">
        <v>3</v>
      </c>
      <c r="N4378" t="str">
        <f t="shared" si="206"/>
        <v>New</v>
      </c>
    </row>
    <row r="4379" spans="1:14" x14ac:dyDescent="0.35">
      <c r="A4379">
        <v>4378</v>
      </c>
      <c r="B4379">
        <v>40</v>
      </c>
      <c r="C4379" t="str">
        <f t="shared" si="204"/>
        <v>Adult</v>
      </c>
      <c r="D4379" t="s">
        <v>11</v>
      </c>
      <c r="E4379" t="s">
        <v>41</v>
      </c>
      <c r="F4379" t="s">
        <v>42</v>
      </c>
      <c r="G4379">
        <v>65.430000000000007</v>
      </c>
      <c r="H4379" t="s">
        <v>19</v>
      </c>
      <c r="I4379" t="s">
        <v>15</v>
      </c>
      <c r="J4379">
        <v>3.6</v>
      </c>
      <c r="K4379">
        <v>14</v>
      </c>
      <c r="L4379">
        <f t="shared" si="205"/>
        <v>56.269800000000004</v>
      </c>
      <c r="M4379">
        <v>2</v>
      </c>
      <c r="N4379" t="str">
        <f t="shared" si="206"/>
        <v>New</v>
      </c>
    </row>
    <row r="4380" spans="1:14" x14ac:dyDescent="0.35">
      <c r="A4380">
        <v>4379</v>
      </c>
      <c r="B4380">
        <v>62</v>
      </c>
      <c r="C4380" t="str">
        <f t="shared" si="204"/>
        <v>Senior</v>
      </c>
      <c r="D4380" t="s">
        <v>16</v>
      </c>
      <c r="E4380" t="s">
        <v>20</v>
      </c>
      <c r="F4380" t="s">
        <v>36</v>
      </c>
      <c r="G4380">
        <v>50.26</v>
      </c>
      <c r="H4380" t="s">
        <v>24</v>
      </c>
      <c r="I4380" t="s">
        <v>37</v>
      </c>
      <c r="J4380">
        <v>2.8</v>
      </c>
      <c r="K4380">
        <v>19</v>
      </c>
      <c r="L4380">
        <f t="shared" si="205"/>
        <v>40.710599999999999</v>
      </c>
      <c r="M4380">
        <v>7</v>
      </c>
      <c r="N4380" t="str">
        <f t="shared" si="206"/>
        <v>Regular</v>
      </c>
    </row>
    <row r="4381" spans="1:14" x14ac:dyDescent="0.35">
      <c r="A4381">
        <v>4380</v>
      </c>
      <c r="B4381">
        <v>27</v>
      </c>
      <c r="C4381" t="str">
        <f t="shared" si="204"/>
        <v>Youth</v>
      </c>
      <c r="D4381" t="s">
        <v>11</v>
      </c>
      <c r="E4381" t="s">
        <v>29</v>
      </c>
      <c r="F4381" t="s">
        <v>51</v>
      </c>
      <c r="G4381">
        <v>125.15</v>
      </c>
      <c r="H4381" t="s">
        <v>31</v>
      </c>
      <c r="I4381" t="s">
        <v>15</v>
      </c>
      <c r="J4381">
        <v>3.9</v>
      </c>
      <c r="K4381">
        <v>18</v>
      </c>
      <c r="L4381">
        <f t="shared" si="205"/>
        <v>102.62300000000002</v>
      </c>
      <c r="M4381">
        <v>4</v>
      </c>
      <c r="N4381" t="str">
        <f t="shared" si="206"/>
        <v>Regular</v>
      </c>
    </row>
    <row r="4382" spans="1:14" x14ac:dyDescent="0.35">
      <c r="A4382">
        <v>4381</v>
      </c>
      <c r="B4382">
        <v>62</v>
      </c>
      <c r="C4382" t="str">
        <f t="shared" si="204"/>
        <v>Senior</v>
      </c>
      <c r="D4382" t="s">
        <v>16</v>
      </c>
      <c r="E4382" t="s">
        <v>33</v>
      </c>
      <c r="F4382" t="s">
        <v>40</v>
      </c>
      <c r="G4382">
        <v>166.81</v>
      </c>
      <c r="H4382" t="s">
        <v>24</v>
      </c>
      <c r="I4382" t="s">
        <v>15</v>
      </c>
      <c r="J4382">
        <v>4.5999999999999996</v>
      </c>
      <c r="K4382">
        <v>28</v>
      </c>
      <c r="L4382">
        <f t="shared" si="205"/>
        <v>120.1032</v>
      </c>
      <c r="M4382">
        <v>9</v>
      </c>
      <c r="N4382" t="str">
        <f t="shared" si="206"/>
        <v>Loyal</v>
      </c>
    </row>
    <row r="4383" spans="1:14" x14ac:dyDescent="0.35">
      <c r="A4383">
        <v>4382</v>
      </c>
      <c r="B4383">
        <v>46</v>
      </c>
      <c r="C4383" t="str">
        <f t="shared" si="204"/>
        <v>Adult</v>
      </c>
      <c r="D4383" t="s">
        <v>11</v>
      </c>
      <c r="E4383" t="s">
        <v>41</v>
      </c>
      <c r="F4383" t="s">
        <v>44</v>
      </c>
      <c r="G4383">
        <v>141.44999999999999</v>
      </c>
      <c r="H4383" t="s">
        <v>31</v>
      </c>
      <c r="I4383" t="s">
        <v>15</v>
      </c>
      <c r="J4383">
        <v>5</v>
      </c>
      <c r="K4383">
        <v>14</v>
      </c>
      <c r="L4383">
        <f t="shared" si="205"/>
        <v>121.64699999999999</v>
      </c>
      <c r="M4383">
        <v>7</v>
      </c>
      <c r="N4383" t="str">
        <f t="shared" si="206"/>
        <v>Regular</v>
      </c>
    </row>
    <row r="4384" spans="1:14" x14ac:dyDescent="0.35">
      <c r="A4384">
        <v>4383</v>
      </c>
      <c r="B4384">
        <v>60</v>
      </c>
      <c r="C4384" t="str">
        <f t="shared" si="204"/>
        <v>Adult</v>
      </c>
      <c r="D4384" t="s">
        <v>16</v>
      </c>
      <c r="E4384" t="s">
        <v>33</v>
      </c>
      <c r="F4384" t="s">
        <v>40</v>
      </c>
      <c r="G4384">
        <v>167.45</v>
      </c>
      <c r="H4384" t="s">
        <v>19</v>
      </c>
      <c r="I4384" t="s">
        <v>15</v>
      </c>
      <c r="J4384">
        <v>4.4000000000000004</v>
      </c>
      <c r="K4384">
        <v>5</v>
      </c>
      <c r="L4384">
        <f t="shared" si="205"/>
        <v>159.07749999999999</v>
      </c>
      <c r="M4384">
        <v>0</v>
      </c>
      <c r="N4384" t="str">
        <f t="shared" si="206"/>
        <v>New</v>
      </c>
    </row>
    <row r="4385" spans="1:14" x14ac:dyDescent="0.35">
      <c r="A4385">
        <v>4384</v>
      </c>
      <c r="B4385">
        <v>62</v>
      </c>
      <c r="C4385" t="str">
        <f t="shared" si="204"/>
        <v>Senior</v>
      </c>
      <c r="D4385" t="s">
        <v>16</v>
      </c>
      <c r="E4385" t="s">
        <v>33</v>
      </c>
      <c r="F4385" t="s">
        <v>34</v>
      </c>
      <c r="G4385">
        <v>151.56</v>
      </c>
      <c r="H4385" t="s">
        <v>19</v>
      </c>
      <c r="I4385" t="s">
        <v>15</v>
      </c>
      <c r="J4385">
        <v>4.0999999999999996</v>
      </c>
      <c r="K4385">
        <v>13</v>
      </c>
      <c r="L4385">
        <f t="shared" si="205"/>
        <v>131.85720000000001</v>
      </c>
      <c r="M4385">
        <v>4</v>
      </c>
      <c r="N4385" t="str">
        <f t="shared" si="206"/>
        <v>Regular</v>
      </c>
    </row>
    <row r="4386" spans="1:14" x14ac:dyDescent="0.35">
      <c r="A4386">
        <v>4385</v>
      </c>
      <c r="B4386">
        <v>49</v>
      </c>
      <c r="C4386" t="str">
        <f t="shared" si="204"/>
        <v>Adult</v>
      </c>
      <c r="D4386" t="s">
        <v>16</v>
      </c>
      <c r="E4386" t="s">
        <v>17</v>
      </c>
      <c r="F4386" t="s">
        <v>35</v>
      </c>
      <c r="G4386">
        <v>49.58</v>
      </c>
      <c r="H4386" t="s">
        <v>14</v>
      </c>
      <c r="I4386" t="s">
        <v>37</v>
      </c>
      <c r="J4386">
        <v>4.5999999999999996</v>
      </c>
      <c r="K4386">
        <v>21</v>
      </c>
      <c r="L4386">
        <f t="shared" si="205"/>
        <v>39.168199999999999</v>
      </c>
      <c r="M4386">
        <v>8</v>
      </c>
      <c r="N4386" t="str">
        <f t="shared" si="206"/>
        <v>Loyal</v>
      </c>
    </row>
    <row r="4387" spans="1:14" x14ac:dyDescent="0.35">
      <c r="A4387">
        <v>4386</v>
      </c>
      <c r="B4387">
        <v>21</v>
      </c>
      <c r="C4387" t="str">
        <f t="shared" si="204"/>
        <v>Youth</v>
      </c>
      <c r="D4387" t="s">
        <v>11</v>
      </c>
      <c r="E4387" t="s">
        <v>33</v>
      </c>
      <c r="F4387" t="s">
        <v>34</v>
      </c>
      <c r="G4387">
        <v>170.32</v>
      </c>
      <c r="H4387" t="s">
        <v>19</v>
      </c>
      <c r="I4387" t="s">
        <v>15</v>
      </c>
      <c r="J4387">
        <v>4.8</v>
      </c>
      <c r="K4387">
        <v>21</v>
      </c>
      <c r="L4387">
        <f t="shared" si="205"/>
        <v>134.55279999999999</v>
      </c>
      <c r="M4387">
        <v>8</v>
      </c>
      <c r="N4387" t="str">
        <f t="shared" si="206"/>
        <v>Loyal</v>
      </c>
    </row>
    <row r="4388" spans="1:14" x14ac:dyDescent="0.35">
      <c r="A4388">
        <v>4387</v>
      </c>
      <c r="B4388">
        <v>25</v>
      </c>
      <c r="C4388" t="str">
        <f t="shared" si="204"/>
        <v>Youth</v>
      </c>
      <c r="D4388" t="s">
        <v>11</v>
      </c>
      <c r="E4388" t="s">
        <v>12</v>
      </c>
      <c r="F4388" t="s">
        <v>50</v>
      </c>
      <c r="G4388">
        <v>30.47</v>
      </c>
      <c r="H4388" t="s">
        <v>24</v>
      </c>
      <c r="I4388" t="s">
        <v>15</v>
      </c>
      <c r="J4388">
        <v>4.5</v>
      </c>
      <c r="K4388">
        <v>20</v>
      </c>
      <c r="L4388">
        <f t="shared" si="205"/>
        <v>24.376000000000001</v>
      </c>
      <c r="M4388">
        <v>5</v>
      </c>
      <c r="N4388" t="str">
        <f t="shared" si="206"/>
        <v>Regular</v>
      </c>
    </row>
    <row r="4389" spans="1:14" x14ac:dyDescent="0.35">
      <c r="A4389">
        <v>4388</v>
      </c>
      <c r="B4389">
        <v>50</v>
      </c>
      <c r="C4389" t="str">
        <f t="shared" si="204"/>
        <v>Adult</v>
      </c>
      <c r="D4389" t="s">
        <v>16</v>
      </c>
      <c r="E4389" t="s">
        <v>25</v>
      </c>
      <c r="F4389" t="s">
        <v>47</v>
      </c>
      <c r="G4389">
        <v>10.5</v>
      </c>
      <c r="H4389" t="s">
        <v>24</v>
      </c>
      <c r="I4389" t="s">
        <v>37</v>
      </c>
      <c r="J4389">
        <v>4.5</v>
      </c>
      <c r="K4389">
        <v>26</v>
      </c>
      <c r="L4389">
        <f t="shared" si="205"/>
        <v>7.77</v>
      </c>
      <c r="M4389">
        <v>8</v>
      </c>
      <c r="N4389" t="str">
        <f t="shared" si="206"/>
        <v>Loyal</v>
      </c>
    </row>
    <row r="4390" spans="1:14" x14ac:dyDescent="0.35">
      <c r="A4390">
        <v>4389</v>
      </c>
      <c r="B4390">
        <v>63</v>
      </c>
      <c r="C4390" t="str">
        <f t="shared" si="204"/>
        <v>Senior</v>
      </c>
      <c r="D4390" t="s">
        <v>16</v>
      </c>
      <c r="E4390" t="s">
        <v>27</v>
      </c>
      <c r="F4390" t="s">
        <v>53</v>
      </c>
      <c r="G4390">
        <v>2558.44</v>
      </c>
      <c r="H4390" t="s">
        <v>19</v>
      </c>
      <c r="I4390" t="s">
        <v>15</v>
      </c>
      <c r="J4390">
        <v>4.2</v>
      </c>
      <c r="K4390">
        <v>6</v>
      </c>
      <c r="L4390">
        <f t="shared" si="205"/>
        <v>2404.9335999999998</v>
      </c>
      <c r="M4390">
        <v>3</v>
      </c>
      <c r="N4390" t="str">
        <f t="shared" si="206"/>
        <v>New</v>
      </c>
    </row>
    <row r="4391" spans="1:14" x14ac:dyDescent="0.35">
      <c r="A4391">
        <v>4390</v>
      </c>
      <c r="B4391">
        <v>58</v>
      </c>
      <c r="C4391" t="str">
        <f t="shared" si="204"/>
        <v>Adult</v>
      </c>
      <c r="D4391" t="s">
        <v>11</v>
      </c>
      <c r="E4391" t="s">
        <v>41</v>
      </c>
      <c r="F4391" t="s">
        <v>42</v>
      </c>
      <c r="G4391">
        <v>32.71</v>
      </c>
      <c r="H4391" t="s">
        <v>19</v>
      </c>
      <c r="I4391" t="s">
        <v>37</v>
      </c>
      <c r="J4391">
        <v>3.4</v>
      </c>
      <c r="K4391">
        <v>17</v>
      </c>
      <c r="L4391">
        <f t="shared" si="205"/>
        <v>27.1493</v>
      </c>
      <c r="M4391">
        <v>6</v>
      </c>
      <c r="N4391" t="str">
        <f t="shared" si="206"/>
        <v>Regular</v>
      </c>
    </row>
    <row r="4392" spans="1:14" x14ac:dyDescent="0.35">
      <c r="A4392">
        <v>4391</v>
      </c>
      <c r="B4392">
        <v>25</v>
      </c>
      <c r="C4392" t="str">
        <f t="shared" si="204"/>
        <v>Youth</v>
      </c>
      <c r="D4392" t="s">
        <v>16</v>
      </c>
      <c r="E4392" t="s">
        <v>20</v>
      </c>
      <c r="F4392" t="s">
        <v>21</v>
      </c>
      <c r="G4392">
        <v>203.65</v>
      </c>
      <c r="H4392" t="s">
        <v>31</v>
      </c>
      <c r="I4392" t="s">
        <v>15</v>
      </c>
      <c r="J4392">
        <v>4.7</v>
      </c>
      <c r="K4392">
        <v>26</v>
      </c>
      <c r="L4392">
        <f t="shared" si="205"/>
        <v>150.70099999999999</v>
      </c>
      <c r="M4392">
        <v>13</v>
      </c>
      <c r="N4392" t="str">
        <f t="shared" si="206"/>
        <v>Loyal</v>
      </c>
    </row>
    <row r="4393" spans="1:14" x14ac:dyDescent="0.35">
      <c r="A4393">
        <v>4392</v>
      </c>
      <c r="B4393">
        <v>66</v>
      </c>
      <c r="C4393" t="str">
        <f t="shared" si="204"/>
        <v>Senior</v>
      </c>
      <c r="D4393" t="s">
        <v>11</v>
      </c>
      <c r="E4393" t="s">
        <v>22</v>
      </c>
      <c r="F4393" t="s">
        <v>52</v>
      </c>
      <c r="G4393">
        <v>186.33</v>
      </c>
      <c r="H4393" t="s">
        <v>31</v>
      </c>
      <c r="I4393" t="s">
        <v>15</v>
      </c>
      <c r="J4393">
        <v>3.9</v>
      </c>
      <c r="K4393">
        <v>12</v>
      </c>
      <c r="L4393">
        <f t="shared" si="205"/>
        <v>163.97040000000001</v>
      </c>
      <c r="M4393">
        <v>6</v>
      </c>
      <c r="N4393" t="str">
        <f t="shared" si="206"/>
        <v>Regular</v>
      </c>
    </row>
    <row r="4394" spans="1:14" x14ac:dyDescent="0.35">
      <c r="A4394">
        <v>4393</v>
      </c>
      <c r="B4394">
        <v>63</v>
      </c>
      <c r="C4394" t="str">
        <f t="shared" si="204"/>
        <v>Senior</v>
      </c>
      <c r="D4394" t="s">
        <v>11</v>
      </c>
      <c r="E4394" t="s">
        <v>20</v>
      </c>
      <c r="F4394" t="s">
        <v>36</v>
      </c>
      <c r="G4394">
        <v>154.41</v>
      </c>
      <c r="H4394" t="s">
        <v>14</v>
      </c>
      <c r="I4394" t="s">
        <v>15</v>
      </c>
      <c r="J4394">
        <v>3.5</v>
      </c>
      <c r="K4394">
        <v>16</v>
      </c>
      <c r="L4394">
        <f t="shared" si="205"/>
        <v>129.70439999999999</v>
      </c>
      <c r="M4394">
        <v>3</v>
      </c>
      <c r="N4394" t="str">
        <f t="shared" si="206"/>
        <v>New</v>
      </c>
    </row>
    <row r="4395" spans="1:14" x14ac:dyDescent="0.35">
      <c r="A4395">
        <v>4394</v>
      </c>
      <c r="B4395">
        <v>70</v>
      </c>
      <c r="C4395" t="str">
        <f t="shared" si="204"/>
        <v>Senior</v>
      </c>
      <c r="D4395" t="s">
        <v>11</v>
      </c>
      <c r="E4395" t="s">
        <v>29</v>
      </c>
      <c r="F4395" t="s">
        <v>30</v>
      </c>
      <c r="G4395">
        <v>105.45</v>
      </c>
      <c r="H4395" t="s">
        <v>14</v>
      </c>
      <c r="I4395" t="s">
        <v>15</v>
      </c>
      <c r="J4395">
        <v>3.2</v>
      </c>
      <c r="K4395">
        <v>16</v>
      </c>
      <c r="L4395">
        <f t="shared" si="205"/>
        <v>88.578000000000003</v>
      </c>
      <c r="M4395">
        <v>3</v>
      </c>
      <c r="N4395" t="str">
        <f t="shared" si="206"/>
        <v>New</v>
      </c>
    </row>
    <row r="4396" spans="1:14" x14ac:dyDescent="0.35">
      <c r="A4396">
        <v>4395</v>
      </c>
      <c r="B4396">
        <v>28</v>
      </c>
      <c r="C4396" t="str">
        <f t="shared" si="204"/>
        <v>Youth</v>
      </c>
      <c r="D4396" t="s">
        <v>11</v>
      </c>
      <c r="E4396" t="s">
        <v>25</v>
      </c>
      <c r="F4396" t="s">
        <v>26</v>
      </c>
      <c r="G4396">
        <v>71.260000000000005</v>
      </c>
      <c r="H4396" t="s">
        <v>14</v>
      </c>
      <c r="I4396" t="s">
        <v>15</v>
      </c>
      <c r="J4396">
        <v>3.6</v>
      </c>
      <c r="K4396">
        <v>11</v>
      </c>
      <c r="L4396">
        <f t="shared" si="205"/>
        <v>63.421400000000006</v>
      </c>
      <c r="M4396">
        <v>3</v>
      </c>
      <c r="N4396" t="str">
        <f t="shared" si="206"/>
        <v>New</v>
      </c>
    </row>
    <row r="4397" spans="1:14" x14ac:dyDescent="0.35">
      <c r="A4397">
        <v>4396</v>
      </c>
      <c r="B4397">
        <v>28</v>
      </c>
      <c r="C4397" t="str">
        <f t="shared" si="204"/>
        <v>Youth</v>
      </c>
      <c r="D4397" t="s">
        <v>11</v>
      </c>
      <c r="E4397" t="s">
        <v>33</v>
      </c>
      <c r="F4397" t="s">
        <v>40</v>
      </c>
      <c r="G4397">
        <v>210.09</v>
      </c>
      <c r="H4397" t="s">
        <v>31</v>
      </c>
      <c r="I4397" t="s">
        <v>15</v>
      </c>
      <c r="J4397">
        <v>4.4000000000000004</v>
      </c>
      <c r="K4397">
        <v>24</v>
      </c>
      <c r="L4397">
        <f t="shared" si="205"/>
        <v>159.66839999999999</v>
      </c>
      <c r="M4397">
        <v>7</v>
      </c>
      <c r="N4397" t="str">
        <f t="shared" si="206"/>
        <v>Regular</v>
      </c>
    </row>
    <row r="4398" spans="1:14" x14ac:dyDescent="0.35">
      <c r="A4398">
        <v>4397</v>
      </c>
      <c r="B4398">
        <v>36</v>
      </c>
      <c r="C4398" t="str">
        <f t="shared" si="204"/>
        <v>Adult</v>
      </c>
      <c r="D4398" t="s">
        <v>11</v>
      </c>
      <c r="E4398" t="s">
        <v>29</v>
      </c>
      <c r="F4398" t="s">
        <v>30</v>
      </c>
      <c r="G4398">
        <v>28.51</v>
      </c>
      <c r="H4398" t="s">
        <v>19</v>
      </c>
      <c r="I4398" t="s">
        <v>15</v>
      </c>
      <c r="J4398">
        <v>2.9</v>
      </c>
      <c r="K4398">
        <v>16</v>
      </c>
      <c r="L4398">
        <f t="shared" si="205"/>
        <v>23.948399999999999</v>
      </c>
      <c r="M4398">
        <v>3</v>
      </c>
      <c r="N4398" t="str">
        <f t="shared" si="206"/>
        <v>New</v>
      </c>
    </row>
    <row r="4399" spans="1:14" x14ac:dyDescent="0.35">
      <c r="A4399">
        <v>4398</v>
      </c>
      <c r="B4399">
        <v>47</v>
      </c>
      <c r="C4399" t="str">
        <f t="shared" si="204"/>
        <v>Adult</v>
      </c>
      <c r="D4399" t="s">
        <v>11</v>
      </c>
      <c r="E4399" t="s">
        <v>29</v>
      </c>
      <c r="F4399" t="s">
        <v>55</v>
      </c>
      <c r="G4399">
        <v>108.76</v>
      </c>
      <c r="H4399" t="s">
        <v>19</v>
      </c>
      <c r="I4399" t="s">
        <v>15</v>
      </c>
      <c r="J4399">
        <v>3.7</v>
      </c>
      <c r="K4399">
        <v>6</v>
      </c>
      <c r="L4399">
        <f t="shared" si="205"/>
        <v>102.23439999999999</v>
      </c>
      <c r="M4399">
        <v>3</v>
      </c>
      <c r="N4399" t="str">
        <f t="shared" si="206"/>
        <v>New</v>
      </c>
    </row>
    <row r="4400" spans="1:14" x14ac:dyDescent="0.35">
      <c r="A4400">
        <v>4399</v>
      </c>
      <c r="B4400">
        <v>25</v>
      </c>
      <c r="C4400" t="str">
        <f t="shared" si="204"/>
        <v>Youth</v>
      </c>
      <c r="D4400" t="s">
        <v>11</v>
      </c>
      <c r="E4400" t="s">
        <v>33</v>
      </c>
      <c r="F4400" t="s">
        <v>40</v>
      </c>
      <c r="G4400">
        <v>248.94</v>
      </c>
      <c r="H4400" t="s">
        <v>14</v>
      </c>
      <c r="I4400" t="s">
        <v>15</v>
      </c>
      <c r="J4400">
        <v>2.5</v>
      </c>
      <c r="K4400">
        <v>18</v>
      </c>
      <c r="L4400">
        <f t="shared" si="205"/>
        <v>204.13080000000002</v>
      </c>
      <c r="M4400">
        <v>4</v>
      </c>
      <c r="N4400" t="str">
        <f t="shared" si="206"/>
        <v>Regular</v>
      </c>
    </row>
    <row r="4401" spans="1:14" x14ac:dyDescent="0.35">
      <c r="A4401">
        <v>4400</v>
      </c>
      <c r="B4401">
        <v>55</v>
      </c>
      <c r="C4401" t="str">
        <f t="shared" si="204"/>
        <v>Adult</v>
      </c>
      <c r="D4401" t="s">
        <v>16</v>
      </c>
      <c r="E4401" t="s">
        <v>17</v>
      </c>
      <c r="F4401" t="s">
        <v>18</v>
      </c>
      <c r="G4401">
        <v>178.99</v>
      </c>
      <c r="H4401" t="s">
        <v>19</v>
      </c>
      <c r="I4401" t="s">
        <v>15</v>
      </c>
      <c r="J4401">
        <v>5</v>
      </c>
      <c r="K4401">
        <v>8</v>
      </c>
      <c r="L4401">
        <f t="shared" si="205"/>
        <v>164.67080000000001</v>
      </c>
      <c r="M4401">
        <v>4</v>
      </c>
      <c r="N4401" t="str">
        <f t="shared" si="206"/>
        <v>Regular</v>
      </c>
    </row>
    <row r="4402" spans="1:14" x14ac:dyDescent="0.35">
      <c r="A4402">
        <v>4401</v>
      </c>
      <c r="B4402">
        <v>22</v>
      </c>
      <c r="C4402" t="str">
        <f t="shared" si="204"/>
        <v>Youth</v>
      </c>
      <c r="D4402" t="s">
        <v>11</v>
      </c>
      <c r="E4402" t="s">
        <v>25</v>
      </c>
      <c r="F4402" t="s">
        <v>26</v>
      </c>
      <c r="G4402">
        <v>64.91</v>
      </c>
      <c r="H4402" t="s">
        <v>19</v>
      </c>
      <c r="I4402" t="s">
        <v>37</v>
      </c>
      <c r="J4402">
        <v>2.9</v>
      </c>
      <c r="K4402">
        <v>15</v>
      </c>
      <c r="L4402">
        <f t="shared" si="205"/>
        <v>55.173499999999997</v>
      </c>
      <c r="M4402">
        <v>5</v>
      </c>
      <c r="N4402" t="str">
        <f t="shared" si="206"/>
        <v>Regular</v>
      </c>
    </row>
    <row r="4403" spans="1:14" x14ac:dyDescent="0.35">
      <c r="A4403">
        <v>4402</v>
      </c>
      <c r="B4403">
        <v>55</v>
      </c>
      <c r="C4403" t="str">
        <f t="shared" si="204"/>
        <v>Adult</v>
      </c>
      <c r="D4403" t="s">
        <v>16</v>
      </c>
      <c r="E4403" t="s">
        <v>27</v>
      </c>
      <c r="F4403" t="s">
        <v>32</v>
      </c>
      <c r="G4403">
        <v>1774.32</v>
      </c>
      <c r="H4403" t="s">
        <v>31</v>
      </c>
      <c r="I4403" t="s">
        <v>15</v>
      </c>
      <c r="J4403">
        <v>4</v>
      </c>
      <c r="K4403">
        <v>26</v>
      </c>
      <c r="L4403">
        <f t="shared" si="205"/>
        <v>1312.9967999999999</v>
      </c>
      <c r="M4403">
        <v>8</v>
      </c>
      <c r="N4403" t="str">
        <f t="shared" si="206"/>
        <v>Loyal</v>
      </c>
    </row>
    <row r="4404" spans="1:14" x14ac:dyDescent="0.35">
      <c r="A4404">
        <v>4403</v>
      </c>
      <c r="B4404">
        <v>25</v>
      </c>
      <c r="C4404" t="str">
        <f t="shared" si="204"/>
        <v>Youth</v>
      </c>
      <c r="D4404" t="s">
        <v>16</v>
      </c>
      <c r="E4404" t="s">
        <v>17</v>
      </c>
      <c r="F4404" t="s">
        <v>18</v>
      </c>
      <c r="G4404">
        <v>173.88</v>
      </c>
      <c r="H4404" t="s">
        <v>19</v>
      </c>
      <c r="I4404" t="s">
        <v>15</v>
      </c>
      <c r="J4404">
        <v>4.4000000000000004</v>
      </c>
      <c r="K4404">
        <v>21</v>
      </c>
      <c r="L4404">
        <f t="shared" si="205"/>
        <v>137.36520000000002</v>
      </c>
      <c r="M4404">
        <v>8</v>
      </c>
      <c r="N4404" t="str">
        <f t="shared" si="206"/>
        <v>Loyal</v>
      </c>
    </row>
    <row r="4405" spans="1:14" x14ac:dyDescent="0.35">
      <c r="A4405">
        <v>4404</v>
      </c>
      <c r="B4405">
        <v>34</v>
      </c>
      <c r="C4405" t="str">
        <f t="shared" si="204"/>
        <v>Adult</v>
      </c>
      <c r="D4405" t="s">
        <v>16</v>
      </c>
      <c r="E4405" t="s">
        <v>20</v>
      </c>
      <c r="F4405" t="s">
        <v>39</v>
      </c>
      <c r="G4405">
        <v>130.83000000000001</v>
      </c>
      <c r="H4405" t="s">
        <v>19</v>
      </c>
      <c r="I4405" t="s">
        <v>15</v>
      </c>
      <c r="J4405">
        <v>3.6</v>
      </c>
      <c r="K4405">
        <v>20</v>
      </c>
      <c r="L4405">
        <f t="shared" si="205"/>
        <v>104.66400000000002</v>
      </c>
      <c r="M4405">
        <v>5</v>
      </c>
      <c r="N4405" t="str">
        <f t="shared" si="206"/>
        <v>Regular</v>
      </c>
    </row>
    <row r="4406" spans="1:14" x14ac:dyDescent="0.35">
      <c r="A4406">
        <v>4405</v>
      </c>
      <c r="B4406">
        <v>39</v>
      </c>
      <c r="C4406" t="str">
        <f t="shared" si="204"/>
        <v>Adult</v>
      </c>
      <c r="D4406" t="s">
        <v>11</v>
      </c>
      <c r="E4406" t="s">
        <v>12</v>
      </c>
      <c r="F4406" t="s">
        <v>56</v>
      </c>
      <c r="G4406">
        <v>47.44</v>
      </c>
      <c r="H4406" t="s">
        <v>31</v>
      </c>
      <c r="I4406" t="s">
        <v>15</v>
      </c>
      <c r="J4406">
        <v>3.8</v>
      </c>
      <c r="K4406">
        <v>15</v>
      </c>
      <c r="L4406">
        <f t="shared" si="205"/>
        <v>40.323999999999998</v>
      </c>
      <c r="M4406">
        <v>5</v>
      </c>
      <c r="N4406" t="str">
        <f t="shared" si="206"/>
        <v>Regular</v>
      </c>
    </row>
    <row r="4407" spans="1:14" x14ac:dyDescent="0.35">
      <c r="A4407">
        <v>4406</v>
      </c>
      <c r="B4407">
        <v>65</v>
      </c>
      <c r="C4407" t="str">
        <f t="shared" si="204"/>
        <v>Senior</v>
      </c>
      <c r="D4407" t="s">
        <v>16</v>
      </c>
      <c r="E4407" t="s">
        <v>17</v>
      </c>
      <c r="F4407" t="s">
        <v>42</v>
      </c>
      <c r="G4407">
        <v>76.94</v>
      </c>
      <c r="H4407" t="s">
        <v>19</v>
      </c>
      <c r="I4407" t="s">
        <v>15</v>
      </c>
      <c r="J4407">
        <v>3.9</v>
      </c>
      <c r="K4407">
        <v>16</v>
      </c>
      <c r="L4407">
        <f t="shared" si="205"/>
        <v>64.629599999999996</v>
      </c>
      <c r="M4407">
        <v>8</v>
      </c>
      <c r="N4407" t="str">
        <f t="shared" si="206"/>
        <v>Loyal</v>
      </c>
    </row>
    <row r="4408" spans="1:14" x14ac:dyDescent="0.35">
      <c r="A4408">
        <v>4407</v>
      </c>
      <c r="B4408">
        <v>51</v>
      </c>
      <c r="C4408" t="str">
        <f t="shared" si="204"/>
        <v>Adult</v>
      </c>
      <c r="D4408" t="s">
        <v>11</v>
      </c>
      <c r="E4408" t="s">
        <v>33</v>
      </c>
      <c r="F4408" t="s">
        <v>40</v>
      </c>
      <c r="G4408">
        <v>79.66</v>
      </c>
      <c r="H4408" t="s">
        <v>14</v>
      </c>
      <c r="I4408" t="s">
        <v>15</v>
      </c>
      <c r="J4408">
        <v>3.8</v>
      </c>
      <c r="K4408">
        <v>2</v>
      </c>
      <c r="L4408">
        <f t="shared" si="205"/>
        <v>78.066800000000001</v>
      </c>
      <c r="M4408">
        <v>1</v>
      </c>
      <c r="N4408" t="str">
        <f t="shared" si="206"/>
        <v>New</v>
      </c>
    </row>
    <row r="4409" spans="1:14" x14ac:dyDescent="0.35">
      <c r="A4409">
        <v>4408</v>
      </c>
      <c r="B4409">
        <v>52</v>
      </c>
      <c r="C4409" t="str">
        <f t="shared" si="204"/>
        <v>Adult</v>
      </c>
      <c r="D4409" t="s">
        <v>16</v>
      </c>
      <c r="E4409" t="s">
        <v>33</v>
      </c>
      <c r="F4409" t="s">
        <v>40</v>
      </c>
      <c r="G4409">
        <v>91.9</v>
      </c>
      <c r="H4409" t="s">
        <v>24</v>
      </c>
      <c r="I4409" t="s">
        <v>37</v>
      </c>
      <c r="J4409">
        <v>2.5</v>
      </c>
      <c r="K4409">
        <v>8</v>
      </c>
      <c r="L4409">
        <f t="shared" si="205"/>
        <v>84.548000000000002</v>
      </c>
      <c r="M4409">
        <v>4</v>
      </c>
      <c r="N4409" t="str">
        <f t="shared" si="206"/>
        <v>Regular</v>
      </c>
    </row>
    <row r="4410" spans="1:14" x14ac:dyDescent="0.35">
      <c r="A4410">
        <v>4409</v>
      </c>
      <c r="B4410">
        <v>48</v>
      </c>
      <c r="C4410" t="str">
        <f t="shared" si="204"/>
        <v>Adult</v>
      </c>
      <c r="D4410" t="s">
        <v>11</v>
      </c>
      <c r="E4410" t="s">
        <v>33</v>
      </c>
      <c r="F4410" t="s">
        <v>38</v>
      </c>
      <c r="G4410">
        <v>146.85</v>
      </c>
      <c r="H4410" t="s">
        <v>19</v>
      </c>
      <c r="I4410" t="s">
        <v>15</v>
      </c>
      <c r="J4410">
        <v>3.5</v>
      </c>
      <c r="K4410">
        <v>11</v>
      </c>
      <c r="L4410">
        <f t="shared" si="205"/>
        <v>130.69649999999999</v>
      </c>
      <c r="M4410">
        <v>3</v>
      </c>
      <c r="N4410" t="str">
        <f t="shared" si="206"/>
        <v>New</v>
      </c>
    </row>
    <row r="4411" spans="1:14" x14ac:dyDescent="0.35">
      <c r="A4411">
        <v>4410</v>
      </c>
      <c r="B4411">
        <v>25</v>
      </c>
      <c r="C4411" t="str">
        <f t="shared" si="204"/>
        <v>Youth</v>
      </c>
      <c r="D4411" t="s">
        <v>11</v>
      </c>
      <c r="E4411" t="s">
        <v>12</v>
      </c>
      <c r="F4411" t="s">
        <v>13</v>
      </c>
      <c r="G4411">
        <v>100.99</v>
      </c>
      <c r="H4411" t="s">
        <v>14</v>
      </c>
      <c r="I4411" t="s">
        <v>15</v>
      </c>
      <c r="J4411">
        <v>3.5</v>
      </c>
      <c r="K4411">
        <v>19</v>
      </c>
      <c r="L4411">
        <f t="shared" si="205"/>
        <v>81.801900000000003</v>
      </c>
      <c r="M4411">
        <v>7</v>
      </c>
      <c r="N4411" t="str">
        <f t="shared" si="206"/>
        <v>Regular</v>
      </c>
    </row>
    <row r="4412" spans="1:14" x14ac:dyDescent="0.35">
      <c r="A4412">
        <v>4411</v>
      </c>
      <c r="B4412">
        <v>35</v>
      </c>
      <c r="C4412" t="str">
        <f t="shared" si="204"/>
        <v>Adult</v>
      </c>
      <c r="D4412" t="s">
        <v>16</v>
      </c>
      <c r="E4412" t="s">
        <v>27</v>
      </c>
      <c r="F4412" t="s">
        <v>49</v>
      </c>
      <c r="G4412">
        <v>2272.6999999999998</v>
      </c>
      <c r="H4412" t="s">
        <v>24</v>
      </c>
      <c r="I4412" t="s">
        <v>15</v>
      </c>
      <c r="J4412">
        <v>2.2999999999999998</v>
      </c>
      <c r="K4412">
        <v>14</v>
      </c>
      <c r="L4412">
        <f t="shared" si="205"/>
        <v>1954.5219999999997</v>
      </c>
      <c r="M4412">
        <v>7</v>
      </c>
      <c r="N4412" t="str">
        <f t="shared" si="206"/>
        <v>Regular</v>
      </c>
    </row>
    <row r="4413" spans="1:14" x14ac:dyDescent="0.35">
      <c r="A4413">
        <v>4412</v>
      </c>
      <c r="B4413">
        <v>42</v>
      </c>
      <c r="C4413" t="str">
        <f t="shared" si="204"/>
        <v>Adult</v>
      </c>
      <c r="D4413" t="s">
        <v>16</v>
      </c>
      <c r="E4413" t="s">
        <v>27</v>
      </c>
      <c r="F4413" t="s">
        <v>28</v>
      </c>
      <c r="G4413">
        <v>783.29</v>
      </c>
      <c r="H4413" t="s">
        <v>24</v>
      </c>
      <c r="I4413" t="s">
        <v>15</v>
      </c>
      <c r="J4413">
        <v>3.6</v>
      </c>
      <c r="K4413">
        <v>20</v>
      </c>
      <c r="L4413">
        <f t="shared" si="205"/>
        <v>626.63200000000006</v>
      </c>
      <c r="M4413">
        <v>5</v>
      </c>
      <c r="N4413" t="str">
        <f t="shared" si="206"/>
        <v>Regular</v>
      </c>
    </row>
    <row r="4414" spans="1:14" x14ac:dyDescent="0.35">
      <c r="A4414">
        <v>4413</v>
      </c>
      <c r="B4414">
        <v>46</v>
      </c>
      <c r="C4414" t="str">
        <f t="shared" si="204"/>
        <v>Adult</v>
      </c>
      <c r="D4414" t="s">
        <v>16</v>
      </c>
      <c r="E4414" t="s">
        <v>20</v>
      </c>
      <c r="F4414" t="s">
        <v>36</v>
      </c>
      <c r="G4414">
        <v>125.6</v>
      </c>
      <c r="H4414" t="s">
        <v>19</v>
      </c>
      <c r="I4414" t="s">
        <v>15</v>
      </c>
      <c r="J4414">
        <v>1.8</v>
      </c>
      <c r="K4414">
        <v>10</v>
      </c>
      <c r="L4414">
        <f t="shared" si="205"/>
        <v>113.03999999999999</v>
      </c>
      <c r="M4414">
        <v>5</v>
      </c>
      <c r="N4414" t="str">
        <f t="shared" si="206"/>
        <v>Regular</v>
      </c>
    </row>
    <row r="4415" spans="1:14" x14ac:dyDescent="0.35">
      <c r="A4415">
        <v>4414</v>
      </c>
      <c r="B4415">
        <v>21</v>
      </c>
      <c r="C4415" t="str">
        <f t="shared" si="204"/>
        <v>Youth</v>
      </c>
      <c r="D4415" t="s">
        <v>16</v>
      </c>
      <c r="E4415" t="s">
        <v>33</v>
      </c>
      <c r="F4415" t="s">
        <v>34</v>
      </c>
      <c r="G4415">
        <v>151.15</v>
      </c>
      <c r="H4415" t="s">
        <v>31</v>
      </c>
      <c r="I4415" t="s">
        <v>15</v>
      </c>
      <c r="J4415">
        <v>4.2</v>
      </c>
      <c r="K4415">
        <v>9</v>
      </c>
      <c r="L4415">
        <f t="shared" si="205"/>
        <v>137.54650000000001</v>
      </c>
      <c r="M4415">
        <v>2</v>
      </c>
      <c r="N4415" t="str">
        <f t="shared" si="206"/>
        <v>New</v>
      </c>
    </row>
    <row r="4416" spans="1:14" x14ac:dyDescent="0.35">
      <c r="A4416">
        <v>4415</v>
      </c>
      <c r="B4416">
        <v>22</v>
      </c>
      <c r="C4416" t="str">
        <f t="shared" si="204"/>
        <v>Youth</v>
      </c>
      <c r="D4416" t="s">
        <v>11</v>
      </c>
      <c r="E4416" t="s">
        <v>29</v>
      </c>
      <c r="F4416" t="s">
        <v>51</v>
      </c>
      <c r="G4416">
        <v>116.28</v>
      </c>
      <c r="H4416" t="s">
        <v>31</v>
      </c>
      <c r="I4416" t="s">
        <v>15</v>
      </c>
      <c r="J4416">
        <v>4.2</v>
      </c>
      <c r="K4416">
        <v>12</v>
      </c>
      <c r="L4416">
        <f t="shared" si="205"/>
        <v>102.32640000000001</v>
      </c>
      <c r="M4416">
        <v>6</v>
      </c>
      <c r="N4416" t="str">
        <f t="shared" si="206"/>
        <v>Regular</v>
      </c>
    </row>
    <row r="4417" spans="1:14" x14ac:dyDescent="0.35">
      <c r="A4417">
        <v>4416</v>
      </c>
      <c r="B4417">
        <v>53</v>
      </c>
      <c r="C4417" t="str">
        <f t="shared" si="204"/>
        <v>Adult</v>
      </c>
      <c r="D4417" t="s">
        <v>11</v>
      </c>
      <c r="E4417" t="s">
        <v>25</v>
      </c>
      <c r="F4417" t="s">
        <v>26</v>
      </c>
      <c r="G4417">
        <v>46.85</v>
      </c>
      <c r="H4417" t="s">
        <v>24</v>
      </c>
      <c r="I4417" t="s">
        <v>37</v>
      </c>
      <c r="J4417">
        <v>3</v>
      </c>
      <c r="K4417">
        <v>18</v>
      </c>
      <c r="L4417">
        <f t="shared" si="205"/>
        <v>38.417000000000002</v>
      </c>
      <c r="M4417">
        <v>4</v>
      </c>
      <c r="N4417" t="str">
        <f t="shared" si="206"/>
        <v>Regular</v>
      </c>
    </row>
    <row r="4418" spans="1:14" x14ac:dyDescent="0.35">
      <c r="A4418">
        <v>4417</v>
      </c>
      <c r="B4418">
        <v>26</v>
      </c>
      <c r="C4418" t="str">
        <f t="shared" si="204"/>
        <v>Youth</v>
      </c>
      <c r="D4418" t="s">
        <v>16</v>
      </c>
      <c r="E4418" t="s">
        <v>27</v>
      </c>
      <c r="F4418" t="s">
        <v>32</v>
      </c>
      <c r="G4418">
        <v>2162.23</v>
      </c>
      <c r="H4418" t="s">
        <v>19</v>
      </c>
      <c r="I4418" t="s">
        <v>15</v>
      </c>
      <c r="J4418">
        <v>4.0999999999999996</v>
      </c>
      <c r="K4418">
        <v>4</v>
      </c>
      <c r="L4418">
        <f t="shared" si="205"/>
        <v>2075.7408</v>
      </c>
      <c r="M4418">
        <v>2</v>
      </c>
      <c r="N4418" t="str">
        <f t="shared" si="206"/>
        <v>New</v>
      </c>
    </row>
    <row r="4419" spans="1:14" x14ac:dyDescent="0.35">
      <c r="A4419">
        <v>4418</v>
      </c>
      <c r="B4419">
        <v>29</v>
      </c>
      <c r="C4419" t="str">
        <f t="shared" ref="C4419:C4482" si="207">IF(B4419&lt;=30,"Youth",IF(B4419&lt;=45,"Adult",IF(B4419&lt;=60,"Adult","Senior")))</f>
        <v>Youth</v>
      </c>
      <c r="D4419" t="s">
        <v>16</v>
      </c>
      <c r="E4419" t="s">
        <v>17</v>
      </c>
      <c r="F4419" t="s">
        <v>48</v>
      </c>
      <c r="G4419">
        <v>99.56</v>
      </c>
      <c r="H4419" t="s">
        <v>19</v>
      </c>
      <c r="I4419" t="s">
        <v>15</v>
      </c>
      <c r="J4419">
        <v>3</v>
      </c>
      <c r="K4419">
        <v>20</v>
      </c>
      <c r="L4419">
        <f t="shared" ref="L4419:L4482" si="208">G4419*(1-K4419/100)</f>
        <v>79.64800000000001</v>
      </c>
      <c r="M4419">
        <v>5</v>
      </c>
      <c r="N4419" t="str">
        <f t="shared" ref="N4419:N4482" si="209">IF(M4419&lt;=3,"New",IF(M4419&lt;=7,"Regular","Loyal"))</f>
        <v>Regular</v>
      </c>
    </row>
    <row r="4420" spans="1:14" x14ac:dyDescent="0.35">
      <c r="A4420">
        <v>4419</v>
      </c>
      <c r="B4420">
        <v>22</v>
      </c>
      <c r="C4420" t="str">
        <f t="shared" si="207"/>
        <v>Youth</v>
      </c>
      <c r="D4420" t="s">
        <v>16</v>
      </c>
      <c r="E4420" t="s">
        <v>27</v>
      </c>
      <c r="F4420" t="s">
        <v>49</v>
      </c>
      <c r="G4420">
        <v>2633.36</v>
      </c>
      <c r="H4420" t="s">
        <v>19</v>
      </c>
      <c r="I4420" t="s">
        <v>15</v>
      </c>
      <c r="J4420">
        <v>4.2</v>
      </c>
      <c r="K4420">
        <v>18</v>
      </c>
      <c r="L4420">
        <f t="shared" si="208"/>
        <v>2159.3552000000004</v>
      </c>
      <c r="M4420">
        <v>4</v>
      </c>
      <c r="N4420" t="str">
        <f t="shared" si="209"/>
        <v>Regular</v>
      </c>
    </row>
    <row r="4421" spans="1:14" x14ac:dyDescent="0.35">
      <c r="A4421">
        <v>4420</v>
      </c>
      <c r="B4421">
        <v>63</v>
      </c>
      <c r="C4421" t="str">
        <f t="shared" si="207"/>
        <v>Senior</v>
      </c>
      <c r="D4421" t="s">
        <v>11</v>
      </c>
      <c r="E4421" t="s">
        <v>12</v>
      </c>
      <c r="F4421" t="s">
        <v>50</v>
      </c>
      <c r="G4421">
        <v>132.84</v>
      </c>
      <c r="H4421" t="s">
        <v>14</v>
      </c>
      <c r="I4421" t="s">
        <v>15</v>
      </c>
      <c r="J4421">
        <v>4.0999999999999996</v>
      </c>
      <c r="K4421">
        <v>20</v>
      </c>
      <c r="L4421">
        <f t="shared" si="208"/>
        <v>106.27200000000001</v>
      </c>
      <c r="M4421">
        <v>5</v>
      </c>
      <c r="N4421" t="str">
        <f t="shared" si="209"/>
        <v>Regular</v>
      </c>
    </row>
    <row r="4422" spans="1:14" x14ac:dyDescent="0.35">
      <c r="A4422">
        <v>4421</v>
      </c>
      <c r="B4422">
        <v>20</v>
      </c>
      <c r="C4422" t="str">
        <f t="shared" si="207"/>
        <v>Youth</v>
      </c>
      <c r="D4422" t="s">
        <v>11</v>
      </c>
      <c r="E4422" t="s">
        <v>33</v>
      </c>
      <c r="F4422" t="s">
        <v>38</v>
      </c>
      <c r="G4422">
        <v>161.07</v>
      </c>
      <c r="H4422" t="s">
        <v>19</v>
      </c>
      <c r="I4422" t="s">
        <v>15</v>
      </c>
      <c r="J4422">
        <v>3.7</v>
      </c>
      <c r="K4422">
        <v>8</v>
      </c>
      <c r="L4422">
        <f t="shared" si="208"/>
        <v>148.18440000000001</v>
      </c>
      <c r="M4422">
        <v>4</v>
      </c>
      <c r="N4422" t="str">
        <f t="shared" si="209"/>
        <v>Regular</v>
      </c>
    </row>
    <row r="4423" spans="1:14" x14ac:dyDescent="0.35">
      <c r="A4423">
        <v>4422</v>
      </c>
      <c r="B4423">
        <v>50</v>
      </c>
      <c r="C4423" t="str">
        <f t="shared" si="207"/>
        <v>Adult</v>
      </c>
      <c r="D4423" t="s">
        <v>11</v>
      </c>
      <c r="E4423" t="s">
        <v>29</v>
      </c>
      <c r="F4423" t="s">
        <v>30</v>
      </c>
      <c r="G4423">
        <v>35.9</v>
      </c>
      <c r="H4423" t="s">
        <v>14</v>
      </c>
      <c r="I4423" t="s">
        <v>15</v>
      </c>
      <c r="J4423">
        <v>4.4000000000000004</v>
      </c>
      <c r="K4423">
        <v>18</v>
      </c>
      <c r="L4423">
        <f t="shared" si="208"/>
        <v>29.438000000000002</v>
      </c>
      <c r="M4423">
        <v>9</v>
      </c>
      <c r="N4423" t="str">
        <f t="shared" si="209"/>
        <v>Loyal</v>
      </c>
    </row>
    <row r="4424" spans="1:14" x14ac:dyDescent="0.35">
      <c r="A4424">
        <v>4423</v>
      </c>
      <c r="B4424">
        <v>54</v>
      </c>
      <c r="C4424" t="str">
        <f t="shared" si="207"/>
        <v>Adult</v>
      </c>
      <c r="D4424" t="s">
        <v>11</v>
      </c>
      <c r="E4424" t="s">
        <v>41</v>
      </c>
      <c r="F4424" t="s">
        <v>46</v>
      </c>
      <c r="G4424">
        <v>41.24</v>
      </c>
      <c r="H4424" t="s">
        <v>14</v>
      </c>
      <c r="I4424" t="s">
        <v>37</v>
      </c>
      <c r="J4424">
        <v>3.4</v>
      </c>
      <c r="K4424">
        <v>19</v>
      </c>
      <c r="L4424">
        <f t="shared" si="208"/>
        <v>33.404400000000003</v>
      </c>
      <c r="M4424">
        <v>7</v>
      </c>
      <c r="N4424" t="str">
        <f t="shared" si="209"/>
        <v>Regular</v>
      </c>
    </row>
    <row r="4425" spans="1:14" x14ac:dyDescent="0.35">
      <c r="A4425">
        <v>4424</v>
      </c>
      <c r="B4425">
        <v>45</v>
      </c>
      <c r="C4425" t="str">
        <f t="shared" si="207"/>
        <v>Adult</v>
      </c>
      <c r="D4425" t="s">
        <v>16</v>
      </c>
      <c r="E4425" t="s">
        <v>20</v>
      </c>
      <c r="F4425" t="s">
        <v>39</v>
      </c>
      <c r="G4425">
        <v>160.08000000000001</v>
      </c>
      <c r="H4425" t="s">
        <v>31</v>
      </c>
      <c r="I4425" t="s">
        <v>15</v>
      </c>
      <c r="J4425">
        <v>3.9</v>
      </c>
      <c r="K4425">
        <v>17</v>
      </c>
      <c r="L4425">
        <f t="shared" si="208"/>
        <v>132.8664</v>
      </c>
      <c r="M4425">
        <v>6</v>
      </c>
      <c r="N4425" t="str">
        <f t="shared" si="209"/>
        <v>Regular</v>
      </c>
    </row>
    <row r="4426" spans="1:14" x14ac:dyDescent="0.35">
      <c r="A4426">
        <v>4425</v>
      </c>
      <c r="B4426">
        <v>59</v>
      </c>
      <c r="C4426" t="str">
        <f t="shared" si="207"/>
        <v>Adult</v>
      </c>
      <c r="D4426" t="s">
        <v>11</v>
      </c>
      <c r="E4426" t="s">
        <v>12</v>
      </c>
      <c r="F4426" t="s">
        <v>56</v>
      </c>
      <c r="G4426">
        <v>152.97</v>
      </c>
      <c r="H4426" t="s">
        <v>24</v>
      </c>
      <c r="I4426" t="s">
        <v>15</v>
      </c>
      <c r="J4426">
        <v>3.5</v>
      </c>
      <c r="K4426">
        <v>17</v>
      </c>
      <c r="L4426">
        <f t="shared" si="208"/>
        <v>126.96509999999999</v>
      </c>
      <c r="M4426">
        <v>6</v>
      </c>
      <c r="N4426" t="str">
        <f t="shared" si="209"/>
        <v>Regular</v>
      </c>
    </row>
    <row r="4427" spans="1:14" x14ac:dyDescent="0.35">
      <c r="A4427">
        <v>4426</v>
      </c>
      <c r="B4427">
        <v>43</v>
      </c>
      <c r="C4427" t="str">
        <f t="shared" si="207"/>
        <v>Adult</v>
      </c>
      <c r="D4427" t="s">
        <v>11</v>
      </c>
      <c r="E4427" t="s">
        <v>41</v>
      </c>
      <c r="F4427" t="s">
        <v>44</v>
      </c>
      <c r="G4427">
        <v>71.83</v>
      </c>
      <c r="H4427" t="s">
        <v>31</v>
      </c>
      <c r="I4427" t="s">
        <v>37</v>
      </c>
      <c r="J4427">
        <v>4.0999999999999996</v>
      </c>
      <c r="K4427">
        <v>12</v>
      </c>
      <c r="L4427">
        <f t="shared" si="208"/>
        <v>63.2104</v>
      </c>
      <c r="M4427">
        <v>6</v>
      </c>
      <c r="N4427" t="str">
        <f t="shared" si="209"/>
        <v>Regular</v>
      </c>
    </row>
    <row r="4428" spans="1:14" x14ac:dyDescent="0.35">
      <c r="A4428">
        <v>4427</v>
      </c>
      <c r="B4428">
        <v>21</v>
      </c>
      <c r="C4428" t="str">
        <f t="shared" si="207"/>
        <v>Youth</v>
      </c>
      <c r="D4428" t="s">
        <v>11</v>
      </c>
      <c r="E4428" t="s">
        <v>12</v>
      </c>
      <c r="F4428" t="s">
        <v>13</v>
      </c>
      <c r="G4428">
        <v>95.84</v>
      </c>
      <c r="H4428" t="s">
        <v>14</v>
      </c>
      <c r="I4428" t="s">
        <v>37</v>
      </c>
      <c r="J4428">
        <v>4.3</v>
      </c>
      <c r="K4428">
        <v>22</v>
      </c>
      <c r="L4428">
        <f t="shared" si="208"/>
        <v>74.755200000000002</v>
      </c>
      <c r="M4428">
        <v>6</v>
      </c>
      <c r="N4428" t="str">
        <f t="shared" si="209"/>
        <v>Regular</v>
      </c>
    </row>
    <row r="4429" spans="1:14" x14ac:dyDescent="0.35">
      <c r="A4429">
        <v>4428</v>
      </c>
      <c r="B4429">
        <v>62</v>
      </c>
      <c r="C4429" t="str">
        <f t="shared" si="207"/>
        <v>Senior</v>
      </c>
      <c r="D4429" t="s">
        <v>16</v>
      </c>
      <c r="E4429" t="s">
        <v>22</v>
      </c>
      <c r="F4429" t="s">
        <v>23</v>
      </c>
      <c r="G4429">
        <v>38.659999999999997</v>
      </c>
      <c r="H4429" t="s">
        <v>24</v>
      </c>
      <c r="I4429" t="s">
        <v>37</v>
      </c>
      <c r="J4429">
        <v>3.6</v>
      </c>
      <c r="K4429">
        <v>8</v>
      </c>
      <c r="L4429">
        <f t="shared" si="208"/>
        <v>35.5672</v>
      </c>
      <c r="M4429">
        <v>4</v>
      </c>
      <c r="N4429" t="str">
        <f t="shared" si="209"/>
        <v>Regular</v>
      </c>
    </row>
    <row r="4430" spans="1:14" x14ac:dyDescent="0.35">
      <c r="A4430">
        <v>4429</v>
      </c>
      <c r="B4430">
        <v>44</v>
      </c>
      <c r="C4430" t="str">
        <f t="shared" si="207"/>
        <v>Adult</v>
      </c>
      <c r="D4430" t="s">
        <v>16</v>
      </c>
      <c r="E4430" t="s">
        <v>27</v>
      </c>
      <c r="F4430" t="s">
        <v>32</v>
      </c>
      <c r="G4430">
        <v>1769.68</v>
      </c>
      <c r="H4430" t="s">
        <v>19</v>
      </c>
      <c r="I4430" t="s">
        <v>15</v>
      </c>
      <c r="J4430">
        <v>4.8</v>
      </c>
      <c r="K4430">
        <v>20</v>
      </c>
      <c r="L4430">
        <f t="shared" si="208"/>
        <v>1415.7440000000001</v>
      </c>
      <c r="M4430">
        <v>5</v>
      </c>
      <c r="N4430" t="str">
        <f t="shared" si="209"/>
        <v>Regular</v>
      </c>
    </row>
    <row r="4431" spans="1:14" x14ac:dyDescent="0.35">
      <c r="A4431">
        <v>4430</v>
      </c>
      <c r="B4431">
        <v>44</v>
      </c>
      <c r="C4431" t="str">
        <f t="shared" si="207"/>
        <v>Adult</v>
      </c>
      <c r="D4431" t="s">
        <v>11</v>
      </c>
      <c r="E4431" t="s">
        <v>33</v>
      </c>
      <c r="F4431" t="s">
        <v>34</v>
      </c>
      <c r="G4431">
        <v>103.11</v>
      </c>
      <c r="H4431" t="s">
        <v>24</v>
      </c>
      <c r="I4431" t="s">
        <v>15</v>
      </c>
      <c r="J4431">
        <v>3.1</v>
      </c>
      <c r="K4431">
        <v>15</v>
      </c>
      <c r="L4431">
        <f t="shared" si="208"/>
        <v>87.643500000000003</v>
      </c>
      <c r="M4431">
        <v>5</v>
      </c>
      <c r="N4431" t="str">
        <f t="shared" si="209"/>
        <v>Regular</v>
      </c>
    </row>
    <row r="4432" spans="1:14" x14ac:dyDescent="0.35">
      <c r="A4432">
        <v>4431</v>
      </c>
      <c r="B4432">
        <v>45</v>
      </c>
      <c r="C4432" t="str">
        <f t="shared" si="207"/>
        <v>Adult</v>
      </c>
      <c r="D4432" t="s">
        <v>11</v>
      </c>
      <c r="E4432" t="s">
        <v>33</v>
      </c>
      <c r="F4432" t="s">
        <v>34</v>
      </c>
      <c r="G4432">
        <v>118.28</v>
      </c>
      <c r="H4432" t="s">
        <v>24</v>
      </c>
      <c r="I4432" t="s">
        <v>15</v>
      </c>
      <c r="J4432">
        <v>4</v>
      </c>
      <c r="K4432">
        <v>10</v>
      </c>
      <c r="L4432">
        <f t="shared" si="208"/>
        <v>106.452</v>
      </c>
      <c r="M4432">
        <v>5</v>
      </c>
      <c r="N4432" t="str">
        <f t="shared" si="209"/>
        <v>Regular</v>
      </c>
    </row>
    <row r="4433" spans="1:14" x14ac:dyDescent="0.35">
      <c r="A4433">
        <v>4432</v>
      </c>
      <c r="B4433">
        <v>37</v>
      </c>
      <c r="C4433" t="str">
        <f t="shared" si="207"/>
        <v>Adult</v>
      </c>
      <c r="D4433" t="s">
        <v>11</v>
      </c>
      <c r="E4433" t="s">
        <v>12</v>
      </c>
      <c r="F4433" t="s">
        <v>56</v>
      </c>
      <c r="G4433">
        <v>162.69999999999999</v>
      </c>
      <c r="H4433" t="s">
        <v>24</v>
      </c>
      <c r="I4433" t="s">
        <v>15</v>
      </c>
      <c r="J4433">
        <v>3.5</v>
      </c>
      <c r="K4433">
        <v>19</v>
      </c>
      <c r="L4433">
        <f t="shared" si="208"/>
        <v>131.78700000000001</v>
      </c>
      <c r="M4433">
        <v>7</v>
      </c>
      <c r="N4433" t="str">
        <f t="shared" si="209"/>
        <v>Regular</v>
      </c>
    </row>
    <row r="4434" spans="1:14" x14ac:dyDescent="0.35">
      <c r="A4434">
        <v>4433</v>
      </c>
      <c r="B4434">
        <v>49</v>
      </c>
      <c r="C4434" t="str">
        <f t="shared" si="207"/>
        <v>Adult</v>
      </c>
      <c r="D4434" t="s">
        <v>16</v>
      </c>
      <c r="E4434" t="s">
        <v>20</v>
      </c>
      <c r="F4434" t="s">
        <v>36</v>
      </c>
      <c r="G4434">
        <v>75.760000000000005</v>
      </c>
      <c r="H4434" t="s">
        <v>31</v>
      </c>
      <c r="I4434" t="s">
        <v>37</v>
      </c>
      <c r="J4434">
        <v>4.5</v>
      </c>
      <c r="K4434">
        <v>15</v>
      </c>
      <c r="L4434">
        <f t="shared" si="208"/>
        <v>64.396000000000001</v>
      </c>
      <c r="M4434">
        <v>5</v>
      </c>
      <c r="N4434" t="str">
        <f t="shared" si="209"/>
        <v>Regular</v>
      </c>
    </row>
    <row r="4435" spans="1:14" x14ac:dyDescent="0.35">
      <c r="A4435">
        <v>4434</v>
      </c>
      <c r="B4435">
        <v>63</v>
      </c>
      <c r="C4435" t="str">
        <f t="shared" si="207"/>
        <v>Senior</v>
      </c>
      <c r="D4435" t="s">
        <v>16</v>
      </c>
      <c r="E4435" t="s">
        <v>20</v>
      </c>
      <c r="F4435" t="s">
        <v>39</v>
      </c>
      <c r="G4435">
        <v>234.8</v>
      </c>
      <c r="H4435" t="s">
        <v>19</v>
      </c>
      <c r="I4435" t="s">
        <v>15</v>
      </c>
      <c r="J4435">
        <v>3.1</v>
      </c>
      <c r="K4435">
        <v>16</v>
      </c>
      <c r="L4435">
        <f t="shared" si="208"/>
        <v>197.232</v>
      </c>
      <c r="M4435">
        <v>3</v>
      </c>
      <c r="N4435" t="str">
        <f t="shared" si="209"/>
        <v>New</v>
      </c>
    </row>
    <row r="4436" spans="1:14" x14ac:dyDescent="0.35">
      <c r="A4436">
        <v>4435</v>
      </c>
      <c r="B4436">
        <v>25</v>
      </c>
      <c r="C4436" t="str">
        <f t="shared" si="207"/>
        <v>Youth</v>
      </c>
      <c r="D4436" t="s">
        <v>11</v>
      </c>
      <c r="E4436" t="s">
        <v>33</v>
      </c>
      <c r="F4436" t="s">
        <v>38</v>
      </c>
      <c r="G4436">
        <v>107.61</v>
      </c>
      <c r="H4436" t="s">
        <v>31</v>
      </c>
      <c r="I4436" t="s">
        <v>15</v>
      </c>
      <c r="J4436">
        <v>4.8</v>
      </c>
      <c r="K4436">
        <v>17</v>
      </c>
      <c r="L4436">
        <f t="shared" si="208"/>
        <v>89.316299999999998</v>
      </c>
      <c r="M4436">
        <v>6</v>
      </c>
      <c r="N4436" t="str">
        <f t="shared" si="209"/>
        <v>Regular</v>
      </c>
    </row>
    <row r="4437" spans="1:14" x14ac:dyDescent="0.35">
      <c r="A4437">
        <v>4436</v>
      </c>
      <c r="B4437">
        <v>44</v>
      </c>
      <c r="C4437" t="str">
        <f t="shared" si="207"/>
        <v>Adult</v>
      </c>
      <c r="D4437" t="s">
        <v>16</v>
      </c>
      <c r="E4437" t="s">
        <v>20</v>
      </c>
      <c r="F4437" t="s">
        <v>21</v>
      </c>
      <c r="G4437">
        <v>150.15</v>
      </c>
      <c r="H4437" t="s">
        <v>19</v>
      </c>
      <c r="I4437" t="s">
        <v>15</v>
      </c>
      <c r="J4437">
        <v>3.5</v>
      </c>
      <c r="K4437">
        <v>20</v>
      </c>
      <c r="L4437">
        <f t="shared" si="208"/>
        <v>120.12</v>
      </c>
      <c r="M4437">
        <v>5</v>
      </c>
      <c r="N4437" t="str">
        <f t="shared" si="209"/>
        <v>Regular</v>
      </c>
    </row>
    <row r="4438" spans="1:14" x14ac:dyDescent="0.35">
      <c r="A4438">
        <v>4437</v>
      </c>
      <c r="B4438">
        <v>36</v>
      </c>
      <c r="C4438" t="str">
        <f t="shared" si="207"/>
        <v>Adult</v>
      </c>
      <c r="D4438" t="s">
        <v>16</v>
      </c>
      <c r="E4438" t="s">
        <v>20</v>
      </c>
      <c r="F4438" t="s">
        <v>39</v>
      </c>
      <c r="G4438">
        <v>97.03</v>
      </c>
      <c r="H4438" t="s">
        <v>31</v>
      </c>
      <c r="I4438" t="s">
        <v>15</v>
      </c>
      <c r="J4438">
        <v>3.4</v>
      </c>
      <c r="K4438">
        <v>6</v>
      </c>
      <c r="L4438">
        <f t="shared" si="208"/>
        <v>91.208199999999991</v>
      </c>
      <c r="M4438">
        <v>3</v>
      </c>
      <c r="N4438" t="str">
        <f t="shared" si="209"/>
        <v>New</v>
      </c>
    </row>
    <row r="4439" spans="1:14" x14ac:dyDescent="0.35">
      <c r="A4439">
        <v>4438</v>
      </c>
      <c r="B4439">
        <v>44</v>
      </c>
      <c r="C4439" t="str">
        <f t="shared" si="207"/>
        <v>Adult</v>
      </c>
      <c r="D4439" t="s">
        <v>11</v>
      </c>
      <c r="E4439" t="s">
        <v>20</v>
      </c>
      <c r="F4439" t="s">
        <v>36</v>
      </c>
      <c r="G4439">
        <v>129.12</v>
      </c>
      <c r="H4439" t="s">
        <v>31</v>
      </c>
      <c r="I4439" t="s">
        <v>15</v>
      </c>
      <c r="J4439">
        <v>5</v>
      </c>
      <c r="K4439">
        <v>20</v>
      </c>
      <c r="L4439">
        <f t="shared" si="208"/>
        <v>103.29600000000001</v>
      </c>
      <c r="M4439">
        <v>5</v>
      </c>
      <c r="N4439" t="str">
        <f t="shared" si="209"/>
        <v>Regular</v>
      </c>
    </row>
    <row r="4440" spans="1:14" x14ac:dyDescent="0.35">
      <c r="A4440">
        <v>4439</v>
      </c>
      <c r="B4440">
        <v>31</v>
      </c>
      <c r="C4440" t="str">
        <f t="shared" si="207"/>
        <v>Adult</v>
      </c>
      <c r="D4440" t="s">
        <v>11</v>
      </c>
      <c r="E4440" t="s">
        <v>33</v>
      </c>
      <c r="F4440" t="s">
        <v>38</v>
      </c>
      <c r="G4440">
        <v>75.930000000000007</v>
      </c>
      <c r="H4440" t="s">
        <v>14</v>
      </c>
      <c r="I4440" t="s">
        <v>15</v>
      </c>
      <c r="J4440">
        <v>3.5</v>
      </c>
      <c r="K4440">
        <v>18</v>
      </c>
      <c r="L4440">
        <f t="shared" si="208"/>
        <v>62.262600000000013</v>
      </c>
      <c r="M4440">
        <v>4</v>
      </c>
      <c r="N4440" t="str">
        <f t="shared" si="209"/>
        <v>Regular</v>
      </c>
    </row>
    <row r="4441" spans="1:14" x14ac:dyDescent="0.35">
      <c r="A4441">
        <v>4440</v>
      </c>
      <c r="B4441">
        <v>46</v>
      </c>
      <c r="C4441" t="str">
        <f t="shared" si="207"/>
        <v>Adult</v>
      </c>
      <c r="D4441" t="s">
        <v>11</v>
      </c>
      <c r="E4441" t="s">
        <v>41</v>
      </c>
      <c r="F4441" t="s">
        <v>45</v>
      </c>
      <c r="G4441">
        <v>181.75</v>
      </c>
      <c r="H4441" t="s">
        <v>24</v>
      </c>
      <c r="I4441" t="s">
        <v>15</v>
      </c>
      <c r="J4441">
        <v>4.3</v>
      </c>
      <c r="K4441">
        <v>8</v>
      </c>
      <c r="L4441">
        <f t="shared" si="208"/>
        <v>167.21</v>
      </c>
      <c r="M4441">
        <v>4</v>
      </c>
      <c r="N4441" t="str">
        <f t="shared" si="209"/>
        <v>Regular</v>
      </c>
    </row>
    <row r="4442" spans="1:14" x14ac:dyDescent="0.35">
      <c r="A4442">
        <v>4441</v>
      </c>
      <c r="B4442">
        <v>43</v>
      </c>
      <c r="C4442" t="str">
        <f t="shared" si="207"/>
        <v>Adult</v>
      </c>
      <c r="D4442" t="s">
        <v>16</v>
      </c>
      <c r="E4442" t="s">
        <v>27</v>
      </c>
      <c r="F4442" t="s">
        <v>28</v>
      </c>
      <c r="G4442">
        <v>1217.08</v>
      </c>
      <c r="H4442" t="s">
        <v>19</v>
      </c>
      <c r="I4442" t="s">
        <v>15</v>
      </c>
      <c r="J4442">
        <v>4.5999999999999996</v>
      </c>
      <c r="K4442">
        <v>20</v>
      </c>
      <c r="L4442">
        <f t="shared" si="208"/>
        <v>973.66399999999999</v>
      </c>
      <c r="M4442">
        <v>5</v>
      </c>
      <c r="N4442" t="str">
        <f t="shared" si="209"/>
        <v>Regular</v>
      </c>
    </row>
    <row r="4443" spans="1:14" x14ac:dyDescent="0.35">
      <c r="A4443">
        <v>4442</v>
      </c>
      <c r="B4443">
        <v>23</v>
      </c>
      <c r="C4443" t="str">
        <f t="shared" si="207"/>
        <v>Youth</v>
      </c>
      <c r="D4443" t="s">
        <v>11</v>
      </c>
      <c r="E4443" t="s">
        <v>33</v>
      </c>
      <c r="F4443" t="s">
        <v>40</v>
      </c>
      <c r="G4443">
        <v>241.42</v>
      </c>
      <c r="H4443" t="s">
        <v>19</v>
      </c>
      <c r="I4443" t="s">
        <v>15</v>
      </c>
      <c r="J4443">
        <v>5</v>
      </c>
      <c r="K4443">
        <v>8</v>
      </c>
      <c r="L4443">
        <f t="shared" si="208"/>
        <v>222.10640000000001</v>
      </c>
      <c r="M4443">
        <v>4</v>
      </c>
      <c r="N4443" t="str">
        <f t="shared" si="209"/>
        <v>Regular</v>
      </c>
    </row>
    <row r="4444" spans="1:14" x14ac:dyDescent="0.35">
      <c r="A4444">
        <v>4443</v>
      </c>
      <c r="B4444">
        <v>58</v>
      </c>
      <c r="C4444" t="str">
        <f t="shared" si="207"/>
        <v>Adult</v>
      </c>
      <c r="D4444" t="s">
        <v>16</v>
      </c>
      <c r="E4444" t="s">
        <v>27</v>
      </c>
      <c r="F4444" t="s">
        <v>49</v>
      </c>
      <c r="G4444">
        <v>1944.24</v>
      </c>
      <c r="H4444" t="s">
        <v>19</v>
      </c>
      <c r="I4444" t="s">
        <v>15</v>
      </c>
      <c r="J4444">
        <v>2.7</v>
      </c>
      <c r="K4444">
        <v>22</v>
      </c>
      <c r="L4444">
        <f t="shared" si="208"/>
        <v>1516.5072</v>
      </c>
      <c r="M4444">
        <v>6</v>
      </c>
      <c r="N4444" t="str">
        <f t="shared" si="209"/>
        <v>Regular</v>
      </c>
    </row>
    <row r="4445" spans="1:14" x14ac:dyDescent="0.35">
      <c r="A4445">
        <v>4444</v>
      </c>
      <c r="B4445">
        <v>22</v>
      </c>
      <c r="C4445" t="str">
        <f t="shared" si="207"/>
        <v>Youth</v>
      </c>
      <c r="D4445" t="s">
        <v>16</v>
      </c>
      <c r="E4445" t="s">
        <v>20</v>
      </c>
      <c r="F4445" t="s">
        <v>36</v>
      </c>
      <c r="G4445">
        <v>48.39</v>
      </c>
      <c r="H4445" t="s">
        <v>31</v>
      </c>
      <c r="I4445" t="s">
        <v>37</v>
      </c>
      <c r="J4445">
        <v>4</v>
      </c>
      <c r="K4445">
        <v>4</v>
      </c>
      <c r="L4445">
        <f t="shared" si="208"/>
        <v>46.4544</v>
      </c>
      <c r="M4445">
        <v>2</v>
      </c>
      <c r="N4445" t="str">
        <f t="shared" si="209"/>
        <v>New</v>
      </c>
    </row>
    <row r="4446" spans="1:14" x14ac:dyDescent="0.35">
      <c r="A4446">
        <v>4445</v>
      </c>
      <c r="B4446">
        <v>63</v>
      </c>
      <c r="C4446" t="str">
        <f t="shared" si="207"/>
        <v>Senior</v>
      </c>
      <c r="D4446" t="s">
        <v>11</v>
      </c>
      <c r="E4446" t="s">
        <v>12</v>
      </c>
      <c r="F4446" t="s">
        <v>50</v>
      </c>
      <c r="G4446">
        <v>107.47</v>
      </c>
      <c r="H4446" t="s">
        <v>14</v>
      </c>
      <c r="I4446" t="s">
        <v>15</v>
      </c>
      <c r="J4446">
        <v>2.2000000000000002</v>
      </c>
      <c r="K4446">
        <v>12</v>
      </c>
      <c r="L4446">
        <f t="shared" si="208"/>
        <v>94.573599999999999</v>
      </c>
      <c r="M4446">
        <v>1</v>
      </c>
      <c r="N4446" t="str">
        <f t="shared" si="209"/>
        <v>New</v>
      </c>
    </row>
    <row r="4447" spans="1:14" x14ac:dyDescent="0.35">
      <c r="A4447">
        <v>4446</v>
      </c>
      <c r="B4447">
        <v>62</v>
      </c>
      <c r="C4447" t="str">
        <f t="shared" si="207"/>
        <v>Senior</v>
      </c>
      <c r="D4447" t="s">
        <v>16</v>
      </c>
      <c r="E4447" t="s">
        <v>27</v>
      </c>
      <c r="F4447" t="s">
        <v>53</v>
      </c>
      <c r="G4447">
        <v>1763.47</v>
      </c>
      <c r="H4447" t="s">
        <v>14</v>
      </c>
      <c r="I4447" t="s">
        <v>15</v>
      </c>
      <c r="J4447">
        <v>4</v>
      </c>
      <c r="K4447">
        <v>20</v>
      </c>
      <c r="L4447">
        <f t="shared" si="208"/>
        <v>1410.7760000000001</v>
      </c>
      <c r="M4447">
        <v>5</v>
      </c>
      <c r="N4447" t="str">
        <f t="shared" si="209"/>
        <v>Regular</v>
      </c>
    </row>
    <row r="4448" spans="1:14" x14ac:dyDescent="0.35">
      <c r="A4448">
        <v>4447</v>
      </c>
      <c r="B4448">
        <v>69</v>
      </c>
      <c r="C4448" t="str">
        <f t="shared" si="207"/>
        <v>Senior</v>
      </c>
      <c r="D4448" t="s">
        <v>11</v>
      </c>
      <c r="E4448" t="s">
        <v>41</v>
      </c>
      <c r="F4448" t="s">
        <v>46</v>
      </c>
      <c r="G4448">
        <v>159.97999999999999</v>
      </c>
      <c r="H4448" t="s">
        <v>24</v>
      </c>
      <c r="I4448" t="s">
        <v>15</v>
      </c>
      <c r="J4448">
        <v>2.9</v>
      </c>
      <c r="K4448">
        <v>24</v>
      </c>
      <c r="L4448">
        <f t="shared" si="208"/>
        <v>121.58479999999999</v>
      </c>
      <c r="M4448">
        <v>7</v>
      </c>
      <c r="N4448" t="str">
        <f t="shared" si="209"/>
        <v>Regular</v>
      </c>
    </row>
    <row r="4449" spans="1:14" x14ac:dyDescent="0.35">
      <c r="A4449">
        <v>4448</v>
      </c>
      <c r="B4449">
        <v>36</v>
      </c>
      <c r="C4449" t="str">
        <f t="shared" si="207"/>
        <v>Adult</v>
      </c>
      <c r="D4449" t="s">
        <v>16</v>
      </c>
      <c r="E4449" t="s">
        <v>25</v>
      </c>
      <c r="F4449" t="s">
        <v>54</v>
      </c>
      <c r="G4449">
        <v>60.71</v>
      </c>
      <c r="H4449" t="s">
        <v>24</v>
      </c>
      <c r="I4449" t="s">
        <v>37</v>
      </c>
      <c r="J4449">
        <v>4.5</v>
      </c>
      <c r="K4449">
        <v>16</v>
      </c>
      <c r="L4449">
        <f t="shared" si="208"/>
        <v>50.996400000000001</v>
      </c>
      <c r="M4449">
        <v>3</v>
      </c>
      <c r="N4449" t="str">
        <f t="shared" si="209"/>
        <v>New</v>
      </c>
    </row>
    <row r="4450" spans="1:14" x14ac:dyDescent="0.35">
      <c r="A4450">
        <v>4449</v>
      </c>
      <c r="B4450">
        <v>46</v>
      </c>
      <c r="C4450" t="str">
        <f t="shared" si="207"/>
        <v>Adult</v>
      </c>
      <c r="D4450" t="s">
        <v>11</v>
      </c>
      <c r="E4450" t="s">
        <v>22</v>
      </c>
      <c r="F4450" t="s">
        <v>43</v>
      </c>
      <c r="G4450">
        <v>118.81</v>
      </c>
      <c r="H4450" t="s">
        <v>14</v>
      </c>
      <c r="I4450" t="s">
        <v>15</v>
      </c>
      <c r="J4450">
        <v>4.0999999999999996</v>
      </c>
      <c r="K4450">
        <v>16</v>
      </c>
      <c r="L4450">
        <f t="shared" si="208"/>
        <v>99.800399999999996</v>
      </c>
      <c r="M4450">
        <v>3</v>
      </c>
      <c r="N4450" t="str">
        <f t="shared" si="209"/>
        <v>New</v>
      </c>
    </row>
    <row r="4451" spans="1:14" x14ac:dyDescent="0.35">
      <c r="A4451">
        <v>4450</v>
      </c>
      <c r="B4451">
        <v>53</v>
      </c>
      <c r="C4451" t="str">
        <f t="shared" si="207"/>
        <v>Adult</v>
      </c>
      <c r="D4451" t="s">
        <v>16</v>
      </c>
      <c r="E4451" t="s">
        <v>20</v>
      </c>
      <c r="F4451" t="s">
        <v>21</v>
      </c>
      <c r="G4451">
        <v>115.93</v>
      </c>
      <c r="H4451" t="s">
        <v>31</v>
      </c>
      <c r="I4451" t="s">
        <v>15</v>
      </c>
      <c r="J4451">
        <v>3</v>
      </c>
      <c r="K4451">
        <v>6</v>
      </c>
      <c r="L4451">
        <f t="shared" si="208"/>
        <v>108.9742</v>
      </c>
      <c r="M4451">
        <v>3</v>
      </c>
      <c r="N4451" t="str">
        <f t="shared" si="209"/>
        <v>New</v>
      </c>
    </row>
    <row r="4452" spans="1:14" x14ac:dyDescent="0.35">
      <c r="A4452">
        <v>4451</v>
      </c>
      <c r="B4452">
        <v>20</v>
      </c>
      <c r="C4452" t="str">
        <f t="shared" si="207"/>
        <v>Youth</v>
      </c>
      <c r="D4452" t="s">
        <v>11</v>
      </c>
      <c r="E4452" t="s">
        <v>29</v>
      </c>
      <c r="F4452" t="s">
        <v>30</v>
      </c>
      <c r="G4452">
        <v>109.6</v>
      </c>
      <c r="H4452" t="s">
        <v>24</v>
      </c>
      <c r="I4452" t="s">
        <v>15</v>
      </c>
      <c r="J4452">
        <v>4.4000000000000004</v>
      </c>
      <c r="K4452">
        <v>16</v>
      </c>
      <c r="L4452">
        <f t="shared" si="208"/>
        <v>92.063999999999993</v>
      </c>
      <c r="M4452">
        <v>8</v>
      </c>
      <c r="N4452" t="str">
        <f t="shared" si="209"/>
        <v>Loyal</v>
      </c>
    </row>
    <row r="4453" spans="1:14" x14ac:dyDescent="0.35">
      <c r="A4453">
        <v>4452</v>
      </c>
      <c r="B4453">
        <v>48</v>
      </c>
      <c r="C4453" t="str">
        <f t="shared" si="207"/>
        <v>Adult</v>
      </c>
      <c r="D4453" t="s">
        <v>16</v>
      </c>
      <c r="E4453" t="s">
        <v>33</v>
      </c>
      <c r="F4453" t="s">
        <v>34</v>
      </c>
      <c r="G4453">
        <v>197.83</v>
      </c>
      <c r="H4453" t="s">
        <v>14</v>
      </c>
      <c r="I4453" t="s">
        <v>15</v>
      </c>
      <c r="J4453">
        <v>3.4</v>
      </c>
      <c r="K4453">
        <v>17</v>
      </c>
      <c r="L4453">
        <f t="shared" si="208"/>
        <v>164.19890000000001</v>
      </c>
      <c r="M4453">
        <v>6</v>
      </c>
      <c r="N4453" t="str">
        <f t="shared" si="209"/>
        <v>Regular</v>
      </c>
    </row>
    <row r="4454" spans="1:14" x14ac:dyDescent="0.35">
      <c r="A4454">
        <v>4453</v>
      </c>
      <c r="B4454">
        <v>29</v>
      </c>
      <c r="C4454" t="str">
        <f t="shared" si="207"/>
        <v>Youth</v>
      </c>
      <c r="D4454" t="s">
        <v>11</v>
      </c>
      <c r="E4454" t="s">
        <v>33</v>
      </c>
      <c r="F4454" t="s">
        <v>40</v>
      </c>
      <c r="G4454">
        <v>68.819999999999993</v>
      </c>
      <c r="H4454" t="s">
        <v>31</v>
      </c>
      <c r="I4454" t="s">
        <v>15</v>
      </c>
      <c r="J4454">
        <v>3.6</v>
      </c>
      <c r="K4454">
        <v>0</v>
      </c>
      <c r="L4454">
        <f t="shared" si="208"/>
        <v>68.819999999999993</v>
      </c>
      <c r="M4454">
        <v>0</v>
      </c>
      <c r="N4454" t="str">
        <f t="shared" si="209"/>
        <v>New</v>
      </c>
    </row>
    <row r="4455" spans="1:14" x14ac:dyDescent="0.35">
      <c r="A4455">
        <v>4454</v>
      </c>
      <c r="B4455">
        <v>43</v>
      </c>
      <c r="C4455" t="str">
        <f t="shared" si="207"/>
        <v>Adult</v>
      </c>
      <c r="D4455" t="s">
        <v>16</v>
      </c>
      <c r="E4455" t="s">
        <v>17</v>
      </c>
      <c r="F4455" t="s">
        <v>35</v>
      </c>
      <c r="G4455">
        <v>112.21</v>
      </c>
      <c r="H4455" t="s">
        <v>31</v>
      </c>
      <c r="I4455" t="s">
        <v>15</v>
      </c>
      <c r="J4455">
        <v>4.0999999999999996</v>
      </c>
      <c r="K4455">
        <v>12</v>
      </c>
      <c r="L4455">
        <f t="shared" si="208"/>
        <v>98.744799999999998</v>
      </c>
      <c r="M4455">
        <v>6</v>
      </c>
      <c r="N4455" t="str">
        <f t="shared" si="209"/>
        <v>Regular</v>
      </c>
    </row>
    <row r="4456" spans="1:14" x14ac:dyDescent="0.35">
      <c r="A4456">
        <v>4455</v>
      </c>
      <c r="B4456">
        <v>37</v>
      </c>
      <c r="C4456" t="str">
        <f t="shared" si="207"/>
        <v>Adult</v>
      </c>
      <c r="D4456" t="s">
        <v>16</v>
      </c>
      <c r="E4456" t="s">
        <v>33</v>
      </c>
      <c r="F4456" t="s">
        <v>38</v>
      </c>
      <c r="G4456">
        <v>75.17</v>
      </c>
      <c r="H4456" t="s">
        <v>14</v>
      </c>
      <c r="I4456" t="s">
        <v>15</v>
      </c>
      <c r="J4456">
        <v>2.9</v>
      </c>
      <c r="K4456">
        <v>11</v>
      </c>
      <c r="L4456">
        <f t="shared" si="208"/>
        <v>66.901300000000006</v>
      </c>
      <c r="M4456">
        <v>3</v>
      </c>
      <c r="N4456" t="str">
        <f t="shared" si="209"/>
        <v>New</v>
      </c>
    </row>
    <row r="4457" spans="1:14" x14ac:dyDescent="0.35">
      <c r="A4457">
        <v>4456</v>
      </c>
      <c r="B4457">
        <v>49</v>
      </c>
      <c r="C4457" t="str">
        <f t="shared" si="207"/>
        <v>Adult</v>
      </c>
      <c r="D4457" t="s">
        <v>16</v>
      </c>
      <c r="E4457" t="s">
        <v>27</v>
      </c>
      <c r="F4457" t="s">
        <v>53</v>
      </c>
      <c r="G4457">
        <v>2429.83</v>
      </c>
      <c r="H4457" t="s">
        <v>24</v>
      </c>
      <c r="I4457" t="s">
        <v>15</v>
      </c>
      <c r="J4457">
        <v>2.9</v>
      </c>
      <c r="K4457">
        <v>18</v>
      </c>
      <c r="L4457">
        <f t="shared" si="208"/>
        <v>1992.4606000000001</v>
      </c>
      <c r="M4457">
        <v>9</v>
      </c>
      <c r="N4457" t="str">
        <f t="shared" si="209"/>
        <v>Loyal</v>
      </c>
    </row>
    <row r="4458" spans="1:14" x14ac:dyDescent="0.35">
      <c r="A4458">
        <v>4457</v>
      </c>
      <c r="B4458">
        <v>38</v>
      </c>
      <c r="C4458" t="str">
        <f t="shared" si="207"/>
        <v>Adult</v>
      </c>
      <c r="D4458" t="s">
        <v>16</v>
      </c>
      <c r="E4458" t="s">
        <v>27</v>
      </c>
      <c r="F4458" t="s">
        <v>53</v>
      </c>
      <c r="G4458">
        <v>1961.17</v>
      </c>
      <c r="H4458" t="s">
        <v>31</v>
      </c>
      <c r="I4458" t="s">
        <v>15</v>
      </c>
      <c r="J4458">
        <v>2.9</v>
      </c>
      <c r="K4458">
        <v>26</v>
      </c>
      <c r="L4458">
        <f t="shared" si="208"/>
        <v>1451.2658000000001</v>
      </c>
      <c r="M4458">
        <v>8</v>
      </c>
      <c r="N4458" t="str">
        <f t="shared" si="209"/>
        <v>Loyal</v>
      </c>
    </row>
    <row r="4459" spans="1:14" x14ac:dyDescent="0.35">
      <c r="A4459">
        <v>4458</v>
      </c>
      <c r="B4459">
        <v>41</v>
      </c>
      <c r="C4459" t="str">
        <f t="shared" si="207"/>
        <v>Adult</v>
      </c>
      <c r="D4459" t="s">
        <v>11</v>
      </c>
      <c r="E4459" t="s">
        <v>33</v>
      </c>
      <c r="F4459" t="s">
        <v>38</v>
      </c>
      <c r="G4459">
        <v>119.89</v>
      </c>
      <c r="H4459" t="s">
        <v>24</v>
      </c>
      <c r="I4459" t="s">
        <v>15</v>
      </c>
      <c r="J4459">
        <v>3.6</v>
      </c>
      <c r="K4459">
        <v>11</v>
      </c>
      <c r="L4459">
        <f t="shared" si="208"/>
        <v>106.7021</v>
      </c>
      <c r="M4459">
        <v>3</v>
      </c>
      <c r="N4459" t="str">
        <f t="shared" si="209"/>
        <v>New</v>
      </c>
    </row>
    <row r="4460" spans="1:14" x14ac:dyDescent="0.35">
      <c r="A4460">
        <v>4459</v>
      </c>
      <c r="B4460">
        <v>25</v>
      </c>
      <c r="C4460" t="str">
        <f t="shared" si="207"/>
        <v>Youth</v>
      </c>
      <c r="D4460" t="s">
        <v>11</v>
      </c>
      <c r="E4460" t="s">
        <v>25</v>
      </c>
      <c r="F4460" t="s">
        <v>54</v>
      </c>
      <c r="G4460">
        <v>78.319999999999993</v>
      </c>
      <c r="H4460" t="s">
        <v>24</v>
      </c>
      <c r="I4460" t="s">
        <v>37</v>
      </c>
      <c r="J4460">
        <v>4.5999999999999996</v>
      </c>
      <c r="K4460">
        <v>24</v>
      </c>
      <c r="L4460">
        <f t="shared" si="208"/>
        <v>59.523199999999996</v>
      </c>
      <c r="M4460">
        <v>7</v>
      </c>
      <c r="N4460" t="str">
        <f t="shared" si="209"/>
        <v>Regular</v>
      </c>
    </row>
    <row r="4461" spans="1:14" x14ac:dyDescent="0.35">
      <c r="A4461">
        <v>4460</v>
      </c>
      <c r="B4461">
        <v>55</v>
      </c>
      <c r="C4461" t="str">
        <f t="shared" si="207"/>
        <v>Adult</v>
      </c>
      <c r="D4461" t="s">
        <v>16</v>
      </c>
      <c r="E4461" t="s">
        <v>27</v>
      </c>
      <c r="F4461" t="s">
        <v>28</v>
      </c>
      <c r="G4461">
        <v>1710.6</v>
      </c>
      <c r="H4461" t="s">
        <v>14</v>
      </c>
      <c r="I4461" t="s">
        <v>15</v>
      </c>
      <c r="J4461">
        <v>4</v>
      </c>
      <c r="K4461">
        <v>16</v>
      </c>
      <c r="L4461">
        <f t="shared" si="208"/>
        <v>1436.9039999999998</v>
      </c>
      <c r="M4461">
        <v>3</v>
      </c>
      <c r="N4461" t="str">
        <f t="shared" si="209"/>
        <v>New</v>
      </c>
    </row>
    <row r="4462" spans="1:14" x14ac:dyDescent="0.35">
      <c r="A4462">
        <v>4461</v>
      </c>
      <c r="B4462">
        <v>47</v>
      </c>
      <c r="C4462" t="str">
        <f t="shared" si="207"/>
        <v>Adult</v>
      </c>
      <c r="D4462" t="s">
        <v>11</v>
      </c>
      <c r="E4462" t="s">
        <v>33</v>
      </c>
      <c r="F4462" t="s">
        <v>38</v>
      </c>
      <c r="G4462">
        <v>148.86000000000001</v>
      </c>
      <c r="H4462" t="s">
        <v>14</v>
      </c>
      <c r="I4462" t="s">
        <v>15</v>
      </c>
      <c r="J4462">
        <v>3.4</v>
      </c>
      <c r="K4462">
        <v>16</v>
      </c>
      <c r="L4462">
        <f t="shared" si="208"/>
        <v>125.0424</v>
      </c>
      <c r="M4462">
        <v>3</v>
      </c>
      <c r="N4462" t="str">
        <f t="shared" si="209"/>
        <v>New</v>
      </c>
    </row>
    <row r="4463" spans="1:14" x14ac:dyDescent="0.35">
      <c r="A4463">
        <v>4462</v>
      </c>
      <c r="B4463">
        <v>70</v>
      </c>
      <c r="C4463" t="str">
        <f t="shared" si="207"/>
        <v>Senior</v>
      </c>
      <c r="D4463" t="s">
        <v>16</v>
      </c>
      <c r="E4463" t="s">
        <v>22</v>
      </c>
      <c r="F4463" t="s">
        <v>23</v>
      </c>
      <c r="G4463">
        <v>194.65</v>
      </c>
      <c r="H4463" t="s">
        <v>31</v>
      </c>
      <c r="I4463" t="s">
        <v>15</v>
      </c>
      <c r="J4463">
        <v>3.3</v>
      </c>
      <c r="K4463">
        <v>12</v>
      </c>
      <c r="L4463">
        <f t="shared" si="208"/>
        <v>171.292</v>
      </c>
      <c r="M4463">
        <v>6</v>
      </c>
      <c r="N4463" t="str">
        <f t="shared" si="209"/>
        <v>Regular</v>
      </c>
    </row>
    <row r="4464" spans="1:14" x14ac:dyDescent="0.35">
      <c r="A4464">
        <v>4463</v>
      </c>
      <c r="B4464">
        <v>59</v>
      </c>
      <c r="C4464" t="str">
        <f t="shared" si="207"/>
        <v>Adult</v>
      </c>
      <c r="D4464" t="s">
        <v>11</v>
      </c>
      <c r="E4464" t="s">
        <v>29</v>
      </c>
      <c r="F4464" t="s">
        <v>30</v>
      </c>
      <c r="G4464">
        <v>58.65</v>
      </c>
      <c r="H4464" t="s">
        <v>14</v>
      </c>
      <c r="I4464" t="s">
        <v>37</v>
      </c>
      <c r="J4464">
        <v>3.3</v>
      </c>
      <c r="K4464">
        <v>12</v>
      </c>
      <c r="L4464">
        <f t="shared" si="208"/>
        <v>51.612000000000002</v>
      </c>
      <c r="M4464">
        <v>6</v>
      </c>
      <c r="N4464" t="str">
        <f t="shared" si="209"/>
        <v>Regular</v>
      </c>
    </row>
    <row r="4465" spans="1:14" x14ac:dyDescent="0.35">
      <c r="A4465">
        <v>4464</v>
      </c>
      <c r="B4465">
        <v>21</v>
      </c>
      <c r="C4465" t="str">
        <f t="shared" si="207"/>
        <v>Youth</v>
      </c>
      <c r="D4465" t="s">
        <v>11</v>
      </c>
      <c r="E4465" t="s">
        <v>33</v>
      </c>
      <c r="F4465" t="s">
        <v>38</v>
      </c>
      <c r="G4465">
        <v>228.61</v>
      </c>
      <c r="H4465" t="s">
        <v>14</v>
      </c>
      <c r="I4465" t="s">
        <v>15</v>
      </c>
      <c r="J4465">
        <v>2.5</v>
      </c>
      <c r="K4465">
        <v>10</v>
      </c>
      <c r="L4465">
        <f t="shared" si="208"/>
        <v>205.74900000000002</v>
      </c>
      <c r="M4465">
        <v>5</v>
      </c>
      <c r="N4465" t="str">
        <f t="shared" si="209"/>
        <v>Regular</v>
      </c>
    </row>
    <row r="4466" spans="1:14" x14ac:dyDescent="0.35">
      <c r="A4466">
        <v>4465</v>
      </c>
      <c r="B4466">
        <v>62</v>
      </c>
      <c r="C4466" t="str">
        <f t="shared" si="207"/>
        <v>Senior</v>
      </c>
      <c r="D4466" t="s">
        <v>16</v>
      </c>
      <c r="E4466" t="s">
        <v>27</v>
      </c>
      <c r="F4466" t="s">
        <v>28</v>
      </c>
      <c r="G4466">
        <v>2057.65</v>
      </c>
      <c r="H4466" t="s">
        <v>19</v>
      </c>
      <c r="I4466" t="s">
        <v>15</v>
      </c>
      <c r="J4466">
        <v>4.0999999999999996</v>
      </c>
      <c r="K4466">
        <v>24</v>
      </c>
      <c r="L4466">
        <f t="shared" si="208"/>
        <v>1563.8140000000001</v>
      </c>
      <c r="M4466">
        <v>7</v>
      </c>
      <c r="N4466" t="str">
        <f t="shared" si="209"/>
        <v>Regular</v>
      </c>
    </row>
    <row r="4467" spans="1:14" x14ac:dyDescent="0.35">
      <c r="A4467">
        <v>4466</v>
      </c>
      <c r="B4467">
        <v>25</v>
      </c>
      <c r="C4467" t="str">
        <f t="shared" si="207"/>
        <v>Youth</v>
      </c>
      <c r="D4467" t="s">
        <v>11</v>
      </c>
      <c r="E4467" t="s">
        <v>33</v>
      </c>
      <c r="F4467" t="s">
        <v>38</v>
      </c>
      <c r="G4467">
        <v>138.83000000000001</v>
      </c>
      <c r="H4467" t="s">
        <v>31</v>
      </c>
      <c r="I4467" t="s">
        <v>15</v>
      </c>
      <c r="J4467">
        <v>3.8</v>
      </c>
      <c r="K4467">
        <v>20</v>
      </c>
      <c r="L4467">
        <f t="shared" si="208"/>
        <v>111.06400000000002</v>
      </c>
      <c r="M4467">
        <v>5</v>
      </c>
      <c r="N4467" t="str">
        <f t="shared" si="209"/>
        <v>Regular</v>
      </c>
    </row>
    <row r="4468" spans="1:14" x14ac:dyDescent="0.35">
      <c r="A4468">
        <v>4467</v>
      </c>
      <c r="B4468">
        <v>23</v>
      </c>
      <c r="C4468" t="str">
        <f t="shared" si="207"/>
        <v>Youth</v>
      </c>
      <c r="D4468" t="s">
        <v>16</v>
      </c>
      <c r="E4468" t="s">
        <v>17</v>
      </c>
      <c r="F4468" t="s">
        <v>18</v>
      </c>
      <c r="G4468">
        <v>106.76</v>
      </c>
      <c r="H4468" t="s">
        <v>31</v>
      </c>
      <c r="I4468" t="s">
        <v>15</v>
      </c>
      <c r="J4468">
        <v>4.5</v>
      </c>
      <c r="K4468">
        <v>20</v>
      </c>
      <c r="L4468">
        <f t="shared" si="208"/>
        <v>85.408000000000015</v>
      </c>
      <c r="M4468">
        <v>5</v>
      </c>
      <c r="N4468" t="str">
        <f t="shared" si="209"/>
        <v>Regular</v>
      </c>
    </row>
    <row r="4469" spans="1:14" x14ac:dyDescent="0.35">
      <c r="A4469">
        <v>4468</v>
      </c>
      <c r="B4469">
        <v>62</v>
      </c>
      <c r="C4469" t="str">
        <f t="shared" si="207"/>
        <v>Senior</v>
      </c>
      <c r="D4469" t="s">
        <v>16</v>
      </c>
      <c r="E4469" t="s">
        <v>27</v>
      </c>
      <c r="F4469" t="s">
        <v>53</v>
      </c>
      <c r="G4469">
        <v>2593.67</v>
      </c>
      <c r="H4469" t="s">
        <v>14</v>
      </c>
      <c r="I4469" t="s">
        <v>15</v>
      </c>
      <c r="J4469">
        <v>2.9</v>
      </c>
      <c r="K4469">
        <v>10</v>
      </c>
      <c r="L4469">
        <f t="shared" si="208"/>
        <v>2334.3030000000003</v>
      </c>
      <c r="M4469">
        <v>5</v>
      </c>
      <c r="N4469" t="str">
        <f t="shared" si="209"/>
        <v>Regular</v>
      </c>
    </row>
    <row r="4470" spans="1:14" x14ac:dyDescent="0.35">
      <c r="A4470">
        <v>4469</v>
      </c>
      <c r="B4470">
        <v>30</v>
      </c>
      <c r="C4470" t="str">
        <f t="shared" si="207"/>
        <v>Youth</v>
      </c>
      <c r="D4470" t="s">
        <v>16</v>
      </c>
      <c r="E4470" t="s">
        <v>17</v>
      </c>
      <c r="F4470" t="s">
        <v>48</v>
      </c>
      <c r="G4470">
        <v>195.55</v>
      </c>
      <c r="H4470" t="s">
        <v>19</v>
      </c>
      <c r="I4470" t="s">
        <v>15</v>
      </c>
      <c r="J4470">
        <v>3.9</v>
      </c>
      <c r="K4470">
        <v>18</v>
      </c>
      <c r="L4470">
        <f t="shared" si="208"/>
        <v>160.35100000000003</v>
      </c>
      <c r="M4470">
        <v>4</v>
      </c>
      <c r="N4470" t="str">
        <f t="shared" si="209"/>
        <v>Regular</v>
      </c>
    </row>
    <row r="4471" spans="1:14" x14ac:dyDescent="0.35">
      <c r="A4471">
        <v>4470</v>
      </c>
      <c r="B4471">
        <v>69</v>
      </c>
      <c r="C4471" t="str">
        <f t="shared" si="207"/>
        <v>Senior</v>
      </c>
      <c r="D4471" t="s">
        <v>16</v>
      </c>
      <c r="E4471" t="s">
        <v>22</v>
      </c>
      <c r="F4471" t="s">
        <v>52</v>
      </c>
      <c r="G4471">
        <v>127.32</v>
      </c>
      <c r="H4471" t="s">
        <v>19</v>
      </c>
      <c r="I4471" t="s">
        <v>15</v>
      </c>
      <c r="J4471">
        <v>3.5</v>
      </c>
      <c r="K4471">
        <v>4</v>
      </c>
      <c r="L4471">
        <f t="shared" si="208"/>
        <v>122.22719999999998</v>
      </c>
      <c r="M4471">
        <v>2</v>
      </c>
      <c r="N4471" t="str">
        <f t="shared" si="209"/>
        <v>New</v>
      </c>
    </row>
    <row r="4472" spans="1:14" x14ac:dyDescent="0.35">
      <c r="A4472">
        <v>4471</v>
      </c>
      <c r="B4472">
        <v>29</v>
      </c>
      <c r="C4472" t="str">
        <f t="shared" si="207"/>
        <v>Youth</v>
      </c>
      <c r="D4472" t="s">
        <v>16</v>
      </c>
      <c r="E4472" t="s">
        <v>33</v>
      </c>
      <c r="F4472" t="s">
        <v>34</v>
      </c>
      <c r="G4472">
        <v>86.48</v>
      </c>
      <c r="H4472" t="s">
        <v>19</v>
      </c>
      <c r="I4472" t="s">
        <v>15</v>
      </c>
      <c r="J4472">
        <v>3.7</v>
      </c>
      <c r="K4472">
        <v>11</v>
      </c>
      <c r="L4472">
        <f t="shared" si="208"/>
        <v>76.967200000000005</v>
      </c>
      <c r="M4472">
        <v>3</v>
      </c>
      <c r="N4472" t="str">
        <f t="shared" si="209"/>
        <v>New</v>
      </c>
    </row>
    <row r="4473" spans="1:14" x14ac:dyDescent="0.35">
      <c r="A4473">
        <v>4472</v>
      </c>
      <c r="B4473">
        <v>21</v>
      </c>
      <c r="C4473" t="str">
        <f t="shared" si="207"/>
        <v>Youth</v>
      </c>
      <c r="D4473" t="s">
        <v>11</v>
      </c>
      <c r="E4473" t="s">
        <v>29</v>
      </c>
      <c r="F4473" t="s">
        <v>55</v>
      </c>
      <c r="G4473">
        <v>109.66</v>
      </c>
      <c r="H4473" t="s">
        <v>24</v>
      </c>
      <c r="I4473" t="s">
        <v>15</v>
      </c>
      <c r="J4473">
        <v>3.5</v>
      </c>
      <c r="K4473">
        <v>16</v>
      </c>
      <c r="L4473">
        <f t="shared" si="208"/>
        <v>92.114399999999989</v>
      </c>
      <c r="M4473">
        <v>8</v>
      </c>
      <c r="N4473" t="str">
        <f t="shared" si="209"/>
        <v>Loyal</v>
      </c>
    </row>
    <row r="4474" spans="1:14" x14ac:dyDescent="0.35">
      <c r="A4474">
        <v>4473</v>
      </c>
      <c r="B4474">
        <v>57</v>
      </c>
      <c r="C4474" t="str">
        <f t="shared" si="207"/>
        <v>Adult</v>
      </c>
      <c r="D4474" t="s">
        <v>11</v>
      </c>
      <c r="E4474" t="s">
        <v>12</v>
      </c>
      <c r="F4474" t="s">
        <v>13</v>
      </c>
      <c r="G4474">
        <v>63.39</v>
      </c>
      <c r="H4474" t="s">
        <v>24</v>
      </c>
      <c r="I4474" t="s">
        <v>37</v>
      </c>
      <c r="J4474">
        <v>4</v>
      </c>
      <c r="K4474">
        <v>17</v>
      </c>
      <c r="L4474">
        <f t="shared" si="208"/>
        <v>52.613700000000001</v>
      </c>
      <c r="M4474">
        <v>6</v>
      </c>
      <c r="N4474" t="str">
        <f t="shared" si="209"/>
        <v>Regular</v>
      </c>
    </row>
    <row r="4475" spans="1:14" x14ac:dyDescent="0.35">
      <c r="A4475">
        <v>4474</v>
      </c>
      <c r="B4475">
        <v>61</v>
      </c>
      <c r="C4475" t="str">
        <f t="shared" si="207"/>
        <v>Senior</v>
      </c>
      <c r="D4475" t="s">
        <v>11</v>
      </c>
      <c r="E4475" t="s">
        <v>41</v>
      </c>
      <c r="F4475" t="s">
        <v>45</v>
      </c>
      <c r="G4475">
        <v>198.86</v>
      </c>
      <c r="H4475" t="s">
        <v>24</v>
      </c>
      <c r="I4475" t="s">
        <v>15</v>
      </c>
      <c r="J4475">
        <v>3.5</v>
      </c>
      <c r="K4475">
        <v>15</v>
      </c>
      <c r="L4475">
        <f t="shared" si="208"/>
        <v>169.03100000000001</v>
      </c>
      <c r="M4475">
        <v>5</v>
      </c>
      <c r="N4475" t="str">
        <f t="shared" si="209"/>
        <v>Regular</v>
      </c>
    </row>
    <row r="4476" spans="1:14" x14ac:dyDescent="0.35">
      <c r="A4476">
        <v>4475</v>
      </c>
      <c r="B4476">
        <v>29</v>
      </c>
      <c r="C4476" t="str">
        <f t="shared" si="207"/>
        <v>Youth</v>
      </c>
      <c r="D4476" t="s">
        <v>11</v>
      </c>
      <c r="E4476" t="s">
        <v>29</v>
      </c>
      <c r="F4476" t="s">
        <v>51</v>
      </c>
      <c r="G4476">
        <v>143.68</v>
      </c>
      <c r="H4476" t="s">
        <v>19</v>
      </c>
      <c r="I4476" t="s">
        <v>15</v>
      </c>
      <c r="J4476">
        <v>3.5</v>
      </c>
      <c r="K4476">
        <v>11</v>
      </c>
      <c r="L4476">
        <f t="shared" si="208"/>
        <v>127.87520000000001</v>
      </c>
      <c r="M4476">
        <v>3</v>
      </c>
      <c r="N4476" t="str">
        <f t="shared" si="209"/>
        <v>New</v>
      </c>
    </row>
    <row r="4477" spans="1:14" x14ac:dyDescent="0.35">
      <c r="A4477">
        <v>4476</v>
      </c>
      <c r="B4477">
        <v>44</v>
      </c>
      <c r="C4477" t="str">
        <f t="shared" si="207"/>
        <v>Adult</v>
      </c>
      <c r="D4477" t="s">
        <v>16</v>
      </c>
      <c r="E4477" t="s">
        <v>27</v>
      </c>
      <c r="F4477" t="s">
        <v>28</v>
      </c>
      <c r="G4477">
        <v>605.67999999999995</v>
      </c>
      <c r="H4477" t="s">
        <v>31</v>
      </c>
      <c r="I4477" t="s">
        <v>15</v>
      </c>
      <c r="J4477">
        <v>3</v>
      </c>
      <c r="K4477">
        <v>20</v>
      </c>
      <c r="L4477">
        <f t="shared" si="208"/>
        <v>484.54399999999998</v>
      </c>
      <c r="M4477">
        <v>5</v>
      </c>
      <c r="N4477" t="str">
        <f t="shared" si="209"/>
        <v>Regular</v>
      </c>
    </row>
    <row r="4478" spans="1:14" x14ac:dyDescent="0.35">
      <c r="A4478">
        <v>4477</v>
      </c>
      <c r="B4478">
        <v>24</v>
      </c>
      <c r="C4478" t="str">
        <f t="shared" si="207"/>
        <v>Youth</v>
      </c>
      <c r="D4478" t="s">
        <v>11</v>
      </c>
      <c r="E4478" t="s">
        <v>33</v>
      </c>
      <c r="F4478" t="s">
        <v>34</v>
      </c>
      <c r="G4478">
        <v>52.58</v>
      </c>
      <c r="H4478" t="s">
        <v>14</v>
      </c>
      <c r="I4478" t="s">
        <v>37</v>
      </c>
      <c r="J4478">
        <v>2.4</v>
      </c>
      <c r="K4478">
        <v>13</v>
      </c>
      <c r="L4478">
        <f t="shared" si="208"/>
        <v>45.744599999999998</v>
      </c>
      <c r="M4478">
        <v>4</v>
      </c>
      <c r="N4478" t="str">
        <f t="shared" si="209"/>
        <v>Regular</v>
      </c>
    </row>
    <row r="4479" spans="1:14" x14ac:dyDescent="0.35">
      <c r="A4479">
        <v>4478</v>
      </c>
      <c r="B4479">
        <v>51</v>
      </c>
      <c r="C4479" t="str">
        <f t="shared" si="207"/>
        <v>Adult</v>
      </c>
      <c r="D4479" t="s">
        <v>16</v>
      </c>
      <c r="E4479" t="s">
        <v>20</v>
      </c>
      <c r="F4479" t="s">
        <v>36</v>
      </c>
      <c r="G4479">
        <v>179.61</v>
      </c>
      <c r="H4479" t="s">
        <v>14</v>
      </c>
      <c r="I4479" t="s">
        <v>15</v>
      </c>
      <c r="J4479">
        <v>2.9</v>
      </c>
      <c r="K4479">
        <v>9</v>
      </c>
      <c r="L4479">
        <f t="shared" si="208"/>
        <v>163.44510000000002</v>
      </c>
      <c r="M4479">
        <v>2</v>
      </c>
      <c r="N4479" t="str">
        <f t="shared" si="209"/>
        <v>New</v>
      </c>
    </row>
    <row r="4480" spans="1:14" x14ac:dyDescent="0.35">
      <c r="A4480">
        <v>4479</v>
      </c>
      <c r="B4480">
        <v>35</v>
      </c>
      <c r="C4480" t="str">
        <f t="shared" si="207"/>
        <v>Adult</v>
      </c>
      <c r="D4480" t="s">
        <v>11</v>
      </c>
      <c r="E4480" t="s">
        <v>41</v>
      </c>
      <c r="F4480" t="s">
        <v>46</v>
      </c>
      <c r="G4480">
        <v>170.61</v>
      </c>
      <c r="H4480" t="s">
        <v>19</v>
      </c>
      <c r="I4480" t="s">
        <v>15</v>
      </c>
      <c r="J4480">
        <v>4.3</v>
      </c>
      <c r="K4480">
        <v>24</v>
      </c>
      <c r="L4480">
        <f t="shared" si="208"/>
        <v>129.6636</v>
      </c>
      <c r="M4480">
        <v>7</v>
      </c>
      <c r="N4480" t="str">
        <f t="shared" si="209"/>
        <v>Regular</v>
      </c>
    </row>
    <row r="4481" spans="1:14" x14ac:dyDescent="0.35">
      <c r="A4481">
        <v>4480</v>
      </c>
      <c r="B4481">
        <v>61</v>
      </c>
      <c r="C4481" t="str">
        <f t="shared" si="207"/>
        <v>Senior</v>
      </c>
      <c r="D4481" t="s">
        <v>16</v>
      </c>
      <c r="E4481" t="s">
        <v>17</v>
      </c>
      <c r="F4481" t="s">
        <v>18</v>
      </c>
      <c r="G4481">
        <v>124.26</v>
      </c>
      <c r="H4481" t="s">
        <v>31</v>
      </c>
      <c r="I4481" t="s">
        <v>15</v>
      </c>
      <c r="J4481">
        <v>3.6</v>
      </c>
      <c r="K4481">
        <v>15</v>
      </c>
      <c r="L4481">
        <f t="shared" si="208"/>
        <v>105.621</v>
      </c>
      <c r="M4481">
        <v>5</v>
      </c>
      <c r="N4481" t="str">
        <f t="shared" si="209"/>
        <v>Regular</v>
      </c>
    </row>
    <row r="4482" spans="1:14" x14ac:dyDescent="0.35">
      <c r="A4482">
        <v>4481</v>
      </c>
      <c r="B4482">
        <v>54</v>
      </c>
      <c r="C4482" t="str">
        <f t="shared" si="207"/>
        <v>Adult</v>
      </c>
      <c r="D4482" t="s">
        <v>11</v>
      </c>
      <c r="E4482" t="s">
        <v>41</v>
      </c>
      <c r="F4482" t="s">
        <v>45</v>
      </c>
      <c r="G4482">
        <v>102.38</v>
      </c>
      <c r="H4482" t="s">
        <v>14</v>
      </c>
      <c r="I4482" t="s">
        <v>15</v>
      </c>
      <c r="J4482">
        <v>4.8</v>
      </c>
      <c r="K4482">
        <v>6</v>
      </c>
      <c r="L4482">
        <f t="shared" si="208"/>
        <v>96.237199999999987</v>
      </c>
      <c r="M4482">
        <v>3</v>
      </c>
      <c r="N4482" t="str">
        <f t="shared" si="209"/>
        <v>New</v>
      </c>
    </row>
    <row r="4483" spans="1:14" x14ac:dyDescent="0.35">
      <c r="A4483">
        <v>4482</v>
      </c>
      <c r="B4483">
        <v>31</v>
      </c>
      <c r="C4483" t="str">
        <f t="shared" ref="C4483:C4546" si="210">IF(B4483&lt;=30,"Youth",IF(B4483&lt;=45,"Adult",IF(B4483&lt;=60,"Adult","Senior")))</f>
        <v>Adult</v>
      </c>
      <c r="D4483" t="s">
        <v>16</v>
      </c>
      <c r="E4483" t="s">
        <v>17</v>
      </c>
      <c r="F4483" t="s">
        <v>42</v>
      </c>
      <c r="G4483">
        <v>129.77000000000001</v>
      </c>
      <c r="H4483" t="s">
        <v>14</v>
      </c>
      <c r="I4483" t="s">
        <v>15</v>
      </c>
      <c r="J4483">
        <v>3.3</v>
      </c>
      <c r="K4483">
        <v>11</v>
      </c>
      <c r="L4483">
        <f t="shared" ref="L4483:L4546" si="211">G4483*(1-K4483/100)</f>
        <v>115.49530000000001</v>
      </c>
      <c r="M4483">
        <v>3</v>
      </c>
      <c r="N4483" t="str">
        <f t="shared" ref="N4483:N4546" si="212">IF(M4483&lt;=3,"New",IF(M4483&lt;=7,"Regular","Loyal"))</f>
        <v>New</v>
      </c>
    </row>
    <row r="4484" spans="1:14" x14ac:dyDescent="0.35">
      <c r="A4484">
        <v>4483</v>
      </c>
      <c r="B4484">
        <v>31</v>
      </c>
      <c r="C4484" t="str">
        <f t="shared" si="210"/>
        <v>Adult</v>
      </c>
      <c r="D4484" t="s">
        <v>16</v>
      </c>
      <c r="E4484" t="s">
        <v>20</v>
      </c>
      <c r="F4484" t="s">
        <v>21</v>
      </c>
      <c r="G4484">
        <v>107.4</v>
      </c>
      <c r="H4484" t="s">
        <v>19</v>
      </c>
      <c r="I4484" t="s">
        <v>15</v>
      </c>
      <c r="J4484">
        <v>3.2</v>
      </c>
      <c r="K4484">
        <v>15</v>
      </c>
      <c r="L4484">
        <f t="shared" si="211"/>
        <v>91.29</v>
      </c>
      <c r="M4484">
        <v>5</v>
      </c>
      <c r="N4484" t="str">
        <f t="shared" si="212"/>
        <v>Regular</v>
      </c>
    </row>
    <row r="4485" spans="1:14" x14ac:dyDescent="0.35">
      <c r="A4485">
        <v>4484</v>
      </c>
      <c r="B4485">
        <v>56</v>
      </c>
      <c r="C4485" t="str">
        <f t="shared" si="210"/>
        <v>Adult</v>
      </c>
      <c r="D4485" t="s">
        <v>16</v>
      </c>
      <c r="E4485" t="s">
        <v>27</v>
      </c>
      <c r="F4485" t="s">
        <v>28</v>
      </c>
      <c r="G4485">
        <v>1554.91</v>
      </c>
      <c r="H4485" t="s">
        <v>14</v>
      </c>
      <c r="I4485" t="s">
        <v>15</v>
      </c>
      <c r="J4485">
        <v>2.8</v>
      </c>
      <c r="K4485">
        <v>7</v>
      </c>
      <c r="L4485">
        <f t="shared" si="211"/>
        <v>1446.0663</v>
      </c>
      <c r="M4485">
        <v>1</v>
      </c>
      <c r="N4485" t="str">
        <f t="shared" si="212"/>
        <v>New</v>
      </c>
    </row>
    <row r="4486" spans="1:14" x14ac:dyDescent="0.35">
      <c r="A4486">
        <v>4485</v>
      </c>
      <c r="B4486">
        <v>66</v>
      </c>
      <c r="C4486" t="str">
        <f t="shared" si="210"/>
        <v>Senior</v>
      </c>
      <c r="D4486" t="s">
        <v>11</v>
      </c>
      <c r="E4486" t="s">
        <v>41</v>
      </c>
      <c r="F4486" t="s">
        <v>45</v>
      </c>
      <c r="G4486">
        <v>131.11000000000001</v>
      </c>
      <c r="H4486" t="s">
        <v>14</v>
      </c>
      <c r="I4486" t="s">
        <v>15</v>
      </c>
      <c r="J4486">
        <v>3</v>
      </c>
      <c r="K4486">
        <v>20</v>
      </c>
      <c r="L4486">
        <f t="shared" si="211"/>
        <v>104.88800000000002</v>
      </c>
      <c r="M4486">
        <v>10</v>
      </c>
      <c r="N4486" t="str">
        <f t="shared" si="212"/>
        <v>Loyal</v>
      </c>
    </row>
    <row r="4487" spans="1:14" x14ac:dyDescent="0.35">
      <c r="A4487">
        <v>4486</v>
      </c>
      <c r="B4487">
        <v>38</v>
      </c>
      <c r="C4487" t="str">
        <f t="shared" si="210"/>
        <v>Adult</v>
      </c>
      <c r="D4487" t="s">
        <v>16</v>
      </c>
      <c r="E4487" t="s">
        <v>17</v>
      </c>
      <c r="F4487" t="s">
        <v>48</v>
      </c>
      <c r="G4487">
        <v>52.09</v>
      </c>
      <c r="H4487" t="s">
        <v>24</v>
      </c>
      <c r="I4487" t="s">
        <v>15</v>
      </c>
      <c r="J4487">
        <v>4.2</v>
      </c>
      <c r="K4487">
        <v>14</v>
      </c>
      <c r="L4487">
        <f t="shared" si="211"/>
        <v>44.797400000000003</v>
      </c>
      <c r="M4487">
        <v>2</v>
      </c>
      <c r="N4487" t="str">
        <f t="shared" si="212"/>
        <v>New</v>
      </c>
    </row>
    <row r="4488" spans="1:14" x14ac:dyDescent="0.35">
      <c r="A4488">
        <v>4487</v>
      </c>
      <c r="B4488">
        <v>25</v>
      </c>
      <c r="C4488" t="str">
        <f t="shared" si="210"/>
        <v>Youth</v>
      </c>
      <c r="D4488" t="s">
        <v>16</v>
      </c>
      <c r="E4488" t="s">
        <v>20</v>
      </c>
      <c r="F4488" t="s">
        <v>39</v>
      </c>
      <c r="G4488">
        <v>130.22999999999999</v>
      </c>
      <c r="H4488" t="s">
        <v>31</v>
      </c>
      <c r="I4488" t="s">
        <v>15</v>
      </c>
      <c r="J4488">
        <v>4.7</v>
      </c>
      <c r="K4488">
        <v>16</v>
      </c>
      <c r="L4488">
        <f t="shared" si="211"/>
        <v>109.39319999999999</v>
      </c>
      <c r="M4488">
        <v>3</v>
      </c>
      <c r="N4488" t="str">
        <f t="shared" si="212"/>
        <v>New</v>
      </c>
    </row>
    <row r="4489" spans="1:14" x14ac:dyDescent="0.35">
      <c r="A4489">
        <v>4488</v>
      </c>
      <c r="B4489">
        <v>44</v>
      </c>
      <c r="C4489" t="str">
        <f t="shared" si="210"/>
        <v>Adult</v>
      </c>
      <c r="D4489" t="s">
        <v>16</v>
      </c>
      <c r="E4489" t="s">
        <v>20</v>
      </c>
      <c r="F4489" t="s">
        <v>21</v>
      </c>
      <c r="G4489">
        <v>125.56</v>
      </c>
      <c r="H4489" t="s">
        <v>31</v>
      </c>
      <c r="I4489" t="s">
        <v>15</v>
      </c>
      <c r="J4489">
        <v>3.2</v>
      </c>
      <c r="K4489">
        <v>12</v>
      </c>
      <c r="L4489">
        <f t="shared" si="211"/>
        <v>110.4928</v>
      </c>
      <c r="M4489">
        <v>1</v>
      </c>
      <c r="N4489" t="str">
        <f t="shared" si="212"/>
        <v>New</v>
      </c>
    </row>
    <row r="4490" spans="1:14" x14ac:dyDescent="0.35">
      <c r="A4490">
        <v>4489</v>
      </c>
      <c r="B4490">
        <v>60</v>
      </c>
      <c r="C4490" t="str">
        <f t="shared" si="210"/>
        <v>Adult</v>
      </c>
      <c r="D4490" t="s">
        <v>11</v>
      </c>
      <c r="E4490" t="s">
        <v>33</v>
      </c>
      <c r="F4490" t="s">
        <v>40</v>
      </c>
      <c r="G4490">
        <v>76.16</v>
      </c>
      <c r="H4490" t="s">
        <v>24</v>
      </c>
      <c r="I4490" t="s">
        <v>15</v>
      </c>
      <c r="J4490">
        <v>4.7</v>
      </c>
      <c r="K4490">
        <v>13</v>
      </c>
      <c r="L4490">
        <f t="shared" si="211"/>
        <v>66.259199999999993</v>
      </c>
      <c r="M4490">
        <v>4</v>
      </c>
      <c r="N4490" t="str">
        <f t="shared" si="212"/>
        <v>Regular</v>
      </c>
    </row>
    <row r="4491" spans="1:14" x14ac:dyDescent="0.35">
      <c r="A4491">
        <v>4490</v>
      </c>
      <c r="B4491">
        <v>50</v>
      </c>
      <c r="C4491" t="str">
        <f t="shared" si="210"/>
        <v>Adult</v>
      </c>
      <c r="D4491" t="s">
        <v>16</v>
      </c>
      <c r="E4491" t="s">
        <v>17</v>
      </c>
      <c r="F4491" t="s">
        <v>35</v>
      </c>
      <c r="G4491">
        <v>37.53</v>
      </c>
      <c r="H4491" t="s">
        <v>24</v>
      </c>
      <c r="I4491" t="s">
        <v>15</v>
      </c>
      <c r="J4491">
        <v>3.5</v>
      </c>
      <c r="K4491">
        <v>8</v>
      </c>
      <c r="L4491">
        <f t="shared" si="211"/>
        <v>34.5276</v>
      </c>
      <c r="M4491">
        <v>4</v>
      </c>
      <c r="N4491" t="str">
        <f t="shared" si="212"/>
        <v>Regular</v>
      </c>
    </row>
    <row r="4492" spans="1:14" x14ac:dyDescent="0.35">
      <c r="A4492">
        <v>4491</v>
      </c>
      <c r="B4492">
        <v>51</v>
      </c>
      <c r="C4492" t="str">
        <f t="shared" si="210"/>
        <v>Adult</v>
      </c>
      <c r="D4492" t="s">
        <v>16</v>
      </c>
      <c r="E4492" t="s">
        <v>17</v>
      </c>
      <c r="F4492" t="s">
        <v>35</v>
      </c>
      <c r="G4492">
        <v>100.29</v>
      </c>
      <c r="H4492" t="s">
        <v>24</v>
      </c>
      <c r="I4492" t="s">
        <v>15</v>
      </c>
      <c r="J4492">
        <v>3.5</v>
      </c>
      <c r="K4492">
        <v>14</v>
      </c>
      <c r="L4492">
        <f t="shared" si="211"/>
        <v>86.249400000000009</v>
      </c>
      <c r="M4492">
        <v>7</v>
      </c>
      <c r="N4492" t="str">
        <f t="shared" si="212"/>
        <v>Regular</v>
      </c>
    </row>
    <row r="4493" spans="1:14" x14ac:dyDescent="0.35">
      <c r="A4493">
        <v>4492</v>
      </c>
      <c r="B4493">
        <v>26</v>
      </c>
      <c r="C4493" t="str">
        <f t="shared" si="210"/>
        <v>Youth</v>
      </c>
      <c r="D4493" t="s">
        <v>16</v>
      </c>
      <c r="E4493" t="s">
        <v>27</v>
      </c>
      <c r="F4493" t="s">
        <v>49</v>
      </c>
      <c r="G4493">
        <v>1336.49</v>
      </c>
      <c r="H4493" t="s">
        <v>24</v>
      </c>
      <c r="I4493" t="s">
        <v>15</v>
      </c>
      <c r="J4493">
        <v>3.8</v>
      </c>
      <c r="K4493">
        <v>9</v>
      </c>
      <c r="L4493">
        <f t="shared" si="211"/>
        <v>1216.2059000000002</v>
      </c>
      <c r="M4493">
        <v>2</v>
      </c>
      <c r="N4493" t="str">
        <f t="shared" si="212"/>
        <v>New</v>
      </c>
    </row>
    <row r="4494" spans="1:14" x14ac:dyDescent="0.35">
      <c r="A4494">
        <v>4493</v>
      </c>
      <c r="B4494">
        <v>23</v>
      </c>
      <c r="C4494" t="str">
        <f t="shared" si="210"/>
        <v>Youth</v>
      </c>
      <c r="D4494" t="s">
        <v>16</v>
      </c>
      <c r="E4494" t="s">
        <v>22</v>
      </c>
      <c r="F4494" t="s">
        <v>52</v>
      </c>
      <c r="G4494">
        <v>207.75</v>
      </c>
      <c r="H4494" t="s">
        <v>24</v>
      </c>
      <c r="I4494" t="s">
        <v>15</v>
      </c>
      <c r="J4494">
        <v>4.9000000000000004</v>
      </c>
      <c r="K4494">
        <v>17</v>
      </c>
      <c r="L4494">
        <f t="shared" si="211"/>
        <v>172.4325</v>
      </c>
      <c r="M4494">
        <v>6</v>
      </c>
      <c r="N4494" t="str">
        <f t="shared" si="212"/>
        <v>Regular</v>
      </c>
    </row>
    <row r="4495" spans="1:14" x14ac:dyDescent="0.35">
      <c r="A4495">
        <v>4494</v>
      </c>
      <c r="B4495">
        <v>25</v>
      </c>
      <c r="C4495" t="str">
        <f t="shared" si="210"/>
        <v>Youth</v>
      </c>
      <c r="D4495" t="s">
        <v>11</v>
      </c>
      <c r="E4495" t="s">
        <v>22</v>
      </c>
      <c r="F4495" t="s">
        <v>43</v>
      </c>
      <c r="G4495">
        <v>44.45</v>
      </c>
      <c r="H4495" t="s">
        <v>31</v>
      </c>
      <c r="I4495" t="s">
        <v>37</v>
      </c>
      <c r="J4495">
        <v>5</v>
      </c>
      <c r="K4495">
        <v>10</v>
      </c>
      <c r="L4495">
        <f t="shared" si="211"/>
        <v>40.005000000000003</v>
      </c>
      <c r="M4495">
        <v>5</v>
      </c>
      <c r="N4495" t="str">
        <f t="shared" si="212"/>
        <v>Regular</v>
      </c>
    </row>
    <row r="4496" spans="1:14" x14ac:dyDescent="0.35">
      <c r="A4496">
        <v>4495</v>
      </c>
      <c r="B4496">
        <v>34</v>
      </c>
      <c r="C4496" t="str">
        <f t="shared" si="210"/>
        <v>Adult</v>
      </c>
      <c r="D4496" t="s">
        <v>11</v>
      </c>
      <c r="E4496" t="s">
        <v>22</v>
      </c>
      <c r="F4496" t="s">
        <v>52</v>
      </c>
      <c r="G4496">
        <v>228.41</v>
      </c>
      <c r="H4496" t="s">
        <v>24</v>
      </c>
      <c r="I4496" t="s">
        <v>15</v>
      </c>
      <c r="J4496">
        <v>3.5</v>
      </c>
      <c r="K4496">
        <v>8</v>
      </c>
      <c r="L4496">
        <f t="shared" si="211"/>
        <v>210.13720000000001</v>
      </c>
      <c r="M4496">
        <v>4</v>
      </c>
      <c r="N4496" t="str">
        <f t="shared" si="212"/>
        <v>Regular</v>
      </c>
    </row>
    <row r="4497" spans="1:14" x14ac:dyDescent="0.35">
      <c r="A4497">
        <v>4496</v>
      </c>
      <c r="B4497">
        <v>24</v>
      </c>
      <c r="C4497" t="str">
        <f t="shared" si="210"/>
        <v>Youth</v>
      </c>
      <c r="D4497" t="s">
        <v>16</v>
      </c>
      <c r="E4497" t="s">
        <v>22</v>
      </c>
      <c r="F4497" t="s">
        <v>52</v>
      </c>
      <c r="G4497">
        <v>69.23</v>
      </c>
      <c r="H4497" t="s">
        <v>19</v>
      </c>
      <c r="I4497" t="s">
        <v>37</v>
      </c>
      <c r="J4497">
        <v>4.2</v>
      </c>
      <c r="K4497">
        <v>4</v>
      </c>
      <c r="L4497">
        <f t="shared" si="211"/>
        <v>66.460800000000006</v>
      </c>
      <c r="M4497">
        <v>2</v>
      </c>
      <c r="N4497" t="str">
        <f t="shared" si="212"/>
        <v>New</v>
      </c>
    </row>
    <row r="4498" spans="1:14" x14ac:dyDescent="0.35">
      <c r="A4498">
        <v>4497</v>
      </c>
      <c r="B4498">
        <v>40</v>
      </c>
      <c r="C4498" t="str">
        <f t="shared" si="210"/>
        <v>Adult</v>
      </c>
      <c r="D4498" t="s">
        <v>11</v>
      </c>
      <c r="E4498" t="s">
        <v>29</v>
      </c>
      <c r="F4498" t="s">
        <v>55</v>
      </c>
      <c r="G4498">
        <v>37.65</v>
      </c>
      <c r="H4498" t="s">
        <v>24</v>
      </c>
      <c r="I4498" t="s">
        <v>37</v>
      </c>
      <c r="J4498">
        <v>4.3</v>
      </c>
      <c r="K4498">
        <v>27</v>
      </c>
      <c r="L4498">
        <f t="shared" si="211"/>
        <v>27.484499999999997</v>
      </c>
      <c r="M4498">
        <v>11</v>
      </c>
      <c r="N4498" t="str">
        <f t="shared" si="212"/>
        <v>Loyal</v>
      </c>
    </row>
    <row r="4499" spans="1:14" x14ac:dyDescent="0.35">
      <c r="A4499">
        <v>4498</v>
      </c>
      <c r="B4499">
        <v>23</v>
      </c>
      <c r="C4499" t="str">
        <f t="shared" si="210"/>
        <v>Youth</v>
      </c>
      <c r="D4499" t="s">
        <v>16</v>
      </c>
      <c r="E4499" t="s">
        <v>27</v>
      </c>
      <c r="F4499" t="s">
        <v>49</v>
      </c>
      <c r="G4499">
        <v>1286.98</v>
      </c>
      <c r="H4499" t="s">
        <v>19</v>
      </c>
      <c r="I4499" t="s">
        <v>15</v>
      </c>
      <c r="J4499">
        <v>4</v>
      </c>
      <c r="K4499">
        <v>14</v>
      </c>
      <c r="L4499">
        <f t="shared" si="211"/>
        <v>1106.8027999999999</v>
      </c>
      <c r="M4499">
        <v>7</v>
      </c>
      <c r="N4499" t="str">
        <f t="shared" si="212"/>
        <v>Regular</v>
      </c>
    </row>
    <row r="4500" spans="1:14" x14ac:dyDescent="0.35">
      <c r="A4500">
        <v>4499</v>
      </c>
      <c r="B4500">
        <v>28</v>
      </c>
      <c r="C4500" t="str">
        <f t="shared" si="210"/>
        <v>Youth</v>
      </c>
      <c r="D4500" t="s">
        <v>11</v>
      </c>
      <c r="E4500" t="s">
        <v>33</v>
      </c>
      <c r="F4500" t="s">
        <v>40</v>
      </c>
      <c r="G4500">
        <v>99.44</v>
      </c>
      <c r="H4500" t="s">
        <v>24</v>
      </c>
      <c r="I4500" t="s">
        <v>15</v>
      </c>
      <c r="J4500">
        <v>3.7</v>
      </c>
      <c r="K4500">
        <v>20</v>
      </c>
      <c r="L4500">
        <f t="shared" si="211"/>
        <v>79.552000000000007</v>
      </c>
      <c r="M4500">
        <v>5</v>
      </c>
      <c r="N4500" t="str">
        <f t="shared" si="212"/>
        <v>Regular</v>
      </c>
    </row>
    <row r="4501" spans="1:14" x14ac:dyDescent="0.35">
      <c r="A4501">
        <v>4500</v>
      </c>
      <c r="B4501">
        <v>22</v>
      </c>
      <c r="C4501" t="str">
        <f t="shared" si="210"/>
        <v>Youth</v>
      </c>
      <c r="D4501" t="s">
        <v>16</v>
      </c>
      <c r="E4501" t="s">
        <v>20</v>
      </c>
      <c r="F4501" t="s">
        <v>21</v>
      </c>
      <c r="G4501">
        <v>215.07</v>
      </c>
      <c r="H4501" t="s">
        <v>24</v>
      </c>
      <c r="I4501" t="s">
        <v>15</v>
      </c>
      <c r="J4501">
        <v>2.5</v>
      </c>
      <c r="K4501">
        <v>24</v>
      </c>
      <c r="L4501">
        <f t="shared" si="211"/>
        <v>163.45320000000001</v>
      </c>
      <c r="M4501">
        <v>7</v>
      </c>
      <c r="N4501" t="str">
        <f t="shared" si="212"/>
        <v>Regular</v>
      </c>
    </row>
    <row r="4502" spans="1:14" x14ac:dyDescent="0.35">
      <c r="A4502">
        <v>4501</v>
      </c>
      <c r="B4502">
        <v>27</v>
      </c>
      <c r="C4502" t="str">
        <f t="shared" si="210"/>
        <v>Youth</v>
      </c>
      <c r="D4502" t="s">
        <v>16</v>
      </c>
      <c r="E4502" t="s">
        <v>27</v>
      </c>
      <c r="F4502" t="s">
        <v>53</v>
      </c>
      <c r="G4502">
        <v>975.24</v>
      </c>
      <c r="H4502" t="s">
        <v>19</v>
      </c>
      <c r="I4502" t="s">
        <v>15</v>
      </c>
      <c r="J4502">
        <v>3.6</v>
      </c>
      <c r="K4502">
        <v>4</v>
      </c>
      <c r="L4502">
        <f t="shared" si="211"/>
        <v>936.23039999999992</v>
      </c>
      <c r="M4502">
        <v>2</v>
      </c>
      <c r="N4502" t="str">
        <f t="shared" si="212"/>
        <v>New</v>
      </c>
    </row>
    <row r="4503" spans="1:14" x14ac:dyDescent="0.35">
      <c r="A4503">
        <v>4502</v>
      </c>
      <c r="B4503">
        <v>58</v>
      </c>
      <c r="C4503" t="str">
        <f t="shared" si="210"/>
        <v>Adult</v>
      </c>
      <c r="D4503" t="s">
        <v>11</v>
      </c>
      <c r="E4503" t="s">
        <v>41</v>
      </c>
      <c r="F4503" t="s">
        <v>44</v>
      </c>
      <c r="G4503">
        <v>52.67</v>
      </c>
      <c r="H4503" t="s">
        <v>19</v>
      </c>
      <c r="I4503" t="s">
        <v>37</v>
      </c>
      <c r="J4503">
        <v>3.3</v>
      </c>
      <c r="K4503">
        <v>16</v>
      </c>
      <c r="L4503">
        <f t="shared" si="211"/>
        <v>44.242800000000003</v>
      </c>
      <c r="M4503">
        <v>8</v>
      </c>
      <c r="N4503" t="str">
        <f t="shared" si="212"/>
        <v>Loyal</v>
      </c>
    </row>
    <row r="4504" spans="1:14" x14ac:dyDescent="0.35">
      <c r="A4504">
        <v>4503</v>
      </c>
      <c r="B4504">
        <v>49</v>
      </c>
      <c r="C4504" t="str">
        <f t="shared" si="210"/>
        <v>Adult</v>
      </c>
      <c r="D4504" t="s">
        <v>16</v>
      </c>
      <c r="E4504" t="s">
        <v>27</v>
      </c>
      <c r="F4504" t="s">
        <v>53</v>
      </c>
      <c r="G4504">
        <v>2177.2800000000002</v>
      </c>
      <c r="H4504" t="s">
        <v>31</v>
      </c>
      <c r="I4504" t="s">
        <v>15</v>
      </c>
      <c r="J4504">
        <v>3.6</v>
      </c>
      <c r="K4504">
        <v>26</v>
      </c>
      <c r="L4504">
        <f t="shared" si="211"/>
        <v>1611.1872000000001</v>
      </c>
      <c r="M4504">
        <v>8</v>
      </c>
      <c r="N4504" t="str">
        <f t="shared" si="212"/>
        <v>Loyal</v>
      </c>
    </row>
    <row r="4505" spans="1:14" x14ac:dyDescent="0.35">
      <c r="A4505">
        <v>4504</v>
      </c>
      <c r="B4505">
        <v>60</v>
      </c>
      <c r="C4505" t="str">
        <f t="shared" si="210"/>
        <v>Adult</v>
      </c>
      <c r="D4505" t="s">
        <v>11</v>
      </c>
      <c r="E4505" t="s">
        <v>41</v>
      </c>
      <c r="F4505" t="s">
        <v>45</v>
      </c>
      <c r="G4505">
        <v>90.75</v>
      </c>
      <c r="H4505" t="s">
        <v>19</v>
      </c>
      <c r="I4505" t="s">
        <v>15</v>
      </c>
      <c r="J4505">
        <v>3.7</v>
      </c>
      <c r="K4505">
        <v>25</v>
      </c>
      <c r="L4505">
        <f t="shared" si="211"/>
        <v>68.0625</v>
      </c>
      <c r="M4505">
        <v>10</v>
      </c>
      <c r="N4505" t="str">
        <f t="shared" si="212"/>
        <v>Loyal</v>
      </c>
    </row>
    <row r="4506" spans="1:14" x14ac:dyDescent="0.35">
      <c r="A4506">
        <v>4505</v>
      </c>
      <c r="B4506">
        <v>23</v>
      </c>
      <c r="C4506" t="str">
        <f t="shared" si="210"/>
        <v>Youth</v>
      </c>
      <c r="D4506" t="s">
        <v>11</v>
      </c>
      <c r="E4506" t="s">
        <v>33</v>
      </c>
      <c r="F4506" t="s">
        <v>40</v>
      </c>
      <c r="G4506">
        <v>200.4</v>
      </c>
      <c r="H4506" t="s">
        <v>14</v>
      </c>
      <c r="I4506" t="s">
        <v>15</v>
      </c>
      <c r="J4506">
        <v>3</v>
      </c>
      <c r="K4506">
        <v>19</v>
      </c>
      <c r="L4506">
        <f t="shared" si="211"/>
        <v>162.32400000000001</v>
      </c>
      <c r="M4506">
        <v>7</v>
      </c>
      <c r="N4506" t="str">
        <f t="shared" si="212"/>
        <v>Regular</v>
      </c>
    </row>
    <row r="4507" spans="1:14" x14ac:dyDescent="0.35">
      <c r="A4507">
        <v>4506</v>
      </c>
      <c r="B4507">
        <v>51</v>
      </c>
      <c r="C4507" t="str">
        <f t="shared" si="210"/>
        <v>Adult</v>
      </c>
      <c r="D4507" t="s">
        <v>11</v>
      </c>
      <c r="E4507" t="s">
        <v>29</v>
      </c>
      <c r="F4507" t="s">
        <v>30</v>
      </c>
      <c r="G4507">
        <v>20.2</v>
      </c>
      <c r="H4507" t="s">
        <v>14</v>
      </c>
      <c r="I4507" t="s">
        <v>37</v>
      </c>
      <c r="J4507">
        <v>5</v>
      </c>
      <c r="K4507">
        <v>15</v>
      </c>
      <c r="L4507">
        <f t="shared" si="211"/>
        <v>17.169999999999998</v>
      </c>
      <c r="M4507">
        <v>5</v>
      </c>
      <c r="N4507" t="str">
        <f t="shared" si="212"/>
        <v>Regular</v>
      </c>
    </row>
    <row r="4508" spans="1:14" x14ac:dyDescent="0.35">
      <c r="A4508">
        <v>4507</v>
      </c>
      <c r="B4508">
        <v>42</v>
      </c>
      <c r="C4508" t="str">
        <f t="shared" si="210"/>
        <v>Adult</v>
      </c>
      <c r="D4508" t="s">
        <v>16</v>
      </c>
      <c r="E4508" t="s">
        <v>17</v>
      </c>
      <c r="F4508" t="s">
        <v>18</v>
      </c>
      <c r="G4508">
        <v>120.04</v>
      </c>
      <c r="H4508" t="s">
        <v>31</v>
      </c>
      <c r="I4508" t="s">
        <v>15</v>
      </c>
      <c r="J4508">
        <v>4.8</v>
      </c>
      <c r="K4508">
        <v>17</v>
      </c>
      <c r="L4508">
        <f t="shared" si="211"/>
        <v>99.633200000000002</v>
      </c>
      <c r="M4508">
        <v>6</v>
      </c>
      <c r="N4508" t="str">
        <f t="shared" si="212"/>
        <v>Regular</v>
      </c>
    </row>
    <row r="4509" spans="1:14" x14ac:dyDescent="0.35">
      <c r="A4509">
        <v>4508</v>
      </c>
      <c r="B4509">
        <v>63</v>
      </c>
      <c r="C4509" t="str">
        <f t="shared" si="210"/>
        <v>Senior</v>
      </c>
      <c r="D4509" t="s">
        <v>11</v>
      </c>
      <c r="E4509" t="s">
        <v>29</v>
      </c>
      <c r="F4509" t="s">
        <v>55</v>
      </c>
      <c r="G4509">
        <v>64.58</v>
      </c>
      <c r="H4509" t="s">
        <v>14</v>
      </c>
      <c r="I4509" t="s">
        <v>15</v>
      </c>
      <c r="J4509">
        <v>3.5</v>
      </c>
      <c r="K4509">
        <v>6</v>
      </c>
      <c r="L4509">
        <f t="shared" si="211"/>
        <v>60.705199999999998</v>
      </c>
      <c r="M4509">
        <v>3</v>
      </c>
      <c r="N4509" t="str">
        <f t="shared" si="212"/>
        <v>New</v>
      </c>
    </row>
    <row r="4510" spans="1:14" x14ac:dyDescent="0.35">
      <c r="A4510">
        <v>4509</v>
      </c>
      <c r="B4510">
        <v>21</v>
      </c>
      <c r="C4510" t="str">
        <f t="shared" si="210"/>
        <v>Youth</v>
      </c>
      <c r="D4510" t="s">
        <v>16</v>
      </c>
      <c r="E4510" t="s">
        <v>25</v>
      </c>
      <c r="F4510" t="s">
        <v>47</v>
      </c>
      <c r="G4510">
        <v>5.44</v>
      </c>
      <c r="H4510" t="s">
        <v>31</v>
      </c>
      <c r="I4510" t="s">
        <v>15</v>
      </c>
      <c r="J4510">
        <v>3.7</v>
      </c>
      <c r="K4510">
        <v>22</v>
      </c>
      <c r="L4510">
        <f t="shared" si="211"/>
        <v>4.2432000000000007</v>
      </c>
      <c r="M4510">
        <v>6</v>
      </c>
      <c r="N4510" t="str">
        <f t="shared" si="212"/>
        <v>Regular</v>
      </c>
    </row>
    <row r="4511" spans="1:14" x14ac:dyDescent="0.35">
      <c r="A4511">
        <v>4510</v>
      </c>
      <c r="B4511">
        <v>52</v>
      </c>
      <c r="C4511" t="str">
        <f t="shared" si="210"/>
        <v>Adult</v>
      </c>
      <c r="D4511" t="s">
        <v>16</v>
      </c>
      <c r="E4511" t="s">
        <v>27</v>
      </c>
      <c r="F4511" t="s">
        <v>28</v>
      </c>
      <c r="G4511">
        <v>1371.54</v>
      </c>
      <c r="H4511" t="s">
        <v>24</v>
      </c>
      <c r="I4511" t="s">
        <v>15</v>
      </c>
      <c r="J4511">
        <v>3.4</v>
      </c>
      <c r="K4511">
        <v>14</v>
      </c>
      <c r="L4511">
        <f t="shared" si="211"/>
        <v>1179.5244</v>
      </c>
      <c r="M4511">
        <v>7</v>
      </c>
      <c r="N4511" t="str">
        <f t="shared" si="212"/>
        <v>Regular</v>
      </c>
    </row>
    <row r="4512" spans="1:14" x14ac:dyDescent="0.35">
      <c r="A4512">
        <v>4511</v>
      </c>
      <c r="B4512">
        <v>30</v>
      </c>
      <c r="C4512" t="str">
        <f t="shared" si="210"/>
        <v>Youth</v>
      </c>
      <c r="D4512" t="s">
        <v>16</v>
      </c>
      <c r="E4512" t="s">
        <v>33</v>
      </c>
      <c r="F4512" t="s">
        <v>34</v>
      </c>
      <c r="G4512">
        <v>193.68</v>
      </c>
      <c r="H4512" t="s">
        <v>24</v>
      </c>
      <c r="I4512" t="s">
        <v>15</v>
      </c>
      <c r="J4512">
        <v>3.1</v>
      </c>
      <c r="K4512">
        <v>14</v>
      </c>
      <c r="L4512">
        <f t="shared" si="211"/>
        <v>166.56479999999999</v>
      </c>
      <c r="M4512">
        <v>2</v>
      </c>
      <c r="N4512" t="str">
        <f t="shared" si="212"/>
        <v>New</v>
      </c>
    </row>
    <row r="4513" spans="1:14" x14ac:dyDescent="0.35">
      <c r="A4513">
        <v>4512</v>
      </c>
      <c r="B4513">
        <v>70</v>
      </c>
      <c r="C4513" t="str">
        <f t="shared" si="210"/>
        <v>Senior</v>
      </c>
      <c r="D4513" t="s">
        <v>11</v>
      </c>
      <c r="E4513" t="s">
        <v>41</v>
      </c>
      <c r="F4513" t="s">
        <v>42</v>
      </c>
      <c r="G4513">
        <v>142.97</v>
      </c>
      <c r="H4513" t="s">
        <v>24</v>
      </c>
      <c r="I4513" t="s">
        <v>15</v>
      </c>
      <c r="J4513">
        <v>4</v>
      </c>
      <c r="K4513">
        <v>17</v>
      </c>
      <c r="L4513">
        <f t="shared" si="211"/>
        <v>118.6651</v>
      </c>
      <c r="M4513">
        <v>6</v>
      </c>
      <c r="N4513" t="str">
        <f t="shared" si="212"/>
        <v>Regular</v>
      </c>
    </row>
    <row r="4514" spans="1:14" x14ac:dyDescent="0.35">
      <c r="A4514">
        <v>4513</v>
      </c>
      <c r="B4514">
        <v>61</v>
      </c>
      <c r="C4514" t="str">
        <f t="shared" si="210"/>
        <v>Senior</v>
      </c>
      <c r="D4514" t="s">
        <v>11</v>
      </c>
      <c r="E4514" t="s">
        <v>12</v>
      </c>
      <c r="F4514" t="s">
        <v>50</v>
      </c>
      <c r="G4514">
        <v>119.4</v>
      </c>
      <c r="H4514" t="s">
        <v>24</v>
      </c>
      <c r="I4514" t="s">
        <v>15</v>
      </c>
      <c r="J4514">
        <v>4.3</v>
      </c>
      <c r="K4514">
        <v>26</v>
      </c>
      <c r="L4514">
        <f t="shared" si="211"/>
        <v>88.356000000000009</v>
      </c>
      <c r="M4514">
        <v>8</v>
      </c>
      <c r="N4514" t="str">
        <f t="shared" si="212"/>
        <v>Loyal</v>
      </c>
    </row>
    <row r="4515" spans="1:14" x14ac:dyDescent="0.35">
      <c r="A4515">
        <v>4514</v>
      </c>
      <c r="B4515">
        <v>55</v>
      </c>
      <c r="C4515" t="str">
        <f t="shared" si="210"/>
        <v>Adult</v>
      </c>
      <c r="D4515" t="s">
        <v>11</v>
      </c>
      <c r="E4515" t="s">
        <v>41</v>
      </c>
      <c r="F4515" t="s">
        <v>45</v>
      </c>
      <c r="G4515">
        <v>178.14</v>
      </c>
      <c r="H4515" t="s">
        <v>14</v>
      </c>
      <c r="I4515" t="s">
        <v>15</v>
      </c>
      <c r="J4515">
        <v>4.7</v>
      </c>
      <c r="K4515">
        <v>16</v>
      </c>
      <c r="L4515">
        <f t="shared" si="211"/>
        <v>149.63759999999999</v>
      </c>
      <c r="M4515">
        <v>3</v>
      </c>
      <c r="N4515" t="str">
        <f t="shared" si="212"/>
        <v>New</v>
      </c>
    </row>
    <row r="4516" spans="1:14" x14ac:dyDescent="0.35">
      <c r="A4516">
        <v>4515</v>
      </c>
      <c r="B4516">
        <v>65</v>
      </c>
      <c r="C4516" t="str">
        <f t="shared" si="210"/>
        <v>Senior</v>
      </c>
      <c r="D4516" t="s">
        <v>16</v>
      </c>
      <c r="E4516" t="s">
        <v>25</v>
      </c>
      <c r="F4516" t="s">
        <v>54</v>
      </c>
      <c r="G4516">
        <v>13.59</v>
      </c>
      <c r="H4516" t="s">
        <v>19</v>
      </c>
      <c r="I4516" t="s">
        <v>15</v>
      </c>
      <c r="J4516">
        <v>3.1</v>
      </c>
      <c r="K4516">
        <v>10</v>
      </c>
      <c r="L4516">
        <f t="shared" si="211"/>
        <v>12.231</v>
      </c>
      <c r="M4516">
        <v>5</v>
      </c>
      <c r="N4516" t="str">
        <f t="shared" si="212"/>
        <v>Regular</v>
      </c>
    </row>
    <row r="4517" spans="1:14" x14ac:dyDescent="0.35">
      <c r="A4517">
        <v>4516</v>
      </c>
      <c r="B4517">
        <v>41</v>
      </c>
      <c r="C4517" t="str">
        <f t="shared" si="210"/>
        <v>Adult</v>
      </c>
      <c r="D4517" t="s">
        <v>16</v>
      </c>
      <c r="E4517" t="s">
        <v>25</v>
      </c>
      <c r="F4517" t="s">
        <v>57</v>
      </c>
      <c r="G4517">
        <v>11.01</v>
      </c>
      <c r="H4517" t="s">
        <v>31</v>
      </c>
      <c r="I4517" t="s">
        <v>37</v>
      </c>
      <c r="J4517">
        <v>4.5999999999999996</v>
      </c>
      <c r="K4517">
        <v>13</v>
      </c>
      <c r="L4517">
        <f t="shared" si="211"/>
        <v>9.5786999999999995</v>
      </c>
      <c r="M4517">
        <v>4</v>
      </c>
      <c r="N4517" t="str">
        <f t="shared" si="212"/>
        <v>Regular</v>
      </c>
    </row>
    <row r="4518" spans="1:14" x14ac:dyDescent="0.35">
      <c r="A4518">
        <v>4517</v>
      </c>
      <c r="B4518">
        <v>35</v>
      </c>
      <c r="C4518" t="str">
        <f t="shared" si="210"/>
        <v>Adult</v>
      </c>
      <c r="D4518" t="s">
        <v>16</v>
      </c>
      <c r="E4518" t="s">
        <v>20</v>
      </c>
      <c r="F4518" t="s">
        <v>36</v>
      </c>
      <c r="G4518">
        <v>156.76</v>
      </c>
      <c r="H4518" t="s">
        <v>24</v>
      </c>
      <c r="I4518" t="s">
        <v>15</v>
      </c>
      <c r="J4518">
        <v>3.3</v>
      </c>
      <c r="K4518">
        <v>6</v>
      </c>
      <c r="L4518">
        <f t="shared" si="211"/>
        <v>147.35439999999997</v>
      </c>
      <c r="M4518">
        <v>3</v>
      </c>
      <c r="N4518" t="str">
        <f t="shared" si="212"/>
        <v>New</v>
      </c>
    </row>
    <row r="4519" spans="1:14" x14ac:dyDescent="0.35">
      <c r="A4519">
        <v>4518</v>
      </c>
      <c r="B4519">
        <v>55</v>
      </c>
      <c r="C4519" t="str">
        <f t="shared" si="210"/>
        <v>Adult</v>
      </c>
      <c r="D4519" t="s">
        <v>11</v>
      </c>
      <c r="E4519" t="s">
        <v>33</v>
      </c>
      <c r="F4519" t="s">
        <v>34</v>
      </c>
      <c r="G4519">
        <v>40.21</v>
      </c>
      <c r="H4519" t="s">
        <v>14</v>
      </c>
      <c r="I4519" t="s">
        <v>15</v>
      </c>
      <c r="J4519">
        <v>3.5</v>
      </c>
      <c r="K4519">
        <v>14</v>
      </c>
      <c r="L4519">
        <f t="shared" si="211"/>
        <v>34.580599999999997</v>
      </c>
      <c r="M4519">
        <v>2</v>
      </c>
      <c r="N4519" t="str">
        <f t="shared" si="212"/>
        <v>New</v>
      </c>
    </row>
    <row r="4520" spans="1:14" x14ac:dyDescent="0.35">
      <c r="A4520">
        <v>4519</v>
      </c>
      <c r="B4520">
        <v>65</v>
      </c>
      <c r="C4520" t="str">
        <f t="shared" si="210"/>
        <v>Senior</v>
      </c>
      <c r="D4520" t="s">
        <v>11</v>
      </c>
      <c r="E4520" t="s">
        <v>29</v>
      </c>
      <c r="F4520" t="s">
        <v>55</v>
      </c>
      <c r="G4520">
        <v>54.03</v>
      </c>
      <c r="H4520" t="s">
        <v>31</v>
      </c>
      <c r="I4520" t="s">
        <v>15</v>
      </c>
      <c r="J4520">
        <v>3.6</v>
      </c>
      <c r="K4520">
        <v>15</v>
      </c>
      <c r="L4520">
        <f t="shared" si="211"/>
        <v>45.9255</v>
      </c>
      <c r="M4520">
        <v>5</v>
      </c>
      <c r="N4520" t="str">
        <f t="shared" si="212"/>
        <v>Regular</v>
      </c>
    </row>
    <row r="4521" spans="1:14" x14ac:dyDescent="0.35">
      <c r="A4521">
        <v>4520</v>
      </c>
      <c r="B4521">
        <v>40</v>
      </c>
      <c r="C4521" t="str">
        <f t="shared" si="210"/>
        <v>Adult</v>
      </c>
      <c r="D4521" t="s">
        <v>11</v>
      </c>
      <c r="E4521" t="s">
        <v>22</v>
      </c>
      <c r="F4521" t="s">
        <v>43</v>
      </c>
      <c r="G4521">
        <v>216.9</v>
      </c>
      <c r="H4521" t="s">
        <v>31</v>
      </c>
      <c r="I4521" t="s">
        <v>15</v>
      </c>
      <c r="J4521">
        <v>3.7</v>
      </c>
      <c r="K4521">
        <v>4</v>
      </c>
      <c r="L4521">
        <f t="shared" si="211"/>
        <v>208.22399999999999</v>
      </c>
      <c r="M4521">
        <v>2</v>
      </c>
      <c r="N4521" t="str">
        <f t="shared" si="212"/>
        <v>New</v>
      </c>
    </row>
    <row r="4522" spans="1:14" x14ac:dyDescent="0.35">
      <c r="A4522">
        <v>4521</v>
      </c>
      <c r="B4522">
        <v>59</v>
      </c>
      <c r="C4522" t="str">
        <f t="shared" si="210"/>
        <v>Adult</v>
      </c>
      <c r="D4522" t="s">
        <v>11</v>
      </c>
      <c r="E4522" t="s">
        <v>12</v>
      </c>
      <c r="F4522" t="s">
        <v>50</v>
      </c>
      <c r="G4522">
        <v>29.8</v>
      </c>
      <c r="H4522" t="s">
        <v>24</v>
      </c>
      <c r="I4522" t="s">
        <v>37</v>
      </c>
      <c r="J4522">
        <v>3.2</v>
      </c>
      <c r="K4522">
        <v>10</v>
      </c>
      <c r="L4522">
        <f t="shared" si="211"/>
        <v>26.82</v>
      </c>
      <c r="M4522">
        <v>5</v>
      </c>
      <c r="N4522" t="str">
        <f t="shared" si="212"/>
        <v>Regular</v>
      </c>
    </row>
    <row r="4523" spans="1:14" x14ac:dyDescent="0.35">
      <c r="A4523">
        <v>4522</v>
      </c>
      <c r="B4523">
        <v>59</v>
      </c>
      <c r="C4523" t="str">
        <f t="shared" si="210"/>
        <v>Adult</v>
      </c>
      <c r="D4523" t="s">
        <v>11</v>
      </c>
      <c r="E4523" t="s">
        <v>29</v>
      </c>
      <c r="F4523" t="s">
        <v>30</v>
      </c>
      <c r="G4523">
        <v>111.6</v>
      </c>
      <c r="H4523" t="s">
        <v>19</v>
      </c>
      <c r="I4523" t="s">
        <v>15</v>
      </c>
      <c r="J4523">
        <v>2.2000000000000002</v>
      </c>
      <c r="K4523">
        <v>4</v>
      </c>
      <c r="L4523">
        <f t="shared" si="211"/>
        <v>107.136</v>
      </c>
      <c r="M4523">
        <v>2</v>
      </c>
      <c r="N4523" t="str">
        <f t="shared" si="212"/>
        <v>New</v>
      </c>
    </row>
    <row r="4524" spans="1:14" x14ac:dyDescent="0.35">
      <c r="A4524">
        <v>4523</v>
      </c>
      <c r="B4524">
        <v>70</v>
      </c>
      <c r="C4524" t="str">
        <f t="shared" si="210"/>
        <v>Senior</v>
      </c>
      <c r="D4524" t="s">
        <v>11</v>
      </c>
      <c r="E4524" t="s">
        <v>41</v>
      </c>
      <c r="F4524" t="s">
        <v>45</v>
      </c>
      <c r="G4524">
        <v>161.66999999999999</v>
      </c>
      <c r="H4524" t="s">
        <v>24</v>
      </c>
      <c r="I4524" t="s">
        <v>15</v>
      </c>
      <c r="J4524">
        <v>3.8</v>
      </c>
      <c r="K4524">
        <v>17</v>
      </c>
      <c r="L4524">
        <f t="shared" si="211"/>
        <v>134.18609999999998</v>
      </c>
      <c r="M4524">
        <v>6</v>
      </c>
      <c r="N4524" t="str">
        <f t="shared" si="212"/>
        <v>Regular</v>
      </c>
    </row>
    <row r="4525" spans="1:14" x14ac:dyDescent="0.35">
      <c r="A4525">
        <v>4524</v>
      </c>
      <c r="B4525">
        <v>59</v>
      </c>
      <c r="C4525" t="str">
        <f t="shared" si="210"/>
        <v>Adult</v>
      </c>
      <c r="D4525" t="s">
        <v>16</v>
      </c>
      <c r="E4525" t="s">
        <v>22</v>
      </c>
      <c r="F4525" t="s">
        <v>52</v>
      </c>
      <c r="G4525">
        <v>155.09</v>
      </c>
      <c r="H4525" t="s">
        <v>31</v>
      </c>
      <c r="I4525" t="s">
        <v>15</v>
      </c>
      <c r="J4525">
        <v>3.6</v>
      </c>
      <c r="K4525">
        <v>18</v>
      </c>
      <c r="L4525">
        <f t="shared" si="211"/>
        <v>127.17380000000001</v>
      </c>
      <c r="M4525">
        <v>9</v>
      </c>
      <c r="N4525" t="str">
        <f t="shared" si="212"/>
        <v>Loyal</v>
      </c>
    </row>
    <row r="4526" spans="1:14" x14ac:dyDescent="0.35">
      <c r="A4526">
        <v>4525</v>
      </c>
      <c r="B4526">
        <v>61</v>
      </c>
      <c r="C4526" t="str">
        <f t="shared" si="210"/>
        <v>Senior</v>
      </c>
      <c r="D4526" t="s">
        <v>11</v>
      </c>
      <c r="E4526" t="s">
        <v>20</v>
      </c>
      <c r="F4526" t="s">
        <v>21</v>
      </c>
      <c r="G4526">
        <v>140.07</v>
      </c>
      <c r="H4526" t="s">
        <v>31</v>
      </c>
      <c r="I4526" t="s">
        <v>15</v>
      </c>
      <c r="J4526">
        <v>4</v>
      </c>
      <c r="K4526">
        <v>10</v>
      </c>
      <c r="L4526">
        <f t="shared" si="211"/>
        <v>126.063</v>
      </c>
      <c r="M4526">
        <v>5</v>
      </c>
      <c r="N4526" t="str">
        <f t="shared" si="212"/>
        <v>Regular</v>
      </c>
    </row>
    <row r="4527" spans="1:14" x14ac:dyDescent="0.35">
      <c r="A4527">
        <v>4526</v>
      </c>
      <c r="B4527">
        <v>68</v>
      </c>
      <c r="C4527" t="str">
        <f t="shared" si="210"/>
        <v>Senior</v>
      </c>
      <c r="D4527" t="s">
        <v>16</v>
      </c>
      <c r="E4527" t="s">
        <v>27</v>
      </c>
      <c r="F4527" t="s">
        <v>53</v>
      </c>
      <c r="G4527">
        <v>894.06</v>
      </c>
      <c r="H4527" t="s">
        <v>24</v>
      </c>
      <c r="I4527" t="s">
        <v>15</v>
      </c>
      <c r="J4527">
        <v>3.9</v>
      </c>
      <c r="K4527">
        <v>10</v>
      </c>
      <c r="L4527">
        <f t="shared" si="211"/>
        <v>804.654</v>
      </c>
      <c r="M4527">
        <v>5</v>
      </c>
      <c r="N4527" t="str">
        <f t="shared" si="212"/>
        <v>Regular</v>
      </c>
    </row>
    <row r="4528" spans="1:14" x14ac:dyDescent="0.35">
      <c r="A4528">
        <v>4527</v>
      </c>
      <c r="B4528">
        <v>45</v>
      </c>
      <c r="C4528" t="str">
        <f t="shared" si="210"/>
        <v>Adult</v>
      </c>
      <c r="D4528" t="s">
        <v>11</v>
      </c>
      <c r="E4528" t="s">
        <v>33</v>
      </c>
      <c r="F4528" t="s">
        <v>34</v>
      </c>
      <c r="G4528">
        <v>232.18</v>
      </c>
      <c r="H4528" t="s">
        <v>24</v>
      </c>
      <c r="I4528" t="s">
        <v>15</v>
      </c>
      <c r="J4528">
        <v>4.5</v>
      </c>
      <c r="K4528">
        <v>20</v>
      </c>
      <c r="L4528">
        <f t="shared" si="211"/>
        <v>185.74400000000003</v>
      </c>
      <c r="M4528">
        <v>5</v>
      </c>
      <c r="N4528" t="str">
        <f t="shared" si="212"/>
        <v>Regular</v>
      </c>
    </row>
    <row r="4529" spans="1:14" x14ac:dyDescent="0.35">
      <c r="A4529">
        <v>4528</v>
      </c>
      <c r="B4529">
        <v>35</v>
      </c>
      <c r="C4529" t="str">
        <f t="shared" si="210"/>
        <v>Adult</v>
      </c>
      <c r="D4529" t="s">
        <v>11</v>
      </c>
      <c r="E4529" t="s">
        <v>33</v>
      </c>
      <c r="F4529" t="s">
        <v>40</v>
      </c>
      <c r="G4529">
        <v>185.34</v>
      </c>
      <c r="H4529" t="s">
        <v>31</v>
      </c>
      <c r="I4529" t="s">
        <v>15</v>
      </c>
      <c r="J4529">
        <v>3.6</v>
      </c>
      <c r="K4529">
        <v>13</v>
      </c>
      <c r="L4529">
        <f t="shared" si="211"/>
        <v>161.2458</v>
      </c>
      <c r="M4529">
        <v>4</v>
      </c>
      <c r="N4529" t="str">
        <f t="shared" si="212"/>
        <v>Regular</v>
      </c>
    </row>
    <row r="4530" spans="1:14" x14ac:dyDescent="0.35">
      <c r="A4530">
        <v>4529</v>
      </c>
      <c r="B4530">
        <v>54</v>
      </c>
      <c r="C4530" t="str">
        <f t="shared" si="210"/>
        <v>Adult</v>
      </c>
      <c r="D4530" t="s">
        <v>16</v>
      </c>
      <c r="E4530" t="s">
        <v>20</v>
      </c>
      <c r="F4530" t="s">
        <v>39</v>
      </c>
      <c r="G4530">
        <v>245.45</v>
      </c>
      <c r="H4530" t="s">
        <v>31</v>
      </c>
      <c r="I4530" t="s">
        <v>15</v>
      </c>
      <c r="J4530">
        <v>3.6</v>
      </c>
      <c r="K4530">
        <v>8</v>
      </c>
      <c r="L4530">
        <f t="shared" si="211"/>
        <v>225.81399999999999</v>
      </c>
      <c r="M4530">
        <v>4</v>
      </c>
      <c r="N4530" t="str">
        <f t="shared" si="212"/>
        <v>Regular</v>
      </c>
    </row>
    <row r="4531" spans="1:14" x14ac:dyDescent="0.35">
      <c r="A4531">
        <v>4530</v>
      </c>
      <c r="B4531">
        <v>53</v>
      </c>
      <c r="C4531" t="str">
        <f t="shared" si="210"/>
        <v>Adult</v>
      </c>
      <c r="D4531" t="s">
        <v>11</v>
      </c>
      <c r="E4531" t="s">
        <v>29</v>
      </c>
      <c r="F4531" t="s">
        <v>55</v>
      </c>
      <c r="G4531">
        <v>30.54</v>
      </c>
      <c r="H4531" t="s">
        <v>14</v>
      </c>
      <c r="I4531" t="s">
        <v>15</v>
      </c>
      <c r="J4531">
        <v>4</v>
      </c>
      <c r="K4531">
        <v>7</v>
      </c>
      <c r="L4531">
        <f t="shared" si="211"/>
        <v>28.402199999999997</v>
      </c>
      <c r="M4531">
        <v>1</v>
      </c>
      <c r="N4531" t="str">
        <f t="shared" si="212"/>
        <v>New</v>
      </c>
    </row>
    <row r="4532" spans="1:14" x14ac:dyDescent="0.35">
      <c r="A4532">
        <v>4531</v>
      </c>
      <c r="B4532">
        <v>30</v>
      </c>
      <c r="C4532" t="str">
        <f t="shared" si="210"/>
        <v>Youth</v>
      </c>
      <c r="D4532" t="s">
        <v>11</v>
      </c>
      <c r="E4532" t="s">
        <v>41</v>
      </c>
      <c r="F4532" t="s">
        <v>45</v>
      </c>
      <c r="G4532">
        <v>95.64</v>
      </c>
      <c r="H4532" t="s">
        <v>24</v>
      </c>
      <c r="I4532" t="s">
        <v>37</v>
      </c>
      <c r="J4532">
        <v>4.5</v>
      </c>
      <c r="K4532">
        <v>17</v>
      </c>
      <c r="L4532">
        <f t="shared" si="211"/>
        <v>79.381199999999993</v>
      </c>
      <c r="M4532">
        <v>6</v>
      </c>
      <c r="N4532" t="str">
        <f t="shared" si="212"/>
        <v>Regular</v>
      </c>
    </row>
    <row r="4533" spans="1:14" x14ac:dyDescent="0.35">
      <c r="A4533">
        <v>4532</v>
      </c>
      <c r="B4533">
        <v>52</v>
      </c>
      <c r="C4533" t="str">
        <f t="shared" si="210"/>
        <v>Adult</v>
      </c>
      <c r="D4533" t="s">
        <v>16</v>
      </c>
      <c r="E4533" t="s">
        <v>17</v>
      </c>
      <c r="F4533" t="s">
        <v>18</v>
      </c>
      <c r="G4533">
        <v>134.28</v>
      </c>
      <c r="H4533" t="s">
        <v>24</v>
      </c>
      <c r="I4533" t="s">
        <v>15</v>
      </c>
      <c r="J4533">
        <v>3.1</v>
      </c>
      <c r="K4533">
        <v>8</v>
      </c>
      <c r="L4533">
        <f t="shared" si="211"/>
        <v>123.53760000000001</v>
      </c>
      <c r="M4533">
        <v>4</v>
      </c>
      <c r="N4533" t="str">
        <f t="shared" si="212"/>
        <v>Regular</v>
      </c>
    </row>
    <row r="4534" spans="1:14" x14ac:dyDescent="0.35">
      <c r="A4534">
        <v>4533</v>
      </c>
      <c r="B4534">
        <v>42</v>
      </c>
      <c r="C4534" t="str">
        <f t="shared" si="210"/>
        <v>Adult</v>
      </c>
      <c r="D4534" t="s">
        <v>16</v>
      </c>
      <c r="E4534" t="s">
        <v>20</v>
      </c>
      <c r="F4534" t="s">
        <v>21</v>
      </c>
      <c r="G4534">
        <v>249.3</v>
      </c>
      <c r="H4534" t="s">
        <v>31</v>
      </c>
      <c r="I4534" t="s">
        <v>15</v>
      </c>
      <c r="J4534">
        <v>5</v>
      </c>
      <c r="K4534">
        <v>18</v>
      </c>
      <c r="L4534">
        <f t="shared" si="211"/>
        <v>204.42600000000002</v>
      </c>
      <c r="M4534">
        <v>4</v>
      </c>
      <c r="N4534" t="str">
        <f t="shared" si="212"/>
        <v>Regular</v>
      </c>
    </row>
    <row r="4535" spans="1:14" x14ac:dyDescent="0.35">
      <c r="A4535">
        <v>4534</v>
      </c>
      <c r="B4535">
        <v>44</v>
      </c>
      <c r="C4535" t="str">
        <f t="shared" si="210"/>
        <v>Adult</v>
      </c>
      <c r="D4535" t="s">
        <v>16</v>
      </c>
      <c r="E4535" t="s">
        <v>33</v>
      </c>
      <c r="F4535" t="s">
        <v>40</v>
      </c>
      <c r="G4535">
        <v>55.33</v>
      </c>
      <c r="H4535" t="s">
        <v>31</v>
      </c>
      <c r="I4535" t="s">
        <v>15</v>
      </c>
      <c r="J4535">
        <v>4.5</v>
      </c>
      <c r="K4535">
        <v>28</v>
      </c>
      <c r="L4535">
        <f t="shared" si="211"/>
        <v>39.837599999999995</v>
      </c>
      <c r="M4535">
        <v>9</v>
      </c>
      <c r="N4535" t="str">
        <f t="shared" si="212"/>
        <v>Loyal</v>
      </c>
    </row>
    <row r="4536" spans="1:14" x14ac:dyDescent="0.35">
      <c r="A4536">
        <v>4535</v>
      </c>
      <c r="B4536">
        <v>60</v>
      </c>
      <c r="C4536" t="str">
        <f t="shared" si="210"/>
        <v>Adult</v>
      </c>
      <c r="D4536" t="s">
        <v>16</v>
      </c>
      <c r="E4536" t="s">
        <v>25</v>
      </c>
      <c r="F4536" t="s">
        <v>26</v>
      </c>
      <c r="G4536">
        <v>10.3</v>
      </c>
      <c r="H4536" t="s">
        <v>19</v>
      </c>
      <c r="I4536" t="s">
        <v>37</v>
      </c>
      <c r="J4536">
        <v>3.9</v>
      </c>
      <c r="K4536">
        <v>17</v>
      </c>
      <c r="L4536">
        <f t="shared" si="211"/>
        <v>8.5489999999999995</v>
      </c>
      <c r="M4536">
        <v>6</v>
      </c>
      <c r="N4536" t="str">
        <f t="shared" si="212"/>
        <v>Regular</v>
      </c>
    </row>
    <row r="4537" spans="1:14" x14ac:dyDescent="0.35">
      <c r="A4537">
        <v>4536</v>
      </c>
      <c r="B4537">
        <v>22</v>
      </c>
      <c r="C4537" t="str">
        <f t="shared" si="210"/>
        <v>Youth</v>
      </c>
      <c r="D4537" t="s">
        <v>11</v>
      </c>
      <c r="E4537" t="s">
        <v>33</v>
      </c>
      <c r="F4537" t="s">
        <v>34</v>
      </c>
      <c r="G4537">
        <v>109.51</v>
      </c>
      <c r="H4537" t="s">
        <v>19</v>
      </c>
      <c r="I4537" t="s">
        <v>15</v>
      </c>
      <c r="J4537">
        <v>4.8</v>
      </c>
      <c r="K4537">
        <v>10</v>
      </c>
      <c r="L4537">
        <f t="shared" si="211"/>
        <v>98.559000000000012</v>
      </c>
      <c r="M4537">
        <v>5</v>
      </c>
      <c r="N4537" t="str">
        <f t="shared" si="212"/>
        <v>Regular</v>
      </c>
    </row>
    <row r="4538" spans="1:14" x14ac:dyDescent="0.35">
      <c r="A4538">
        <v>4537</v>
      </c>
      <c r="B4538">
        <v>31</v>
      </c>
      <c r="C4538" t="str">
        <f t="shared" si="210"/>
        <v>Adult</v>
      </c>
      <c r="D4538" t="s">
        <v>16</v>
      </c>
      <c r="E4538" t="s">
        <v>27</v>
      </c>
      <c r="F4538" t="s">
        <v>32</v>
      </c>
      <c r="G4538">
        <v>1550.91</v>
      </c>
      <c r="H4538" t="s">
        <v>19</v>
      </c>
      <c r="I4538" t="s">
        <v>15</v>
      </c>
      <c r="J4538">
        <v>2.1</v>
      </c>
      <c r="K4538">
        <v>9</v>
      </c>
      <c r="L4538">
        <f t="shared" si="211"/>
        <v>1411.3281000000002</v>
      </c>
      <c r="M4538">
        <v>2</v>
      </c>
      <c r="N4538" t="str">
        <f t="shared" si="212"/>
        <v>New</v>
      </c>
    </row>
    <row r="4539" spans="1:14" x14ac:dyDescent="0.35">
      <c r="A4539">
        <v>4538</v>
      </c>
      <c r="B4539">
        <v>38</v>
      </c>
      <c r="C4539" t="str">
        <f t="shared" si="210"/>
        <v>Adult</v>
      </c>
      <c r="D4539" t="s">
        <v>16</v>
      </c>
      <c r="E4539" t="s">
        <v>33</v>
      </c>
      <c r="F4539" t="s">
        <v>40</v>
      </c>
      <c r="G4539">
        <v>192.19</v>
      </c>
      <c r="H4539" t="s">
        <v>14</v>
      </c>
      <c r="I4539" t="s">
        <v>15</v>
      </c>
      <c r="J4539">
        <v>3.5</v>
      </c>
      <c r="K4539">
        <v>11</v>
      </c>
      <c r="L4539">
        <f t="shared" si="211"/>
        <v>171.04910000000001</v>
      </c>
      <c r="M4539">
        <v>3</v>
      </c>
      <c r="N4539" t="str">
        <f t="shared" si="212"/>
        <v>New</v>
      </c>
    </row>
    <row r="4540" spans="1:14" x14ac:dyDescent="0.35">
      <c r="A4540">
        <v>4539</v>
      </c>
      <c r="B4540">
        <v>49</v>
      </c>
      <c r="C4540" t="str">
        <f t="shared" si="210"/>
        <v>Adult</v>
      </c>
      <c r="D4540" t="s">
        <v>16</v>
      </c>
      <c r="E4540" t="s">
        <v>27</v>
      </c>
      <c r="F4540" t="s">
        <v>32</v>
      </c>
      <c r="G4540">
        <v>2208.2199999999998</v>
      </c>
      <c r="H4540" t="s">
        <v>31</v>
      </c>
      <c r="I4540" t="s">
        <v>15</v>
      </c>
      <c r="J4540">
        <v>3.8</v>
      </c>
      <c r="K4540">
        <v>8</v>
      </c>
      <c r="L4540">
        <f t="shared" si="211"/>
        <v>2031.5623999999998</v>
      </c>
      <c r="M4540">
        <v>4</v>
      </c>
      <c r="N4540" t="str">
        <f t="shared" si="212"/>
        <v>Regular</v>
      </c>
    </row>
    <row r="4541" spans="1:14" x14ac:dyDescent="0.35">
      <c r="A4541">
        <v>4540</v>
      </c>
      <c r="B4541">
        <v>23</v>
      </c>
      <c r="C4541" t="str">
        <f t="shared" si="210"/>
        <v>Youth</v>
      </c>
      <c r="D4541" t="s">
        <v>11</v>
      </c>
      <c r="E4541" t="s">
        <v>20</v>
      </c>
      <c r="F4541" t="s">
        <v>39</v>
      </c>
      <c r="G4541">
        <v>37.85</v>
      </c>
      <c r="H4541" t="s">
        <v>24</v>
      </c>
      <c r="I4541" t="s">
        <v>15</v>
      </c>
      <c r="J4541">
        <v>3.1</v>
      </c>
      <c r="K4541">
        <v>19</v>
      </c>
      <c r="L4541">
        <f t="shared" si="211"/>
        <v>30.658500000000004</v>
      </c>
      <c r="M4541">
        <v>7</v>
      </c>
      <c r="N4541" t="str">
        <f t="shared" si="212"/>
        <v>Regular</v>
      </c>
    </row>
    <row r="4542" spans="1:14" x14ac:dyDescent="0.35">
      <c r="A4542">
        <v>4541</v>
      </c>
      <c r="B4542">
        <v>40</v>
      </c>
      <c r="C4542" t="str">
        <f t="shared" si="210"/>
        <v>Adult</v>
      </c>
      <c r="D4542" t="s">
        <v>11</v>
      </c>
      <c r="E4542" t="s">
        <v>33</v>
      </c>
      <c r="F4542" t="s">
        <v>40</v>
      </c>
      <c r="G4542">
        <v>96.16</v>
      </c>
      <c r="H4542" t="s">
        <v>31</v>
      </c>
      <c r="I4542" t="s">
        <v>37</v>
      </c>
      <c r="J4542">
        <v>4.0999999999999996</v>
      </c>
      <c r="K4542">
        <v>14</v>
      </c>
      <c r="L4542">
        <f t="shared" si="211"/>
        <v>82.697599999999994</v>
      </c>
      <c r="M4542">
        <v>2</v>
      </c>
      <c r="N4542" t="str">
        <f t="shared" si="212"/>
        <v>New</v>
      </c>
    </row>
    <row r="4543" spans="1:14" x14ac:dyDescent="0.35">
      <c r="A4543">
        <v>4542</v>
      </c>
      <c r="B4543">
        <v>62</v>
      </c>
      <c r="C4543" t="str">
        <f t="shared" si="210"/>
        <v>Senior</v>
      </c>
      <c r="D4543" t="s">
        <v>16</v>
      </c>
      <c r="E4543" t="s">
        <v>33</v>
      </c>
      <c r="F4543" t="s">
        <v>34</v>
      </c>
      <c r="G4543">
        <v>73.58</v>
      </c>
      <c r="H4543" t="s">
        <v>19</v>
      </c>
      <c r="I4543" t="s">
        <v>15</v>
      </c>
      <c r="J4543">
        <v>3.2</v>
      </c>
      <c r="K4543">
        <v>10</v>
      </c>
      <c r="L4543">
        <f t="shared" si="211"/>
        <v>66.221999999999994</v>
      </c>
      <c r="M4543">
        <v>5</v>
      </c>
      <c r="N4543" t="str">
        <f t="shared" si="212"/>
        <v>Regular</v>
      </c>
    </row>
    <row r="4544" spans="1:14" x14ac:dyDescent="0.35">
      <c r="A4544">
        <v>4543</v>
      </c>
      <c r="B4544">
        <v>27</v>
      </c>
      <c r="C4544" t="str">
        <f t="shared" si="210"/>
        <v>Youth</v>
      </c>
      <c r="D4544" t="s">
        <v>11</v>
      </c>
      <c r="E4544" t="s">
        <v>33</v>
      </c>
      <c r="F4544" t="s">
        <v>34</v>
      </c>
      <c r="G4544">
        <v>108.25</v>
      </c>
      <c r="H4544" t="s">
        <v>24</v>
      </c>
      <c r="I4544" t="s">
        <v>15</v>
      </c>
      <c r="J4544">
        <v>4.4000000000000004</v>
      </c>
      <c r="K4544">
        <v>15</v>
      </c>
      <c r="L4544">
        <f t="shared" si="211"/>
        <v>92.012500000000003</v>
      </c>
      <c r="M4544">
        <v>5</v>
      </c>
      <c r="N4544" t="str">
        <f t="shared" si="212"/>
        <v>Regular</v>
      </c>
    </row>
    <row r="4545" spans="1:14" x14ac:dyDescent="0.35">
      <c r="A4545">
        <v>4544</v>
      </c>
      <c r="B4545">
        <v>35</v>
      </c>
      <c r="C4545" t="str">
        <f t="shared" si="210"/>
        <v>Adult</v>
      </c>
      <c r="D4545" t="s">
        <v>11</v>
      </c>
      <c r="E4545" t="s">
        <v>20</v>
      </c>
      <c r="F4545" t="s">
        <v>21</v>
      </c>
      <c r="G4545">
        <v>84.39</v>
      </c>
      <c r="H4545" t="s">
        <v>31</v>
      </c>
      <c r="I4545" t="s">
        <v>15</v>
      </c>
      <c r="J4545">
        <v>4.8</v>
      </c>
      <c r="K4545">
        <v>19</v>
      </c>
      <c r="L4545">
        <f t="shared" si="211"/>
        <v>68.355900000000005</v>
      </c>
      <c r="M4545">
        <v>7</v>
      </c>
      <c r="N4545" t="str">
        <f t="shared" si="212"/>
        <v>Regular</v>
      </c>
    </row>
    <row r="4546" spans="1:14" x14ac:dyDescent="0.35">
      <c r="A4546">
        <v>4545</v>
      </c>
      <c r="B4546">
        <v>21</v>
      </c>
      <c r="C4546" t="str">
        <f t="shared" si="210"/>
        <v>Youth</v>
      </c>
      <c r="D4546" t="s">
        <v>16</v>
      </c>
      <c r="E4546" t="s">
        <v>27</v>
      </c>
      <c r="F4546" t="s">
        <v>49</v>
      </c>
      <c r="G4546">
        <v>2196.35</v>
      </c>
      <c r="H4546" t="s">
        <v>24</v>
      </c>
      <c r="I4546" t="s">
        <v>15</v>
      </c>
      <c r="J4546">
        <v>3.8</v>
      </c>
      <c r="K4546">
        <v>10</v>
      </c>
      <c r="L4546">
        <f t="shared" si="211"/>
        <v>1976.7149999999999</v>
      </c>
      <c r="M4546">
        <v>5</v>
      </c>
      <c r="N4546" t="str">
        <f t="shared" si="212"/>
        <v>Regular</v>
      </c>
    </row>
    <row r="4547" spans="1:14" x14ac:dyDescent="0.35">
      <c r="A4547">
        <v>4546</v>
      </c>
      <c r="B4547">
        <v>55</v>
      </c>
      <c r="C4547" t="str">
        <f t="shared" ref="C4547:C4610" si="213">IF(B4547&lt;=30,"Youth",IF(B4547&lt;=45,"Adult",IF(B4547&lt;=60,"Adult","Senior")))</f>
        <v>Adult</v>
      </c>
      <c r="D4547" t="s">
        <v>16</v>
      </c>
      <c r="E4547" t="s">
        <v>17</v>
      </c>
      <c r="F4547" t="s">
        <v>35</v>
      </c>
      <c r="G4547">
        <v>56.1</v>
      </c>
      <c r="H4547" t="s">
        <v>24</v>
      </c>
      <c r="I4547" t="s">
        <v>15</v>
      </c>
      <c r="J4547">
        <v>5</v>
      </c>
      <c r="K4547">
        <v>12</v>
      </c>
      <c r="L4547">
        <f t="shared" ref="L4547:L4610" si="214">G4547*(1-K4547/100)</f>
        <v>49.368000000000002</v>
      </c>
      <c r="M4547">
        <v>6</v>
      </c>
      <c r="N4547" t="str">
        <f t="shared" ref="N4547:N4610" si="215">IF(M4547&lt;=3,"New",IF(M4547&lt;=7,"Regular","Loyal"))</f>
        <v>Regular</v>
      </c>
    </row>
    <row r="4548" spans="1:14" x14ac:dyDescent="0.35">
      <c r="A4548">
        <v>4547</v>
      </c>
      <c r="B4548">
        <v>49</v>
      </c>
      <c r="C4548" t="str">
        <f t="shared" si="213"/>
        <v>Adult</v>
      </c>
      <c r="D4548" t="s">
        <v>16</v>
      </c>
      <c r="E4548" t="s">
        <v>17</v>
      </c>
      <c r="F4548" t="s">
        <v>48</v>
      </c>
      <c r="G4548">
        <v>115.95</v>
      </c>
      <c r="H4548" t="s">
        <v>19</v>
      </c>
      <c r="I4548" t="s">
        <v>15</v>
      </c>
      <c r="J4548">
        <v>3.7</v>
      </c>
      <c r="K4548">
        <v>15</v>
      </c>
      <c r="L4548">
        <f t="shared" si="214"/>
        <v>98.557500000000005</v>
      </c>
      <c r="M4548">
        <v>5</v>
      </c>
      <c r="N4548" t="str">
        <f t="shared" si="215"/>
        <v>Regular</v>
      </c>
    </row>
    <row r="4549" spans="1:14" x14ac:dyDescent="0.35">
      <c r="A4549">
        <v>4548</v>
      </c>
      <c r="B4549">
        <v>60</v>
      </c>
      <c r="C4549" t="str">
        <f t="shared" si="213"/>
        <v>Adult</v>
      </c>
      <c r="D4549" t="s">
        <v>16</v>
      </c>
      <c r="E4549" t="s">
        <v>20</v>
      </c>
      <c r="F4549" t="s">
        <v>21</v>
      </c>
      <c r="G4549">
        <v>122.97</v>
      </c>
      <c r="H4549" t="s">
        <v>14</v>
      </c>
      <c r="I4549" t="s">
        <v>15</v>
      </c>
      <c r="J4549">
        <v>3.8</v>
      </c>
      <c r="K4549">
        <v>9</v>
      </c>
      <c r="L4549">
        <f t="shared" si="214"/>
        <v>111.9027</v>
      </c>
      <c r="M4549">
        <v>2</v>
      </c>
      <c r="N4549" t="str">
        <f t="shared" si="215"/>
        <v>New</v>
      </c>
    </row>
    <row r="4550" spans="1:14" x14ac:dyDescent="0.35">
      <c r="A4550">
        <v>4549</v>
      </c>
      <c r="B4550">
        <v>46</v>
      </c>
      <c r="C4550" t="str">
        <f t="shared" si="213"/>
        <v>Adult</v>
      </c>
      <c r="D4550" t="s">
        <v>16</v>
      </c>
      <c r="E4550" t="s">
        <v>27</v>
      </c>
      <c r="F4550" t="s">
        <v>28</v>
      </c>
      <c r="G4550">
        <v>561.66</v>
      </c>
      <c r="H4550" t="s">
        <v>31</v>
      </c>
      <c r="I4550" t="s">
        <v>15</v>
      </c>
      <c r="J4550">
        <v>3.8</v>
      </c>
      <c r="K4550">
        <v>12</v>
      </c>
      <c r="L4550">
        <f t="shared" si="214"/>
        <v>494.26079999999996</v>
      </c>
      <c r="M4550">
        <v>6</v>
      </c>
      <c r="N4550" t="str">
        <f t="shared" si="215"/>
        <v>Regular</v>
      </c>
    </row>
    <row r="4551" spans="1:14" x14ac:dyDescent="0.35">
      <c r="A4551">
        <v>4550</v>
      </c>
      <c r="B4551">
        <v>69</v>
      </c>
      <c r="C4551" t="str">
        <f t="shared" si="213"/>
        <v>Senior</v>
      </c>
      <c r="D4551" t="s">
        <v>11</v>
      </c>
      <c r="E4551" t="s">
        <v>41</v>
      </c>
      <c r="F4551" t="s">
        <v>45</v>
      </c>
      <c r="G4551">
        <v>73.88</v>
      </c>
      <c r="H4551" t="s">
        <v>31</v>
      </c>
      <c r="I4551" t="s">
        <v>15</v>
      </c>
      <c r="J4551">
        <v>4.3</v>
      </c>
      <c r="K4551">
        <v>17</v>
      </c>
      <c r="L4551">
        <f t="shared" si="214"/>
        <v>61.320399999999992</v>
      </c>
      <c r="M4551">
        <v>6</v>
      </c>
      <c r="N4551" t="str">
        <f t="shared" si="215"/>
        <v>Regular</v>
      </c>
    </row>
    <row r="4552" spans="1:14" x14ac:dyDescent="0.35">
      <c r="A4552">
        <v>4551</v>
      </c>
      <c r="B4552">
        <v>49</v>
      </c>
      <c r="C4552" t="str">
        <f t="shared" si="213"/>
        <v>Adult</v>
      </c>
      <c r="D4552" t="s">
        <v>11</v>
      </c>
      <c r="E4552" t="s">
        <v>33</v>
      </c>
      <c r="F4552" t="s">
        <v>38</v>
      </c>
      <c r="G4552">
        <v>96.13</v>
      </c>
      <c r="H4552" t="s">
        <v>19</v>
      </c>
      <c r="I4552" t="s">
        <v>37</v>
      </c>
      <c r="J4552">
        <v>4</v>
      </c>
      <c r="K4552">
        <v>15</v>
      </c>
      <c r="L4552">
        <f t="shared" si="214"/>
        <v>81.710499999999996</v>
      </c>
      <c r="M4552">
        <v>5</v>
      </c>
      <c r="N4552" t="str">
        <f t="shared" si="215"/>
        <v>Regular</v>
      </c>
    </row>
    <row r="4553" spans="1:14" x14ac:dyDescent="0.35">
      <c r="A4553">
        <v>4552</v>
      </c>
      <c r="B4553">
        <v>58</v>
      </c>
      <c r="C4553" t="str">
        <f t="shared" si="213"/>
        <v>Adult</v>
      </c>
      <c r="D4553" t="s">
        <v>16</v>
      </c>
      <c r="E4553" t="s">
        <v>17</v>
      </c>
      <c r="F4553" t="s">
        <v>35</v>
      </c>
      <c r="G4553">
        <v>128.34</v>
      </c>
      <c r="H4553" t="s">
        <v>19</v>
      </c>
      <c r="I4553" t="s">
        <v>15</v>
      </c>
      <c r="J4553">
        <v>3.6</v>
      </c>
      <c r="K4553">
        <v>22</v>
      </c>
      <c r="L4553">
        <f t="shared" si="214"/>
        <v>100.10520000000001</v>
      </c>
      <c r="M4553">
        <v>6</v>
      </c>
      <c r="N4553" t="str">
        <f t="shared" si="215"/>
        <v>Regular</v>
      </c>
    </row>
    <row r="4554" spans="1:14" x14ac:dyDescent="0.35">
      <c r="A4554">
        <v>4553</v>
      </c>
      <c r="B4554">
        <v>22</v>
      </c>
      <c r="C4554" t="str">
        <f t="shared" si="213"/>
        <v>Youth</v>
      </c>
      <c r="D4554" t="s">
        <v>16</v>
      </c>
      <c r="E4554" t="s">
        <v>25</v>
      </c>
      <c r="F4554" t="s">
        <v>54</v>
      </c>
      <c r="G4554">
        <v>36.200000000000003</v>
      </c>
      <c r="H4554" t="s">
        <v>14</v>
      </c>
      <c r="I4554" t="s">
        <v>37</v>
      </c>
      <c r="J4554">
        <v>5</v>
      </c>
      <c r="K4554">
        <v>20</v>
      </c>
      <c r="L4554">
        <f t="shared" si="214"/>
        <v>28.960000000000004</v>
      </c>
      <c r="M4554">
        <v>5</v>
      </c>
      <c r="N4554" t="str">
        <f t="shared" si="215"/>
        <v>Regular</v>
      </c>
    </row>
    <row r="4555" spans="1:14" x14ac:dyDescent="0.35">
      <c r="A4555">
        <v>4554</v>
      </c>
      <c r="B4555">
        <v>50</v>
      </c>
      <c r="C4555" t="str">
        <f t="shared" si="213"/>
        <v>Adult</v>
      </c>
      <c r="D4555" t="s">
        <v>11</v>
      </c>
      <c r="E4555" t="s">
        <v>29</v>
      </c>
      <c r="F4555" t="s">
        <v>55</v>
      </c>
      <c r="G4555">
        <v>22.59</v>
      </c>
      <c r="H4555" t="s">
        <v>19</v>
      </c>
      <c r="I4555" t="s">
        <v>37</v>
      </c>
      <c r="J4555">
        <v>3.9</v>
      </c>
      <c r="K4555">
        <v>20</v>
      </c>
      <c r="L4555">
        <f t="shared" si="214"/>
        <v>18.071999999999999</v>
      </c>
      <c r="M4555">
        <v>5</v>
      </c>
      <c r="N4555" t="str">
        <f t="shared" si="215"/>
        <v>Regular</v>
      </c>
    </row>
    <row r="4556" spans="1:14" x14ac:dyDescent="0.35">
      <c r="A4556">
        <v>4555</v>
      </c>
      <c r="B4556">
        <v>41</v>
      </c>
      <c r="C4556" t="str">
        <f t="shared" si="213"/>
        <v>Adult</v>
      </c>
      <c r="D4556" t="s">
        <v>11</v>
      </c>
      <c r="E4556" t="s">
        <v>33</v>
      </c>
      <c r="F4556" t="s">
        <v>38</v>
      </c>
      <c r="G4556">
        <v>55.08</v>
      </c>
      <c r="H4556" t="s">
        <v>19</v>
      </c>
      <c r="I4556" t="s">
        <v>37</v>
      </c>
      <c r="J4556">
        <v>4</v>
      </c>
      <c r="K4556">
        <v>26</v>
      </c>
      <c r="L4556">
        <f t="shared" si="214"/>
        <v>40.7592</v>
      </c>
      <c r="M4556">
        <v>8</v>
      </c>
      <c r="N4556" t="str">
        <f t="shared" si="215"/>
        <v>Loyal</v>
      </c>
    </row>
    <row r="4557" spans="1:14" x14ac:dyDescent="0.35">
      <c r="A4557">
        <v>4556</v>
      </c>
      <c r="B4557">
        <v>68</v>
      </c>
      <c r="C4557" t="str">
        <f t="shared" si="213"/>
        <v>Senior</v>
      </c>
      <c r="D4557" t="s">
        <v>11</v>
      </c>
      <c r="E4557" t="s">
        <v>12</v>
      </c>
      <c r="F4557" t="s">
        <v>56</v>
      </c>
      <c r="G4557">
        <v>121.36</v>
      </c>
      <c r="H4557" t="s">
        <v>24</v>
      </c>
      <c r="I4557" t="s">
        <v>15</v>
      </c>
      <c r="J4557">
        <v>2.7</v>
      </c>
      <c r="K4557">
        <v>15</v>
      </c>
      <c r="L4557">
        <f t="shared" si="214"/>
        <v>103.15599999999999</v>
      </c>
      <c r="M4557">
        <v>5</v>
      </c>
      <c r="N4557" t="str">
        <f t="shared" si="215"/>
        <v>Regular</v>
      </c>
    </row>
    <row r="4558" spans="1:14" x14ac:dyDescent="0.35">
      <c r="A4558">
        <v>4557</v>
      </c>
      <c r="B4558">
        <v>67</v>
      </c>
      <c r="C4558" t="str">
        <f t="shared" si="213"/>
        <v>Senior</v>
      </c>
      <c r="D4558" t="s">
        <v>16</v>
      </c>
      <c r="E4558" t="s">
        <v>33</v>
      </c>
      <c r="F4558" t="s">
        <v>34</v>
      </c>
      <c r="G4558">
        <v>202.9</v>
      </c>
      <c r="H4558" t="s">
        <v>14</v>
      </c>
      <c r="I4558" t="s">
        <v>15</v>
      </c>
      <c r="J4558">
        <v>3.7</v>
      </c>
      <c r="K4558">
        <v>20</v>
      </c>
      <c r="L4558">
        <f t="shared" si="214"/>
        <v>162.32000000000002</v>
      </c>
      <c r="M4558">
        <v>5</v>
      </c>
      <c r="N4558" t="str">
        <f t="shared" si="215"/>
        <v>Regular</v>
      </c>
    </row>
    <row r="4559" spans="1:14" x14ac:dyDescent="0.35">
      <c r="A4559">
        <v>4558</v>
      </c>
      <c r="B4559">
        <v>67</v>
      </c>
      <c r="C4559" t="str">
        <f t="shared" si="213"/>
        <v>Senior</v>
      </c>
      <c r="D4559" t="s">
        <v>16</v>
      </c>
      <c r="E4559" t="s">
        <v>17</v>
      </c>
      <c r="F4559" t="s">
        <v>42</v>
      </c>
      <c r="G4559">
        <v>185.7</v>
      </c>
      <c r="H4559" t="s">
        <v>14</v>
      </c>
      <c r="I4559" t="s">
        <v>15</v>
      </c>
      <c r="J4559">
        <v>3.1</v>
      </c>
      <c r="K4559">
        <v>2</v>
      </c>
      <c r="L4559">
        <f t="shared" si="214"/>
        <v>181.98599999999999</v>
      </c>
      <c r="M4559">
        <v>1</v>
      </c>
      <c r="N4559" t="str">
        <f t="shared" si="215"/>
        <v>New</v>
      </c>
    </row>
    <row r="4560" spans="1:14" x14ac:dyDescent="0.35">
      <c r="A4560">
        <v>4559</v>
      </c>
      <c r="B4560">
        <v>24</v>
      </c>
      <c r="C4560" t="str">
        <f t="shared" si="213"/>
        <v>Youth</v>
      </c>
      <c r="D4560" t="s">
        <v>16</v>
      </c>
      <c r="E4560" t="s">
        <v>17</v>
      </c>
      <c r="F4560" t="s">
        <v>42</v>
      </c>
      <c r="G4560">
        <v>156.16999999999999</v>
      </c>
      <c r="H4560" t="s">
        <v>19</v>
      </c>
      <c r="I4560" t="s">
        <v>15</v>
      </c>
      <c r="J4560">
        <v>4.0999999999999996</v>
      </c>
      <c r="K4560">
        <v>11</v>
      </c>
      <c r="L4560">
        <f t="shared" si="214"/>
        <v>138.9913</v>
      </c>
      <c r="M4560">
        <v>3</v>
      </c>
      <c r="N4560" t="str">
        <f t="shared" si="215"/>
        <v>New</v>
      </c>
    </row>
    <row r="4561" spans="1:14" x14ac:dyDescent="0.35">
      <c r="A4561">
        <v>4560</v>
      </c>
      <c r="B4561">
        <v>56</v>
      </c>
      <c r="C4561" t="str">
        <f t="shared" si="213"/>
        <v>Adult</v>
      </c>
      <c r="D4561" t="s">
        <v>11</v>
      </c>
      <c r="E4561" t="s">
        <v>29</v>
      </c>
      <c r="F4561" t="s">
        <v>30</v>
      </c>
      <c r="G4561">
        <v>32.07</v>
      </c>
      <c r="H4561" t="s">
        <v>31</v>
      </c>
      <c r="I4561" t="s">
        <v>15</v>
      </c>
      <c r="J4561">
        <v>3.7</v>
      </c>
      <c r="K4561">
        <v>34</v>
      </c>
      <c r="L4561">
        <f t="shared" si="214"/>
        <v>21.166199999999996</v>
      </c>
      <c r="M4561">
        <v>12</v>
      </c>
      <c r="N4561" t="str">
        <f t="shared" si="215"/>
        <v>Loyal</v>
      </c>
    </row>
    <row r="4562" spans="1:14" x14ac:dyDescent="0.35">
      <c r="A4562">
        <v>4561</v>
      </c>
      <c r="B4562">
        <v>70</v>
      </c>
      <c r="C4562" t="str">
        <f t="shared" si="213"/>
        <v>Senior</v>
      </c>
      <c r="D4562" t="s">
        <v>11</v>
      </c>
      <c r="E4562" t="s">
        <v>25</v>
      </c>
      <c r="F4562" t="s">
        <v>47</v>
      </c>
      <c r="G4562">
        <v>65.38</v>
      </c>
      <c r="H4562" t="s">
        <v>31</v>
      </c>
      <c r="I4562" t="s">
        <v>37</v>
      </c>
      <c r="J4562">
        <v>3.7</v>
      </c>
      <c r="K4562">
        <v>20</v>
      </c>
      <c r="L4562">
        <f t="shared" si="214"/>
        <v>52.304000000000002</v>
      </c>
      <c r="M4562">
        <v>5</v>
      </c>
      <c r="N4562" t="str">
        <f t="shared" si="215"/>
        <v>Regular</v>
      </c>
    </row>
    <row r="4563" spans="1:14" x14ac:dyDescent="0.35">
      <c r="A4563">
        <v>4562</v>
      </c>
      <c r="B4563">
        <v>62</v>
      </c>
      <c r="C4563" t="str">
        <f t="shared" si="213"/>
        <v>Senior</v>
      </c>
      <c r="D4563" t="s">
        <v>11</v>
      </c>
      <c r="E4563" t="s">
        <v>33</v>
      </c>
      <c r="F4563" t="s">
        <v>34</v>
      </c>
      <c r="G4563">
        <v>48.76</v>
      </c>
      <c r="H4563" t="s">
        <v>14</v>
      </c>
      <c r="I4563" t="s">
        <v>15</v>
      </c>
      <c r="J4563">
        <v>3.4</v>
      </c>
      <c r="K4563">
        <v>10</v>
      </c>
      <c r="L4563">
        <f t="shared" si="214"/>
        <v>43.884</v>
      </c>
      <c r="M4563">
        <v>5</v>
      </c>
      <c r="N4563" t="str">
        <f t="shared" si="215"/>
        <v>Regular</v>
      </c>
    </row>
    <row r="4564" spans="1:14" x14ac:dyDescent="0.35">
      <c r="A4564">
        <v>4563</v>
      </c>
      <c r="B4564">
        <v>55</v>
      </c>
      <c r="C4564" t="str">
        <f t="shared" si="213"/>
        <v>Adult</v>
      </c>
      <c r="D4564" t="s">
        <v>11</v>
      </c>
      <c r="E4564" t="s">
        <v>33</v>
      </c>
      <c r="F4564" t="s">
        <v>38</v>
      </c>
      <c r="G4564">
        <v>133.82</v>
      </c>
      <c r="H4564" t="s">
        <v>19</v>
      </c>
      <c r="I4564" t="s">
        <v>15</v>
      </c>
      <c r="J4564">
        <v>4.5</v>
      </c>
      <c r="K4564">
        <v>17</v>
      </c>
      <c r="L4564">
        <f t="shared" si="214"/>
        <v>111.07059999999998</v>
      </c>
      <c r="M4564">
        <v>6</v>
      </c>
      <c r="N4564" t="str">
        <f t="shared" si="215"/>
        <v>Regular</v>
      </c>
    </row>
    <row r="4565" spans="1:14" x14ac:dyDescent="0.35">
      <c r="A4565">
        <v>4564</v>
      </c>
      <c r="B4565">
        <v>41</v>
      </c>
      <c r="C4565" t="str">
        <f t="shared" si="213"/>
        <v>Adult</v>
      </c>
      <c r="D4565" t="s">
        <v>11</v>
      </c>
      <c r="E4565" t="s">
        <v>20</v>
      </c>
      <c r="F4565" t="s">
        <v>36</v>
      </c>
      <c r="G4565">
        <v>189.59</v>
      </c>
      <c r="H4565" t="s">
        <v>14</v>
      </c>
      <c r="I4565" t="s">
        <v>15</v>
      </c>
      <c r="J4565">
        <v>3</v>
      </c>
      <c r="K4565">
        <v>10</v>
      </c>
      <c r="L4565">
        <f t="shared" si="214"/>
        <v>170.631</v>
      </c>
      <c r="M4565">
        <v>5</v>
      </c>
      <c r="N4565" t="str">
        <f t="shared" si="215"/>
        <v>Regular</v>
      </c>
    </row>
    <row r="4566" spans="1:14" x14ac:dyDescent="0.35">
      <c r="A4566">
        <v>4565</v>
      </c>
      <c r="B4566">
        <v>64</v>
      </c>
      <c r="C4566" t="str">
        <f t="shared" si="213"/>
        <v>Senior</v>
      </c>
      <c r="D4566" t="s">
        <v>11</v>
      </c>
      <c r="E4566" t="s">
        <v>12</v>
      </c>
      <c r="F4566" t="s">
        <v>13</v>
      </c>
      <c r="G4566">
        <v>129.44999999999999</v>
      </c>
      <c r="H4566" t="s">
        <v>14</v>
      </c>
      <c r="I4566" t="s">
        <v>15</v>
      </c>
      <c r="J4566">
        <v>3.9</v>
      </c>
      <c r="K4566">
        <v>13</v>
      </c>
      <c r="L4566">
        <f t="shared" si="214"/>
        <v>112.62149999999998</v>
      </c>
      <c r="M4566">
        <v>4</v>
      </c>
      <c r="N4566" t="str">
        <f t="shared" si="215"/>
        <v>Regular</v>
      </c>
    </row>
    <row r="4567" spans="1:14" x14ac:dyDescent="0.35">
      <c r="A4567">
        <v>4566</v>
      </c>
      <c r="B4567">
        <v>67</v>
      </c>
      <c r="C4567" t="str">
        <f t="shared" si="213"/>
        <v>Senior</v>
      </c>
      <c r="D4567" t="s">
        <v>16</v>
      </c>
      <c r="E4567" t="s">
        <v>33</v>
      </c>
      <c r="F4567" t="s">
        <v>38</v>
      </c>
      <c r="G4567">
        <v>151.13</v>
      </c>
      <c r="H4567" t="s">
        <v>14</v>
      </c>
      <c r="I4567" t="s">
        <v>15</v>
      </c>
      <c r="J4567">
        <v>3.6</v>
      </c>
      <c r="K4567">
        <v>4</v>
      </c>
      <c r="L4567">
        <f t="shared" si="214"/>
        <v>145.0848</v>
      </c>
      <c r="M4567">
        <v>2</v>
      </c>
      <c r="N4567" t="str">
        <f t="shared" si="215"/>
        <v>New</v>
      </c>
    </row>
    <row r="4568" spans="1:14" x14ac:dyDescent="0.35">
      <c r="A4568">
        <v>4567</v>
      </c>
      <c r="B4568">
        <v>30</v>
      </c>
      <c r="C4568" t="str">
        <f t="shared" si="213"/>
        <v>Youth</v>
      </c>
      <c r="D4568" t="s">
        <v>16</v>
      </c>
      <c r="E4568" t="s">
        <v>33</v>
      </c>
      <c r="F4568" t="s">
        <v>40</v>
      </c>
      <c r="G4568">
        <v>122.89</v>
      </c>
      <c r="H4568" t="s">
        <v>24</v>
      </c>
      <c r="I4568" t="s">
        <v>15</v>
      </c>
      <c r="J4568">
        <v>5</v>
      </c>
      <c r="K4568">
        <v>13</v>
      </c>
      <c r="L4568">
        <f t="shared" si="214"/>
        <v>106.9143</v>
      </c>
      <c r="M4568">
        <v>4</v>
      </c>
      <c r="N4568" t="str">
        <f t="shared" si="215"/>
        <v>Regular</v>
      </c>
    </row>
    <row r="4569" spans="1:14" x14ac:dyDescent="0.35">
      <c r="A4569">
        <v>4568</v>
      </c>
      <c r="B4569">
        <v>70</v>
      </c>
      <c r="C4569" t="str">
        <f t="shared" si="213"/>
        <v>Senior</v>
      </c>
      <c r="D4569" t="s">
        <v>16</v>
      </c>
      <c r="E4569" t="s">
        <v>33</v>
      </c>
      <c r="F4569" t="s">
        <v>38</v>
      </c>
      <c r="G4569">
        <v>112.06</v>
      </c>
      <c r="H4569" t="s">
        <v>19</v>
      </c>
      <c r="I4569" t="s">
        <v>15</v>
      </c>
      <c r="J4569">
        <v>5</v>
      </c>
      <c r="K4569">
        <v>25</v>
      </c>
      <c r="L4569">
        <f t="shared" si="214"/>
        <v>84.045000000000002</v>
      </c>
      <c r="M4569">
        <v>10</v>
      </c>
      <c r="N4569" t="str">
        <f t="shared" si="215"/>
        <v>Loyal</v>
      </c>
    </row>
    <row r="4570" spans="1:14" x14ac:dyDescent="0.35">
      <c r="A4570">
        <v>4569</v>
      </c>
      <c r="B4570">
        <v>66</v>
      </c>
      <c r="C4570" t="str">
        <f t="shared" si="213"/>
        <v>Senior</v>
      </c>
      <c r="D4570" t="s">
        <v>11</v>
      </c>
      <c r="E4570" t="s">
        <v>20</v>
      </c>
      <c r="F4570" t="s">
        <v>39</v>
      </c>
      <c r="G4570">
        <v>115.8</v>
      </c>
      <c r="H4570" t="s">
        <v>24</v>
      </c>
      <c r="I4570" t="s">
        <v>15</v>
      </c>
      <c r="J4570">
        <v>3.2</v>
      </c>
      <c r="K4570">
        <v>12</v>
      </c>
      <c r="L4570">
        <f t="shared" si="214"/>
        <v>101.904</v>
      </c>
      <c r="M4570">
        <v>1</v>
      </c>
      <c r="N4570" t="str">
        <f t="shared" si="215"/>
        <v>New</v>
      </c>
    </row>
    <row r="4571" spans="1:14" x14ac:dyDescent="0.35">
      <c r="A4571">
        <v>4570</v>
      </c>
      <c r="B4571">
        <v>55</v>
      </c>
      <c r="C4571" t="str">
        <f t="shared" si="213"/>
        <v>Adult</v>
      </c>
      <c r="D4571" t="s">
        <v>11</v>
      </c>
      <c r="E4571" t="s">
        <v>25</v>
      </c>
      <c r="F4571" t="s">
        <v>47</v>
      </c>
      <c r="G4571">
        <v>68.87</v>
      </c>
      <c r="H4571" t="s">
        <v>14</v>
      </c>
      <c r="I4571" t="s">
        <v>37</v>
      </c>
      <c r="J4571">
        <v>4</v>
      </c>
      <c r="K4571">
        <v>6</v>
      </c>
      <c r="L4571">
        <f t="shared" si="214"/>
        <v>64.737800000000007</v>
      </c>
      <c r="M4571">
        <v>3</v>
      </c>
      <c r="N4571" t="str">
        <f t="shared" si="215"/>
        <v>New</v>
      </c>
    </row>
    <row r="4572" spans="1:14" x14ac:dyDescent="0.35">
      <c r="A4572">
        <v>4571</v>
      </c>
      <c r="B4572">
        <v>63</v>
      </c>
      <c r="C4572" t="str">
        <f t="shared" si="213"/>
        <v>Senior</v>
      </c>
      <c r="D4572" t="s">
        <v>16</v>
      </c>
      <c r="E4572" t="s">
        <v>17</v>
      </c>
      <c r="F4572" t="s">
        <v>42</v>
      </c>
      <c r="G4572">
        <v>99.6</v>
      </c>
      <c r="H4572" t="s">
        <v>14</v>
      </c>
      <c r="I4572" t="s">
        <v>37</v>
      </c>
      <c r="J4572">
        <v>4.5999999999999996</v>
      </c>
      <c r="K4572">
        <v>14</v>
      </c>
      <c r="L4572">
        <f t="shared" si="214"/>
        <v>85.655999999999992</v>
      </c>
      <c r="M4572">
        <v>2</v>
      </c>
      <c r="N4572" t="str">
        <f t="shared" si="215"/>
        <v>New</v>
      </c>
    </row>
    <row r="4573" spans="1:14" x14ac:dyDescent="0.35">
      <c r="A4573">
        <v>4572</v>
      </c>
      <c r="B4573">
        <v>65</v>
      </c>
      <c r="C4573" t="str">
        <f t="shared" si="213"/>
        <v>Senior</v>
      </c>
      <c r="D4573" t="s">
        <v>16</v>
      </c>
      <c r="E4573" t="s">
        <v>20</v>
      </c>
      <c r="F4573" t="s">
        <v>36</v>
      </c>
      <c r="G4573">
        <v>112.71</v>
      </c>
      <c r="H4573" t="s">
        <v>24</v>
      </c>
      <c r="I4573" t="s">
        <v>15</v>
      </c>
      <c r="J4573">
        <v>4.7</v>
      </c>
      <c r="K4573">
        <v>25</v>
      </c>
      <c r="L4573">
        <f t="shared" si="214"/>
        <v>84.532499999999999</v>
      </c>
      <c r="M4573">
        <v>10</v>
      </c>
      <c r="N4573" t="str">
        <f t="shared" si="215"/>
        <v>Loyal</v>
      </c>
    </row>
    <row r="4574" spans="1:14" x14ac:dyDescent="0.35">
      <c r="A4574">
        <v>4573</v>
      </c>
      <c r="B4574">
        <v>42</v>
      </c>
      <c r="C4574" t="str">
        <f t="shared" si="213"/>
        <v>Adult</v>
      </c>
      <c r="D4574" t="s">
        <v>16</v>
      </c>
      <c r="E4574" t="s">
        <v>33</v>
      </c>
      <c r="F4574" t="s">
        <v>34</v>
      </c>
      <c r="G4574">
        <v>176.05</v>
      </c>
      <c r="H4574" t="s">
        <v>31</v>
      </c>
      <c r="I4574" t="s">
        <v>15</v>
      </c>
      <c r="J4574">
        <v>4.3</v>
      </c>
      <c r="K4574">
        <v>10</v>
      </c>
      <c r="L4574">
        <f t="shared" si="214"/>
        <v>158.44500000000002</v>
      </c>
      <c r="M4574">
        <v>5</v>
      </c>
      <c r="N4574" t="str">
        <f t="shared" si="215"/>
        <v>Regular</v>
      </c>
    </row>
    <row r="4575" spans="1:14" x14ac:dyDescent="0.35">
      <c r="A4575">
        <v>4574</v>
      </c>
      <c r="B4575">
        <v>53</v>
      </c>
      <c r="C4575" t="str">
        <f t="shared" si="213"/>
        <v>Adult</v>
      </c>
      <c r="D4575" t="s">
        <v>16</v>
      </c>
      <c r="E4575" t="s">
        <v>20</v>
      </c>
      <c r="F4575" t="s">
        <v>21</v>
      </c>
      <c r="G4575">
        <v>122.14</v>
      </c>
      <c r="H4575" t="s">
        <v>31</v>
      </c>
      <c r="I4575" t="s">
        <v>15</v>
      </c>
      <c r="J4575">
        <v>4.7</v>
      </c>
      <c r="K4575">
        <v>17</v>
      </c>
      <c r="L4575">
        <f t="shared" si="214"/>
        <v>101.3762</v>
      </c>
      <c r="M4575">
        <v>6</v>
      </c>
      <c r="N4575" t="str">
        <f t="shared" si="215"/>
        <v>Regular</v>
      </c>
    </row>
    <row r="4576" spans="1:14" x14ac:dyDescent="0.35">
      <c r="A4576">
        <v>4575</v>
      </c>
      <c r="B4576">
        <v>29</v>
      </c>
      <c r="C4576" t="str">
        <f t="shared" si="213"/>
        <v>Youth</v>
      </c>
      <c r="D4576" t="s">
        <v>11</v>
      </c>
      <c r="E4576" t="s">
        <v>41</v>
      </c>
      <c r="F4576" t="s">
        <v>44</v>
      </c>
      <c r="G4576">
        <v>70.08</v>
      </c>
      <c r="H4576" t="s">
        <v>24</v>
      </c>
      <c r="I4576" t="s">
        <v>15</v>
      </c>
      <c r="J4576">
        <v>3.1</v>
      </c>
      <c r="K4576">
        <v>8</v>
      </c>
      <c r="L4576">
        <f t="shared" si="214"/>
        <v>64.473600000000005</v>
      </c>
      <c r="M4576">
        <v>4</v>
      </c>
      <c r="N4576" t="str">
        <f t="shared" si="215"/>
        <v>Regular</v>
      </c>
    </row>
    <row r="4577" spans="1:14" x14ac:dyDescent="0.35">
      <c r="A4577">
        <v>4576</v>
      </c>
      <c r="B4577">
        <v>31</v>
      </c>
      <c r="C4577" t="str">
        <f t="shared" si="213"/>
        <v>Adult</v>
      </c>
      <c r="D4577" t="s">
        <v>11</v>
      </c>
      <c r="E4577" t="s">
        <v>22</v>
      </c>
      <c r="F4577" t="s">
        <v>43</v>
      </c>
      <c r="G4577">
        <v>212.12</v>
      </c>
      <c r="H4577" t="s">
        <v>19</v>
      </c>
      <c r="I4577" t="s">
        <v>15</v>
      </c>
      <c r="J4577">
        <v>3.6</v>
      </c>
      <c r="K4577">
        <v>8</v>
      </c>
      <c r="L4577">
        <f t="shared" si="214"/>
        <v>195.15040000000002</v>
      </c>
      <c r="M4577">
        <v>4</v>
      </c>
      <c r="N4577" t="str">
        <f t="shared" si="215"/>
        <v>Regular</v>
      </c>
    </row>
    <row r="4578" spans="1:14" x14ac:dyDescent="0.35">
      <c r="A4578">
        <v>4577</v>
      </c>
      <c r="B4578">
        <v>22</v>
      </c>
      <c r="C4578" t="str">
        <f t="shared" si="213"/>
        <v>Youth</v>
      </c>
      <c r="D4578" t="s">
        <v>16</v>
      </c>
      <c r="E4578" t="s">
        <v>17</v>
      </c>
      <c r="F4578" t="s">
        <v>35</v>
      </c>
      <c r="G4578">
        <v>132.21</v>
      </c>
      <c r="H4578" t="s">
        <v>19</v>
      </c>
      <c r="I4578" t="s">
        <v>15</v>
      </c>
      <c r="J4578">
        <v>4.2</v>
      </c>
      <c r="K4578">
        <v>12</v>
      </c>
      <c r="L4578">
        <f t="shared" si="214"/>
        <v>116.34480000000001</v>
      </c>
      <c r="M4578">
        <v>6</v>
      </c>
      <c r="N4578" t="str">
        <f t="shared" si="215"/>
        <v>Regular</v>
      </c>
    </row>
    <row r="4579" spans="1:14" x14ac:dyDescent="0.35">
      <c r="A4579">
        <v>4578</v>
      </c>
      <c r="B4579">
        <v>61</v>
      </c>
      <c r="C4579" t="str">
        <f t="shared" si="213"/>
        <v>Senior</v>
      </c>
      <c r="D4579" t="s">
        <v>16</v>
      </c>
      <c r="E4579" t="s">
        <v>22</v>
      </c>
      <c r="F4579" t="s">
        <v>43</v>
      </c>
      <c r="G4579">
        <v>30.41</v>
      </c>
      <c r="H4579" t="s">
        <v>19</v>
      </c>
      <c r="I4579" t="s">
        <v>15</v>
      </c>
      <c r="J4579">
        <v>4.5</v>
      </c>
      <c r="K4579">
        <v>24</v>
      </c>
      <c r="L4579">
        <f t="shared" si="214"/>
        <v>23.111599999999999</v>
      </c>
      <c r="M4579">
        <v>7</v>
      </c>
      <c r="N4579" t="str">
        <f t="shared" si="215"/>
        <v>Regular</v>
      </c>
    </row>
    <row r="4580" spans="1:14" x14ac:dyDescent="0.35">
      <c r="A4580">
        <v>4579</v>
      </c>
      <c r="B4580">
        <v>70</v>
      </c>
      <c r="C4580" t="str">
        <f t="shared" si="213"/>
        <v>Senior</v>
      </c>
      <c r="D4580" t="s">
        <v>11</v>
      </c>
      <c r="E4580" t="s">
        <v>41</v>
      </c>
      <c r="F4580" t="s">
        <v>44</v>
      </c>
      <c r="G4580">
        <v>155.75</v>
      </c>
      <c r="H4580" t="s">
        <v>19</v>
      </c>
      <c r="I4580" t="s">
        <v>15</v>
      </c>
      <c r="J4580">
        <v>4.8</v>
      </c>
      <c r="K4580">
        <v>26</v>
      </c>
      <c r="L4580">
        <f t="shared" si="214"/>
        <v>115.255</v>
      </c>
      <c r="M4580">
        <v>8</v>
      </c>
      <c r="N4580" t="str">
        <f t="shared" si="215"/>
        <v>Loyal</v>
      </c>
    </row>
    <row r="4581" spans="1:14" x14ac:dyDescent="0.35">
      <c r="A4581">
        <v>4580</v>
      </c>
      <c r="B4581">
        <v>23</v>
      </c>
      <c r="C4581" t="str">
        <f t="shared" si="213"/>
        <v>Youth</v>
      </c>
      <c r="D4581" t="s">
        <v>11</v>
      </c>
      <c r="E4581" t="s">
        <v>41</v>
      </c>
      <c r="F4581" t="s">
        <v>45</v>
      </c>
      <c r="G4581">
        <v>139.63999999999999</v>
      </c>
      <c r="H4581" t="s">
        <v>31</v>
      </c>
      <c r="I4581" t="s">
        <v>15</v>
      </c>
      <c r="J4581">
        <v>3.2</v>
      </c>
      <c r="K4581">
        <v>13</v>
      </c>
      <c r="L4581">
        <f t="shared" si="214"/>
        <v>121.48679999999999</v>
      </c>
      <c r="M4581">
        <v>4</v>
      </c>
      <c r="N4581" t="str">
        <f t="shared" si="215"/>
        <v>Regular</v>
      </c>
    </row>
    <row r="4582" spans="1:14" x14ac:dyDescent="0.35">
      <c r="A4582">
        <v>4581</v>
      </c>
      <c r="B4582">
        <v>37</v>
      </c>
      <c r="C4582" t="str">
        <f t="shared" si="213"/>
        <v>Adult</v>
      </c>
      <c r="D4582" t="s">
        <v>11</v>
      </c>
      <c r="E4582" t="s">
        <v>41</v>
      </c>
      <c r="F4582" t="s">
        <v>44</v>
      </c>
      <c r="G4582">
        <v>68.14</v>
      </c>
      <c r="H4582" t="s">
        <v>19</v>
      </c>
      <c r="I4582" t="s">
        <v>15</v>
      </c>
      <c r="J4582">
        <v>5</v>
      </c>
      <c r="K4582">
        <v>15</v>
      </c>
      <c r="L4582">
        <f t="shared" si="214"/>
        <v>57.918999999999997</v>
      </c>
      <c r="M4582">
        <v>5</v>
      </c>
      <c r="N4582" t="str">
        <f t="shared" si="215"/>
        <v>Regular</v>
      </c>
    </row>
    <row r="4583" spans="1:14" x14ac:dyDescent="0.35">
      <c r="A4583">
        <v>4582</v>
      </c>
      <c r="B4583">
        <v>46</v>
      </c>
      <c r="C4583" t="str">
        <f t="shared" si="213"/>
        <v>Adult</v>
      </c>
      <c r="D4583" t="s">
        <v>11</v>
      </c>
      <c r="E4583" t="s">
        <v>29</v>
      </c>
      <c r="F4583" t="s">
        <v>55</v>
      </c>
      <c r="G4583">
        <v>90.16</v>
      </c>
      <c r="H4583" t="s">
        <v>14</v>
      </c>
      <c r="I4583" t="s">
        <v>37</v>
      </c>
      <c r="J4583">
        <v>3.4</v>
      </c>
      <c r="K4583">
        <v>8</v>
      </c>
      <c r="L4583">
        <f t="shared" si="214"/>
        <v>82.947199999999995</v>
      </c>
      <c r="M4583">
        <v>4</v>
      </c>
      <c r="N4583" t="str">
        <f t="shared" si="215"/>
        <v>Regular</v>
      </c>
    </row>
    <row r="4584" spans="1:14" x14ac:dyDescent="0.35">
      <c r="A4584">
        <v>4583</v>
      </c>
      <c r="B4584">
        <v>30</v>
      </c>
      <c r="C4584" t="str">
        <f t="shared" si="213"/>
        <v>Youth</v>
      </c>
      <c r="D4584" t="s">
        <v>16</v>
      </c>
      <c r="E4584" t="s">
        <v>25</v>
      </c>
      <c r="F4584" t="s">
        <v>57</v>
      </c>
      <c r="G4584">
        <v>31.14</v>
      </c>
      <c r="H4584" t="s">
        <v>31</v>
      </c>
      <c r="I4584" t="s">
        <v>37</v>
      </c>
      <c r="J4584">
        <v>4.3</v>
      </c>
      <c r="K4584">
        <v>22</v>
      </c>
      <c r="L4584">
        <f t="shared" si="214"/>
        <v>24.289200000000001</v>
      </c>
      <c r="M4584">
        <v>6</v>
      </c>
      <c r="N4584" t="str">
        <f t="shared" si="215"/>
        <v>Regular</v>
      </c>
    </row>
    <row r="4585" spans="1:14" x14ac:dyDescent="0.35">
      <c r="A4585">
        <v>4584</v>
      </c>
      <c r="B4585">
        <v>40</v>
      </c>
      <c r="C4585" t="str">
        <f t="shared" si="213"/>
        <v>Adult</v>
      </c>
      <c r="D4585" t="s">
        <v>11</v>
      </c>
      <c r="E4585" t="s">
        <v>29</v>
      </c>
      <c r="F4585" t="s">
        <v>30</v>
      </c>
      <c r="G4585">
        <v>58.36</v>
      </c>
      <c r="H4585" t="s">
        <v>24</v>
      </c>
      <c r="I4585" t="s">
        <v>37</v>
      </c>
      <c r="J4585">
        <v>3.4</v>
      </c>
      <c r="K4585">
        <v>16</v>
      </c>
      <c r="L4585">
        <f t="shared" si="214"/>
        <v>49.022399999999998</v>
      </c>
      <c r="M4585">
        <v>3</v>
      </c>
      <c r="N4585" t="str">
        <f t="shared" si="215"/>
        <v>New</v>
      </c>
    </row>
    <row r="4586" spans="1:14" x14ac:dyDescent="0.35">
      <c r="A4586">
        <v>4585</v>
      </c>
      <c r="B4586">
        <v>22</v>
      </c>
      <c r="C4586" t="str">
        <f t="shared" si="213"/>
        <v>Youth</v>
      </c>
      <c r="D4586" t="s">
        <v>11</v>
      </c>
      <c r="E4586" t="s">
        <v>33</v>
      </c>
      <c r="F4586" t="s">
        <v>38</v>
      </c>
      <c r="G4586">
        <v>185.34</v>
      </c>
      <c r="H4586" t="s">
        <v>24</v>
      </c>
      <c r="I4586" t="s">
        <v>15</v>
      </c>
      <c r="J4586">
        <v>3.7</v>
      </c>
      <c r="K4586">
        <v>13</v>
      </c>
      <c r="L4586">
        <f t="shared" si="214"/>
        <v>161.2458</v>
      </c>
      <c r="M4586">
        <v>4</v>
      </c>
      <c r="N4586" t="str">
        <f t="shared" si="215"/>
        <v>Regular</v>
      </c>
    </row>
    <row r="4587" spans="1:14" x14ac:dyDescent="0.35">
      <c r="A4587">
        <v>4586</v>
      </c>
      <c r="B4587">
        <v>36</v>
      </c>
      <c r="C4587" t="str">
        <f t="shared" si="213"/>
        <v>Adult</v>
      </c>
      <c r="D4587" t="s">
        <v>11</v>
      </c>
      <c r="E4587" t="s">
        <v>33</v>
      </c>
      <c r="F4587" t="s">
        <v>40</v>
      </c>
      <c r="G4587">
        <v>195.92</v>
      </c>
      <c r="H4587" t="s">
        <v>19</v>
      </c>
      <c r="I4587" t="s">
        <v>15</v>
      </c>
      <c r="J4587">
        <v>3.3</v>
      </c>
      <c r="K4587">
        <v>8</v>
      </c>
      <c r="L4587">
        <f t="shared" si="214"/>
        <v>180.24639999999999</v>
      </c>
      <c r="M4587">
        <v>4</v>
      </c>
      <c r="N4587" t="str">
        <f t="shared" si="215"/>
        <v>Regular</v>
      </c>
    </row>
    <row r="4588" spans="1:14" x14ac:dyDescent="0.35">
      <c r="A4588">
        <v>4587</v>
      </c>
      <c r="B4588">
        <v>37</v>
      </c>
      <c r="C4588" t="str">
        <f t="shared" si="213"/>
        <v>Adult</v>
      </c>
      <c r="D4588" t="s">
        <v>11</v>
      </c>
      <c r="E4588" t="s">
        <v>29</v>
      </c>
      <c r="F4588" t="s">
        <v>55</v>
      </c>
      <c r="G4588">
        <v>126.73</v>
      </c>
      <c r="H4588" t="s">
        <v>31</v>
      </c>
      <c r="I4588" t="s">
        <v>15</v>
      </c>
      <c r="J4588">
        <v>4.4000000000000004</v>
      </c>
      <c r="K4588">
        <v>18</v>
      </c>
      <c r="L4588">
        <f t="shared" si="214"/>
        <v>103.91860000000001</v>
      </c>
      <c r="M4588">
        <v>4</v>
      </c>
      <c r="N4588" t="str">
        <f t="shared" si="215"/>
        <v>Regular</v>
      </c>
    </row>
    <row r="4589" spans="1:14" x14ac:dyDescent="0.35">
      <c r="A4589">
        <v>4588</v>
      </c>
      <c r="B4589">
        <v>36</v>
      </c>
      <c r="C4589" t="str">
        <f t="shared" si="213"/>
        <v>Adult</v>
      </c>
      <c r="D4589" t="s">
        <v>16</v>
      </c>
      <c r="E4589" t="s">
        <v>20</v>
      </c>
      <c r="F4589" t="s">
        <v>39</v>
      </c>
      <c r="G4589">
        <v>57.52</v>
      </c>
      <c r="H4589" t="s">
        <v>24</v>
      </c>
      <c r="I4589" t="s">
        <v>37</v>
      </c>
      <c r="J4589">
        <v>3.6</v>
      </c>
      <c r="K4589">
        <v>17</v>
      </c>
      <c r="L4589">
        <f t="shared" si="214"/>
        <v>47.741599999999998</v>
      </c>
      <c r="M4589">
        <v>6</v>
      </c>
      <c r="N4589" t="str">
        <f t="shared" si="215"/>
        <v>Regular</v>
      </c>
    </row>
    <row r="4590" spans="1:14" x14ac:dyDescent="0.35">
      <c r="A4590">
        <v>4589</v>
      </c>
      <c r="B4590">
        <v>63</v>
      </c>
      <c r="C4590" t="str">
        <f t="shared" si="213"/>
        <v>Senior</v>
      </c>
      <c r="D4590" t="s">
        <v>11</v>
      </c>
      <c r="E4590" t="s">
        <v>20</v>
      </c>
      <c r="F4590" t="s">
        <v>36</v>
      </c>
      <c r="G4590">
        <v>50.03</v>
      </c>
      <c r="H4590" t="s">
        <v>31</v>
      </c>
      <c r="I4590" t="s">
        <v>37</v>
      </c>
      <c r="J4590">
        <v>4.9000000000000004</v>
      </c>
      <c r="K4590">
        <v>13</v>
      </c>
      <c r="L4590">
        <f t="shared" si="214"/>
        <v>43.5261</v>
      </c>
      <c r="M4590">
        <v>4</v>
      </c>
      <c r="N4590" t="str">
        <f t="shared" si="215"/>
        <v>Regular</v>
      </c>
    </row>
    <row r="4591" spans="1:14" x14ac:dyDescent="0.35">
      <c r="A4591">
        <v>4590</v>
      </c>
      <c r="B4591">
        <v>55</v>
      </c>
      <c r="C4591" t="str">
        <f t="shared" si="213"/>
        <v>Adult</v>
      </c>
      <c r="D4591" t="s">
        <v>16</v>
      </c>
      <c r="E4591" t="s">
        <v>33</v>
      </c>
      <c r="F4591" t="s">
        <v>34</v>
      </c>
      <c r="G4591">
        <v>127.27</v>
      </c>
      <c r="H4591" t="s">
        <v>19</v>
      </c>
      <c r="I4591" t="s">
        <v>15</v>
      </c>
      <c r="J4591">
        <v>3.8</v>
      </c>
      <c r="K4591">
        <v>17</v>
      </c>
      <c r="L4591">
        <f t="shared" si="214"/>
        <v>105.63409999999999</v>
      </c>
      <c r="M4591">
        <v>6</v>
      </c>
      <c r="N4591" t="str">
        <f t="shared" si="215"/>
        <v>Regular</v>
      </c>
    </row>
    <row r="4592" spans="1:14" x14ac:dyDescent="0.35">
      <c r="A4592">
        <v>4591</v>
      </c>
      <c r="B4592">
        <v>59</v>
      </c>
      <c r="C4592" t="str">
        <f t="shared" si="213"/>
        <v>Adult</v>
      </c>
      <c r="D4592" t="s">
        <v>16</v>
      </c>
      <c r="E4592" t="s">
        <v>33</v>
      </c>
      <c r="F4592" t="s">
        <v>38</v>
      </c>
      <c r="G4592">
        <v>146.82</v>
      </c>
      <c r="H4592" t="s">
        <v>14</v>
      </c>
      <c r="I4592" t="s">
        <v>15</v>
      </c>
      <c r="J4592">
        <v>2.8</v>
      </c>
      <c r="K4592">
        <v>9</v>
      </c>
      <c r="L4592">
        <f t="shared" si="214"/>
        <v>133.6062</v>
      </c>
      <c r="M4592">
        <v>2</v>
      </c>
      <c r="N4592" t="str">
        <f t="shared" si="215"/>
        <v>New</v>
      </c>
    </row>
    <row r="4593" spans="1:14" x14ac:dyDescent="0.35">
      <c r="A4593">
        <v>4592</v>
      </c>
      <c r="B4593">
        <v>27</v>
      </c>
      <c r="C4593" t="str">
        <f t="shared" si="213"/>
        <v>Youth</v>
      </c>
      <c r="D4593" t="s">
        <v>16</v>
      </c>
      <c r="E4593" t="s">
        <v>27</v>
      </c>
      <c r="F4593" t="s">
        <v>53</v>
      </c>
      <c r="G4593">
        <v>1476.44</v>
      </c>
      <c r="H4593" t="s">
        <v>14</v>
      </c>
      <c r="I4593" t="s">
        <v>15</v>
      </c>
      <c r="J4593">
        <v>5</v>
      </c>
      <c r="K4593">
        <v>16</v>
      </c>
      <c r="L4593">
        <f t="shared" si="214"/>
        <v>1240.2095999999999</v>
      </c>
      <c r="M4593">
        <v>3</v>
      </c>
      <c r="N4593" t="str">
        <f t="shared" si="215"/>
        <v>New</v>
      </c>
    </row>
    <row r="4594" spans="1:14" x14ac:dyDescent="0.35">
      <c r="A4594">
        <v>4593</v>
      </c>
      <c r="B4594">
        <v>40</v>
      </c>
      <c r="C4594" t="str">
        <f t="shared" si="213"/>
        <v>Adult</v>
      </c>
      <c r="D4594" t="s">
        <v>11</v>
      </c>
      <c r="E4594" t="s">
        <v>22</v>
      </c>
      <c r="F4594" t="s">
        <v>52</v>
      </c>
      <c r="G4594">
        <v>67.92</v>
      </c>
      <c r="H4594" t="s">
        <v>19</v>
      </c>
      <c r="I4594" t="s">
        <v>15</v>
      </c>
      <c r="J4594">
        <v>4.5999999999999996</v>
      </c>
      <c r="K4594">
        <v>12</v>
      </c>
      <c r="L4594">
        <f t="shared" si="214"/>
        <v>59.769600000000004</v>
      </c>
      <c r="M4594">
        <v>6</v>
      </c>
      <c r="N4594" t="str">
        <f t="shared" si="215"/>
        <v>Regular</v>
      </c>
    </row>
    <row r="4595" spans="1:14" x14ac:dyDescent="0.35">
      <c r="A4595">
        <v>4594</v>
      </c>
      <c r="B4595">
        <v>45</v>
      </c>
      <c r="C4595" t="str">
        <f t="shared" si="213"/>
        <v>Adult</v>
      </c>
      <c r="D4595" t="s">
        <v>11</v>
      </c>
      <c r="E4595" t="s">
        <v>29</v>
      </c>
      <c r="F4595" t="s">
        <v>55</v>
      </c>
      <c r="G4595">
        <v>78.650000000000006</v>
      </c>
      <c r="H4595" t="s">
        <v>24</v>
      </c>
      <c r="I4595" t="s">
        <v>37</v>
      </c>
      <c r="J4595">
        <v>3.6</v>
      </c>
      <c r="K4595">
        <v>18</v>
      </c>
      <c r="L4595">
        <f t="shared" si="214"/>
        <v>64.493000000000009</v>
      </c>
      <c r="M4595">
        <v>4</v>
      </c>
      <c r="N4595" t="str">
        <f t="shared" si="215"/>
        <v>Regular</v>
      </c>
    </row>
    <row r="4596" spans="1:14" x14ac:dyDescent="0.35">
      <c r="A4596">
        <v>4595</v>
      </c>
      <c r="B4596">
        <v>64</v>
      </c>
      <c r="C4596" t="str">
        <f t="shared" si="213"/>
        <v>Senior</v>
      </c>
      <c r="D4596" t="s">
        <v>16</v>
      </c>
      <c r="E4596" t="s">
        <v>17</v>
      </c>
      <c r="F4596" t="s">
        <v>48</v>
      </c>
      <c r="G4596">
        <v>158.12</v>
      </c>
      <c r="H4596" t="s">
        <v>31</v>
      </c>
      <c r="I4596" t="s">
        <v>15</v>
      </c>
      <c r="J4596">
        <v>3.9</v>
      </c>
      <c r="K4596">
        <v>4</v>
      </c>
      <c r="L4596">
        <f t="shared" si="214"/>
        <v>151.79519999999999</v>
      </c>
      <c r="M4596">
        <v>2</v>
      </c>
      <c r="N4596" t="str">
        <f t="shared" si="215"/>
        <v>New</v>
      </c>
    </row>
    <row r="4597" spans="1:14" x14ac:dyDescent="0.35">
      <c r="A4597">
        <v>4596</v>
      </c>
      <c r="B4597">
        <v>44</v>
      </c>
      <c r="C4597" t="str">
        <f t="shared" si="213"/>
        <v>Adult</v>
      </c>
      <c r="D4597" t="s">
        <v>11</v>
      </c>
      <c r="E4597" t="s">
        <v>12</v>
      </c>
      <c r="F4597" t="s">
        <v>50</v>
      </c>
      <c r="G4597">
        <v>92.21</v>
      </c>
      <c r="H4597" t="s">
        <v>19</v>
      </c>
      <c r="I4597" t="s">
        <v>15</v>
      </c>
      <c r="J4597">
        <v>2.9</v>
      </c>
      <c r="K4597">
        <v>15</v>
      </c>
      <c r="L4597">
        <f t="shared" si="214"/>
        <v>78.378499999999988</v>
      </c>
      <c r="M4597">
        <v>5</v>
      </c>
      <c r="N4597" t="str">
        <f t="shared" si="215"/>
        <v>Regular</v>
      </c>
    </row>
    <row r="4598" spans="1:14" x14ac:dyDescent="0.35">
      <c r="A4598">
        <v>4597</v>
      </c>
      <c r="B4598">
        <v>27</v>
      </c>
      <c r="C4598" t="str">
        <f t="shared" si="213"/>
        <v>Youth</v>
      </c>
      <c r="D4598" t="s">
        <v>16</v>
      </c>
      <c r="E4598" t="s">
        <v>17</v>
      </c>
      <c r="F4598" t="s">
        <v>18</v>
      </c>
      <c r="G4598">
        <v>86.53</v>
      </c>
      <c r="H4598" t="s">
        <v>24</v>
      </c>
      <c r="I4598" t="s">
        <v>15</v>
      </c>
      <c r="J4598">
        <v>4.0999999999999996</v>
      </c>
      <c r="K4598">
        <v>5</v>
      </c>
      <c r="L4598">
        <f t="shared" si="214"/>
        <v>82.203499999999991</v>
      </c>
      <c r="M4598">
        <v>0</v>
      </c>
      <c r="N4598" t="str">
        <f t="shared" si="215"/>
        <v>New</v>
      </c>
    </row>
    <row r="4599" spans="1:14" x14ac:dyDescent="0.35">
      <c r="A4599">
        <v>4598</v>
      </c>
      <c r="B4599">
        <v>64</v>
      </c>
      <c r="C4599" t="str">
        <f t="shared" si="213"/>
        <v>Senior</v>
      </c>
      <c r="D4599" t="s">
        <v>11</v>
      </c>
      <c r="E4599" t="s">
        <v>33</v>
      </c>
      <c r="F4599" t="s">
        <v>34</v>
      </c>
      <c r="G4599">
        <v>233.47</v>
      </c>
      <c r="H4599" t="s">
        <v>14</v>
      </c>
      <c r="I4599" t="s">
        <v>15</v>
      </c>
      <c r="J4599">
        <v>4.8</v>
      </c>
      <c r="K4599">
        <v>6</v>
      </c>
      <c r="L4599">
        <f t="shared" si="214"/>
        <v>219.46179999999998</v>
      </c>
      <c r="M4599">
        <v>3</v>
      </c>
      <c r="N4599" t="str">
        <f t="shared" si="215"/>
        <v>New</v>
      </c>
    </row>
    <row r="4600" spans="1:14" x14ac:dyDescent="0.35">
      <c r="A4600">
        <v>4599</v>
      </c>
      <c r="B4600">
        <v>60</v>
      </c>
      <c r="C4600" t="str">
        <f t="shared" si="213"/>
        <v>Adult</v>
      </c>
      <c r="D4600" t="s">
        <v>16</v>
      </c>
      <c r="E4600" t="s">
        <v>22</v>
      </c>
      <c r="F4600" t="s">
        <v>43</v>
      </c>
      <c r="G4600">
        <v>82.83</v>
      </c>
      <c r="H4600" t="s">
        <v>19</v>
      </c>
      <c r="I4600" t="s">
        <v>37</v>
      </c>
      <c r="J4600">
        <v>3.6</v>
      </c>
      <c r="K4600">
        <v>21</v>
      </c>
      <c r="L4600">
        <f t="shared" si="214"/>
        <v>65.435699999999997</v>
      </c>
      <c r="M4600">
        <v>8</v>
      </c>
      <c r="N4600" t="str">
        <f t="shared" si="215"/>
        <v>Loyal</v>
      </c>
    </row>
    <row r="4601" spans="1:14" x14ac:dyDescent="0.35">
      <c r="A4601">
        <v>4600</v>
      </c>
      <c r="B4601">
        <v>60</v>
      </c>
      <c r="C4601" t="str">
        <f t="shared" si="213"/>
        <v>Adult</v>
      </c>
      <c r="D4601" t="s">
        <v>11</v>
      </c>
      <c r="E4601" t="s">
        <v>20</v>
      </c>
      <c r="F4601" t="s">
        <v>21</v>
      </c>
      <c r="G4601">
        <v>217.78</v>
      </c>
      <c r="H4601" t="s">
        <v>24</v>
      </c>
      <c r="I4601" t="s">
        <v>15</v>
      </c>
      <c r="J4601">
        <v>4.8</v>
      </c>
      <c r="K4601">
        <v>18</v>
      </c>
      <c r="L4601">
        <f t="shared" si="214"/>
        <v>178.57960000000003</v>
      </c>
      <c r="M4601">
        <v>4</v>
      </c>
      <c r="N4601" t="str">
        <f t="shared" si="215"/>
        <v>Regular</v>
      </c>
    </row>
    <row r="4602" spans="1:14" x14ac:dyDescent="0.35">
      <c r="A4602">
        <v>4601</v>
      </c>
      <c r="B4602">
        <v>68</v>
      </c>
      <c r="C4602" t="str">
        <f t="shared" si="213"/>
        <v>Senior</v>
      </c>
      <c r="D4602" t="s">
        <v>11</v>
      </c>
      <c r="E4602" t="s">
        <v>33</v>
      </c>
      <c r="F4602" t="s">
        <v>40</v>
      </c>
      <c r="G4602">
        <v>69.89</v>
      </c>
      <c r="H4602" t="s">
        <v>14</v>
      </c>
      <c r="I4602" t="s">
        <v>37</v>
      </c>
      <c r="J4602">
        <v>3.9</v>
      </c>
      <c r="K4602">
        <v>9</v>
      </c>
      <c r="L4602">
        <f t="shared" si="214"/>
        <v>63.599900000000005</v>
      </c>
      <c r="M4602">
        <v>2</v>
      </c>
      <c r="N4602" t="str">
        <f t="shared" si="215"/>
        <v>New</v>
      </c>
    </row>
    <row r="4603" spans="1:14" x14ac:dyDescent="0.35">
      <c r="A4603">
        <v>4602</v>
      </c>
      <c r="B4603">
        <v>23</v>
      </c>
      <c r="C4603" t="str">
        <f t="shared" si="213"/>
        <v>Youth</v>
      </c>
      <c r="D4603" t="s">
        <v>11</v>
      </c>
      <c r="E4603" t="s">
        <v>29</v>
      </c>
      <c r="F4603" t="s">
        <v>30</v>
      </c>
      <c r="G4603">
        <v>86.48</v>
      </c>
      <c r="H4603" t="s">
        <v>24</v>
      </c>
      <c r="I4603" t="s">
        <v>15</v>
      </c>
      <c r="J4603">
        <v>4.3</v>
      </c>
      <c r="K4603">
        <v>13</v>
      </c>
      <c r="L4603">
        <f t="shared" si="214"/>
        <v>75.2376</v>
      </c>
      <c r="M4603">
        <v>4</v>
      </c>
      <c r="N4603" t="str">
        <f t="shared" si="215"/>
        <v>Regular</v>
      </c>
    </row>
    <row r="4604" spans="1:14" x14ac:dyDescent="0.35">
      <c r="A4604">
        <v>4603</v>
      </c>
      <c r="B4604">
        <v>63</v>
      </c>
      <c r="C4604" t="str">
        <f t="shared" si="213"/>
        <v>Senior</v>
      </c>
      <c r="D4604" t="s">
        <v>16</v>
      </c>
      <c r="E4604" t="s">
        <v>20</v>
      </c>
      <c r="F4604" t="s">
        <v>36</v>
      </c>
      <c r="G4604">
        <v>29.89</v>
      </c>
      <c r="H4604" t="s">
        <v>14</v>
      </c>
      <c r="I4604" t="s">
        <v>37</v>
      </c>
      <c r="J4604">
        <v>3.9</v>
      </c>
      <c r="K4604">
        <v>14</v>
      </c>
      <c r="L4604">
        <f t="shared" si="214"/>
        <v>25.705400000000001</v>
      </c>
      <c r="M4604">
        <v>7</v>
      </c>
      <c r="N4604" t="str">
        <f t="shared" si="215"/>
        <v>Regular</v>
      </c>
    </row>
    <row r="4605" spans="1:14" x14ac:dyDescent="0.35">
      <c r="A4605">
        <v>4604</v>
      </c>
      <c r="B4605">
        <v>25</v>
      </c>
      <c r="C4605" t="str">
        <f t="shared" si="213"/>
        <v>Youth</v>
      </c>
      <c r="D4605" t="s">
        <v>16</v>
      </c>
      <c r="E4605" t="s">
        <v>20</v>
      </c>
      <c r="F4605" t="s">
        <v>39</v>
      </c>
      <c r="G4605">
        <v>30.91</v>
      </c>
      <c r="H4605" t="s">
        <v>14</v>
      </c>
      <c r="I4605" t="s">
        <v>37</v>
      </c>
      <c r="J4605">
        <v>3.9</v>
      </c>
      <c r="K4605">
        <v>22</v>
      </c>
      <c r="L4605">
        <f t="shared" si="214"/>
        <v>24.1098</v>
      </c>
      <c r="M4605">
        <v>6</v>
      </c>
      <c r="N4605" t="str">
        <f t="shared" si="215"/>
        <v>Regular</v>
      </c>
    </row>
    <row r="4606" spans="1:14" x14ac:dyDescent="0.35">
      <c r="A4606">
        <v>4605</v>
      </c>
      <c r="B4606">
        <v>44</v>
      </c>
      <c r="C4606" t="str">
        <f t="shared" si="213"/>
        <v>Adult</v>
      </c>
      <c r="D4606" t="s">
        <v>11</v>
      </c>
      <c r="E4606" t="s">
        <v>29</v>
      </c>
      <c r="F4606" t="s">
        <v>55</v>
      </c>
      <c r="G4606">
        <v>138.36000000000001</v>
      </c>
      <c r="H4606" t="s">
        <v>24</v>
      </c>
      <c r="I4606" t="s">
        <v>15</v>
      </c>
      <c r="J4606">
        <v>4.4000000000000004</v>
      </c>
      <c r="K4606">
        <v>16</v>
      </c>
      <c r="L4606">
        <f t="shared" si="214"/>
        <v>116.22240000000001</v>
      </c>
      <c r="M4606">
        <v>3</v>
      </c>
      <c r="N4606" t="str">
        <f t="shared" si="215"/>
        <v>New</v>
      </c>
    </row>
    <row r="4607" spans="1:14" x14ac:dyDescent="0.35">
      <c r="A4607">
        <v>4606</v>
      </c>
      <c r="B4607">
        <v>48</v>
      </c>
      <c r="C4607" t="str">
        <f t="shared" si="213"/>
        <v>Adult</v>
      </c>
      <c r="D4607" t="s">
        <v>11</v>
      </c>
      <c r="E4607" t="s">
        <v>41</v>
      </c>
      <c r="F4607" t="s">
        <v>46</v>
      </c>
      <c r="G4607">
        <v>42.2</v>
      </c>
      <c r="H4607" t="s">
        <v>24</v>
      </c>
      <c r="I4607" t="s">
        <v>37</v>
      </c>
      <c r="J4607">
        <v>3.1</v>
      </c>
      <c r="K4607">
        <v>16</v>
      </c>
      <c r="L4607">
        <f t="shared" si="214"/>
        <v>35.448</v>
      </c>
      <c r="M4607">
        <v>3</v>
      </c>
      <c r="N4607" t="str">
        <f t="shared" si="215"/>
        <v>New</v>
      </c>
    </row>
    <row r="4608" spans="1:14" x14ac:dyDescent="0.35">
      <c r="A4608">
        <v>4607</v>
      </c>
      <c r="B4608">
        <v>30</v>
      </c>
      <c r="C4608" t="str">
        <f t="shared" si="213"/>
        <v>Youth</v>
      </c>
      <c r="D4608" t="s">
        <v>11</v>
      </c>
      <c r="E4608" t="s">
        <v>41</v>
      </c>
      <c r="F4608" t="s">
        <v>46</v>
      </c>
      <c r="G4608">
        <v>137.13</v>
      </c>
      <c r="H4608" t="s">
        <v>31</v>
      </c>
      <c r="I4608" t="s">
        <v>15</v>
      </c>
      <c r="J4608">
        <v>4.4000000000000004</v>
      </c>
      <c r="K4608">
        <v>16</v>
      </c>
      <c r="L4608">
        <f t="shared" si="214"/>
        <v>115.18919999999999</v>
      </c>
      <c r="M4608">
        <v>3</v>
      </c>
      <c r="N4608" t="str">
        <f t="shared" si="215"/>
        <v>New</v>
      </c>
    </row>
    <row r="4609" spans="1:14" x14ac:dyDescent="0.35">
      <c r="A4609">
        <v>4608</v>
      </c>
      <c r="B4609">
        <v>24</v>
      </c>
      <c r="C4609" t="str">
        <f t="shared" si="213"/>
        <v>Youth</v>
      </c>
      <c r="D4609" t="s">
        <v>16</v>
      </c>
      <c r="E4609" t="s">
        <v>22</v>
      </c>
      <c r="F4609" t="s">
        <v>23</v>
      </c>
      <c r="G4609">
        <v>232.57</v>
      </c>
      <c r="H4609" t="s">
        <v>31</v>
      </c>
      <c r="I4609" t="s">
        <v>15</v>
      </c>
      <c r="J4609">
        <v>3.6</v>
      </c>
      <c r="K4609">
        <v>26</v>
      </c>
      <c r="L4609">
        <f t="shared" si="214"/>
        <v>172.1018</v>
      </c>
      <c r="M4609">
        <v>8</v>
      </c>
      <c r="N4609" t="str">
        <f t="shared" si="215"/>
        <v>Loyal</v>
      </c>
    </row>
    <row r="4610" spans="1:14" x14ac:dyDescent="0.35">
      <c r="A4610">
        <v>4609</v>
      </c>
      <c r="B4610">
        <v>25</v>
      </c>
      <c r="C4610" t="str">
        <f t="shared" si="213"/>
        <v>Youth</v>
      </c>
      <c r="D4610" t="s">
        <v>11</v>
      </c>
      <c r="E4610" t="s">
        <v>12</v>
      </c>
      <c r="F4610" t="s">
        <v>13</v>
      </c>
      <c r="G4610">
        <v>22.59</v>
      </c>
      <c r="H4610" t="s">
        <v>24</v>
      </c>
      <c r="I4610" t="s">
        <v>37</v>
      </c>
      <c r="J4610">
        <v>2.9</v>
      </c>
      <c r="K4610">
        <v>12</v>
      </c>
      <c r="L4610">
        <f t="shared" si="214"/>
        <v>19.879200000000001</v>
      </c>
      <c r="M4610">
        <v>6</v>
      </c>
      <c r="N4610" t="str">
        <f t="shared" si="215"/>
        <v>Regular</v>
      </c>
    </row>
    <row r="4611" spans="1:14" x14ac:dyDescent="0.35">
      <c r="A4611">
        <v>4610</v>
      </c>
      <c r="B4611">
        <v>50</v>
      </c>
      <c r="C4611" t="str">
        <f t="shared" ref="C4611:C4674" si="216">IF(B4611&lt;=30,"Youth",IF(B4611&lt;=45,"Adult",IF(B4611&lt;=60,"Adult","Senior")))</f>
        <v>Adult</v>
      </c>
      <c r="D4611" t="s">
        <v>16</v>
      </c>
      <c r="E4611" t="s">
        <v>27</v>
      </c>
      <c r="F4611" t="s">
        <v>32</v>
      </c>
      <c r="G4611">
        <v>2642.49</v>
      </c>
      <c r="H4611" t="s">
        <v>24</v>
      </c>
      <c r="I4611" t="s">
        <v>15</v>
      </c>
      <c r="J4611">
        <v>3.5</v>
      </c>
      <c r="K4611">
        <v>20</v>
      </c>
      <c r="L4611">
        <f t="shared" ref="L4611:L4674" si="217">G4611*(1-K4611/100)</f>
        <v>2113.9919999999997</v>
      </c>
      <c r="M4611">
        <v>5</v>
      </c>
      <c r="N4611" t="str">
        <f t="shared" ref="N4611:N4674" si="218">IF(M4611&lt;=3,"New",IF(M4611&lt;=7,"Regular","Loyal"))</f>
        <v>Regular</v>
      </c>
    </row>
    <row r="4612" spans="1:14" x14ac:dyDescent="0.35">
      <c r="A4612">
        <v>4611</v>
      </c>
      <c r="B4612">
        <v>64</v>
      </c>
      <c r="C4612" t="str">
        <f t="shared" si="216"/>
        <v>Senior</v>
      </c>
      <c r="D4612" t="s">
        <v>11</v>
      </c>
      <c r="E4612" t="s">
        <v>29</v>
      </c>
      <c r="F4612" t="s">
        <v>55</v>
      </c>
      <c r="G4612">
        <v>103.84</v>
      </c>
      <c r="H4612" t="s">
        <v>19</v>
      </c>
      <c r="I4612" t="s">
        <v>15</v>
      </c>
      <c r="J4612">
        <v>4.3</v>
      </c>
      <c r="K4612">
        <v>14</v>
      </c>
      <c r="L4612">
        <f t="shared" si="217"/>
        <v>89.302400000000006</v>
      </c>
      <c r="M4612">
        <v>7</v>
      </c>
      <c r="N4612" t="str">
        <f t="shared" si="218"/>
        <v>Regular</v>
      </c>
    </row>
    <row r="4613" spans="1:14" x14ac:dyDescent="0.35">
      <c r="A4613">
        <v>4612</v>
      </c>
      <c r="B4613">
        <v>28</v>
      </c>
      <c r="C4613" t="str">
        <f t="shared" si="216"/>
        <v>Youth</v>
      </c>
      <c r="D4613" t="s">
        <v>11</v>
      </c>
      <c r="E4613" t="s">
        <v>29</v>
      </c>
      <c r="F4613" t="s">
        <v>30</v>
      </c>
      <c r="G4613">
        <v>107.9</v>
      </c>
      <c r="H4613" t="s">
        <v>31</v>
      </c>
      <c r="I4613" t="s">
        <v>15</v>
      </c>
      <c r="J4613">
        <v>3.2</v>
      </c>
      <c r="K4613">
        <v>11</v>
      </c>
      <c r="L4613">
        <f t="shared" si="217"/>
        <v>96.031000000000006</v>
      </c>
      <c r="M4613">
        <v>3</v>
      </c>
      <c r="N4613" t="str">
        <f t="shared" si="218"/>
        <v>New</v>
      </c>
    </row>
    <row r="4614" spans="1:14" x14ac:dyDescent="0.35">
      <c r="A4614">
        <v>4613</v>
      </c>
      <c r="B4614">
        <v>55</v>
      </c>
      <c r="C4614" t="str">
        <f t="shared" si="216"/>
        <v>Adult</v>
      </c>
      <c r="D4614" t="s">
        <v>16</v>
      </c>
      <c r="E4614" t="s">
        <v>20</v>
      </c>
      <c r="F4614" t="s">
        <v>39</v>
      </c>
      <c r="G4614">
        <v>175.64</v>
      </c>
      <c r="H4614" t="s">
        <v>31</v>
      </c>
      <c r="I4614" t="s">
        <v>15</v>
      </c>
      <c r="J4614">
        <v>4.4000000000000004</v>
      </c>
      <c r="K4614">
        <v>18</v>
      </c>
      <c r="L4614">
        <f t="shared" si="217"/>
        <v>144.0248</v>
      </c>
      <c r="M4614">
        <v>9</v>
      </c>
      <c r="N4614" t="str">
        <f t="shared" si="218"/>
        <v>Loyal</v>
      </c>
    </row>
    <row r="4615" spans="1:14" x14ac:dyDescent="0.35">
      <c r="A4615">
        <v>4614</v>
      </c>
      <c r="B4615">
        <v>42</v>
      </c>
      <c r="C4615" t="str">
        <f t="shared" si="216"/>
        <v>Adult</v>
      </c>
      <c r="D4615" t="s">
        <v>16</v>
      </c>
      <c r="E4615" t="s">
        <v>27</v>
      </c>
      <c r="F4615" t="s">
        <v>28</v>
      </c>
      <c r="G4615">
        <v>909.94</v>
      </c>
      <c r="H4615" t="s">
        <v>14</v>
      </c>
      <c r="I4615" t="s">
        <v>15</v>
      </c>
      <c r="J4615">
        <v>3.5</v>
      </c>
      <c r="K4615">
        <v>19</v>
      </c>
      <c r="L4615">
        <f t="shared" si="217"/>
        <v>737.05140000000006</v>
      </c>
      <c r="M4615">
        <v>7</v>
      </c>
      <c r="N4615" t="str">
        <f t="shared" si="218"/>
        <v>Regular</v>
      </c>
    </row>
    <row r="4616" spans="1:14" x14ac:dyDescent="0.35">
      <c r="A4616">
        <v>4615</v>
      </c>
      <c r="B4616">
        <v>37</v>
      </c>
      <c r="C4616" t="str">
        <f t="shared" si="216"/>
        <v>Adult</v>
      </c>
      <c r="D4616" t="s">
        <v>16</v>
      </c>
      <c r="E4616" t="s">
        <v>20</v>
      </c>
      <c r="F4616" t="s">
        <v>39</v>
      </c>
      <c r="G4616">
        <v>72.13</v>
      </c>
      <c r="H4616" t="s">
        <v>14</v>
      </c>
      <c r="I4616" t="s">
        <v>37</v>
      </c>
      <c r="J4616">
        <v>3.6</v>
      </c>
      <c r="K4616">
        <v>12</v>
      </c>
      <c r="L4616">
        <f t="shared" si="217"/>
        <v>63.474399999999996</v>
      </c>
      <c r="M4616">
        <v>6</v>
      </c>
      <c r="N4616" t="str">
        <f t="shared" si="218"/>
        <v>Regular</v>
      </c>
    </row>
    <row r="4617" spans="1:14" x14ac:dyDescent="0.35">
      <c r="A4617">
        <v>4616</v>
      </c>
      <c r="B4617">
        <v>60</v>
      </c>
      <c r="C4617" t="str">
        <f t="shared" si="216"/>
        <v>Adult</v>
      </c>
      <c r="D4617" t="s">
        <v>11</v>
      </c>
      <c r="E4617" t="s">
        <v>33</v>
      </c>
      <c r="F4617" t="s">
        <v>34</v>
      </c>
      <c r="G4617">
        <v>150.30000000000001</v>
      </c>
      <c r="H4617" t="s">
        <v>31</v>
      </c>
      <c r="I4617" t="s">
        <v>15</v>
      </c>
      <c r="J4617">
        <v>4.2</v>
      </c>
      <c r="K4617">
        <v>22</v>
      </c>
      <c r="L4617">
        <f t="shared" si="217"/>
        <v>117.23400000000001</v>
      </c>
      <c r="M4617">
        <v>6</v>
      </c>
      <c r="N4617" t="str">
        <f t="shared" si="218"/>
        <v>Regular</v>
      </c>
    </row>
    <row r="4618" spans="1:14" x14ac:dyDescent="0.35">
      <c r="A4618">
        <v>4617</v>
      </c>
      <c r="B4618">
        <v>32</v>
      </c>
      <c r="C4618" t="str">
        <f t="shared" si="216"/>
        <v>Adult</v>
      </c>
      <c r="D4618" t="s">
        <v>16</v>
      </c>
      <c r="E4618" t="s">
        <v>20</v>
      </c>
      <c r="F4618" t="s">
        <v>21</v>
      </c>
      <c r="G4618">
        <v>59.98</v>
      </c>
      <c r="H4618" t="s">
        <v>14</v>
      </c>
      <c r="I4618" t="s">
        <v>37</v>
      </c>
      <c r="J4618">
        <v>4.4000000000000004</v>
      </c>
      <c r="K4618">
        <v>11</v>
      </c>
      <c r="L4618">
        <f t="shared" si="217"/>
        <v>53.382199999999997</v>
      </c>
      <c r="M4618">
        <v>3</v>
      </c>
      <c r="N4618" t="str">
        <f t="shared" si="218"/>
        <v>New</v>
      </c>
    </row>
    <row r="4619" spans="1:14" x14ac:dyDescent="0.35">
      <c r="A4619">
        <v>4618</v>
      </c>
      <c r="B4619">
        <v>38</v>
      </c>
      <c r="C4619" t="str">
        <f t="shared" si="216"/>
        <v>Adult</v>
      </c>
      <c r="D4619" t="s">
        <v>11</v>
      </c>
      <c r="E4619" t="s">
        <v>41</v>
      </c>
      <c r="F4619" t="s">
        <v>42</v>
      </c>
      <c r="G4619">
        <v>55.88</v>
      </c>
      <c r="H4619" t="s">
        <v>24</v>
      </c>
      <c r="I4619" t="s">
        <v>15</v>
      </c>
      <c r="J4619">
        <v>4.9000000000000004</v>
      </c>
      <c r="K4619">
        <v>18</v>
      </c>
      <c r="L4619">
        <f t="shared" si="217"/>
        <v>45.821600000000004</v>
      </c>
      <c r="M4619">
        <v>9</v>
      </c>
      <c r="N4619" t="str">
        <f t="shared" si="218"/>
        <v>Loyal</v>
      </c>
    </row>
    <row r="4620" spans="1:14" x14ac:dyDescent="0.35">
      <c r="A4620">
        <v>4619</v>
      </c>
      <c r="B4620">
        <v>62</v>
      </c>
      <c r="C4620" t="str">
        <f t="shared" si="216"/>
        <v>Senior</v>
      </c>
      <c r="D4620" t="s">
        <v>16</v>
      </c>
      <c r="E4620" t="s">
        <v>17</v>
      </c>
      <c r="F4620" t="s">
        <v>42</v>
      </c>
      <c r="G4620">
        <v>86.82</v>
      </c>
      <c r="H4620" t="s">
        <v>31</v>
      </c>
      <c r="I4620" t="s">
        <v>37</v>
      </c>
      <c r="J4620">
        <v>3</v>
      </c>
      <c r="K4620">
        <v>11</v>
      </c>
      <c r="L4620">
        <f t="shared" si="217"/>
        <v>77.269799999999989</v>
      </c>
      <c r="M4620">
        <v>3</v>
      </c>
      <c r="N4620" t="str">
        <f t="shared" si="218"/>
        <v>New</v>
      </c>
    </row>
    <row r="4621" spans="1:14" x14ac:dyDescent="0.35">
      <c r="A4621">
        <v>4620</v>
      </c>
      <c r="B4621">
        <v>58</v>
      </c>
      <c r="C4621" t="str">
        <f t="shared" si="216"/>
        <v>Adult</v>
      </c>
      <c r="D4621" t="s">
        <v>16</v>
      </c>
      <c r="E4621" t="s">
        <v>20</v>
      </c>
      <c r="F4621" t="s">
        <v>21</v>
      </c>
      <c r="G4621">
        <v>88.53</v>
      </c>
      <c r="H4621" t="s">
        <v>24</v>
      </c>
      <c r="I4621" t="s">
        <v>15</v>
      </c>
      <c r="J4621">
        <v>3.5</v>
      </c>
      <c r="K4621">
        <v>13</v>
      </c>
      <c r="L4621">
        <f t="shared" si="217"/>
        <v>77.021100000000004</v>
      </c>
      <c r="M4621">
        <v>4</v>
      </c>
      <c r="N4621" t="str">
        <f t="shared" si="218"/>
        <v>Regular</v>
      </c>
    </row>
    <row r="4622" spans="1:14" x14ac:dyDescent="0.35">
      <c r="A4622">
        <v>4621</v>
      </c>
      <c r="B4622">
        <v>20</v>
      </c>
      <c r="C4622" t="str">
        <f t="shared" si="216"/>
        <v>Youth</v>
      </c>
      <c r="D4622" t="s">
        <v>16</v>
      </c>
      <c r="E4622" t="s">
        <v>33</v>
      </c>
      <c r="F4622" t="s">
        <v>40</v>
      </c>
      <c r="G4622">
        <v>155.1</v>
      </c>
      <c r="H4622" t="s">
        <v>14</v>
      </c>
      <c r="I4622" t="s">
        <v>15</v>
      </c>
      <c r="J4622">
        <v>3.8</v>
      </c>
      <c r="K4622">
        <v>7</v>
      </c>
      <c r="L4622">
        <f t="shared" si="217"/>
        <v>144.24299999999999</v>
      </c>
      <c r="M4622">
        <v>1</v>
      </c>
      <c r="N4622" t="str">
        <f t="shared" si="218"/>
        <v>New</v>
      </c>
    </row>
    <row r="4623" spans="1:14" x14ac:dyDescent="0.35">
      <c r="A4623">
        <v>4622</v>
      </c>
      <c r="B4623">
        <v>43</v>
      </c>
      <c r="C4623" t="str">
        <f t="shared" si="216"/>
        <v>Adult</v>
      </c>
      <c r="D4623" t="s">
        <v>11</v>
      </c>
      <c r="E4623" t="s">
        <v>29</v>
      </c>
      <c r="F4623" t="s">
        <v>30</v>
      </c>
      <c r="G4623">
        <v>79.400000000000006</v>
      </c>
      <c r="H4623" t="s">
        <v>24</v>
      </c>
      <c r="I4623" t="s">
        <v>37</v>
      </c>
      <c r="J4623">
        <v>4.3</v>
      </c>
      <c r="K4623">
        <v>21</v>
      </c>
      <c r="L4623">
        <f t="shared" si="217"/>
        <v>62.726000000000006</v>
      </c>
      <c r="M4623">
        <v>8</v>
      </c>
      <c r="N4623" t="str">
        <f t="shared" si="218"/>
        <v>Loyal</v>
      </c>
    </row>
    <row r="4624" spans="1:14" x14ac:dyDescent="0.35">
      <c r="A4624">
        <v>4623</v>
      </c>
      <c r="B4624">
        <v>23</v>
      </c>
      <c r="C4624" t="str">
        <f t="shared" si="216"/>
        <v>Youth</v>
      </c>
      <c r="D4624" t="s">
        <v>16</v>
      </c>
      <c r="E4624" t="s">
        <v>27</v>
      </c>
      <c r="F4624" t="s">
        <v>28</v>
      </c>
      <c r="G4624">
        <v>1000.65</v>
      </c>
      <c r="H4624" t="s">
        <v>19</v>
      </c>
      <c r="I4624" t="s">
        <v>15</v>
      </c>
      <c r="J4624">
        <v>3.6</v>
      </c>
      <c r="K4624">
        <v>19</v>
      </c>
      <c r="L4624">
        <f t="shared" si="217"/>
        <v>810.52650000000006</v>
      </c>
      <c r="M4624">
        <v>7</v>
      </c>
      <c r="N4624" t="str">
        <f t="shared" si="218"/>
        <v>Regular</v>
      </c>
    </row>
    <row r="4625" spans="1:14" x14ac:dyDescent="0.35">
      <c r="A4625">
        <v>4624</v>
      </c>
      <c r="B4625">
        <v>34</v>
      </c>
      <c r="C4625" t="str">
        <f t="shared" si="216"/>
        <v>Adult</v>
      </c>
      <c r="D4625" t="s">
        <v>16</v>
      </c>
      <c r="E4625" t="s">
        <v>27</v>
      </c>
      <c r="F4625" t="s">
        <v>28</v>
      </c>
      <c r="G4625">
        <v>654.41999999999996</v>
      </c>
      <c r="H4625" t="s">
        <v>31</v>
      </c>
      <c r="I4625" t="s">
        <v>15</v>
      </c>
      <c r="J4625">
        <v>5</v>
      </c>
      <c r="K4625">
        <v>13</v>
      </c>
      <c r="L4625">
        <f t="shared" si="217"/>
        <v>569.34539999999993</v>
      </c>
      <c r="M4625">
        <v>4</v>
      </c>
      <c r="N4625" t="str">
        <f t="shared" si="218"/>
        <v>Regular</v>
      </c>
    </row>
    <row r="4626" spans="1:14" x14ac:dyDescent="0.35">
      <c r="A4626">
        <v>4625</v>
      </c>
      <c r="B4626">
        <v>31</v>
      </c>
      <c r="C4626" t="str">
        <f t="shared" si="216"/>
        <v>Adult</v>
      </c>
      <c r="D4626" t="s">
        <v>16</v>
      </c>
      <c r="E4626" t="s">
        <v>20</v>
      </c>
      <c r="F4626" t="s">
        <v>39</v>
      </c>
      <c r="G4626">
        <v>226.81</v>
      </c>
      <c r="H4626" t="s">
        <v>19</v>
      </c>
      <c r="I4626" t="s">
        <v>15</v>
      </c>
      <c r="J4626">
        <v>4.5</v>
      </c>
      <c r="K4626">
        <v>4</v>
      </c>
      <c r="L4626">
        <f t="shared" si="217"/>
        <v>217.73759999999999</v>
      </c>
      <c r="M4626">
        <v>2</v>
      </c>
      <c r="N4626" t="str">
        <f t="shared" si="218"/>
        <v>New</v>
      </c>
    </row>
    <row r="4627" spans="1:14" x14ac:dyDescent="0.35">
      <c r="A4627">
        <v>4626</v>
      </c>
      <c r="B4627">
        <v>32</v>
      </c>
      <c r="C4627" t="str">
        <f t="shared" si="216"/>
        <v>Adult</v>
      </c>
      <c r="D4627" t="s">
        <v>11</v>
      </c>
      <c r="E4627" t="s">
        <v>12</v>
      </c>
      <c r="F4627" t="s">
        <v>50</v>
      </c>
      <c r="G4627">
        <v>40.26</v>
      </c>
      <c r="H4627" t="s">
        <v>31</v>
      </c>
      <c r="I4627" t="s">
        <v>15</v>
      </c>
      <c r="J4627">
        <v>5</v>
      </c>
      <c r="K4627">
        <v>18</v>
      </c>
      <c r="L4627">
        <f t="shared" si="217"/>
        <v>33.013199999999998</v>
      </c>
      <c r="M4627">
        <v>4</v>
      </c>
      <c r="N4627" t="str">
        <f t="shared" si="218"/>
        <v>Regular</v>
      </c>
    </row>
    <row r="4628" spans="1:14" x14ac:dyDescent="0.35">
      <c r="A4628">
        <v>4627</v>
      </c>
      <c r="B4628">
        <v>55</v>
      </c>
      <c r="C4628" t="str">
        <f t="shared" si="216"/>
        <v>Adult</v>
      </c>
      <c r="D4628" t="s">
        <v>16</v>
      </c>
      <c r="E4628" t="s">
        <v>27</v>
      </c>
      <c r="F4628" t="s">
        <v>32</v>
      </c>
      <c r="G4628">
        <v>556.03</v>
      </c>
      <c r="H4628" t="s">
        <v>14</v>
      </c>
      <c r="I4628" t="s">
        <v>15</v>
      </c>
      <c r="J4628">
        <v>4.0999999999999996</v>
      </c>
      <c r="K4628">
        <v>12</v>
      </c>
      <c r="L4628">
        <f t="shared" si="217"/>
        <v>489.3064</v>
      </c>
      <c r="M4628">
        <v>6</v>
      </c>
      <c r="N4628" t="str">
        <f t="shared" si="218"/>
        <v>Regular</v>
      </c>
    </row>
    <row r="4629" spans="1:14" x14ac:dyDescent="0.35">
      <c r="A4629">
        <v>4628</v>
      </c>
      <c r="B4629">
        <v>35</v>
      </c>
      <c r="C4629" t="str">
        <f t="shared" si="216"/>
        <v>Adult</v>
      </c>
      <c r="D4629" t="s">
        <v>11</v>
      </c>
      <c r="E4629" t="s">
        <v>29</v>
      </c>
      <c r="F4629" t="s">
        <v>55</v>
      </c>
      <c r="G4629">
        <v>108.74</v>
      </c>
      <c r="H4629" t="s">
        <v>24</v>
      </c>
      <c r="I4629" t="s">
        <v>15</v>
      </c>
      <c r="J4629">
        <v>3.8</v>
      </c>
      <c r="K4629">
        <v>4</v>
      </c>
      <c r="L4629">
        <f t="shared" si="217"/>
        <v>104.39039999999999</v>
      </c>
      <c r="M4629">
        <v>2</v>
      </c>
      <c r="N4629" t="str">
        <f t="shared" si="218"/>
        <v>New</v>
      </c>
    </row>
    <row r="4630" spans="1:14" x14ac:dyDescent="0.35">
      <c r="A4630">
        <v>4629</v>
      </c>
      <c r="B4630">
        <v>27</v>
      </c>
      <c r="C4630" t="str">
        <f t="shared" si="216"/>
        <v>Youth</v>
      </c>
      <c r="D4630" t="s">
        <v>11</v>
      </c>
      <c r="E4630" t="s">
        <v>22</v>
      </c>
      <c r="F4630" t="s">
        <v>23</v>
      </c>
      <c r="G4630">
        <v>176.23</v>
      </c>
      <c r="H4630" t="s">
        <v>14</v>
      </c>
      <c r="I4630" t="s">
        <v>15</v>
      </c>
      <c r="J4630">
        <v>4.0999999999999996</v>
      </c>
      <c r="K4630">
        <v>20</v>
      </c>
      <c r="L4630">
        <f t="shared" si="217"/>
        <v>140.98400000000001</v>
      </c>
      <c r="M4630">
        <v>5</v>
      </c>
      <c r="N4630" t="str">
        <f t="shared" si="218"/>
        <v>Regular</v>
      </c>
    </row>
    <row r="4631" spans="1:14" x14ac:dyDescent="0.35">
      <c r="A4631">
        <v>4630</v>
      </c>
      <c r="B4631">
        <v>30</v>
      </c>
      <c r="C4631" t="str">
        <f t="shared" si="216"/>
        <v>Youth</v>
      </c>
      <c r="D4631" t="s">
        <v>11</v>
      </c>
      <c r="E4631" t="s">
        <v>33</v>
      </c>
      <c r="F4631" t="s">
        <v>34</v>
      </c>
      <c r="G4631">
        <v>189.68</v>
      </c>
      <c r="H4631" t="s">
        <v>31</v>
      </c>
      <c r="I4631" t="s">
        <v>15</v>
      </c>
      <c r="J4631">
        <v>4</v>
      </c>
      <c r="K4631">
        <v>13</v>
      </c>
      <c r="L4631">
        <f t="shared" si="217"/>
        <v>165.02160000000001</v>
      </c>
      <c r="M4631">
        <v>4</v>
      </c>
      <c r="N4631" t="str">
        <f t="shared" si="218"/>
        <v>Regular</v>
      </c>
    </row>
    <row r="4632" spans="1:14" x14ac:dyDescent="0.35">
      <c r="A4632">
        <v>4631</v>
      </c>
      <c r="B4632">
        <v>34</v>
      </c>
      <c r="C4632" t="str">
        <f t="shared" si="216"/>
        <v>Adult</v>
      </c>
      <c r="D4632" t="s">
        <v>11</v>
      </c>
      <c r="E4632" t="s">
        <v>20</v>
      </c>
      <c r="F4632" t="s">
        <v>36</v>
      </c>
      <c r="G4632">
        <v>196.56</v>
      </c>
      <c r="H4632" t="s">
        <v>31</v>
      </c>
      <c r="I4632" t="s">
        <v>15</v>
      </c>
      <c r="J4632">
        <v>3.8</v>
      </c>
      <c r="K4632">
        <v>14</v>
      </c>
      <c r="L4632">
        <f t="shared" si="217"/>
        <v>169.04159999999999</v>
      </c>
      <c r="M4632">
        <v>7</v>
      </c>
      <c r="N4632" t="str">
        <f t="shared" si="218"/>
        <v>Regular</v>
      </c>
    </row>
    <row r="4633" spans="1:14" x14ac:dyDescent="0.35">
      <c r="A4633">
        <v>4632</v>
      </c>
      <c r="B4633">
        <v>52</v>
      </c>
      <c r="C4633" t="str">
        <f t="shared" si="216"/>
        <v>Adult</v>
      </c>
      <c r="D4633" t="s">
        <v>16</v>
      </c>
      <c r="E4633" t="s">
        <v>20</v>
      </c>
      <c r="F4633" t="s">
        <v>21</v>
      </c>
      <c r="G4633">
        <v>42.78</v>
      </c>
      <c r="H4633" t="s">
        <v>24</v>
      </c>
      <c r="I4633" t="s">
        <v>37</v>
      </c>
      <c r="J4633">
        <v>2.5</v>
      </c>
      <c r="K4633">
        <v>10</v>
      </c>
      <c r="L4633">
        <f t="shared" si="217"/>
        <v>38.502000000000002</v>
      </c>
      <c r="M4633">
        <v>5</v>
      </c>
      <c r="N4633" t="str">
        <f t="shared" si="218"/>
        <v>Regular</v>
      </c>
    </row>
    <row r="4634" spans="1:14" x14ac:dyDescent="0.35">
      <c r="A4634">
        <v>4633</v>
      </c>
      <c r="B4634">
        <v>70</v>
      </c>
      <c r="C4634" t="str">
        <f t="shared" si="216"/>
        <v>Senior</v>
      </c>
      <c r="D4634" t="s">
        <v>16</v>
      </c>
      <c r="E4634" t="s">
        <v>17</v>
      </c>
      <c r="F4634" t="s">
        <v>42</v>
      </c>
      <c r="G4634">
        <v>79.5</v>
      </c>
      <c r="H4634" t="s">
        <v>14</v>
      </c>
      <c r="I4634" t="s">
        <v>15</v>
      </c>
      <c r="J4634">
        <v>4.4000000000000004</v>
      </c>
      <c r="K4634">
        <v>13</v>
      </c>
      <c r="L4634">
        <f t="shared" si="217"/>
        <v>69.165000000000006</v>
      </c>
      <c r="M4634">
        <v>4</v>
      </c>
      <c r="N4634" t="str">
        <f t="shared" si="218"/>
        <v>Regular</v>
      </c>
    </row>
    <row r="4635" spans="1:14" x14ac:dyDescent="0.35">
      <c r="A4635">
        <v>4634</v>
      </c>
      <c r="B4635">
        <v>42</v>
      </c>
      <c r="C4635" t="str">
        <f t="shared" si="216"/>
        <v>Adult</v>
      </c>
      <c r="D4635" t="s">
        <v>11</v>
      </c>
      <c r="E4635" t="s">
        <v>33</v>
      </c>
      <c r="F4635" t="s">
        <v>40</v>
      </c>
      <c r="G4635">
        <v>145.34</v>
      </c>
      <c r="H4635" t="s">
        <v>31</v>
      </c>
      <c r="I4635" t="s">
        <v>15</v>
      </c>
      <c r="J4635">
        <v>4.0999999999999996</v>
      </c>
      <c r="K4635">
        <v>6</v>
      </c>
      <c r="L4635">
        <f t="shared" si="217"/>
        <v>136.61959999999999</v>
      </c>
      <c r="M4635">
        <v>3</v>
      </c>
      <c r="N4635" t="str">
        <f t="shared" si="218"/>
        <v>New</v>
      </c>
    </row>
    <row r="4636" spans="1:14" x14ac:dyDescent="0.35">
      <c r="A4636">
        <v>4635</v>
      </c>
      <c r="B4636">
        <v>29</v>
      </c>
      <c r="C4636" t="str">
        <f t="shared" si="216"/>
        <v>Youth</v>
      </c>
      <c r="D4636" t="s">
        <v>16</v>
      </c>
      <c r="E4636" t="s">
        <v>27</v>
      </c>
      <c r="F4636" t="s">
        <v>49</v>
      </c>
      <c r="G4636">
        <v>1135.48</v>
      </c>
      <c r="H4636" t="s">
        <v>14</v>
      </c>
      <c r="I4636" t="s">
        <v>15</v>
      </c>
      <c r="J4636">
        <v>4.2</v>
      </c>
      <c r="K4636">
        <v>8</v>
      </c>
      <c r="L4636">
        <f t="shared" si="217"/>
        <v>1044.6416000000002</v>
      </c>
      <c r="M4636">
        <v>4</v>
      </c>
      <c r="N4636" t="str">
        <f t="shared" si="218"/>
        <v>Regular</v>
      </c>
    </row>
    <row r="4637" spans="1:14" x14ac:dyDescent="0.35">
      <c r="A4637">
        <v>4636</v>
      </c>
      <c r="B4637">
        <v>33</v>
      </c>
      <c r="C4637" t="str">
        <f t="shared" si="216"/>
        <v>Adult</v>
      </c>
      <c r="D4637" t="s">
        <v>11</v>
      </c>
      <c r="E4637" t="s">
        <v>33</v>
      </c>
      <c r="F4637" t="s">
        <v>38</v>
      </c>
      <c r="G4637">
        <v>156.04</v>
      </c>
      <c r="H4637" t="s">
        <v>31</v>
      </c>
      <c r="I4637" t="s">
        <v>15</v>
      </c>
      <c r="J4637">
        <v>4.4000000000000004</v>
      </c>
      <c r="K4637">
        <v>20</v>
      </c>
      <c r="L4637">
        <f t="shared" si="217"/>
        <v>124.83199999999999</v>
      </c>
      <c r="M4637">
        <v>5</v>
      </c>
      <c r="N4637" t="str">
        <f t="shared" si="218"/>
        <v>Regular</v>
      </c>
    </row>
    <row r="4638" spans="1:14" x14ac:dyDescent="0.35">
      <c r="A4638">
        <v>4637</v>
      </c>
      <c r="B4638">
        <v>68</v>
      </c>
      <c r="C4638" t="str">
        <f t="shared" si="216"/>
        <v>Senior</v>
      </c>
      <c r="D4638" t="s">
        <v>11</v>
      </c>
      <c r="E4638" t="s">
        <v>29</v>
      </c>
      <c r="F4638" t="s">
        <v>55</v>
      </c>
      <c r="G4638">
        <v>91.12</v>
      </c>
      <c r="H4638" t="s">
        <v>14</v>
      </c>
      <c r="I4638" t="s">
        <v>15</v>
      </c>
      <c r="J4638">
        <v>3.7</v>
      </c>
      <c r="K4638">
        <v>20</v>
      </c>
      <c r="L4638">
        <f t="shared" si="217"/>
        <v>72.896000000000001</v>
      </c>
      <c r="M4638">
        <v>5</v>
      </c>
      <c r="N4638" t="str">
        <f t="shared" si="218"/>
        <v>Regular</v>
      </c>
    </row>
    <row r="4639" spans="1:14" x14ac:dyDescent="0.35">
      <c r="A4639">
        <v>4638</v>
      </c>
      <c r="B4639">
        <v>47</v>
      </c>
      <c r="C4639" t="str">
        <f t="shared" si="216"/>
        <v>Adult</v>
      </c>
      <c r="D4639" t="s">
        <v>11</v>
      </c>
      <c r="E4639" t="s">
        <v>29</v>
      </c>
      <c r="F4639" t="s">
        <v>51</v>
      </c>
      <c r="G4639">
        <v>125.68</v>
      </c>
      <c r="H4639" t="s">
        <v>31</v>
      </c>
      <c r="I4639" t="s">
        <v>15</v>
      </c>
      <c r="J4639">
        <v>4.9000000000000004</v>
      </c>
      <c r="K4639">
        <v>18</v>
      </c>
      <c r="L4639">
        <f t="shared" si="217"/>
        <v>103.05760000000001</v>
      </c>
      <c r="M4639">
        <v>4</v>
      </c>
      <c r="N4639" t="str">
        <f t="shared" si="218"/>
        <v>Regular</v>
      </c>
    </row>
    <row r="4640" spans="1:14" x14ac:dyDescent="0.35">
      <c r="A4640">
        <v>4639</v>
      </c>
      <c r="B4640">
        <v>59</v>
      </c>
      <c r="C4640" t="str">
        <f t="shared" si="216"/>
        <v>Adult</v>
      </c>
      <c r="D4640" t="s">
        <v>16</v>
      </c>
      <c r="E4640" t="s">
        <v>33</v>
      </c>
      <c r="F4640" t="s">
        <v>40</v>
      </c>
      <c r="G4640">
        <v>118.38</v>
      </c>
      <c r="H4640" t="s">
        <v>14</v>
      </c>
      <c r="I4640" t="s">
        <v>15</v>
      </c>
      <c r="J4640">
        <v>4.3</v>
      </c>
      <c r="K4640">
        <v>17</v>
      </c>
      <c r="L4640">
        <f t="shared" si="217"/>
        <v>98.255399999999995</v>
      </c>
      <c r="M4640">
        <v>6</v>
      </c>
      <c r="N4640" t="str">
        <f t="shared" si="218"/>
        <v>Regular</v>
      </c>
    </row>
    <row r="4641" spans="1:14" x14ac:dyDescent="0.35">
      <c r="A4641">
        <v>4640</v>
      </c>
      <c r="B4641">
        <v>41</v>
      </c>
      <c r="C4641" t="str">
        <f t="shared" si="216"/>
        <v>Adult</v>
      </c>
      <c r="D4641" t="s">
        <v>16</v>
      </c>
      <c r="E4641" t="s">
        <v>27</v>
      </c>
      <c r="F4641" t="s">
        <v>32</v>
      </c>
      <c r="G4641">
        <v>2452.5500000000002</v>
      </c>
      <c r="H4641" t="s">
        <v>24</v>
      </c>
      <c r="I4641" t="s">
        <v>15</v>
      </c>
      <c r="J4641">
        <v>4.4000000000000004</v>
      </c>
      <c r="K4641">
        <v>18</v>
      </c>
      <c r="L4641">
        <f t="shared" si="217"/>
        <v>2011.0910000000003</v>
      </c>
      <c r="M4641">
        <v>4</v>
      </c>
      <c r="N4641" t="str">
        <f t="shared" si="218"/>
        <v>Regular</v>
      </c>
    </row>
    <row r="4642" spans="1:14" x14ac:dyDescent="0.35">
      <c r="A4642">
        <v>4641</v>
      </c>
      <c r="B4642">
        <v>60</v>
      </c>
      <c r="C4642" t="str">
        <f t="shared" si="216"/>
        <v>Adult</v>
      </c>
      <c r="D4642" t="s">
        <v>11</v>
      </c>
      <c r="E4642" t="s">
        <v>33</v>
      </c>
      <c r="F4642" t="s">
        <v>38</v>
      </c>
      <c r="G4642">
        <v>126.78</v>
      </c>
      <c r="H4642" t="s">
        <v>31</v>
      </c>
      <c r="I4642" t="s">
        <v>15</v>
      </c>
      <c r="J4642">
        <v>3.2</v>
      </c>
      <c r="K4642">
        <v>13</v>
      </c>
      <c r="L4642">
        <f t="shared" si="217"/>
        <v>110.29860000000001</v>
      </c>
      <c r="M4642">
        <v>4</v>
      </c>
      <c r="N4642" t="str">
        <f t="shared" si="218"/>
        <v>Regular</v>
      </c>
    </row>
    <row r="4643" spans="1:14" x14ac:dyDescent="0.35">
      <c r="A4643">
        <v>4642</v>
      </c>
      <c r="B4643">
        <v>20</v>
      </c>
      <c r="C4643" t="str">
        <f t="shared" si="216"/>
        <v>Youth</v>
      </c>
      <c r="D4643" t="s">
        <v>16</v>
      </c>
      <c r="E4643" t="s">
        <v>20</v>
      </c>
      <c r="F4643" t="s">
        <v>39</v>
      </c>
      <c r="G4643">
        <v>167.57</v>
      </c>
      <c r="H4643" t="s">
        <v>31</v>
      </c>
      <c r="I4643" t="s">
        <v>15</v>
      </c>
      <c r="J4643">
        <v>2.7</v>
      </c>
      <c r="K4643">
        <v>13</v>
      </c>
      <c r="L4643">
        <f t="shared" si="217"/>
        <v>145.7859</v>
      </c>
      <c r="M4643">
        <v>4</v>
      </c>
      <c r="N4643" t="str">
        <f t="shared" si="218"/>
        <v>Regular</v>
      </c>
    </row>
    <row r="4644" spans="1:14" x14ac:dyDescent="0.35">
      <c r="A4644">
        <v>4643</v>
      </c>
      <c r="B4644">
        <v>29</v>
      </c>
      <c r="C4644" t="str">
        <f t="shared" si="216"/>
        <v>Youth</v>
      </c>
      <c r="D4644" t="s">
        <v>16</v>
      </c>
      <c r="E4644" t="s">
        <v>17</v>
      </c>
      <c r="F4644" t="s">
        <v>18</v>
      </c>
      <c r="G4644">
        <v>89.05</v>
      </c>
      <c r="H4644" t="s">
        <v>19</v>
      </c>
      <c r="I4644" t="s">
        <v>37</v>
      </c>
      <c r="J4644">
        <v>3.8</v>
      </c>
      <c r="K4644">
        <v>15</v>
      </c>
      <c r="L4644">
        <f t="shared" si="217"/>
        <v>75.692499999999995</v>
      </c>
      <c r="M4644">
        <v>5</v>
      </c>
      <c r="N4644" t="str">
        <f t="shared" si="218"/>
        <v>Regular</v>
      </c>
    </row>
    <row r="4645" spans="1:14" x14ac:dyDescent="0.35">
      <c r="A4645">
        <v>4644</v>
      </c>
      <c r="B4645">
        <v>41</v>
      </c>
      <c r="C4645" t="str">
        <f t="shared" si="216"/>
        <v>Adult</v>
      </c>
      <c r="D4645" t="s">
        <v>11</v>
      </c>
      <c r="E4645" t="s">
        <v>33</v>
      </c>
      <c r="F4645" t="s">
        <v>34</v>
      </c>
      <c r="G4645">
        <v>83.85</v>
      </c>
      <c r="H4645" t="s">
        <v>14</v>
      </c>
      <c r="I4645" t="s">
        <v>37</v>
      </c>
      <c r="J4645">
        <v>4.4000000000000004</v>
      </c>
      <c r="K4645">
        <v>24</v>
      </c>
      <c r="L4645">
        <f t="shared" si="217"/>
        <v>63.725999999999999</v>
      </c>
      <c r="M4645">
        <v>7</v>
      </c>
      <c r="N4645" t="str">
        <f t="shared" si="218"/>
        <v>Regular</v>
      </c>
    </row>
    <row r="4646" spans="1:14" x14ac:dyDescent="0.35">
      <c r="A4646">
        <v>4645</v>
      </c>
      <c r="B4646">
        <v>22</v>
      </c>
      <c r="C4646" t="str">
        <f t="shared" si="216"/>
        <v>Youth</v>
      </c>
      <c r="D4646" t="s">
        <v>11</v>
      </c>
      <c r="E4646" t="s">
        <v>41</v>
      </c>
      <c r="F4646" t="s">
        <v>44</v>
      </c>
      <c r="G4646">
        <v>73.430000000000007</v>
      </c>
      <c r="H4646" t="s">
        <v>14</v>
      </c>
      <c r="I4646" t="s">
        <v>15</v>
      </c>
      <c r="J4646">
        <v>3.9</v>
      </c>
      <c r="K4646">
        <v>18</v>
      </c>
      <c r="L4646">
        <f t="shared" si="217"/>
        <v>60.212600000000009</v>
      </c>
      <c r="M4646">
        <v>4</v>
      </c>
      <c r="N4646" t="str">
        <f t="shared" si="218"/>
        <v>Regular</v>
      </c>
    </row>
    <row r="4647" spans="1:14" x14ac:dyDescent="0.35">
      <c r="A4647">
        <v>4646</v>
      </c>
      <c r="B4647">
        <v>50</v>
      </c>
      <c r="C4647" t="str">
        <f t="shared" si="216"/>
        <v>Adult</v>
      </c>
      <c r="D4647" t="s">
        <v>11</v>
      </c>
      <c r="E4647" t="s">
        <v>22</v>
      </c>
      <c r="F4647" t="s">
        <v>23</v>
      </c>
      <c r="G4647">
        <v>99.03</v>
      </c>
      <c r="H4647" t="s">
        <v>24</v>
      </c>
      <c r="I4647" t="s">
        <v>15</v>
      </c>
      <c r="J4647">
        <v>4.5999999999999996</v>
      </c>
      <c r="K4647">
        <v>17</v>
      </c>
      <c r="L4647">
        <f t="shared" si="217"/>
        <v>82.194900000000004</v>
      </c>
      <c r="M4647">
        <v>6</v>
      </c>
      <c r="N4647" t="str">
        <f t="shared" si="218"/>
        <v>Regular</v>
      </c>
    </row>
    <row r="4648" spans="1:14" x14ac:dyDescent="0.35">
      <c r="A4648">
        <v>4647</v>
      </c>
      <c r="B4648">
        <v>51</v>
      </c>
      <c r="C4648" t="str">
        <f t="shared" si="216"/>
        <v>Adult</v>
      </c>
      <c r="D4648" t="s">
        <v>16</v>
      </c>
      <c r="E4648" t="s">
        <v>27</v>
      </c>
      <c r="F4648" t="s">
        <v>49</v>
      </c>
      <c r="G4648">
        <v>912.84</v>
      </c>
      <c r="H4648" t="s">
        <v>31</v>
      </c>
      <c r="I4648" t="s">
        <v>15</v>
      </c>
      <c r="J4648">
        <v>4.4000000000000004</v>
      </c>
      <c r="K4648">
        <v>18</v>
      </c>
      <c r="L4648">
        <f t="shared" si="217"/>
        <v>748.52880000000005</v>
      </c>
      <c r="M4648">
        <v>9</v>
      </c>
      <c r="N4648" t="str">
        <f t="shared" si="218"/>
        <v>Loyal</v>
      </c>
    </row>
    <row r="4649" spans="1:14" x14ac:dyDescent="0.35">
      <c r="A4649">
        <v>4648</v>
      </c>
      <c r="B4649">
        <v>30</v>
      </c>
      <c r="C4649" t="str">
        <f t="shared" si="216"/>
        <v>Youth</v>
      </c>
      <c r="D4649" t="s">
        <v>16</v>
      </c>
      <c r="E4649" t="s">
        <v>33</v>
      </c>
      <c r="F4649" t="s">
        <v>38</v>
      </c>
      <c r="G4649">
        <v>115.58</v>
      </c>
      <c r="H4649" t="s">
        <v>19</v>
      </c>
      <c r="I4649" t="s">
        <v>15</v>
      </c>
      <c r="J4649">
        <v>4.3</v>
      </c>
      <c r="K4649">
        <v>15</v>
      </c>
      <c r="L4649">
        <f t="shared" si="217"/>
        <v>98.242999999999995</v>
      </c>
      <c r="M4649">
        <v>5</v>
      </c>
      <c r="N4649" t="str">
        <f t="shared" si="218"/>
        <v>Regular</v>
      </c>
    </row>
    <row r="4650" spans="1:14" x14ac:dyDescent="0.35">
      <c r="A4650">
        <v>4649</v>
      </c>
      <c r="B4650">
        <v>47</v>
      </c>
      <c r="C4650" t="str">
        <f t="shared" si="216"/>
        <v>Adult</v>
      </c>
      <c r="D4650" t="s">
        <v>16</v>
      </c>
      <c r="E4650" t="s">
        <v>17</v>
      </c>
      <c r="F4650" t="s">
        <v>35</v>
      </c>
      <c r="G4650">
        <v>93.05</v>
      </c>
      <c r="H4650" t="s">
        <v>24</v>
      </c>
      <c r="I4650" t="s">
        <v>37</v>
      </c>
      <c r="J4650">
        <v>3.6</v>
      </c>
      <c r="K4650">
        <v>15</v>
      </c>
      <c r="L4650">
        <f t="shared" si="217"/>
        <v>79.092500000000001</v>
      </c>
      <c r="M4650">
        <v>5</v>
      </c>
      <c r="N4650" t="str">
        <f t="shared" si="218"/>
        <v>Regular</v>
      </c>
    </row>
    <row r="4651" spans="1:14" x14ac:dyDescent="0.35">
      <c r="A4651">
        <v>4650</v>
      </c>
      <c r="B4651">
        <v>67</v>
      </c>
      <c r="C4651" t="str">
        <f t="shared" si="216"/>
        <v>Senior</v>
      </c>
      <c r="D4651" t="s">
        <v>11</v>
      </c>
      <c r="E4651" t="s">
        <v>41</v>
      </c>
      <c r="F4651" t="s">
        <v>44</v>
      </c>
      <c r="G4651">
        <v>35.619999999999997</v>
      </c>
      <c r="H4651" t="s">
        <v>19</v>
      </c>
      <c r="I4651" t="s">
        <v>37</v>
      </c>
      <c r="J4651">
        <v>3.4</v>
      </c>
      <c r="K4651">
        <v>13</v>
      </c>
      <c r="L4651">
        <f t="shared" si="217"/>
        <v>30.989399999999996</v>
      </c>
      <c r="M4651">
        <v>4</v>
      </c>
      <c r="N4651" t="str">
        <f t="shared" si="218"/>
        <v>Regular</v>
      </c>
    </row>
    <row r="4652" spans="1:14" x14ac:dyDescent="0.35">
      <c r="A4652">
        <v>4651</v>
      </c>
      <c r="B4652">
        <v>64</v>
      </c>
      <c r="C4652" t="str">
        <f t="shared" si="216"/>
        <v>Senior</v>
      </c>
      <c r="D4652" t="s">
        <v>11</v>
      </c>
      <c r="E4652" t="s">
        <v>12</v>
      </c>
      <c r="F4652" t="s">
        <v>50</v>
      </c>
      <c r="G4652">
        <v>132.69</v>
      </c>
      <c r="H4652" t="s">
        <v>31</v>
      </c>
      <c r="I4652" t="s">
        <v>15</v>
      </c>
      <c r="J4652">
        <v>3.3</v>
      </c>
      <c r="K4652">
        <v>19</v>
      </c>
      <c r="L4652">
        <f t="shared" si="217"/>
        <v>107.47890000000001</v>
      </c>
      <c r="M4652">
        <v>7</v>
      </c>
      <c r="N4652" t="str">
        <f t="shared" si="218"/>
        <v>Regular</v>
      </c>
    </row>
    <row r="4653" spans="1:14" x14ac:dyDescent="0.35">
      <c r="A4653">
        <v>4652</v>
      </c>
      <c r="B4653">
        <v>25</v>
      </c>
      <c r="C4653" t="str">
        <f t="shared" si="216"/>
        <v>Youth</v>
      </c>
      <c r="D4653" t="s">
        <v>16</v>
      </c>
      <c r="E4653" t="s">
        <v>17</v>
      </c>
      <c r="F4653" t="s">
        <v>35</v>
      </c>
      <c r="G4653">
        <v>170.07</v>
      </c>
      <c r="H4653" t="s">
        <v>19</v>
      </c>
      <c r="I4653" t="s">
        <v>15</v>
      </c>
      <c r="J4653">
        <v>3.6</v>
      </c>
      <c r="K4653">
        <v>9</v>
      </c>
      <c r="L4653">
        <f t="shared" si="217"/>
        <v>154.7637</v>
      </c>
      <c r="M4653">
        <v>2</v>
      </c>
      <c r="N4653" t="str">
        <f t="shared" si="218"/>
        <v>New</v>
      </c>
    </row>
    <row r="4654" spans="1:14" x14ac:dyDescent="0.35">
      <c r="A4654">
        <v>4653</v>
      </c>
      <c r="B4654">
        <v>48</v>
      </c>
      <c r="C4654" t="str">
        <f t="shared" si="216"/>
        <v>Adult</v>
      </c>
      <c r="D4654" t="s">
        <v>11</v>
      </c>
      <c r="E4654" t="s">
        <v>12</v>
      </c>
      <c r="F4654" t="s">
        <v>56</v>
      </c>
      <c r="G4654">
        <v>86.33</v>
      </c>
      <c r="H4654" t="s">
        <v>31</v>
      </c>
      <c r="I4654" t="s">
        <v>15</v>
      </c>
      <c r="J4654">
        <v>3.4</v>
      </c>
      <c r="K4654">
        <v>6</v>
      </c>
      <c r="L4654">
        <f t="shared" si="217"/>
        <v>81.150199999999998</v>
      </c>
      <c r="M4654">
        <v>3</v>
      </c>
      <c r="N4654" t="str">
        <f t="shared" si="218"/>
        <v>New</v>
      </c>
    </row>
    <row r="4655" spans="1:14" x14ac:dyDescent="0.35">
      <c r="A4655">
        <v>4654</v>
      </c>
      <c r="B4655">
        <v>47</v>
      </c>
      <c r="C4655" t="str">
        <f t="shared" si="216"/>
        <v>Adult</v>
      </c>
      <c r="D4655" t="s">
        <v>16</v>
      </c>
      <c r="E4655" t="s">
        <v>27</v>
      </c>
      <c r="F4655" t="s">
        <v>53</v>
      </c>
      <c r="G4655">
        <v>2683.15</v>
      </c>
      <c r="H4655" t="s">
        <v>14</v>
      </c>
      <c r="I4655" t="s">
        <v>15</v>
      </c>
      <c r="J4655">
        <v>3.3</v>
      </c>
      <c r="K4655">
        <v>11</v>
      </c>
      <c r="L4655">
        <f t="shared" si="217"/>
        <v>2388.0035000000003</v>
      </c>
      <c r="M4655">
        <v>3</v>
      </c>
      <c r="N4655" t="str">
        <f t="shared" si="218"/>
        <v>New</v>
      </c>
    </row>
    <row r="4656" spans="1:14" x14ac:dyDescent="0.35">
      <c r="A4656">
        <v>4655</v>
      </c>
      <c r="B4656">
        <v>64</v>
      </c>
      <c r="C4656" t="str">
        <f t="shared" si="216"/>
        <v>Senior</v>
      </c>
      <c r="D4656" t="s">
        <v>16</v>
      </c>
      <c r="E4656" t="s">
        <v>27</v>
      </c>
      <c r="F4656" t="s">
        <v>32</v>
      </c>
      <c r="G4656">
        <v>1406.03</v>
      </c>
      <c r="H4656" t="s">
        <v>24</v>
      </c>
      <c r="I4656" t="s">
        <v>15</v>
      </c>
      <c r="J4656">
        <v>3.7</v>
      </c>
      <c r="K4656">
        <v>22</v>
      </c>
      <c r="L4656">
        <f t="shared" si="217"/>
        <v>1096.7034000000001</v>
      </c>
      <c r="M4656">
        <v>6</v>
      </c>
      <c r="N4656" t="str">
        <f t="shared" si="218"/>
        <v>Regular</v>
      </c>
    </row>
    <row r="4657" spans="1:14" x14ac:dyDescent="0.35">
      <c r="A4657">
        <v>4656</v>
      </c>
      <c r="B4657">
        <v>41</v>
      </c>
      <c r="C4657" t="str">
        <f t="shared" si="216"/>
        <v>Adult</v>
      </c>
      <c r="D4657" t="s">
        <v>11</v>
      </c>
      <c r="E4657" t="s">
        <v>33</v>
      </c>
      <c r="F4657" t="s">
        <v>34</v>
      </c>
      <c r="G4657">
        <v>192.14</v>
      </c>
      <c r="H4657" t="s">
        <v>31</v>
      </c>
      <c r="I4657" t="s">
        <v>15</v>
      </c>
      <c r="J4657">
        <v>3.8</v>
      </c>
      <c r="K4657">
        <v>13</v>
      </c>
      <c r="L4657">
        <f t="shared" si="217"/>
        <v>167.1618</v>
      </c>
      <c r="M4657">
        <v>4</v>
      </c>
      <c r="N4657" t="str">
        <f t="shared" si="218"/>
        <v>Regular</v>
      </c>
    </row>
    <row r="4658" spans="1:14" x14ac:dyDescent="0.35">
      <c r="A4658">
        <v>4657</v>
      </c>
      <c r="B4658">
        <v>56</v>
      </c>
      <c r="C4658" t="str">
        <f t="shared" si="216"/>
        <v>Adult</v>
      </c>
      <c r="D4658" t="s">
        <v>11</v>
      </c>
      <c r="E4658" t="s">
        <v>33</v>
      </c>
      <c r="F4658" t="s">
        <v>38</v>
      </c>
      <c r="G4658">
        <v>234.23</v>
      </c>
      <c r="H4658" t="s">
        <v>19</v>
      </c>
      <c r="I4658" t="s">
        <v>15</v>
      </c>
      <c r="J4658">
        <v>4.7</v>
      </c>
      <c r="K4658">
        <v>13</v>
      </c>
      <c r="L4658">
        <f t="shared" si="217"/>
        <v>203.78009999999998</v>
      </c>
      <c r="M4658">
        <v>4</v>
      </c>
      <c r="N4658" t="str">
        <f t="shared" si="218"/>
        <v>Regular</v>
      </c>
    </row>
    <row r="4659" spans="1:14" x14ac:dyDescent="0.35">
      <c r="A4659">
        <v>4658</v>
      </c>
      <c r="B4659">
        <v>65</v>
      </c>
      <c r="C4659" t="str">
        <f t="shared" si="216"/>
        <v>Senior</v>
      </c>
      <c r="D4659" t="s">
        <v>11</v>
      </c>
      <c r="E4659" t="s">
        <v>41</v>
      </c>
      <c r="F4659" t="s">
        <v>45</v>
      </c>
      <c r="G4659">
        <v>50.96</v>
      </c>
      <c r="H4659" t="s">
        <v>14</v>
      </c>
      <c r="I4659" t="s">
        <v>15</v>
      </c>
      <c r="J4659">
        <v>4</v>
      </c>
      <c r="K4659">
        <v>23</v>
      </c>
      <c r="L4659">
        <f t="shared" si="217"/>
        <v>39.239200000000004</v>
      </c>
      <c r="M4659">
        <v>9</v>
      </c>
      <c r="N4659" t="str">
        <f t="shared" si="218"/>
        <v>Loyal</v>
      </c>
    </row>
    <row r="4660" spans="1:14" x14ac:dyDescent="0.35">
      <c r="A4660">
        <v>4659</v>
      </c>
      <c r="B4660">
        <v>62</v>
      </c>
      <c r="C4660" t="str">
        <f t="shared" si="216"/>
        <v>Senior</v>
      </c>
      <c r="D4660" t="s">
        <v>11</v>
      </c>
      <c r="E4660" t="s">
        <v>33</v>
      </c>
      <c r="F4660" t="s">
        <v>40</v>
      </c>
      <c r="G4660">
        <v>50.04</v>
      </c>
      <c r="H4660" t="s">
        <v>19</v>
      </c>
      <c r="I4660" t="s">
        <v>37</v>
      </c>
      <c r="J4660">
        <v>2.5</v>
      </c>
      <c r="K4660">
        <v>19</v>
      </c>
      <c r="L4660">
        <f t="shared" si="217"/>
        <v>40.532400000000003</v>
      </c>
      <c r="M4660">
        <v>7</v>
      </c>
      <c r="N4660" t="str">
        <f t="shared" si="218"/>
        <v>Regular</v>
      </c>
    </row>
    <row r="4661" spans="1:14" x14ac:dyDescent="0.35">
      <c r="A4661">
        <v>4660</v>
      </c>
      <c r="B4661">
        <v>63</v>
      </c>
      <c r="C4661" t="str">
        <f t="shared" si="216"/>
        <v>Senior</v>
      </c>
      <c r="D4661" t="s">
        <v>16</v>
      </c>
      <c r="E4661" t="s">
        <v>17</v>
      </c>
      <c r="F4661" t="s">
        <v>42</v>
      </c>
      <c r="G4661">
        <v>156.43</v>
      </c>
      <c r="H4661" t="s">
        <v>24</v>
      </c>
      <c r="I4661" t="s">
        <v>15</v>
      </c>
      <c r="J4661">
        <v>3.7</v>
      </c>
      <c r="K4661">
        <v>13</v>
      </c>
      <c r="L4661">
        <f t="shared" si="217"/>
        <v>136.0941</v>
      </c>
      <c r="M4661">
        <v>4</v>
      </c>
      <c r="N4661" t="str">
        <f t="shared" si="218"/>
        <v>Regular</v>
      </c>
    </row>
    <row r="4662" spans="1:14" x14ac:dyDescent="0.35">
      <c r="A4662">
        <v>4661</v>
      </c>
      <c r="B4662">
        <v>32</v>
      </c>
      <c r="C4662" t="str">
        <f t="shared" si="216"/>
        <v>Adult</v>
      </c>
      <c r="D4662" t="s">
        <v>11</v>
      </c>
      <c r="E4662" t="s">
        <v>33</v>
      </c>
      <c r="F4662" t="s">
        <v>34</v>
      </c>
      <c r="G4662">
        <v>44.71</v>
      </c>
      <c r="H4662" t="s">
        <v>24</v>
      </c>
      <c r="I4662" t="s">
        <v>37</v>
      </c>
      <c r="J4662">
        <v>3.8</v>
      </c>
      <c r="K4662">
        <v>18</v>
      </c>
      <c r="L4662">
        <f t="shared" si="217"/>
        <v>36.662200000000006</v>
      </c>
      <c r="M4662">
        <v>4</v>
      </c>
      <c r="N4662" t="str">
        <f t="shared" si="218"/>
        <v>Regular</v>
      </c>
    </row>
    <row r="4663" spans="1:14" x14ac:dyDescent="0.35">
      <c r="A4663">
        <v>4662</v>
      </c>
      <c r="B4663">
        <v>42</v>
      </c>
      <c r="C4663" t="str">
        <f t="shared" si="216"/>
        <v>Adult</v>
      </c>
      <c r="D4663" t="s">
        <v>16</v>
      </c>
      <c r="E4663" t="s">
        <v>33</v>
      </c>
      <c r="F4663" t="s">
        <v>34</v>
      </c>
      <c r="G4663">
        <v>220.57</v>
      </c>
      <c r="H4663" t="s">
        <v>19</v>
      </c>
      <c r="I4663" t="s">
        <v>15</v>
      </c>
      <c r="J4663">
        <v>2.4</v>
      </c>
      <c r="K4663">
        <v>15</v>
      </c>
      <c r="L4663">
        <f t="shared" si="217"/>
        <v>187.4845</v>
      </c>
      <c r="M4663">
        <v>5</v>
      </c>
      <c r="N4663" t="str">
        <f t="shared" si="218"/>
        <v>Regular</v>
      </c>
    </row>
    <row r="4664" spans="1:14" x14ac:dyDescent="0.35">
      <c r="A4664">
        <v>4663</v>
      </c>
      <c r="B4664">
        <v>31</v>
      </c>
      <c r="C4664" t="str">
        <f t="shared" si="216"/>
        <v>Adult</v>
      </c>
      <c r="D4664" t="s">
        <v>11</v>
      </c>
      <c r="E4664" t="s">
        <v>33</v>
      </c>
      <c r="F4664" t="s">
        <v>38</v>
      </c>
      <c r="G4664">
        <v>42.84</v>
      </c>
      <c r="H4664" t="s">
        <v>14</v>
      </c>
      <c r="I4664" t="s">
        <v>37</v>
      </c>
      <c r="J4664">
        <v>3.4</v>
      </c>
      <c r="K4664">
        <v>5</v>
      </c>
      <c r="L4664">
        <f t="shared" si="217"/>
        <v>40.698</v>
      </c>
      <c r="M4664">
        <v>0</v>
      </c>
      <c r="N4664" t="str">
        <f t="shared" si="218"/>
        <v>New</v>
      </c>
    </row>
    <row r="4665" spans="1:14" x14ac:dyDescent="0.35">
      <c r="A4665">
        <v>4664</v>
      </c>
      <c r="B4665">
        <v>65</v>
      </c>
      <c r="C4665" t="str">
        <f t="shared" si="216"/>
        <v>Senior</v>
      </c>
      <c r="D4665" t="s">
        <v>16</v>
      </c>
      <c r="E4665" t="s">
        <v>20</v>
      </c>
      <c r="F4665" t="s">
        <v>21</v>
      </c>
      <c r="G4665">
        <v>182.38</v>
      </c>
      <c r="H4665" t="s">
        <v>24</v>
      </c>
      <c r="I4665" t="s">
        <v>15</v>
      </c>
      <c r="J4665">
        <v>4.5999999999999996</v>
      </c>
      <c r="K4665">
        <v>11</v>
      </c>
      <c r="L4665">
        <f t="shared" si="217"/>
        <v>162.31819999999999</v>
      </c>
      <c r="M4665">
        <v>3</v>
      </c>
      <c r="N4665" t="str">
        <f t="shared" si="218"/>
        <v>New</v>
      </c>
    </row>
    <row r="4666" spans="1:14" x14ac:dyDescent="0.35">
      <c r="A4666">
        <v>4665</v>
      </c>
      <c r="B4666">
        <v>47</v>
      </c>
      <c r="C4666" t="str">
        <f t="shared" si="216"/>
        <v>Adult</v>
      </c>
      <c r="D4666" t="s">
        <v>16</v>
      </c>
      <c r="E4666" t="s">
        <v>33</v>
      </c>
      <c r="F4666" t="s">
        <v>34</v>
      </c>
      <c r="G4666">
        <v>147.94</v>
      </c>
      <c r="H4666" t="s">
        <v>19</v>
      </c>
      <c r="I4666" t="s">
        <v>15</v>
      </c>
      <c r="J4666">
        <v>4.3</v>
      </c>
      <c r="K4666">
        <v>26</v>
      </c>
      <c r="L4666">
        <f t="shared" si="217"/>
        <v>109.4756</v>
      </c>
      <c r="M4666">
        <v>8</v>
      </c>
      <c r="N4666" t="str">
        <f t="shared" si="218"/>
        <v>Loyal</v>
      </c>
    </row>
    <row r="4667" spans="1:14" x14ac:dyDescent="0.35">
      <c r="A4667">
        <v>4666</v>
      </c>
      <c r="B4667">
        <v>55</v>
      </c>
      <c r="C4667" t="str">
        <f t="shared" si="216"/>
        <v>Adult</v>
      </c>
      <c r="D4667" t="s">
        <v>16</v>
      </c>
      <c r="E4667" t="s">
        <v>17</v>
      </c>
      <c r="F4667" t="s">
        <v>42</v>
      </c>
      <c r="G4667">
        <v>178.41</v>
      </c>
      <c r="H4667" t="s">
        <v>14</v>
      </c>
      <c r="I4667" t="s">
        <v>15</v>
      </c>
      <c r="J4667">
        <v>4</v>
      </c>
      <c r="K4667">
        <v>11</v>
      </c>
      <c r="L4667">
        <f t="shared" si="217"/>
        <v>158.78489999999999</v>
      </c>
      <c r="M4667">
        <v>3</v>
      </c>
      <c r="N4667" t="str">
        <f t="shared" si="218"/>
        <v>New</v>
      </c>
    </row>
    <row r="4668" spans="1:14" x14ac:dyDescent="0.35">
      <c r="A4668">
        <v>4667</v>
      </c>
      <c r="B4668">
        <v>35</v>
      </c>
      <c r="C4668" t="str">
        <f t="shared" si="216"/>
        <v>Adult</v>
      </c>
      <c r="D4668" t="s">
        <v>11</v>
      </c>
      <c r="E4668" t="s">
        <v>29</v>
      </c>
      <c r="F4668" t="s">
        <v>51</v>
      </c>
      <c r="G4668">
        <v>24.39</v>
      </c>
      <c r="H4668" t="s">
        <v>14</v>
      </c>
      <c r="I4668" t="s">
        <v>15</v>
      </c>
      <c r="J4668">
        <v>2.9</v>
      </c>
      <c r="K4668">
        <v>14</v>
      </c>
      <c r="L4668">
        <f t="shared" si="217"/>
        <v>20.9754</v>
      </c>
      <c r="M4668">
        <v>2</v>
      </c>
      <c r="N4668" t="str">
        <f t="shared" si="218"/>
        <v>New</v>
      </c>
    </row>
    <row r="4669" spans="1:14" x14ac:dyDescent="0.35">
      <c r="A4669">
        <v>4668</v>
      </c>
      <c r="B4669">
        <v>42</v>
      </c>
      <c r="C4669" t="str">
        <f t="shared" si="216"/>
        <v>Adult</v>
      </c>
      <c r="D4669" t="s">
        <v>11</v>
      </c>
      <c r="E4669" t="s">
        <v>29</v>
      </c>
      <c r="F4669" t="s">
        <v>30</v>
      </c>
      <c r="G4669">
        <v>94.95</v>
      </c>
      <c r="H4669" t="s">
        <v>24</v>
      </c>
      <c r="I4669" t="s">
        <v>15</v>
      </c>
      <c r="J4669">
        <v>3.6</v>
      </c>
      <c r="K4669">
        <v>9</v>
      </c>
      <c r="L4669">
        <f t="shared" si="217"/>
        <v>86.404499999999999</v>
      </c>
      <c r="M4669">
        <v>2</v>
      </c>
      <c r="N4669" t="str">
        <f t="shared" si="218"/>
        <v>New</v>
      </c>
    </row>
    <row r="4670" spans="1:14" x14ac:dyDescent="0.35">
      <c r="A4670">
        <v>4669</v>
      </c>
      <c r="B4670">
        <v>60</v>
      </c>
      <c r="C4670" t="str">
        <f t="shared" si="216"/>
        <v>Adult</v>
      </c>
      <c r="D4670" t="s">
        <v>11</v>
      </c>
      <c r="E4670" t="s">
        <v>20</v>
      </c>
      <c r="F4670" t="s">
        <v>36</v>
      </c>
      <c r="G4670">
        <v>119.16</v>
      </c>
      <c r="H4670" t="s">
        <v>31</v>
      </c>
      <c r="I4670" t="s">
        <v>15</v>
      </c>
      <c r="J4670">
        <v>4.3</v>
      </c>
      <c r="K4670">
        <v>5</v>
      </c>
      <c r="L4670">
        <f t="shared" si="217"/>
        <v>113.202</v>
      </c>
      <c r="M4670">
        <v>0</v>
      </c>
      <c r="N4670" t="str">
        <f t="shared" si="218"/>
        <v>New</v>
      </c>
    </row>
    <row r="4671" spans="1:14" x14ac:dyDescent="0.35">
      <c r="A4671">
        <v>4670</v>
      </c>
      <c r="B4671">
        <v>66</v>
      </c>
      <c r="C4671" t="str">
        <f t="shared" si="216"/>
        <v>Senior</v>
      </c>
      <c r="D4671" t="s">
        <v>11</v>
      </c>
      <c r="E4671" t="s">
        <v>29</v>
      </c>
      <c r="F4671" t="s">
        <v>30</v>
      </c>
      <c r="G4671">
        <v>102.5</v>
      </c>
      <c r="H4671" t="s">
        <v>31</v>
      </c>
      <c r="I4671" t="s">
        <v>15</v>
      </c>
      <c r="J4671">
        <v>3.1</v>
      </c>
      <c r="K4671">
        <v>10</v>
      </c>
      <c r="L4671">
        <f t="shared" si="217"/>
        <v>92.25</v>
      </c>
      <c r="M4671">
        <v>5</v>
      </c>
      <c r="N4671" t="str">
        <f t="shared" si="218"/>
        <v>Regular</v>
      </c>
    </row>
    <row r="4672" spans="1:14" x14ac:dyDescent="0.35">
      <c r="A4672">
        <v>4671</v>
      </c>
      <c r="B4672">
        <v>54</v>
      </c>
      <c r="C4672" t="str">
        <f t="shared" si="216"/>
        <v>Adult</v>
      </c>
      <c r="D4672" t="s">
        <v>11</v>
      </c>
      <c r="E4672" t="s">
        <v>12</v>
      </c>
      <c r="F4672" t="s">
        <v>13</v>
      </c>
      <c r="G4672">
        <v>151.18</v>
      </c>
      <c r="H4672" t="s">
        <v>19</v>
      </c>
      <c r="I4672" t="s">
        <v>15</v>
      </c>
      <c r="J4672">
        <v>4.9000000000000004</v>
      </c>
      <c r="K4672">
        <v>11</v>
      </c>
      <c r="L4672">
        <f t="shared" si="217"/>
        <v>134.55020000000002</v>
      </c>
      <c r="M4672">
        <v>3</v>
      </c>
      <c r="N4672" t="str">
        <f t="shared" si="218"/>
        <v>New</v>
      </c>
    </row>
    <row r="4673" spans="1:14" x14ac:dyDescent="0.35">
      <c r="A4673">
        <v>4672</v>
      </c>
      <c r="B4673">
        <v>69</v>
      </c>
      <c r="C4673" t="str">
        <f t="shared" si="216"/>
        <v>Senior</v>
      </c>
      <c r="D4673" t="s">
        <v>16</v>
      </c>
      <c r="E4673" t="s">
        <v>17</v>
      </c>
      <c r="F4673" t="s">
        <v>42</v>
      </c>
      <c r="G4673">
        <v>172.82</v>
      </c>
      <c r="H4673" t="s">
        <v>14</v>
      </c>
      <c r="I4673" t="s">
        <v>15</v>
      </c>
      <c r="J4673">
        <v>3.2</v>
      </c>
      <c r="K4673">
        <v>17</v>
      </c>
      <c r="L4673">
        <f t="shared" si="217"/>
        <v>143.44059999999999</v>
      </c>
      <c r="M4673">
        <v>6</v>
      </c>
      <c r="N4673" t="str">
        <f t="shared" si="218"/>
        <v>Regular</v>
      </c>
    </row>
    <row r="4674" spans="1:14" x14ac:dyDescent="0.35">
      <c r="A4674">
        <v>4673</v>
      </c>
      <c r="B4674">
        <v>59</v>
      </c>
      <c r="C4674" t="str">
        <f t="shared" si="216"/>
        <v>Adult</v>
      </c>
      <c r="D4674" t="s">
        <v>16</v>
      </c>
      <c r="E4674" t="s">
        <v>20</v>
      </c>
      <c r="F4674" t="s">
        <v>39</v>
      </c>
      <c r="G4674">
        <v>181.52</v>
      </c>
      <c r="H4674" t="s">
        <v>19</v>
      </c>
      <c r="I4674" t="s">
        <v>15</v>
      </c>
      <c r="J4674">
        <v>4.4000000000000004</v>
      </c>
      <c r="K4674">
        <v>20</v>
      </c>
      <c r="L4674">
        <f t="shared" si="217"/>
        <v>145.21600000000001</v>
      </c>
      <c r="M4674">
        <v>5</v>
      </c>
      <c r="N4674" t="str">
        <f t="shared" si="218"/>
        <v>Regular</v>
      </c>
    </row>
    <row r="4675" spans="1:14" x14ac:dyDescent="0.35">
      <c r="A4675">
        <v>4674</v>
      </c>
      <c r="B4675">
        <v>23</v>
      </c>
      <c r="C4675" t="str">
        <f t="shared" ref="C4675:C4738" si="219">IF(B4675&lt;=30,"Youth",IF(B4675&lt;=45,"Adult",IF(B4675&lt;=60,"Adult","Senior")))</f>
        <v>Youth</v>
      </c>
      <c r="D4675" t="s">
        <v>11</v>
      </c>
      <c r="E4675" t="s">
        <v>12</v>
      </c>
      <c r="F4675" t="s">
        <v>13</v>
      </c>
      <c r="G4675">
        <v>120.86</v>
      </c>
      <c r="H4675" t="s">
        <v>19</v>
      </c>
      <c r="I4675" t="s">
        <v>15</v>
      </c>
      <c r="J4675">
        <v>3.9</v>
      </c>
      <c r="K4675">
        <v>8</v>
      </c>
      <c r="L4675">
        <f t="shared" ref="L4675:L4738" si="220">G4675*(1-K4675/100)</f>
        <v>111.19120000000001</v>
      </c>
      <c r="M4675">
        <v>4</v>
      </c>
      <c r="N4675" t="str">
        <f t="shared" ref="N4675:N4738" si="221">IF(M4675&lt;=3,"New",IF(M4675&lt;=7,"Regular","Loyal"))</f>
        <v>Regular</v>
      </c>
    </row>
    <row r="4676" spans="1:14" x14ac:dyDescent="0.35">
      <c r="A4676">
        <v>4675</v>
      </c>
      <c r="B4676">
        <v>45</v>
      </c>
      <c r="C4676" t="str">
        <f t="shared" si="219"/>
        <v>Adult</v>
      </c>
      <c r="D4676" t="s">
        <v>16</v>
      </c>
      <c r="E4676" t="s">
        <v>20</v>
      </c>
      <c r="F4676" t="s">
        <v>36</v>
      </c>
      <c r="G4676">
        <v>153.69999999999999</v>
      </c>
      <c r="H4676" t="s">
        <v>19</v>
      </c>
      <c r="I4676" t="s">
        <v>15</v>
      </c>
      <c r="J4676">
        <v>2.9</v>
      </c>
      <c r="K4676">
        <v>12</v>
      </c>
      <c r="L4676">
        <f t="shared" si="220"/>
        <v>135.256</v>
      </c>
      <c r="M4676">
        <v>6</v>
      </c>
      <c r="N4676" t="str">
        <f t="shared" si="221"/>
        <v>Regular</v>
      </c>
    </row>
    <row r="4677" spans="1:14" x14ac:dyDescent="0.35">
      <c r="A4677">
        <v>4676</v>
      </c>
      <c r="B4677">
        <v>55</v>
      </c>
      <c r="C4677" t="str">
        <f t="shared" si="219"/>
        <v>Adult</v>
      </c>
      <c r="D4677" t="s">
        <v>11</v>
      </c>
      <c r="E4677" t="s">
        <v>33</v>
      </c>
      <c r="F4677" t="s">
        <v>40</v>
      </c>
      <c r="G4677">
        <v>220.12</v>
      </c>
      <c r="H4677" t="s">
        <v>19</v>
      </c>
      <c r="I4677" t="s">
        <v>15</v>
      </c>
      <c r="J4677">
        <v>3.7</v>
      </c>
      <c r="K4677">
        <v>15</v>
      </c>
      <c r="L4677">
        <f t="shared" si="220"/>
        <v>187.102</v>
      </c>
      <c r="M4677">
        <v>5</v>
      </c>
      <c r="N4677" t="str">
        <f t="shared" si="221"/>
        <v>Regular</v>
      </c>
    </row>
    <row r="4678" spans="1:14" x14ac:dyDescent="0.35">
      <c r="A4678">
        <v>4677</v>
      </c>
      <c r="B4678">
        <v>56</v>
      </c>
      <c r="C4678" t="str">
        <f t="shared" si="219"/>
        <v>Adult</v>
      </c>
      <c r="D4678" t="s">
        <v>16</v>
      </c>
      <c r="E4678" t="s">
        <v>33</v>
      </c>
      <c r="F4678" t="s">
        <v>34</v>
      </c>
      <c r="G4678">
        <v>197.64</v>
      </c>
      <c r="H4678" t="s">
        <v>24</v>
      </c>
      <c r="I4678" t="s">
        <v>15</v>
      </c>
      <c r="J4678">
        <v>3.8</v>
      </c>
      <c r="K4678">
        <v>21</v>
      </c>
      <c r="L4678">
        <f t="shared" si="220"/>
        <v>156.13559999999998</v>
      </c>
      <c r="M4678">
        <v>8</v>
      </c>
      <c r="N4678" t="str">
        <f t="shared" si="221"/>
        <v>Loyal</v>
      </c>
    </row>
    <row r="4679" spans="1:14" x14ac:dyDescent="0.35">
      <c r="A4679">
        <v>4678</v>
      </c>
      <c r="B4679">
        <v>37</v>
      </c>
      <c r="C4679" t="str">
        <f t="shared" si="219"/>
        <v>Adult</v>
      </c>
      <c r="D4679" t="s">
        <v>11</v>
      </c>
      <c r="E4679" t="s">
        <v>12</v>
      </c>
      <c r="F4679" t="s">
        <v>50</v>
      </c>
      <c r="G4679">
        <v>172.67</v>
      </c>
      <c r="H4679" t="s">
        <v>14</v>
      </c>
      <c r="I4679" t="s">
        <v>15</v>
      </c>
      <c r="J4679">
        <v>3.4</v>
      </c>
      <c r="K4679">
        <v>11</v>
      </c>
      <c r="L4679">
        <f t="shared" si="220"/>
        <v>153.6763</v>
      </c>
      <c r="M4679">
        <v>3</v>
      </c>
      <c r="N4679" t="str">
        <f t="shared" si="221"/>
        <v>New</v>
      </c>
    </row>
    <row r="4680" spans="1:14" x14ac:dyDescent="0.35">
      <c r="A4680">
        <v>4679</v>
      </c>
      <c r="B4680">
        <v>26</v>
      </c>
      <c r="C4680" t="str">
        <f t="shared" si="219"/>
        <v>Youth</v>
      </c>
      <c r="D4680" t="s">
        <v>16</v>
      </c>
      <c r="E4680" t="s">
        <v>17</v>
      </c>
      <c r="F4680" t="s">
        <v>42</v>
      </c>
      <c r="G4680">
        <v>146.24</v>
      </c>
      <c r="H4680" t="s">
        <v>31</v>
      </c>
      <c r="I4680" t="s">
        <v>15</v>
      </c>
      <c r="J4680">
        <v>4.4000000000000004</v>
      </c>
      <c r="K4680">
        <v>23</v>
      </c>
      <c r="L4680">
        <f t="shared" si="220"/>
        <v>112.60480000000001</v>
      </c>
      <c r="M4680">
        <v>9</v>
      </c>
      <c r="N4680" t="str">
        <f t="shared" si="221"/>
        <v>Loyal</v>
      </c>
    </row>
    <row r="4681" spans="1:14" x14ac:dyDescent="0.35">
      <c r="A4681">
        <v>4680</v>
      </c>
      <c r="B4681">
        <v>29</v>
      </c>
      <c r="C4681" t="str">
        <f t="shared" si="219"/>
        <v>Youth</v>
      </c>
      <c r="D4681" t="s">
        <v>11</v>
      </c>
      <c r="E4681" t="s">
        <v>12</v>
      </c>
      <c r="F4681" t="s">
        <v>13</v>
      </c>
      <c r="G4681">
        <v>22.75</v>
      </c>
      <c r="H4681" t="s">
        <v>19</v>
      </c>
      <c r="I4681" t="s">
        <v>15</v>
      </c>
      <c r="J4681">
        <v>4.2</v>
      </c>
      <c r="K4681">
        <v>24</v>
      </c>
      <c r="L4681">
        <f t="shared" si="220"/>
        <v>17.29</v>
      </c>
      <c r="M4681">
        <v>7</v>
      </c>
      <c r="N4681" t="str">
        <f t="shared" si="221"/>
        <v>Regular</v>
      </c>
    </row>
    <row r="4682" spans="1:14" x14ac:dyDescent="0.35">
      <c r="A4682">
        <v>4681</v>
      </c>
      <c r="B4682">
        <v>27</v>
      </c>
      <c r="C4682" t="str">
        <f t="shared" si="219"/>
        <v>Youth</v>
      </c>
      <c r="D4682" t="s">
        <v>16</v>
      </c>
      <c r="E4682" t="s">
        <v>20</v>
      </c>
      <c r="F4682" t="s">
        <v>36</v>
      </c>
      <c r="G4682">
        <v>229.25</v>
      </c>
      <c r="H4682" t="s">
        <v>19</v>
      </c>
      <c r="I4682" t="s">
        <v>15</v>
      </c>
      <c r="J4682">
        <v>4.0999999999999996</v>
      </c>
      <c r="K4682">
        <v>30</v>
      </c>
      <c r="L4682">
        <f t="shared" si="220"/>
        <v>160.47499999999999</v>
      </c>
      <c r="M4682">
        <v>10</v>
      </c>
      <c r="N4682" t="str">
        <f t="shared" si="221"/>
        <v>Loyal</v>
      </c>
    </row>
    <row r="4683" spans="1:14" x14ac:dyDescent="0.35">
      <c r="A4683">
        <v>4682</v>
      </c>
      <c r="B4683">
        <v>40</v>
      </c>
      <c r="C4683" t="str">
        <f t="shared" si="219"/>
        <v>Adult</v>
      </c>
      <c r="D4683" t="s">
        <v>16</v>
      </c>
      <c r="E4683" t="s">
        <v>27</v>
      </c>
      <c r="F4683" t="s">
        <v>49</v>
      </c>
      <c r="G4683">
        <v>2163.41</v>
      </c>
      <c r="H4683" t="s">
        <v>19</v>
      </c>
      <c r="I4683" t="s">
        <v>15</v>
      </c>
      <c r="J4683">
        <v>3.9</v>
      </c>
      <c r="K4683">
        <v>11</v>
      </c>
      <c r="L4683">
        <f t="shared" si="220"/>
        <v>1925.4349</v>
      </c>
      <c r="M4683">
        <v>3</v>
      </c>
      <c r="N4683" t="str">
        <f t="shared" si="221"/>
        <v>New</v>
      </c>
    </row>
    <row r="4684" spans="1:14" x14ac:dyDescent="0.35">
      <c r="A4684">
        <v>4683</v>
      </c>
      <c r="B4684">
        <v>42</v>
      </c>
      <c r="C4684" t="str">
        <f t="shared" si="219"/>
        <v>Adult</v>
      </c>
      <c r="D4684" t="s">
        <v>11</v>
      </c>
      <c r="E4684" t="s">
        <v>33</v>
      </c>
      <c r="F4684" t="s">
        <v>40</v>
      </c>
      <c r="G4684">
        <v>222.57</v>
      </c>
      <c r="H4684" t="s">
        <v>24</v>
      </c>
      <c r="I4684" t="s">
        <v>15</v>
      </c>
      <c r="J4684">
        <v>3.3</v>
      </c>
      <c r="K4684">
        <v>12</v>
      </c>
      <c r="L4684">
        <f t="shared" si="220"/>
        <v>195.86159999999998</v>
      </c>
      <c r="M4684">
        <v>6</v>
      </c>
      <c r="N4684" t="str">
        <f t="shared" si="221"/>
        <v>Regular</v>
      </c>
    </row>
    <row r="4685" spans="1:14" x14ac:dyDescent="0.35">
      <c r="A4685">
        <v>4684</v>
      </c>
      <c r="B4685">
        <v>23</v>
      </c>
      <c r="C4685" t="str">
        <f t="shared" si="219"/>
        <v>Youth</v>
      </c>
      <c r="D4685" t="s">
        <v>11</v>
      </c>
      <c r="E4685" t="s">
        <v>41</v>
      </c>
      <c r="F4685" t="s">
        <v>44</v>
      </c>
      <c r="G4685">
        <v>75.36</v>
      </c>
      <c r="H4685" t="s">
        <v>19</v>
      </c>
      <c r="I4685" t="s">
        <v>37</v>
      </c>
      <c r="J4685">
        <v>3.2</v>
      </c>
      <c r="K4685">
        <v>15</v>
      </c>
      <c r="L4685">
        <f t="shared" si="220"/>
        <v>64.055999999999997</v>
      </c>
      <c r="M4685">
        <v>5</v>
      </c>
      <c r="N4685" t="str">
        <f t="shared" si="221"/>
        <v>Regular</v>
      </c>
    </row>
    <row r="4686" spans="1:14" x14ac:dyDescent="0.35">
      <c r="A4686">
        <v>4685</v>
      </c>
      <c r="B4686">
        <v>68</v>
      </c>
      <c r="C4686" t="str">
        <f t="shared" si="219"/>
        <v>Senior</v>
      </c>
      <c r="D4686" t="s">
        <v>16</v>
      </c>
      <c r="E4686" t="s">
        <v>27</v>
      </c>
      <c r="F4686" t="s">
        <v>32</v>
      </c>
      <c r="G4686">
        <v>1944.68</v>
      </c>
      <c r="H4686" t="s">
        <v>19</v>
      </c>
      <c r="I4686" t="s">
        <v>15</v>
      </c>
      <c r="J4686">
        <v>2.4</v>
      </c>
      <c r="K4686">
        <v>18</v>
      </c>
      <c r="L4686">
        <f t="shared" si="220"/>
        <v>1594.6376000000002</v>
      </c>
      <c r="M4686">
        <v>4</v>
      </c>
      <c r="N4686" t="str">
        <f t="shared" si="221"/>
        <v>Regular</v>
      </c>
    </row>
    <row r="4687" spans="1:14" x14ac:dyDescent="0.35">
      <c r="A4687">
        <v>4686</v>
      </c>
      <c r="B4687">
        <v>22</v>
      </c>
      <c r="C4687" t="str">
        <f t="shared" si="219"/>
        <v>Youth</v>
      </c>
      <c r="D4687" t="s">
        <v>16</v>
      </c>
      <c r="E4687" t="s">
        <v>20</v>
      </c>
      <c r="F4687" t="s">
        <v>36</v>
      </c>
      <c r="G4687">
        <v>40.119999999999997</v>
      </c>
      <c r="H4687" t="s">
        <v>31</v>
      </c>
      <c r="I4687" t="s">
        <v>37</v>
      </c>
      <c r="J4687">
        <v>4.2</v>
      </c>
      <c r="K4687">
        <v>9</v>
      </c>
      <c r="L4687">
        <f t="shared" si="220"/>
        <v>36.5092</v>
      </c>
      <c r="M4687">
        <v>2</v>
      </c>
      <c r="N4687" t="str">
        <f t="shared" si="221"/>
        <v>New</v>
      </c>
    </row>
    <row r="4688" spans="1:14" x14ac:dyDescent="0.35">
      <c r="A4688">
        <v>4687</v>
      </c>
      <c r="B4688">
        <v>54</v>
      </c>
      <c r="C4688" t="str">
        <f t="shared" si="219"/>
        <v>Adult</v>
      </c>
      <c r="D4688" t="s">
        <v>11</v>
      </c>
      <c r="E4688" t="s">
        <v>20</v>
      </c>
      <c r="F4688" t="s">
        <v>36</v>
      </c>
      <c r="G4688">
        <v>48.75</v>
      </c>
      <c r="H4688" t="s">
        <v>24</v>
      </c>
      <c r="I4688" t="s">
        <v>37</v>
      </c>
      <c r="J4688">
        <v>3.8</v>
      </c>
      <c r="K4688">
        <v>18</v>
      </c>
      <c r="L4688">
        <f t="shared" si="220"/>
        <v>39.975000000000001</v>
      </c>
      <c r="M4688">
        <v>4</v>
      </c>
      <c r="N4688" t="str">
        <f t="shared" si="221"/>
        <v>Regular</v>
      </c>
    </row>
    <row r="4689" spans="1:14" x14ac:dyDescent="0.35">
      <c r="A4689">
        <v>4688</v>
      </c>
      <c r="B4689">
        <v>50</v>
      </c>
      <c r="C4689" t="str">
        <f t="shared" si="219"/>
        <v>Adult</v>
      </c>
      <c r="D4689" t="s">
        <v>11</v>
      </c>
      <c r="E4689" t="s">
        <v>25</v>
      </c>
      <c r="F4689" t="s">
        <v>47</v>
      </c>
      <c r="G4689">
        <v>43.15</v>
      </c>
      <c r="H4689" t="s">
        <v>24</v>
      </c>
      <c r="I4689" t="s">
        <v>15</v>
      </c>
      <c r="J4689">
        <v>3.5</v>
      </c>
      <c r="K4689">
        <v>20</v>
      </c>
      <c r="L4689">
        <f t="shared" si="220"/>
        <v>34.520000000000003</v>
      </c>
      <c r="M4689">
        <v>5</v>
      </c>
      <c r="N4689" t="str">
        <f t="shared" si="221"/>
        <v>Regular</v>
      </c>
    </row>
    <row r="4690" spans="1:14" x14ac:dyDescent="0.35">
      <c r="A4690">
        <v>4689</v>
      </c>
      <c r="B4690">
        <v>34</v>
      </c>
      <c r="C4690" t="str">
        <f t="shared" si="219"/>
        <v>Adult</v>
      </c>
      <c r="D4690" t="s">
        <v>16</v>
      </c>
      <c r="E4690" t="s">
        <v>20</v>
      </c>
      <c r="F4690" t="s">
        <v>21</v>
      </c>
      <c r="G4690">
        <v>246.17</v>
      </c>
      <c r="H4690" t="s">
        <v>24</v>
      </c>
      <c r="I4690" t="s">
        <v>15</v>
      </c>
      <c r="J4690">
        <v>3.1</v>
      </c>
      <c r="K4690">
        <v>17</v>
      </c>
      <c r="L4690">
        <f t="shared" si="220"/>
        <v>204.32109999999997</v>
      </c>
      <c r="M4690">
        <v>6</v>
      </c>
      <c r="N4690" t="str">
        <f t="shared" si="221"/>
        <v>Regular</v>
      </c>
    </row>
    <row r="4691" spans="1:14" x14ac:dyDescent="0.35">
      <c r="A4691">
        <v>4690</v>
      </c>
      <c r="B4691">
        <v>28</v>
      </c>
      <c r="C4691" t="str">
        <f t="shared" si="219"/>
        <v>Youth</v>
      </c>
      <c r="D4691" t="s">
        <v>16</v>
      </c>
      <c r="E4691" t="s">
        <v>17</v>
      </c>
      <c r="F4691" t="s">
        <v>35</v>
      </c>
      <c r="G4691">
        <v>185.01</v>
      </c>
      <c r="H4691" t="s">
        <v>24</v>
      </c>
      <c r="I4691" t="s">
        <v>15</v>
      </c>
      <c r="J4691">
        <v>4.0999999999999996</v>
      </c>
      <c r="K4691">
        <v>13</v>
      </c>
      <c r="L4691">
        <f t="shared" si="220"/>
        <v>160.95869999999999</v>
      </c>
      <c r="M4691">
        <v>4</v>
      </c>
      <c r="N4691" t="str">
        <f t="shared" si="221"/>
        <v>Regular</v>
      </c>
    </row>
    <row r="4692" spans="1:14" x14ac:dyDescent="0.35">
      <c r="A4692">
        <v>4691</v>
      </c>
      <c r="B4692">
        <v>32</v>
      </c>
      <c r="C4692" t="str">
        <f t="shared" si="219"/>
        <v>Adult</v>
      </c>
      <c r="D4692" t="s">
        <v>16</v>
      </c>
      <c r="E4692" t="s">
        <v>17</v>
      </c>
      <c r="F4692" t="s">
        <v>42</v>
      </c>
      <c r="G4692">
        <v>81.069999999999993</v>
      </c>
      <c r="H4692" t="s">
        <v>31</v>
      </c>
      <c r="I4692" t="s">
        <v>15</v>
      </c>
      <c r="J4692">
        <v>3.8</v>
      </c>
      <c r="K4692">
        <v>24</v>
      </c>
      <c r="L4692">
        <f t="shared" si="220"/>
        <v>61.613199999999999</v>
      </c>
      <c r="M4692">
        <v>7</v>
      </c>
      <c r="N4692" t="str">
        <f t="shared" si="221"/>
        <v>Regular</v>
      </c>
    </row>
    <row r="4693" spans="1:14" x14ac:dyDescent="0.35">
      <c r="A4693">
        <v>4692</v>
      </c>
      <c r="B4693">
        <v>50</v>
      </c>
      <c r="C4693" t="str">
        <f t="shared" si="219"/>
        <v>Adult</v>
      </c>
      <c r="D4693" t="s">
        <v>16</v>
      </c>
      <c r="E4693" t="s">
        <v>17</v>
      </c>
      <c r="F4693" t="s">
        <v>35</v>
      </c>
      <c r="G4693">
        <v>108.87</v>
      </c>
      <c r="H4693" t="s">
        <v>19</v>
      </c>
      <c r="I4693" t="s">
        <v>15</v>
      </c>
      <c r="J4693">
        <v>4</v>
      </c>
      <c r="K4693">
        <v>12</v>
      </c>
      <c r="L4693">
        <f t="shared" si="220"/>
        <v>95.805599999999998</v>
      </c>
      <c r="M4693">
        <v>6</v>
      </c>
      <c r="N4693" t="str">
        <f t="shared" si="221"/>
        <v>Regular</v>
      </c>
    </row>
    <row r="4694" spans="1:14" x14ac:dyDescent="0.35">
      <c r="A4694">
        <v>4693</v>
      </c>
      <c r="B4694">
        <v>34</v>
      </c>
      <c r="C4694" t="str">
        <f t="shared" si="219"/>
        <v>Adult</v>
      </c>
      <c r="D4694" t="s">
        <v>11</v>
      </c>
      <c r="E4694" t="s">
        <v>12</v>
      </c>
      <c r="F4694" t="s">
        <v>13</v>
      </c>
      <c r="G4694">
        <v>52.23</v>
      </c>
      <c r="H4694" t="s">
        <v>19</v>
      </c>
      <c r="I4694" t="s">
        <v>15</v>
      </c>
      <c r="J4694">
        <v>3.7</v>
      </c>
      <c r="K4694">
        <v>15</v>
      </c>
      <c r="L4694">
        <f t="shared" si="220"/>
        <v>44.395499999999998</v>
      </c>
      <c r="M4694">
        <v>5</v>
      </c>
      <c r="N4694" t="str">
        <f t="shared" si="221"/>
        <v>Regular</v>
      </c>
    </row>
    <row r="4695" spans="1:14" x14ac:dyDescent="0.35">
      <c r="A4695">
        <v>4694</v>
      </c>
      <c r="B4695">
        <v>60</v>
      </c>
      <c r="C4695" t="str">
        <f t="shared" si="219"/>
        <v>Adult</v>
      </c>
      <c r="D4695" t="s">
        <v>11</v>
      </c>
      <c r="E4695" t="s">
        <v>12</v>
      </c>
      <c r="F4695" t="s">
        <v>56</v>
      </c>
      <c r="G4695">
        <v>129.80000000000001</v>
      </c>
      <c r="H4695" t="s">
        <v>19</v>
      </c>
      <c r="I4695" t="s">
        <v>15</v>
      </c>
      <c r="J4695">
        <v>4</v>
      </c>
      <c r="K4695">
        <v>24</v>
      </c>
      <c r="L4695">
        <f t="shared" si="220"/>
        <v>98.64800000000001</v>
      </c>
      <c r="M4695">
        <v>7</v>
      </c>
      <c r="N4695" t="str">
        <f t="shared" si="221"/>
        <v>Regular</v>
      </c>
    </row>
    <row r="4696" spans="1:14" x14ac:dyDescent="0.35">
      <c r="A4696">
        <v>4695</v>
      </c>
      <c r="B4696">
        <v>59</v>
      </c>
      <c r="C4696" t="str">
        <f t="shared" si="219"/>
        <v>Adult</v>
      </c>
      <c r="D4696" t="s">
        <v>16</v>
      </c>
      <c r="E4696" t="s">
        <v>17</v>
      </c>
      <c r="F4696" t="s">
        <v>48</v>
      </c>
      <c r="G4696">
        <v>115.65</v>
      </c>
      <c r="H4696" t="s">
        <v>24</v>
      </c>
      <c r="I4696" t="s">
        <v>15</v>
      </c>
      <c r="J4696">
        <v>4.8</v>
      </c>
      <c r="K4696">
        <v>15</v>
      </c>
      <c r="L4696">
        <f t="shared" si="220"/>
        <v>98.302500000000009</v>
      </c>
      <c r="M4696">
        <v>5</v>
      </c>
      <c r="N4696" t="str">
        <f t="shared" si="221"/>
        <v>Regular</v>
      </c>
    </row>
    <row r="4697" spans="1:14" x14ac:dyDescent="0.35">
      <c r="A4697">
        <v>4696</v>
      </c>
      <c r="B4697">
        <v>40</v>
      </c>
      <c r="C4697" t="str">
        <f t="shared" si="219"/>
        <v>Adult</v>
      </c>
      <c r="D4697" t="s">
        <v>11</v>
      </c>
      <c r="E4697" t="s">
        <v>25</v>
      </c>
      <c r="F4697" t="s">
        <v>47</v>
      </c>
      <c r="G4697">
        <v>25.94</v>
      </c>
      <c r="H4697" t="s">
        <v>31</v>
      </c>
      <c r="I4697" t="s">
        <v>37</v>
      </c>
      <c r="J4697">
        <v>3.3</v>
      </c>
      <c r="K4697">
        <v>9</v>
      </c>
      <c r="L4697">
        <f t="shared" si="220"/>
        <v>23.605400000000003</v>
      </c>
      <c r="M4697">
        <v>2</v>
      </c>
      <c r="N4697" t="str">
        <f t="shared" si="221"/>
        <v>New</v>
      </c>
    </row>
    <row r="4698" spans="1:14" x14ac:dyDescent="0.35">
      <c r="A4698">
        <v>4697</v>
      </c>
      <c r="B4698">
        <v>66</v>
      </c>
      <c r="C4698" t="str">
        <f t="shared" si="219"/>
        <v>Senior</v>
      </c>
      <c r="D4698" t="s">
        <v>11</v>
      </c>
      <c r="E4698" t="s">
        <v>41</v>
      </c>
      <c r="F4698" t="s">
        <v>45</v>
      </c>
      <c r="G4698">
        <v>101.87</v>
      </c>
      <c r="H4698" t="s">
        <v>19</v>
      </c>
      <c r="I4698" t="s">
        <v>15</v>
      </c>
      <c r="J4698">
        <v>3.3</v>
      </c>
      <c r="K4698">
        <v>11</v>
      </c>
      <c r="L4698">
        <f t="shared" si="220"/>
        <v>90.664300000000011</v>
      </c>
      <c r="M4698">
        <v>3</v>
      </c>
      <c r="N4698" t="str">
        <f t="shared" si="221"/>
        <v>New</v>
      </c>
    </row>
    <row r="4699" spans="1:14" x14ac:dyDescent="0.35">
      <c r="A4699">
        <v>4698</v>
      </c>
      <c r="B4699">
        <v>44</v>
      </c>
      <c r="C4699" t="str">
        <f t="shared" si="219"/>
        <v>Adult</v>
      </c>
      <c r="D4699" t="s">
        <v>11</v>
      </c>
      <c r="E4699" t="s">
        <v>29</v>
      </c>
      <c r="F4699" t="s">
        <v>30</v>
      </c>
      <c r="G4699">
        <v>106.04</v>
      </c>
      <c r="H4699" t="s">
        <v>19</v>
      </c>
      <c r="I4699" t="s">
        <v>15</v>
      </c>
      <c r="J4699">
        <v>3.6</v>
      </c>
      <c r="K4699">
        <v>17</v>
      </c>
      <c r="L4699">
        <f t="shared" si="220"/>
        <v>88.013199999999998</v>
      </c>
      <c r="M4699">
        <v>6</v>
      </c>
      <c r="N4699" t="str">
        <f t="shared" si="221"/>
        <v>Regular</v>
      </c>
    </row>
    <row r="4700" spans="1:14" x14ac:dyDescent="0.35">
      <c r="A4700">
        <v>4699</v>
      </c>
      <c r="B4700">
        <v>43</v>
      </c>
      <c r="C4700" t="str">
        <f t="shared" si="219"/>
        <v>Adult</v>
      </c>
      <c r="D4700" t="s">
        <v>11</v>
      </c>
      <c r="E4700" t="s">
        <v>33</v>
      </c>
      <c r="F4700" t="s">
        <v>40</v>
      </c>
      <c r="G4700">
        <v>200.13</v>
      </c>
      <c r="H4700" t="s">
        <v>14</v>
      </c>
      <c r="I4700" t="s">
        <v>15</v>
      </c>
      <c r="J4700">
        <v>4</v>
      </c>
      <c r="K4700">
        <v>17</v>
      </c>
      <c r="L4700">
        <f t="shared" si="220"/>
        <v>166.1079</v>
      </c>
      <c r="M4700">
        <v>6</v>
      </c>
      <c r="N4700" t="str">
        <f t="shared" si="221"/>
        <v>Regular</v>
      </c>
    </row>
    <row r="4701" spans="1:14" x14ac:dyDescent="0.35">
      <c r="A4701">
        <v>4700</v>
      </c>
      <c r="B4701">
        <v>60</v>
      </c>
      <c r="C4701" t="str">
        <f t="shared" si="219"/>
        <v>Adult</v>
      </c>
      <c r="D4701" t="s">
        <v>16</v>
      </c>
      <c r="E4701" t="s">
        <v>33</v>
      </c>
      <c r="F4701" t="s">
        <v>40</v>
      </c>
      <c r="G4701">
        <v>210.29</v>
      </c>
      <c r="H4701" t="s">
        <v>31</v>
      </c>
      <c r="I4701" t="s">
        <v>15</v>
      </c>
      <c r="J4701">
        <v>4.8</v>
      </c>
      <c r="K4701">
        <v>15</v>
      </c>
      <c r="L4701">
        <f t="shared" si="220"/>
        <v>178.7465</v>
      </c>
      <c r="M4701">
        <v>5</v>
      </c>
      <c r="N4701" t="str">
        <f t="shared" si="221"/>
        <v>Regular</v>
      </c>
    </row>
    <row r="4702" spans="1:14" x14ac:dyDescent="0.35">
      <c r="A4702">
        <v>4701</v>
      </c>
      <c r="B4702">
        <v>41</v>
      </c>
      <c r="C4702" t="str">
        <f t="shared" si="219"/>
        <v>Adult</v>
      </c>
      <c r="D4702" t="s">
        <v>11</v>
      </c>
      <c r="E4702" t="s">
        <v>41</v>
      </c>
      <c r="F4702" t="s">
        <v>42</v>
      </c>
      <c r="G4702">
        <v>41.5</v>
      </c>
      <c r="H4702" t="s">
        <v>24</v>
      </c>
      <c r="I4702" t="s">
        <v>15</v>
      </c>
      <c r="J4702">
        <v>4.0999999999999996</v>
      </c>
      <c r="K4702">
        <v>13</v>
      </c>
      <c r="L4702">
        <f t="shared" si="220"/>
        <v>36.104999999999997</v>
      </c>
      <c r="M4702">
        <v>4</v>
      </c>
      <c r="N4702" t="str">
        <f t="shared" si="221"/>
        <v>Regular</v>
      </c>
    </row>
    <row r="4703" spans="1:14" x14ac:dyDescent="0.35">
      <c r="A4703">
        <v>4702</v>
      </c>
      <c r="B4703">
        <v>32</v>
      </c>
      <c r="C4703" t="str">
        <f t="shared" si="219"/>
        <v>Adult</v>
      </c>
      <c r="D4703" t="s">
        <v>16</v>
      </c>
      <c r="E4703" t="s">
        <v>20</v>
      </c>
      <c r="F4703" t="s">
        <v>39</v>
      </c>
      <c r="G4703">
        <v>186.57</v>
      </c>
      <c r="H4703" t="s">
        <v>31</v>
      </c>
      <c r="I4703" t="s">
        <v>15</v>
      </c>
      <c r="J4703">
        <v>3.2</v>
      </c>
      <c r="K4703">
        <v>12</v>
      </c>
      <c r="L4703">
        <f t="shared" si="220"/>
        <v>164.1816</v>
      </c>
      <c r="M4703">
        <v>6</v>
      </c>
      <c r="N4703" t="str">
        <f t="shared" si="221"/>
        <v>Regular</v>
      </c>
    </row>
    <row r="4704" spans="1:14" x14ac:dyDescent="0.35">
      <c r="A4704">
        <v>4703</v>
      </c>
      <c r="B4704">
        <v>42</v>
      </c>
      <c r="C4704" t="str">
        <f t="shared" si="219"/>
        <v>Adult</v>
      </c>
      <c r="D4704" t="s">
        <v>16</v>
      </c>
      <c r="E4704" t="s">
        <v>17</v>
      </c>
      <c r="F4704" t="s">
        <v>35</v>
      </c>
      <c r="G4704">
        <v>189.79</v>
      </c>
      <c r="H4704" t="s">
        <v>24</v>
      </c>
      <c r="I4704" t="s">
        <v>15</v>
      </c>
      <c r="J4704">
        <v>3</v>
      </c>
      <c r="K4704">
        <v>14</v>
      </c>
      <c r="L4704">
        <f t="shared" si="220"/>
        <v>163.21939999999998</v>
      </c>
      <c r="M4704">
        <v>7</v>
      </c>
      <c r="N4704" t="str">
        <f t="shared" si="221"/>
        <v>Regular</v>
      </c>
    </row>
    <row r="4705" spans="1:14" x14ac:dyDescent="0.35">
      <c r="A4705">
        <v>4704</v>
      </c>
      <c r="B4705">
        <v>30</v>
      </c>
      <c r="C4705" t="str">
        <f t="shared" si="219"/>
        <v>Youth</v>
      </c>
      <c r="D4705" t="s">
        <v>16</v>
      </c>
      <c r="E4705" t="s">
        <v>25</v>
      </c>
      <c r="F4705" t="s">
        <v>54</v>
      </c>
      <c r="G4705">
        <v>63.78</v>
      </c>
      <c r="H4705" t="s">
        <v>24</v>
      </c>
      <c r="I4705" t="s">
        <v>37</v>
      </c>
      <c r="J4705">
        <v>4.4000000000000004</v>
      </c>
      <c r="K4705">
        <v>21</v>
      </c>
      <c r="L4705">
        <f t="shared" si="220"/>
        <v>50.386200000000002</v>
      </c>
      <c r="M4705">
        <v>8</v>
      </c>
      <c r="N4705" t="str">
        <f t="shared" si="221"/>
        <v>Loyal</v>
      </c>
    </row>
    <row r="4706" spans="1:14" x14ac:dyDescent="0.35">
      <c r="A4706">
        <v>4705</v>
      </c>
      <c r="B4706">
        <v>25</v>
      </c>
      <c r="C4706" t="str">
        <f t="shared" si="219"/>
        <v>Youth</v>
      </c>
      <c r="D4706" t="s">
        <v>11</v>
      </c>
      <c r="E4706" t="s">
        <v>41</v>
      </c>
      <c r="F4706" t="s">
        <v>44</v>
      </c>
      <c r="G4706">
        <v>161.91</v>
      </c>
      <c r="H4706" t="s">
        <v>24</v>
      </c>
      <c r="I4706" t="s">
        <v>15</v>
      </c>
      <c r="J4706">
        <v>3.6</v>
      </c>
      <c r="K4706">
        <v>14</v>
      </c>
      <c r="L4706">
        <f t="shared" si="220"/>
        <v>139.24259999999998</v>
      </c>
      <c r="M4706">
        <v>7</v>
      </c>
      <c r="N4706" t="str">
        <f t="shared" si="221"/>
        <v>Regular</v>
      </c>
    </row>
    <row r="4707" spans="1:14" x14ac:dyDescent="0.35">
      <c r="A4707">
        <v>4706</v>
      </c>
      <c r="B4707">
        <v>54</v>
      </c>
      <c r="C4707" t="str">
        <f t="shared" si="219"/>
        <v>Adult</v>
      </c>
      <c r="D4707" t="s">
        <v>16</v>
      </c>
      <c r="E4707" t="s">
        <v>27</v>
      </c>
      <c r="F4707" t="s">
        <v>53</v>
      </c>
      <c r="G4707">
        <v>2349.33</v>
      </c>
      <c r="H4707" t="s">
        <v>31</v>
      </c>
      <c r="I4707" t="s">
        <v>15</v>
      </c>
      <c r="J4707">
        <v>3.3</v>
      </c>
      <c r="K4707">
        <v>7</v>
      </c>
      <c r="L4707">
        <f t="shared" si="220"/>
        <v>2184.8768999999998</v>
      </c>
      <c r="M4707">
        <v>1</v>
      </c>
      <c r="N4707" t="str">
        <f t="shared" si="221"/>
        <v>New</v>
      </c>
    </row>
    <row r="4708" spans="1:14" x14ac:dyDescent="0.35">
      <c r="A4708">
        <v>4707</v>
      </c>
      <c r="B4708">
        <v>70</v>
      </c>
      <c r="C4708" t="str">
        <f t="shared" si="219"/>
        <v>Senior</v>
      </c>
      <c r="D4708" t="s">
        <v>11</v>
      </c>
      <c r="E4708" t="s">
        <v>41</v>
      </c>
      <c r="F4708" t="s">
        <v>42</v>
      </c>
      <c r="G4708">
        <v>61.86</v>
      </c>
      <c r="H4708" t="s">
        <v>31</v>
      </c>
      <c r="I4708" t="s">
        <v>15</v>
      </c>
      <c r="J4708">
        <v>2.9</v>
      </c>
      <c r="K4708">
        <v>17</v>
      </c>
      <c r="L4708">
        <f t="shared" si="220"/>
        <v>51.343799999999995</v>
      </c>
      <c r="M4708">
        <v>6</v>
      </c>
      <c r="N4708" t="str">
        <f t="shared" si="221"/>
        <v>Regular</v>
      </c>
    </row>
    <row r="4709" spans="1:14" x14ac:dyDescent="0.35">
      <c r="A4709">
        <v>4708</v>
      </c>
      <c r="B4709">
        <v>26</v>
      </c>
      <c r="C4709" t="str">
        <f t="shared" si="219"/>
        <v>Youth</v>
      </c>
      <c r="D4709" t="s">
        <v>11</v>
      </c>
      <c r="E4709" t="s">
        <v>41</v>
      </c>
      <c r="F4709" t="s">
        <v>42</v>
      </c>
      <c r="G4709">
        <v>96.69</v>
      </c>
      <c r="H4709" t="s">
        <v>14</v>
      </c>
      <c r="I4709" t="s">
        <v>37</v>
      </c>
      <c r="J4709">
        <v>4.8</v>
      </c>
      <c r="K4709">
        <v>18</v>
      </c>
      <c r="L4709">
        <f t="shared" si="220"/>
        <v>79.285800000000009</v>
      </c>
      <c r="M4709">
        <v>4</v>
      </c>
      <c r="N4709" t="str">
        <f t="shared" si="221"/>
        <v>Regular</v>
      </c>
    </row>
    <row r="4710" spans="1:14" x14ac:dyDescent="0.35">
      <c r="A4710">
        <v>4709</v>
      </c>
      <c r="B4710">
        <v>57</v>
      </c>
      <c r="C4710" t="str">
        <f t="shared" si="219"/>
        <v>Adult</v>
      </c>
      <c r="D4710" t="s">
        <v>16</v>
      </c>
      <c r="E4710" t="s">
        <v>20</v>
      </c>
      <c r="F4710" t="s">
        <v>36</v>
      </c>
      <c r="G4710">
        <v>126.2</v>
      </c>
      <c r="H4710" t="s">
        <v>14</v>
      </c>
      <c r="I4710" t="s">
        <v>15</v>
      </c>
      <c r="J4710">
        <v>5</v>
      </c>
      <c r="K4710">
        <v>11</v>
      </c>
      <c r="L4710">
        <f t="shared" si="220"/>
        <v>112.318</v>
      </c>
      <c r="M4710">
        <v>3</v>
      </c>
      <c r="N4710" t="str">
        <f t="shared" si="221"/>
        <v>New</v>
      </c>
    </row>
    <row r="4711" spans="1:14" x14ac:dyDescent="0.35">
      <c r="A4711">
        <v>4710</v>
      </c>
      <c r="B4711">
        <v>38</v>
      </c>
      <c r="C4711" t="str">
        <f t="shared" si="219"/>
        <v>Adult</v>
      </c>
      <c r="D4711" t="s">
        <v>11</v>
      </c>
      <c r="E4711" t="s">
        <v>29</v>
      </c>
      <c r="F4711" t="s">
        <v>51</v>
      </c>
      <c r="G4711">
        <v>62.65</v>
      </c>
      <c r="H4711" t="s">
        <v>14</v>
      </c>
      <c r="I4711" t="s">
        <v>15</v>
      </c>
      <c r="J4711">
        <v>3.3</v>
      </c>
      <c r="K4711">
        <v>13</v>
      </c>
      <c r="L4711">
        <f t="shared" si="220"/>
        <v>54.505499999999998</v>
      </c>
      <c r="M4711">
        <v>4</v>
      </c>
      <c r="N4711" t="str">
        <f t="shared" si="221"/>
        <v>Regular</v>
      </c>
    </row>
    <row r="4712" spans="1:14" x14ac:dyDescent="0.35">
      <c r="A4712">
        <v>4711</v>
      </c>
      <c r="B4712">
        <v>57</v>
      </c>
      <c r="C4712" t="str">
        <f t="shared" si="219"/>
        <v>Adult</v>
      </c>
      <c r="D4712" t="s">
        <v>11</v>
      </c>
      <c r="E4712" t="s">
        <v>41</v>
      </c>
      <c r="F4712" t="s">
        <v>45</v>
      </c>
      <c r="G4712">
        <v>149.91</v>
      </c>
      <c r="H4712" t="s">
        <v>24</v>
      </c>
      <c r="I4712" t="s">
        <v>15</v>
      </c>
      <c r="J4712">
        <v>3.1</v>
      </c>
      <c r="K4712">
        <v>14</v>
      </c>
      <c r="L4712">
        <f t="shared" si="220"/>
        <v>128.92259999999999</v>
      </c>
      <c r="M4712">
        <v>7</v>
      </c>
      <c r="N4712" t="str">
        <f t="shared" si="221"/>
        <v>Regular</v>
      </c>
    </row>
    <row r="4713" spans="1:14" x14ac:dyDescent="0.35">
      <c r="A4713">
        <v>4712</v>
      </c>
      <c r="B4713">
        <v>68</v>
      </c>
      <c r="C4713" t="str">
        <f t="shared" si="219"/>
        <v>Senior</v>
      </c>
      <c r="D4713" t="s">
        <v>11</v>
      </c>
      <c r="E4713" t="s">
        <v>25</v>
      </c>
      <c r="F4713" t="s">
        <v>57</v>
      </c>
      <c r="G4713">
        <v>54.83</v>
      </c>
      <c r="H4713" t="s">
        <v>24</v>
      </c>
      <c r="I4713" t="s">
        <v>37</v>
      </c>
      <c r="J4713">
        <v>3.5</v>
      </c>
      <c r="K4713">
        <v>12</v>
      </c>
      <c r="L4713">
        <f t="shared" si="220"/>
        <v>48.250399999999999</v>
      </c>
      <c r="M4713">
        <v>6</v>
      </c>
      <c r="N4713" t="str">
        <f t="shared" si="221"/>
        <v>Regular</v>
      </c>
    </row>
    <row r="4714" spans="1:14" x14ac:dyDescent="0.35">
      <c r="A4714">
        <v>4713</v>
      </c>
      <c r="B4714">
        <v>26</v>
      </c>
      <c r="C4714" t="str">
        <f t="shared" si="219"/>
        <v>Youth</v>
      </c>
      <c r="D4714" t="s">
        <v>16</v>
      </c>
      <c r="E4714" t="s">
        <v>27</v>
      </c>
      <c r="F4714" t="s">
        <v>53</v>
      </c>
      <c r="G4714">
        <v>733.03</v>
      </c>
      <c r="H4714" t="s">
        <v>19</v>
      </c>
      <c r="I4714" t="s">
        <v>15</v>
      </c>
      <c r="J4714">
        <v>3</v>
      </c>
      <c r="K4714">
        <v>13</v>
      </c>
      <c r="L4714">
        <f t="shared" si="220"/>
        <v>637.73609999999996</v>
      </c>
      <c r="M4714">
        <v>4</v>
      </c>
      <c r="N4714" t="str">
        <f t="shared" si="221"/>
        <v>Regular</v>
      </c>
    </row>
    <row r="4715" spans="1:14" x14ac:dyDescent="0.35">
      <c r="A4715">
        <v>4714</v>
      </c>
      <c r="B4715">
        <v>22</v>
      </c>
      <c r="C4715" t="str">
        <f t="shared" si="219"/>
        <v>Youth</v>
      </c>
      <c r="D4715" t="s">
        <v>16</v>
      </c>
      <c r="E4715" t="s">
        <v>33</v>
      </c>
      <c r="F4715" t="s">
        <v>34</v>
      </c>
      <c r="G4715">
        <v>116.76</v>
      </c>
      <c r="H4715" t="s">
        <v>24</v>
      </c>
      <c r="I4715" t="s">
        <v>15</v>
      </c>
      <c r="J4715">
        <v>4.8</v>
      </c>
      <c r="K4715">
        <v>17</v>
      </c>
      <c r="L4715">
        <f t="shared" si="220"/>
        <v>96.910799999999995</v>
      </c>
      <c r="M4715">
        <v>6</v>
      </c>
      <c r="N4715" t="str">
        <f t="shared" si="221"/>
        <v>Regular</v>
      </c>
    </row>
    <row r="4716" spans="1:14" x14ac:dyDescent="0.35">
      <c r="A4716">
        <v>4715</v>
      </c>
      <c r="B4716">
        <v>38</v>
      </c>
      <c r="C4716" t="str">
        <f t="shared" si="219"/>
        <v>Adult</v>
      </c>
      <c r="D4716" t="s">
        <v>16</v>
      </c>
      <c r="E4716" t="s">
        <v>33</v>
      </c>
      <c r="F4716" t="s">
        <v>40</v>
      </c>
      <c r="G4716">
        <v>139.77000000000001</v>
      </c>
      <c r="H4716" t="s">
        <v>24</v>
      </c>
      <c r="I4716" t="s">
        <v>15</v>
      </c>
      <c r="J4716">
        <v>5</v>
      </c>
      <c r="K4716">
        <v>8</v>
      </c>
      <c r="L4716">
        <f t="shared" si="220"/>
        <v>128.58840000000001</v>
      </c>
      <c r="M4716">
        <v>4</v>
      </c>
      <c r="N4716" t="str">
        <f t="shared" si="221"/>
        <v>Regular</v>
      </c>
    </row>
    <row r="4717" spans="1:14" x14ac:dyDescent="0.35">
      <c r="A4717">
        <v>4716</v>
      </c>
      <c r="B4717">
        <v>58</v>
      </c>
      <c r="C4717" t="str">
        <f t="shared" si="219"/>
        <v>Adult</v>
      </c>
      <c r="D4717" t="s">
        <v>16</v>
      </c>
      <c r="E4717" t="s">
        <v>20</v>
      </c>
      <c r="F4717" t="s">
        <v>39</v>
      </c>
      <c r="G4717">
        <v>95.93</v>
      </c>
      <c r="H4717" t="s">
        <v>31</v>
      </c>
      <c r="I4717" t="s">
        <v>15</v>
      </c>
      <c r="J4717">
        <v>3.7</v>
      </c>
      <c r="K4717">
        <v>13</v>
      </c>
      <c r="L4717">
        <f t="shared" si="220"/>
        <v>83.459100000000007</v>
      </c>
      <c r="M4717">
        <v>4</v>
      </c>
      <c r="N4717" t="str">
        <f t="shared" si="221"/>
        <v>Regular</v>
      </c>
    </row>
    <row r="4718" spans="1:14" x14ac:dyDescent="0.35">
      <c r="A4718">
        <v>4717</v>
      </c>
      <c r="B4718">
        <v>66</v>
      </c>
      <c r="C4718" t="str">
        <f t="shared" si="219"/>
        <v>Senior</v>
      </c>
      <c r="D4718" t="s">
        <v>16</v>
      </c>
      <c r="E4718" t="s">
        <v>20</v>
      </c>
      <c r="F4718" t="s">
        <v>21</v>
      </c>
      <c r="G4718">
        <v>51.77</v>
      </c>
      <c r="H4718" t="s">
        <v>31</v>
      </c>
      <c r="I4718" t="s">
        <v>37</v>
      </c>
      <c r="J4718">
        <v>5</v>
      </c>
      <c r="K4718">
        <v>17</v>
      </c>
      <c r="L4718">
        <f t="shared" si="220"/>
        <v>42.969099999999997</v>
      </c>
      <c r="M4718">
        <v>6</v>
      </c>
      <c r="N4718" t="str">
        <f t="shared" si="221"/>
        <v>Regular</v>
      </c>
    </row>
    <row r="4719" spans="1:14" x14ac:dyDescent="0.35">
      <c r="A4719">
        <v>4718</v>
      </c>
      <c r="B4719">
        <v>44</v>
      </c>
      <c r="C4719" t="str">
        <f t="shared" si="219"/>
        <v>Adult</v>
      </c>
      <c r="D4719" t="s">
        <v>11</v>
      </c>
      <c r="E4719" t="s">
        <v>29</v>
      </c>
      <c r="F4719" t="s">
        <v>55</v>
      </c>
      <c r="G4719">
        <v>28.68</v>
      </c>
      <c r="H4719" t="s">
        <v>19</v>
      </c>
      <c r="I4719" t="s">
        <v>37</v>
      </c>
      <c r="J4719">
        <v>3.5</v>
      </c>
      <c r="K4719">
        <v>12</v>
      </c>
      <c r="L4719">
        <f t="shared" si="220"/>
        <v>25.238399999999999</v>
      </c>
      <c r="M4719">
        <v>6</v>
      </c>
      <c r="N4719" t="str">
        <f t="shared" si="221"/>
        <v>Regular</v>
      </c>
    </row>
    <row r="4720" spans="1:14" x14ac:dyDescent="0.35">
      <c r="A4720">
        <v>4719</v>
      </c>
      <c r="B4720">
        <v>34</v>
      </c>
      <c r="C4720" t="str">
        <f t="shared" si="219"/>
        <v>Adult</v>
      </c>
      <c r="D4720" t="s">
        <v>11</v>
      </c>
      <c r="E4720" t="s">
        <v>12</v>
      </c>
      <c r="F4720" t="s">
        <v>56</v>
      </c>
      <c r="G4720">
        <v>140.63</v>
      </c>
      <c r="H4720" t="s">
        <v>31</v>
      </c>
      <c r="I4720" t="s">
        <v>15</v>
      </c>
      <c r="J4720">
        <v>4.5</v>
      </c>
      <c r="K4720">
        <v>19</v>
      </c>
      <c r="L4720">
        <f t="shared" si="220"/>
        <v>113.91030000000001</v>
      </c>
      <c r="M4720">
        <v>7</v>
      </c>
      <c r="N4720" t="str">
        <f t="shared" si="221"/>
        <v>Regular</v>
      </c>
    </row>
    <row r="4721" spans="1:14" x14ac:dyDescent="0.35">
      <c r="A4721">
        <v>4720</v>
      </c>
      <c r="B4721">
        <v>25</v>
      </c>
      <c r="C4721" t="str">
        <f t="shared" si="219"/>
        <v>Youth</v>
      </c>
      <c r="D4721" t="s">
        <v>16</v>
      </c>
      <c r="E4721" t="s">
        <v>20</v>
      </c>
      <c r="F4721" t="s">
        <v>21</v>
      </c>
      <c r="G4721">
        <v>27.85</v>
      </c>
      <c r="H4721" t="s">
        <v>24</v>
      </c>
      <c r="I4721" t="s">
        <v>15</v>
      </c>
      <c r="J4721">
        <v>3.5</v>
      </c>
      <c r="K4721">
        <v>2</v>
      </c>
      <c r="L4721">
        <f t="shared" si="220"/>
        <v>27.292999999999999</v>
      </c>
      <c r="M4721">
        <v>1</v>
      </c>
      <c r="N4721" t="str">
        <f t="shared" si="221"/>
        <v>New</v>
      </c>
    </row>
    <row r="4722" spans="1:14" x14ac:dyDescent="0.35">
      <c r="A4722">
        <v>4721</v>
      </c>
      <c r="B4722">
        <v>49</v>
      </c>
      <c r="C4722" t="str">
        <f t="shared" si="219"/>
        <v>Adult</v>
      </c>
      <c r="D4722" t="s">
        <v>16</v>
      </c>
      <c r="E4722" t="s">
        <v>27</v>
      </c>
      <c r="F4722" t="s">
        <v>28</v>
      </c>
      <c r="G4722">
        <v>2620.52</v>
      </c>
      <c r="H4722" t="s">
        <v>24</v>
      </c>
      <c r="I4722" t="s">
        <v>15</v>
      </c>
      <c r="J4722">
        <v>3.3</v>
      </c>
      <c r="K4722">
        <v>18</v>
      </c>
      <c r="L4722">
        <f t="shared" si="220"/>
        <v>2148.8263999999999</v>
      </c>
      <c r="M4722">
        <v>4</v>
      </c>
      <c r="N4722" t="str">
        <f t="shared" si="221"/>
        <v>Regular</v>
      </c>
    </row>
    <row r="4723" spans="1:14" x14ac:dyDescent="0.35">
      <c r="A4723">
        <v>4722</v>
      </c>
      <c r="B4723">
        <v>36</v>
      </c>
      <c r="C4723" t="str">
        <f t="shared" si="219"/>
        <v>Adult</v>
      </c>
      <c r="D4723" t="s">
        <v>11</v>
      </c>
      <c r="E4723" t="s">
        <v>12</v>
      </c>
      <c r="F4723" t="s">
        <v>50</v>
      </c>
      <c r="G4723">
        <v>60.24</v>
      </c>
      <c r="H4723" t="s">
        <v>24</v>
      </c>
      <c r="I4723" t="s">
        <v>37</v>
      </c>
      <c r="J4723">
        <v>4.4000000000000004</v>
      </c>
      <c r="K4723">
        <v>6</v>
      </c>
      <c r="L4723">
        <f t="shared" si="220"/>
        <v>56.625599999999999</v>
      </c>
      <c r="M4723">
        <v>3</v>
      </c>
      <c r="N4723" t="str">
        <f t="shared" si="221"/>
        <v>New</v>
      </c>
    </row>
    <row r="4724" spans="1:14" x14ac:dyDescent="0.35">
      <c r="A4724">
        <v>4723</v>
      </c>
      <c r="B4724">
        <v>24</v>
      </c>
      <c r="C4724" t="str">
        <f t="shared" si="219"/>
        <v>Youth</v>
      </c>
      <c r="D4724" t="s">
        <v>16</v>
      </c>
      <c r="E4724" t="s">
        <v>20</v>
      </c>
      <c r="F4724" t="s">
        <v>36</v>
      </c>
      <c r="G4724">
        <v>89.29</v>
      </c>
      <c r="H4724" t="s">
        <v>24</v>
      </c>
      <c r="I4724" t="s">
        <v>15</v>
      </c>
      <c r="J4724">
        <v>3.8</v>
      </c>
      <c r="K4724">
        <v>0</v>
      </c>
      <c r="L4724">
        <f t="shared" si="220"/>
        <v>89.29</v>
      </c>
      <c r="M4724">
        <v>0</v>
      </c>
      <c r="N4724" t="str">
        <f t="shared" si="221"/>
        <v>New</v>
      </c>
    </row>
    <row r="4725" spans="1:14" x14ac:dyDescent="0.35">
      <c r="A4725">
        <v>4724</v>
      </c>
      <c r="B4725">
        <v>32</v>
      </c>
      <c r="C4725" t="str">
        <f t="shared" si="219"/>
        <v>Adult</v>
      </c>
      <c r="D4725" t="s">
        <v>11</v>
      </c>
      <c r="E4725" t="s">
        <v>33</v>
      </c>
      <c r="F4725" t="s">
        <v>38</v>
      </c>
      <c r="G4725">
        <v>52.53</v>
      </c>
      <c r="H4725" t="s">
        <v>19</v>
      </c>
      <c r="I4725" t="s">
        <v>37</v>
      </c>
      <c r="J4725">
        <v>3.1</v>
      </c>
      <c r="K4725">
        <v>18</v>
      </c>
      <c r="L4725">
        <f t="shared" si="220"/>
        <v>43.074600000000004</v>
      </c>
      <c r="M4725">
        <v>4</v>
      </c>
      <c r="N4725" t="str">
        <f t="shared" si="221"/>
        <v>Regular</v>
      </c>
    </row>
    <row r="4726" spans="1:14" x14ac:dyDescent="0.35">
      <c r="A4726">
        <v>4725</v>
      </c>
      <c r="B4726">
        <v>62</v>
      </c>
      <c r="C4726" t="str">
        <f t="shared" si="219"/>
        <v>Senior</v>
      </c>
      <c r="D4726" t="s">
        <v>11</v>
      </c>
      <c r="E4726" t="s">
        <v>29</v>
      </c>
      <c r="F4726" t="s">
        <v>30</v>
      </c>
      <c r="G4726">
        <v>93.41</v>
      </c>
      <c r="H4726" t="s">
        <v>24</v>
      </c>
      <c r="I4726" t="s">
        <v>37</v>
      </c>
      <c r="J4726">
        <v>4.0999999999999996</v>
      </c>
      <c r="K4726">
        <v>12</v>
      </c>
      <c r="L4726">
        <f t="shared" si="220"/>
        <v>82.200800000000001</v>
      </c>
      <c r="M4726">
        <v>6</v>
      </c>
      <c r="N4726" t="str">
        <f t="shared" si="221"/>
        <v>Regular</v>
      </c>
    </row>
    <row r="4727" spans="1:14" x14ac:dyDescent="0.35">
      <c r="A4727">
        <v>4726</v>
      </c>
      <c r="B4727">
        <v>48</v>
      </c>
      <c r="C4727" t="str">
        <f t="shared" si="219"/>
        <v>Adult</v>
      </c>
      <c r="D4727" t="s">
        <v>11</v>
      </c>
      <c r="E4727" t="s">
        <v>29</v>
      </c>
      <c r="F4727" t="s">
        <v>51</v>
      </c>
      <c r="G4727">
        <v>96.12</v>
      </c>
      <c r="H4727" t="s">
        <v>14</v>
      </c>
      <c r="I4727" t="s">
        <v>15</v>
      </c>
      <c r="J4727">
        <v>3.8</v>
      </c>
      <c r="K4727">
        <v>22</v>
      </c>
      <c r="L4727">
        <f t="shared" si="220"/>
        <v>74.973600000000005</v>
      </c>
      <c r="M4727">
        <v>11</v>
      </c>
      <c r="N4727" t="str">
        <f t="shared" si="221"/>
        <v>Loyal</v>
      </c>
    </row>
    <row r="4728" spans="1:14" x14ac:dyDescent="0.35">
      <c r="A4728">
        <v>4727</v>
      </c>
      <c r="B4728">
        <v>44</v>
      </c>
      <c r="C4728" t="str">
        <f t="shared" si="219"/>
        <v>Adult</v>
      </c>
      <c r="D4728" t="s">
        <v>16</v>
      </c>
      <c r="E4728" t="s">
        <v>25</v>
      </c>
      <c r="F4728" t="s">
        <v>26</v>
      </c>
      <c r="G4728">
        <v>51.5</v>
      </c>
      <c r="H4728" t="s">
        <v>14</v>
      </c>
      <c r="I4728" t="s">
        <v>37</v>
      </c>
      <c r="J4728">
        <v>3.8</v>
      </c>
      <c r="K4728">
        <v>22</v>
      </c>
      <c r="L4728">
        <f t="shared" si="220"/>
        <v>40.17</v>
      </c>
      <c r="M4728">
        <v>6</v>
      </c>
      <c r="N4728" t="str">
        <f t="shared" si="221"/>
        <v>Regular</v>
      </c>
    </row>
    <row r="4729" spans="1:14" x14ac:dyDescent="0.35">
      <c r="A4729">
        <v>4728</v>
      </c>
      <c r="B4729">
        <v>58</v>
      </c>
      <c r="C4729" t="str">
        <f t="shared" si="219"/>
        <v>Adult</v>
      </c>
      <c r="D4729" t="s">
        <v>16</v>
      </c>
      <c r="E4729" t="s">
        <v>20</v>
      </c>
      <c r="F4729" t="s">
        <v>21</v>
      </c>
      <c r="G4729">
        <v>147.1</v>
      </c>
      <c r="H4729" t="s">
        <v>31</v>
      </c>
      <c r="I4729" t="s">
        <v>15</v>
      </c>
      <c r="J4729">
        <v>4.0999999999999996</v>
      </c>
      <c r="K4729">
        <v>12</v>
      </c>
      <c r="L4729">
        <f t="shared" si="220"/>
        <v>129.44800000000001</v>
      </c>
      <c r="M4729">
        <v>1</v>
      </c>
      <c r="N4729" t="str">
        <f t="shared" si="221"/>
        <v>New</v>
      </c>
    </row>
    <row r="4730" spans="1:14" x14ac:dyDescent="0.35">
      <c r="A4730">
        <v>4729</v>
      </c>
      <c r="B4730">
        <v>59</v>
      </c>
      <c r="C4730" t="str">
        <f t="shared" si="219"/>
        <v>Adult</v>
      </c>
      <c r="D4730" t="s">
        <v>16</v>
      </c>
      <c r="E4730" t="s">
        <v>33</v>
      </c>
      <c r="F4730" t="s">
        <v>40</v>
      </c>
      <c r="G4730">
        <v>208.77</v>
      </c>
      <c r="H4730" t="s">
        <v>19</v>
      </c>
      <c r="I4730" t="s">
        <v>15</v>
      </c>
      <c r="J4730">
        <v>4</v>
      </c>
      <c r="K4730">
        <v>12</v>
      </c>
      <c r="L4730">
        <f t="shared" si="220"/>
        <v>183.7176</v>
      </c>
      <c r="M4730">
        <v>6</v>
      </c>
      <c r="N4730" t="str">
        <f t="shared" si="221"/>
        <v>Regular</v>
      </c>
    </row>
    <row r="4731" spans="1:14" x14ac:dyDescent="0.35">
      <c r="A4731">
        <v>4730</v>
      </c>
      <c r="B4731">
        <v>31</v>
      </c>
      <c r="C4731" t="str">
        <f t="shared" si="219"/>
        <v>Adult</v>
      </c>
      <c r="D4731" t="s">
        <v>16</v>
      </c>
      <c r="E4731" t="s">
        <v>33</v>
      </c>
      <c r="F4731" t="s">
        <v>40</v>
      </c>
      <c r="G4731">
        <v>222.63</v>
      </c>
      <c r="H4731" t="s">
        <v>31</v>
      </c>
      <c r="I4731" t="s">
        <v>15</v>
      </c>
      <c r="J4731">
        <v>4.3</v>
      </c>
      <c r="K4731">
        <v>18</v>
      </c>
      <c r="L4731">
        <f t="shared" si="220"/>
        <v>182.5566</v>
      </c>
      <c r="M4731">
        <v>9</v>
      </c>
      <c r="N4731" t="str">
        <f t="shared" si="221"/>
        <v>Loyal</v>
      </c>
    </row>
    <row r="4732" spans="1:14" x14ac:dyDescent="0.35">
      <c r="A4732">
        <v>4731</v>
      </c>
      <c r="B4732">
        <v>37</v>
      </c>
      <c r="C4732" t="str">
        <f t="shared" si="219"/>
        <v>Adult</v>
      </c>
      <c r="D4732" t="s">
        <v>11</v>
      </c>
      <c r="E4732" t="s">
        <v>41</v>
      </c>
      <c r="F4732" t="s">
        <v>44</v>
      </c>
      <c r="G4732">
        <v>56.66</v>
      </c>
      <c r="H4732" t="s">
        <v>14</v>
      </c>
      <c r="I4732" t="s">
        <v>15</v>
      </c>
      <c r="J4732">
        <v>5</v>
      </c>
      <c r="K4732">
        <v>14</v>
      </c>
      <c r="L4732">
        <f t="shared" si="220"/>
        <v>48.727599999999995</v>
      </c>
      <c r="M4732">
        <v>7</v>
      </c>
      <c r="N4732" t="str">
        <f t="shared" si="221"/>
        <v>Regular</v>
      </c>
    </row>
    <row r="4733" spans="1:14" x14ac:dyDescent="0.35">
      <c r="A4733">
        <v>4732</v>
      </c>
      <c r="B4733">
        <v>32</v>
      </c>
      <c r="C4733" t="str">
        <f t="shared" si="219"/>
        <v>Adult</v>
      </c>
      <c r="D4733" t="s">
        <v>16</v>
      </c>
      <c r="E4733" t="s">
        <v>20</v>
      </c>
      <c r="F4733" t="s">
        <v>39</v>
      </c>
      <c r="G4733">
        <v>46.9</v>
      </c>
      <c r="H4733" t="s">
        <v>19</v>
      </c>
      <c r="I4733" t="s">
        <v>37</v>
      </c>
      <c r="J4733">
        <v>3.4</v>
      </c>
      <c r="K4733">
        <v>17</v>
      </c>
      <c r="L4733">
        <f t="shared" si="220"/>
        <v>38.927</v>
      </c>
      <c r="M4733">
        <v>6</v>
      </c>
      <c r="N4733" t="str">
        <f t="shared" si="221"/>
        <v>Regular</v>
      </c>
    </row>
    <row r="4734" spans="1:14" x14ac:dyDescent="0.35">
      <c r="A4734">
        <v>4733</v>
      </c>
      <c r="B4734">
        <v>69</v>
      </c>
      <c r="C4734" t="str">
        <f t="shared" si="219"/>
        <v>Senior</v>
      </c>
      <c r="D4734" t="s">
        <v>16</v>
      </c>
      <c r="E4734" t="s">
        <v>27</v>
      </c>
      <c r="F4734" t="s">
        <v>32</v>
      </c>
      <c r="G4734">
        <v>771.91</v>
      </c>
      <c r="H4734" t="s">
        <v>14</v>
      </c>
      <c r="I4734" t="s">
        <v>15</v>
      </c>
      <c r="J4734">
        <v>4.8</v>
      </c>
      <c r="K4734">
        <v>14</v>
      </c>
      <c r="L4734">
        <f t="shared" si="220"/>
        <v>663.84259999999995</v>
      </c>
      <c r="M4734">
        <v>7</v>
      </c>
      <c r="N4734" t="str">
        <f t="shared" si="221"/>
        <v>Regular</v>
      </c>
    </row>
    <row r="4735" spans="1:14" x14ac:dyDescent="0.35">
      <c r="A4735">
        <v>4734</v>
      </c>
      <c r="B4735">
        <v>40</v>
      </c>
      <c r="C4735" t="str">
        <f t="shared" si="219"/>
        <v>Adult</v>
      </c>
      <c r="D4735" t="s">
        <v>16</v>
      </c>
      <c r="E4735" t="s">
        <v>20</v>
      </c>
      <c r="F4735" t="s">
        <v>36</v>
      </c>
      <c r="G4735">
        <v>122.71</v>
      </c>
      <c r="H4735" t="s">
        <v>14</v>
      </c>
      <c r="I4735" t="s">
        <v>15</v>
      </c>
      <c r="J4735">
        <v>2.8</v>
      </c>
      <c r="K4735">
        <v>13</v>
      </c>
      <c r="L4735">
        <f t="shared" si="220"/>
        <v>106.7577</v>
      </c>
      <c r="M4735">
        <v>4</v>
      </c>
      <c r="N4735" t="str">
        <f t="shared" si="221"/>
        <v>Regular</v>
      </c>
    </row>
    <row r="4736" spans="1:14" x14ac:dyDescent="0.35">
      <c r="A4736">
        <v>4735</v>
      </c>
      <c r="B4736">
        <v>21</v>
      </c>
      <c r="C4736" t="str">
        <f t="shared" si="219"/>
        <v>Youth</v>
      </c>
      <c r="D4736" t="s">
        <v>11</v>
      </c>
      <c r="E4736" t="s">
        <v>41</v>
      </c>
      <c r="F4736" t="s">
        <v>42</v>
      </c>
      <c r="G4736">
        <v>195.09</v>
      </c>
      <c r="H4736" t="s">
        <v>24</v>
      </c>
      <c r="I4736" t="s">
        <v>15</v>
      </c>
      <c r="J4736">
        <v>4.4000000000000004</v>
      </c>
      <c r="K4736">
        <v>20</v>
      </c>
      <c r="L4736">
        <f t="shared" si="220"/>
        <v>156.072</v>
      </c>
      <c r="M4736">
        <v>5</v>
      </c>
      <c r="N4736" t="str">
        <f t="shared" si="221"/>
        <v>Regular</v>
      </c>
    </row>
    <row r="4737" spans="1:14" x14ac:dyDescent="0.35">
      <c r="A4737">
        <v>4736</v>
      </c>
      <c r="B4737">
        <v>60</v>
      </c>
      <c r="C4737" t="str">
        <f t="shared" si="219"/>
        <v>Adult</v>
      </c>
      <c r="D4737" t="s">
        <v>11</v>
      </c>
      <c r="E4737" t="s">
        <v>29</v>
      </c>
      <c r="F4737" t="s">
        <v>30</v>
      </c>
      <c r="G4737">
        <v>80.38</v>
      </c>
      <c r="H4737" t="s">
        <v>19</v>
      </c>
      <c r="I4737" t="s">
        <v>15</v>
      </c>
      <c r="J4737">
        <v>3.6</v>
      </c>
      <c r="K4737">
        <v>14</v>
      </c>
      <c r="L4737">
        <f t="shared" si="220"/>
        <v>69.126799999999989</v>
      </c>
      <c r="M4737">
        <v>7</v>
      </c>
      <c r="N4737" t="str">
        <f t="shared" si="221"/>
        <v>Regular</v>
      </c>
    </row>
    <row r="4738" spans="1:14" x14ac:dyDescent="0.35">
      <c r="A4738">
        <v>4737</v>
      </c>
      <c r="B4738">
        <v>66</v>
      </c>
      <c r="C4738" t="str">
        <f t="shared" si="219"/>
        <v>Senior</v>
      </c>
      <c r="D4738" t="s">
        <v>11</v>
      </c>
      <c r="E4738" t="s">
        <v>41</v>
      </c>
      <c r="F4738" t="s">
        <v>45</v>
      </c>
      <c r="G4738">
        <v>109.58</v>
      </c>
      <c r="H4738" t="s">
        <v>31</v>
      </c>
      <c r="I4738" t="s">
        <v>15</v>
      </c>
      <c r="J4738">
        <v>4.3</v>
      </c>
      <c r="K4738">
        <v>26</v>
      </c>
      <c r="L4738">
        <f t="shared" si="220"/>
        <v>81.089199999999991</v>
      </c>
      <c r="M4738">
        <v>8</v>
      </c>
      <c r="N4738" t="str">
        <f t="shared" si="221"/>
        <v>Loyal</v>
      </c>
    </row>
    <row r="4739" spans="1:14" x14ac:dyDescent="0.35">
      <c r="A4739">
        <v>4738</v>
      </c>
      <c r="B4739">
        <v>42</v>
      </c>
      <c r="C4739" t="str">
        <f t="shared" ref="C4739:C4802" si="222">IF(B4739&lt;=30,"Youth",IF(B4739&lt;=45,"Adult",IF(B4739&lt;=60,"Adult","Senior")))</f>
        <v>Adult</v>
      </c>
      <c r="D4739" t="s">
        <v>11</v>
      </c>
      <c r="E4739" t="s">
        <v>29</v>
      </c>
      <c r="F4739" t="s">
        <v>51</v>
      </c>
      <c r="G4739">
        <v>133.84</v>
      </c>
      <c r="H4739" t="s">
        <v>31</v>
      </c>
      <c r="I4739" t="s">
        <v>15</v>
      </c>
      <c r="J4739">
        <v>3.3</v>
      </c>
      <c r="K4739">
        <v>14</v>
      </c>
      <c r="L4739">
        <f t="shared" ref="L4739:L4802" si="223">G4739*(1-K4739/100)</f>
        <v>115.1024</v>
      </c>
      <c r="M4739">
        <v>7</v>
      </c>
      <c r="N4739" t="str">
        <f t="shared" ref="N4739:N4802" si="224">IF(M4739&lt;=3,"New",IF(M4739&lt;=7,"Regular","Loyal"))</f>
        <v>Regular</v>
      </c>
    </row>
    <row r="4740" spans="1:14" x14ac:dyDescent="0.35">
      <c r="A4740">
        <v>4739</v>
      </c>
      <c r="B4740">
        <v>28</v>
      </c>
      <c r="C4740" t="str">
        <f t="shared" si="222"/>
        <v>Youth</v>
      </c>
      <c r="D4740" t="s">
        <v>16</v>
      </c>
      <c r="E4740" t="s">
        <v>17</v>
      </c>
      <c r="F4740" t="s">
        <v>35</v>
      </c>
      <c r="G4740">
        <v>37.090000000000003</v>
      </c>
      <c r="H4740" t="s">
        <v>31</v>
      </c>
      <c r="I4740" t="s">
        <v>15</v>
      </c>
      <c r="J4740">
        <v>4.4000000000000004</v>
      </c>
      <c r="K4740">
        <v>22</v>
      </c>
      <c r="L4740">
        <f t="shared" si="223"/>
        <v>28.930200000000003</v>
      </c>
      <c r="M4740">
        <v>6</v>
      </c>
      <c r="N4740" t="str">
        <f t="shared" si="224"/>
        <v>Regular</v>
      </c>
    </row>
    <row r="4741" spans="1:14" x14ac:dyDescent="0.35">
      <c r="A4741">
        <v>4740</v>
      </c>
      <c r="B4741">
        <v>50</v>
      </c>
      <c r="C4741" t="str">
        <f t="shared" si="222"/>
        <v>Adult</v>
      </c>
      <c r="D4741" t="s">
        <v>16</v>
      </c>
      <c r="E4741" t="s">
        <v>25</v>
      </c>
      <c r="F4741" t="s">
        <v>47</v>
      </c>
      <c r="G4741">
        <v>19.579999999999998</v>
      </c>
      <c r="H4741" t="s">
        <v>24</v>
      </c>
      <c r="I4741" t="s">
        <v>15</v>
      </c>
      <c r="J4741">
        <v>3.3</v>
      </c>
      <c r="K4741">
        <v>19</v>
      </c>
      <c r="L4741">
        <f t="shared" si="223"/>
        <v>15.8598</v>
      </c>
      <c r="M4741">
        <v>7</v>
      </c>
      <c r="N4741" t="str">
        <f t="shared" si="224"/>
        <v>Regular</v>
      </c>
    </row>
    <row r="4742" spans="1:14" x14ac:dyDescent="0.35">
      <c r="A4742">
        <v>4741</v>
      </c>
      <c r="B4742">
        <v>65</v>
      </c>
      <c r="C4742" t="str">
        <f t="shared" si="222"/>
        <v>Senior</v>
      </c>
      <c r="D4742" t="s">
        <v>16</v>
      </c>
      <c r="E4742" t="s">
        <v>25</v>
      </c>
      <c r="F4742" t="s">
        <v>47</v>
      </c>
      <c r="G4742">
        <v>13.95</v>
      </c>
      <c r="H4742" t="s">
        <v>31</v>
      </c>
      <c r="I4742" t="s">
        <v>15</v>
      </c>
      <c r="J4742">
        <v>4.0999999999999996</v>
      </c>
      <c r="K4742">
        <v>21</v>
      </c>
      <c r="L4742">
        <f t="shared" si="223"/>
        <v>11.0205</v>
      </c>
      <c r="M4742">
        <v>8</v>
      </c>
      <c r="N4742" t="str">
        <f t="shared" si="224"/>
        <v>Loyal</v>
      </c>
    </row>
    <row r="4743" spans="1:14" x14ac:dyDescent="0.35">
      <c r="A4743">
        <v>4742</v>
      </c>
      <c r="B4743">
        <v>48</v>
      </c>
      <c r="C4743" t="str">
        <f t="shared" si="222"/>
        <v>Adult</v>
      </c>
      <c r="D4743" t="s">
        <v>16</v>
      </c>
      <c r="E4743" t="s">
        <v>20</v>
      </c>
      <c r="F4743" t="s">
        <v>39</v>
      </c>
      <c r="G4743">
        <v>147.08000000000001</v>
      </c>
      <c r="H4743" t="s">
        <v>31</v>
      </c>
      <c r="I4743" t="s">
        <v>15</v>
      </c>
      <c r="J4743">
        <v>3.4</v>
      </c>
      <c r="K4743">
        <v>20</v>
      </c>
      <c r="L4743">
        <f t="shared" si="223"/>
        <v>117.66400000000002</v>
      </c>
      <c r="M4743">
        <v>5</v>
      </c>
      <c r="N4743" t="str">
        <f t="shared" si="224"/>
        <v>Regular</v>
      </c>
    </row>
    <row r="4744" spans="1:14" x14ac:dyDescent="0.35">
      <c r="A4744">
        <v>4743</v>
      </c>
      <c r="B4744">
        <v>56</v>
      </c>
      <c r="C4744" t="str">
        <f t="shared" si="222"/>
        <v>Adult</v>
      </c>
      <c r="D4744" t="s">
        <v>11</v>
      </c>
      <c r="E4744" t="s">
        <v>41</v>
      </c>
      <c r="F4744" t="s">
        <v>44</v>
      </c>
      <c r="G4744">
        <v>172.44</v>
      </c>
      <c r="H4744" t="s">
        <v>31</v>
      </c>
      <c r="I4744" t="s">
        <v>15</v>
      </c>
      <c r="J4744">
        <v>3.7</v>
      </c>
      <c r="K4744">
        <v>18</v>
      </c>
      <c r="L4744">
        <f t="shared" si="223"/>
        <v>141.4008</v>
      </c>
      <c r="M4744">
        <v>4</v>
      </c>
      <c r="N4744" t="str">
        <f t="shared" si="224"/>
        <v>Regular</v>
      </c>
    </row>
    <row r="4745" spans="1:14" x14ac:dyDescent="0.35">
      <c r="A4745">
        <v>4744</v>
      </c>
      <c r="B4745">
        <v>41</v>
      </c>
      <c r="C4745" t="str">
        <f t="shared" si="222"/>
        <v>Adult</v>
      </c>
      <c r="D4745" t="s">
        <v>16</v>
      </c>
      <c r="E4745" t="s">
        <v>20</v>
      </c>
      <c r="F4745" t="s">
        <v>39</v>
      </c>
      <c r="G4745">
        <v>179</v>
      </c>
      <c r="H4745" t="s">
        <v>14</v>
      </c>
      <c r="I4745" t="s">
        <v>15</v>
      </c>
      <c r="J4745">
        <v>4.9000000000000004</v>
      </c>
      <c r="K4745">
        <v>8</v>
      </c>
      <c r="L4745">
        <f t="shared" si="223"/>
        <v>164.68</v>
      </c>
      <c r="M4745">
        <v>4</v>
      </c>
      <c r="N4745" t="str">
        <f t="shared" si="224"/>
        <v>Regular</v>
      </c>
    </row>
    <row r="4746" spans="1:14" x14ac:dyDescent="0.35">
      <c r="A4746">
        <v>4745</v>
      </c>
      <c r="B4746">
        <v>26</v>
      </c>
      <c r="C4746" t="str">
        <f t="shared" si="222"/>
        <v>Youth</v>
      </c>
      <c r="D4746" t="s">
        <v>11</v>
      </c>
      <c r="E4746" t="s">
        <v>33</v>
      </c>
      <c r="F4746" t="s">
        <v>38</v>
      </c>
      <c r="G4746">
        <v>104.75</v>
      </c>
      <c r="H4746" t="s">
        <v>24</v>
      </c>
      <c r="I4746" t="s">
        <v>15</v>
      </c>
      <c r="J4746">
        <v>4.0999999999999996</v>
      </c>
      <c r="K4746">
        <v>6</v>
      </c>
      <c r="L4746">
        <f t="shared" si="223"/>
        <v>98.464999999999989</v>
      </c>
      <c r="M4746">
        <v>3</v>
      </c>
      <c r="N4746" t="str">
        <f t="shared" si="224"/>
        <v>New</v>
      </c>
    </row>
    <row r="4747" spans="1:14" x14ac:dyDescent="0.35">
      <c r="A4747">
        <v>4746</v>
      </c>
      <c r="B4747">
        <v>61</v>
      </c>
      <c r="C4747" t="str">
        <f t="shared" si="222"/>
        <v>Senior</v>
      </c>
      <c r="D4747" t="s">
        <v>16</v>
      </c>
      <c r="E4747" t="s">
        <v>20</v>
      </c>
      <c r="F4747" t="s">
        <v>21</v>
      </c>
      <c r="G4747">
        <v>216.67</v>
      </c>
      <c r="H4747" t="s">
        <v>14</v>
      </c>
      <c r="I4747" t="s">
        <v>15</v>
      </c>
      <c r="J4747">
        <v>4.4000000000000004</v>
      </c>
      <c r="K4747">
        <v>13</v>
      </c>
      <c r="L4747">
        <f t="shared" si="223"/>
        <v>188.50289999999998</v>
      </c>
      <c r="M4747">
        <v>4</v>
      </c>
      <c r="N4747" t="str">
        <f t="shared" si="224"/>
        <v>Regular</v>
      </c>
    </row>
    <row r="4748" spans="1:14" x14ac:dyDescent="0.35">
      <c r="A4748">
        <v>4747</v>
      </c>
      <c r="B4748">
        <v>54</v>
      </c>
      <c r="C4748" t="str">
        <f t="shared" si="222"/>
        <v>Adult</v>
      </c>
      <c r="D4748" t="s">
        <v>16</v>
      </c>
      <c r="E4748" t="s">
        <v>27</v>
      </c>
      <c r="F4748" t="s">
        <v>49</v>
      </c>
      <c r="G4748">
        <v>572.52</v>
      </c>
      <c r="H4748" t="s">
        <v>14</v>
      </c>
      <c r="I4748" t="s">
        <v>15</v>
      </c>
      <c r="J4748">
        <v>3.7</v>
      </c>
      <c r="K4748">
        <v>11</v>
      </c>
      <c r="L4748">
        <f t="shared" si="223"/>
        <v>509.5428</v>
      </c>
      <c r="M4748">
        <v>3</v>
      </c>
      <c r="N4748" t="str">
        <f t="shared" si="224"/>
        <v>New</v>
      </c>
    </row>
    <row r="4749" spans="1:14" x14ac:dyDescent="0.35">
      <c r="A4749">
        <v>4748</v>
      </c>
      <c r="B4749">
        <v>45</v>
      </c>
      <c r="C4749" t="str">
        <f t="shared" si="222"/>
        <v>Adult</v>
      </c>
      <c r="D4749" t="s">
        <v>11</v>
      </c>
      <c r="E4749" t="s">
        <v>33</v>
      </c>
      <c r="F4749" t="s">
        <v>40</v>
      </c>
      <c r="G4749">
        <v>198.44</v>
      </c>
      <c r="H4749" t="s">
        <v>24</v>
      </c>
      <c r="I4749" t="s">
        <v>15</v>
      </c>
      <c r="J4749">
        <v>2.6</v>
      </c>
      <c r="K4749">
        <v>18</v>
      </c>
      <c r="L4749">
        <f t="shared" si="223"/>
        <v>162.7208</v>
      </c>
      <c r="M4749">
        <v>4</v>
      </c>
      <c r="N4749" t="str">
        <f t="shared" si="224"/>
        <v>Regular</v>
      </c>
    </row>
    <row r="4750" spans="1:14" x14ac:dyDescent="0.35">
      <c r="A4750">
        <v>4749</v>
      </c>
      <c r="B4750">
        <v>66</v>
      </c>
      <c r="C4750" t="str">
        <f t="shared" si="222"/>
        <v>Senior</v>
      </c>
      <c r="D4750" t="s">
        <v>16</v>
      </c>
      <c r="E4750" t="s">
        <v>20</v>
      </c>
      <c r="F4750" t="s">
        <v>36</v>
      </c>
      <c r="G4750">
        <v>32.81</v>
      </c>
      <c r="H4750" t="s">
        <v>14</v>
      </c>
      <c r="I4750" t="s">
        <v>37</v>
      </c>
      <c r="J4750">
        <v>3.6</v>
      </c>
      <c r="K4750">
        <v>16</v>
      </c>
      <c r="L4750">
        <f t="shared" si="223"/>
        <v>27.560400000000001</v>
      </c>
      <c r="M4750">
        <v>3</v>
      </c>
      <c r="N4750" t="str">
        <f t="shared" si="224"/>
        <v>New</v>
      </c>
    </row>
    <row r="4751" spans="1:14" x14ac:dyDescent="0.35">
      <c r="A4751">
        <v>4750</v>
      </c>
      <c r="B4751">
        <v>29</v>
      </c>
      <c r="C4751" t="str">
        <f t="shared" si="222"/>
        <v>Youth</v>
      </c>
      <c r="D4751" t="s">
        <v>16</v>
      </c>
      <c r="E4751" t="s">
        <v>33</v>
      </c>
      <c r="F4751" t="s">
        <v>34</v>
      </c>
      <c r="G4751">
        <v>218.6</v>
      </c>
      <c r="H4751" t="s">
        <v>31</v>
      </c>
      <c r="I4751" t="s">
        <v>15</v>
      </c>
      <c r="J4751">
        <v>2.2999999999999998</v>
      </c>
      <c r="K4751">
        <v>8</v>
      </c>
      <c r="L4751">
        <f t="shared" si="223"/>
        <v>201.11199999999999</v>
      </c>
      <c r="M4751">
        <v>4</v>
      </c>
      <c r="N4751" t="str">
        <f t="shared" si="224"/>
        <v>Regular</v>
      </c>
    </row>
    <row r="4752" spans="1:14" x14ac:dyDescent="0.35">
      <c r="A4752">
        <v>4751</v>
      </c>
      <c r="B4752">
        <v>27</v>
      </c>
      <c r="C4752" t="str">
        <f t="shared" si="222"/>
        <v>Youth</v>
      </c>
      <c r="D4752" t="s">
        <v>16</v>
      </c>
      <c r="E4752" t="s">
        <v>20</v>
      </c>
      <c r="F4752" t="s">
        <v>21</v>
      </c>
      <c r="G4752">
        <v>96.93</v>
      </c>
      <c r="H4752" t="s">
        <v>14</v>
      </c>
      <c r="I4752" t="s">
        <v>37</v>
      </c>
      <c r="J4752">
        <v>3.2</v>
      </c>
      <c r="K4752">
        <v>8</v>
      </c>
      <c r="L4752">
        <f t="shared" si="223"/>
        <v>89.175600000000017</v>
      </c>
      <c r="M4752">
        <v>4</v>
      </c>
      <c r="N4752" t="str">
        <f t="shared" si="224"/>
        <v>Regular</v>
      </c>
    </row>
    <row r="4753" spans="1:14" x14ac:dyDescent="0.35">
      <c r="A4753">
        <v>4752</v>
      </c>
      <c r="B4753">
        <v>29</v>
      </c>
      <c r="C4753" t="str">
        <f t="shared" si="222"/>
        <v>Youth</v>
      </c>
      <c r="D4753" t="s">
        <v>16</v>
      </c>
      <c r="E4753" t="s">
        <v>27</v>
      </c>
      <c r="F4753" t="s">
        <v>53</v>
      </c>
      <c r="G4753">
        <v>2817.6</v>
      </c>
      <c r="H4753" t="s">
        <v>14</v>
      </c>
      <c r="I4753" t="s">
        <v>15</v>
      </c>
      <c r="J4753">
        <v>4.0999999999999996</v>
      </c>
      <c r="K4753">
        <v>14</v>
      </c>
      <c r="L4753">
        <f t="shared" si="223"/>
        <v>2423.136</v>
      </c>
      <c r="M4753">
        <v>2</v>
      </c>
      <c r="N4753" t="str">
        <f t="shared" si="224"/>
        <v>New</v>
      </c>
    </row>
    <row r="4754" spans="1:14" x14ac:dyDescent="0.35">
      <c r="A4754">
        <v>4753</v>
      </c>
      <c r="B4754">
        <v>24</v>
      </c>
      <c r="C4754" t="str">
        <f t="shared" si="222"/>
        <v>Youth</v>
      </c>
      <c r="D4754" t="s">
        <v>11</v>
      </c>
      <c r="E4754" t="s">
        <v>22</v>
      </c>
      <c r="F4754" t="s">
        <v>23</v>
      </c>
      <c r="G4754">
        <v>209.24</v>
      </c>
      <c r="H4754" t="s">
        <v>14</v>
      </c>
      <c r="I4754" t="s">
        <v>15</v>
      </c>
      <c r="J4754">
        <v>3.1</v>
      </c>
      <c r="K4754">
        <v>6</v>
      </c>
      <c r="L4754">
        <f t="shared" si="223"/>
        <v>196.68559999999999</v>
      </c>
      <c r="M4754">
        <v>3</v>
      </c>
      <c r="N4754" t="str">
        <f t="shared" si="224"/>
        <v>New</v>
      </c>
    </row>
    <row r="4755" spans="1:14" x14ac:dyDescent="0.35">
      <c r="A4755">
        <v>4754</v>
      </c>
      <c r="B4755">
        <v>65</v>
      </c>
      <c r="C4755" t="str">
        <f t="shared" si="222"/>
        <v>Senior</v>
      </c>
      <c r="D4755" t="s">
        <v>16</v>
      </c>
      <c r="E4755" t="s">
        <v>22</v>
      </c>
      <c r="F4755" t="s">
        <v>52</v>
      </c>
      <c r="G4755">
        <v>205.4</v>
      </c>
      <c r="H4755" t="s">
        <v>31</v>
      </c>
      <c r="I4755" t="s">
        <v>15</v>
      </c>
      <c r="J4755">
        <v>3.8</v>
      </c>
      <c r="K4755">
        <v>8</v>
      </c>
      <c r="L4755">
        <f t="shared" si="223"/>
        <v>188.96800000000002</v>
      </c>
      <c r="M4755">
        <v>4</v>
      </c>
      <c r="N4755" t="str">
        <f t="shared" si="224"/>
        <v>Regular</v>
      </c>
    </row>
    <row r="4756" spans="1:14" x14ac:dyDescent="0.35">
      <c r="A4756">
        <v>4755</v>
      </c>
      <c r="B4756">
        <v>50</v>
      </c>
      <c r="C4756" t="str">
        <f t="shared" si="222"/>
        <v>Adult</v>
      </c>
      <c r="D4756" t="s">
        <v>11</v>
      </c>
      <c r="E4756" t="s">
        <v>33</v>
      </c>
      <c r="F4756" t="s">
        <v>34</v>
      </c>
      <c r="G4756">
        <v>69.78</v>
      </c>
      <c r="H4756" t="s">
        <v>24</v>
      </c>
      <c r="I4756" t="s">
        <v>15</v>
      </c>
      <c r="J4756">
        <v>3.1</v>
      </c>
      <c r="K4756">
        <v>13</v>
      </c>
      <c r="L4756">
        <f t="shared" si="223"/>
        <v>60.708600000000004</v>
      </c>
      <c r="M4756">
        <v>4</v>
      </c>
      <c r="N4756" t="str">
        <f t="shared" si="224"/>
        <v>Regular</v>
      </c>
    </row>
    <row r="4757" spans="1:14" x14ac:dyDescent="0.35">
      <c r="A4757">
        <v>4756</v>
      </c>
      <c r="B4757">
        <v>28</v>
      </c>
      <c r="C4757" t="str">
        <f t="shared" si="222"/>
        <v>Youth</v>
      </c>
      <c r="D4757" t="s">
        <v>11</v>
      </c>
      <c r="E4757" t="s">
        <v>29</v>
      </c>
      <c r="F4757" t="s">
        <v>51</v>
      </c>
      <c r="G4757">
        <v>133.09</v>
      </c>
      <c r="H4757" t="s">
        <v>24</v>
      </c>
      <c r="I4757" t="s">
        <v>15</v>
      </c>
      <c r="J4757">
        <v>4.4000000000000004</v>
      </c>
      <c r="K4757">
        <v>17</v>
      </c>
      <c r="L4757">
        <f t="shared" si="223"/>
        <v>110.46469999999999</v>
      </c>
      <c r="M4757">
        <v>6</v>
      </c>
      <c r="N4757" t="str">
        <f t="shared" si="224"/>
        <v>Regular</v>
      </c>
    </row>
    <row r="4758" spans="1:14" x14ac:dyDescent="0.35">
      <c r="A4758">
        <v>4757</v>
      </c>
      <c r="B4758">
        <v>26</v>
      </c>
      <c r="C4758" t="str">
        <f t="shared" si="222"/>
        <v>Youth</v>
      </c>
      <c r="D4758" t="s">
        <v>16</v>
      </c>
      <c r="E4758" t="s">
        <v>22</v>
      </c>
      <c r="F4758" t="s">
        <v>23</v>
      </c>
      <c r="G4758">
        <v>239.79</v>
      </c>
      <c r="H4758" t="s">
        <v>19</v>
      </c>
      <c r="I4758" t="s">
        <v>15</v>
      </c>
      <c r="J4758">
        <v>3.5</v>
      </c>
      <c r="K4758">
        <v>8</v>
      </c>
      <c r="L4758">
        <f t="shared" si="223"/>
        <v>220.60679999999999</v>
      </c>
      <c r="M4758">
        <v>4</v>
      </c>
      <c r="N4758" t="str">
        <f t="shared" si="224"/>
        <v>Regular</v>
      </c>
    </row>
    <row r="4759" spans="1:14" x14ac:dyDescent="0.35">
      <c r="A4759">
        <v>4758</v>
      </c>
      <c r="B4759">
        <v>33</v>
      </c>
      <c r="C4759" t="str">
        <f t="shared" si="222"/>
        <v>Adult</v>
      </c>
      <c r="D4759" t="s">
        <v>11</v>
      </c>
      <c r="E4759" t="s">
        <v>33</v>
      </c>
      <c r="F4759" t="s">
        <v>34</v>
      </c>
      <c r="G4759">
        <v>226.44</v>
      </c>
      <c r="H4759" t="s">
        <v>31</v>
      </c>
      <c r="I4759" t="s">
        <v>15</v>
      </c>
      <c r="J4759">
        <v>4.5</v>
      </c>
      <c r="K4759">
        <v>8</v>
      </c>
      <c r="L4759">
        <f t="shared" si="223"/>
        <v>208.32480000000001</v>
      </c>
      <c r="M4759">
        <v>4</v>
      </c>
      <c r="N4759" t="str">
        <f t="shared" si="224"/>
        <v>Regular</v>
      </c>
    </row>
    <row r="4760" spans="1:14" x14ac:dyDescent="0.35">
      <c r="A4760">
        <v>4759</v>
      </c>
      <c r="B4760">
        <v>69</v>
      </c>
      <c r="C4760" t="str">
        <f t="shared" si="222"/>
        <v>Senior</v>
      </c>
      <c r="D4760" t="s">
        <v>16</v>
      </c>
      <c r="E4760" t="s">
        <v>22</v>
      </c>
      <c r="F4760" t="s">
        <v>52</v>
      </c>
      <c r="G4760">
        <v>232.66</v>
      </c>
      <c r="H4760" t="s">
        <v>19</v>
      </c>
      <c r="I4760" t="s">
        <v>15</v>
      </c>
      <c r="J4760">
        <v>3.7</v>
      </c>
      <c r="K4760">
        <v>26</v>
      </c>
      <c r="L4760">
        <f t="shared" si="223"/>
        <v>172.16839999999999</v>
      </c>
      <c r="M4760">
        <v>8</v>
      </c>
      <c r="N4760" t="str">
        <f t="shared" si="224"/>
        <v>Loyal</v>
      </c>
    </row>
    <row r="4761" spans="1:14" x14ac:dyDescent="0.35">
      <c r="A4761">
        <v>4760</v>
      </c>
      <c r="B4761">
        <v>31</v>
      </c>
      <c r="C4761" t="str">
        <f t="shared" si="222"/>
        <v>Adult</v>
      </c>
      <c r="D4761" t="s">
        <v>11</v>
      </c>
      <c r="E4761" t="s">
        <v>41</v>
      </c>
      <c r="F4761" t="s">
        <v>44</v>
      </c>
      <c r="G4761">
        <v>158.41999999999999</v>
      </c>
      <c r="H4761" t="s">
        <v>19</v>
      </c>
      <c r="I4761" t="s">
        <v>15</v>
      </c>
      <c r="J4761">
        <v>3.3</v>
      </c>
      <c r="K4761">
        <v>15</v>
      </c>
      <c r="L4761">
        <f t="shared" si="223"/>
        <v>134.65699999999998</v>
      </c>
      <c r="M4761">
        <v>5</v>
      </c>
      <c r="N4761" t="str">
        <f t="shared" si="224"/>
        <v>Regular</v>
      </c>
    </row>
    <row r="4762" spans="1:14" x14ac:dyDescent="0.35">
      <c r="A4762">
        <v>4761</v>
      </c>
      <c r="B4762">
        <v>59</v>
      </c>
      <c r="C4762" t="str">
        <f t="shared" si="222"/>
        <v>Adult</v>
      </c>
      <c r="D4762" t="s">
        <v>11</v>
      </c>
      <c r="E4762" t="s">
        <v>25</v>
      </c>
      <c r="F4762" t="s">
        <v>57</v>
      </c>
      <c r="G4762">
        <v>23.69</v>
      </c>
      <c r="H4762" t="s">
        <v>14</v>
      </c>
      <c r="I4762" t="s">
        <v>37</v>
      </c>
      <c r="J4762">
        <v>3.5</v>
      </c>
      <c r="K4762">
        <v>14</v>
      </c>
      <c r="L4762">
        <f t="shared" si="223"/>
        <v>20.3734</v>
      </c>
      <c r="M4762">
        <v>2</v>
      </c>
      <c r="N4762" t="str">
        <f t="shared" si="224"/>
        <v>New</v>
      </c>
    </row>
    <row r="4763" spans="1:14" x14ac:dyDescent="0.35">
      <c r="A4763">
        <v>4762</v>
      </c>
      <c r="B4763">
        <v>34</v>
      </c>
      <c r="C4763" t="str">
        <f t="shared" si="222"/>
        <v>Adult</v>
      </c>
      <c r="D4763" t="s">
        <v>16</v>
      </c>
      <c r="E4763" t="s">
        <v>17</v>
      </c>
      <c r="F4763" t="s">
        <v>18</v>
      </c>
      <c r="G4763">
        <v>174.51</v>
      </c>
      <c r="H4763" t="s">
        <v>19</v>
      </c>
      <c r="I4763" t="s">
        <v>15</v>
      </c>
      <c r="J4763">
        <v>2.6</v>
      </c>
      <c r="K4763">
        <v>12</v>
      </c>
      <c r="L4763">
        <f t="shared" si="223"/>
        <v>153.56879999999998</v>
      </c>
      <c r="M4763">
        <v>6</v>
      </c>
      <c r="N4763" t="str">
        <f t="shared" si="224"/>
        <v>Regular</v>
      </c>
    </row>
    <row r="4764" spans="1:14" x14ac:dyDescent="0.35">
      <c r="A4764">
        <v>4763</v>
      </c>
      <c r="B4764">
        <v>36</v>
      </c>
      <c r="C4764" t="str">
        <f t="shared" si="222"/>
        <v>Adult</v>
      </c>
      <c r="D4764" t="s">
        <v>16</v>
      </c>
      <c r="E4764" t="s">
        <v>20</v>
      </c>
      <c r="F4764" t="s">
        <v>39</v>
      </c>
      <c r="G4764">
        <v>189.27</v>
      </c>
      <c r="H4764" t="s">
        <v>14</v>
      </c>
      <c r="I4764" t="s">
        <v>15</v>
      </c>
      <c r="J4764">
        <v>2.4</v>
      </c>
      <c r="K4764">
        <v>16</v>
      </c>
      <c r="L4764">
        <f t="shared" si="223"/>
        <v>158.98680000000002</v>
      </c>
      <c r="M4764">
        <v>3</v>
      </c>
      <c r="N4764" t="str">
        <f t="shared" si="224"/>
        <v>New</v>
      </c>
    </row>
    <row r="4765" spans="1:14" x14ac:dyDescent="0.35">
      <c r="A4765">
        <v>4764</v>
      </c>
      <c r="B4765">
        <v>22</v>
      </c>
      <c r="C4765" t="str">
        <f t="shared" si="222"/>
        <v>Youth</v>
      </c>
      <c r="D4765" t="s">
        <v>11</v>
      </c>
      <c r="E4765" t="s">
        <v>29</v>
      </c>
      <c r="F4765" t="s">
        <v>51</v>
      </c>
      <c r="G4765">
        <v>28.45</v>
      </c>
      <c r="H4765" t="s">
        <v>24</v>
      </c>
      <c r="I4765" t="s">
        <v>37</v>
      </c>
      <c r="J4765">
        <v>3.6</v>
      </c>
      <c r="K4765">
        <v>15</v>
      </c>
      <c r="L4765">
        <f t="shared" si="223"/>
        <v>24.182499999999997</v>
      </c>
      <c r="M4765">
        <v>5</v>
      </c>
      <c r="N4765" t="str">
        <f t="shared" si="224"/>
        <v>Regular</v>
      </c>
    </row>
    <row r="4766" spans="1:14" x14ac:dyDescent="0.35">
      <c r="A4766">
        <v>4765</v>
      </c>
      <c r="B4766">
        <v>42</v>
      </c>
      <c r="C4766" t="str">
        <f t="shared" si="222"/>
        <v>Adult</v>
      </c>
      <c r="D4766" t="s">
        <v>11</v>
      </c>
      <c r="E4766" t="s">
        <v>12</v>
      </c>
      <c r="F4766" t="s">
        <v>13</v>
      </c>
      <c r="G4766">
        <v>103.25</v>
      </c>
      <c r="H4766" t="s">
        <v>31</v>
      </c>
      <c r="I4766" t="s">
        <v>15</v>
      </c>
      <c r="J4766">
        <v>4.0999999999999996</v>
      </c>
      <c r="K4766">
        <v>15</v>
      </c>
      <c r="L4766">
        <f t="shared" si="223"/>
        <v>87.762500000000003</v>
      </c>
      <c r="M4766">
        <v>5</v>
      </c>
      <c r="N4766" t="str">
        <f t="shared" si="224"/>
        <v>Regular</v>
      </c>
    </row>
    <row r="4767" spans="1:14" x14ac:dyDescent="0.35">
      <c r="A4767">
        <v>4766</v>
      </c>
      <c r="B4767">
        <v>32</v>
      </c>
      <c r="C4767" t="str">
        <f t="shared" si="222"/>
        <v>Adult</v>
      </c>
      <c r="D4767" t="s">
        <v>16</v>
      </c>
      <c r="E4767" t="s">
        <v>27</v>
      </c>
      <c r="F4767" t="s">
        <v>28</v>
      </c>
      <c r="G4767">
        <v>2817.12</v>
      </c>
      <c r="H4767" t="s">
        <v>14</v>
      </c>
      <c r="I4767" t="s">
        <v>15</v>
      </c>
      <c r="J4767">
        <v>2.6</v>
      </c>
      <c r="K4767">
        <v>12</v>
      </c>
      <c r="L4767">
        <f t="shared" si="223"/>
        <v>2479.0655999999999</v>
      </c>
      <c r="M4767">
        <v>6</v>
      </c>
      <c r="N4767" t="str">
        <f t="shared" si="224"/>
        <v>Regular</v>
      </c>
    </row>
    <row r="4768" spans="1:14" x14ac:dyDescent="0.35">
      <c r="A4768">
        <v>4767</v>
      </c>
      <c r="B4768">
        <v>45</v>
      </c>
      <c r="C4768" t="str">
        <f t="shared" si="222"/>
        <v>Adult</v>
      </c>
      <c r="D4768" t="s">
        <v>16</v>
      </c>
      <c r="E4768" t="s">
        <v>33</v>
      </c>
      <c r="F4768" t="s">
        <v>40</v>
      </c>
      <c r="G4768">
        <v>239.66</v>
      </c>
      <c r="H4768" t="s">
        <v>19</v>
      </c>
      <c r="I4768" t="s">
        <v>15</v>
      </c>
      <c r="J4768">
        <v>4.7</v>
      </c>
      <c r="K4768">
        <v>12</v>
      </c>
      <c r="L4768">
        <f t="shared" si="223"/>
        <v>210.9008</v>
      </c>
      <c r="M4768">
        <v>6</v>
      </c>
      <c r="N4768" t="str">
        <f t="shared" si="224"/>
        <v>Regular</v>
      </c>
    </row>
    <row r="4769" spans="1:14" x14ac:dyDescent="0.35">
      <c r="A4769">
        <v>4768</v>
      </c>
      <c r="B4769">
        <v>30</v>
      </c>
      <c r="C4769" t="str">
        <f t="shared" si="222"/>
        <v>Youth</v>
      </c>
      <c r="D4769" t="s">
        <v>16</v>
      </c>
      <c r="E4769" t="s">
        <v>17</v>
      </c>
      <c r="F4769" t="s">
        <v>35</v>
      </c>
      <c r="G4769">
        <v>56.45</v>
      </c>
      <c r="H4769" t="s">
        <v>24</v>
      </c>
      <c r="I4769" t="s">
        <v>15</v>
      </c>
      <c r="J4769">
        <v>3.7</v>
      </c>
      <c r="K4769">
        <v>24</v>
      </c>
      <c r="L4769">
        <f t="shared" si="223"/>
        <v>42.902000000000001</v>
      </c>
      <c r="M4769">
        <v>7</v>
      </c>
      <c r="N4769" t="str">
        <f t="shared" si="224"/>
        <v>Regular</v>
      </c>
    </row>
    <row r="4770" spans="1:14" x14ac:dyDescent="0.35">
      <c r="A4770">
        <v>4769</v>
      </c>
      <c r="B4770">
        <v>69</v>
      </c>
      <c r="C4770" t="str">
        <f t="shared" si="222"/>
        <v>Senior</v>
      </c>
      <c r="D4770" t="s">
        <v>11</v>
      </c>
      <c r="E4770" t="s">
        <v>33</v>
      </c>
      <c r="F4770" t="s">
        <v>34</v>
      </c>
      <c r="G4770">
        <v>114.1</v>
      </c>
      <c r="H4770" t="s">
        <v>24</v>
      </c>
      <c r="I4770" t="s">
        <v>15</v>
      </c>
      <c r="J4770">
        <v>3.4</v>
      </c>
      <c r="K4770">
        <v>28</v>
      </c>
      <c r="L4770">
        <f t="shared" si="223"/>
        <v>82.151999999999987</v>
      </c>
      <c r="M4770">
        <v>9</v>
      </c>
      <c r="N4770" t="str">
        <f t="shared" si="224"/>
        <v>Loyal</v>
      </c>
    </row>
    <row r="4771" spans="1:14" x14ac:dyDescent="0.35">
      <c r="A4771">
        <v>4770</v>
      </c>
      <c r="B4771">
        <v>48</v>
      </c>
      <c r="C4771" t="str">
        <f t="shared" si="222"/>
        <v>Adult</v>
      </c>
      <c r="D4771" t="s">
        <v>11</v>
      </c>
      <c r="E4771" t="s">
        <v>41</v>
      </c>
      <c r="F4771" t="s">
        <v>44</v>
      </c>
      <c r="G4771">
        <v>180.95</v>
      </c>
      <c r="H4771" t="s">
        <v>14</v>
      </c>
      <c r="I4771" t="s">
        <v>15</v>
      </c>
      <c r="J4771">
        <v>4</v>
      </c>
      <c r="K4771">
        <v>10</v>
      </c>
      <c r="L4771">
        <f t="shared" si="223"/>
        <v>162.85499999999999</v>
      </c>
      <c r="M4771">
        <v>5</v>
      </c>
      <c r="N4771" t="str">
        <f t="shared" si="224"/>
        <v>Regular</v>
      </c>
    </row>
    <row r="4772" spans="1:14" x14ac:dyDescent="0.35">
      <c r="A4772">
        <v>4771</v>
      </c>
      <c r="B4772">
        <v>44</v>
      </c>
      <c r="C4772" t="str">
        <f t="shared" si="222"/>
        <v>Adult</v>
      </c>
      <c r="D4772" t="s">
        <v>11</v>
      </c>
      <c r="E4772" t="s">
        <v>41</v>
      </c>
      <c r="F4772" t="s">
        <v>42</v>
      </c>
      <c r="G4772">
        <v>45.18</v>
      </c>
      <c r="H4772" t="s">
        <v>19</v>
      </c>
      <c r="I4772" t="s">
        <v>15</v>
      </c>
      <c r="J4772">
        <v>4.4000000000000004</v>
      </c>
      <c r="K4772">
        <v>15</v>
      </c>
      <c r="L4772">
        <f t="shared" si="223"/>
        <v>38.402999999999999</v>
      </c>
      <c r="M4772">
        <v>5</v>
      </c>
      <c r="N4772" t="str">
        <f t="shared" si="224"/>
        <v>Regular</v>
      </c>
    </row>
    <row r="4773" spans="1:14" x14ac:dyDescent="0.35">
      <c r="A4773">
        <v>4772</v>
      </c>
      <c r="B4773">
        <v>30</v>
      </c>
      <c r="C4773" t="str">
        <f t="shared" si="222"/>
        <v>Youth</v>
      </c>
      <c r="D4773" t="s">
        <v>16</v>
      </c>
      <c r="E4773" t="s">
        <v>33</v>
      </c>
      <c r="F4773" t="s">
        <v>34</v>
      </c>
      <c r="G4773">
        <v>243.11</v>
      </c>
      <c r="H4773" t="s">
        <v>24</v>
      </c>
      <c r="I4773" t="s">
        <v>15</v>
      </c>
      <c r="J4773">
        <v>3.4</v>
      </c>
      <c r="K4773">
        <v>18</v>
      </c>
      <c r="L4773">
        <f t="shared" si="223"/>
        <v>199.35020000000003</v>
      </c>
      <c r="M4773">
        <v>9</v>
      </c>
      <c r="N4773" t="str">
        <f t="shared" si="224"/>
        <v>Loyal</v>
      </c>
    </row>
    <row r="4774" spans="1:14" x14ac:dyDescent="0.35">
      <c r="A4774">
        <v>4773</v>
      </c>
      <c r="B4774">
        <v>66</v>
      </c>
      <c r="C4774" t="str">
        <f t="shared" si="222"/>
        <v>Senior</v>
      </c>
      <c r="D4774" t="s">
        <v>16</v>
      </c>
      <c r="E4774" t="s">
        <v>33</v>
      </c>
      <c r="F4774" t="s">
        <v>38</v>
      </c>
      <c r="G4774">
        <v>200.45</v>
      </c>
      <c r="H4774" t="s">
        <v>19</v>
      </c>
      <c r="I4774" t="s">
        <v>15</v>
      </c>
      <c r="J4774">
        <v>4.4000000000000004</v>
      </c>
      <c r="K4774">
        <v>18</v>
      </c>
      <c r="L4774">
        <f t="shared" si="223"/>
        <v>164.369</v>
      </c>
      <c r="M4774">
        <v>4</v>
      </c>
      <c r="N4774" t="str">
        <f t="shared" si="224"/>
        <v>Regular</v>
      </c>
    </row>
    <row r="4775" spans="1:14" x14ac:dyDescent="0.35">
      <c r="A4775">
        <v>4774</v>
      </c>
      <c r="B4775">
        <v>33</v>
      </c>
      <c r="C4775" t="str">
        <f t="shared" si="222"/>
        <v>Adult</v>
      </c>
      <c r="D4775" t="s">
        <v>11</v>
      </c>
      <c r="E4775" t="s">
        <v>29</v>
      </c>
      <c r="F4775" t="s">
        <v>55</v>
      </c>
      <c r="G4775">
        <v>121.83</v>
      </c>
      <c r="H4775" t="s">
        <v>24</v>
      </c>
      <c r="I4775" t="s">
        <v>15</v>
      </c>
      <c r="J4775">
        <v>4.4000000000000004</v>
      </c>
      <c r="K4775">
        <v>8</v>
      </c>
      <c r="L4775">
        <f t="shared" si="223"/>
        <v>112.0836</v>
      </c>
      <c r="M4775">
        <v>4</v>
      </c>
      <c r="N4775" t="str">
        <f t="shared" si="224"/>
        <v>Regular</v>
      </c>
    </row>
    <row r="4776" spans="1:14" x14ac:dyDescent="0.35">
      <c r="A4776">
        <v>4775</v>
      </c>
      <c r="B4776">
        <v>41</v>
      </c>
      <c r="C4776" t="str">
        <f t="shared" si="222"/>
        <v>Adult</v>
      </c>
      <c r="D4776" t="s">
        <v>11</v>
      </c>
      <c r="E4776" t="s">
        <v>25</v>
      </c>
      <c r="F4776" t="s">
        <v>47</v>
      </c>
      <c r="G4776">
        <v>28.73</v>
      </c>
      <c r="H4776" t="s">
        <v>31</v>
      </c>
      <c r="I4776" t="s">
        <v>15</v>
      </c>
      <c r="J4776">
        <v>3.9</v>
      </c>
      <c r="K4776">
        <v>6</v>
      </c>
      <c r="L4776">
        <f t="shared" si="223"/>
        <v>27.0062</v>
      </c>
      <c r="M4776">
        <v>3</v>
      </c>
      <c r="N4776" t="str">
        <f t="shared" si="224"/>
        <v>New</v>
      </c>
    </row>
    <row r="4777" spans="1:14" x14ac:dyDescent="0.35">
      <c r="A4777">
        <v>4776</v>
      </c>
      <c r="B4777">
        <v>27</v>
      </c>
      <c r="C4777" t="str">
        <f t="shared" si="222"/>
        <v>Youth</v>
      </c>
      <c r="D4777" t="s">
        <v>11</v>
      </c>
      <c r="E4777" t="s">
        <v>33</v>
      </c>
      <c r="F4777" t="s">
        <v>34</v>
      </c>
      <c r="G4777">
        <v>117.43</v>
      </c>
      <c r="H4777" t="s">
        <v>19</v>
      </c>
      <c r="I4777" t="s">
        <v>15</v>
      </c>
      <c r="J4777">
        <v>3.4</v>
      </c>
      <c r="K4777">
        <v>10</v>
      </c>
      <c r="L4777">
        <f t="shared" si="223"/>
        <v>105.68700000000001</v>
      </c>
      <c r="M4777">
        <v>5</v>
      </c>
      <c r="N4777" t="str">
        <f t="shared" si="224"/>
        <v>Regular</v>
      </c>
    </row>
    <row r="4778" spans="1:14" x14ac:dyDescent="0.35">
      <c r="A4778">
        <v>4777</v>
      </c>
      <c r="B4778">
        <v>57</v>
      </c>
      <c r="C4778" t="str">
        <f t="shared" si="222"/>
        <v>Adult</v>
      </c>
      <c r="D4778" t="s">
        <v>16</v>
      </c>
      <c r="E4778" t="s">
        <v>27</v>
      </c>
      <c r="F4778" t="s">
        <v>53</v>
      </c>
      <c r="G4778">
        <v>1597.87</v>
      </c>
      <c r="H4778" t="s">
        <v>14</v>
      </c>
      <c r="I4778" t="s">
        <v>15</v>
      </c>
      <c r="J4778">
        <v>4.2</v>
      </c>
      <c r="K4778">
        <v>19</v>
      </c>
      <c r="L4778">
        <f t="shared" si="223"/>
        <v>1294.2746999999999</v>
      </c>
      <c r="M4778">
        <v>7</v>
      </c>
      <c r="N4778" t="str">
        <f t="shared" si="224"/>
        <v>Regular</v>
      </c>
    </row>
    <row r="4779" spans="1:14" x14ac:dyDescent="0.35">
      <c r="A4779">
        <v>4778</v>
      </c>
      <c r="B4779">
        <v>48</v>
      </c>
      <c r="C4779" t="str">
        <f t="shared" si="222"/>
        <v>Adult</v>
      </c>
      <c r="D4779" t="s">
        <v>16</v>
      </c>
      <c r="E4779" t="s">
        <v>20</v>
      </c>
      <c r="F4779" t="s">
        <v>36</v>
      </c>
      <c r="G4779">
        <v>137.63</v>
      </c>
      <c r="H4779" t="s">
        <v>14</v>
      </c>
      <c r="I4779" t="s">
        <v>15</v>
      </c>
      <c r="J4779">
        <v>3.5</v>
      </c>
      <c r="K4779">
        <v>8</v>
      </c>
      <c r="L4779">
        <f t="shared" si="223"/>
        <v>126.61960000000001</v>
      </c>
      <c r="M4779">
        <v>4</v>
      </c>
      <c r="N4779" t="str">
        <f t="shared" si="224"/>
        <v>Regular</v>
      </c>
    </row>
    <row r="4780" spans="1:14" x14ac:dyDescent="0.35">
      <c r="A4780">
        <v>4779</v>
      </c>
      <c r="B4780">
        <v>67</v>
      </c>
      <c r="C4780" t="str">
        <f t="shared" si="222"/>
        <v>Senior</v>
      </c>
      <c r="D4780" t="s">
        <v>11</v>
      </c>
      <c r="E4780" t="s">
        <v>41</v>
      </c>
      <c r="F4780" t="s">
        <v>44</v>
      </c>
      <c r="G4780">
        <v>134.72999999999999</v>
      </c>
      <c r="H4780" t="s">
        <v>24</v>
      </c>
      <c r="I4780" t="s">
        <v>15</v>
      </c>
      <c r="J4780">
        <v>3.9</v>
      </c>
      <c r="K4780">
        <v>13</v>
      </c>
      <c r="L4780">
        <f t="shared" si="223"/>
        <v>117.21509999999999</v>
      </c>
      <c r="M4780">
        <v>4</v>
      </c>
      <c r="N4780" t="str">
        <f t="shared" si="224"/>
        <v>Regular</v>
      </c>
    </row>
    <row r="4781" spans="1:14" x14ac:dyDescent="0.35">
      <c r="A4781">
        <v>4780</v>
      </c>
      <c r="B4781">
        <v>59</v>
      </c>
      <c r="C4781" t="str">
        <f t="shared" si="222"/>
        <v>Adult</v>
      </c>
      <c r="D4781" t="s">
        <v>11</v>
      </c>
      <c r="E4781" t="s">
        <v>29</v>
      </c>
      <c r="F4781" t="s">
        <v>55</v>
      </c>
      <c r="G4781">
        <v>42.19</v>
      </c>
      <c r="H4781" t="s">
        <v>31</v>
      </c>
      <c r="I4781" t="s">
        <v>15</v>
      </c>
      <c r="J4781">
        <v>2.2000000000000002</v>
      </c>
      <c r="K4781">
        <v>11</v>
      </c>
      <c r="L4781">
        <f t="shared" si="223"/>
        <v>37.549099999999996</v>
      </c>
      <c r="M4781">
        <v>3</v>
      </c>
      <c r="N4781" t="str">
        <f t="shared" si="224"/>
        <v>New</v>
      </c>
    </row>
    <row r="4782" spans="1:14" x14ac:dyDescent="0.35">
      <c r="A4782">
        <v>4781</v>
      </c>
      <c r="B4782">
        <v>66</v>
      </c>
      <c r="C4782" t="str">
        <f t="shared" si="222"/>
        <v>Senior</v>
      </c>
      <c r="D4782" t="s">
        <v>16</v>
      </c>
      <c r="E4782" t="s">
        <v>25</v>
      </c>
      <c r="F4782" t="s">
        <v>54</v>
      </c>
      <c r="G4782">
        <v>44.99</v>
      </c>
      <c r="H4782" t="s">
        <v>14</v>
      </c>
      <c r="I4782" t="s">
        <v>37</v>
      </c>
      <c r="J4782">
        <v>4.3</v>
      </c>
      <c r="K4782">
        <v>19</v>
      </c>
      <c r="L4782">
        <f t="shared" si="223"/>
        <v>36.441900000000004</v>
      </c>
      <c r="M4782">
        <v>7</v>
      </c>
      <c r="N4782" t="str">
        <f t="shared" si="224"/>
        <v>Regular</v>
      </c>
    </row>
    <row r="4783" spans="1:14" x14ac:dyDescent="0.35">
      <c r="A4783">
        <v>4782</v>
      </c>
      <c r="B4783">
        <v>60</v>
      </c>
      <c r="C4783" t="str">
        <f t="shared" si="222"/>
        <v>Adult</v>
      </c>
      <c r="D4783" t="s">
        <v>16</v>
      </c>
      <c r="E4783" t="s">
        <v>25</v>
      </c>
      <c r="F4783" t="s">
        <v>57</v>
      </c>
      <c r="G4783">
        <v>5.98</v>
      </c>
      <c r="H4783" t="s">
        <v>31</v>
      </c>
      <c r="I4783" t="s">
        <v>37</v>
      </c>
      <c r="J4783">
        <v>3.7</v>
      </c>
      <c r="K4783">
        <v>15</v>
      </c>
      <c r="L4783">
        <f t="shared" si="223"/>
        <v>5.0830000000000002</v>
      </c>
      <c r="M4783">
        <v>5</v>
      </c>
      <c r="N4783" t="str">
        <f t="shared" si="224"/>
        <v>Regular</v>
      </c>
    </row>
    <row r="4784" spans="1:14" x14ac:dyDescent="0.35">
      <c r="A4784">
        <v>4783</v>
      </c>
      <c r="B4784">
        <v>50</v>
      </c>
      <c r="C4784" t="str">
        <f t="shared" si="222"/>
        <v>Adult</v>
      </c>
      <c r="D4784" t="s">
        <v>11</v>
      </c>
      <c r="E4784" t="s">
        <v>41</v>
      </c>
      <c r="F4784" t="s">
        <v>46</v>
      </c>
      <c r="G4784">
        <v>90.5</v>
      </c>
      <c r="H4784" t="s">
        <v>14</v>
      </c>
      <c r="I4784" t="s">
        <v>37</v>
      </c>
      <c r="J4784">
        <v>3.6</v>
      </c>
      <c r="K4784">
        <v>19</v>
      </c>
      <c r="L4784">
        <f t="shared" si="223"/>
        <v>73.305000000000007</v>
      </c>
      <c r="M4784">
        <v>7</v>
      </c>
      <c r="N4784" t="str">
        <f t="shared" si="224"/>
        <v>Regular</v>
      </c>
    </row>
    <row r="4785" spans="1:14" x14ac:dyDescent="0.35">
      <c r="A4785">
        <v>4784</v>
      </c>
      <c r="B4785">
        <v>67</v>
      </c>
      <c r="C4785" t="str">
        <f t="shared" si="222"/>
        <v>Senior</v>
      </c>
      <c r="D4785" t="s">
        <v>11</v>
      </c>
      <c r="E4785" t="s">
        <v>41</v>
      </c>
      <c r="F4785" t="s">
        <v>42</v>
      </c>
      <c r="G4785">
        <v>61.64</v>
      </c>
      <c r="H4785" t="s">
        <v>19</v>
      </c>
      <c r="I4785" t="s">
        <v>37</v>
      </c>
      <c r="J4785">
        <v>3.8</v>
      </c>
      <c r="K4785">
        <v>14</v>
      </c>
      <c r="L4785">
        <f t="shared" si="223"/>
        <v>53.010399999999997</v>
      </c>
      <c r="M4785">
        <v>2</v>
      </c>
      <c r="N4785" t="str">
        <f t="shared" si="224"/>
        <v>New</v>
      </c>
    </row>
    <row r="4786" spans="1:14" x14ac:dyDescent="0.35">
      <c r="A4786">
        <v>4785</v>
      </c>
      <c r="B4786">
        <v>21</v>
      </c>
      <c r="C4786" t="str">
        <f t="shared" si="222"/>
        <v>Youth</v>
      </c>
      <c r="D4786" t="s">
        <v>16</v>
      </c>
      <c r="E4786" t="s">
        <v>17</v>
      </c>
      <c r="F4786" t="s">
        <v>35</v>
      </c>
      <c r="G4786">
        <v>30.63</v>
      </c>
      <c r="H4786" t="s">
        <v>24</v>
      </c>
      <c r="I4786" t="s">
        <v>15</v>
      </c>
      <c r="J4786">
        <v>3.2</v>
      </c>
      <c r="K4786">
        <v>15</v>
      </c>
      <c r="L4786">
        <f t="shared" si="223"/>
        <v>26.035499999999999</v>
      </c>
      <c r="M4786">
        <v>5</v>
      </c>
      <c r="N4786" t="str">
        <f t="shared" si="224"/>
        <v>Regular</v>
      </c>
    </row>
    <row r="4787" spans="1:14" x14ac:dyDescent="0.35">
      <c r="A4787">
        <v>4786</v>
      </c>
      <c r="B4787">
        <v>31</v>
      </c>
      <c r="C4787" t="str">
        <f t="shared" si="222"/>
        <v>Adult</v>
      </c>
      <c r="D4787" t="s">
        <v>16</v>
      </c>
      <c r="E4787" t="s">
        <v>20</v>
      </c>
      <c r="F4787" t="s">
        <v>39</v>
      </c>
      <c r="G4787">
        <v>82.96</v>
      </c>
      <c r="H4787" t="s">
        <v>19</v>
      </c>
      <c r="I4787" t="s">
        <v>15</v>
      </c>
      <c r="J4787">
        <v>3.2</v>
      </c>
      <c r="K4787">
        <v>13</v>
      </c>
      <c r="L4787">
        <f t="shared" si="223"/>
        <v>72.17519999999999</v>
      </c>
      <c r="M4787">
        <v>4</v>
      </c>
      <c r="N4787" t="str">
        <f t="shared" si="224"/>
        <v>Regular</v>
      </c>
    </row>
    <row r="4788" spans="1:14" x14ac:dyDescent="0.35">
      <c r="A4788">
        <v>4787</v>
      </c>
      <c r="B4788">
        <v>43</v>
      </c>
      <c r="C4788" t="str">
        <f t="shared" si="222"/>
        <v>Adult</v>
      </c>
      <c r="D4788" t="s">
        <v>11</v>
      </c>
      <c r="E4788" t="s">
        <v>22</v>
      </c>
      <c r="F4788" t="s">
        <v>23</v>
      </c>
      <c r="G4788">
        <v>162.78</v>
      </c>
      <c r="H4788" t="s">
        <v>14</v>
      </c>
      <c r="I4788" t="s">
        <v>15</v>
      </c>
      <c r="J4788">
        <v>3.3</v>
      </c>
      <c r="K4788">
        <v>12</v>
      </c>
      <c r="L4788">
        <f t="shared" si="223"/>
        <v>143.24639999999999</v>
      </c>
      <c r="M4788">
        <v>1</v>
      </c>
      <c r="N4788" t="str">
        <f t="shared" si="224"/>
        <v>New</v>
      </c>
    </row>
    <row r="4789" spans="1:14" x14ac:dyDescent="0.35">
      <c r="A4789">
        <v>4788</v>
      </c>
      <c r="B4789">
        <v>20</v>
      </c>
      <c r="C4789" t="str">
        <f t="shared" si="222"/>
        <v>Youth</v>
      </c>
      <c r="D4789" t="s">
        <v>16</v>
      </c>
      <c r="E4789" t="s">
        <v>20</v>
      </c>
      <c r="F4789" t="s">
        <v>39</v>
      </c>
      <c r="G4789">
        <v>173.24</v>
      </c>
      <c r="H4789" t="s">
        <v>19</v>
      </c>
      <c r="I4789" t="s">
        <v>15</v>
      </c>
      <c r="J4789">
        <v>2.9</v>
      </c>
      <c r="K4789">
        <v>10</v>
      </c>
      <c r="L4789">
        <f t="shared" si="223"/>
        <v>155.91600000000003</v>
      </c>
      <c r="M4789">
        <v>5</v>
      </c>
      <c r="N4789" t="str">
        <f t="shared" si="224"/>
        <v>Regular</v>
      </c>
    </row>
    <row r="4790" spans="1:14" x14ac:dyDescent="0.35">
      <c r="A4790">
        <v>4789</v>
      </c>
      <c r="B4790">
        <v>58</v>
      </c>
      <c r="C4790" t="str">
        <f t="shared" si="222"/>
        <v>Adult</v>
      </c>
      <c r="D4790" t="s">
        <v>16</v>
      </c>
      <c r="E4790" t="s">
        <v>27</v>
      </c>
      <c r="F4790" t="s">
        <v>53</v>
      </c>
      <c r="G4790">
        <v>1498.26</v>
      </c>
      <c r="H4790" t="s">
        <v>19</v>
      </c>
      <c r="I4790" t="s">
        <v>15</v>
      </c>
      <c r="J4790">
        <v>4.2</v>
      </c>
      <c r="K4790">
        <v>8</v>
      </c>
      <c r="L4790">
        <f t="shared" si="223"/>
        <v>1378.3992000000001</v>
      </c>
      <c r="M4790">
        <v>4</v>
      </c>
      <c r="N4790" t="str">
        <f t="shared" si="224"/>
        <v>Regular</v>
      </c>
    </row>
    <row r="4791" spans="1:14" x14ac:dyDescent="0.35">
      <c r="A4791">
        <v>4790</v>
      </c>
      <c r="B4791">
        <v>68</v>
      </c>
      <c r="C4791" t="str">
        <f t="shared" si="222"/>
        <v>Senior</v>
      </c>
      <c r="D4791" t="s">
        <v>11</v>
      </c>
      <c r="E4791" t="s">
        <v>12</v>
      </c>
      <c r="F4791" t="s">
        <v>50</v>
      </c>
      <c r="G4791">
        <v>124.8</v>
      </c>
      <c r="H4791" t="s">
        <v>19</v>
      </c>
      <c r="I4791" t="s">
        <v>15</v>
      </c>
      <c r="J4791">
        <v>4.0999999999999996</v>
      </c>
      <c r="K4791">
        <v>11</v>
      </c>
      <c r="L4791">
        <f t="shared" si="223"/>
        <v>111.072</v>
      </c>
      <c r="M4791">
        <v>3</v>
      </c>
      <c r="N4791" t="str">
        <f t="shared" si="224"/>
        <v>New</v>
      </c>
    </row>
    <row r="4792" spans="1:14" x14ac:dyDescent="0.35">
      <c r="A4792">
        <v>4791</v>
      </c>
      <c r="B4792">
        <v>57</v>
      </c>
      <c r="C4792" t="str">
        <f t="shared" si="222"/>
        <v>Adult</v>
      </c>
      <c r="D4792" t="s">
        <v>16</v>
      </c>
      <c r="E4792" t="s">
        <v>25</v>
      </c>
      <c r="F4792" t="s">
        <v>57</v>
      </c>
      <c r="G4792">
        <v>45.07</v>
      </c>
      <c r="H4792" t="s">
        <v>14</v>
      </c>
      <c r="I4792" t="s">
        <v>37</v>
      </c>
      <c r="J4792">
        <v>4.5</v>
      </c>
      <c r="K4792">
        <v>9</v>
      </c>
      <c r="L4792">
        <f t="shared" si="223"/>
        <v>41.0137</v>
      </c>
      <c r="M4792">
        <v>2</v>
      </c>
      <c r="N4792" t="str">
        <f t="shared" si="224"/>
        <v>New</v>
      </c>
    </row>
    <row r="4793" spans="1:14" x14ac:dyDescent="0.35">
      <c r="A4793">
        <v>4792</v>
      </c>
      <c r="B4793">
        <v>66</v>
      </c>
      <c r="C4793" t="str">
        <f t="shared" si="222"/>
        <v>Senior</v>
      </c>
      <c r="D4793" t="s">
        <v>11</v>
      </c>
      <c r="E4793" t="s">
        <v>41</v>
      </c>
      <c r="F4793" t="s">
        <v>46</v>
      </c>
      <c r="G4793">
        <v>121.66</v>
      </c>
      <c r="H4793" t="s">
        <v>24</v>
      </c>
      <c r="I4793" t="s">
        <v>15</v>
      </c>
      <c r="J4793">
        <v>3.9</v>
      </c>
      <c r="K4793">
        <v>24</v>
      </c>
      <c r="L4793">
        <f t="shared" si="223"/>
        <v>92.461600000000004</v>
      </c>
      <c r="M4793">
        <v>7</v>
      </c>
      <c r="N4793" t="str">
        <f t="shared" si="224"/>
        <v>Regular</v>
      </c>
    </row>
    <row r="4794" spans="1:14" x14ac:dyDescent="0.35">
      <c r="A4794">
        <v>4793</v>
      </c>
      <c r="B4794">
        <v>55</v>
      </c>
      <c r="C4794" t="str">
        <f t="shared" si="222"/>
        <v>Adult</v>
      </c>
      <c r="D4794" t="s">
        <v>16</v>
      </c>
      <c r="E4794" t="s">
        <v>17</v>
      </c>
      <c r="F4794" t="s">
        <v>18</v>
      </c>
      <c r="G4794">
        <v>63.17</v>
      </c>
      <c r="H4794" t="s">
        <v>24</v>
      </c>
      <c r="I4794" t="s">
        <v>37</v>
      </c>
      <c r="J4794">
        <v>2.9</v>
      </c>
      <c r="K4794">
        <v>12</v>
      </c>
      <c r="L4794">
        <f t="shared" si="223"/>
        <v>55.589600000000004</v>
      </c>
      <c r="M4794">
        <v>6</v>
      </c>
      <c r="N4794" t="str">
        <f t="shared" si="224"/>
        <v>Regular</v>
      </c>
    </row>
    <row r="4795" spans="1:14" x14ac:dyDescent="0.35">
      <c r="A4795">
        <v>4794</v>
      </c>
      <c r="B4795">
        <v>37</v>
      </c>
      <c r="C4795" t="str">
        <f t="shared" si="222"/>
        <v>Adult</v>
      </c>
      <c r="D4795" t="s">
        <v>16</v>
      </c>
      <c r="E4795" t="s">
        <v>17</v>
      </c>
      <c r="F4795" t="s">
        <v>48</v>
      </c>
      <c r="G4795">
        <v>34.630000000000003</v>
      </c>
      <c r="H4795" t="s">
        <v>31</v>
      </c>
      <c r="I4795" t="s">
        <v>37</v>
      </c>
      <c r="J4795">
        <v>2.9</v>
      </c>
      <c r="K4795">
        <v>10</v>
      </c>
      <c r="L4795">
        <f t="shared" si="223"/>
        <v>31.167000000000002</v>
      </c>
      <c r="M4795">
        <v>0</v>
      </c>
      <c r="N4795" t="str">
        <f t="shared" si="224"/>
        <v>New</v>
      </c>
    </row>
    <row r="4796" spans="1:14" x14ac:dyDescent="0.35">
      <c r="A4796">
        <v>4795</v>
      </c>
      <c r="B4796">
        <v>24</v>
      </c>
      <c r="C4796" t="str">
        <f t="shared" si="222"/>
        <v>Youth</v>
      </c>
      <c r="D4796" t="s">
        <v>11</v>
      </c>
      <c r="E4796" t="s">
        <v>41</v>
      </c>
      <c r="F4796" t="s">
        <v>45</v>
      </c>
      <c r="G4796">
        <v>59.95</v>
      </c>
      <c r="H4796" t="s">
        <v>24</v>
      </c>
      <c r="I4796" t="s">
        <v>15</v>
      </c>
      <c r="J4796">
        <v>3.3</v>
      </c>
      <c r="K4796">
        <v>14</v>
      </c>
      <c r="L4796">
        <f t="shared" si="223"/>
        <v>51.557000000000002</v>
      </c>
      <c r="M4796">
        <v>2</v>
      </c>
      <c r="N4796" t="str">
        <f t="shared" si="224"/>
        <v>New</v>
      </c>
    </row>
    <row r="4797" spans="1:14" x14ac:dyDescent="0.35">
      <c r="A4797">
        <v>4796</v>
      </c>
      <c r="B4797">
        <v>65</v>
      </c>
      <c r="C4797" t="str">
        <f t="shared" si="222"/>
        <v>Senior</v>
      </c>
      <c r="D4797" t="s">
        <v>11</v>
      </c>
      <c r="E4797" t="s">
        <v>12</v>
      </c>
      <c r="F4797" t="s">
        <v>56</v>
      </c>
      <c r="G4797">
        <v>177.54</v>
      </c>
      <c r="H4797" t="s">
        <v>24</v>
      </c>
      <c r="I4797" t="s">
        <v>15</v>
      </c>
      <c r="J4797">
        <v>2.8</v>
      </c>
      <c r="K4797">
        <v>18</v>
      </c>
      <c r="L4797">
        <f t="shared" si="223"/>
        <v>145.58279999999999</v>
      </c>
      <c r="M4797">
        <v>4</v>
      </c>
      <c r="N4797" t="str">
        <f t="shared" si="224"/>
        <v>Regular</v>
      </c>
    </row>
    <row r="4798" spans="1:14" x14ac:dyDescent="0.35">
      <c r="A4798">
        <v>4797</v>
      </c>
      <c r="B4798">
        <v>66</v>
      </c>
      <c r="C4798" t="str">
        <f t="shared" si="222"/>
        <v>Senior</v>
      </c>
      <c r="D4798" t="s">
        <v>16</v>
      </c>
      <c r="E4798" t="s">
        <v>20</v>
      </c>
      <c r="F4798" t="s">
        <v>36</v>
      </c>
      <c r="G4798">
        <v>97.98</v>
      </c>
      <c r="H4798" t="s">
        <v>14</v>
      </c>
      <c r="I4798" t="s">
        <v>37</v>
      </c>
      <c r="J4798">
        <v>3.3</v>
      </c>
      <c r="K4798">
        <v>18</v>
      </c>
      <c r="L4798">
        <f t="shared" si="223"/>
        <v>80.343600000000009</v>
      </c>
      <c r="M4798">
        <v>9</v>
      </c>
      <c r="N4798" t="str">
        <f t="shared" si="224"/>
        <v>Loyal</v>
      </c>
    </row>
    <row r="4799" spans="1:14" x14ac:dyDescent="0.35">
      <c r="A4799">
        <v>4798</v>
      </c>
      <c r="B4799">
        <v>56</v>
      </c>
      <c r="C4799" t="str">
        <f t="shared" si="222"/>
        <v>Adult</v>
      </c>
      <c r="D4799" t="s">
        <v>11</v>
      </c>
      <c r="E4799" t="s">
        <v>12</v>
      </c>
      <c r="F4799" t="s">
        <v>56</v>
      </c>
      <c r="G4799">
        <v>62.19</v>
      </c>
      <c r="H4799" t="s">
        <v>24</v>
      </c>
      <c r="I4799" t="s">
        <v>37</v>
      </c>
      <c r="J4799">
        <v>4.4000000000000004</v>
      </c>
      <c r="K4799">
        <v>7</v>
      </c>
      <c r="L4799">
        <f t="shared" si="223"/>
        <v>57.836699999999993</v>
      </c>
      <c r="M4799">
        <v>1</v>
      </c>
      <c r="N4799" t="str">
        <f t="shared" si="224"/>
        <v>New</v>
      </c>
    </row>
    <row r="4800" spans="1:14" x14ac:dyDescent="0.35">
      <c r="A4800">
        <v>4799</v>
      </c>
      <c r="B4800">
        <v>65</v>
      </c>
      <c r="C4800" t="str">
        <f t="shared" si="222"/>
        <v>Senior</v>
      </c>
      <c r="D4800" t="s">
        <v>11</v>
      </c>
      <c r="E4800" t="s">
        <v>20</v>
      </c>
      <c r="F4800" t="s">
        <v>21</v>
      </c>
      <c r="G4800">
        <v>36.71</v>
      </c>
      <c r="H4800" t="s">
        <v>14</v>
      </c>
      <c r="I4800" t="s">
        <v>37</v>
      </c>
      <c r="J4800">
        <v>3.5</v>
      </c>
      <c r="K4800">
        <v>23</v>
      </c>
      <c r="L4800">
        <f t="shared" si="223"/>
        <v>28.2667</v>
      </c>
      <c r="M4800">
        <v>9</v>
      </c>
      <c r="N4800" t="str">
        <f t="shared" si="224"/>
        <v>Loyal</v>
      </c>
    </row>
    <row r="4801" spans="1:14" x14ac:dyDescent="0.35">
      <c r="A4801">
        <v>4800</v>
      </c>
      <c r="B4801">
        <v>50</v>
      </c>
      <c r="C4801" t="str">
        <f t="shared" si="222"/>
        <v>Adult</v>
      </c>
      <c r="D4801" t="s">
        <v>11</v>
      </c>
      <c r="E4801" t="s">
        <v>20</v>
      </c>
      <c r="F4801" t="s">
        <v>36</v>
      </c>
      <c r="G4801">
        <v>34.659999999999997</v>
      </c>
      <c r="H4801" t="s">
        <v>31</v>
      </c>
      <c r="I4801" t="s">
        <v>15</v>
      </c>
      <c r="J4801">
        <v>2.8</v>
      </c>
      <c r="K4801">
        <v>12</v>
      </c>
      <c r="L4801">
        <f t="shared" si="223"/>
        <v>30.500799999999998</v>
      </c>
      <c r="M4801">
        <v>6</v>
      </c>
      <c r="N4801" t="str">
        <f t="shared" si="224"/>
        <v>Regular</v>
      </c>
    </row>
    <row r="4802" spans="1:14" x14ac:dyDescent="0.35">
      <c r="A4802">
        <v>4801</v>
      </c>
      <c r="B4802">
        <v>22</v>
      </c>
      <c r="C4802" t="str">
        <f t="shared" si="222"/>
        <v>Youth</v>
      </c>
      <c r="D4802" t="s">
        <v>11</v>
      </c>
      <c r="E4802" t="s">
        <v>20</v>
      </c>
      <c r="F4802" t="s">
        <v>36</v>
      </c>
      <c r="G4802">
        <v>136.51</v>
      </c>
      <c r="H4802" t="s">
        <v>19</v>
      </c>
      <c r="I4802" t="s">
        <v>15</v>
      </c>
      <c r="J4802">
        <v>4.5</v>
      </c>
      <c r="K4802">
        <v>22</v>
      </c>
      <c r="L4802">
        <f t="shared" si="223"/>
        <v>106.4778</v>
      </c>
      <c r="M4802">
        <v>6</v>
      </c>
      <c r="N4802" t="str">
        <f t="shared" si="224"/>
        <v>Regular</v>
      </c>
    </row>
    <row r="4803" spans="1:14" x14ac:dyDescent="0.35">
      <c r="A4803">
        <v>4802</v>
      </c>
      <c r="B4803">
        <v>67</v>
      </c>
      <c r="C4803" t="str">
        <f t="shared" ref="C4803:C4866" si="225">IF(B4803&lt;=30,"Youth",IF(B4803&lt;=45,"Adult",IF(B4803&lt;=60,"Adult","Senior")))</f>
        <v>Senior</v>
      </c>
      <c r="D4803" t="s">
        <v>11</v>
      </c>
      <c r="E4803" t="s">
        <v>41</v>
      </c>
      <c r="F4803" t="s">
        <v>46</v>
      </c>
      <c r="G4803">
        <v>81.05</v>
      </c>
      <c r="H4803" t="s">
        <v>19</v>
      </c>
      <c r="I4803" t="s">
        <v>37</v>
      </c>
      <c r="J4803">
        <v>4.5999999999999996</v>
      </c>
      <c r="K4803">
        <v>14</v>
      </c>
      <c r="L4803">
        <f t="shared" ref="L4803:L4866" si="226">G4803*(1-K4803/100)</f>
        <v>69.703000000000003</v>
      </c>
      <c r="M4803">
        <v>7</v>
      </c>
      <c r="N4803" t="str">
        <f t="shared" ref="N4803:N4866" si="227">IF(M4803&lt;=3,"New",IF(M4803&lt;=7,"Regular","Loyal"))</f>
        <v>Regular</v>
      </c>
    </row>
    <row r="4804" spans="1:14" x14ac:dyDescent="0.35">
      <c r="A4804">
        <v>4803</v>
      </c>
      <c r="B4804">
        <v>44</v>
      </c>
      <c r="C4804" t="str">
        <f t="shared" si="225"/>
        <v>Adult</v>
      </c>
      <c r="D4804" t="s">
        <v>11</v>
      </c>
      <c r="E4804" t="s">
        <v>20</v>
      </c>
      <c r="F4804" t="s">
        <v>36</v>
      </c>
      <c r="G4804">
        <v>49.34</v>
      </c>
      <c r="H4804" t="s">
        <v>31</v>
      </c>
      <c r="I4804" t="s">
        <v>37</v>
      </c>
      <c r="J4804">
        <v>3.3</v>
      </c>
      <c r="K4804">
        <v>7</v>
      </c>
      <c r="L4804">
        <f t="shared" si="226"/>
        <v>45.886200000000002</v>
      </c>
      <c r="M4804">
        <v>1</v>
      </c>
      <c r="N4804" t="str">
        <f t="shared" si="227"/>
        <v>New</v>
      </c>
    </row>
    <row r="4805" spans="1:14" x14ac:dyDescent="0.35">
      <c r="A4805">
        <v>4804</v>
      </c>
      <c r="B4805">
        <v>31</v>
      </c>
      <c r="C4805" t="str">
        <f t="shared" si="225"/>
        <v>Adult</v>
      </c>
      <c r="D4805" t="s">
        <v>16</v>
      </c>
      <c r="E4805" t="s">
        <v>20</v>
      </c>
      <c r="F4805" t="s">
        <v>36</v>
      </c>
      <c r="G4805">
        <v>83.98</v>
      </c>
      <c r="H4805" t="s">
        <v>24</v>
      </c>
      <c r="I4805" t="s">
        <v>37</v>
      </c>
      <c r="J4805">
        <v>4.0999999999999996</v>
      </c>
      <c r="K4805">
        <v>26</v>
      </c>
      <c r="L4805">
        <f t="shared" si="226"/>
        <v>62.145200000000003</v>
      </c>
      <c r="M4805">
        <v>8</v>
      </c>
      <c r="N4805" t="str">
        <f t="shared" si="227"/>
        <v>Loyal</v>
      </c>
    </row>
    <row r="4806" spans="1:14" x14ac:dyDescent="0.35">
      <c r="A4806">
        <v>4805</v>
      </c>
      <c r="B4806">
        <v>46</v>
      </c>
      <c r="C4806" t="str">
        <f t="shared" si="225"/>
        <v>Adult</v>
      </c>
      <c r="D4806" t="s">
        <v>11</v>
      </c>
      <c r="E4806" t="s">
        <v>41</v>
      </c>
      <c r="F4806" t="s">
        <v>42</v>
      </c>
      <c r="G4806">
        <v>48.2</v>
      </c>
      <c r="H4806" t="s">
        <v>19</v>
      </c>
      <c r="I4806" t="s">
        <v>37</v>
      </c>
      <c r="J4806">
        <v>4.0999999999999996</v>
      </c>
      <c r="K4806">
        <v>12</v>
      </c>
      <c r="L4806">
        <f t="shared" si="226"/>
        <v>42.416000000000004</v>
      </c>
      <c r="M4806">
        <v>6</v>
      </c>
      <c r="N4806" t="str">
        <f t="shared" si="227"/>
        <v>Regular</v>
      </c>
    </row>
    <row r="4807" spans="1:14" x14ac:dyDescent="0.35">
      <c r="A4807">
        <v>4806</v>
      </c>
      <c r="B4807">
        <v>57</v>
      </c>
      <c r="C4807" t="str">
        <f t="shared" si="225"/>
        <v>Adult</v>
      </c>
      <c r="D4807" t="s">
        <v>11</v>
      </c>
      <c r="E4807" t="s">
        <v>25</v>
      </c>
      <c r="F4807" t="s">
        <v>47</v>
      </c>
      <c r="G4807">
        <v>44.59</v>
      </c>
      <c r="H4807" t="s">
        <v>19</v>
      </c>
      <c r="I4807" t="s">
        <v>37</v>
      </c>
      <c r="J4807">
        <v>4.5</v>
      </c>
      <c r="K4807">
        <v>12</v>
      </c>
      <c r="L4807">
        <f t="shared" si="226"/>
        <v>39.239200000000004</v>
      </c>
      <c r="M4807">
        <v>6</v>
      </c>
      <c r="N4807" t="str">
        <f t="shared" si="227"/>
        <v>Regular</v>
      </c>
    </row>
    <row r="4808" spans="1:14" x14ac:dyDescent="0.35">
      <c r="A4808">
        <v>4807</v>
      </c>
      <c r="B4808">
        <v>35</v>
      </c>
      <c r="C4808" t="str">
        <f t="shared" si="225"/>
        <v>Adult</v>
      </c>
      <c r="D4808" t="s">
        <v>11</v>
      </c>
      <c r="E4808" t="s">
        <v>12</v>
      </c>
      <c r="F4808" t="s">
        <v>50</v>
      </c>
      <c r="G4808">
        <v>99.42</v>
      </c>
      <c r="H4808" t="s">
        <v>19</v>
      </c>
      <c r="I4808" t="s">
        <v>15</v>
      </c>
      <c r="J4808">
        <v>4.3</v>
      </c>
      <c r="K4808">
        <v>8</v>
      </c>
      <c r="L4808">
        <f t="shared" si="226"/>
        <v>91.466400000000007</v>
      </c>
      <c r="M4808">
        <v>4</v>
      </c>
      <c r="N4808" t="str">
        <f t="shared" si="227"/>
        <v>Regular</v>
      </c>
    </row>
    <row r="4809" spans="1:14" x14ac:dyDescent="0.35">
      <c r="A4809">
        <v>4808</v>
      </c>
      <c r="B4809">
        <v>47</v>
      </c>
      <c r="C4809" t="str">
        <f t="shared" si="225"/>
        <v>Adult</v>
      </c>
      <c r="D4809" t="s">
        <v>16</v>
      </c>
      <c r="E4809" t="s">
        <v>17</v>
      </c>
      <c r="F4809" t="s">
        <v>35</v>
      </c>
      <c r="G4809">
        <v>149.88999999999999</v>
      </c>
      <c r="H4809" t="s">
        <v>19</v>
      </c>
      <c r="I4809" t="s">
        <v>15</v>
      </c>
      <c r="J4809">
        <v>3.7</v>
      </c>
      <c r="K4809">
        <v>8</v>
      </c>
      <c r="L4809">
        <f t="shared" si="226"/>
        <v>137.89879999999999</v>
      </c>
      <c r="M4809">
        <v>4</v>
      </c>
      <c r="N4809" t="str">
        <f t="shared" si="227"/>
        <v>Regular</v>
      </c>
    </row>
    <row r="4810" spans="1:14" x14ac:dyDescent="0.35">
      <c r="A4810">
        <v>4809</v>
      </c>
      <c r="B4810">
        <v>51</v>
      </c>
      <c r="C4810" t="str">
        <f t="shared" si="225"/>
        <v>Adult</v>
      </c>
      <c r="D4810" t="s">
        <v>16</v>
      </c>
      <c r="E4810" t="s">
        <v>20</v>
      </c>
      <c r="F4810" t="s">
        <v>21</v>
      </c>
      <c r="G4810">
        <v>223.89</v>
      </c>
      <c r="H4810" t="s">
        <v>24</v>
      </c>
      <c r="I4810" t="s">
        <v>15</v>
      </c>
      <c r="J4810">
        <v>3.3</v>
      </c>
      <c r="K4810">
        <v>15</v>
      </c>
      <c r="L4810">
        <f t="shared" si="226"/>
        <v>190.30649999999997</v>
      </c>
      <c r="M4810">
        <v>5</v>
      </c>
      <c r="N4810" t="str">
        <f t="shared" si="227"/>
        <v>Regular</v>
      </c>
    </row>
    <row r="4811" spans="1:14" x14ac:dyDescent="0.35">
      <c r="A4811">
        <v>4810</v>
      </c>
      <c r="B4811">
        <v>43</v>
      </c>
      <c r="C4811" t="str">
        <f t="shared" si="225"/>
        <v>Adult</v>
      </c>
      <c r="D4811" t="s">
        <v>11</v>
      </c>
      <c r="E4811" t="s">
        <v>41</v>
      </c>
      <c r="F4811" t="s">
        <v>44</v>
      </c>
      <c r="G4811">
        <v>163.6</v>
      </c>
      <c r="H4811" t="s">
        <v>31</v>
      </c>
      <c r="I4811" t="s">
        <v>15</v>
      </c>
      <c r="J4811">
        <v>2.6</v>
      </c>
      <c r="K4811">
        <v>15</v>
      </c>
      <c r="L4811">
        <f t="shared" si="226"/>
        <v>139.06</v>
      </c>
      <c r="M4811">
        <v>5</v>
      </c>
      <c r="N4811" t="str">
        <f t="shared" si="227"/>
        <v>Regular</v>
      </c>
    </row>
    <row r="4812" spans="1:14" x14ac:dyDescent="0.35">
      <c r="A4812">
        <v>4811</v>
      </c>
      <c r="B4812">
        <v>27</v>
      </c>
      <c r="C4812" t="str">
        <f t="shared" si="225"/>
        <v>Youth</v>
      </c>
      <c r="D4812" t="s">
        <v>16</v>
      </c>
      <c r="E4812" t="s">
        <v>25</v>
      </c>
      <c r="F4812" t="s">
        <v>57</v>
      </c>
      <c r="G4812">
        <v>54.58</v>
      </c>
      <c r="H4812" t="s">
        <v>14</v>
      </c>
      <c r="I4812" t="s">
        <v>15</v>
      </c>
      <c r="J4812">
        <v>3.1</v>
      </c>
      <c r="K4812">
        <v>10</v>
      </c>
      <c r="L4812">
        <f t="shared" si="226"/>
        <v>49.122</v>
      </c>
      <c r="M4812">
        <v>5</v>
      </c>
      <c r="N4812" t="str">
        <f t="shared" si="227"/>
        <v>Regular</v>
      </c>
    </row>
    <row r="4813" spans="1:14" x14ac:dyDescent="0.35">
      <c r="A4813">
        <v>4812</v>
      </c>
      <c r="B4813">
        <v>34</v>
      </c>
      <c r="C4813" t="str">
        <f t="shared" si="225"/>
        <v>Adult</v>
      </c>
      <c r="D4813" t="s">
        <v>16</v>
      </c>
      <c r="E4813" t="s">
        <v>33</v>
      </c>
      <c r="F4813" t="s">
        <v>40</v>
      </c>
      <c r="G4813">
        <v>107.13</v>
      </c>
      <c r="H4813" t="s">
        <v>24</v>
      </c>
      <c r="I4813" t="s">
        <v>15</v>
      </c>
      <c r="J4813">
        <v>3.4</v>
      </c>
      <c r="K4813">
        <v>26</v>
      </c>
      <c r="L4813">
        <f t="shared" si="226"/>
        <v>79.276199999999989</v>
      </c>
      <c r="M4813">
        <v>8</v>
      </c>
      <c r="N4813" t="str">
        <f t="shared" si="227"/>
        <v>Loyal</v>
      </c>
    </row>
    <row r="4814" spans="1:14" x14ac:dyDescent="0.35">
      <c r="A4814">
        <v>4813</v>
      </c>
      <c r="B4814">
        <v>55</v>
      </c>
      <c r="C4814" t="str">
        <f t="shared" si="225"/>
        <v>Adult</v>
      </c>
      <c r="D4814" t="s">
        <v>11</v>
      </c>
      <c r="E4814" t="s">
        <v>33</v>
      </c>
      <c r="F4814" t="s">
        <v>38</v>
      </c>
      <c r="G4814">
        <v>105.16</v>
      </c>
      <c r="H4814" t="s">
        <v>31</v>
      </c>
      <c r="I4814" t="s">
        <v>15</v>
      </c>
      <c r="J4814">
        <v>3.9</v>
      </c>
      <c r="K4814">
        <v>20</v>
      </c>
      <c r="L4814">
        <f t="shared" si="226"/>
        <v>84.128</v>
      </c>
      <c r="M4814">
        <v>5</v>
      </c>
      <c r="N4814" t="str">
        <f t="shared" si="227"/>
        <v>Regular</v>
      </c>
    </row>
    <row r="4815" spans="1:14" x14ac:dyDescent="0.35">
      <c r="A4815">
        <v>4814</v>
      </c>
      <c r="B4815">
        <v>30</v>
      </c>
      <c r="C4815" t="str">
        <f t="shared" si="225"/>
        <v>Youth</v>
      </c>
      <c r="D4815" t="s">
        <v>16</v>
      </c>
      <c r="E4815" t="s">
        <v>27</v>
      </c>
      <c r="F4815" t="s">
        <v>32</v>
      </c>
      <c r="G4815">
        <v>1843.94</v>
      </c>
      <c r="H4815" t="s">
        <v>14</v>
      </c>
      <c r="I4815" t="s">
        <v>15</v>
      </c>
      <c r="J4815">
        <v>3.5</v>
      </c>
      <c r="K4815">
        <v>9</v>
      </c>
      <c r="L4815">
        <f t="shared" si="226"/>
        <v>1677.9854</v>
      </c>
      <c r="M4815">
        <v>2</v>
      </c>
      <c r="N4815" t="str">
        <f t="shared" si="227"/>
        <v>New</v>
      </c>
    </row>
    <row r="4816" spans="1:14" x14ac:dyDescent="0.35">
      <c r="A4816">
        <v>4815</v>
      </c>
      <c r="B4816">
        <v>58</v>
      </c>
      <c r="C4816" t="str">
        <f t="shared" si="225"/>
        <v>Adult</v>
      </c>
      <c r="D4816" t="s">
        <v>16</v>
      </c>
      <c r="E4816" t="s">
        <v>33</v>
      </c>
      <c r="F4816" t="s">
        <v>38</v>
      </c>
      <c r="G4816">
        <v>64.59</v>
      </c>
      <c r="H4816" t="s">
        <v>24</v>
      </c>
      <c r="I4816" t="s">
        <v>15</v>
      </c>
      <c r="J4816">
        <v>4.0999999999999996</v>
      </c>
      <c r="K4816">
        <v>19</v>
      </c>
      <c r="L4816">
        <f t="shared" si="226"/>
        <v>52.317900000000009</v>
      </c>
      <c r="M4816">
        <v>7</v>
      </c>
      <c r="N4816" t="str">
        <f t="shared" si="227"/>
        <v>Regular</v>
      </c>
    </row>
    <row r="4817" spans="1:14" x14ac:dyDescent="0.35">
      <c r="A4817">
        <v>4816</v>
      </c>
      <c r="B4817">
        <v>67</v>
      </c>
      <c r="C4817" t="str">
        <f t="shared" si="225"/>
        <v>Senior</v>
      </c>
      <c r="D4817" t="s">
        <v>16</v>
      </c>
      <c r="E4817" t="s">
        <v>27</v>
      </c>
      <c r="F4817" t="s">
        <v>28</v>
      </c>
      <c r="G4817">
        <v>2035.13</v>
      </c>
      <c r="H4817" t="s">
        <v>19</v>
      </c>
      <c r="I4817" t="s">
        <v>15</v>
      </c>
      <c r="J4817">
        <v>3.7</v>
      </c>
      <c r="K4817">
        <v>13</v>
      </c>
      <c r="L4817">
        <f t="shared" si="226"/>
        <v>1770.5631000000001</v>
      </c>
      <c r="M4817">
        <v>4</v>
      </c>
      <c r="N4817" t="str">
        <f t="shared" si="227"/>
        <v>Regular</v>
      </c>
    </row>
    <row r="4818" spans="1:14" x14ac:dyDescent="0.35">
      <c r="A4818">
        <v>4817</v>
      </c>
      <c r="B4818">
        <v>26</v>
      </c>
      <c r="C4818" t="str">
        <f t="shared" si="225"/>
        <v>Youth</v>
      </c>
      <c r="D4818" t="s">
        <v>16</v>
      </c>
      <c r="E4818" t="s">
        <v>25</v>
      </c>
      <c r="F4818" t="s">
        <v>47</v>
      </c>
      <c r="G4818">
        <v>42.57</v>
      </c>
      <c r="H4818" t="s">
        <v>14</v>
      </c>
      <c r="I4818" t="s">
        <v>15</v>
      </c>
      <c r="J4818">
        <v>4.0999999999999996</v>
      </c>
      <c r="K4818">
        <v>9</v>
      </c>
      <c r="L4818">
        <f t="shared" si="226"/>
        <v>38.738700000000001</v>
      </c>
      <c r="M4818">
        <v>2</v>
      </c>
      <c r="N4818" t="str">
        <f t="shared" si="227"/>
        <v>New</v>
      </c>
    </row>
    <row r="4819" spans="1:14" x14ac:dyDescent="0.35">
      <c r="A4819">
        <v>4818</v>
      </c>
      <c r="B4819">
        <v>31</v>
      </c>
      <c r="C4819" t="str">
        <f t="shared" si="225"/>
        <v>Adult</v>
      </c>
      <c r="D4819" t="s">
        <v>16</v>
      </c>
      <c r="E4819" t="s">
        <v>27</v>
      </c>
      <c r="F4819" t="s">
        <v>28</v>
      </c>
      <c r="G4819">
        <v>2124.87</v>
      </c>
      <c r="H4819" t="s">
        <v>24</v>
      </c>
      <c r="I4819" t="s">
        <v>15</v>
      </c>
      <c r="J4819">
        <v>3.4</v>
      </c>
      <c r="K4819">
        <v>13</v>
      </c>
      <c r="L4819">
        <f t="shared" si="226"/>
        <v>1848.6369</v>
      </c>
      <c r="M4819">
        <v>4</v>
      </c>
      <c r="N4819" t="str">
        <f t="shared" si="227"/>
        <v>Regular</v>
      </c>
    </row>
    <row r="4820" spans="1:14" x14ac:dyDescent="0.35">
      <c r="A4820">
        <v>4819</v>
      </c>
      <c r="B4820">
        <v>58</v>
      </c>
      <c r="C4820" t="str">
        <f t="shared" si="225"/>
        <v>Adult</v>
      </c>
      <c r="D4820" t="s">
        <v>16</v>
      </c>
      <c r="E4820" t="s">
        <v>27</v>
      </c>
      <c r="F4820" t="s">
        <v>32</v>
      </c>
      <c r="G4820">
        <v>1687.48</v>
      </c>
      <c r="H4820" t="s">
        <v>31</v>
      </c>
      <c r="I4820" t="s">
        <v>15</v>
      </c>
      <c r="J4820">
        <v>3.8</v>
      </c>
      <c r="K4820">
        <v>13</v>
      </c>
      <c r="L4820">
        <f t="shared" si="226"/>
        <v>1468.1076</v>
      </c>
      <c r="M4820">
        <v>4</v>
      </c>
      <c r="N4820" t="str">
        <f t="shared" si="227"/>
        <v>Regular</v>
      </c>
    </row>
    <row r="4821" spans="1:14" x14ac:dyDescent="0.35">
      <c r="A4821">
        <v>4820</v>
      </c>
      <c r="B4821">
        <v>38</v>
      </c>
      <c r="C4821" t="str">
        <f t="shared" si="225"/>
        <v>Adult</v>
      </c>
      <c r="D4821" t="s">
        <v>16</v>
      </c>
      <c r="E4821" t="s">
        <v>27</v>
      </c>
      <c r="F4821" t="s">
        <v>28</v>
      </c>
      <c r="G4821">
        <v>1951.27</v>
      </c>
      <c r="H4821" t="s">
        <v>14</v>
      </c>
      <c r="I4821" t="s">
        <v>15</v>
      </c>
      <c r="J4821">
        <v>4.5999999999999996</v>
      </c>
      <c r="K4821">
        <v>6</v>
      </c>
      <c r="L4821">
        <f t="shared" si="226"/>
        <v>1834.1937999999998</v>
      </c>
      <c r="M4821">
        <v>3</v>
      </c>
      <c r="N4821" t="str">
        <f t="shared" si="227"/>
        <v>New</v>
      </c>
    </row>
    <row r="4822" spans="1:14" x14ac:dyDescent="0.35">
      <c r="A4822">
        <v>4821</v>
      </c>
      <c r="B4822">
        <v>37</v>
      </c>
      <c r="C4822" t="str">
        <f t="shared" si="225"/>
        <v>Adult</v>
      </c>
      <c r="D4822" t="s">
        <v>16</v>
      </c>
      <c r="E4822" t="s">
        <v>17</v>
      </c>
      <c r="F4822" t="s">
        <v>42</v>
      </c>
      <c r="G4822">
        <v>159.61000000000001</v>
      </c>
      <c r="H4822" t="s">
        <v>19</v>
      </c>
      <c r="I4822" t="s">
        <v>15</v>
      </c>
      <c r="J4822">
        <v>3.7</v>
      </c>
      <c r="K4822">
        <v>20</v>
      </c>
      <c r="L4822">
        <f t="shared" si="226"/>
        <v>127.68800000000002</v>
      </c>
      <c r="M4822">
        <v>5</v>
      </c>
      <c r="N4822" t="str">
        <f t="shared" si="227"/>
        <v>Regular</v>
      </c>
    </row>
    <row r="4823" spans="1:14" x14ac:dyDescent="0.35">
      <c r="A4823">
        <v>4822</v>
      </c>
      <c r="B4823">
        <v>28</v>
      </c>
      <c r="C4823" t="str">
        <f t="shared" si="225"/>
        <v>Youth</v>
      </c>
      <c r="D4823" t="s">
        <v>16</v>
      </c>
      <c r="E4823" t="s">
        <v>20</v>
      </c>
      <c r="F4823" t="s">
        <v>21</v>
      </c>
      <c r="G4823">
        <v>178.42</v>
      </c>
      <c r="H4823" t="s">
        <v>19</v>
      </c>
      <c r="I4823" t="s">
        <v>15</v>
      </c>
      <c r="J4823">
        <v>4.0999999999999996</v>
      </c>
      <c r="K4823">
        <v>22</v>
      </c>
      <c r="L4823">
        <f t="shared" si="226"/>
        <v>139.16759999999999</v>
      </c>
      <c r="M4823">
        <v>6</v>
      </c>
      <c r="N4823" t="str">
        <f t="shared" si="227"/>
        <v>Regular</v>
      </c>
    </row>
    <row r="4824" spans="1:14" x14ac:dyDescent="0.35">
      <c r="A4824">
        <v>4823</v>
      </c>
      <c r="B4824">
        <v>48</v>
      </c>
      <c r="C4824" t="str">
        <f t="shared" si="225"/>
        <v>Adult</v>
      </c>
      <c r="D4824" t="s">
        <v>16</v>
      </c>
      <c r="E4824" t="s">
        <v>33</v>
      </c>
      <c r="F4824" t="s">
        <v>38</v>
      </c>
      <c r="G4824">
        <v>92.46</v>
      </c>
      <c r="H4824" t="s">
        <v>19</v>
      </c>
      <c r="I4824" t="s">
        <v>15</v>
      </c>
      <c r="J4824">
        <v>3.3</v>
      </c>
      <c r="K4824">
        <v>14</v>
      </c>
      <c r="L4824">
        <f t="shared" si="226"/>
        <v>79.515599999999992</v>
      </c>
      <c r="M4824">
        <v>7</v>
      </c>
      <c r="N4824" t="str">
        <f t="shared" si="227"/>
        <v>Regular</v>
      </c>
    </row>
    <row r="4825" spans="1:14" x14ac:dyDescent="0.35">
      <c r="A4825">
        <v>4824</v>
      </c>
      <c r="B4825">
        <v>36</v>
      </c>
      <c r="C4825" t="str">
        <f t="shared" si="225"/>
        <v>Adult</v>
      </c>
      <c r="D4825" t="s">
        <v>11</v>
      </c>
      <c r="E4825" t="s">
        <v>12</v>
      </c>
      <c r="F4825" t="s">
        <v>56</v>
      </c>
      <c r="G4825">
        <v>35.9</v>
      </c>
      <c r="H4825" t="s">
        <v>19</v>
      </c>
      <c r="I4825" t="s">
        <v>37</v>
      </c>
      <c r="J4825">
        <v>4.2</v>
      </c>
      <c r="K4825">
        <v>11</v>
      </c>
      <c r="L4825">
        <f t="shared" si="226"/>
        <v>31.951000000000001</v>
      </c>
      <c r="M4825">
        <v>3</v>
      </c>
      <c r="N4825" t="str">
        <f t="shared" si="227"/>
        <v>New</v>
      </c>
    </row>
    <row r="4826" spans="1:14" x14ac:dyDescent="0.35">
      <c r="A4826">
        <v>4825</v>
      </c>
      <c r="B4826">
        <v>57</v>
      </c>
      <c r="C4826" t="str">
        <f t="shared" si="225"/>
        <v>Adult</v>
      </c>
      <c r="D4826" t="s">
        <v>16</v>
      </c>
      <c r="E4826" t="s">
        <v>20</v>
      </c>
      <c r="F4826" t="s">
        <v>39</v>
      </c>
      <c r="G4826">
        <v>235.27</v>
      </c>
      <c r="H4826" t="s">
        <v>24</v>
      </c>
      <c r="I4826" t="s">
        <v>15</v>
      </c>
      <c r="J4826">
        <v>3.9</v>
      </c>
      <c r="K4826">
        <v>18</v>
      </c>
      <c r="L4826">
        <f t="shared" si="226"/>
        <v>192.92140000000003</v>
      </c>
      <c r="M4826">
        <v>4</v>
      </c>
      <c r="N4826" t="str">
        <f t="shared" si="227"/>
        <v>Regular</v>
      </c>
    </row>
    <row r="4827" spans="1:14" x14ac:dyDescent="0.35">
      <c r="A4827">
        <v>4826</v>
      </c>
      <c r="B4827">
        <v>42</v>
      </c>
      <c r="C4827" t="str">
        <f t="shared" si="225"/>
        <v>Adult</v>
      </c>
      <c r="D4827" t="s">
        <v>16</v>
      </c>
      <c r="E4827" t="s">
        <v>25</v>
      </c>
      <c r="F4827" t="s">
        <v>54</v>
      </c>
      <c r="G4827">
        <v>76.87</v>
      </c>
      <c r="H4827" t="s">
        <v>14</v>
      </c>
      <c r="I4827" t="s">
        <v>37</v>
      </c>
      <c r="J4827">
        <v>4.5</v>
      </c>
      <c r="K4827">
        <v>9</v>
      </c>
      <c r="L4827">
        <f t="shared" si="226"/>
        <v>69.951700000000002</v>
      </c>
      <c r="M4827">
        <v>2</v>
      </c>
      <c r="N4827" t="str">
        <f t="shared" si="227"/>
        <v>New</v>
      </c>
    </row>
    <row r="4828" spans="1:14" x14ac:dyDescent="0.35">
      <c r="A4828">
        <v>4827</v>
      </c>
      <c r="B4828">
        <v>47</v>
      </c>
      <c r="C4828" t="str">
        <f t="shared" si="225"/>
        <v>Adult</v>
      </c>
      <c r="D4828" t="s">
        <v>16</v>
      </c>
      <c r="E4828" t="s">
        <v>27</v>
      </c>
      <c r="F4828" t="s">
        <v>32</v>
      </c>
      <c r="G4828">
        <v>692.45</v>
      </c>
      <c r="H4828" t="s">
        <v>31</v>
      </c>
      <c r="I4828" t="s">
        <v>15</v>
      </c>
      <c r="J4828">
        <v>4.3</v>
      </c>
      <c r="K4828">
        <v>9</v>
      </c>
      <c r="L4828">
        <f t="shared" si="226"/>
        <v>630.12950000000001</v>
      </c>
      <c r="M4828">
        <v>2</v>
      </c>
      <c r="N4828" t="str">
        <f t="shared" si="227"/>
        <v>New</v>
      </c>
    </row>
    <row r="4829" spans="1:14" x14ac:dyDescent="0.35">
      <c r="A4829">
        <v>4828</v>
      </c>
      <c r="B4829">
        <v>56</v>
      </c>
      <c r="C4829" t="str">
        <f t="shared" si="225"/>
        <v>Adult</v>
      </c>
      <c r="D4829" t="s">
        <v>11</v>
      </c>
      <c r="E4829" t="s">
        <v>41</v>
      </c>
      <c r="F4829" t="s">
        <v>42</v>
      </c>
      <c r="G4829">
        <v>128.72999999999999</v>
      </c>
      <c r="H4829" t="s">
        <v>31</v>
      </c>
      <c r="I4829" t="s">
        <v>15</v>
      </c>
      <c r="J4829">
        <v>4.9000000000000004</v>
      </c>
      <c r="K4829">
        <v>12</v>
      </c>
      <c r="L4829">
        <f t="shared" si="226"/>
        <v>113.2824</v>
      </c>
      <c r="M4829">
        <v>6</v>
      </c>
      <c r="N4829" t="str">
        <f t="shared" si="227"/>
        <v>Regular</v>
      </c>
    </row>
    <row r="4830" spans="1:14" x14ac:dyDescent="0.35">
      <c r="A4830">
        <v>4829</v>
      </c>
      <c r="B4830">
        <v>30</v>
      </c>
      <c r="C4830" t="str">
        <f t="shared" si="225"/>
        <v>Youth</v>
      </c>
      <c r="D4830" t="s">
        <v>11</v>
      </c>
      <c r="E4830" t="s">
        <v>29</v>
      </c>
      <c r="F4830" t="s">
        <v>55</v>
      </c>
      <c r="G4830">
        <v>97.03</v>
      </c>
      <c r="H4830" t="s">
        <v>24</v>
      </c>
      <c r="I4830" t="s">
        <v>37</v>
      </c>
      <c r="J4830">
        <v>4.0999999999999996</v>
      </c>
      <c r="K4830">
        <v>19</v>
      </c>
      <c r="L4830">
        <f t="shared" si="226"/>
        <v>78.594300000000004</v>
      </c>
      <c r="M4830">
        <v>7</v>
      </c>
      <c r="N4830" t="str">
        <f t="shared" si="227"/>
        <v>Regular</v>
      </c>
    </row>
    <row r="4831" spans="1:14" x14ac:dyDescent="0.35">
      <c r="A4831">
        <v>4830</v>
      </c>
      <c r="B4831">
        <v>24</v>
      </c>
      <c r="C4831" t="str">
        <f t="shared" si="225"/>
        <v>Youth</v>
      </c>
      <c r="D4831" t="s">
        <v>11</v>
      </c>
      <c r="E4831" t="s">
        <v>12</v>
      </c>
      <c r="F4831" t="s">
        <v>56</v>
      </c>
      <c r="G4831">
        <v>156.83000000000001</v>
      </c>
      <c r="H4831" t="s">
        <v>31</v>
      </c>
      <c r="I4831" t="s">
        <v>15</v>
      </c>
      <c r="J4831">
        <v>2.8</v>
      </c>
      <c r="K4831">
        <v>8</v>
      </c>
      <c r="L4831">
        <f t="shared" si="226"/>
        <v>144.28360000000001</v>
      </c>
      <c r="M4831">
        <v>4</v>
      </c>
      <c r="N4831" t="str">
        <f t="shared" si="227"/>
        <v>Regular</v>
      </c>
    </row>
    <row r="4832" spans="1:14" x14ac:dyDescent="0.35">
      <c r="A4832">
        <v>4831</v>
      </c>
      <c r="B4832">
        <v>35</v>
      </c>
      <c r="C4832" t="str">
        <f t="shared" si="225"/>
        <v>Adult</v>
      </c>
      <c r="D4832" t="s">
        <v>11</v>
      </c>
      <c r="E4832" t="s">
        <v>33</v>
      </c>
      <c r="F4832" t="s">
        <v>34</v>
      </c>
      <c r="G4832">
        <v>233.18</v>
      </c>
      <c r="H4832" t="s">
        <v>19</v>
      </c>
      <c r="I4832" t="s">
        <v>15</v>
      </c>
      <c r="J4832">
        <v>3.1</v>
      </c>
      <c r="K4832">
        <v>11</v>
      </c>
      <c r="L4832">
        <f t="shared" si="226"/>
        <v>207.53020000000001</v>
      </c>
      <c r="M4832">
        <v>3</v>
      </c>
      <c r="N4832" t="str">
        <f t="shared" si="227"/>
        <v>New</v>
      </c>
    </row>
    <row r="4833" spans="1:14" x14ac:dyDescent="0.35">
      <c r="A4833">
        <v>4832</v>
      </c>
      <c r="B4833">
        <v>52</v>
      </c>
      <c r="C4833" t="str">
        <f t="shared" si="225"/>
        <v>Adult</v>
      </c>
      <c r="D4833" t="s">
        <v>11</v>
      </c>
      <c r="E4833" t="s">
        <v>20</v>
      </c>
      <c r="F4833" t="s">
        <v>36</v>
      </c>
      <c r="G4833">
        <v>65.760000000000005</v>
      </c>
      <c r="H4833" t="s">
        <v>24</v>
      </c>
      <c r="I4833" t="s">
        <v>37</v>
      </c>
      <c r="J4833">
        <v>3.5</v>
      </c>
      <c r="K4833">
        <v>32</v>
      </c>
      <c r="L4833">
        <f t="shared" si="226"/>
        <v>44.716799999999999</v>
      </c>
      <c r="M4833">
        <v>11</v>
      </c>
      <c r="N4833" t="str">
        <f t="shared" si="227"/>
        <v>Loyal</v>
      </c>
    </row>
    <row r="4834" spans="1:14" x14ac:dyDescent="0.35">
      <c r="A4834">
        <v>4833</v>
      </c>
      <c r="B4834">
        <v>55</v>
      </c>
      <c r="C4834" t="str">
        <f t="shared" si="225"/>
        <v>Adult</v>
      </c>
      <c r="D4834" t="s">
        <v>16</v>
      </c>
      <c r="E4834" t="s">
        <v>20</v>
      </c>
      <c r="F4834" t="s">
        <v>21</v>
      </c>
      <c r="G4834">
        <v>245.22</v>
      </c>
      <c r="H4834" t="s">
        <v>31</v>
      </c>
      <c r="I4834" t="s">
        <v>15</v>
      </c>
      <c r="J4834">
        <v>5</v>
      </c>
      <c r="K4834">
        <v>22</v>
      </c>
      <c r="L4834">
        <f t="shared" si="226"/>
        <v>191.27160000000001</v>
      </c>
      <c r="M4834">
        <v>11</v>
      </c>
      <c r="N4834" t="str">
        <f t="shared" si="227"/>
        <v>Loyal</v>
      </c>
    </row>
    <row r="4835" spans="1:14" x14ac:dyDescent="0.35">
      <c r="A4835">
        <v>4834</v>
      </c>
      <c r="B4835">
        <v>27</v>
      </c>
      <c r="C4835" t="str">
        <f t="shared" si="225"/>
        <v>Youth</v>
      </c>
      <c r="D4835" t="s">
        <v>16</v>
      </c>
      <c r="E4835" t="s">
        <v>27</v>
      </c>
      <c r="F4835" t="s">
        <v>28</v>
      </c>
      <c r="G4835">
        <v>540.45000000000005</v>
      </c>
      <c r="H4835" t="s">
        <v>19</v>
      </c>
      <c r="I4835" t="s">
        <v>15</v>
      </c>
      <c r="J4835">
        <v>3.5</v>
      </c>
      <c r="K4835">
        <v>20</v>
      </c>
      <c r="L4835">
        <f t="shared" si="226"/>
        <v>432.36000000000007</v>
      </c>
      <c r="M4835">
        <v>5</v>
      </c>
      <c r="N4835" t="str">
        <f t="shared" si="227"/>
        <v>Regular</v>
      </c>
    </row>
    <row r="4836" spans="1:14" x14ac:dyDescent="0.35">
      <c r="A4836">
        <v>4835</v>
      </c>
      <c r="B4836">
        <v>50</v>
      </c>
      <c r="C4836" t="str">
        <f t="shared" si="225"/>
        <v>Adult</v>
      </c>
      <c r="D4836" t="s">
        <v>11</v>
      </c>
      <c r="E4836" t="s">
        <v>29</v>
      </c>
      <c r="F4836" t="s">
        <v>55</v>
      </c>
      <c r="G4836">
        <v>55.69</v>
      </c>
      <c r="H4836" t="s">
        <v>14</v>
      </c>
      <c r="I4836" t="s">
        <v>15</v>
      </c>
      <c r="J4836">
        <v>3.7</v>
      </c>
      <c r="K4836">
        <v>11</v>
      </c>
      <c r="L4836">
        <f t="shared" si="226"/>
        <v>49.564099999999996</v>
      </c>
      <c r="M4836">
        <v>3</v>
      </c>
      <c r="N4836" t="str">
        <f t="shared" si="227"/>
        <v>New</v>
      </c>
    </row>
    <row r="4837" spans="1:14" x14ac:dyDescent="0.35">
      <c r="A4837">
        <v>4836</v>
      </c>
      <c r="B4837">
        <v>62</v>
      </c>
      <c r="C4837" t="str">
        <f t="shared" si="225"/>
        <v>Senior</v>
      </c>
      <c r="D4837" t="s">
        <v>11</v>
      </c>
      <c r="E4837" t="s">
        <v>33</v>
      </c>
      <c r="F4837" t="s">
        <v>40</v>
      </c>
      <c r="G4837">
        <v>204.43</v>
      </c>
      <c r="H4837" t="s">
        <v>14</v>
      </c>
      <c r="I4837" t="s">
        <v>15</v>
      </c>
      <c r="J4837">
        <v>4.5</v>
      </c>
      <c r="K4837">
        <v>14</v>
      </c>
      <c r="L4837">
        <f t="shared" si="226"/>
        <v>175.8098</v>
      </c>
      <c r="M4837">
        <v>7</v>
      </c>
      <c r="N4837" t="str">
        <f t="shared" si="227"/>
        <v>Regular</v>
      </c>
    </row>
    <row r="4838" spans="1:14" x14ac:dyDescent="0.35">
      <c r="A4838">
        <v>4837</v>
      </c>
      <c r="B4838">
        <v>64</v>
      </c>
      <c r="C4838" t="str">
        <f t="shared" si="225"/>
        <v>Senior</v>
      </c>
      <c r="D4838" t="s">
        <v>16</v>
      </c>
      <c r="E4838" t="s">
        <v>17</v>
      </c>
      <c r="F4838" t="s">
        <v>48</v>
      </c>
      <c r="G4838">
        <v>187.34</v>
      </c>
      <c r="H4838" t="s">
        <v>19</v>
      </c>
      <c r="I4838" t="s">
        <v>15</v>
      </c>
      <c r="J4838">
        <v>3.8</v>
      </c>
      <c r="K4838">
        <v>16</v>
      </c>
      <c r="L4838">
        <f t="shared" si="226"/>
        <v>157.3656</v>
      </c>
      <c r="M4838">
        <v>3</v>
      </c>
      <c r="N4838" t="str">
        <f t="shared" si="227"/>
        <v>New</v>
      </c>
    </row>
    <row r="4839" spans="1:14" x14ac:dyDescent="0.35">
      <c r="A4839">
        <v>4838</v>
      </c>
      <c r="B4839">
        <v>70</v>
      </c>
      <c r="C4839" t="str">
        <f t="shared" si="225"/>
        <v>Senior</v>
      </c>
      <c r="D4839" t="s">
        <v>11</v>
      </c>
      <c r="E4839" t="s">
        <v>29</v>
      </c>
      <c r="F4839" t="s">
        <v>30</v>
      </c>
      <c r="G4839">
        <v>119.95</v>
      </c>
      <c r="H4839" t="s">
        <v>31</v>
      </c>
      <c r="I4839" t="s">
        <v>15</v>
      </c>
      <c r="J4839">
        <v>4.2</v>
      </c>
      <c r="K4839">
        <v>22</v>
      </c>
      <c r="L4839">
        <f t="shared" si="226"/>
        <v>93.561000000000007</v>
      </c>
      <c r="M4839">
        <v>6</v>
      </c>
      <c r="N4839" t="str">
        <f t="shared" si="227"/>
        <v>Regular</v>
      </c>
    </row>
    <row r="4840" spans="1:14" x14ac:dyDescent="0.35">
      <c r="A4840">
        <v>4839</v>
      </c>
      <c r="B4840">
        <v>38</v>
      </c>
      <c r="C4840" t="str">
        <f t="shared" si="225"/>
        <v>Adult</v>
      </c>
      <c r="D4840" t="s">
        <v>16</v>
      </c>
      <c r="E4840" t="s">
        <v>17</v>
      </c>
      <c r="F4840" t="s">
        <v>35</v>
      </c>
      <c r="G4840">
        <v>90.72</v>
      </c>
      <c r="H4840" t="s">
        <v>14</v>
      </c>
      <c r="I4840" t="s">
        <v>37</v>
      </c>
      <c r="J4840">
        <v>4.4000000000000004</v>
      </c>
      <c r="K4840">
        <v>22</v>
      </c>
      <c r="L4840">
        <f t="shared" si="226"/>
        <v>70.761600000000001</v>
      </c>
      <c r="M4840">
        <v>6</v>
      </c>
      <c r="N4840" t="str">
        <f t="shared" si="227"/>
        <v>Regular</v>
      </c>
    </row>
    <row r="4841" spans="1:14" x14ac:dyDescent="0.35">
      <c r="A4841">
        <v>4840</v>
      </c>
      <c r="B4841">
        <v>24</v>
      </c>
      <c r="C4841" t="str">
        <f t="shared" si="225"/>
        <v>Youth</v>
      </c>
      <c r="D4841" t="s">
        <v>11</v>
      </c>
      <c r="E4841" t="s">
        <v>25</v>
      </c>
      <c r="F4841" t="s">
        <v>54</v>
      </c>
      <c r="G4841">
        <v>42.23</v>
      </c>
      <c r="H4841" t="s">
        <v>19</v>
      </c>
      <c r="I4841" t="s">
        <v>37</v>
      </c>
      <c r="J4841">
        <v>3.8</v>
      </c>
      <c r="K4841">
        <v>20</v>
      </c>
      <c r="L4841">
        <f t="shared" si="226"/>
        <v>33.783999999999999</v>
      </c>
      <c r="M4841">
        <v>5</v>
      </c>
      <c r="N4841" t="str">
        <f t="shared" si="227"/>
        <v>Regular</v>
      </c>
    </row>
    <row r="4842" spans="1:14" x14ac:dyDescent="0.35">
      <c r="A4842">
        <v>4841</v>
      </c>
      <c r="B4842">
        <v>26</v>
      </c>
      <c r="C4842" t="str">
        <f t="shared" si="225"/>
        <v>Youth</v>
      </c>
      <c r="D4842" t="s">
        <v>16</v>
      </c>
      <c r="E4842" t="s">
        <v>27</v>
      </c>
      <c r="F4842" t="s">
        <v>32</v>
      </c>
      <c r="G4842">
        <v>1499.25</v>
      </c>
      <c r="H4842" t="s">
        <v>19</v>
      </c>
      <c r="I4842" t="s">
        <v>15</v>
      </c>
      <c r="J4842">
        <v>3.3</v>
      </c>
      <c r="K4842">
        <v>15</v>
      </c>
      <c r="L4842">
        <f t="shared" si="226"/>
        <v>1274.3625</v>
      </c>
      <c r="M4842">
        <v>5</v>
      </c>
      <c r="N4842" t="str">
        <f t="shared" si="227"/>
        <v>Regular</v>
      </c>
    </row>
    <row r="4843" spans="1:14" x14ac:dyDescent="0.35">
      <c r="A4843">
        <v>4842</v>
      </c>
      <c r="B4843">
        <v>46</v>
      </c>
      <c r="C4843" t="str">
        <f t="shared" si="225"/>
        <v>Adult</v>
      </c>
      <c r="D4843" t="s">
        <v>16</v>
      </c>
      <c r="E4843" t="s">
        <v>17</v>
      </c>
      <c r="F4843" t="s">
        <v>48</v>
      </c>
      <c r="G4843">
        <v>166.99</v>
      </c>
      <c r="H4843" t="s">
        <v>14</v>
      </c>
      <c r="I4843" t="s">
        <v>15</v>
      </c>
      <c r="J4843">
        <v>3.3</v>
      </c>
      <c r="K4843">
        <v>26</v>
      </c>
      <c r="L4843">
        <f t="shared" si="226"/>
        <v>123.57260000000001</v>
      </c>
      <c r="M4843">
        <v>8</v>
      </c>
      <c r="N4843" t="str">
        <f t="shared" si="227"/>
        <v>Loyal</v>
      </c>
    </row>
    <row r="4844" spans="1:14" x14ac:dyDescent="0.35">
      <c r="A4844">
        <v>4843</v>
      </c>
      <c r="B4844">
        <v>36</v>
      </c>
      <c r="C4844" t="str">
        <f t="shared" si="225"/>
        <v>Adult</v>
      </c>
      <c r="D4844" t="s">
        <v>16</v>
      </c>
      <c r="E4844" t="s">
        <v>33</v>
      </c>
      <c r="F4844" t="s">
        <v>34</v>
      </c>
      <c r="G4844">
        <v>205.73</v>
      </c>
      <c r="H4844" t="s">
        <v>31</v>
      </c>
      <c r="I4844" t="s">
        <v>15</v>
      </c>
      <c r="J4844">
        <v>4.5999999999999996</v>
      </c>
      <c r="K4844">
        <v>11</v>
      </c>
      <c r="L4844">
        <f t="shared" si="226"/>
        <v>183.09969999999998</v>
      </c>
      <c r="M4844">
        <v>3</v>
      </c>
      <c r="N4844" t="str">
        <f t="shared" si="227"/>
        <v>New</v>
      </c>
    </row>
    <row r="4845" spans="1:14" x14ac:dyDescent="0.35">
      <c r="A4845">
        <v>4844</v>
      </c>
      <c r="B4845">
        <v>36</v>
      </c>
      <c r="C4845" t="str">
        <f t="shared" si="225"/>
        <v>Adult</v>
      </c>
      <c r="D4845" t="s">
        <v>11</v>
      </c>
      <c r="E4845" t="s">
        <v>22</v>
      </c>
      <c r="F4845" t="s">
        <v>43</v>
      </c>
      <c r="G4845">
        <v>279.89999999999998</v>
      </c>
      <c r="H4845" t="s">
        <v>14</v>
      </c>
      <c r="I4845" t="s">
        <v>15</v>
      </c>
      <c r="J4845">
        <v>4.4000000000000004</v>
      </c>
      <c r="K4845">
        <v>24</v>
      </c>
      <c r="L4845">
        <f t="shared" si="226"/>
        <v>212.72399999999999</v>
      </c>
      <c r="M4845">
        <v>7</v>
      </c>
      <c r="N4845" t="str">
        <f t="shared" si="227"/>
        <v>Regular</v>
      </c>
    </row>
    <row r="4846" spans="1:14" x14ac:dyDescent="0.35">
      <c r="A4846">
        <v>4845</v>
      </c>
      <c r="B4846">
        <v>65</v>
      </c>
      <c r="C4846" t="str">
        <f t="shared" si="225"/>
        <v>Senior</v>
      </c>
      <c r="D4846" t="s">
        <v>16</v>
      </c>
      <c r="E4846" t="s">
        <v>27</v>
      </c>
      <c r="F4846" t="s">
        <v>32</v>
      </c>
      <c r="G4846">
        <v>1117.23</v>
      </c>
      <c r="H4846" t="s">
        <v>19</v>
      </c>
      <c r="I4846" t="s">
        <v>15</v>
      </c>
      <c r="J4846">
        <v>3.8</v>
      </c>
      <c r="K4846">
        <v>22</v>
      </c>
      <c r="L4846">
        <f t="shared" si="226"/>
        <v>871.43940000000009</v>
      </c>
      <c r="M4846">
        <v>6</v>
      </c>
      <c r="N4846" t="str">
        <f t="shared" si="227"/>
        <v>Regular</v>
      </c>
    </row>
    <row r="4847" spans="1:14" x14ac:dyDescent="0.35">
      <c r="A4847">
        <v>4846</v>
      </c>
      <c r="B4847">
        <v>51</v>
      </c>
      <c r="C4847" t="str">
        <f t="shared" si="225"/>
        <v>Adult</v>
      </c>
      <c r="D4847" t="s">
        <v>11</v>
      </c>
      <c r="E4847" t="s">
        <v>41</v>
      </c>
      <c r="F4847" t="s">
        <v>46</v>
      </c>
      <c r="G4847">
        <v>75.540000000000006</v>
      </c>
      <c r="H4847" t="s">
        <v>31</v>
      </c>
      <c r="I4847" t="s">
        <v>15</v>
      </c>
      <c r="J4847">
        <v>4.2</v>
      </c>
      <c r="K4847">
        <v>11</v>
      </c>
      <c r="L4847">
        <f t="shared" si="226"/>
        <v>67.23060000000001</v>
      </c>
      <c r="M4847">
        <v>3</v>
      </c>
      <c r="N4847" t="str">
        <f t="shared" si="227"/>
        <v>New</v>
      </c>
    </row>
    <row r="4848" spans="1:14" x14ac:dyDescent="0.35">
      <c r="A4848">
        <v>4847</v>
      </c>
      <c r="B4848">
        <v>21</v>
      </c>
      <c r="C4848" t="str">
        <f t="shared" si="225"/>
        <v>Youth</v>
      </c>
      <c r="D4848" t="s">
        <v>11</v>
      </c>
      <c r="E4848" t="s">
        <v>12</v>
      </c>
      <c r="F4848" t="s">
        <v>50</v>
      </c>
      <c r="G4848">
        <v>31.69</v>
      </c>
      <c r="H4848" t="s">
        <v>24</v>
      </c>
      <c r="I4848" t="s">
        <v>37</v>
      </c>
      <c r="J4848">
        <v>2.6</v>
      </c>
      <c r="K4848">
        <v>20</v>
      </c>
      <c r="L4848">
        <f t="shared" si="226"/>
        <v>25.352000000000004</v>
      </c>
      <c r="M4848">
        <v>5</v>
      </c>
      <c r="N4848" t="str">
        <f t="shared" si="227"/>
        <v>Regular</v>
      </c>
    </row>
    <row r="4849" spans="1:14" x14ac:dyDescent="0.35">
      <c r="A4849">
        <v>4848</v>
      </c>
      <c r="B4849">
        <v>48</v>
      </c>
      <c r="C4849" t="str">
        <f t="shared" si="225"/>
        <v>Adult</v>
      </c>
      <c r="D4849" t="s">
        <v>11</v>
      </c>
      <c r="E4849" t="s">
        <v>29</v>
      </c>
      <c r="F4849" t="s">
        <v>55</v>
      </c>
      <c r="G4849">
        <v>125.13</v>
      </c>
      <c r="H4849" t="s">
        <v>31</v>
      </c>
      <c r="I4849" t="s">
        <v>15</v>
      </c>
      <c r="J4849">
        <v>3.6</v>
      </c>
      <c r="K4849">
        <v>18</v>
      </c>
      <c r="L4849">
        <f t="shared" si="226"/>
        <v>102.6066</v>
      </c>
      <c r="M4849">
        <v>4</v>
      </c>
      <c r="N4849" t="str">
        <f t="shared" si="227"/>
        <v>Regular</v>
      </c>
    </row>
    <row r="4850" spans="1:14" x14ac:dyDescent="0.35">
      <c r="A4850">
        <v>4849</v>
      </c>
      <c r="B4850">
        <v>51</v>
      </c>
      <c r="C4850" t="str">
        <f t="shared" si="225"/>
        <v>Adult</v>
      </c>
      <c r="D4850" t="s">
        <v>16</v>
      </c>
      <c r="E4850" t="s">
        <v>33</v>
      </c>
      <c r="F4850" t="s">
        <v>34</v>
      </c>
      <c r="G4850">
        <v>188.35</v>
      </c>
      <c r="H4850" t="s">
        <v>14</v>
      </c>
      <c r="I4850" t="s">
        <v>15</v>
      </c>
      <c r="J4850">
        <v>4.5999999999999996</v>
      </c>
      <c r="K4850">
        <v>16</v>
      </c>
      <c r="L4850">
        <f t="shared" si="226"/>
        <v>158.214</v>
      </c>
      <c r="M4850">
        <v>8</v>
      </c>
      <c r="N4850" t="str">
        <f t="shared" si="227"/>
        <v>Loyal</v>
      </c>
    </row>
    <row r="4851" spans="1:14" x14ac:dyDescent="0.35">
      <c r="A4851">
        <v>4850</v>
      </c>
      <c r="B4851">
        <v>46</v>
      </c>
      <c r="C4851" t="str">
        <f t="shared" si="225"/>
        <v>Adult</v>
      </c>
      <c r="D4851" t="s">
        <v>11</v>
      </c>
      <c r="E4851" t="s">
        <v>12</v>
      </c>
      <c r="F4851" t="s">
        <v>56</v>
      </c>
      <c r="G4851">
        <v>72.39</v>
      </c>
      <c r="H4851" t="s">
        <v>14</v>
      </c>
      <c r="I4851" t="s">
        <v>37</v>
      </c>
      <c r="J4851">
        <v>4.5999999999999996</v>
      </c>
      <c r="K4851">
        <v>16</v>
      </c>
      <c r="L4851">
        <f t="shared" si="226"/>
        <v>60.807600000000001</v>
      </c>
      <c r="M4851">
        <v>3</v>
      </c>
      <c r="N4851" t="str">
        <f t="shared" si="227"/>
        <v>New</v>
      </c>
    </row>
    <row r="4852" spans="1:14" x14ac:dyDescent="0.35">
      <c r="A4852">
        <v>4851</v>
      </c>
      <c r="B4852">
        <v>46</v>
      </c>
      <c r="C4852" t="str">
        <f t="shared" si="225"/>
        <v>Adult</v>
      </c>
      <c r="D4852" t="s">
        <v>16</v>
      </c>
      <c r="E4852" t="s">
        <v>22</v>
      </c>
      <c r="F4852" t="s">
        <v>52</v>
      </c>
      <c r="G4852">
        <v>237.02</v>
      </c>
      <c r="H4852" t="s">
        <v>14</v>
      </c>
      <c r="I4852" t="s">
        <v>15</v>
      </c>
      <c r="J4852">
        <v>4.0999999999999996</v>
      </c>
      <c r="K4852">
        <v>12</v>
      </c>
      <c r="L4852">
        <f t="shared" si="226"/>
        <v>208.57760000000002</v>
      </c>
      <c r="M4852">
        <v>6</v>
      </c>
      <c r="N4852" t="str">
        <f t="shared" si="227"/>
        <v>Regular</v>
      </c>
    </row>
    <row r="4853" spans="1:14" x14ac:dyDescent="0.35">
      <c r="A4853">
        <v>4852</v>
      </c>
      <c r="B4853">
        <v>52</v>
      </c>
      <c r="C4853" t="str">
        <f t="shared" si="225"/>
        <v>Adult</v>
      </c>
      <c r="D4853" t="s">
        <v>11</v>
      </c>
      <c r="E4853" t="s">
        <v>41</v>
      </c>
      <c r="F4853" t="s">
        <v>42</v>
      </c>
      <c r="G4853">
        <v>177.68</v>
      </c>
      <c r="H4853" t="s">
        <v>19</v>
      </c>
      <c r="I4853" t="s">
        <v>15</v>
      </c>
      <c r="J4853">
        <v>3.8</v>
      </c>
      <c r="K4853">
        <v>6</v>
      </c>
      <c r="L4853">
        <f t="shared" si="226"/>
        <v>167.01919999999998</v>
      </c>
      <c r="M4853">
        <v>3</v>
      </c>
      <c r="N4853" t="str">
        <f t="shared" si="227"/>
        <v>New</v>
      </c>
    </row>
    <row r="4854" spans="1:14" x14ac:dyDescent="0.35">
      <c r="A4854">
        <v>4853</v>
      </c>
      <c r="B4854">
        <v>67</v>
      </c>
      <c r="C4854" t="str">
        <f t="shared" si="225"/>
        <v>Senior</v>
      </c>
      <c r="D4854" t="s">
        <v>16</v>
      </c>
      <c r="E4854" t="s">
        <v>27</v>
      </c>
      <c r="F4854" t="s">
        <v>49</v>
      </c>
      <c r="G4854">
        <v>1464.98</v>
      </c>
      <c r="H4854" t="s">
        <v>24</v>
      </c>
      <c r="I4854" t="s">
        <v>15</v>
      </c>
      <c r="J4854">
        <v>3.8</v>
      </c>
      <c r="K4854">
        <v>22</v>
      </c>
      <c r="L4854">
        <f t="shared" si="226"/>
        <v>1142.6844000000001</v>
      </c>
      <c r="M4854">
        <v>11</v>
      </c>
      <c r="N4854" t="str">
        <f t="shared" si="227"/>
        <v>Loyal</v>
      </c>
    </row>
    <row r="4855" spans="1:14" x14ac:dyDescent="0.35">
      <c r="A4855">
        <v>4854</v>
      </c>
      <c r="B4855">
        <v>36</v>
      </c>
      <c r="C4855" t="str">
        <f t="shared" si="225"/>
        <v>Adult</v>
      </c>
      <c r="D4855" t="s">
        <v>16</v>
      </c>
      <c r="E4855" t="s">
        <v>33</v>
      </c>
      <c r="F4855" t="s">
        <v>34</v>
      </c>
      <c r="G4855">
        <v>236.57</v>
      </c>
      <c r="H4855" t="s">
        <v>14</v>
      </c>
      <c r="I4855" t="s">
        <v>15</v>
      </c>
      <c r="J4855">
        <v>3.2</v>
      </c>
      <c r="K4855">
        <v>22</v>
      </c>
      <c r="L4855">
        <f t="shared" si="226"/>
        <v>184.52459999999999</v>
      </c>
      <c r="M4855">
        <v>6</v>
      </c>
      <c r="N4855" t="str">
        <f t="shared" si="227"/>
        <v>Regular</v>
      </c>
    </row>
    <row r="4856" spans="1:14" x14ac:dyDescent="0.35">
      <c r="A4856">
        <v>4855</v>
      </c>
      <c r="B4856">
        <v>38</v>
      </c>
      <c r="C4856" t="str">
        <f t="shared" si="225"/>
        <v>Adult</v>
      </c>
      <c r="D4856" t="s">
        <v>16</v>
      </c>
      <c r="E4856" t="s">
        <v>22</v>
      </c>
      <c r="F4856" t="s">
        <v>43</v>
      </c>
      <c r="G4856">
        <v>109.44</v>
      </c>
      <c r="H4856" t="s">
        <v>14</v>
      </c>
      <c r="I4856" t="s">
        <v>15</v>
      </c>
      <c r="J4856">
        <v>2.7</v>
      </c>
      <c r="K4856">
        <v>10</v>
      </c>
      <c r="L4856">
        <f t="shared" si="226"/>
        <v>98.495999999999995</v>
      </c>
      <c r="M4856">
        <v>0</v>
      </c>
      <c r="N4856" t="str">
        <f t="shared" si="227"/>
        <v>New</v>
      </c>
    </row>
    <row r="4857" spans="1:14" x14ac:dyDescent="0.35">
      <c r="A4857">
        <v>4856</v>
      </c>
      <c r="B4857">
        <v>45</v>
      </c>
      <c r="C4857" t="str">
        <f t="shared" si="225"/>
        <v>Adult</v>
      </c>
      <c r="D4857" t="s">
        <v>16</v>
      </c>
      <c r="E4857" t="s">
        <v>22</v>
      </c>
      <c r="F4857" t="s">
        <v>43</v>
      </c>
      <c r="G4857">
        <v>220.75</v>
      </c>
      <c r="H4857" t="s">
        <v>31</v>
      </c>
      <c r="I4857" t="s">
        <v>15</v>
      </c>
      <c r="J4857">
        <v>4</v>
      </c>
      <c r="K4857">
        <v>8</v>
      </c>
      <c r="L4857">
        <f t="shared" si="226"/>
        <v>203.09</v>
      </c>
      <c r="M4857">
        <v>4</v>
      </c>
      <c r="N4857" t="str">
        <f t="shared" si="227"/>
        <v>Regular</v>
      </c>
    </row>
    <row r="4858" spans="1:14" x14ac:dyDescent="0.35">
      <c r="A4858">
        <v>4857</v>
      </c>
      <c r="B4858">
        <v>22</v>
      </c>
      <c r="C4858" t="str">
        <f t="shared" si="225"/>
        <v>Youth</v>
      </c>
      <c r="D4858" t="s">
        <v>11</v>
      </c>
      <c r="E4858" t="s">
        <v>41</v>
      </c>
      <c r="F4858" t="s">
        <v>44</v>
      </c>
      <c r="G4858">
        <v>171.72</v>
      </c>
      <c r="H4858" t="s">
        <v>24</v>
      </c>
      <c r="I4858" t="s">
        <v>15</v>
      </c>
      <c r="J4858">
        <v>3.9</v>
      </c>
      <c r="K4858">
        <v>12</v>
      </c>
      <c r="L4858">
        <f t="shared" si="226"/>
        <v>151.11359999999999</v>
      </c>
      <c r="M4858">
        <v>6</v>
      </c>
      <c r="N4858" t="str">
        <f t="shared" si="227"/>
        <v>Regular</v>
      </c>
    </row>
    <row r="4859" spans="1:14" x14ac:dyDescent="0.35">
      <c r="A4859">
        <v>4858</v>
      </c>
      <c r="B4859">
        <v>33</v>
      </c>
      <c r="C4859" t="str">
        <f t="shared" si="225"/>
        <v>Adult</v>
      </c>
      <c r="D4859" t="s">
        <v>11</v>
      </c>
      <c r="E4859" t="s">
        <v>12</v>
      </c>
      <c r="F4859" t="s">
        <v>13</v>
      </c>
      <c r="G4859">
        <v>83.46</v>
      </c>
      <c r="H4859" t="s">
        <v>31</v>
      </c>
      <c r="I4859" t="s">
        <v>37</v>
      </c>
      <c r="J4859">
        <v>3.7</v>
      </c>
      <c r="K4859">
        <v>25</v>
      </c>
      <c r="L4859">
        <f t="shared" si="226"/>
        <v>62.594999999999999</v>
      </c>
      <c r="M4859">
        <v>10</v>
      </c>
      <c r="N4859" t="str">
        <f t="shared" si="227"/>
        <v>Loyal</v>
      </c>
    </row>
    <row r="4860" spans="1:14" x14ac:dyDescent="0.35">
      <c r="A4860">
        <v>4859</v>
      </c>
      <c r="B4860">
        <v>60</v>
      </c>
      <c r="C4860" t="str">
        <f t="shared" si="225"/>
        <v>Adult</v>
      </c>
      <c r="D4860" t="s">
        <v>16</v>
      </c>
      <c r="E4860" t="s">
        <v>20</v>
      </c>
      <c r="F4860" t="s">
        <v>21</v>
      </c>
      <c r="G4860">
        <v>224.01</v>
      </c>
      <c r="H4860" t="s">
        <v>19</v>
      </c>
      <c r="I4860" t="s">
        <v>15</v>
      </c>
      <c r="J4860">
        <v>3.2</v>
      </c>
      <c r="K4860">
        <v>23</v>
      </c>
      <c r="L4860">
        <f t="shared" si="226"/>
        <v>172.48769999999999</v>
      </c>
      <c r="M4860">
        <v>9</v>
      </c>
      <c r="N4860" t="str">
        <f t="shared" si="227"/>
        <v>Loyal</v>
      </c>
    </row>
    <row r="4861" spans="1:14" x14ac:dyDescent="0.35">
      <c r="A4861">
        <v>4860</v>
      </c>
      <c r="B4861">
        <v>38</v>
      </c>
      <c r="C4861" t="str">
        <f t="shared" si="225"/>
        <v>Adult</v>
      </c>
      <c r="D4861" t="s">
        <v>11</v>
      </c>
      <c r="E4861" t="s">
        <v>33</v>
      </c>
      <c r="F4861" t="s">
        <v>40</v>
      </c>
      <c r="G4861">
        <v>211.8</v>
      </c>
      <c r="H4861" t="s">
        <v>24</v>
      </c>
      <c r="I4861" t="s">
        <v>15</v>
      </c>
      <c r="J4861">
        <v>3.6</v>
      </c>
      <c r="K4861">
        <v>15</v>
      </c>
      <c r="L4861">
        <f t="shared" si="226"/>
        <v>180.03</v>
      </c>
      <c r="M4861">
        <v>5</v>
      </c>
      <c r="N4861" t="str">
        <f t="shared" si="227"/>
        <v>Regular</v>
      </c>
    </row>
    <row r="4862" spans="1:14" x14ac:dyDescent="0.35">
      <c r="A4862">
        <v>4861</v>
      </c>
      <c r="B4862">
        <v>57</v>
      </c>
      <c r="C4862" t="str">
        <f t="shared" si="225"/>
        <v>Adult</v>
      </c>
      <c r="D4862" t="s">
        <v>11</v>
      </c>
      <c r="E4862" t="s">
        <v>12</v>
      </c>
      <c r="F4862" t="s">
        <v>50</v>
      </c>
      <c r="G4862">
        <v>97.86</v>
      </c>
      <c r="H4862" t="s">
        <v>31</v>
      </c>
      <c r="I4862" t="s">
        <v>15</v>
      </c>
      <c r="J4862">
        <v>4.2</v>
      </c>
      <c r="K4862">
        <v>16</v>
      </c>
      <c r="L4862">
        <f t="shared" si="226"/>
        <v>82.202399999999997</v>
      </c>
      <c r="M4862">
        <v>8</v>
      </c>
      <c r="N4862" t="str">
        <f t="shared" si="227"/>
        <v>Loyal</v>
      </c>
    </row>
    <row r="4863" spans="1:14" x14ac:dyDescent="0.35">
      <c r="A4863">
        <v>4862</v>
      </c>
      <c r="B4863">
        <v>61</v>
      </c>
      <c r="C4863" t="str">
        <f t="shared" si="225"/>
        <v>Senior</v>
      </c>
      <c r="D4863" t="s">
        <v>16</v>
      </c>
      <c r="E4863" t="s">
        <v>20</v>
      </c>
      <c r="F4863" t="s">
        <v>39</v>
      </c>
      <c r="G4863">
        <v>166.73</v>
      </c>
      <c r="H4863" t="s">
        <v>19</v>
      </c>
      <c r="I4863" t="s">
        <v>15</v>
      </c>
      <c r="J4863">
        <v>3.5</v>
      </c>
      <c r="K4863">
        <v>12</v>
      </c>
      <c r="L4863">
        <f t="shared" si="226"/>
        <v>146.72239999999999</v>
      </c>
      <c r="M4863">
        <v>1</v>
      </c>
      <c r="N4863" t="str">
        <f t="shared" si="227"/>
        <v>New</v>
      </c>
    </row>
    <row r="4864" spans="1:14" x14ac:dyDescent="0.35">
      <c r="A4864">
        <v>4863</v>
      </c>
      <c r="B4864">
        <v>45</v>
      </c>
      <c r="C4864" t="str">
        <f t="shared" si="225"/>
        <v>Adult</v>
      </c>
      <c r="D4864" t="s">
        <v>16</v>
      </c>
      <c r="E4864" t="s">
        <v>27</v>
      </c>
      <c r="F4864" t="s">
        <v>28</v>
      </c>
      <c r="G4864">
        <v>2482.54</v>
      </c>
      <c r="H4864" t="s">
        <v>31</v>
      </c>
      <c r="I4864" t="s">
        <v>15</v>
      </c>
      <c r="J4864">
        <v>4.0999999999999996</v>
      </c>
      <c r="K4864">
        <v>4</v>
      </c>
      <c r="L4864">
        <f t="shared" si="226"/>
        <v>2383.2383999999997</v>
      </c>
      <c r="M4864">
        <v>2</v>
      </c>
      <c r="N4864" t="str">
        <f t="shared" si="227"/>
        <v>New</v>
      </c>
    </row>
    <row r="4865" spans="1:14" x14ac:dyDescent="0.35">
      <c r="A4865">
        <v>4864</v>
      </c>
      <c r="B4865">
        <v>26</v>
      </c>
      <c r="C4865" t="str">
        <f t="shared" si="225"/>
        <v>Youth</v>
      </c>
      <c r="D4865" t="s">
        <v>16</v>
      </c>
      <c r="E4865" t="s">
        <v>20</v>
      </c>
      <c r="F4865" t="s">
        <v>36</v>
      </c>
      <c r="G4865">
        <v>125.43</v>
      </c>
      <c r="H4865" t="s">
        <v>19</v>
      </c>
      <c r="I4865" t="s">
        <v>15</v>
      </c>
      <c r="J4865">
        <v>2.5</v>
      </c>
      <c r="K4865">
        <v>18</v>
      </c>
      <c r="L4865">
        <f t="shared" si="226"/>
        <v>102.85260000000001</v>
      </c>
      <c r="M4865">
        <v>4</v>
      </c>
      <c r="N4865" t="str">
        <f t="shared" si="227"/>
        <v>Regular</v>
      </c>
    </row>
    <row r="4866" spans="1:14" x14ac:dyDescent="0.35">
      <c r="A4866">
        <v>4865</v>
      </c>
      <c r="B4866">
        <v>25</v>
      </c>
      <c r="C4866" t="str">
        <f t="shared" si="225"/>
        <v>Youth</v>
      </c>
      <c r="D4866" t="s">
        <v>11</v>
      </c>
      <c r="E4866" t="s">
        <v>29</v>
      </c>
      <c r="F4866" t="s">
        <v>55</v>
      </c>
      <c r="G4866">
        <v>62.35</v>
      </c>
      <c r="H4866" t="s">
        <v>19</v>
      </c>
      <c r="I4866" t="s">
        <v>37</v>
      </c>
      <c r="J4866">
        <v>4</v>
      </c>
      <c r="K4866">
        <v>18</v>
      </c>
      <c r="L4866">
        <f t="shared" si="226"/>
        <v>51.127000000000002</v>
      </c>
      <c r="M4866">
        <v>9</v>
      </c>
      <c r="N4866" t="str">
        <f t="shared" si="227"/>
        <v>Loyal</v>
      </c>
    </row>
    <row r="4867" spans="1:14" x14ac:dyDescent="0.35">
      <c r="A4867">
        <v>4866</v>
      </c>
      <c r="B4867">
        <v>22</v>
      </c>
      <c r="C4867" t="str">
        <f t="shared" ref="C4867:C4930" si="228">IF(B4867&lt;=30,"Youth",IF(B4867&lt;=45,"Adult",IF(B4867&lt;=60,"Adult","Senior")))</f>
        <v>Youth</v>
      </c>
      <c r="D4867" t="s">
        <v>11</v>
      </c>
      <c r="E4867" t="s">
        <v>29</v>
      </c>
      <c r="F4867" t="s">
        <v>51</v>
      </c>
      <c r="G4867">
        <v>93.53</v>
      </c>
      <c r="H4867" t="s">
        <v>14</v>
      </c>
      <c r="I4867" t="s">
        <v>15</v>
      </c>
      <c r="J4867">
        <v>3.3</v>
      </c>
      <c r="K4867">
        <v>10</v>
      </c>
      <c r="L4867">
        <f t="shared" ref="L4867:L4930" si="229">G4867*(1-K4867/100)</f>
        <v>84.177000000000007</v>
      </c>
      <c r="M4867">
        <v>5</v>
      </c>
      <c r="N4867" t="str">
        <f t="shared" ref="N4867:N4930" si="230">IF(M4867&lt;=3,"New",IF(M4867&lt;=7,"Regular","Loyal"))</f>
        <v>Regular</v>
      </c>
    </row>
    <row r="4868" spans="1:14" x14ac:dyDescent="0.35">
      <c r="A4868">
        <v>4867</v>
      </c>
      <c r="B4868">
        <v>61</v>
      </c>
      <c r="C4868" t="str">
        <f t="shared" si="228"/>
        <v>Senior</v>
      </c>
      <c r="D4868" t="s">
        <v>16</v>
      </c>
      <c r="E4868" t="s">
        <v>20</v>
      </c>
      <c r="F4868" t="s">
        <v>21</v>
      </c>
      <c r="G4868">
        <v>193.47</v>
      </c>
      <c r="H4868" t="s">
        <v>31</v>
      </c>
      <c r="I4868" t="s">
        <v>15</v>
      </c>
      <c r="J4868">
        <v>4.0999999999999996</v>
      </c>
      <c r="K4868">
        <v>15</v>
      </c>
      <c r="L4868">
        <f t="shared" si="229"/>
        <v>164.4495</v>
      </c>
      <c r="M4868">
        <v>5</v>
      </c>
      <c r="N4868" t="str">
        <f t="shared" si="230"/>
        <v>Regular</v>
      </c>
    </row>
    <row r="4869" spans="1:14" x14ac:dyDescent="0.35">
      <c r="A4869">
        <v>4868</v>
      </c>
      <c r="B4869">
        <v>34</v>
      </c>
      <c r="C4869" t="str">
        <f t="shared" si="228"/>
        <v>Adult</v>
      </c>
      <c r="D4869" t="s">
        <v>11</v>
      </c>
      <c r="E4869" t="s">
        <v>41</v>
      </c>
      <c r="F4869" t="s">
        <v>42</v>
      </c>
      <c r="G4869">
        <v>86.21</v>
      </c>
      <c r="H4869" t="s">
        <v>24</v>
      </c>
      <c r="I4869" t="s">
        <v>37</v>
      </c>
      <c r="J4869">
        <v>3.5</v>
      </c>
      <c r="K4869">
        <v>24</v>
      </c>
      <c r="L4869">
        <f t="shared" si="229"/>
        <v>65.519599999999997</v>
      </c>
      <c r="M4869">
        <v>7</v>
      </c>
      <c r="N4869" t="str">
        <f t="shared" si="230"/>
        <v>Regular</v>
      </c>
    </row>
    <row r="4870" spans="1:14" x14ac:dyDescent="0.35">
      <c r="A4870">
        <v>4869</v>
      </c>
      <c r="B4870">
        <v>56</v>
      </c>
      <c r="C4870" t="str">
        <f t="shared" si="228"/>
        <v>Adult</v>
      </c>
      <c r="D4870" t="s">
        <v>16</v>
      </c>
      <c r="E4870" t="s">
        <v>20</v>
      </c>
      <c r="F4870" t="s">
        <v>39</v>
      </c>
      <c r="G4870">
        <v>184.93</v>
      </c>
      <c r="H4870" t="s">
        <v>31</v>
      </c>
      <c r="I4870" t="s">
        <v>15</v>
      </c>
      <c r="J4870">
        <v>4.0999999999999996</v>
      </c>
      <c r="K4870">
        <v>12</v>
      </c>
      <c r="L4870">
        <f t="shared" si="229"/>
        <v>162.73840000000001</v>
      </c>
      <c r="M4870">
        <v>6</v>
      </c>
      <c r="N4870" t="str">
        <f t="shared" si="230"/>
        <v>Regular</v>
      </c>
    </row>
    <row r="4871" spans="1:14" x14ac:dyDescent="0.35">
      <c r="A4871">
        <v>4870</v>
      </c>
      <c r="B4871">
        <v>53</v>
      </c>
      <c r="C4871" t="str">
        <f t="shared" si="228"/>
        <v>Adult</v>
      </c>
      <c r="D4871" t="s">
        <v>16</v>
      </c>
      <c r="E4871" t="s">
        <v>17</v>
      </c>
      <c r="F4871" t="s">
        <v>35</v>
      </c>
      <c r="G4871">
        <v>162.06</v>
      </c>
      <c r="H4871" t="s">
        <v>31</v>
      </c>
      <c r="I4871" t="s">
        <v>15</v>
      </c>
      <c r="J4871">
        <v>5</v>
      </c>
      <c r="K4871">
        <v>20</v>
      </c>
      <c r="L4871">
        <f t="shared" si="229"/>
        <v>129.648</v>
      </c>
      <c r="M4871">
        <v>5</v>
      </c>
      <c r="N4871" t="str">
        <f t="shared" si="230"/>
        <v>Regular</v>
      </c>
    </row>
    <row r="4872" spans="1:14" x14ac:dyDescent="0.35">
      <c r="A4872">
        <v>4871</v>
      </c>
      <c r="B4872">
        <v>34</v>
      </c>
      <c r="C4872" t="str">
        <f t="shared" si="228"/>
        <v>Adult</v>
      </c>
      <c r="D4872" t="s">
        <v>16</v>
      </c>
      <c r="E4872" t="s">
        <v>20</v>
      </c>
      <c r="F4872" t="s">
        <v>36</v>
      </c>
      <c r="G4872">
        <v>75.709999999999994</v>
      </c>
      <c r="H4872" t="s">
        <v>19</v>
      </c>
      <c r="I4872" t="s">
        <v>37</v>
      </c>
      <c r="J4872">
        <v>4.3</v>
      </c>
      <c r="K4872">
        <v>26</v>
      </c>
      <c r="L4872">
        <f t="shared" si="229"/>
        <v>56.025399999999998</v>
      </c>
      <c r="M4872">
        <v>8</v>
      </c>
      <c r="N4872" t="str">
        <f t="shared" si="230"/>
        <v>Loyal</v>
      </c>
    </row>
    <row r="4873" spans="1:14" x14ac:dyDescent="0.35">
      <c r="A4873">
        <v>4872</v>
      </c>
      <c r="B4873">
        <v>20</v>
      </c>
      <c r="C4873" t="str">
        <f t="shared" si="228"/>
        <v>Youth</v>
      </c>
      <c r="D4873" t="s">
        <v>16</v>
      </c>
      <c r="E4873" t="s">
        <v>25</v>
      </c>
      <c r="F4873" t="s">
        <v>26</v>
      </c>
      <c r="G4873">
        <v>59.59</v>
      </c>
      <c r="H4873" t="s">
        <v>31</v>
      </c>
      <c r="I4873" t="s">
        <v>15</v>
      </c>
      <c r="J4873">
        <v>4.8</v>
      </c>
      <c r="K4873">
        <v>14</v>
      </c>
      <c r="L4873">
        <f t="shared" si="229"/>
        <v>51.247399999999999</v>
      </c>
      <c r="M4873">
        <v>2</v>
      </c>
      <c r="N4873" t="str">
        <f t="shared" si="230"/>
        <v>New</v>
      </c>
    </row>
    <row r="4874" spans="1:14" x14ac:dyDescent="0.35">
      <c r="A4874">
        <v>4873</v>
      </c>
      <c r="B4874">
        <v>30</v>
      </c>
      <c r="C4874" t="str">
        <f t="shared" si="228"/>
        <v>Youth</v>
      </c>
      <c r="D4874" t="s">
        <v>16</v>
      </c>
      <c r="E4874" t="s">
        <v>33</v>
      </c>
      <c r="F4874" t="s">
        <v>38</v>
      </c>
      <c r="G4874">
        <v>113.81</v>
      </c>
      <c r="H4874" t="s">
        <v>19</v>
      </c>
      <c r="I4874" t="s">
        <v>15</v>
      </c>
      <c r="J4874">
        <v>3.6</v>
      </c>
      <c r="K4874">
        <v>13</v>
      </c>
      <c r="L4874">
        <f t="shared" si="229"/>
        <v>99.014700000000005</v>
      </c>
      <c r="M4874">
        <v>4</v>
      </c>
      <c r="N4874" t="str">
        <f t="shared" si="230"/>
        <v>Regular</v>
      </c>
    </row>
    <row r="4875" spans="1:14" x14ac:dyDescent="0.35">
      <c r="A4875">
        <v>4874</v>
      </c>
      <c r="B4875">
        <v>28</v>
      </c>
      <c r="C4875" t="str">
        <f t="shared" si="228"/>
        <v>Youth</v>
      </c>
      <c r="D4875" t="s">
        <v>16</v>
      </c>
      <c r="E4875" t="s">
        <v>17</v>
      </c>
      <c r="F4875" t="s">
        <v>35</v>
      </c>
      <c r="G4875">
        <v>109.99</v>
      </c>
      <c r="H4875" t="s">
        <v>19</v>
      </c>
      <c r="I4875" t="s">
        <v>15</v>
      </c>
      <c r="J4875">
        <v>4.5999999999999996</v>
      </c>
      <c r="K4875">
        <v>19</v>
      </c>
      <c r="L4875">
        <f t="shared" si="229"/>
        <v>89.091899999999995</v>
      </c>
      <c r="M4875">
        <v>7</v>
      </c>
      <c r="N4875" t="str">
        <f t="shared" si="230"/>
        <v>Regular</v>
      </c>
    </row>
    <row r="4876" spans="1:14" x14ac:dyDescent="0.35">
      <c r="A4876">
        <v>4875</v>
      </c>
      <c r="B4876">
        <v>27</v>
      </c>
      <c r="C4876" t="str">
        <f t="shared" si="228"/>
        <v>Youth</v>
      </c>
      <c r="D4876" t="s">
        <v>11</v>
      </c>
      <c r="E4876" t="s">
        <v>12</v>
      </c>
      <c r="F4876" t="s">
        <v>50</v>
      </c>
      <c r="G4876">
        <v>161.53</v>
      </c>
      <c r="H4876" t="s">
        <v>31</v>
      </c>
      <c r="I4876" t="s">
        <v>15</v>
      </c>
      <c r="J4876">
        <v>3.8</v>
      </c>
      <c r="K4876">
        <v>12</v>
      </c>
      <c r="L4876">
        <f t="shared" si="229"/>
        <v>142.1464</v>
      </c>
      <c r="M4876">
        <v>1</v>
      </c>
      <c r="N4876" t="str">
        <f t="shared" si="230"/>
        <v>New</v>
      </c>
    </row>
    <row r="4877" spans="1:14" x14ac:dyDescent="0.35">
      <c r="A4877">
        <v>4876</v>
      </c>
      <c r="B4877">
        <v>38</v>
      </c>
      <c r="C4877" t="str">
        <f t="shared" si="228"/>
        <v>Adult</v>
      </c>
      <c r="D4877" t="s">
        <v>11</v>
      </c>
      <c r="E4877" t="s">
        <v>33</v>
      </c>
      <c r="F4877" t="s">
        <v>38</v>
      </c>
      <c r="G4877">
        <v>78.34</v>
      </c>
      <c r="H4877" t="s">
        <v>24</v>
      </c>
      <c r="I4877" t="s">
        <v>15</v>
      </c>
      <c r="J4877">
        <v>3.7</v>
      </c>
      <c r="K4877">
        <v>15</v>
      </c>
      <c r="L4877">
        <f t="shared" si="229"/>
        <v>66.588999999999999</v>
      </c>
      <c r="M4877">
        <v>5</v>
      </c>
      <c r="N4877" t="str">
        <f t="shared" si="230"/>
        <v>Regular</v>
      </c>
    </row>
    <row r="4878" spans="1:14" x14ac:dyDescent="0.35">
      <c r="A4878">
        <v>4877</v>
      </c>
      <c r="B4878">
        <v>48</v>
      </c>
      <c r="C4878" t="str">
        <f t="shared" si="228"/>
        <v>Adult</v>
      </c>
      <c r="D4878" t="s">
        <v>16</v>
      </c>
      <c r="E4878" t="s">
        <v>33</v>
      </c>
      <c r="F4878" t="s">
        <v>38</v>
      </c>
      <c r="G4878">
        <v>228.07</v>
      </c>
      <c r="H4878" t="s">
        <v>14</v>
      </c>
      <c r="I4878" t="s">
        <v>15</v>
      </c>
      <c r="J4878">
        <v>3.4</v>
      </c>
      <c r="K4878">
        <v>21</v>
      </c>
      <c r="L4878">
        <f t="shared" si="229"/>
        <v>180.17529999999999</v>
      </c>
      <c r="M4878">
        <v>8</v>
      </c>
      <c r="N4878" t="str">
        <f t="shared" si="230"/>
        <v>Loyal</v>
      </c>
    </row>
    <row r="4879" spans="1:14" x14ac:dyDescent="0.35">
      <c r="A4879">
        <v>4878</v>
      </c>
      <c r="B4879">
        <v>30</v>
      </c>
      <c r="C4879" t="str">
        <f t="shared" si="228"/>
        <v>Youth</v>
      </c>
      <c r="D4879" t="s">
        <v>11</v>
      </c>
      <c r="E4879" t="s">
        <v>29</v>
      </c>
      <c r="F4879" t="s">
        <v>30</v>
      </c>
      <c r="G4879">
        <v>45.1</v>
      </c>
      <c r="H4879" t="s">
        <v>19</v>
      </c>
      <c r="I4879" t="s">
        <v>15</v>
      </c>
      <c r="J4879">
        <v>3.1</v>
      </c>
      <c r="K4879">
        <v>26</v>
      </c>
      <c r="L4879">
        <f t="shared" si="229"/>
        <v>33.374000000000002</v>
      </c>
      <c r="M4879">
        <v>8</v>
      </c>
      <c r="N4879" t="str">
        <f t="shared" si="230"/>
        <v>Loyal</v>
      </c>
    </row>
    <row r="4880" spans="1:14" x14ac:dyDescent="0.35">
      <c r="A4880">
        <v>4879</v>
      </c>
      <c r="B4880">
        <v>50</v>
      </c>
      <c r="C4880" t="str">
        <f t="shared" si="228"/>
        <v>Adult</v>
      </c>
      <c r="D4880" t="s">
        <v>11</v>
      </c>
      <c r="E4880" t="s">
        <v>41</v>
      </c>
      <c r="F4880" t="s">
        <v>46</v>
      </c>
      <c r="G4880">
        <v>177.6</v>
      </c>
      <c r="H4880" t="s">
        <v>31</v>
      </c>
      <c r="I4880" t="s">
        <v>15</v>
      </c>
      <c r="J4880">
        <v>3.1</v>
      </c>
      <c r="K4880">
        <v>8</v>
      </c>
      <c r="L4880">
        <f t="shared" si="229"/>
        <v>163.392</v>
      </c>
      <c r="M4880">
        <v>4</v>
      </c>
      <c r="N4880" t="str">
        <f t="shared" si="230"/>
        <v>Regular</v>
      </c>
    </row>
    <row r="4881" spans="1:14" x14ac:dyDescent="0.35">
      <c r="A4881">
        <v>4880</v>
      </c>
      <c r="B4881">
        <v>45</v>
      </c>
      <c r="C4881" t="str">
        <f t="shared" si="228"/>
        <v>Adult</v>
      </c>
      <c r="D4881" t="s">
        <v>16</v>
      </c>
      <c r="E4881" t="s">
        <v>27</v>
      </c>
      <c r="F4881" t="s">
        <v>28</v>
      </c>
      <c r="G4881">
        <v>1054.2</v>
      </c>
      <c r="H4881" t="s">
        <v>14</v>
      </c>
      <c r="I4881" t="s">
        <v>15</v>
      </c>
      <c r="J4881">
        <v>4.5999999999999996</v>
      </c>
      <c r="K4881">
        <v>10</v>
      </c>
      <c r="L4881">
        <f t="shared" si="229"/>
        <v>948.78000000000009</v>
      </c>
      <c r="M4881">
        <v>5</v>
      </c>
      <c r="N4881" t="str">
        <f t="shared" si="230"/>
        <v>Regular</v>
      </c>
    </row>
    <row r="4882" spans="1:14" x14ac:dyDescent="0.35">
      <c r="A4882">
        <v>4881</v>
      </c>
      <c r="B4882">
        <v>67</v>
      </c>
      <c r="C4882" t="str">
        <f t="shared" si="228"/>
        <v>Senior</v>
      </c>
      <c r="D4882" t="s">
        <v>16</v>
      </c>
      <c r="E4882" t="s">
        <v>33</v>
      </c>
      <c r="F4882" t="s">
        <v>38</v>
      </c>
      <c r="G4882">
        <v>86.51</v>
      </c>
      <c r="H4882" t="s">
        <v>31</v>
      </c>
      <c r="I4882" t="s">
        <v>37</v>
      </c>
      <c r="J4882">
        <v>4</v>
      </c>
      <c r="K4882">
        <v>10</v>
      </c>
      <c r="L4882">
        <f t="shared" si="229"/>
        <v>77.859000000000009</v>
      </c>
      <c r="M4882">
        <v>5</v>
      </c>
      <c r="N4882" t="str">
        <f t="shared" si="230"/>
        <v>Regular</v>
      </c>
    </row>
    <row r="4883" spans="1:14" x14ac:dyDescent="0.35">
      <c r="A4883">
        <v>4882</v>
      </c>
      <c r="B4883">
        <v>48</v>
      </c>
      <c r="C4883" t="str">
        <f t="shared" si="228"/>
        <v>Adult</v>
      </c>
      <c r="D4883" t="s">
        <v>16</v>
      </c>
      <c r="E4883" t="s">
        <v>27</v>
      </c>
      <c r="F4883" t="s">
        <v>28</v>
      </c>
      <c r="G4883">
        <v>2184.4</v>
      </c>
      <c r="H4883" t="s">
        <v>14</v>
      </c>
      <c r="I4883" t="s">
        <v>15</v>
      </c>
      <c r="J4883">
        <v>4</v>
      </c>
      <c r="K4883">
        <v>8</v>
      </c>
      <c r="L4883">
        <f t="shared" si="229"/>
        <v>2009.6480000000001</v>
      </c>
      <c r="M4883">
        <v>4</v>
      </c>
      <c r="N4883" t="str">
        <f t="shared" si="230"/>
        <v>Regular</v>
      </c>
    </row>
    <row r="4884" spans="1:14" x14ac:dyDescent="0.35">
      <c r="A4884">
        <v>4883</v>
      </c>
      <c r="B4884">
        <v>42</v>
      </c>
      <c r="C4884" t="str">
        <f t="shared" si="228"/>
        <v>Adult</v>
      </c>
      <c r="D4884" t="s">
        <v>11</v>
      </c>
      <c r="E4884" t="s">
        <v>12</v>
      </c>
      <c r="F4884" t="s">
        <v>13</v>
      </c>
      <c r="G4884">
        <v>128.68</v>
      </c>
      <c r="H4884" t="s">
        <v>19</v>
      </c>
      <c r="I4884" t="s">
        <v>15</v>
      </c>
      <c r="J4884">
        <v>5</v>
      </c>
      <c r="K4884">
        <v>19</v>
      </c>
      <c r="L4884">
        <f t="shared" si="229"/>
        <v>104.23080000000002</v>
      </c>
      <c r="M4884">
        <v>7</v>
      </c>
      <c r="N4884" t="str">
        <f t="shared" si="230"/>
        <v>Regular</v>
      </c>
    </row>
    <row r="4885" spans="1:14" x14ac:dyDescent="0.35">
      <c r="A4885">
        <v>4884</v>
      </c>
      <c r="B4885">
        <v>26</v>
      </c>
      <c r="C4885" t="str">
        <f t="shared" si="228"/>
        <v>Youth</v>
      </c>
      <c r="D4885" t="s">
        <v>11</v>
      </c>
      <c r="E4885" t="s">
        <v>29</v>
      </c>
      <c r="F4885" t="s">
        <v>55</v>
      </c>
      <c r="G4885">
        <v>104.48</v>
      </c>
      <c r="H4885" t="s">
        <v>14</v>
      </c>
      <c r="I4885" t="s">
        <v>15</v>
      </c>
      <c r="J4885">
        <v>4.2</v>
      </c>
      <c r="K4885">
        <v>20</v>
      </c>
      <c r="L4885">
        <f t="shared" si="229"/>
        <v>83.584000000000003</v>
      </c>
      <c r="M4885">
        <v>5</v>
      </c>
      <c r="N4885" t="str">
        <f t="shared" si="230"/>
        <v>Regular</v>
      </c>
    </row>
    <row r="4886" spans="1:14" x14ac:dyDescent="0.35">
      <c r="A4886">
        <v>4885</v>
      </c>
      <c r="B4886">
        <v>47</v>
      </c>
      <c r="C4886" t="str">
        <f t="shared" si="228"/>
        <v>Adult</v>
      </c>
      <c r="D4886" t="s">
        <v>16</v>
      </c>
      <c r="E4886" t="s">
        <v>17</v>
      </c>
      <c r="F4886" t="s">
        <v>35</v>
      </c>
      <c r="G4886">
        <v>77.72</v>
      </c>
      <c r="H4886" t="s">
        <v>14</v>
      </c>
      <c r="I4886" t="s">
        <v>15</v>
      </c>
      <c r="J4886">
        <v>4.4000000000000004</v>
      </c>
      <c r="K4886">
        <v>20</v>
      </c>
      <c r="L4886">
        <f t="shared" si="229"/>
        <v>62.176000000000002</v>
      </c>
      <c r="M4886">
        <v>5</v>
      </c>
      <c r="N4886" t="str">
        <f t="shared" si="230"/>
        <v>Regular</v>
      </c>
    </row>
    <row r="4887" spans="1:14" x14ac:dyDescent="0.35">
      <c r="A4887">
        <v>4886</v>
      </c>
      <c r="B4887">
        <v>65</v>
      </c>
      <c r="C4887" t="str">
        <f t="shared" si="228"/>
        <v>Senior</v>
      </c>
      <c r="D4887" t="s">
        <v>11</v>
      </c>
      <c r="E4887" t="s">
        <v>12</v>
      </c>
      <c r="F4887" t="s">
        <v>56</v>
      </c>
      <c r="G4887">
        <v>44.5</v>
      </c>
      <c r="H4887" t="s">
        <v>19</v>
      </c>
      <c r="I4887" t="s">
        <v>37</v>
      </c>
      <c r="J4887">
        <v>3.9</v>
      </c>
      <c r="K4887">
        <v>14</v>
      </c>
      <c r="L4887">
        <f t="shared" si="229"/>
        <v>38.269999999999996</v>
      </c>
      <c r="M4887">
        <v>2</v>
      </c>
      <c r="N4887" t="str">
        <f t="shared" si="230"/>
        <v>New</v>
      </c>
    </row>
    <row r="4888" spans="1:14" x14ac:dyDescent="0.35">
      <c r="A4888">
        <v>4887</v>
      </c>
      <c r="B4888">
        <v>67</v>
      </c>
      <c r="C4888" t="str">
        <f t="shared" si="228"/>
        <v>Senior</v>
      </c>
      <c r="D4888" t="s">
        <v>16</v>
      </c>
      <c r="E4888" t="s">
        <v>17</v>
      </c>
      <c r="F4888" t="s">
        <v>48</v>
      </c>
      <c r="G4888">
        <v>194.11</v>
      </c>
      <c r="H4888" t="s">
        <v>19</v>
      </c>
      <c r="I4888" t="s">
        <v>15</v>
      </c>
      <c r="J4888">
        <v>3.6</v>
      </c>
      <c r="K4888">
        <v>16</v>
      </c>
      <c r="L4888">
        <f t="shared" si="229"/>
        <v>163.05240000000001</v>
      </c>
      <c r="M4888">
        <v>3</v>
      </c>
      <c r="N4888" t="str">
        <f t="shared" si="230"/>
        <v>New</v>
      </c>
    </row>
    <row r="4889" spans="1:14" x14ac:dyDescent="0.35">
      <c r="A4889">
        <v>4888</v>
      </c>
      <c r="B4889">
        <v>42</v>
      </c>
      <c r="C4889" t="str">
        <f t="shared" si="228"/>
        <v>Adult</v>
      </c>
      <c r="D4889" t="s">
        <v>11</v>
      </c>
      <c r="E4889" t="s">
        <v>29</v>
      </c>
      <c r="F4889" t="s">
        <v>55</v>
      </c>
      <c r="G4889">
        <v>125.66</v>
      </c>
      <c r="H4889" t="s">
        <v>31</v>
      </c>
      <c r="I4889" t="s">
        <v>15</v>
      </c>
      <c r="J4889">
        <v>3.6</v>
      </c>
      <c r="K4889">
        <v>12</v>
      </c>
      <c r="L4889">
        <f t="shared" si="229"/>
        <v>110.5808</v>
      </c>
      <c r="M4889">
        <v>6</v>
      </c>
      <c r="N4889" t="str">
        <f t="shared" si="230"/>
        <v>Regular</v>
      </c>
    </row>
    <row r="4890" spans="1:14" x14ac:dyDescent="0.35">
      <c r="A4890">
        <v>4889</v>
      </c>
      <c r="B4890">
        <v>57</v>
      </c>
      <c r="C4890" t="str">
        <f t="shared" si="228"/>
        <v>Adult</v>
      </c>
      <c r="D4890" t="s">
        <v>11</v>
      </c>
      <c r="E4890" t="s">
        <v>29</v>
      </c>
      <c r="F4890" t="s">
        <v>30</v>
      </c>
      <c r="G4890">
        <v>35.130000000000003</v>
      </c>
      <c r="H4890" t="s">
        <v>19</v>
      </c>
      <c r="I4890" t="s">
        <v>15</v>
      </c>
      <c r="J4890">
        <v>3.8</v>
      </c>
      <c r="K4890">
        <v>11</v>
      </c>
      <c r="L4890">
        <f t="shared" si="229"/>
        <v>31.265700000000002</v>
      </c>
      <c r="M4890">
        <v>3</v>
      </c>
      <c r="N4890" t="str">
        <f t="shared" si="230"/>
        <v>New</v>
      </c>
    </row>
    <row r="4891" spans="1:14" x14ac:dyDescent="0.35">
      <c r="A4891">
        <v>4890</v>
      </c>
      <c r="B4891">
        <v>37</v>
      </c>
      <c r="C4891" t="str">
        <f t="shared" si="228"/>
        <v>Adult</v>
      </c>
      <c r="D4891" t="s">
        <v>16</v>
      </c>
      <c r="E4891" t="s">
        <v>33</v>
      </c>
      <c r="F4891" t="s">
        <v>38</v>
      </c>
      <c r="G4891">
        <v>62.42</v>
      </c>
      <c r="H4891" t="s">
        <v>14</v>
      </c>
      <c r="I4891" t="s">
        <v>37</v>
      </c>
      <c r="J4891">
        <v>3.7</v>
      </c>
      <c r="K4891">
        <v>12</v>
      </c>
      <c r="L4891">
        <f t="shared" si="229"/>
        <v>54.929600000000001</v>
      </c>
      <c r="M4891">
        <v>6</v>
      </c>
      <c r="N4891" t="str">
        <f t="shared" si="230"/>
        <v>Regular</v>
      </c>
    </row>
    <row r="4892" spans="1:14" x14ac:dyDescent="0.35">
      <c r="A4892">
        <v>4891</v>
      </c>
      <c r="B4892">
        <v>61</v>
      </c>
      <c r="C4892" t="str">
        <f t="shared" si="228"/>
        <v>Senior</v>
      </c>
      <c r="D4892" t="s">
        <v>11</v>
      </c>
      <c r="E4892" t="s">
        <v>12</v>
      </c>
      <c r="F4892" t="s">
        <v>13</v>
      </c>
      <c r="G4892">
        <v>148.01</v>
      </c>
      <c r="H4892" t="s">
        <v>14</v>
      </c>
      <c r="I4892" t="s">
        <v>15</v>
      </c>
      <c r="J4892">
        <v>3.5</v>
      </c>
      <c r="K4892">
        <v>10</v>
      </c>
      <c r="L4892">
        <f t="shared" si="229"/>
        <v>133.209</v>
      </c>
      <c r="M4892">
        <v>5</v>
      </c>
      <c r="N4892" t="str">
        <f t="shared" si="230"/>
        <v>Regular</v>
      </c>
    </row>
    <row r="4893" spans="1:14" x14ac:dyDescent="0.35">
      <c r="A4893">
        <v>4892</v>
      </c>
      <c r="B4893">
        <v>55</v>
      </c>
      <c r="C4893" t="str">
        <f t="shared" si="228"/>
        <v>Adult</v>
      </c>
      <c r="D4893" t="s">
        <v>11</v>
      </c>
      <c r="E4893" t="s">
        <v>20</v>
      </c>
      <c r="F4893" t="s">
        <v>21</v>
      </c>
      <c r="G4893">
        <v>121.55</v>
      </c>
      <c r="H4893" t="s">
        <v>14</v>
      </c>
      <c r="I4893" t="s">
        <v>15</v>
      </c>
      <c r="J4893">
        <v>3.5</v>
      </c>
      <c r="K4893">
        <v>22</v>
      </c>
      <c r="L4893">
        <f t="shared" si="229"/>
        <v>94.808999999999997</v>
      </c>
      <c r="M4893">
        <v>6</v>
      </c>
      <c r="N4893" t="str">
        <f t="shared" si="230"/>
        <v>Regular</v>
      </c>
    </row>
    <row r="4894" spans="1:14" x14ac:dyDescent="0.35">
      <c r="A4894">
        <v>4893</v>
      </c>
      <c r="B4894">
        <v>70</v>
      </c>
      <c r="C4894" t="str">
        <f t="shared" si="228"/>
        <v>Senior</v>
      </c>
      <c r="D4894" t="s">
        <v>11</v>
      </c>
      <c r="E4894" t="s">
        <v>20</v>
      </c>
      <c r="F4894" t="s">
        <v>21</v>
      </c>
      <c r="G4894">
        <v>126.71</v>
      </c>
      <c r="H4894" t="s">
        <v>24</v>
      </c>
      <c r="I4894" t="s">
        <v>15</v>
      </c>
      <c r="J4894">
        <v>4.2</v>
      </c>
      <c r="K4894">
        <v>14</v>
      </c>
      <c r="L4894">
        <f t="shared" si="229"/>
        <v>108.97059999999999</v>
      </c>
      <c r="M4894">
        <v>7</v>
      </c>
      <c r="N4894" t="str">
        <f t="shared" si="230"/>
        <v>Regular</v>
      </c>
    </row>
    <row r="4895" spans="1:14" x14ac:dyDescent="0.35">
      <c r="A4895">
        <v>4894</v>
      </c>
      <c r="B4895">
        <v>47</v>
      </c>
      <c r="C4895" t="str">
        <f t="shared" si="228"/>
        <v>Adult</v>
      </c>
      <c r="D4895" t="s">
        <v>16</v>
      </c>
      <c r="E4895" t="s">
        <v>20</v>
      </c>
      <c r="F4895" t="s">
        <v>21</v>
      </c>
      <c r="G4895">
        <v>187.3</v>
      </c>
      <c r="H4895" t="s">
        <v>19</v>
      </c>
      <c r="I4895" t="s">
        <v>15</v>
      </c>
      <c r="J4895">
        <v>5</v>
      </c>
      <c r="K4895">
        <v>24</v>
      </c>
      <c r="L4895">
        <f t="shared" si="229"/>
        <v>142.34800000000001</v>
      </c>
      <c r="M4895">
        <v>7</v>
      </c>
      <c r="N4895" t="str">
        <f t="shared" si="230"/>
        <v>Regular</v>
      </c>
    </row>
    <row r="4896" spans="1:14" x14ac:dyDescent="0.35">
      <c r="A4896">
        <v>4895</v>
      </c>
      <c r="B4896">
        <v>31</v>
      </c>
      <c r="C4896" t="str">
        <f t="shared" si="228"/>
        <v>Adult</v>
      </c>
      <c r="D4896" t="s">
        <v>11</v>
      </c>
      <c r="E4896" t="s">
        <v>41</v>
      </c>
      <c r="F4896" t="s">
        <v>44</v>
      </c>
      <c r="G4896">
        <v>128.52000000000001</v>
      </c>
      <c r="H4896" t="s">
        <v>24</v>
      </c>
      <c r="I4896" t="s">
        <v>15</v>
      </c>
      <c r="J4896">
        <v>3.2</v>
      </c>
      <c r="K4896">
        <v>10</v>
      </c>
      <c r="L4896">
        <f t="shared" si="229"/>
        <v>115.66800000000001</v>
      </c>
      <c r="M4896">
        <v>5</v>
      </c>
      <c r="N4896" t="str">
        <f t="shared" si="230"/>
        <v>Regular</v>
      </c>
    </row>
    <row r="4897" spans="1:14" x14ac:dyDescent="0.35">
      <c r="A4897">
        <v>4896</v>
      </c>
      <c r="B4897">
        <v>40</v>
      </c>
      <c r="C4897" t="str">
        <f t="shared" si="228"/>
        <v>Adult</v>
      </c>
      <c r="D4897" t="s">
        <v>11</v>
      </c>
      <c r="E4897" t="s">
        <v>29</v>
      </c>
      <c r="F4897" t="s">
        <v>55</v>
      </c>
      <c r="G4897">
        <v>125.95</v>
      </c>
      <c r="H4897" t="s">
        <v>14</v>
      </c>
      <c r="I4897" t="s">
        <v>15</v>
      </c>
      <c r="J4897">
        <v>4.0999999999999996</v>
      </c>
      <c r="K4897">
        <v>15</v>
      </c>
      <c r="L4897">
        <f t="shared" si="229"/>
        <v>107.0575</v>
      </c>
      <c r="M4897">
        <v>5</v>
      </c>
      <c r="N4897" t="str">
        <f t="shared" si="230"/>
        <v>Regular</v>
      </c>
    </row>
    <row r="4898" spans="1:14" x14ac:dyDescent="0.35">
      <c r="A4898">
        <v>4897</v>
      </c>
      <c r="B4898">
        <v>64</v>
      </c>
      <c r="C4898" t="str">
        <f t="shared" si="228"/>
        <v>Senior</v>
      </c>
      <c r="D4898" t="s">
        <v>16</v>
      </c>
      <c r="E4898" t="s">
        <v>20</v>
      </c>
      <c r="F4898" t="s">
        <v>21</v>
      </c>
      <c r="G4898">
        <v>131.15</v>
      </c>
      <c r="H4898" t="s">
        <v>24</v>
      </c>
      <c r="I4898" t="s">
        <v>15</v>
      </c>
      <c r="J4898">
        <v>3.8</v>
      </c>
      <c r="K4898">
        <v>18</v>
      </c>
      <c r="L4898">
        <f t="shared" si="229"/>
        <v>107.54300000000001</v>
      </c>
      <c r="M4898">
        <v>4</v>
      </c>
      <c r="N4898" t="str">
        <f t="shared" si="230"/>
        <v>Regular</v>
      </c>
    </row>
    <row r="4899" spans="1:14" x14ac:dyDescent="0.35">
      <c r="A4899">
        <v>4898</v>
      </c>
      <c r="B4899">
        <v>57</v>
      </c>
      <c r="C4899" t="str">
        <f t="shared" si="228"/>
        <v>Adult</v>
      </c>
      <c r="D4899" t="s">
        <v>11</v>
      </c>
      <c r="E4899" t="s">
        <v>41</v>
      </c>
      <c r="F4899" t="s">
        <v>44</v>
      </c>
      <c r="G4899">
        <v>128.19999999999999</v>
      </c>
      <c r="H4899" t="s">
        <v>14</v>
      </c>
      <c r="I4899" t="s">
        <v>15</v>
      </c>
      <c r="J4899">
        <v>4.2</v>
      </c>
      <c r="K4899">
        <v>30</v>
      </c>
      <c r="L4899">
        <f t="shared" si="229"/>
        <v>89.739999999999981</v>
      </c>
      <c r="M4899">
        <v>10</v>
      </c>
      <c r="N4899" t="str">
        <f t="shared" si="230"/>
        <v>Loyal</v>
      </c>
    </row>
    <row r="4900" spans="1:14" x14ac:dyDescent="0.35">
      <c r="A4900">
        <v>4899</v>
      </c>
      <c r="B4900">
        <v>55</v>
      </c>
      <c r="C4900" t="str">
        <f t="shared" si="228"/>
        <v>Adult</v>
      </c>
      <c r="D4900" t="s">
        <v>16</v>
      </c>
      <c r="E4900" t="s">
        <v>27</v>
      </c>
      <c r="F4900" t="s">
        <v>28</v>
      </c>
      <c r="G4900">
        <v>1091.19</v>
      </c>
      <c r="H4900" t="s">
        <v>31</v>
      </c>
      <c r="I4900" t="s">
        <v>15</v>
      </c>
      <c r="J4900">
        <v>4.7</v>
      </c>
      <c r="K4900">
        <v>16</v>
      </c>
      <c r="L4900">
        <f t="shared" si="229"/>
        <v>916.59960000000001</v>
      </c>
      <c r="M4900">
        <v>3</v>
      </c>
      <c r="N4900" t="str">
        <f t="shared" si="230"/>
        <v>New</v>
      </c>
    </row>
    <row r="4901" spans="1:14" x14ac:dyDescent="0.35">
      <c r="A4901">
        <v>4900</v>
      </c>
      <c r="B4901">
        <v>48</v>
      </c>
      <c r="C4901" t="str">
        <f t="shared" si="228"/>
        <v>Adult</v>
      </c>
      <c r="D4901" t="s">
        <v>16</v>
      </c>
      <c r="E4901" t="s">
        <v>22</v>
      </c>
      <c r="F4901" t="s">
        <v>23</v>
      </c>
      <c r="G4901">
        <v>212.33</v>
      </c>
      <c r="H4901" t="s">
        <v>14</v>
      </c>
      <c r="I4901" t="s">
        <v>15</v>
      </c>
      <c r="J4901">
        <v>3.7</v>
      </c>
      <c r="K4901">
        <v>12</v>
      </c>
      <c r="L4901">
        <f t="shared" si="229"/>
        <v>186.85040000000001</v>
      </c>
      <c r="M4901">
        <v>6</v>
      </c>
      <c r="N4901" t="str">
        <f t="shared" si="230"/>
        <v>Regular</v>
      </c>
    </row>
    <row r="4902" spans="1:14" x14ac:dyDescent="0.35">
      <c r="A4902">
        <v>4901</v>
      </c>
      <c r="B4902">
        <v>29</v>
      </c>
      <c r="C4902" t="str">
        <f t="shared" si="228"/>
        <v>Youth</v>
      </c>
      <c r="D4902" t="s">
        <v>16</v>
      </c>
      <c r="E4902" t="s">
        <v>27</v>
      </c>
      <c r="F4902" t="s">
        <v>32</v>
      </c>
      <c r="G4902">
        <v>2200.34</v>
      </c>
      <c r="H4902" t="s">
        <v>14</v>
      </c>
      <c r="I4902" t="s">
        <v>15</v>
      </c>
      <c r="J4902">
        <v>4.8</v>
      </c>
      <c r="K4902">
        <v>19</v>
      </c>
      <c r="L4902">
        <f t="shared" si="229"/>
        <v>1782.2754000000002</v>
      </c>
      <c r="M4902">
        <v>7</v>
      </c>
      <c r="N4902" t="str">
        <f t="shared" si="230"/>
        <v>Regular</v>
      </c>
    </row>
    <row r="4903" spans="1:14" x14ac:dyDescent="0.35">
      <c r="A4903">
        <v>4902</v>
      </c>
      <c r="B4903">
        <v>69</v>
      </c>
      <c r="C4903" t="str">
        <f t="shared" si="228"/>
        <v>Senior</v>
      </c>
      <c r="D4903" t="s">
        <v>16</v>
      </c>
      <c r="E4903" t="s">
        <v>27</v>
      </c>
      <c r="F4903" t="s">
        <v>28</v>
      </c>
      <c r="G4903">
        <v>2612.62</v>
      </c>
      <c r="H4903" t="s">
        <v>31</v>
      </c>
      <c r="I4903" t="s">
        <v>15</v>
      </c>
      <c r="J4903">
        <v>4.4000000000000004</v>
      </c>
      <c r="K4903">
        <v>26</v>
      </c>
      <c r="L4903">
        <f t="shared" si="229"/>
        <v>1933.3388</v>
      </c>
      <c r="M4903">
        <v>8</v>
      </c>
      <c r="N4903" t="str">
        <f t="shared" si="230"/>
        <v>Loyal</v>
      </c>
    </row>
    <row r="4904" spans="1:14" x14ac:dyDescent="0.35">
      <c r="A4904">
        <v>4903</v>
      </c>
      <c r="B4904">
        <v>23</v>
      </c>
      <c r="C4904" t="str">
        <f t="shared" si="228"/>
        <v>Youth</v>
      </c>
      <c r="D4904" t="s">
        <v>11</v>
      </c>
      <c r="E4904" t="s">
        <v>33</v>
      </c>
      <c r="F4904" t="s">
        <v>38</v>
      </c>
      <c r="G4904">
        <v>115.83</v>
      </c>
      <c r="H4904" t="s">
        <v>19</v>
      </c>
      <c r="I4904" t="s">
        <v>15</v>
      </c>
      <c r="J4904">
        <v>5</v>
      </c>
      <c r="K4904">
        <v>14</v>
      </c>
      <c r="L4904">
        <f t="shared" si="229"/>
        <v>99.613799999999998</v>
      </c>
      <c r="M4904">
        <v>2</v>
      </c>
      <c r="N4904" t="str">
        <f t="shared" si="230"/>
        <v>New</v>
      </c>
    </row>
    <row r="4905" spans="1:14" x14ac:dyDescent="0.35">
      <c r="A4905">
        <v>4904</v>
      </c>
      <c r="B4905">
        <v>23</v>
      </c>
      <c r="C4905" t="str">
        <f t="shared" si="228"/>
        <v>Youth</v>
      </c>
      <c r="D4905" t="s">
        <v>16</v>
      </c>
      <c r="E4905" t="s">
        <v>17</v>
      </c>
      <c r="F4905" t="s">
        <v>18</v>
      </c>
      <c r="G4905">
        <v>75.36</v>
      </c>
      <c r="H4905" t="s">
        <v>31</v>
      </c>
      <c r="I4905" t="s">
        <v>15</v>
      </c>
      <c r="J4905">
        <v>4.2</v>
      </c>
      <c r="K4905">
        <v>17</v>
      </c>
      <c r="L4905">
        <f t="shared" si="229"/>
        <v>62.5488</v>
      </c>
      <c r="M4905">
        <v>6</v>
      </c>
      <c r="N4905" t="str">
        <f t="shared" si="230"/>
        <v>Regular</v>
      </c>
    </row>
    <row r="4906" spans="1:14" x14ac:dyDescent="0.35">
      <c r="A4906">
        <v>4905</v>
      </c>
      <c r="B4906">
        <v>30</v>
      </c>
      <c r="C4906" t="str">
        <f t="shared" si="228"/>
        <v>Youth</v>
      </c>
      <c r="D4906" t="s">
        <v>11</v>
      </c>
      <c r="E4906" t="s">
        <v>29</v>
      </c>
      <c r="F4906" t="s">
        <v>51</v>
      </c>
      <c r="G4906">
        <v>54.87</v>
      </c>
      <c r="H4906" t="s">
        <v>31</v>
      </c>
      <c r="I4906" t="s">
        <v>37</v>
      </c>
      <c r="J4906">
        <v>4.0999999999999996</v>
      </c>
      <c r="K4906">
        <v>6</v>
      </c>
      <c r="L4906">
        <f t="shared" si="229"/>
        <v>51.577799999999996</v>
      </c>
      <c r="M4906">
        <v>3</v>
      </c>
      <c r="N4906" t="str">
        <f t="shared" si="230"/>
        <v>New</v>
      </c>
    </row>
    <row r="4907" spans="1:14" x14ac:dyDescent="0.35">
      <c r="A4907">
        <v>4906</v>
      </c>
      <c r="B4907">
        <v>41</v>
      </c>
      <c r="C4907" t="str">
        <f t="shared" si="228"/>
        <v>Adult</v>
      </c>
      <c r="D4907" t="s">
        <v>11</v>
      </c>
      <c r="E4907" t="s">
        <v>22</v>
      </c>
      <c r="F4907" t="s">
        <v>43</v>
      </c>
      <c r="G4907">
        <v>151.15</v>
      </c>
      <c r="H4907" t="s">
        <v>24</v>
      </c>
      <c r="I4907" t="s">
        <v>15</v>
      </c>
      <c r="J4907">
        <v>3.2</v>
      </c>
      <c r="K4907">
        <v>8</v>
      </c>
      <c r="L4907">
        <f t="shared" si="229"/>
        <v>139.05800000000002</v>
      </c>
      <c r="M4907">
        <v>4</v>
      </c>
      <c r="N4907" t="str">
        <f t="shared" si="230"/>
        <v>Regular</v>
      </c>
    </row>
    <row r="4908" spans="1:14" x14ac:dyDescent="0.35">
      <c r="A4908">
        <v>4907</v>
      </c>
      <c r="B4908">
        <v>69</v>
      </c>
      <c r="C4908" t="str">
        <f t="shared" si="228"/>
        <v>Senior</v>
      </c>
      <c r="D4908" t="s">
        <v>11</v>
      </c>
      <c r="E4908" t="s">
        <v>25</v>
      </c>
      <c r="F4908" t="s">
        <v>57</v>
      </c>
      <c r="G4908">
        <v>13.72</v>
      </c>
      <c r="H4908" t="s">
        <v>24</v>
      </c>
      <c r="I4908" t="s">
        <v>37</v>
      </c>
      <c r="J4908">
        <v>3.5</v>
      </c>
      <c r="K4908">
        <v>17</v>
      </c>
      <c r="L4908">
        <f t="shared" si="229"/>
        <v>11.387600000000001</v>
      </c>
      <c r="M4908">
        <v>6</v>
      </c>
      <c r="N4908" t="str">
        <f t="shared" si="230"/>
        <v>Regular</v>
      </c>
    </row>
    <row r="4909" spans="1:14" x14ac:dyDescent="0.35">
      <c r="A4909">
        <v>4908</v>
      </c>
      <c r="B4909">
        <v>36</v>
      </c>
      <c r="C4909" t="str">
        <f t="shared" si="228"/>
        <v>Adult</v>
      </c>
      <c r="D4909" t="s">
        <v>11</v>
      </c>
      <c r="E4909" t="s">
        <v>33</v>
      </c>
      <c r="F4909" t="s">
        <v>38</v>
      </c>
      <c r="G4909">
        <v>46.3</v>
      </c>
      <c r="H4909" t="s">
        <v>19</v>
      </c>
      <c r="I4909" t="s">
        <v>15</v>
      </c>
      <c r="J4909">
        <v>4.0999999999999996</v>
      </c>
      <c r="K4909">
        <v>32</v>
      </c>
      <c r="L4909">
        <f t="shared" si="229"/>
        <v>31.483999999999995</v>
      </c>
      <c r="M4909">
        <v>11</v>
      </c>
      <c r="N4909" t="str">
        <f t="shared" si="230"/>
        <v>Loyal</v>
      </c>
    </row>
    <row r="4910" spans="1:14" x14ac:dyDescent="0.35">
      <c r="A4910">
        <v>4909</v>
      </c>
      <c r="B4910">
        <v>68</v>
      </c>
      <c r="C4910" t="str">
        <f t="shared" si="228"/>
        <v>Senior</v>
      </c>
      <c r="D4910" t="s">
        <v>11</v>
      </c>
      <c r="E4910" t="s">
        <v>12</v>
      </c>
      <c r="F4910" t="s">
        <v>13</v>
      </c>
      <c r="G4910">
        <v>133.47</v>
      </c>
      <c r="H4910" t="s">
        <v>31</v>
      </c>
      <c r="I4910" t="s">
        <v>15</v>
      </c>
      <c r="J4910">
        <v>4</v>
      </c>
      <c r="K4910">
        <v>26</v>
      </c>
      <c r="L4910">
        <f t="shared" si="229"/>
        <v>98.767799999999994</v>
      </c>
      <c r="M4910">
        <v>8</v>
      </c>
      <c r="N4910" t="str">
        <f t="shared" si="230"/>
        <v>Loyal</v>
      </c>
    </row>
    <row r="4911" spans="1:14" x14ac:dyDescent="0.35">
      <c r="A4911">
        <v>4910</v>
      </c>
      <c r="B4911">
        <v>47</v>
      </c>
      <c r="C4911" t="str">
        <f t="shared" si="228"/>
        <v>Adult</v>
      </c>
      <c r="D4911" t="s">
        <v>11</v>
      </c>
      <c r="E4911" t="s">
        <v>20</v>
      </c>
      <c r="F4911" t="s">
        <v>36</v>
      </c>
      <c r="G4911">
        <v>61.86</v>
      </c>
      <c r="H4911" t="s">
        <v>24</v>
      </c>
      <c r="I4911" t="s">
        <v>15</v>
      </c>
      <c r="J4911">
        <v>4.2</v>
      </c>
      <c r="K4911">
        <v>8</v>
      </c>
      <c r="L4911">
        <f t="shared" si="229"/>
        <v>56.911200000000001</v>
      </c>
      <c r="M4911">
        <v>4</v>
      </c>
      <c r="N4911" t="str">
        <f t="shared" si="230"/>
        <v>Regular</v>
      </c>
    </row>
    <row r="4912" spans="1:14" x14ac:dyDescent="0.35">
      <c r="A4912">
        <v>4911</v>
      </c>
      <c r="B4912">
        <v>26</v>
      </c>
      <c r="C4912" t="str">
        <f t="shared" si="228"/>
        <v>Youth</v>
      </c>
      <c r="D4912" t="s">
        <v>11</v>
      </c>
      <c r="E4912" t="s">
        <v>20</v>
      </c>
      <c r="F4912" t="s">
        <v>36</v>
      </c>
      <c r="G4912">
        <v>72.040000000000006</v>
      </c>
      <c r="H4912" t="s">
        <v>19</v>
      </c>
      <c r="I4912" t="s">
        <v>15</v>
      </c>
      <c r="J4912">
        <v>3.7</v>
      </c>
      <c r="K4912">
        <v>18</v>
      </c>
      <c r="L4912">
        <f t="shared" si="229"/>
        <v>59.072800000000008</v>
      </c>
      <c r="M4912">
        <v>4</v>
      </c>
      <c r="N4912" t="str">
        <f t="shared" si="230"/>
        <v>Regular</v>
      </c>
    </row>
    <row r="4913" spans="1:14" x14ac:dyDescent="0.35">
      <c r="A4913">
        <v>4912</v>
      </c>
      <c r="B4913">
        <v>62</v>
      </c>
      <c r="C4913" t="str">
        <f t="shared" si="228"/>
        <v>Senior</v>
      </c>
      <c r="D4913" t="s">
        <v>16</v>
      </c>
      <c r="E4913" t="s">
        <v>17</v>
      </c>
      <c r="F4913" t="s">
        <v>18</v>
      </c>
      <c r="G4913">
        <v>84.61</v>
      </c>
      <c r="H4913" t="s">
        <v>14</v>
      </c>
      <c r="I4913" t="s">
        <v>15</v>
      </c>
      <c r="J4913">
        <v>3.9</v>
      </c>
      <c r="K4913">
        <v>19</v>
      </c>
      <c r="L4913">
        <f t="shared" si="229"/>
        <v>68.534100000000009</v>
      </c>
      <c r="M4913">
        <v>7</v>
      </c>
      <c r="N4913" t="str">
        <f t="shared" si="230"/>
        <v>Regular</v>
      </c>
    </row>
    <row r="4914" spans="1:14" x14ac:dyDescent="0.35">
      <c r="A4914">
        <v>4913</v>
      </c>
      <c r="B4914">
        <v>30</v>
      </c>
      <c r="C4914" t="str">
        <f t="shared" si="228"/>
        <v>Youth</v>
      </c>
      <c r="D4914" t="s">
        <v>16</v>
      </c>
      <c r="E4914" t="s">
        <v>17</v>
      </c>
      <c r="F4914" t="s">
        <v>42</v>
      </c>
      <c r="G4914">
        <v>123.73</v>
      </c>
      <c r="H4914" t="s">
        <v>14</v>
      </c>
      <c r="I4914" t="s">
        <v>15</v>
      </c>
      <c r="J4914">
        <v>2.1</v>
      </c>
      <c r="K4914">
        <v>11</v>
      </c>
      <c r="L4914">
        <f t="shared" si="229"/>
        <v>110.11970000000001</v>
      </c>
      <c r="M4914">
        <v>3</v>
      </c>
      <c r="N4914" t="str">
        <f t="shared" si="230"/>
        <v>New</v>
      </c>
    </row>
    <row r="4915" spans="1:14" x14ac:dyDescent="0.35">
      <c r="A4915">
        <v>4914</v>
      </c>
      <c r="B4915">
        <v>44</v>
      </c>
      <c r="C4915" t="str">
        <f t="shared" si="228"/>
        <v>Adult</v>
      </c>
      <c r="D4915" t="s">
        <v>16</v>
      </c>
      <c r="E4915" t="s">
        <v>33</v>
      </c>
      <c r="F4915" t="s">
        <v>34</v>
      </c>
      <c r="G4915">
        <v>114.66</v>
      </c>
      <c r="H4915" t="s">
        <v>31</v>
      </c>
      <c r="I4915" t="s">
        <v>15</v>
      </c>
      <c r="J4915">
        <v>4</v>
      </c>
      <c r="K4915">
        <v>22</v>
      </c>
      <c r="L4915">
        <f t="shared" si="229"/>
        <v>89.434799999999996</v>
      </c>
      <c r="M4915">
        <v>6</v>
      </c>
      <c r="N4915" t="str">
        <f t="shared" si="230"/>
        <v>Regular</v>
      </c>
    </row>
    <row r="4916" spans="1:14" x14ac:dyDescent="0.35">
      <c r="A4916">
        <v>4915</v>
      </c>
      <c r="B4916">
        <v>44</v>
      </c>
      <c r="C4916" t="str">
        <f t="shared" si="228"/>
        <v>Adult</v>
      </c>
      <c r="D4916" t="s">
        <v>11</v>
      </c>
      <c r="E4916" t="s">
        <v>33</v>
      </c>
      <c r="F4916" t="s">
        <v>38</v>
      </c>
      <c r="G4916">
        <v>235.77</v>
      </c>
      <c r="H4916" t="s">
        <v>14</v>
      </c>
      <c r="I4916" t="s">
        <v>15</v>
      </c>
      <c r="J4916">
        <v>2</v>
      </c>
      <c r="K4916">
        <v>12</v>
      </c>
      <c r="L4916">
        <f t="shared" si="229"/>
        <v>207.47760000000002</v>
      </c>
      <c r="M4916">
        <v>6</v>
      </c>
      <c r="N4916" t="str">
        <f t="shared" si="230"/>
        <v>Regular</v>
      </c>
    </row>
    <row r="4917" spans="1:14" x14ac:dyDescent="0.35">
      <c r="A4917">
        <v>4916</v>
      </c>
      <c r="B4917">
        <v>44</v>
      </c>
      <c r="C4917" t="str">
        <f t="shared" si="228"/>
        <v>Adult</v>
      </c>
      <c r="D4917" t="s">
        <v>11</v>
      </c>
      <c r="E4917" t="s">
        <v>25</v>
      </c>
      <c r="F4917" t="s">
        <v>54</v>
      </c>
      <c r="G4917">
        <v>62.94</v>
      </c>
      <c r="H4917" t="s">
        <v>31</v>
      </c>
      <c r="I4917" t="s">
        <v>37</v>
      </c>
      <c r="J4917">
        <v>3.6</v>
      </c>
      <c r="K4917">
        <v>2</v>
      </c>
      <c r="L4917">
        <f t="shared" si="229"/>
        <v>61.681199999999997</v>
      </c>
      <c r="M4917">
        <v>1</v>
      </c>
      <c r="N4917" t="str">
        <f t="shared" si="230"/>
        <v>New</v>
      </c>
    </row>
    <row r="4918" spans="1:14" x14ac:dyDescent="0.35">
      <c r="A4918">
        <v>4917</v>
      </c>
      <c r="B4918">
        <v>39</v>
      </c>
      <c r="C4918" t="str">
        <f t="shared" si="228"/>
        <v>Adult</v>
      </c>
      <c r="D4918" t="s">
        <v>11</v>
      </c>
      <c r="E4918" t="s">
        <v>25</v>
      </c>
      <c r="F4918" t="s">
        <v>54</v>
      </c>
      <c r="G4918">
        <v>70.150000000000006</v>
      </c>
      <c r="H4918" t="s">
        <v>14</v>
      </c>
      <c r="I4918" t="s">
        <v>37</v>
      </c>
      <c r="J4918">
        <v>4.0999999999999996</v>
      </c>
      <c r="K4918">
        <v>14</v>
      </c>
      <c r="L4918">
        <f t="shared" si="229"/>
        <v>60.329000000000001</v>
      </c>
      <c r="M4918">
        <v>2</v>
      </c>
      <c r="N4918" t="str">
        <f t="shared" si="230"/>
        <v>New</v>
      </c>
    </row>
    <row r="4919" spans="1:14" x14ac:dyDescent="0.35">
      <c r="A4919">
        <v>4918</v>
      </c>
      <c r="B4919">
        <v>35</v>
      </c>
      <c r="C4919" t="str">
        <f t="shared" si="228"/>
        <v>Adult</v>
      </c>
      <c r="D4919" t="s">
        <v>11</v>
      </c>
      <c r="E4919" t="s">
        <v>25</v>
      </c>
      <c r="F4919" t="s">
        <v>26</v>
      </c>
      <c r="G4919">
        <v>69.099999999999994</v>
      </c>
      <c r="H4919" t="s">
        <v>14</v>
      </c>
      <c r="I4919" t="s">
        <v>15</v>
      </c>
      <c r="J4919">
        <v>4.3</v>
      </c>
      <c r="K4919">
        <v>22</v>
      </c>
      <c r="L4919">
        <f t="shared" si="229"/>
        <v>53.897999999999996</v>
      </c>
      <c r="M4919">
        <v>6</v>
      </c>
      <c r="N4919" t="str">
        <f t="shared" si="230"/>
        <v>Regular</v>
      </c>
    </row>
    <row r="4920" spans="1:14" x14ac:dyDescent="0.35">
      <c r="A4920">
        <v>4919</v>
      </c>
      <c r="B4920">
        <v>43</v>
      </c>
      <c r="C4920" t="str">
        <f t="shared" si="228"/>
        <v>Adult</v>
      </c>
      <c r="D4920" t="s">
        <v>11</v>
      </c>
      <c r="E4920" t="s">
        <v>33</v>
      </c>
      <c r="F4920" t="s">
        <v>40</v>
      </c>
      <c r="G4920">
        <v>63.79</v>
      </c>
      <c r="H4920" t="s">
        <v>19</v>
      </c>
      <c r="I4920" t="s">
        <v>37</v>
      </c>
      <c r="J4920">
        <v>4.0999999999999996</v>
      </c>
      <c r="K4920">
        <v>14</v>
      </c>
      <c r="L4920">
        <f t="shared" si="229"/>
        <v>54.859400000000001</v>
      </c>
      <c r="M4920">
        <v>7</v>
      </c>
      <c r="N4920" t="str">
        <f t="shared" si="230"/>
        <v>Regular</v>
      </c>
    </row>
    <row r="4921" spans="1:14" x14ac:dyDescent="0.35">
      <c r="A4921">
        <v>4920</v>
      </c>
      <c r="B4921">
        <v>44</v>
      </c>
      <c r="C4921" t="str">
        <f t="shared" si="228"/>
        <v>Adult</v>
      </c>
      <c r="D4921" t="s">
        <v>11</v>
      </c>
      <c r="E4921" t="s">
        <v>41</v>
      </c>
      <c r="F4921" t="s">
        <v>42</v>
      </c>
      <c r="G4921">
        <v>47.12</v>
      </c>
      <c r="H4921" t="s">
        <v>14</v>
      </c>
      <c r="I4921" t="s">
        <v>37</v>
      </c>
      <c r="J4921">
        <v>2.2999999999999998</v>
      </c>
      <c r="K4921">
        <v>9</v>
      </c>
      <c r="L4921">
        <f t="shared" si="229"/>
        <v>42.879199999999997</v>
      </c>
      <c r="M4921">
        <v>2</v>
      </c>
      <c r="N4921" t="str">
        <f t="shared" si="230"/>
        <v>New</v>
      </c>
    </row>
    <row r="4922" spans="1:14" x14ac:dyDescent="0.35">
      <c r="A4922">
        <v>4921</v>
      </c>
      <c r="B4922">
        <v>69</v>
      </c>
      <c r="C4922" t="str">
        <f t="shared" si="228"/>
        <v>Senior</v>
      </c>
      <c r="D4922" t="s">
        <v>16</v>
      </c>
      <c r="E4922" t="s">
        <v>20</v>
      </c>
      <c r="F4922" t="s">
        <v>21</v>
      </c>
      <c r="G4922">
        <v>205.85</v>
      </c>
      <c r="H4922" t="s">
        <v>24</v>
      </c>
      <c r="I4922" t="s">
        <v>15</v>
      </c>
      <c r="J4922">
        <v>3.3</v>
      </c>
      <c r="K4922">
        <v>16</v>
      </c>
      <c r="L4922">
        <f t="shared" si="229"/>
        <v>172.91399999999999</v>
      </c>
      <c r="M4922">
        <v>3</v>
      </c>
      <c r="N4922" t="str">
        <f t="shared" si="230"/>
        <v>New</v>
      </c>
    </row>
    <row r="4923" spans="1:14" x14ac:dyDescent="0.35">
      <c r="A4923">
        <v>4922</v>
      </c>
      <c r="B4923">
        <v>25</v>
      </c>
      <c r="C4923" t="str">
        <f t="shared" si="228"/>
        <v>Youth</v>
      </c>
      <c r="D4923" t="s">
        <v>11</v>
      </c>
      <c r="E4923" t="s">
        <v>12</v>
      </c>
      <c r="F4923" t="s">
        <v>50</v>
      </c>
      <c r="G4923">
        <v>33.380000000000003</v>
      </c>
      <c r="H4923" t="s">
        <v>14</v>
      </c>
      <c r="I4923" t="s">
        <v>15</v>
      </c>
      <c r="J4923">
        <v>3.5</v>
      </c>
      <c r="K4923">
        <v>8</v>
      </c>
      <c r="L4923">
        <f t="shared" si="229"/>
        <v>30.709600000000005</v>
      </c>
      <c r="M4923">
        <v>4</v>
      </c>
      <c r="N4923" t="str">
        <f t="shared" si="230"/>
        <v>Regular</v>
      </c>
    </row>
    <row r="4924" spans="1:14" x14ac:dyDescent="0.35">
      <c r="A4924">
        <v>4923</v>
      </c>
      <c r="B4924">
        <v>24</v>
      </c>
      <c r="C4924" t="str">
        <f t="shared" si="228"/>
        <v>Youth</v>
      </c>
      <c r="D4924" t="s">
        <v>16</v>
      </c>
      <c r="E4924" t="s">
        <v>25</v>
      </c>
      <c r="F4924" t="s">
        <v>54</v>
      </c>
      <c r="G4924">
        <v>60.32</v>
      </c>
      <c r="H4924" t="s">
        <v>24</v>
      </c>
      <c r="I4924" t="s">
        <v>37</v>
      </c>
      <c r="J4924">
        <v>2.7</v>
      </c>
      <c r="K4924">
        <v>12</v>
      </c>
      <c r="L4924">
        <f t="shared" si="229"/>
        <v>53.081600000000002</v>
      </c>
      <c r="M4924">
        <v>6</v>
      </c>
      <c r="N4924" t="str">
        <f t="shared" si="230"/>
        <v>Regular</v>
      </c>
    </row>
    <row r="4925" spans="1:14" x14ac:dyDescent="0.35">
      <c r="A4925">
        <v>4924</v>
      </c>
      <c r="B4925">
        <v>45</v>
      </c>
      <c r="C4925" t="str">
        <f t="shared" si="228"/>
        <v>Adult</v>
      </c>
      <c r="D4925" t="s">
        <v>16</v>
      </c>
      <c r="E4925" t="s">
        <v>20</v>
      </c>
      <c r="F4925" t="s">
        <v>39</v>
      </c>
      <c r="G4925">
        <v>82.4</v>
      </c>
      <c r="H4925" t="s">
        <v>19</v>
      </c>
      <c r="I4925" t="s">
        <v>15</v>
      </c>
      <c r="J4925">
        <v>3.4</v>
      </c>
      <c r="K4925">
        <v>10</v>
      </c>
      <c r="L4925">
        <f t="shared" si="229"/>
        <v>74.160000000000011</v>
      </c>
      <c r="M4925">
        <v>5</v>
      </c>
      <c r="N4925" t="str">
        <f t="shared" si="230"/>
        <v>Regular</v>
      </c>
    </row>
    <row r="4926" spans="1:14" x14ac:dyDescent="0.35">
      <c r="A4926">
        <v>4925</v>
      </c>
      <c r="B4926">
        <v>55</v>
      </c>
      <c r="C4926" t="str">
        <f t="shared" si="228"/>
        <v>Adult</v>
      </c>
      <c r="D4926" t="s">
        <v>16</v>
      </c>
      <c r="E4926" t="s">
        <v>25</v>
      </c>
      <c r="F4926" t="s">
        <v>26</v>
      </c>
      <c r="G4926">
        <v>32.01</v>
      </c>
      <c r="H4926" t="s">
        <v>24</v>
      </c>
      <c r="I4926" t="s">
        <v>15</v>
      </c>
      <c r="J4926">
        <v>3.7</v>
      </c>
      <c r="K4926">
        <v>15</v>
      </c>
      <c r="L4926">
        <f t="shared" si="229"/>
        <v>27.208499999999997</v>
      </c>
      <c r="M4926">
        <v>5</v>
      </c>
      <c r="N4926" t="str">
        <f t="shared" si="230"/>
        <v>Regular</v>
      </c>
    </row>
    <row r="4927" spans="1:14" x14ac:dyDescent="0.35">
      <c r="A4927">
        <v>4926</v>
      </c>
      <c r="B4927">
        <v>33</v>
      </c>
      <c r="C4927" t="str">
        <f t="shared" si="228"/>
        <v>Adult</v>
      </c>
      <c r="D4927" t="s">
        <v>16</v>
      </c>
      <c r="E4927" t="s">
        <v>20</v>
      </c>
      <c r="F4927" t="s">
        <v>39</v>
      </c>
      <c r="G4927">
        <v>40.549999999999997</v>
      </c>
      <c r="H4927" t="s">
        <v>24</v>
      </c>
      <c r="I4927" t="s">
        <v>37</v>
      </c>
      <c r="J4927">
        <v>4.5999999999999996</v>
      </c>
      <c r="K4927">
        <v>4</v>
      </c>
      <c r="L4927">
        <f t="shared" si="229"/>
        <v>38.927999999999997</v>
      </c>
      <c r="M4927">
        <v>2</v>
      </c>
      <c r="N4927" t="str">
        <f t="shared" si="230"/>
        <v>New</v>
      </c>
    </row>
    <row r="4928" spans="1:14" x14ac:dyDescent="0.35">
      <c r="A4928">
        <v>4927</v>
      </c>
      <c r="B4928">
        <v>47</v>
      </c>
      <c r="C4928" t="str">
        <f t="shared" si="228"/>
        <v>Adult</v>
      </c>
      <c r="D4928" t="s">
        <v>11</v>
      </c>
      <c r="E4928" t="s">
        <v>29</v>
      </c>
      <c r="F4928" t="s">
        <v>51</v>
      </c>
      <c r="G4928">
        <v>100.37</v>
      </c>
      <c r="H4928" t="s">
        <v>19</v>
      </c>
      <c r="I4928" t="s">
        <v>15</v>
      </c>
      <c r="J4928">
        <v>3</v>
      </c>
      <c r="K4928">
        <v>4</v>
      </c>
      <c r="L4928">
        <f t="shared" si="229"/>
        <v>96.355199999999996</v>
      </c>
      <c r="M4928">
        <v>2</v>
      </c>
      <c r="N4928" t="str">
        <f t="shared" si="230"/>
        <v>New</v>
      </c>
    </row>
    <row r="4929" spans="1:14" x14ac:dyDescent="0.35">
      <c r="A4929">
        <v>4928</v>
      </c>
      <c r="B4929">
        <v>67</v>
      </c>
      <c r="C4929" t="str">
        <f t="shared" si="228"/>
        <v>Senior</v>
      </c>
      <c r="D4929" t="s">
        <v>16</v>
      </c>
      <c r="E4929" t="s">
        <v>27</v>
      </c>
      <c r="F4929" t="s">
        <v>28</v>
      </c>
      <c r="G4929">
        <v>1360.46</v>
      </c>
      <c r="H4929" t="s">
        <v>31</v>
      </c>
      <c r="I4929" t="s">
        <v>15</v>
      </c>
      <c r="J4929">
        <v>5</v>
      </c>
      <c r="K4929">
        <v>24</v>
      </c>
      <c r="L4929">
        <f t="shared" si="229"/>
        <v>1033.9496000000001</v>
      </c>
      <c r="M4929">
        <v>7</v>
      </c>
      <c r="N4929" t="str">
        <f t="shared" si="230"/>
        <v>Regular</v>
      </c>
    </row>
    <row r="4930" spans="1:14" x14ac:dyDescent="0.35">
      <c r="A4930">
        <v>4929</v>
      </c>
      <c r="B4930">
        <v>36</v>
      </c>
      <c r="C4930" t="str">
        <f t="shared" si="228"/>
        <v>Adult</v>
      </c>
      <c r="D4930" t="s">
        <v>11</v>
      </c>
      <c r="E4930" t="s">
        <v>12</v>
      </c>
      <c r="F4930" t="s">
        <v>50</v>
      </c>
      <c r="G4930">
        <v>141.63</v>
      </c>
      <c r="H4930" t="s">
        <v>14</v>
      </c>
      <c r="I4930" t="s">
        <v>15</v>
      </c>
      <c r="J4930">
        <v>4.4000000000000004</v>
      </c>
      <c r="K4930">
        <v>17</v>
      </c>
      <c r="L4930">
        <f t="shared" si="229"/>
        <v>117.55289999999999</v>
      </c>
      <c r="M4930">
        <v>6</v>
      </c>
      <c r="N4930" t="str">
        <f t="shared" si="230"/>
        <v>Regular</v>
      </c>
    </row>
    <row r="4931" spans="1:14" x14ac:dyDescent="0.35">
      <c r="A4931">
        <v>4930</v>
      </c>
      <c r="B4931">
        <v>30</v>
      </c>
      <c r="C4931" t="str">
        <f t="shared" ref="C4931:C4994" si="231">IF(B4931&lt;=30,"Youth",IF(B4931&lt;=45,"Adult",IF(B4931&lt;=60,"Adult","Senior")))</f>
        <v>Youth</v>
      </c>
      <c r="D4931" t="s">
        <v>16</v>
      </c>
      <c r="E4931" t="s">
        <v>33</v>
      </c>
      <c r="F4931" t="s">
        <v>34</v>
      </c>
      <c r="G4931">
        <v>131.47</v>
      </c>
      <c r="H4931" t="s">
        <v>31</v>
      </c>
      <c r="I4931" t="s">
        <v>15</v>
      </c>
      <c r="J4931">
        <v>3.9</v>
      </c>
      <c r="K4931">
        <v>18</v>
      </c>
      <c r="L4931">
        <f t="shared" ref="L4931:L4994" si="232">G4931*(1-K4931/100)</f>
        <v>107.80540000000001</v>
      </c>
      <c r="M4931">
        <v>4</v>
      </c>
      <c r="N4931" t="str">
        <f t="shared" ref="N4931:N4994" si="233">IF(M4931&lt;=3,"New",IF(M4931&lt;=7,"Regular","Loyal"))</f>
        <v>Regular</v>
      </c>
    </row>
    <row r="4932" spans="1:14" x14ac:dyDescent="0.35">
      <c r="A4932">
        <v>4931</v>
      </c>
      <c r="B4932">
        <v>36</v>
      </c>
      <c r="C4932" t="str">
        <f t="shared" si="231"/>
        <v>Adult</v>
      </c>
      <c r="D4932" t="s">
        <v>16</v>
      </c>
      <c r="E4932" t="s">
        <v>17</v>
      </c>
      <c r="F4932" t="s">
        <v>42</v>
      </c>
      <c r="G4932">
        <v>106.54</v>
      </c>
      <c r="H4932" t="s">
        <v>24</v>
      </c>
      <c r="I4932" t="s">
        <v>15</v>
      </c>
      <c r="J4932">
        <v>5</v>
      </c>
      <c r="K4932">
        <v>22</v>
      </c>
      <c r="L4932">
        <f t="shared" si="232"/>
        <v>83.101200000000006</v>
      </c>
      <c r="M4932">
        <v>6</v>
      </c>
      <c r="N4932" t="str">
        <f t="shared" si="233"/>
        <v>Regular</v>
      </c>
    </row>
    <row r="4933" spans="1:14" x14ac:dyDescent="0.35">
      <c r="A4933">
        <v>4932</v>
      </c>
      <c r="B4933">
        <v>21</v>
      </c>
      <c r="C4933" t="str">
        <f t="shared" si="231"/>
        <v>Youth</v>
      </c>
      <c r="D4933" t="s">
        <v>16</v>
      </c>
      <c r="E4933" t="s">
        <v>27</v>
      </c>
      <c r="F4933" t="s">
        <v>28</v>
      </c>
      <c r="G4933">
        <v>845.23</v>
      </c>
      <c r="H4933" t="s">
        <v>24</v>
      </c>
      <c r="I4933" t="s">
        <v>15</v>
      </c>
      <c r="J4933">
        <v>3.7</v>
      </c>
      <c r="K4933">
        <v>16</v>
      </c>
      <c r="L4933">
        <f t="shared" si="232"/>
        <v>709.9932</v>
      </c>
      <c r="M4933">
        <v>8</v>
      </c>
      <c r="N4933" t="str">
        <f t="shared" si="233"/>
        <v>Loyal</v>
      </c>
    </row>
    <row r="4934" spans="1:14" x14ac:dyDescent="0.35">
      <c r="A4934">
        <v>4933</v>
      </c>
      <c r="B4934">
        <v>49</v>
      </c>
      <c r="C4934" t="str">
        <f t="shared" si="231"/>
        <v>Adult</v>
      </c>
      <c r="D4934" t="s">
        <v>16</v>
      </c>
      <c r="E4934" t="s">
        <v>27</v>
      </c>
      <c r="F4934" t="s">
        <v>28</v>
      </c>
      <c r="G4934">
        <v>2662.07</v>
      </c>
      <c r="H4934" t="s">
        <v>24</v>
      </c>
      <c r="I4934" t="s">
        <v>15</v>
      </c>
      <c r="J4934">
        <v>4.7</v>
      </c>
      <c r="K4934">
        <v>20</v>
      </c>
      <c r="L4934">
        <f t="shared" si="232"/>
        <v>2129.6560000000004</v>
      </c>
      <c r="M4934">
        <v>5</v>
      </c>
      <c r="N4934" t="str">
        <f t="shared" si="233"/>
        <v>Regular</v>
      </c>
    </row>
    <row r="4935" spans="1:14" x14ac:dyDescent="0.35">
      <c r="A4935">
        <v>4934</v>
      </c>
      <c r="B4935">
        <v>50</v>
      </c>
      <c r="C4935" t="str">
        <f t="shared" si="231"/>
        <v>Adult</v>
      </c>
      <c r="D4935" t="s">
        <v>16</v>
      </c>
      <c r="E4935" t="s">
        <v>20</v>
      </c>
      <c r="F4935" t="s">
        <v>39</v>
      </c>
      <c r="G4935">
        <v>186.83</v>
      </c>
      <c r="H4935" t="s">
        <v>19</v>
      </c>
      <c r="I4935" t="s">
        <v>15</v>
      </c>
      <c r="J4935">
        <v>3</v>
      </c>
      <c r="K4935">
        <v>11</v>
      </c>
      <c r="L4935">
        <f t="shared" si="232"/>
        <v>166.27870000000001</v>
      </c>
      <c r="M4935">
        <v>3</v>
      </c>
      <c r="N4935" t="str">
        <f t="shared" si="233"/>
        <v>New</v>
      </c>
    </row>
    <row r="4936" spans="1:14" x14ac:dyDescent="0.35">
      <c r="A4936">
        <v>4935</v>
      </c>
      <c r="B4936">
        <v>66</v>
      </c>
      <c r="C4936" t="str">
        <f t="shared" si="231"/>
        <v>Senior</v>
      </c>
      <c r="D4936" t="s">
        <v>11</v>
      </c>
      <c r="E4936" t="s">
        <v>12</v>
      </c>
      <c r="F4936" t="s">
        <v>13</v>
      </c>
      <c r="G4936">
        <v>143.75</v>
      </c>
      <c r="H4936" t="s">
        <v>14</v>
      </c>
      <c r="I4936" t="s">
        <v>15</v>
      </c>
      <c r="J4936">
        <v>3.7</v>
      </c>
      <c r="K4936">
        <v>20</v>
      </c>
      <c r="L4936">
        <f t="shared" si="232"/>
        <v>115</v>
      </c>
      <c r="M4936">
        <v>5</v>
      </c>
      <c r="N4936" t="str">
        <f t="shared" si="233"/>
        <v>Regular</v>
      </c>
    </row>
    <row r="4937" spans="1:14" x14ac:dyDescent="0.35">
      <c r="A4937">
        <v>4936</v>
      </c>
      <c r="B4937">
        <v>23</v>
      </c>
      <c r="C4937" t="str">
        <f t="shared" si="231"/>
        <v>Youth</v>
      </c>
      <c r="D4937" t="s">
        <v>16</v>
      </c>
      <c r="E4937" t="s">
        <v>27</v>
      </c>
      <c r="F4937" t="s">
        <v>28</v>
      </c>
      <c r="G4937">
        <v>2876.27</v>
      </c>
      <c r="H4937" t="s">
        <v>19</v>
      </c>
      <c r="I4937" t="s">
        <v>15</v>
      </c>
      <c r="J4937">
        <v>3</v>
      </c>
      <c r="K4937">
        <v>16</v>
      </c>
      <c r="L4937">
        <f t="shared" si="232"/>
        <v>2416.0668000000001</v>
      </c>
      <c r="M4937">
        <v>3</v>
      </c>
      <c r="N4937" t="str">
        <f t="shared" si="233"/>
        <v>New</v>
      </c>
    </row>
    <row r="4938" spans="1:14" x14ac:dyDescent="0.35">
      <c r="A4938">
        <v>4937</v>
      </c>
      <c r="B4938">
        <v>31</v>
      </c>
      <c r="C4938" t="str">
        <f t="shared" si="231"/>
        <v>Adult</v>
      </c>
      <c r="D4938" t="s">
        <v>16</v>
      </c>
      <c r="E4938" t="s">
        <v>27</v>
      </c>
      <c r="F4938" t="s">
        <v>49</v>
      </c>
      <c r="G4938">
        <v>2686.88</v>
      </c>
      <c r="H4938" t="s">
        <v>24</v>
      </c>
      <c r="I4938" t="s">
        <v>15</v>
      </c>
      <c r="J4938">
        <v>3.3</v>
      </c>
      <c r="K4938">
        <v>9</v>
      </c>
      <c r="L4938">
        <f t="shared" si="232"/>
        <v>2445.0608000000002</v>
      </c>
      <c r="M4938">
        <v>2</v>
      </c>
      <c r="N4938" t="str">
        <f t="shared" si="233"/>
        <v>New</v>
      </c>
    </row>
    <row r="4939" spans="1:14" x14ac:dyDescent="0.35">
      <c r="A4939">
        <v>4938</v>
      </c>
      <c r="B4939">
        <v>54</v>
      </c>
      <c r="C4939" t="str">
        <f t="shared" si="231"/>
        <v>Adult</v>
      </c>
      <c r="D4939" t="s">
        <v>11</v>
      </c>
      <c r="E4939" t="s">
        <v>41</v>
      </c>
      <c r="F4939" t="s">
        <v>42</v>
      </c>
      <c r="G4939">
        <v>35.299999999999997</v>
      </c>
      <c r="H4939" t="s">
        <v>14</v>
      </c>
      <c r="I4939" t="s">
        <v>15</v>
      </c>
      <c r="J4939">
        <v>3.6</v>
      </c>
      <c r="K4939">
        <v>26</v>
      </c>
      <c r="L4939">
        <f t="shared" si="232"/>
        <v>26.121999999999996</v>
      </c>
      <c r="M4939">
        <v>8</v>
      </c>
      <c r="N4939" t="str">
        <f t="shared" si="233"/>
        <v>Loyal</v>
      </c>
    </row>
    <row r="4940" spans="1:14" x14ac:dyDescent="0.35">
      <c r="A4940">
        <v>4939</v>
      </c>
      <c r="B4940">
        <v>64</v>
      </c>
      <c r="C4940" t="str">
        <f t="shared" si="231"/>
        <v>Senior</v>
      </c>
      <c r="D4940" t="s">
        <v>16</v>
      </c>
      <c r="E4940" t="s">
        <v>27</v>
      </c>
      <c r="F4940" t="s">
        <v>53</v>
      </c>
      <c r="G4940">
        <v>2546.2600000000002</v>
      </c>
      <c r="H4940" t="s">
        <v>14</v>
      </c>
      <c r="I4940" t="s">
        <v>15</v>
      </c>
      <c r="J4940">
        <v>4.9000000000000004</v>
      </c>
      <c r="K4940">
        <v>15</v>
      </c>
      <c r="L4940">
        <f t="shared" si="232"/>
        <v>2164.3209999999999</v>
      </c>
      <c r="M4940">
        <v>5</v>
      </c>
      <c r="N4940" t="str">
        <f t="shared" si="233"/>
        <v>Regular</v>
      </c>
    </row>
    <row r="4941" spans="1:14" x14ac:dyDescent="0.35">
      <c r="A4941">
        <v>4940</v>
      </c>
      <c r="B4941">
        <v>31</v>
      </c>
      <c r="C4941" t="str">
        <f t="shared" si="231"/>
        <v>Adult</v>
      </c>
      <c r="D4941" t="s">
        <v>16</v>
      </c>
      <c r="E4941" t="s">
        <v>33</v>
      </c>
      <c r="F4941" t="s">
        <v>38</v>
      </c>
      <c r="G4941">
        <v>248.37</v>
      </c>
      <c r="H4941" t="s">
        <v>31</v>
      </c>
      <c r="I4941" t="s">
        <v>15</v>
      </c>
      <c r="J4941">
        <v>4.4000000000000004</v>
      </c>
      <c r="K4941">
        <v>20</v>
      </c>
      <c r="L4941">
        <f t="shared" si="232"/>
        <v>198.69600000000003</v>
      </c>
      <c r="M4941">
        <v>5</v>
      </c>
      <c r="N4941" t="str">
        <f t="shared" si="233"/>
        <v>Regular</v>
      </c>
    </row>
    <row r="4942" spans="1:14" x14ac:dyDescent="0.35">
      <c r="A4942">
        <v>4941</v>
      </c>
      <c r="B4942">
        <v>31</v>
      </c>
      <c r="C4942" t="str">
        <f t="shared" si="231"/>
        <v>Adult</v>
      </c>
      <c r="D4942" t="s">
        <v>11</v>
      </c>
      <c r="E4942" t="s">
        <v>29</v>
      </c>
      <c r="F4942" t="s">
        <v>30</v>
      </c>
      <c r="G4942">
        <v>45.08</v>
      </c>
      <c r="H4942" t="s">
        <v>24</v>
      </c>
      <c r="I4942" t="s">
        <v>37</v>
      </c>
      <c r="J4942">
        <v>4.0999999999999996</v>
      </c>
      <c r="K4942">
        <v>22</v>
      </c>
      <c r="L4942">
        <f t="shared" si="232"/>
        <v>35.162399999999998</v>
      </c>
      <c r="M4942">
        <v>6</v>
      </c>
      <c r="N4942" t="str">
        <f t="shared" si="233"/>
        <v>Regular</v>
      </c>
    </row>
    <row r="4943" spans="1:14" x14ac:dyDescent="0.35">
      <c r="A4943">
        <v>4942</v>
      </c>
      <c r="B4943">
        <v>22</v>
      </c>
      <c r="C4943" t="str">
        <f t="shared" si="231"/>
        <v>Youth</v>
      </c>
      <c r="D4943" t="s">
        <v>16</v>
      </c>
      <c r="E4943" t="s">
        <v>20</v>
      </c>
      <c r="F4943" t="s">
        <v>36</v>
      </c>
      <c r="G4943">
        <v>193.77</v>
      </c>
      <c r="H4943" t="s">
        <v>14</v>
      </c>
      <c r="I4943" t="s">
        <v>15</v>
      </c>
      <c r="J4943">
        <v>4.9000000000000004</v>
      </c>
      <c r="K4943">
        <v>14</v>
      </c>
      <c r="L4943">
        <f t="shared" si="232"/>
        <v>166.6422</v>
      </c>
      <c r="M4943">
        <v>7</v>
      </c>
      <c r="N4943" t="str">
        <f t="shared" si="233"/>
        <v>Regular</v>
      </c>
    </row>
    <row r="4944" spans="1:14" x14ac:dyDescent="0.35">
      <c r="A4944">
        <v>4943</v>
      </c>
      <c r="B4944">
        <v>40</v>
      </c>
      <c r="C4944" t="str">
        <f t="shared" si="231"/>
        <v>Adult</v>
      </c>
      <c r="D4944" t="s">
        <v>11</v>
      </c>
      <c r="E4944" t="s">
        <v>29</v>
      </c>
      <c r="F4944" t="s">
        <v>30</v>
      </c>
      <c r="G4944">
        <v>98.85</v>
      </c>
      <c r="H4944" t="s">
        <v>14</v>
      </c>
      <c r="I4944" t="s">
        <v>15</v>
      </c>
      <c r="J4944">
        <v>4.7</v>
      </c>
      <c r="K4944">
        <v>16</v>
      </c>
      <c r="L4944">
        <f t="shared" si="232"/>
        <v>83.033999999999992</v>
      </c>
      <c r="M4944">
        <v>3</v>
      </c>
      <c r="N4944" t="str">
        <f t="shared" si="233"/>
        <v>New</v>
      </c>
    </row>
    <row r="4945" spans="1:14" x14ac:dyDescent="0.35">
      <c r="A4945">
        <v>4944</v>
      </c>
      <c r="B4945">
        <v>28</v>
      </c>
      <c r="C4945" t="str">
        <f t="shared" si="231"/>
        <v>Youth</v>
      </c>
      <c r="D4945" t="s">
        <v>16</v>
      </c>
      <c r="E4945" t="s">
        <v>33</v>
      </c>
      <c r="F4945" t="s">
        <v>40</v>
      </c>
      <c r="G4945">
        <v>216.39</v>
      </c>
      <c r="H4945" t="s">
        <v>14</v>
      </c>
      <c r="I4945" t="s">
        <v>15</v>
      </c>
      <c r="J4945">
        <v>1.5</v>
      </c>
      <c r="K4945">
        <v>7</v>
      </c>
      <c r="L4945">
        <f t="shared" si="232"/>
        <v>201.24269999999999</v>
      </c>
      <c r="M4945">
        <v>1</v>
      </c>
      <c r="N4945" t="str">
        <f t="shared" si="233"/>
        <v>New</v>
      </c>
    </row>
    <row r="4946" spans="1:14" x14ac:dyDescent="0.35">
      <c r="A4946">
        <v>4945</v>
      </c>
      <c r="B4946">
        <v>64</v>
      </c>
      <c r="C4946" t="str">
        <f t="shared" si="231"/>
        <v>Senior</v>
      </c>
      <c r="D4946" t="s">
        <v>11</v>
      </c>
      <c r="E4946" t="s">
        <v>33</v>
      </c>
      <c r="F4946" t="s">
        <v>38</v>
      </c>
      <c r="G4946">
        <v>197.46</v>
      </c>
      <c r="H4946" t="s">
        <v>14</v>
      </c>
      <c r="I4946" t="s">
        <v>15</v>
      </c>
      <c r="J4946">
        <v>4.4000000000000004</v>
      </c>
      <c r="K4946">
        <v>10</v>
      </c>
      <c r="L4946">
        <f t="shared" si="232"/>
        <v>177.714</v>
      </c>
      <c r="M4946">
        <v>5</v>
      </c>
      <c r="N4946" t="str">
        <f t="shared" si="233"/>
        <v>Regular</v>
      </c>
    </row>
    <row r="4947" spans="1:14" x14ac:dyDescent="0.35">
      <c r="A4947">
        <v>4946</v>
      </c>
      <c r="B4947">
        <v>48</v>
      </c>
      <c r="C4947" t="str">
        <f t="shared" si="231"/>
        <v>Adult</v>
      </c>
      <c r="D4947" t="s">
        <v>11</v>
      </c>
      <c r="E4947" t="s">
        <v>25</v>
      </c>
      <c r="F4947" t="s">
        <v>47</v>
      </c>
      <c r="G4947">
        <v>75.400000000000006</v>
      </c>
      <c r="H4947" t="s">
        <v>19</v>
      </c>
      <c r="I4947" t="s">
        <v>15</v>
      </c>
      <c r="J4947">
        <v>3.7</v>
      </c>
      <c r="K4947">
        <v>8</v>
      </c>
      <c r="L4947">
        <f t="shared" si="232"/>
        <v>69.368000000000009</v>
      </c>
      <c r="M4947">
        <v>4</v>
      </c>
      <c r="N4947" t="str">
        <f t="shared" si="233"/>
        <v>Regular</v>
      </c>
    </row>
    <row r="4948" spans="1:14" x14ac:dyDescent="0.35">
      <c r="A4948">
        <v>4947</v>
      </c>
      <c r="B4948">
        <v>24</v>
      </c>
      <c r="C4948" t="str">
        <f t="shared" si="231"/>
        <v>Youth</v>
      </c>
      <c r="D4948" t="s">
        <v>11</v>
      </c>
      <c r="E4948" t="s">
        <v>29</v>
      </c>
      <c r="F4948" t="s">
        <v>55</v>
      </c>
      <c r="G4948">
        <v>78.11</v>
      </c>
      <c r="H4948" t="s">
        <v>31</v>
      </c>
      <c r="I4948" t="s">
        <v>37</v>
      </c>
      <c r="J4948">
        <v>3.6</v>
      </c>
      <c r="K4948">
        <v>12</v>
      </c>
      <c r="L4948">
        <f t="shared" si="232"/>
        <v>68.736800000000002</v>
      </c>
      <c r="M4948">
        <v>6</v>
      </c>
      <c r="N4948" t="str">
        <f t="shared" si="233"/>
        <v>Regular</v>
      </c>
    </row>
    <row r="4949" spans="1:14" x14ac:dyDescent="0.35">
      <c r="A4949">
        <v>4948</v>
      </c>
      <c r="B4949">
        <v>20</v>
      </c>
      <c r="C4949" t="str">
        <f t="shared" si="231"/>
        <v>Youth</v>
      </c>
      <c r="D4949" t="s">
        <v>11</v>
      </c>
      <c r="E4949" t="s">
        <v>29</v>
      </c>
      <c r="F4949" t="s">
        <v>55</v>
      </c>
      <c r="G4949">
        <v>32.659999999999997</v>
      </c>
      <c r="H4949" t="s">
        <v>19</v>
      </c>
      <c r="I4949" t="s">
        <v>37</v>
      </c>
      <c r="J4949">
        <v>2.9</v>
      </c>
      <c r="K4949">
        <v>8</v>
      </c>
      <c r="L4949">
        <f t="shared" si="232"/>
        <v>30.047199999999997</v>
      </c>
      <c r="M4949">
        <v>4</v>
      </c>
      <c r="N4949" t="str">
        <f t="shared" si="233"/>
        <v>Regular</v>
      </c>
    </row>
    <row r="4950" spans="1:14" x14ac:dyDescent="0.35">
      <c r="A4950">
        <v>4949</v>
      </c>
      <c r="B4950">
        <v>21</v>
      </c>
      <c r="C4950" t="str">
        <f t="shared" si="231"/>
        <v>Youth</v>
      </c>
      <c r="D4950" t="s">
        <v>11</v>
      </c>
      <c r="E4950" t="s">
        <v>33</v>
      </c>
      <c r="F4950" t="s">
        <v>34</v>
      </c>
      <c r="G4950">
        <v>91.71</v>
      </c>
      <c r="H4950" t="s">
        <v>14</v>
      </c>
      <c r="I4950" t="s">
        <v>37</v>
      </c>
      <c r="J4950">
        <v>3</v>
      </c>
      <c r="K4950">
        <v>8</v>
      </c>
      <c r="L4950">
        <f t="shared" si="232"/>
        <v>84.373199999999997</v>
      </c>
      <c r="M4950">
        <v>4</v>
      </c>
      <c r="N4950" t="str">
        <f t="shared" si="233"/>
        <v>Regular</v>
      </c>
    </row>
    <row r="4951" spans="1:14" x14ac:dyDescent="0.35">
      <c r="A4951">
        <v>4950</v>
      </c>
      <c r="B4951">
        <v>70</v>
      </c>
      <c r="C4951" t="str">
        <f t="shared" si="231"/>
        <v>Senior</v>
      </c>
      <c r="D4951" t="s">
        <v>11</v>
      </c>
      <c r="E4951" t="s">
        <v>29</v>
      </c>
      <c r="F4951" t="s">
        <v>55</v>
      </c>
      <c r="G4951">
        <v>70.739999999999995</v>
      </c>
      <c r="H4951" t="s">
        <v>14</v>
      </c>
      <c r="I4951" t="s">
        <v>37</v>
      </c>
      <c r="J4951">
        <v>4.7</v>
      </c>
      <c r="K4951">
        <v>28</v>
      </c>
      <c r="L4951">
        <f t="shared" si="232"/>
        <v>50.932799999999993</v>
      </c>
      <c r="M4951">
        <v>9</v>
      </c>
      <c r="N4951" t="str">
        <f t="shared" si="233"/>
        <v>Loyal</v>
      </c>
    </row>
    <row r="4952" spans="1:14" x14ac:dyDescent="0.35">
      <c r="A4952">
        <v>4951</v>
      </c>
      <c r="B4952">
        <v>39</v>
      </c>
      <c r="C4952" t="str">
        <f t="shared" si="231"/>
        <v>Adult</v>
      </c>
      <c r="D4952" t="s">
        <v>11</v>
      </c>
      <c r="E4952" t="s">
        <v>33</v>
      </c>
      <c r="F4952" t="s">
        <v>38</v>
      </c>
      <c r="G4952">
        <v>92.58</v>
      </c>
      <c r="H4952" t="s">
        <v>31</v>
      </c>
      <c r="I4952" t="s">
        <v>15</v>
      </c>
      <c r="J4952">
        <v>3.6</v>
      </c>
      <c r="K4952">
        <v>11</v>
      </c>
      <c r="L4952">
        <f t="shared" si="232"/>
        <v>82.396199999999993</v>
      </c>
      <c r="M4952">
        <v>3</v>
      </c>
      <c r="N4952" t="str">
        <f t="shared" si="233"/>
        <v>New</v>
      </c>
    </row>
    <row r="4953" spans="1:14" x14ac:dyDescent="0.35">
      <c r="A4953">
        <v>4952</v>
      </c>
      <c r="B4953">
        <v>53</v>
      </c>
      <c r="C4953" t="str">
        <f t="shared" si="231"/>
        <v>Adult</v>
      </c>
      <c r="D4953" t="s">
        <v>11</v>
      </c>
      <c r="E4953" t="s">
        <v>29</v>
      </c>
      <c r="F4953" t="s">
        <v>51</v>
      </c>
      <c r="G4953">
        <v>92.62</v>
      </c>
      <c r="H4953" t="s">
        <v>31</v>
      </c>
      <c r="I4953" t="s">
        <v>15</v>
      </c>
      <c r="J4953">
        <v>4.9000000000000004</v>
      </c>
      <c r="K4953">
        <v>11</v>
      </c>
      <c r="L4953">
        <f t="shared" si="232"/>
        <v>82.43180000000001</v>
      </c>
      <c r="M4953">
        <v>3</v>
      </c>
      <c r="N4953" t="str">
        <f t="shared" si="233"/>
        <v>New</v>
      </c>
    </row>
    <row r="4954" spans="1:14" x14ac:dyDescent="0.35">
      <c r="A4954">
        <v>4953</v>
      </c>
      <c r="B4954">
        <v>24</v>
      </c>
      <c r="C4954" t="str">
        <f t="shared" si="231"/>
        <v>Youth</v>
      </c>
      <c r="D4954" t="s">
        <v>16</v>
      </c>
      <c r="E4954" t="s">
        <v>33</v>
      </c>
      <c r="F4954" t="s">
        <v>40</v>
      </c>
      <c r="G4954">
        <v>201.33</v>
      </c>
      <c r="H4954" t="s">
        <v>24</v>
      </c>
      <c r="I4954" t="s">
        <v>15</v>
      </c>
      <c r="J4954">
        <v>3.4</v>
      </c>
      <c r="K4954">
        <v>0</v>
      </c>
      <c r="L4954">
        <f t="shared" si="232"/>
        <v>201.33</v>
      </c>
      <c r="M4954">
        <v>0</v>
      </c>
      <c r="N4954" t="str">
        <f t="shared" si="233"/>
        <v>New</v>
      </c>
    </row>
    <row r="4955" spans="1:14" x14ac:dyDescent="0.35">
      <c r="A4955">
        <v>4954</v>
      </c>
      <c r="B4955">
        <v>22</v>
      </c>
      <c r="C4955" t="str">
        <f t="shared" si="231"/>
        <v>Youth</v>
      </c>
      <c r="D4955" t="s">
        <v>11</v>
      </c>
      <c r="E4955" t="s">
        <v>41</v>
      </c>
      <c r="F4955" t="s">
        <v>44</v>
      </c>
      <c r="G4955">
        <v>107.7</v>
      </c>
      <c r="H4955" t="s">
        <v>14</v>
      </c>
      <c r="I4955" t="s">
        <v>15</v>
      </c>
      <c r="J4955">
        <v>3.2</v>
      </c>
      <c r="K4955">
        <v>28</v>
      </c>
      <c r="L4955">
        <f t="shared" si="232"/>
        <v>77.543999999999997</v>
      </c>
      <c r="M4955">
        <v>9</v>
      </c>
      <c r="N4955" t="str">
        <f t="shared" si="233"/>
        <v>Loyal</v>
      </c>
    </row>
    <row r="4956" spans="1:14" x14ac:dyDescent="0.35">
      <c r="A4956">
        <v>4955</v>
      </c>
      <c r="B4956">
        <v>29</v>
      </c>
      <c r="C4956" t="str">
        <f t="shared" si="231"/>
        <v>Youth</v>
      </c>
      <c r="D4956" t="s">
        <v>16</v>
      </c>
      <c r="E4956" t="s">
        <v>20</v>
      </c>
      <c r="F4956" t="s">
        <v>21</v>
      </c>
      <c r="G4956">
        <v>48.66</v>
      </c>
      <c r="H4956" t="s">
        <v>19</v>
      </c>
      <c r="I4956" t="s">
        <v>15</v>
      </c>
      <c r="J4956">
        <v>3.5</v>
      </c>
      <c r="K4956">
        <v>4</v>
      </c>
      <c r="L4956">
        <f t="shared" si="232"/>
        <v>46.713599999999992</v>
      </c>
      <c r="M4956">
        <v>2</v>
      </c>
      <c r="N4956" t="str">
        <f t="shared" si="233"/>
        <v>New</v>
      </c>
    </row>
    <row r="4957" spans="1:14" x14ac:dyDescent="0.35">
      <c r="A4957">
        <v>4956</v>
      </c>
      <c r="B4957">
        <v>37</v>
      </c>
      <c r="C4957" t="str">
        <f t="shared" si="231"/>
        <v>Adult</v>
      </c>
      <c r="D4957" t="s">
        <v>16</v>
      </c>
      <c r="E4957" t="s">
        <v>25</v>
      </c>
      <c r="F4957" t="s">
        <v>47</v>
      </c>
      <c r="G4957">
        <v>43.47</v>
      </c>
      <c r="H4957" t="s">
        <v>14</v>
      </c>
      <c r="I4957" t="s">
        <v>37</v>
      </c>
      <c r="J4957">
        <v>4.0999999999999996</v>
      </c>
      <c r="K4957">
        <v>16</v>
      </c>
      <c r="L4957">
        <f t="shared" si="232"/>
        <v>36.514800000000001</v>
      </c>
      <c r="M4957">
        <v>3</v>
      </c>
      <c r="N4957" t="str">
        <f t="shared" si="233"/>
        <v>New</v>
      </c>
    </row>
    <row r="4958" spans="1:14" x14ac:dyDescent="0.35">
      <c r="A4958">
        <v>4957</v>
      </c>
      <c r="B4958">
        <v>47</v>
      </c>
      <c r="C4958" t="str">
        <f t="shared" si="231"/>
        <v>Adult</v>
      </c>
      <c r="D4958" t="s">
        <v>16</v>
      </c>
      <c r="E4958" t="s">
        <v>17</v>
      </c>
      <c r="F4958" t="s">
        <v>42</v>
      </c>
      <c r="G4958">
        <v>179.91</v>
      </c>
      <c r="H4958" t="s">
        <v>31</v>
      </c>
      <c r="I4958" t="s">
        <v>15</v>
      </c>
      <c r="J4958">
        <v>4.4000000000000004</v>
      </c>
      <c r="K4958">
        <v>12</v>
      </c>
      <c r="L4958">
        <f t="shared" si="232"/>
        <v>158.32079999999999</v>
      </c>
      <c r="M4958">
        <v>6</v>
      </c>
      <c r="N4958" t="str">
        <f t="shared" si="233"/>
        <v>Regular</v>
      </c>
    </row>
    <row r="4959" spans="1:14" x14ac:dyDescent="0.35">
      <c r="A4959">
        <v>4958</v>
      </c>
      <c r="B4959">
        <v>69</v>
      </c>
      <c r="C4959" t="str">
        <f t="shared" si="231"/>
        <v>Senior</v>
      </c>
      <c r="D4959" t="s">
        <v>16</v>
      </c>
      <c r="E4959" t="s">
        <v>25</v>
      </c>
      <c r="F4959" t="s">
        <v>57</v>
      </c>
      <c r="G4959">
        <v>60.23</v>
      </c>
      <c r="H4959" t="s">
        <v>14</v>
      </c>
      <c r="I4959" t="s">
        <v>37</v>
      </c>
      <c r="J4959">
        <v>3.3</v>
      </c>
      <c r="K4959">
        <v>14</v>
      </c>
      <c r="L4959">
        <f t="shared" si="232"/>
        <v>51.797799999999995</v>
      </c>
      <c r="M4959">
        <v>7</v>
      </c>
      <c r="N4959" t="str">
        <f t="shared" si="233"/>
        <v>Regular</v>
      </c>
    </row>
    <row r="4960" spans="1:14" x14ac:dyDescent="0.35">
      <c r="A4960">
        <v>4959</v>
      </c>
      <c r="B4960">
        <v>36</v>
      </c>
      <c r="C4960" t="str">
        <f t="shared" si="231"/>
        <v>Adult</v>
      </c>
      <c r="D4960" t="s">
        <v>11</v>
      </c>
      <c r="E4960" t="s">
        <v>25</v>
      </c>
      <c r="F4960" t="s">
        <v>57</v>
      </c>
      <c r="G4960">
        <v>33.119999999999997</v>
      </c>
      <c r="H4960" t="s">
        <v>19</v>
      </c>
      <c r="I4960" t="s">
        <v>15</v>
      </c>
      <c r="J4960">
        <v>4.3</v>
      </c>
      <c r="K4960">
        <v>15</v>
      </c>
      <c r="L4960">
        <f t="shared" si="232"/>
        <v>28.151999999999997</v>
      </c>
      <c r="M4960">
        <v>5</v>
      </c>
      <c r="N4960" t="str">
        <f t="shared" si="233"/>
        <v>Regular</v>
      </c>
    </row>
    <row r="4961" spans="1:14" x14ac:dyDescent="0.35">
      <c r="A4961">
        <v>4960</v>
      </c>
      <c r="B4961">
        <v>42</v>
      </c>
      <c r="C4961" t="str">
        <f t="shared" si="231"/>
        <v>Adult</v>
      </c>
      <c r="D4961" t="s">
        <v>16</v>
      </c>
      <c r="E4961" t="s">
        <v>27</v>
      </c>
      <c r="F4961" t="s">
        <v>28</v>
      </c>
      <c r="G4961">
        <v>2340.63</v>
      </c>
      <c r="H4961" t="s">
        <v>14</v>
      </c>
      <c r="I4961" t="s">
        <v>15</v>
      </c>
      <c r="J4961">
        <v>3.1</v>
      </c>
      <c r="K4961">
        <v>9</v>
      </c>
      <c r="L4961">
        <f t="shared" si="232"/>
        <v>2129.9733000000001</v>
      </c>
      <c r="M4961">
        <v>2</v>
      </c>
      <c r="N4961" t="str">
        <f t="shared" si="233"/>
        <v>New</v>
      </c>
    </row>
    <row r="4962" spans="1:14" x14ac:dyDescent="0.35">
      <c r="A4962">
        <v>4961</v>
      </c>
      <c r="B4962">
        <v>23</v>
      </c>
      <c r="C4962" t="str">
        <f t="shared" si="231"/>
        <v>Youth</v>
      </c>
      <c r="D4962" t="s">
        <v>11</v>
      </c>
      <c r="E4962" t="s">
        <v>20</v>
      </c>
      <c r="F4962" t="s">
        <v>39</v>
      </c>
      <c r="G4962">
        <v>124.64</v>
      </c>
      <c r="H4962" t="s">
        <v>19</v>
      </c>
      <c r="I4962" t="s">
        <v>15</v>
      </c>
      <c r="J4962">
        <v>4.9000000000000004</v>
      </c>
      <c r="K4962">
        <v>20</v>
      </c>
      <c r="L4962">
        <f t="shared" si="232"/>
        <v>99.712000000000003</v>
      </c>
      <c r="M4962">
        <v>5</v>
      </c>
      <c r="N4962" t="str">
        <f t="shared" si="233"/>
        <v>Regular</v>
      </c>
    </row>
    <row r="4963" spans="1:14" x14ac:dyDescent="0.35">
      <c r="A4963">
        <v>4962</v>
      </c>
      <c r="B4963">
        <v>52</v>
      </c>
      <c r="C4963" t="str">
        <f t="shared" si="231"/>
        <v>Adult</v>
      </c>
      <c r="D4963" t="s">
        <v>16</v>
      </c>
      <c r="E4963" t="s">
        <v>25</v>
      </c>
      <c r="F4963" t="s">
        <v>26</v>
      </c>
      <c r="G4963">
        <v>69.010000000000005</v>
      </c>
      <c r="H4963" t="s">
        <v>31</v>
      </c>
      <c r="I4963" t="s">
        <v>37</v>
      </c>
      <c r="J4963">
        <v>3.6</v>
      </c>
      <c r="K4963">
        <v>8</v>
      </c>
      <c r="L4963">
        <f t="shared" si="232"/>
        <v>63.489200000000011</v>
      </c>
      <c r="M4963">
        <v>4</v>
      </c>
      <c r="N4963" t="str">
        <f t="shared" si="233"/>
        <v>Regular</v>
      </c>
    </row>
    <row r="4964" spans="1:14" x14ac:dyDescent="0.35">
      <c r="A4964">
        <v>4963</v>
      </c>
      <c r="B4964">
        <v>59</v>
      </c>
      <c r="C4964" t="str">
        <f t="shared" si="231"/>
        <v>Adult</v>
      </c>
      <c r="D4964" t="s">
        <v>11</v>
      </c>
      <c r="E4964" t="s">
        <v>12</v>
      </c>
      <c r="F4964" t="s">
        <v>50</v>
      </c>
      <c r="G4964">
        <v>67.83</v>
      </c>
      <c r="H4964" t="s">
        <v>24</v>
      </c>
      <c r="I4964" t="s">
        <v>37</v>
      </c>
      <c r="J4964">
        <v>2.7</v>
      </c>
      <c r="K4964">
        <v>13</v>
      </c>
      <c r="L4964">
        <f t="shared" si="232"/>
        <v>59.012099999999997</v>
      </c>
      <c r="M4964">
        <v>4</v>
      </c>
      <c r="N4964" t="str">
        <f t="shared" si="233"/>
        <v>Regular</v>
      </c>
    </row>
    <row r="4965" spans="1:14" x14ac:dyDescent="0.35">
      <c r="A4965">
        <v>4964</v>
      </c>
      <c r="B4965">
        <v>21</v>
      </c>
      <c r="C4965" t="str">
        <f t="shared" si="231"/>
        <v>Youth</v>
      </c>
      <c r="D4965" t="s">
        <v>16</v>
      </c>
      <c r="E4965" t="s">
        <v>17</v>
      </c>
      <c r="F4965" t="s">
        <v>35</v>
      </c>
      <c r="G4965">
        <v>80.010000000000005</v>
      </c>
      <c r="H4965" t="s">
        <v>19</v>
      </c>
      <c r="I4965" t="s">
        <v>15</v>
      </c>
      <c r="J4965">
        <v>4.5</v>
      </c>
      <c r="K4965">
        <v>19</v>
      </c>
      <c r="L4965">
        <f t="shared" si="232"/>
        <v>64.80810000000001</v>
      </c>
      <c r="M4965">
        <v>7</v>
      </c>
      <c r="N4965" t="str">
        <f t="shared" si="233"/>
        <v>Regular</v>
      </c>
    </row>
    <row r="4966" spans="1:14" x14ac:dyDescent="0.35">
      <c r="A4966">
        <v>4965</v>
      </c>
      <c r="B4966">
        <v>50</v>
      </c>
      <c r="C4966" t="str">
        <f t="shared" si="231"/>
        <v>Adult</v>
      </c>
      <c r="D4966" t="s">
        <v>16</v>
      </c>
      <c r="E4966" t="s">
        <v>20</v>
      </c>
      <c r="F4966" t="s">
        <v>36</v>
      </c>
      <c r="G4966">
        <v>65.650000000000006</v>
      </c>
      <c r="H4966" t="s">
        <v>14</v>
      </c>
      <c r="I4966" t="s">
        <v>37</v>
      </c>
      <c r="J4966">
        <v>4</v>
      </c>
      <c r="K4966">
        <v>16</v>
      </c>
      <c r="L4966">
        <f t="shared" si="232"/>
        <v>55.146000000000001</v>
      </c>
      <c r="M4966">
        <v>8</v>
      </c>
      <c r="N4966" t="str">
        <f t="shared" si="233"/>
        <v>Loyal</v>
      </c>
    </row>
    <row r="4967" spans="1:14" x14ac:dyDescent="0.35">
      <c r="A4967">
        <v>4966</v>
      </c>
      <c r="B4967">
        <v>50</v>
      </c>
      <c r="C4967" t="str">
        <f t="shared" si="231"/>
        <v>Adult</v>
      </c>
      <c r="D4967" t="s">
        <v>16</v>
      </c>
      <c r="E4967" t="s">
        <v>33</v>
      </c>
      <c r="F4967" t="s">
        <v>34</v>
      </c>
      <c r="G4967">
        <v>64.930000000000007</v>
      </c>
      <c r="H4967" t="s">
        <v>19</v>
      </c>
      <c r="I4967" t="s">
        <v>15</v>
      </c>
      <c r="J4967">
        <v>4.4000000000000004</v>
      </c>
      <c r="K4967">
        <v>9</v>
      </c>
      <c r="L4967">
        <f t="shared" si="232"/>
        <v>59.086300000000008</v>
      </c>
      <c r="M4967">
        <v>2</v>
      </c>
      <c r="N4967" t="str">
        <f t="shared" si="233"/>
        <v>New</v>
      </c>
    </row>
    <row r="4968" spans="1:14" x14ac:dyDescent="0.35">
      <c r="A4968">
        <v>4967</v>
      </c>
      <c r="B4968">
        <v>57</v>
      </c>
      <c r="C4968" t="str">
        <f t="shared" si="231"/>
        <v>Adult</v>
      </c>
      <c r="D4968" t="s">
        <v>16</v>
      </c>
      <c r="E4968" t="s">
        <v>17</v>
      </c>
      <c r="F4968" t="s">
        <v>42</v>
      </c>
      <c r="G4968">
        <v>185.82</v>
      </c>
      <c r="H4968" t="s">
        <v>19</v>
      </c>
      <c r="I4968" t="s">
        <v>15</v>
      </c>
      <c r="J4968">
        <v>3.6</v>
      </c>
      <c r="K4968">
        <v>17</v>
      </c>
      <c r="L4968">
        <f t="shared" si="232"/>
        <v>154.23059999999998</v>
      </c>
      <c r="M4968">
        <v>6</v>
      </c>
      <c r="N4968" t="str">
        <f t="shared" si="233"/>
        <v>Regular</v>
      </c>
    </row>
    <row r="4969" spans="1:14" x14ac:dyDescent="0.35">
      <c r="A4969">
        <v>4968</v>
      </c>
      <c r="B4969">
        <v>58</v>
      </c>
      <c r="C4969" t="str">
        <f t="shared" si="231"/>
        <v>Adult</v>
      </c>
      <c r="D4969" t="s">
        <v>11</v>
      </c>
      <c r="E4969" t="s">
        <v>12</v>
      </c>
      <c r="F4969" t="s">
        <v>13</v>
      </c>
      <c r="G4969">
        <v>60.51</v>
      </c>
      <c r="H4969" t="s">
        <v>31</v>
      </c>
      <c r="I4969" t="s">
        <v>15</v>
      </c>
      <c r="J4969">
        <v>3.9</v>
      </c>
      <c r="K4969">
        <v>8</v>
      </c>
      <c r="L4969">
        <f t="shared" si="232"/>
        <v>55.669200000000004</v>
      </c>
      <c r="M4969">
        <v>4</v>
      </c>
      <c r="N4969" t="str">
        <f t="shared" si="233"/>
        <v>Regular</v>
      </c>
    </row>
    <row r="4970" spans="1:14" x14ac:dyDescent="0.35">
      <c r="A4970">
        <v>4969</v>
      </c>
      <c r="B4970">
        <v>34</v>
      </c>
      <c r="C4970" t="str">
        <f t="shared" si="231"/>
        <v>Adult</v>
      </c>
      <c r="D4970" t="s">
        <v>16</v>
      </c>
      <c r="E4970" t="s">
        <v>22</v>
      </c>
      <c r="F4970" t="s">
        <v>43</v>
      </c>
      <c r="G4970">
        <v>34.950000000000003</v>
      </c>
      <c r="H4970" t="s">
        <v>24</v>
      </c>
      <c r="I4970" t="s">
        <v>37</v>
      </c>
      <c r="J4970">
        <v>3.6</v>
      </c>
      <c r="K4970">
        <v>8</v>
      </c>
      <c r="L4970">
        <f t="shared" si="232"/>
        <v>32.154000000000003</v>
      </c>
      <c r="M4970">
        <v>4</v>
      </c>
      <c r="N4970" t="str">
        <f t="shared" si="233"/>
        <v>Regular</v>
      </c>
    </row>
    <row r="4971" spans="1:14" x14ac:dyDescent="0.35">
      <c r="A4971">
        <v>4970</v>
      </c>
      <c r="B4971">
        <v>41</v>
      </c>
      <c r="C4971" t="str">
        <f t="shared" si="231"/>
        <v>Adult</v>
      </c>
      <c r="D4971" t="s">
        <v>16</v>
      </c>
      <c r="E4971" t="s">
        <v>27</v>
      </c>
      <c r="F4971" t="s">
        <v>49</v>
      </c>
      <c r="G4971">
        <v>2442.98</v>
      </c>
      <c r="H4971" t="s">
        <v>19</v>
      </c>
      <c r="I4971" t="s">
        <v>15</v>
      </c>
      <c r="J4971">
        <v>4.8</v>
      </c>
      <c r="K4971">
        <v>10</v>
      </c>
      <c r="L4971">
        <f t="shared" si="232"/>
        <v>2198.6820000000002</v>
      </c>
      <c r="M4971">
        <v>5</v>
      </c>
      <c r="N4971" t="str">
        <f t="shared" si="233"/>
        <v>Regular</v>
      </c>
    </row>
    <row r="4972" spans="1:14" x14ac:dyDescent="0.35">
      <c r="A4972">
        <v>4971</v>
      </c>
      <c r="B4972">
        <v>52</v>
      </c>
      <c r="C4972" t="str">
        <f t="shared" si="231"/>
        <v>Adult</v>
      </c>
      <c r="D4972" t="s">
        <v>11</v>
      </c>
      <c r="E4972" t="s">
        <v>12</v>
      </c>
      <c r="F4972" t="s">
        <v>56</v>
      </c>
      <c r="G4972">
        <v>177.26</v>
      </c>
      <c r="H4972" t="s">
        <v>31</v>
      </c>
      <c r="I4972" t="s">
        <v>15</v>
      </c>
      <c r="J4972">
        <v>3.3</v>
      </c>
      <c r="K4972">
        <v>16</v>
      </c>
      <c r="L4972">
        <f t="shared" si="232"/>
        <v>148.89839999999998</v>
      </c>
      <c r="M4972">
        <v>3</v>
      </c>
      <c r="N4972" t="str">
        <f t="shared" si="233"/>
        <v>New</v>
      </c>
    </row>
    <row r="4973" spans="1:14" x14ac:dyDescent="0.35">
      <c r="A4973">
        <v>4972</v>
      </c>
      <c r="B4973">
        <v>24</v>
      </c>
      <c r="C4973" t="str">
        <f t="shared" si="231"/>
        <v>Youth</v>
      </c>
      <c r="D4973" t="s">
        <v>16</v>
      </c>
      <c r="E4973" t="s">
        <v>17</v>
      </c>
      <c r="F4973" t="s">
        <v>48</v>
      </c>
      <c r="G4973">
        <v>161.44</v>
      </c>
      <c r="H4973" t="s">
        <v>24</v>
      </c>
      <c r="I4973" t="s">
        <v>15</v>
      </c>
      <c r="J4973">
        <v>3.7</v>
      </c>
      <c r="K4973">
        <v>16</v>
      </c>
      <c r="L4973">
        <f t="shared" si="232"/>
        <v>135.6096</v>
      </c>
      <c r="M4973">
        <v>3</v>
      </c>
      <c r="N4973" t="str">
        <f t="shared" si="233"/>
        <v>New</v>
      </c>
    </row>
    <row r="4974" spans="1:14" x14ac:dyDescent="0.35">
      <c r="A4974">
        <v>4973</v>
      </c>
      <c r="B4974">
        <v>42</v>
      </c>
      <c r="C4974" t="str">
        <f t="shared" si="231"/>
        <v>Adult</v>
      </c>
      <c r="D4974" t="s">
        <v>11</v>
      </c>
      <c r="E4974" t="s">
        <v>29</v>
      </c>
      <c r="F4974" t="s">
        <v>30</v>
      </c>
      <c r="G4974">
        <v>106.4</v>
      </c>
      <c r="H4974" t="s">
        <v>14</v>
      </c>
      <c r="I4974" t="s">
        <v>15</v>
      </c>
      <c r="J4974">
        <v>3.4</v>
      </c>
      <c r="K4974">
        <v>6</v>
      </c>
      <c r="L4974">
        <f t="shared" si="232"/>
        <v>100.01600000000001</v>
      </c>
      <c r="M4974">
        <v>3</v>
      </c>
      <c r="N4974" t="str">
        <f t="shared" si="233"/>
        <v>New</v>
      </c>
    </row>
    <row r="4975" spans="1:14" x14ac:dyDescent="0.35">
      <c r="A4975">
        <v>4974</v>
      </c>
      <c r="B4975">
        <v>53</v>
      </c>
      <c r="C4975" t="str">
        <f t="shared" si="231"/>
        <v>Adult</v>
      </c>
      <c r="D4975" t="s">
        <v>16</v>
      </c>
      <c r="E4975" t="s">
        <v>20</v>
      </c>
      <c r="F4975" t="s">
        <v>21</v>
      </c>
      <c r="G4975">
        <v>130.37</v>
      </c>
      <c r="H4975" t="s">
        <v>19</v>
      </c>
      <c r="I4975" t="s">
        <v>15</v>
      </c>
      <c r="J4975">
        <v>4.5</v>
      </c>
      <c r="K4975">
        <v>6</v>
      </c>
      <c r="L4975">
        <f t="shared" si="232"/>
        <v>122.5478</v>
      </c>
      <c r="M4975">
        <v>3</v>
      </c>
      <c r="N4975" t="str">
        <f t="shared" si="233"/>
        <v>New</v>
      </c>
    </row>
    <row r="4976" spans="1:14" x14ac:dyDescent="0.35">
      <c r="A4976">
        <v>4975</v>
      </c>
      <c r="B4976">
        <v>50</v>
      </c>
      <c r="C4976" t="str">
        <f t="shared" si="231"/>
        <v>Adult</v>
      </c>
      <c r="D4976" t="s">
        <v>11</v>
      </c>
      <c r="E4976" t="s">
        <v>33</v>
      </c>
      <c r="F4976" t="s">
        <v>40</v>
      </c>
      <c r="G4976">
        <v>243.99</v>
      </c>
      <c r="H4976" t="s">
        <v>19</v>
      </c>
      <c r="I4976" t="s">
        <v>15</v>
      </c>
      <c r="J4976">
        <v>3.7</v>
      </c>
      <c r="K4976">
        <v>18</v>
      </c>
      <c r="L4976">
        <f t="shared" si="232"/>
        <v>200.07180000000002</v>
      </c>
      <c r="M4976">
        <v>4</v>
      </c>
      <c r="N4976" t="str">
        <f t="shared" si="233"/>
        <v>Regular</v>
      </c>
    </row>
    <row r="4977" spans="1:14" x14ac:dyDescent="0.35">
      <c r="A4977">
        <v>4976</v>
      </c>
      <c r="B4977">
        <v>47</v>
      </c>
      <c r="C4977" t="str">
        <f t="shared" si="231"/>
        <v>Adult</v>
      </c>
      <c r="D4977" t="s">
        <v>11</v>
      </c>
      <c r="E4977" t="s">
        <v>12</v>
      </c>
      <c r="F4977" t="s">
        <v>13</v>
      </c>
      <c r="G4977">
        <v>162.51</v>
      </c>
      <c r="H4977" t="s">
        <v>31</v>
      </c>
      <c r="I4977" t="s">
        <v>15</v>
      </c>
      <c r="J4977">
        <v>5</v>
      </c>
      <c r="K4977">
        <v>22</v>
      </c>
      <c r="L4977">
        <f t="shared" si="232"/>
        <v>126.7578</v>
      </c>
      <c r="M4977">
        <v>6</v>
      </c>
      <c r="N4977" t="str">
        <f t="shared" si="233"/>
        <v>Regular</v>
      </c>
    </row>
    <row r="4978" spans="1:14" x14ac:dyDescent="0.35">
      <c r="A4978">
        <v>4977</v>
      </c>
      <c r="B4978">
        <v>32</v>
      </c>
      <c r="C4978" t="str">
        <f t="shared" si="231"/>
        <v>Adult</v>
      </c>
      <c r="D4978" t="s">
        <v>16</v>
      </c>
      <c r="E4978" t="s">
        <v>20</v>
      </c>
      <c r="F4978" t="s">
        <v>36</v>
      </c>
      <c r="G4978">
        <v>49.17</v>
      </c>
      <c r="H4978" t="s">
        <v>14</v>
      </c>
      <c r="I4978" t="s">
        <v>15</v>
      </c>
      <c r="J4978">
        <v>4.0999999999999996</v>
      </c>
      <c r="K4978">
        <v>10</v>
      </c>
      <c r="L4978">
        <f t="shared" si="232"/>
        <v>44.253</v>
      </c>
      <c r="M4978">
        <v>5</v>
      </c>
      <c r="N4978" t="str">
        <f t="shared" si="233"/>
        <v>Regular</v>
      </c>
    </row>
    <row r="4979" spans="1:14" x14ac:dyDescent="0.35">
      <c r="A4979">
        <v>4978</v>
      </c>
      <c r="B4979">
        <v>28</v>
      </c>
      <c r="C4979" t="str">
        <f t="shared" si="231"/>
        <v>Youth</v>
      </c>
      <c r="D4979" t="s">
        <v>11</v>
      </c>
      <c r="E4979" t="s">
        <v>33</v>
      </c>
      <c r="F4979" t="s">
        <v>40</v>
      </c>
      <c r="G4979">
        <v>46.58</v>
      </c>
      <c r="H4979" t="s">
        <v>31</v>
      </c>
      <c r="I4979" t="s">
        <v>37</v>
      </c>
      <c r="J4979">
        <v>4.3</v>
      </c>
      <c r="K4979">
        <v>15</v>
      </c>
      <c r="L4979">
        <f t="shared" si="232"/>
        <v>39.592999999999996</v>
      </c>
      <c r="M4979">
        <v>5</v>
      </c>
      <c r="N4979" t="str">
        <f t="shared" si="233"/>
        <v>Regular</v>
      </c>
    </row>
    <row r="4980" spans="1:14" x14ac:dyDescent="0.35">
      <c r="A4980">
        <v>4979</v>
      </c>
      <c r="B4980">
        <v>48</v>
      </c>
      <c r="C4980" t="str">
        <f t="shared" si="231"/>
        <v>Adult</v>
      </c>
      <c r="D4980" t="s">
        <v>16</v>
      </c>
      <c r="E4980" t="s">
        <v>27</v>
      </c>
      <c r="F4980" t="s">
        <v>28</v>
      </c>
      <c r="G4980">
        <v>1886.39</v>
      </c>
      <c r="H4980" t="s">
        <v>19</v>
      </c>
      <c r="I4980" t="s">
        <v>15</v>
      </c>
      <c r="J4980">
        <v>4.2</v>
      </c>
      <c r="K4980">
        <v>22</v>
      </c>
      <c r="L4980">
        <f t="shared" si="232"/>
        <v>1471.3842000000002</v>
      </c>
      <c r="M4980">
        <v>6</v>
      </c>
      <c r="N4980" t="str">
        <f t="shared" si="233"/>
        <v>Regular</v>
      </c>
    </row>
    <row r="4981" spans="1:14" x14ac:dyDescent="0.35">
      <c r="A4981">
        <v>4980</v>
      </c>
      <c r="B4981">
        <v>65</v>
      </c>
      <c r="C4981" t="str">
        <f t="shared" si="231"/>
        <v>Senior</v>
      </c>
      <c r="D4981" t="s">
        <v>11</v>
      </c>
      <c r="E4981" t="s">
        <v>41</v>
      </c>
      <c r="F4981" t="s">
        <v>42</v>
      </c>
      <c r="G4981">
        <v>150.06</v>
      </c>
      <c r="H4981" t="s">
        <v>24</v>
      </c>
      <c r="I4981" t="s">
        <v>15</v>
      </c>
      <c r="J4981">
        <v>3.4</v>
      </c>
      <c r="K4981">
        <v>12</v>
      </c>
      <c r="L4981">
        <f t="shared" si="232"/>
        <v>132.05279999999999</v>
      </c>
      <c r="M4981">
        <v>6</v>
      </c>
      <c r="N4981" t="str">
        <f t="shared" si="233"/>
        <v>Regular</v>
      </c>
    </row>
    <row r="4982" spans="1:14" x14ac:dyDescent="0.35">
      <c r="A4982">
        <v>4981</v>
      </c>
      <c r="B4982">
        <v>58</v>
      </c>
      <c r="C4982" t="str">
        <f t="shared" si="231"/>
        <v>Adult</v>
      </c>
      <c r="D4982" t="s">
        <v>11</v>
      </c>
      <c r="E4982" t="s">
        <v>29</v>
      </c>
      <c r="F4982" t="s">
        <v>51</v>
      </c>
      <c r="G4982">
        <v>21.63</v>
      </c>
      <c r="H4982" t="s">
        <v>14</v>
      </c>
      <c r="I4982" t="s">
        <v>15</v>
      </c>
      <c r="J4982">
        <v>3.8</v>
      </c>
      <c r="K4982">
        <v>18</v>
      </c>
      <c r="L4982">
        <f t="shared" si="232"/>
        <v>17.736599999999999</v>
      </c>
      <c r="M4982">
        <v>4</v>
      </c>
      <c r="N4982" t="str">
        <f t="shared" si="233"/>
        <v>Regular</v>
      </c>
    </row>
    <row r="4983" spans="1:14" x14ac:dyDescent="0.35">
      <c r="A4983">
        <v>4982</v>
      </c>
      <c r="B4983">
        <v>31</v>
      </c>
      <c r="C4983" t="str">
        <f t="shared" si="231"/>
        <v>Adult</v>
      </c>
      <c r="D4983" t="s">
        <v>11</v>
      </c>
      <c r="E4983" t="s">
        <v>33</v>
      </c>
      <c r="F4983" t="s">
        <v>40</v>
      </c>
      <c r="G4983">
        <v>180.25</v>
      </c>
      <c r="H4983" t="s">
        <v>31</v>
      </c>
      <c r="I4983" t="s">
        <v>15</v>
      </c>
      <c r="J4983">
        <v>5</v>
      </c>
      <c r="K4983">
        <v>29</v>
      </c>
      <c r="L4983">
        <f t="shared" si="232"/>
        <v>127.97749999999999</v>
      </c>
      <c r="M4983">
        <v>12</v>
      </c>
      <c r="N4983" t="str">
        <f t="shared" si="233"/>
        <v>Loyal</v>
      </c>
    </row>
    <row r="4984" spans="1:14" x14ac:dyDescent="0.35">
      <c r="A4984">
        <v>4983</v>
      </c>
      <c r="B4984">
        <v>31</v>
      </c>
      <c r="C4984" t="str">
        <f t="shared" si="231"/>
        <v>Adult</v>
      </c>
      <c r="D4984" t="s">
        <v>16</v>
      </c>
      <c r="E4984" t="s">
        <v>27</v>
      </c>
      <c r="F4984" t="s">
        <v>32</v>
      </c>
      <c r="G4984">
        <v>2163.69</v>
      </c>
      <c r="H4984" t="s">
        <v>31</v>
      </c>
      <c r="I4984" t="s">
        <v>15</v>
      </c>
      <c r="J4984">
        <v>4.0999999999999996</v>
      </c>
      <c r="K4984">
        <v>10</v>
      </c>
      <c r="L4984">
        <f t="shared" si="232"/>
        <v>1947.3210000000001</v>
      </c>
      <c r="M4984">
        <v>5</v>
      </c>
      <c r="N4984" t="str">
        <f t="shared" si="233"/>
        <v>Regular</v>
      </c>
    </row>
    <row r="4985" spans="1:14" x14ac:dyDescent="0.35">
      <c r="A4985">
        <v>4984</v>
      </c>
      <c r="B4985">
        <v>47</v>
      </c>
      <c r="C4985" t="str">
        <f t="shared" si="231"/>
        <v>Adult</v>
      </c>
      <c r="D4985" t="s">
        <v>11</v>
      </c>
      <c r="E4985" t="s">
        <v>33</v>
      </c>
      <c r="F4985" t="s">
        <v>34</v>
      </c>
      <c r="G4985">
        <v>231.35</v>
      </c>
      <c r="H4985" t="s">
        <v>19</v>
      </c>
      <c r="I4985" t="s">
        <v>15</v>
      </c>
      <c r="J4985">
        <v>2.7</v>
      </c>
      <c r="K4985">
        <v>16</v>
      </c>
      <c r="L4985">
        <f t="shared" si="232"/>
        <v>194.33399999999997</v>
      </c>
      <c r="M4985">
        <v>3</v>
      </c>
      <c r="N4985" t="str">
        <f t="shared" si="233"/>
        <v>New</v>
      </c>
    </row>
    <row r="4986" spans="1:14" x14ac:dyDescent="0.35">
      <c r="A4986">
        <v>4985</v>
      </c>
      <c r="B4986">
        <v>50</v>
      </c>
      <c r="C4986" t="str">
        <f t="shared" si="231"/>
        <v>Adult</v>
      </c>
      <c r="D4986" t="s">
        <v>16</v>
      </c>
      <c r="E4986" t="s">
        <v>20</v>
      </c>
      <c r="F4986" t="s">
        <v>36</v>
      </c>
      <c r="G4986">
        <v>133.91</v>
      </c>
      <c r="H4986" t="s">
        <v>14</v>
      </c>
      <c r="I4986" t="s">
        <v>15</v>
      </c>
      <c r="J4986">
        <v>5</v>
      </c>
      <c r="K4986">
        <v>12</v>
      </c>
      <c r="L4986">
        <f t="shared" si="232"/>
        <v>117.8408</v>
      </c>
      <c r="M4986">
        <v>6</v>
      </c>
      <c r="N4986" t="str">
        <f t="shared" si="233"/>
        <v>Regular</v>
      </c>
    </row>
    <row r="4987" spans="1:14" x14ac:dyDescent="0.35">
      <c r="A4987">
        <v>4986</v>
      </c>
      <c r="B4987">
        <v>22</v>
      </c>
      <c r="C4987" t="str">
        <f t="shared" si="231"/>
        <v>Youth</v>
      </c>
      <c r="D4987" t="s">
        <v>11</v>
      </c>
      <c r="E4987" t="s">
        <v>33</v>
      </c>
      <c r="F4987" t="s">
        <v>40</v>
      </c>
      <c r="G4987">
        <v>158.22999999999999</v>
      </c>
      <c r="H4987" t="s">
        <v>31</v>
      </c>
      <c r="I4987" t="s">
        <v>15</v>
      </c>
      <c r="J4987">
        <v>3.7</v>
      </c>
      <c r="K4987">
        <v>9</v>
      </c>
      <c r="L4987">
        <f t="shared" si="232"/>
        <v>143.98929999999999</v>
      </c>
      <c r="M4987">
        <v>2</v>
      </c>
      <c r="N4987" t="str">
        <f t="shared" si="233"/>
        <v>New</v>
      </c>
    </row>
    <row r="4988" spans="1:14" x14ac:dyDescent="0.35">
      <c r="A4988">
        <v>4987</v>
      </c>
      <c r="B4988">
        <v>29</v>
      </c>
      <c r="C4988" t="str">
        <f t="shared" si="231"/>
        <v>Youth</v>
      </c>
      <c r="D4988" t="s">
        <v>16</v>
      </c>
      <c r="E4988" t="s">
        <v>17</v>
      </c>
      <c r="F4988" t="s">
        <v>48</v>
      </c>
      <c r="G4988">
        <v>62.95</v>
      </c>
      <c r="H4988" t="s">
        <v>24</v>
      </c>
      <c r="I4988" t="s">
        <v>37</v>
      </c>
      <c r="J4988">
        <v>5</v>
      </c>
      <c r="K4988">
        <v>22</v>
      </c>
      <c r="L4988">
        <f t="shared" si="232"/>
        <v>49.101000000000006</v>
      </c>
      <c r="M4988">
        <v>6</v>
      </c>
      <c r="N4988" t="str">
        <f t="shared" si="233"/>
        <v>Regular</v>
      </c>
    </row>
    <row r="4989" spans="1:14" x14ac:dyDescent="0.35">
      <c r="A4989">
        <v>4988</v>
      </c>
      <c r="B4989">
        <v>45</v>
      </c>
      <c r="C4989" t="str">
        <f t="shared" si="231"/>
        <v>Adult</v>
      </c>
      <c r="D4989" t="s">
        <v>16</v>
      </c>
      <c r="E4989" t="s">
        <v>33</v>
      </c>
      <c r="F4989" t="s">
        <v>34</v>
      </c>
      <c r="G4989">
        <v>214.69</v>
      </c>
      <c r="H4989" t="s">
        <v>31</v>
      </c>
      <c r="I4989" t="s">
        <v>15</v>
      </c>
      <c r="J4989">
        <v>4.5</v>
      </c>
      <c r="K4989">
        <v>20</v>
      </c>
      <c r="L4989">
        <f t="shared" si="232"/>
        <v>171.75200000000001</v>
      </c>
      <c r="M4989">
        <v>5</v>
      </c>
      <c r="N4989" t="str">
        <f t="shared" si="233"/>
        <v>Regular</v>
      </c>
    </row>
    <row r="4990" spans="1:14" x14ac:dyDescent="0.35">
      <c r="A4990">
        <v>4989</v>
      </c>
      <c r="B4990">
        <v>69</v>
      </c>
      <c r="C4990" t="str">
        <f t="shared" si="231"/>
        <v>Senior</v>
      </c>
      <c r="D4990" t="s">
        <v>16</v>
      </c>
      <c r="E4990" t="s">
        <v>33</v>
      </c>
      <c r="F4990" t="s">
        <v>34</v>
      </c>
      <c r="G4990">
        <v>172.99</v>
      </c>
      <c r="H4990" t="s">
        <v>19</v>
      </c>
      <c r="I4990" t="s">
        <v>15</v>
      </c>
      <c r="J4990">
        <v>3.9</v>
      </c>
      <c r="K4990">
        <v>2</v>
      </c>
      <c r="L4990">
        <f t="shared" si="232"/>
        <v>169.53020000000001</v>
      </c>
      <c r="M4990">
        <v>1</v>
      </c>
      <c r="N4990" t="str">
        <f t="shared" si="233"/>
        <v>New</v>
      </c>
    </row>
    <row r="4991" spans="1:14" x14ac:dyDescent="0.35">
      <c r="A4991">
        <v>4990</v>
      </c>
      <c r="B4991">
        <v>39</v>
      </c>
      <c r="C4991" t="str">
        <f t="shared" si="231"/>
        <v>Adult</v>
      </c>
      <c r="D4991" t="s">
        <v>11</v>
      </c>
      <c r="E4991" t="s">
        <v>12</v>
      </c>
      <c r="F4991" t="s">
        <v>50</v>
      </c>
      <c r="G4991">
        <v>147.24</v>
      </c>
      <c r="H4991" t="s">
        <v>24</v>
      </c>
      <c r="I4991" t="s">
        <v>15</v>
      </c>
      <c r="J4991">
        <v>3.7</v>
      </c>
      <c r="K4991">
        <v>4</v>
      </c>
      <c r="L4991">
        <f t="shared" si="232"/>
        <v>141.35040000000001</v>
      </c>
      <c r="M4991">
        <v>2</v>
      </c>
      <c r="N4991" t="str">
        <f t="shared" si="233"/>
        <v>New</v>
      </c>
    </row>
    <row r="4992" spans="1:14" x14ac:dyDescent="0.35">
      <c r="A4992">
        <v>4991</v>
      </c>
      <c r="B4992">
        <v>28</v>
      </c>
      <c r="C4992" t="str">
        <f t="shared" si="231"/>
        <v>Youth</v>
      </c>
      <c r="D4992" t="s">
        <v>11</v>
      </c>
      <c r="E4992" t="s">
        <v>25</v>
      </c>
      <c r="F4992" t="s">
        <v>26</v>
      </c>
      <c r="G4992">
        <v>55.74</v>
      </c>
      <c r="H4992" t="s">
        <v>24</v>
      </c>
      <c r="I4992" t="s">
        <v>15</v>
      </c>
      <c r="J4992">
        <v>2.6</v>
      </c>
      <c r="K4992">
        <v>24</v>
      </c>
      <c r="L4992">
        <f t="shared" si="232"/>
        <v>42.362400000000001</v>
      </c>
      <c r="M4992">
        <v>7</v>
      </c>
      <c r="N4992" t="str">
        <f t="shared" si="233"/>
        <v>Regular</v>
      </c>
    </row>
    <row r="4993" spans="1:14" x14ac:dyDescent="0.35">
      <c r="A4993">
        <v>4992</v>
      </c>
      <c r="B4993">
        <v>41</v>
      </c>
      <c r="C4993" t="str">
        <f t="shared" si="231"/>
        <v>Adult</v>
      </c>
      <c r="D4993" t="s">
        <v>16</v>
      </c>
      <c r="E4993" t="s">
        <v>20</v>
      </c>
      <c r="F4993" t="s">
        <v>21</v>
      </c>
      <c r="G4993">
        <v>167.22</v>
      </c>
      <c r="H4993" t="s">
        <v>31</v>
      </c>
      <c r="I4993" t="s">
        <v>15</v>
      </c>
      <c r="J4993">
        <v>3</v>
      </c>
      <c r="K4993">
        <v>11</v>
      </c>
      <c r="L4993">
        <f t="shared" si="232"/>
        <v>148.82580000000002</v>
      </c>
      <c r="M4993">
        <v>3</v>
      </c>
      <c r="N4993" t="str">
        <f t="shared" si="233"/>
        <v>New</v>
      </c>
    </row>
    <row r="4994" spans="1:14" x14ac:dyDescent="0.35">
      <c r="A4994">
        <v>4993</v>
      </c>
      <c r="B4994">
        <v>48</v>
      </c>
      <c r="C4994" t="str">
        <f t="shared" si="231"/>
        <v>Adult</v>
      </c>
      <c r="D4994" t="s">
        <v>16</v>
      </c>
      <c r="E4994" t="s">
        <v>20</v>
      </c>
      <c r="F4994" t="s">
        <v>21</v>
      </c>
      <c r="G4994">
        <v>152.94</v>
      </c>
      <c r="H4994" t="s">
        <v>24</v>
      </c>
      <c r="I4994" t="s">
        <v>15</v>
      </c>
      <c r="J4994">
        <v>4.7</v>
      </c>
      <c r="K4994">
        <v>12</v>
      </c>
      <c r="L4994">
        <f t="shared" si="232"/>
        <v>134.5872</v>
      </c>
      <c r="M4994">
        <v>6</v>
      </c>
      <c r="N4994" t="str">
        <f t="shared" si="233"/>
        <v>Regular</v>
      </c>
    </row>
    <row r="4995" spans="1:14" x14ac:dyDescent="0.35">
      <c r="A4995">
        <v>4994</v>
      </c>
      <c r="B4995">
        <v>69</v>
      </c>
      <c r="C4995" t="str">
        <f t="shared" ref="C4995:C5001" si="234">IF(B4995&lt;=30,"Youth",IF(B4995&lt;=45,"Adult",IF(B4995&lt;=60,"Adult","Senior")))</f>
        <v>Senior</v>
      </c>
      <c r="D4995" t="s">
        <v>11</v>
      </c>
      <c r="E4995" t="s">
        <v>41</v>
      </c>
      <c r="F4995" t="s">
        <v>42</v>
      </c>
      <c r="G4995">
        <v>63.26</v>
      </c>
      <c r="H4995" t="s">
        <v>14</v>
      </c>
      <c r="I4995" t="s">
        <v>37</v>
      </c>
      <c r="J4995">
        <v>3.2</v>
      </c>
      <c r="K4995">
        <v>28</v>
      </c>
      <c r="L4995">
        <f t="shared" ref="L4995:L5001" si="235">G4995*(1-K4995/100)</f>
        <v>45.547199999999997</v>
      </c>
      <c r="M4995">
        <v>9</v>
      </c>
      <c r="N4995" t="str">
        <f t="shared" ref="N4995:N5001" si="236">IF(M4995&lt;=3,"New",IF(M4995&lt;=7,"Regular","Loyal"))</f>
        <v>Loyal</v>
      </c>
    </row>
    <row r="4996" spans="1:14" x14ac:dyDescent="0.35">
      <c r="A4996">
        <v>4995</v>
      </c>
      <c r="B4996">
        <v>20</v>
      </c>
      <c r="C4996" t="str">
        <f t="shared" si="234"/>
        <v>Youth</v>
      </c>
      <c r="D4996" t="s">
        <v>16</v>
      </c>
      <c r="E4996" t="s">
        <v>20</v>
      </c>
      <c r="F4996" t="s">
        <v>39</v>
      </c>
      <c r="G4996">
        <v>124.24</v>
      </c>
      <c r="H4996" t="s">
        <v>19</v>
      </c>
      <c r="I4996" t="s">
        <v>15</v>
      </c>
      <c r="J4996">
        <v>4.4000000000000004</v>
      </c>
      <c r="K4996">
        <v>14</v>
      </c>
      <c r="L4996">
        <f t="shared" si="235"/>
        <v>106.84639999999999</v>
      </c>
      <c r="M4996">
        <v>2</v>
      </c>
      <c r="N4996" t="str">
        <f t="shared" si="236"/>
        <v>New</v>
      </c>
    </row>
    <row r="4997" spans="1:14" x14ac:dyDescent="0.35">
      <c r="A4997">
        <v>4996</v>
      </c>
      <c r="B4997">
        <v>44</v>
      </c>
      <c r="C4997" t="str">
        <f t="shared" si="234"/>
        <v>Adult</v>
      </c>
      <c r="D4997" t="s">
        <v>11</v>
      </c>
      <c r="E4997" t="s">
        <v>12</v>
      </c>
      <c r="F4997" t="s">
        <v>50</v>
      </c>
      <c r="G4997">
        <v>172.64</v>
      </c>
      <c r="H4997" t="s">
        <v>24</v>
      </c>
      <c r="I4997" t="s">
        <v>15</v>
      </c>
      <c r="J4997">
        <v>3.6</v>
      </c>
      <c r="K4997">
        <v>20</v>
      </c>
      <c r="L4997">
        <f t="shared" si="235"/>
        <v>138.11199999999999</v>
      </c>
      <c r="M4997">
        <v>5</v>
      </c>
      <c r="N4997" t="str">
        <f t="shared" si="236"/>
        <v>Regular</v>
      </c>
    </row>
    <row r="4998" spans="1:14" x14ac:dyDescent="0.35">
      <c r="A4998">
        <v>4997</v>
      </c>
      <c r="B4998">
        <v>59</v>
      </c>
      <c r="C4998" t="str">
        <f t="shared" si="234"/>
        <v>Adult</v>
      </c>
      <c r="D4998" t="s">
        <v>16</v>
      </c>
      <c r="E4998" t="s">
        <v>25</v>
      </c>
      <c r="F4998" t="s">
        <v>57</v>
      </c>
      <c r="G4998">
        <v>54</v>
      </c>
      <c r="H4998" t="s">
        <v>19</v>
      </c>
      <c r="I4998" t="s">
        <v>37</v>
      </c>
      <c r="J4998">
        <v>3.8</v>
      </c>
      <c r="K4998">
        <v>14</v>
      </c>
      <c r="L4998">
        <f t="shared" si="235"/>
        <v>46.44</v>
      </c>
      <c r="M4998">
        <v>2</v>
      </c>
      <c r="N4998" t="str">
        <f t="shared" si="236"/>
        <v>New</v>
      </c>
    </row>
    <row r="4999" spans="1:14" x14ac:dyDescent="0.35">
      <c r="A4999">
        <v>4998</v>
      </c>
      <c r="B4999">
        <v>41</v>
      </c>
      <c r="C4999" t="str">
        <f t="shared" si="234"/>
        <v>Adult</v>
      </c>
      <c r="D4999" t="s">
        <v>11</v>
      </c>
      <c r="E4999" t="s">
        <v>12</v>
      </c>
      <c r="F4999" t="s">
        <v>13</v>
      </c>
      <c r="G4999">
        <v>159.33000000000001</v>
      </c>
      <c r="H4999" t="s">
        <v>14</v>
      </c>
      <c r="I4999" t="s">
        <v>15</v>
      </c>
      <c r="J4999">
        <v>4.3</v>
      </c>
      <c r="K4999">
        <v>26</v>
      </c>
      <c r="L4999">
        <f t="shared" si="235"/>
        <v>117.9042</v>
      </c>
      <c r="M4999">
        <v>8</v>
      </c>
      <c r="N4999" t="str">
        <f t="shared" si="236"/>
        <v>Loyal</v>
      </c>
    </row>
    <row r="5000" spans="1:14" x14ac:dyDescent="0.35">
      <c r="A5000">
        <v>4999</v>
      </c>
      <c r="B5000">
        <v>63</v>
      </c>
      <c r="C5000" t="str">
        <f t="shared" si="234"/>
        <v>Senior</v>
      </c>
      <c r="D5000" t="s">
        <v>11</v>
      </c>
      <c r="E5000" t="s">
        <v>41</v>
      </c>
      <c r="F5000" t="s">
        <v>44</v>
      </c>
      <c r="G5000">
        <v>173.82</v>
      </c>
      <c r="H5000" t="s">
        <v>14</v>
      </c>
      <c r="I5000" t="s">
        <v>15</v>
      </c>
      <c r="J5000">
        <v>4.8</v>
      </c>
      <c r="K5000">
        <v>26</v>
      </c>
      <c r="L5000">
        <f t="shared" si="235"/>
        <v>128.6268</v>
      </c>
      <c r="M5000">
        <v>8</v>
      </c>
      <c r="N5000" t="str">
        <f t="shared" si="236"/>
        <v>Loyal</v>
      </c>
    </row>
    <row r="5001" spans="1:14" x14ac:dyDescent="0.35">
      <c r="A5001">
        <v>5000</v>
      </c>
      <c r="B5001">
        <v>41</v>
      </c>
      <c r="C5001" t="str">
        <f t="shared" si="234"/>
        <v>Adult</v>
      </c>
      <c r="D5001" t="s">
        <v>11</v>
      </c>
      <c r="E5001" t="s">
        <v>33</v>
      </c>
      <c r="F5001" t="s">
        <v>38</v>
      </c>
      <c r="G5001">
        <v>55.39</v>
      </c>
      <c r="H5001" t="s">
        <v>14</v>
      </c>
      <c r="I5001" t="s">
        <v>37</v>
      </c>
      <c r="J5001">
        <v>4.0999999999999996</v>
      </c>
      <c r="K5001">
        <v>19</v>
      </c>
      <c r="L5001">
        <f t="shared" si="235"/>
        <v>44.865900000000003</v>
      </c>
      <c r="M5001">
        <v>7</v>
      </c>
      <c r="N5001" t="str">
        <f t="shared" si="236"/>
        <v>Regular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3"/>
  <sheetViews>
    <sheetView workbookViewId="0">
      <selection activeCell="D19" sqref="D19"/>
    </sheetView>
  </sheetViews>
  <sheetFormatPr defaultRowHeight="14.5" x14ac:dyDescent="0.35"/>
  <cols>
    <col min="1" max="1" width="15.6328125" customWidth="1"/>
    <col min="2" max="2" width="12.453125" bestFit="1" customWidth="1"/>
    <col min="3" max="3" width="15.26953125" bestFit="1" customWidth="1"/>
    <col min="4" max="4" width="18.90625" bestFit="1" customWidth="1"/>
    <col min="5" max="5" width="17.6328125" customWidth="1"/>
    <col min="6" max="18" width="4.81640625" customWidth="1"/>
    <col min="19" max="19" width="3.81640625" customWidth="1"/>
    <col min="20" max="26" width="4.81640625" customWidth="1"/>
    <col min="27" max="38" width="5.81640625" customWidth="1"/>
    <col min="39" max="39" width="4.81640625" customWidth="1"/>
    <col min="40" max="59" width="5.81640625" customWidth="1"/>
    <col min="60" max="60" width="4.81640625" customWidth="1"/>
    <col min="61" max="95" width="5.81640625" customWidth="1"/>
    <col min="96" max="96" width="4.81640625" customWidth="1"/>
    <col min="97" max="106" width="5.81640625" customWidth="1"/>
    <col min="107" max="107" width="2.81640625" customWidth="1"/>
    <col min="108" max="111" width="5.81640625" customWidth="1"/>
    <col min="112" max="112" width="4.81640625" customWidth="1"/>
    <col min="113" max="118" width="5.81640625" customWidth="1"/>
    <col min="119" max="119" width="2.81640625" customWidth="1"/>
    <col min="120" max="124" width="5.81640625" customWidth="1"/>
    <col min="125" max="125" width="4.81640625" customWidth="1"/>
    <col min="126" max="140" width="5.81640625" customWidth="1"/>
    <col min="141" max="141" width="4.81640625" customWidth="1"/>
    <col min="142" max="151" width="5.81640625" customWidth="1"/>
    <col min="152" max="152" width="4.81640625" customWidth="1"/>
    <col min="153" max="163" width="5.81640625" customWidth="1"/>
    <col min="164" max="164" width="4.81640625" customWidth="1"/>
    <col min="165" max="168" width="5.81640625" customWidth="1"/>
    <col min="169" max="169" width="4.81640625" customWidth="1"/>
    <col min="170" max="192" width="5.81640625" customWidth="1"/>
    <col min="193" max="193" width="4.81640625" customWidth="1"/>
    <col min="194" max="198" width="5.81640625" customWidth="1"/>
    <col min="199" max="199" width="4.81640625" customWidth="1"/>
    <col min="200" max="204" width="5.81640625" customWidth="1"/>
    <col min="205" max="205" width="4.81640625" customWidth="1"/>
    <col min="206" max="218" width="5.81640625" customWidth="1"/>
    <col min="219" max="219" width="4.81640625" customWidth="1"/>
    <col min="220" max="239" width="5.81640625" customWidth="1"/>
    <col min="240" max="240" width="4.81640625" customWidth="1"/>
    <col min="241" max="241" width="5.81640625" customWidth="1"/>
    <col min="242" max="243" width="4.81640625" customWidth="1"/>
    <col min="244" max="254" width="5.81640625" customWidth="1"/>
    <col min="255" max="256" width="4.81640625" customWidth="1"/>
    <col min="257" max="257" width="5.81640625" customWidth="1"/>
    <col min="258" max="258" width="4.81640625" customWidth="1"/>
    <col min="259" max="264" width="5.81640625" customWidth="1"/>
    <col min="265" max="265" width="4.81640625" customWidth="1"/>
    <col min="266" max="279" width="5.81640625" customWidth="1"/>
    <col min="280" max="280" width="4.81640625" customWidth="1"/>
    <col min="281" max="291" width="5.81640625" customWidth="1"/>
    <col min="292" max="292" width="4.81640625" customWidth="1"/>
    <col min="293" max="324" width="5.81640625" customWidth="1"/>
    <col min="325" max="325" width="4.81640625" customWidth="1"/>
    <col min="326" max="334" width="5.81640625" customWidth="1"/>
    <col min="335" max="335" width="4.81640625" customWidth="1"/>
    <col min="336" max="338" width="5.81640625" customWidth="1"/>
    <col min="339" max="339" width="4.81640625" customWidth="1"/>
    <col min="340" max="341" width="5.81640625" customWidth="1"/>
    <col min="342" max="342" width="4.81640625" customWidth="1"/>
    <col min="343" max="345" width="5.81640625" customWidth="1"/>
    <col min="346" max="346" width="4.81640625" customWidth="1"/>
    <col min="347" max="347" width="5.81640625" customWidth="1"/>
    <col min="348" max="348" width="4.81640625" customWidth="1"/>
    <col min="349" max="361" width="5.81640625" customWidth="1"/>
    <col min="362" max="362" width="4.81640625" customWidth="1"/>
    <col min="363" max="371" width="5.81640625" customWidth="1"/>
    <col min="372" max="372" width="4.81640625" customWidth="1"/>
    <col min="373" max="375" width="5.81640625" customWidth="1"/>
    <col min="376" max="376" width="4.81640625" customWidth="1"/>
    <col min="377" max="383" width="5.81640625" customWidth="1"/>
    <col min="384" max="384" width="4.81640625" customWidth="1"/>
    <col min="385" max="400" width="5.81640625" customWidth="1"/>
    <col min="401" max="401" width="4.81640625" customWidth="1"/>
    <col min="402" max="409" width="5.81640625" customWidth="1"/>
    <col min="410" max="410" width="4.81640625" customWidth="1"/>
    <col min="411" max="415" width="5.81640625" customWidth="1"/>
    <col min="416" max="416" width="4.81640625" customWidth="1"/>
    <col min="417" max="424" width="5.81640625" customWidth="1"/>
    <col min="425" max="425" width="4.81640625" customWidth="1"/>
    <col min="426" max="427" width="5.81640625" customWidth="1"/>
    <col min="428" max="428" width="4.81640625" customWidth="1"/>
    <col min="429" max="430" width="5.81640625" customWidth="1"/>
    <col min="431" max="431" width="4.81640625" customWidth="1"/>
    <col min="432" max="441" width="5.81640625" customWidth="1"/>
    <col min="442" max="442" width="4.81640625" customWidth="1"/>
    <col min="443" max="443" width="5.81640625" customWidth="1"/>
    <col min="444" max="444" width="2.81640625" customWidth="1"/>
    <col min="445" max="445" width="5.81640625" customWidth="1"/>
    <col min="446" max="446" width="6.81640625" customWidth="1"/>
    <col min="447" max="450" width="5.81640625" customWidth="1"/>
    <col min="451" max="451" width="4.81640625" customWidth="1"/>
    <col min="452" max="472" width="5.81640625" customWidth="1"/>
    <col min="473" max="473" width="2.81640625" customWidth="1"/>
    <col min="474" max="475" width="5.81640625" customWidth="1"/>
    <col min="476" max="476" width="4.81640625" customWidth="1"/>
    <col min="477" max="496" width="5.81640625" customWidth="1"/>
    <col min="497" max="497" width="4.81640625" customWidth="1"/>
    <col min="498" max="501" width="5.81640625" customWidth="1"/>
    <col min="502" max="502" width="2.81640625" customWidth="1"/>
    <col min="503" max="504" width="5.81640625" customWidth="1"/>
    <col min="505" max="506" width="4.81640625" customWidth="1"/>
    <col min="507" max="511" width="5.81640625" customWidth="1"/>
    <col min="512" max="512" width="4.81640625" customWidth="1"/>
    <col min="513" max="528" width="5.81640625" customWidth="1"/>
    <col min="529" max="529" width="4.81640625" customWidth="1"/>
    <col min="530" max="549" width="5.81640625" customWidth="1"/>
    <col min="550" max="550" width="4.81640625" customWidth="1"/>
    <col min="551" max="558" width="5.81640625" customWidth="1"/>
    <col min="559" max="559" width="4.81640625" customWidth="1"/>
    <col min="560" max="571" width="5.81640625" customWidth="1"/>
    <col min="572" max="572" width="4.81640625" customWidth="1"/>
    <col min="573" max="583" width="5.81640625" customWidth="1"/>
    <col min="584" max="584" width="2.81640625" customWidth="1"/>
    <col min="585" max="604" width="5.81640625" customWidth="1"/>
    <col min="605" max="605" width="4.81640625" customWidth="1"/>
    <col min="606" max="627" width="5.81640625" customWidth="1"/>
    <col min="628" max="628" width="4.81640625" customWidth="1"/>
    <col min="629" max="642" width="5.81640625" customWidth="1"/>
    <col min="643" max="643" width="4.81640625" customWidth="1"/>
    <col min="644" max="656" width="5.81640625" customWidth="1"/>
    <col min="657" max="657" width="4.81640625" customWidth="1"/>
    <col min="658" max="660" width="5.81640625" customWidth="1"/>
    <col min="661" max="661" width="4.81640625" customWidth="1"/>
    <col min="662" max="665" width="5.81640625" customWidth="1"/>
    <col min="666" max="666" width="4.81640625" customWidth="1"/>
    <col min="667" max="668" width="5.81640625" customWidth="1"/>
    <col min="669" max="669" width="6.81640625" customWidth="1"/>
    <col min="670" max="677" width="5.81640625" customWidth="1"/>
    <col min="678" max="678" width="4.81640625" customWidth="1"/>
    <col min="679" max="680" width="5.81640625" customWidth="1"/>
    <col min="681" max="681" width="4.81640625" customWidth="1"/>
    <col min="682" max="696" width="5.81640625" customWidth="1"/>
    <col min="697" max="697" width="4.81640625" customWidth="1"/>
    <col min="698" max="699" width="5.81640625" customWidth="1"/>
    <col min="700" max="700" width="6.81640625" customWidth="1"/>
    <col min="701" max="702" width="5.81640625" customWidth="1"/>
    <col min="703" max="704" width="6.81640625" customWidth="1"/>
    <col min="705" max="708" width="5.81640625" customWidth="1"/>
    <col min="709" max="709" width="6.81640625" customWidth="1"/>
    <col min="710" max="712" width="5.81640625" customWidth="1"/>
    <col min="713" max="713" width="6.81640625" customWidth="1"/>
    <col min="714" max="714" width="5.81640625" customWidth="1"/>
    <col min="715" max="715" width="6.81640625" customWidth="1"/>
    <col min="716" max="717" width="5.81640625" customWidth="1"/>
    <col min="718" max="718" width="6.81640625" customWidth="1"/>
    <col min="719" max="720" width="5.81640625" customWidth="1"/>
    <col min="721" max="721" width="2.81640625" customWidth="1"/>
    <col min="722" max="728" width="5.81640625" customWidth="1"/>
    <col min="729" max="729" width="4.81640625" customWidth="1"/>
    <col min="730" max="735" width="5.81640625" customWidth="1"/>
    <col min="736" max="736" width="6.81640625" customWidth="1"/>
    <col min="737" max="740" width="5.81640625" customWidth="1"/>
    <col min="741" max="741" width="4.81640625" customWidth="1"/>
    <col min="742" max="742" width="6.81640625" customWidth="1"/>
    <col min="743" max="745" width="5.81640625" customWidth="1"/>
    <col min="746" max="746" width="4.81640625" customWidth="1"/>
    <col min="747" max="749" width="5.81640625" customWidth="1"/>
    <col min="750" max="750" width="6.81640625" customWidth="1"/>
    <col min="751" max="751" width="5.81640625" customWidth="1"/>
    <col min="752" max="752" width="6.81640625" customWidth="1"/>
    <col min="753" max="754" width="5.81640625" customWidth="1"/>
    <col min="755" max="755" width="4.81640625" customWidth="1"/>
    <col min="756" max="765" width="5.81640625" customWidth="1"/>
    <col min="766" max="766" width="6.81640625" customWidth="1"/>
    <col min="767" max="767" width="4.81640625" customWidth="1"/>
    <col min="768" max="770" width="5.81640625" customWidth="1"/>
    <col min="771" max="771" width="4.81640625" customWidth="1"/>
    <col min="772" max="775" width="5.81640625" customWidth="1"/>
    <col min="776" max="776" width="6.81640625" customWidth="1"/>
    <col min="777" max="783" width="5.81640625" customWidth="1"/>
    <col min="784" max="785" width="6.81640625" customWidth="1"/>
    <col min="786" max="789" width="5.81640625" customWidth="1"/>
    <col min="790" max="790" width="6.81640625" customWidth="1"/>
    <col min="791" max="791" width="4.81640625" customWidth="1"/>
    <col min="792" max="815" width="5.81640625" customWidth="1"/>
    <col min="816" max="816" width="4.81640625" customWidth="1"/>
    <col min="817" max="820" width="5.81640625" customWidth="1"/>
    <col min="821" max="821" width="4.81640625" customWidth="1"/>
    <col min="822" max="822" width="6.81640625" customWidth="1"/>
    <col min="823" max="829" width="5.81640625" customWidth="1"/>
    <col min="830" max="830" width="6.81640625" customWidth="1"/>
    <col min="831" max="832" width="5.81640625" customWidth="1"/>
    <col min="833" max="833" width="6.81640625" customWidth="1"/>
    <col min="834" max="842" width="5.81640625" customWidth="1"/>
    <col min="843" max="843" width="4.81640625" customWidth="1"/>
    <col min="844" max="852" width="5.81640625" customWidth="1"/>
    <col min="853" max="853" width="4.81640625" customWidth="1"/>
    <col min="854" max="857" width="5.81640625" customWidth="1"/>
    <col min="858" max="858" width="4.81640625" customWidth="1"/>
    <col min="859" max="859" width="5.81640625" customWidth="1"/>
    <col min="860" max="860" width="6.81640625" customWidth="1"/>
    <col min="861" max="862" width="5.81640625" customWidth="1"/>
    <col min="863" max="863" width="4.81640625" customWidth="1"/>
    <col min="864" max="865" width="5.81640625" customWidth="1"/>
    <col min="866" max="866" width="4.81640625" customWidth="1"/>
    <col min="867" max="867" width="6.81640625" customWidth="1"/>
    <col min="868" max="888" width="5.81640625" customWidth="1"/>
    <col min="889" max="889" width="2.81640625" customWidth="1"/>
    <col min="890" max="895" width="5.81640625" customWidth="1"/>
    <col min="896" max="896" width="4.81640625" customWidth="1"/>
    <col min="897" max="899" width="5.81640625" customWidth="1"/>
    <col min="900" max="900" width="4.81640625" customWidth="1"/>
    <col min="901" max="908" width="5.81640625" customWidth="1"/>
    <col min="909" max="909" width="6.81640625" customWidth="1"/>
    <col min="910" max="910" width="5.81640625" customWidth="1"/>
    <col min="911" max="911" width="4.81640625" customWidth="1"/>
    <col min="912" max="917" width="5.81640625" customWidth="1"/>
    <col min="918" max="918" width="4.81640625" customWidth="1"/>
    <col min="919" max="929" width="5.81640625" customWidth="1"/>
    <col min="930" max="930" width="4.81640625" customWidth="1"/>
    <col min="931" max="933" width="5.81640625" customWidth="1"/>
    <col min="934" max="934" width="3.81640625" customWidth="1"/>
    <col min="935" max="939" width="5.81640625" customWidth="1"/>
    <col min="940" max="940" width="4.81640625" customWidth="1"/>
    <col min="941" max="946" width="5.81640625" customWidth="1"/>
    <col min="947" max="948" width="4.81640625" customWidth="1"/>
    <col min="949" max="957" width="5.81640625" customWidth="1"/>
    <col min="958" max="958" width="4.81640625" customWidth="1"/>
    <col min="959" max="960" width="5.81640625" customWidth="1"/>
    <col min="961" max="961" width="4.81640625" customWidth="1"/>
    <col min="962" max="962" width="5.81640625" customWidth="1"/>
    <col min="963" max="963" width="6.81640625" customWidth="1"/>
    <col min="964" max="965" width="5.81640625" customWidth="1"/>
    <col min="966" max="966" width="4.81640625" customWidth="1"/>
    <col min="967" max="967" width="5.81640625" customWidth="1"/>
    <col min="968" max="968" width="6.81640625" customWidth="1"/>
    <col min="969" max="969" width="4.81640625" customWidth="1"/>
    <col min="970" max="970" width="5.81640625" customWidth="1"/>
    <col min="971" max="971" width="6.81640625" customWidth="1"/>
    <col min="972" max="973" width="5.81640625" customWidth="1"/>
    <col min="974" max="974" width="6.81640625" customWidth="1"/>
    <col min="975" max="984" width="5.81640625" customWidth="1"/>
    <col min="985" max="985" width="6.81640625" customWidth="1"/>
    <col min="986" max="991" width="5.81640625" customWidth="1"/>
    <col min="992" max="992" width="6.81640625" customWidth="1"/>
    <col min="993" max="999" width="5.81640625" customWidth="1"/>
    <col min="1000" max="1000" width="6.81640625" customWidth="1"/>
    <col min="1001" max="1001" width="4.81640625" customWidth="1"/>
    <col min="1002" max="1009" width="5.81640625" customWidth="1"/>
    <col min="1010" max="1010" width="6.81640625" customWidth="1"/>
    <col min="1011" max="1013" width="5.81640625" customWidth="1"/>
    <col min="1014" max="1014" width="4.81640625" customWidth="1"/>
    <col min="1015" max="1022" width="5.81640625" customWidth="1"/>
    <col min="1023" max="1023" width="4.81640625" customWidth="1"/>
    <col min="1024" max="1025" width="5.81640625" customWidth="1"/>
    <col min="1026" max="1026" width="4.81640625" customWidth="1"/>
    <col min="1027" max="1040" width="5.81640625" customWidth="1"/>
    <col min="1041" max="1041" width="4.81640625" customWidth="1"/>
    <col min="1042" max="1046" width="5.81640625" customWidth="1"/>
    <col min="1047" max="1047" width="4.81640625" customWidth="1"/>
    <col min="1048" max="1056" width="5.81640625" customWidth="1"/>
    <col min="1057" max="1057" width="4.81640625" customWidth="1"/>
    <col min="1058" max="1060" width="5.81640625" customWidth="1"/>
    <col min="1061" max="1061" width="2.81640625" customWidth="1"/>
    <col min="1062" max="1067" width="5.81640625" customWidth="1"/>
    <col min="1068" max="1068" width="4.81640625" customWidth="1"/>
    <col min="1069" max="1070" width="5.81640625" customWidth="1"/>
    <col min="1071" max="1071" width="4.81640625" customWidth="1"/>
    <col min="1072" max="1073" width="5.81640625" customWidth="1"/>
    <col min="1074" max="1074" width="4.81640625" customWidth="1"/>
    <col min="1075" max="1076" width="5.81640625" customWidth="1"/>
    <col min="1077" max="1078" width="6.81640625" customWidth="1"/>
    <col min="1079" max="1093" width="5.81640625" customWidth="1"/>
    <col min="1094" max="1094" width="4.81640625" customWidth="1"/>
    <col min="1095" max="1096" width="5.81640625" customWidth="1"/>
    <col min="1097" max="1097" width="6.81640625" customWidth="1"/>
    <col min="1098" max="1113" width="5.81640625" customWidth="1"/>
    <col min="1114" max="1114" width="4.81640625" customWidth="1"/>
    <col min="1115" max="1128" width="5.81640625" customWidth="1"/>
    <col min="1129" max="1129" width="6.81640625" customWidth="1"/>
    <col min="1130" max="1136" width="5.81640625" customWidth="1"/>
    <col min="1137" max="1137" width="6.81640625" customWidth="1"/>
    <col min="1138" max="1138" width="5.81640625" customWidth="1"/>
    <col min="1139" max="1139" width="4.81640625" customWidth="1"/>
    <col min="1140" max="1140" width="5.81640625" customWidth="1"/>
    <col min="1141" max="1141" width="6.81640625" customWidth="1"/>
    <col min="1142" max="1146" width="5.81640625" customWidth="1"/>
    <col min="1147" max="1147" width="6.81640625" customWidth="1"/>
    <col min="1148" max="1148" width="5.81640625" customWidth="1"/>
    <col min="1149" max="1149" width="6.81640625" customWidth="1"/>
    <col min="1150" max="1150" width="5.81640625" customWidth="1"/>
    <col min="1151" max="1151" width="4.81640625" customWidth="1"/>
    <col min="1152" max="1154" width="5.81640625" customWidth="1"/>
    <col min="1155" max="1155" width="6.81640625" customWidth="1"/>
    <col min="1156" max="1160" width="5.81640625" customWidth="1"/>
    <col min="1161" max="1161" width="6.81640625" customWidth="1"/>
    <col min="1162" max="1163" width="5.81640625" customWidth="1"/>
    <col min="1164" max="1164" width="6.81640625" customWidth="1"/>
    <col min="1165" max="1168" width="5.81640625" customWidth="1"/>
    <col min="1169" max="1169" width="4.81640625" customWidth="1"/>
    <col min="1170" max="1176" width="5.81640625" customWidth="1"/>
    <col min="1177" max="1177" width="4.81640625" customWidth="1"/>
    <col min="1178" max="1180" width="5.81640625" customWidth="1"/>
    <col min="1181" max="1181" width="6.81640625" customWidth="1"/>
    <col min="1182" max="1186" width="5.81640625" customWidth="1"/>
    <col min="1187" max="1187" width="4.81640625" customWidth="1"/>
    <col min="1188" max="1190" width="5.81640625" customWidth="1"/>
    <col min="1191" max="1191" width="6.81640625" customWidth="1"/>
    <col min="1192" max="1192" width="4.81640625" customWidth="1"/>
    <col min="1193" max="1199" width="5.81640625" customWidth="1"/>
    <col min="1200" max="1200" width="6.81640625" customWidth="1"/>
    <col min="1201" max="1217" width="5.81640625" customWidth="1"/>
    <col min="1218" max="1218" width="6.81640625" customWidth="1"/>
    <col min="1219" max="1220" width="5.81640625" customWidth="1"/>
    <col min="1221" max="1221" width="6.81640625" customWidth="1"/>
    <col min="1222" max="1231" width="5.81640625" customWidth="1"/>
    <col min="1232" max="1232" width="4.81640625" customWidth="1"/>
    <col min="1233" max="1233" width="6.81640625" customWidth="1"/>
    <col min="1234" max="1240" width="5.81640625" customWidth="1"/>
    <col min="1241" max="1241" width="6.81640625" customWidth="1"/>
    <col min="1242" max="1245" width="5.81640625" customWidth="1"/>
    <col min="1246" max="1246" width="4.81640625" customWidth="1"/>
    <col min="1247" max="1247" width="6.81640625" customWidth="1"/>
    <col min="1248" max="1253" width="5.81640625" customWidth="1"/>
    <col min="1254" max="1254" width="6.81640625" customWidth="1"/>
    <col min="1255" max="1255" width="5.81640625" customWidth="1"/>
    <col min="1256" max="1256" width="4.81640625" customWidth="1"/>
    <col min="1257" max="1276" width="5.81640625" customWidth="1"/>
    <col min="1277" max="1277" width="6.81640625" customWidth="1"/>
    <col min="1278" max="1282" width="5.81640625" customWidth="1"/>
    <col min="1283" max="1283" width="6.81640625" customWidth="1"/>
    <col min="1284" max="1284" width="5.81640625" customWidth="1"/>
    <col min="1285" max="1285" width="4.81640625" customWidth="1"/>
    <col min="1286" max="1286" width="5.81640625" customWidth="1"/>
    <col min="1287" max="1287" width="6.81640625" customWidth="1"/>
    <col min="1288" max="1293" width="5.81640625" customWidth="1"/>
    <col min="1294" max="1294" width="4.81640625" customWidth="1"/>
    <col min="1295" max="1297" width="5.81640625" customWidth="1"/>
    <col min="1298" max="1298" width="6.81640625" customWidth="1"/>
    <col min="1299" max="1306" width="5.81640625" customWidth="1"/>
    <col min="1307" max="1308" width="4.81640625" customWidth="1"/>
    <col min="1309" max="1313" width="5.81640625" customWidth="1"/>
    <col min="1314" max="1314" width="6.81640625" customWidth="1"/>
    <col min="1315" max="1318" width="5.81640625" customWidth="1"/>
    <col min="1319" max="1319" width="4.81640625" customWidth="1"/>
    <col min="1320" max="1321" width="5.81640625" customWidth="1"/>
    <col min="1322" max="1322" width="6.81640625" customWidth="1"/>
    <col min="1323" max="1324" width="5.81640625" customWidth="1"/>
    <col min="1325" max="1326" width="4.81640625" customWidth="1"/>
    <col min="1327" max="1336" width="5.81640625" customWidth="1"/>
    <col min="1337" max="1337" width="4.81640625" customWidth="1"/>
    <col min="1338" max="1338" width="5.81640625" customWidth="1"/>
    <col min="1339" max="1339" width="6.81640625" customWidth="1"/>
    <col min="1340" max="1340" width="4.81640625" customWidth="1"/>
    <col min="1341" max="1343" width="5.81640625" customWidth="1"/>
    <col min="1344" max="1344" width="6.81640625" customWidth="1"/>
    <col min="1345" max="1347" width="5.81640625" customWidth="1"/>
    <col min="1348" max="1348" width="4.81640625" customWidth="1"/>
    <col min="1349" max="1353" width="5.81640625" customWidth="1"/>
    <col min="1354" max="1354" width="6.81640625" customWidth="1"/>
    <col min="1355" max="1359" width="5.81640625" customWidth="1"/>
    <col min="1360" max="1360" width="6.81640625" customWidth="1"/>
    <col min="1361" max="1361" width="4.81640625" customWidth="1"/>
    <col min="1362" max="1376" width="5.81640625" customWidth="1"/>
    <col min="1377" max="1378" width="4.81640625" customWidth="1"/>
    <col min="1379" max="1381" width="5.81640625" customWidth="1"/>
    <col min="1382" max="1382" width="4.81640625" customWidth="1"/>
    <col min="1383" max="1385" width="5.81640625" customWidth="1"/>
    <col min="1386" max="1386" width="6.81640625" customWidth="1"/>
    <col min="1387" max="1395" width="5.81640625" customWidth="1"/>
    <col min="1396" max="1396" width="6.81640625" customWidth="1"/>
    <col min="1397" max="1400" width="5.81640625" customWidth="1"/>
    <col min="1401" max="1401" width="4.81640625" customWidth="1"/>
    <col min="1402" max="1407" width="5.81640625" customWidth="1"/>
    <col min="1408" max="1408" width="6.81640625" customWidth="1"/>
    <col min="1409" max="1415" width="5.81640625" customWidth="1"/>
    <col min="1416" max="1416" width="4.81640625" customWidth="1"/>
    <col min="1417" max="1425" width="5.81640625" customWidth="1"/>
    <col min="1426" max="1426" width="6.81640625" customWidth="1"/>
    <col min="1427" max="1434" width="5.81640625" customWidth="1"/>
    <col min="1435" max="1435" width="4.81640625" customWidth="1"/>
    <col min="1436" max="1437" width="5.81640625" customWidth="1"/>
    <col min="1438" max="1438" width="4.81640625" customWidth="1"/>
    <col min="1439" max="1441" width="5.81640625" customWidth="1"/>
    <col min="1442" max="1442" width="6.81640625" customWidth="1"/>
    <col min="1443" max="1449" width="5.81640625" customWidth="1"/>
    <col min="1450" max="1450" width="6.81640625" customWidth="1"/>
    <col min="1451" max="1453" width="5.81640625" customWidth="1"/>
    <col min="1454" max="1454" width="4.81640625" customWidth="1"/>
    <col min="1455" max="1460" width="5.81640625" customWidth="1"/>
    <col min="1461" max="1461" width="2.81640625" customWidth="1"/>
    <col min="1462" max="1462" width="5.81640625" customWidth="1"/>
    <col min="1463" max="1463" width="6.81640625" customWidth="1"/>
    <col min="1464" max="1464" width="5.81640625" customWidth="1"/>
    <col min="1465" max="1465" width="6.81640625" customWidth="1"/>
    <col min="1466" max="1467" width="5.81640625" customWidth="1"/>
    <col min="1468" max="1468" width="4.81640625" customWidth="1"/>
    <col min="1469" max="1479" width="5.81640625" customWidth="1"/>
    <col min="1480" max="1480" width="4.81640625" customWidth="1"/>
    <col min="1481" max="1481" width="6.81640625" customWidth="1"/>
    <col min="1482" max="1483" width="5.81640625" customWidth="1"/>
    <col min="1484" max="1484" width="4.81640625" customWidth="1"/>
    <col min="1485" max="1500" width="5.81640625" customWidth="1"/>
    <col min="1501" max="1501" width="4.81640625" customWidth="1"/>
    <col min="1502" max="1502" width="2.81640625" customWidth="1"/>
    <col min="1503" max="1510" width="5.81640625" customWidth="1"/>
    <col min="1511" max="1511" width="4.81640625" customWidth="1"/>
    <col min="1512" max="1513" width="5.81640625" customWidth="1"/>
    <col min="1514" max="1514" width="4.81640625" customWidth="1"/>
    <col min="1515" max="1524" width="5.81640625" customWidth="1"/>
    <col min="1525" max="1525" width="4.81640625" customWidth="1"/>
    <col min="1526" max="1527" width="5.81640625" customWidth="1"/>
    <col min="1528" max="1528" width="6.81640625" customWidth="1"/>
    <col min="1529" max="1529" width="4.81640625" customWidth="1"/>
    <col min="1530" max="1530" width="5.81640625" customWidth="1"/>
    <col min="1531" max="1531" width="6.81640625" customWidth="1"/>
    <col min="1532" max="1532" width="5.81640625" customWidth="1"/>
    <col min="1533" max="1533" width="4.81640625" customWidth="1"/>
    <col min="1534" max="1535" width="5.81640625" customWidth="1"/>
    <col min="1536" max="1537" width="6.81640625" customWidth="1"/>
    <col min="1538" max="1539" width="5.81640625" customWidth="1"/>
    <col min="1540" max="1540" width="4.81640625" customWidth="1"/>
    <col min="1541" max="1547" width="5.81640625" customWidth="1"/>
    <col min="1548" max="1548" width="6.81640625" customWidth="1"/>
    <col min="1549" max="1549" width="4.81640625" customWidth="1"/>
    <col min="1550" max="1553" width="5.81640625" customWidth="1"/>
    <col min="1554" max="1554" width="6.81640625" customWidth="1"/>
    <col min="1555" max="1563" width="5.81640625" customWidth="1"/>
    <col min="1564" max="1564" width="3.81640625" customWidth="1"/>
    <col min="1565" max="1567" width="5.81640625" customWidth="1"/>
    <col min="1568" max="1568" width="4.81640625" customWidth="1"/>
    <col min="1569" max="1570" width="5.81640625" customWidth="1"/>
    <col min="1571" max="1571" width="6.81640625" customWidth="1"/>
    <col min="1572" max="1572" width="5.81640625" customWidth="1"/>
    <col min="1573" max="1573" width="4.81640625" customWidth="1"/>
    <col min="1574" max="1580" width="5.81640625" customWidth="1"/>
    <col min="1581" max="1581" width="4.81640625" customWidth="1"/>
    <col min="1582" max="1596" width="5.81640625" customWidth="1"/>
    <col min="1597" max="1597" width="6.81640625" customWidth="1"/>
    <col min="1598" max="1600" width="5.81640625" customWidth="1"/>
    <col min="1601" max="1601" width="4.81640625" customWidth="1"/>
    <col min="1602" max="1605" width="5.81640625" customWidth="1"/>
    <col min="1606" max="1606" width="2.81640625" customWidth="1"/>
    <col min="1607" max="1607" width="5.81640625" customWidth="1"/>
    <col min="1608" max="1608" width="6.81640625" customWidth="1"/>
    <col min="1609" max="1611" width="5.81640625" customWidth="1"/>
    <col min="1612" max="1612" width="6.81640625" customWidth="1"/>
    <col min="1613" max="1621" width="5.81640625" customWidth="1"/>
    <col min="1622" max="1622" width="4.81640625" customWidth="1"/>
    <col min="1623" max="1631" width="5.81640625" customWidth="1"/>
    <col min="1632" max="1632" width="4.81640625" customWidth="1"/>
    <col min="1633" max="1636" width="5.81640625" customWidth="1"/>
    <col min="1637" max="1637" width="4.81640625" customWidth="1"/>
    <col min="1638" max="1653" width="5.81640625" customWidth="1"/>
    <col min="1654" max="1654" width="4.81640625" customWidth="1"/>
    <col min="1655" max="1664" width="5.81640625" customWidth="1"/>
    <col min="1665" max="1665" width="4.81640625" customWidth="1"/>
    <col min="1666" max="1667" width="5.81640625" customWidth="1"/>
    <col min="1668" max="1668" width="4.81640625" customWidth="1"/>
    <col min="1669" max="1671" width="5.81640625" customWidth="1"/>
    <col min="1672" max="1672" width="4.81640625" customWidth="1"/>
    <col min="1673" max="1675" width="5.81640625" customWidth="1"/>
    <col min="1676" max="1676" width="3.81640625" customWidth="1"/>
    <col min="1677" max="1697" width="5.81640625" customWidth="1"/>
    <col min="1698" max="1698" width="2.81640625" customWidth="1"/>
    <col min="1699" max="1699" width="5.81640625" customWidth="1"/>
    <col min="1700" max="1700" width="6.81640625" customWidth="1"/>
    <col min="1701" max="1701" width="5.81640625" customWidth="1"/>
    <col min="1702" max="1702" width="6.81640625" customWidth="1"/>
    <col min="1703" max="1705" width="5.81640625" customWidth="1"/>
    <col min="1706" max="1706" width="4.81640625" customWidth="1"/>
    <col min="1707" max="1716" width="5.81640625" customWidth="1"/>
    <col min="1717" max="1717" width="4.81640625" customWidth="1"/>
    <col min="1718" max="1718" width="6.81640625" customWidth="1"/>
    <col min="1719" max="1726" width="5.81640625" customWidth="1"/>
    <col min="1727" max="1727" width="2.81640625" customWidth="1"/>
    <col min="1728" max="1731" width="5.81640625" customWidth="1"/>
    <col min="1732" max="1733" width="4.81640625" customWidth="1"/>
    <col min="1734" max="1734" width="6.81640625" customWidth="1"/>
    <col min="1735" max="1745" width="5.81640625" customWidth="1"/>
    <col min="1746" max="1746" width="4.81640625" customWidth="1"/>
    <col min="1747" max="1753" width="5.81640625" customWidth="1"/>
    <col min="1754" max="1754" width="2.81640625" customWidth="1"/>
    <col min="1755" max="1757" width="5.81640625" customWidth="1"/>
    <col min="1758" max="1758" width="6.81640625" customWidth="1"/>
    <col min="1759" max="1775" width="5.81640625" customWidth="1"/>
    <col min="1776" max="1776" width="6.81640625" customWidth="1"/>
    <col min="1777" max="1779" width="5.81640625" customWidth="1"/>
    <col min="1780" max="1781" width="4.81640625" customWidth="1"/>
    <col min="1782" max="1784" width="5.81640625" customWidth="1"/>
    <col min="1785" max="1785" width="4.81640625" customWidth="1"/>
    <col min="1786" max="1801" width="5.81640625" customWidth="1"/>
    <col min="1802" max="1802" width="6.81640625" customWidth="1"/>
    <col min="1803" max="1820" width="5.81640625" customWidth="1"/>
    <col min="1821" max="1825" width="6.81640625" customWidth="1"/>
    <col min="1826" max="1826" width="5.81640625" customWidth="1"/>
    <col min="1827" max="1833" width="6.81640625" customWidth="1"/>
    <col min="1834" max="1834" width="5.81640625" customWidth="1"/>
    <col min="1835" max="1838" width="6.81640625" customWidth="1"/>
    <col min="1839" max="1839" width="5.81640625" customWidth="1"/>
    <col min="1840" max="1842" width="6.81640625" customWidth="1"/>
    <col min="1843" max="1843" width="5.81640625" customWidth="1"/>
    <col min="1844" max="1851" width="6.81640625" customWidth="1"/>
    <col min="1852" max="1852" width="5.81640625" customWidth="1"/>
    <col min="1853" max="1860" width="6.81640625" customWidth="1"/>
    <col min="1861" max="1862" width="5.81640625" customWidth="1"/>
    <col min="1863" max="1879" width="6.81640625" customWidth="1"/>
    <col min="1880" max="1880" width="5.81640625" customWidth="1"/>
    <col min="1881" max="1891" width="6.81640625" customWidth="1"/>
    <col min="1892" max="1892" width="5.81640625" customWidth="1"/>
    <col min="1893" max="1905" width="6.81640625" customWidth="1"/>
    <col min="1906" max="1906" width="5.81640625" customWidth="1"/>
    <col min="1907" max="1914" width="6.81640625" customWidth="1"/>
    <col min="1915" max="1915" width="5.81640625" customWidth="1"/>
    <col min="1916" max="1924" width="6.81640625" customWidth="1"/>
    <col min="1925" max="1925" width="3.81640625" customWidth="1"/>
    <col min="1926" max="1927" width="6.81640625" customWidth="1"/>
    <col min="1928" max="1928" width="5.81640625" customWidth="1"/>
    <col min="1929" max="1934" width="6.81640625" customWidth="1"/>
    <col min="1935" max="1936" width="5.81640625" customWidth="1"/>
    <col min="1937" max="1949" width="6.81640625" customWidth="1"/>
    <col min="1950" max="1950" width="5.81640625" customWidth="1"/>
    <col min="1951" max="1952" width="6.81640625" customWidth="1"/>
    <col min="1953" max="1953" width="5.81640625" customWidth="1"/>
    <col min="1954" max="1973" width="6.81640625" customWidth="1"/>
    <col min="1974" max="1974" width="3.81640625" customWidth="1"/>
    <col min="1975" max="1982" width="6.81640625" customWidth="1"/>
    <col min="1983" max="1983" width="5.81640625" customWidth="1"/>
    <col min="1984" max="1989" width="6.81640625" customWidth="1"/>
    <col min="1990" max="1990" width="5.81640625" customWidth="1"/>
    <col min="1991" max="2003" width="6.81640625" customWidth="1"/>
    <col min="2004" max="2004" width="5.81640625" customWidth="1"/>
    <col min="2005" max="2007" width="6.81640625" customWidth="1"/>
    <col min="2008" max="2008" width="5.81640625" customWidth="1"/>
    <col min="2009" max="2010" width="6.81640625" customWidth="1"/>
    <col min="2011" max="2011" width="5.81640625" customWidth="1"/>
    <col min="2012" max="2012" width="6.81640625" customWidth="1"/>
    <col min="2013" max="2013" width="5.81640625" customWidth="1"/>
    <col min="2014" max="2033" width="6.81640625" customWidth="1"/>
    <col min="2034" max="2034" width="5.81640625" customWidth="1"/>
    <col min="2035" max="2041" width="6.81640625" customWidth="1"/>
    <col min="2042" max="2042" width="5.81640625" customWidth="1"/>
    <col min="2043" max="2043" width="6.81640625" customWidth="1"/>
    <col min="2044" max="2044" width="5.81640625" customWidth="1"/>
    <col min="2045" max="2070" width="6.81640625" customWidth="1"/>
    <col min="2071" max="2071" width="3.81640625" customWidth="1"/>
    <col min="2072" max="2074" width="6.81640625" customWidth="1"/>
    <col min="2075" max="2075" width="5.81640625" customWidth="1"/>
    <col min="2076" max="2078" width="6.81640625" customWidth="1"/>
    <col min="2079" max="2079" width="5.81640625" customWidth="1"/>
    <col min="2080" max="2087" width="6.81640625" customWidth="1"/>
    <col min="2088" max="2088" width="5.81640625" customWidth="1"/>
    <col min="2089" max="2108" width="6.81640625" customWidth="1"/>
    <col min="2109" max="2109" width="5.81640625" customWidth="1"/>
    <col min="2110" max="2114" width="6.81640625" customWidth="1"/>
    <col min="2115" max="2116" width="5.81640625" customWidth="1"/>
    <col min="2117" max="2121" width="6.81640625" customWidth="1"/>
    <col min="2122" max="2122" width="5.81640625" customWidth="1"/>
    <col min="2123" max="2123" width="6.81640625" customWidth="1"/>
    <col min="2124" max="2124" width="5.81640625" customWidth="1"/>
    <col min="2125" max="2126" width="6.81640625" customWidth="1"/>
    <col min="2127" max="2127" width="5.81640625" customWidth="1"/>
    <col min="2128" max="2129" width="6.81640625" customWidth="1"/>
    <col min="2130" max="2130" width="5.81640625" customWidth="1"/>
    <col min="2131" max="2133" width="6.81640625" customWidth="1"/>
    <col min="2134" max="2134" width="3.81640625" customWidth="1"/>
    <col min="2135" max="2136" width="5.81640625" customWidth="1"/>
    <col min="2137" max="2141" width="6.81640625" customWidth="1"/>
    <col min="2142" max="2142" width="5.81640625" customWidth="1"/>
    <col min="2143" max="2147" width="6.81640625" customWidth="1"/>
    <col min="2148" max="2148" width="5.81640625" customWidth="1"/>
    <col min="2149" max="2182" width="6.81640625" customWidth="1"/>
    <col min="2183" max="2183" width="5.81640625" customWidth="1"/>
    <col min="2184" max="2198" width="6.81640625" customWidth="1"/>
    <col min="2199" max="2199" width="5.81640625" customWidth="1"/>
    <col min="2200" max="2201" width="6.81640625" customWidth="1"/>
    <col min="2202" max="2202" width="5.81640625" customWidth="1"/>
    <col min="2203" max="2226" width="6.81640625" customWidth="1"/>
    <col min="2227" max="2227" width="5.81640625" customWidth="1"/>
    <col min="2228" max="2232" width="6.81640625" customWidth="1"/>
    <col min="2233" max="2233" width="3.81640625" customWidth="1"/>
    <col min="2234" max="2236" width="6.81640625" customWidth="1"/>
    <col min="2237" max="2237" width="5.81640625" customWidth="1"/>
    <col min="2238" max="2241" width="6.81640625" customWidth="1"/>
    <col min="2242" max="2242" width="5.81640625" customWidth="1"/>
    <col min="2243" max="2249" width="6.81640625" customWidth="1"/>
    <col min="2250" max="2250" width="5.81640625" customWidth="1"/>
    <col min="2251" max="2253" width="6.81640625" customWidth="1"/>
    <col min="2254" max="2254" width="3.81640625" customWidth="1"/>
    <col min="2255" max="2266" width="6.81640625" customWidth="1"/>
    <col min="2267" max="2267" width="5.81640625" customWidth="1"/>
    <col min="2268" max="2269" width="6.81640625" customWidth="1"/>
    <col min="2270" max="2270" width="5.81640625" customWidth="1"/>
    <col min="2271" max="2276" width="6.81640625" customWidth="1"/>
    <col min="2277" max="2277" width="5.81640625" customWidth="1"/>
    <col min="2278" max="2296" width="6.81640625" customWidth="1"/>
    <col min="2297" max="2297" width="5.81640625" customWidth="1"/>
    <col min="2298" max="2314" width="6.81640625" customWidth="1"/>
    <col min="2315" max="2315" width="5.81640625" customWidth="1"/>
    <col min="2316" max="2361" width="6.81640625" customWidth="1"/>
    <col min="2362" max="2362" width="5.81640625" customWidth="1"/>
    <col min="2363" max="2364" width="6.81640625" customWidth="1"/>
    <col min="2365" max="2365" width="5.81640625" customWidth="1"/>
    <col min="2366" max="2374" width="6.81640625" customWidth="1"/>
    <col min="2375" max="2376" width="5.81640625" customWidth="1"/>
    <col min="2377" max="2380" width="6.81640625" customWidth="1"/>
    <col min="2381" max="2381" width="5.81640625" customWidth="1"/>
    <col min="2382" max="2388" width="6.81640625" customWidth="1"/>
    <col min="2389" max="2389" width="5.81640625" customWidth="1"/>
    <col min="2390" max="2397" width="6.81640625" customWidth="1"/>
    <col min="2398" max="2398" width="5.81640625" customWidth="1"/>
    <col min="2399" max="2408" width="6.81640625" customWidth="1"/>
    <col min="2409" max="2410" width="5.81640625" customWidth="1"/>
    <col min="2411" max="2427" width="6.81640625" customWidth="1"/>
    <col min="2428" max="2428" width="5.81640625" customWidth="1"/>
    <col min="2429" max="2447" width="6.81640625" customWidth="1"/>
    <col min="2448" max="2448" width="5.81640625" customWidth="1"/>
    <col min="2449" max="2458" width="6.81640625" customWidth="1"/>
    <col min="2459" max="2459" width="5.81640625" customWidth="1"/>
    <col min="2460" max="2461" width="6.81640625" customWidth="1"/>
    <col min="2462" max="2462" width="5.81640625" customWidth="1"/>
    <col min="2463" max="2489" width="6.81640625" customWidth="1"/>
    <col min="2490" max="2490" width="5.81640625" customWidth="1"/>
    <col min="2491" max="2495" width="6.81640625" customWidth="1"/>
    <col min="2496" max="2496" width="5.81640625" customWidth="1"/>
    <col min="2497" max="2513" width="6.81640625" customWidth="1"/>
    <col min="2514" max="2514" width="5.81640625" customWidth="1"/>
    <col min="2515" max="2525" width="6.81640625" customWidth="1"/>
    <col min="2526" max="2526" width="5.81640625" customWidth="1"/>
    <col min="2527" max="2528" width="6.81640625" customWidth="1"/>
    <col min="2529" max="2529" width="5.81640625" customWidth="1"/>
    <col min="2530" max="2545" width="6.81640625" customWidth="1"/>
    <col min="2546" max="2546" width="5.81640625" customWidth="1"/>
    <col min="2547" max="2549" width="6.81640625" customWidth="1"/>
    <col min="2550" max="2550" width="5.81640625" customWidth="1"/>
    <col min="2551" max="2551" width="3.81640625" customWidth="1"/>
    <col min="2552" max="2569" width="6.81640625" customWidth="1"/>
    <col min="2570" max="2571" width="5.81640625" customWidth="1"/>
    <col min="2572" max="2582" width="6.81640625" customWidth="1"/>
    <col min="2583" max="2583" width="5.81640625" customWidth="1"/>
    <col min="2584" max="2588" width="6.81640625" customWidth="1"/>
    <col min="2589" max="2589" width="5.81640625" customWidth="1"/>
    <col min="2590" max="2596" width="6.81640625" customWidth="1"/>
    <col min="2597" max="2597" width="5.81640625" customWidth="1"/>
    <col min="2598" max="2602" width="6.81640625" customWidth="1"/>
    <col min="2603" max="2603" width="5.81640625" customWidth="1"/>
    <col min="2604" max="2614" width="6.81640625" customWidth="1"/>
    <col min="2615" max="2615" width="5.81640625" customWidth="1"/>
    <col min="2616" max="2617" width="6.81640625" customWidth="1"/>
    <col min="2618" max="2618" width="5.81640625" customWidth="1"/>
    <col min="2619" max="2624" width="6.81640625" customWidth="1"/>
    <col min="2625" max="2625" width="5.81640625" customWidth="1"/>
    <col min="2626" max="2637" width="6.81640625" customWidth="1"/>
    <col min="2638" max="2638" width="5.81640625" customWidth="1"/>
    <col min="2639" max="2648" width="6.81640625" customWidth="1"/>
    <col min="2649" max="2649" width="5.81640625" customWidth="1"/>
    <col min="2650" max="2662" width="6.81640625" customWidth="1"/>
    <col min="2663" max="2663" width="5.81640625" customWidth="1"/>
    <col min="2664" max="2678" width="6.81640625" customWidth="1"/>
    <col min="2679" max="2679" width="5.81640625" customWidth="1"/>
    <col min="2680" max="2684" width="6.81640625" customWidth="1"/>
    <col min="2685" max="2685" width="5.81640625" customWidth="1"/>
    <col min="2686" max="2695" width="6.81640625" customWidth="1"/>
    <col min="2696" max="2696" width="5.81640625" customWidth="1"/>
    <col min="2697" max="2704" width="6.81640625" customWidth="1"/>
    <col min="2705" max="2705" width="5.81640625" customWidth="1"/>
    <col min="2706" max="2718" width="6.81640625" customWidth="1"/>
    <col min="2719" max="2719" width="5.81640625" customWidth="1"/>
    <col min="2720" max="2748" width="6.81640625" customWidth="1"/>
    <col min="2749" max="2749" width="5.81640625" customWidth="1"/>
    <col min="2750" max="2752" width="6.81640625" customWidth="1"/>
    <col min="2753" max="2753" width="5.81640625" customWidth="1"/>
    <col min="2754" max="2766" width="6.81640625" customWidth="1"/>
    <col min="2767" max="2767" width="5.81640625" customWidth="1"/>
    <col min="2768" max="2783" width="6.81640625" customWidth="1"/>
    <col min="2784" max="2784" width="5.81640625" customWidth="1"/>
    <col min="2785" max="2798" width="6.81640625" customWidth="1"/>
    <col min="2799" max="2799" width="5.81640625" customWidth="1"/>
    <col min="2800" max="2800" width="6.81640625" customWidth="1"/>
    <col min="2801" max="2801" width="5.81640625" customWidth="1"/>
    <col min="2802" max="2808" width="6.81640625" customWidth="1"/>
    <col min="2809" max="2810" width="5.81640625" customWidth="1"/>
    <col min="2811" max="2815" width="6.81640625" customWidth="1"/>
    <col min="2816" max="2816" width="5.81640625" customWidth="1"/>
    <col min="2817" max="2852" width="6.81640625" customWidth="1"/>
    <col min="2853" max="2853" width="5.81640625" customWidth="1"/>
    <col min="2854" max="2855" width="6.81640625" customWidth="1"/>
    <col min="2856" max="2856" width="5.81640625" customWidth="1"/>
    <col min="2857" max="2858" width="6.81640625" customWidth="1"/>
    <col min="2859" max="2859" width="5.81640625" customWidth="1"/>
    <col min="2860" max="2862" width="6.81640625" customWidth="1"/>
    <col min="2863" max="2863" width="5.81640625" customWidth="1"/>
    <col min="2864" max="2873" width="6.81640625" customWidth="1"/>
    <col min="2874" max="2874" width="5.81640625" customWidth="1"/>
    <col min="2875" max="2879" width="6.81640625" customWidth="1"/>
    <col min="2880" max="2881" width="5.81640625" customWidth="1"/>
    <col min="2882" max="2900" width="6.81640625" customWidth="1"/>
    <col min="2901" max="2901" width="3.81640625" customWidth="1"/>
    <col min="2902" max="2928" width="6.81640625" customWidth="1"/>
    <col min="2929" max="2929" width="5.81640625" customWidth="1"/>
    <col min="2930" max="2932" width="6.81640625" customWidth="1"/>
    <col min="2933" max="2933" width="5.81640625" customWidth="1"/>
    <col min="2934" max="2935" width="6.81640625" customWidth="1"/>
    <col min="2936" max="2936" width="5.81640625" customWidth="1"/>
    <col min="2937" max="2939" width="6.81640625" customWidth="1"/>
    <col min="2940" max="2940" width="5.81640625" customWidth="1"/>
    <col min="2941" max="2941" width="6.81640625" customWidth="1"/>
    <col min="2942" max="2942" width="5.81640625" customWidth="1"/>
    <col min="2943" max="2946" width="6.81640625" customWidth="1"/>
    <col min="2947" max="2947" width="5.81640625" customWidth="1"/>
    <col min="2948" max="2949" width="6.81640625" customWidth="1"/>
    <col min="2950" max="2950" width="5.81640625" customWidth="1"/>
    <col min="2951" max="2957" width="6.81640625" customWidth="1"/>
    <col min="2958" max="2958" width="3.81640625" customWidth="1"/>
    <col min="2959" max="2960" width="6.81640625" customWidth="1"/>
    <col min="2961" max="2961" width="5.81640625" customWidth="1"/>
    <col min="2962" max="2965" width="6.81640625" customWidth="1"/>
    <col min="2966" max="2966" width="5.81640625" customWidth="1"/>
    <col min="2967" max="2967" width="6.81640625" customWidth="1"/>
    <col min="2968" max="2968" width="5.81640625" customWidth="1"/>
    <col min="2969" max="2973" width="6.81640625" customWidth="1"/>
    <col min="2974" max="2974" width="5.81640625" customWidth="1"/>
    <col min="2975" max="2989" width="6.81640625" customWidth="1"/>
    <col min="2990" max="2990" width="5.81640625" customWidth="1"/>
    <col min="2991" max="2993" width="6.81640625" customWidth="1"/>
    <col min="2994" max="2994" width="5.81640625" customWidth="1"/>
    <col min="2995" max="3002" width="6.81640625" customWidth="1"/>
    <col min="3003" max="3003" width="5.81640625" customWidth="1"/>
    <col min="3004" max="3022" width="6.81640625" customWidth="1"/>
    <col min="3023" max="3024" width="5.81640625" customWidth="1"/>
    <col min="3025" max="3054" width="6.81640625" customWidth="1"/>
    <col min="3055" max="3055" width="5.81640625" customWidth="1"/>
    <col min="3056" max="3065" width="6.81640625" customWidth="1"/>
    <col min="3066" max="3066" width="5.81640625" customWidth="1"/>
    <col min="3067" max="3067" width="6.81640625" customWidth="1"/>
    <col min="3068" max="3068" width="5.81640625" customWidth="1"/>
    <col min="3069" max="3071" width="6.81640625" customWidth="1"/>
    <col min="3072" max="3072" width="5.81640625" customWidth="1"/>
    <col min="3073" max="3083" width="6.81640625" customWidth="1"/>
    <col min="3084" max="3084" width="5.81640625" customWidth="1"/>
    <col min="3085" max="3092" width="6.81640625" customWidth="1"/>
    <col min="3093" max="3093" width="5.81640625" customWidth="1"/>
    <col min="3094" max="3096" width="6.81640625" customWidth="1"/>
    <col min="3097" max="3097" width="3.81640625" customWidth="1"/>
    <col min="3098" max="3105" width="6.81640625" customWidth="1"/>
    <col min="3106" max="3106" width="5.81640625" customWidth="1"/>
    <col min="3107" max="3114" width="6.81640625" customWidth="1"/>
    <col min="3115" max="3115" width="3.81640625" customWidth="1"/>
    <col min="3116" max="3119" width="6.81640625" customWidth="1"/>
    <col min="3120" max="3120" width="5.81640625" customWidth="1"/>
    <col min="3121" max="3143" width="6.81640625" customWidth="1"/>
    <col min="3144" max="3145" width="5.81640625" customWidth="1"/>
    <col min="3146" max="3157" width="6.81640625" customWidth="1"/>
    <col min="3158" max="3158" width="5.81640625" customWidth="1"/>
    <col min="3159" max="3175" width="6.81640625" customWidth="1"/>
    <col min="3176" max="3176" width="5.81640625" customWidth="1"/>
    <col min="3177" max="3180" width="6.81640625" customWidth="1"/>
    <col min="3181" max="3181" width="5.81640625" customWidth="1"/>
    <col min="3182" max="3182" width="6.81640625" customWidth="1"/>
    <col min="3183" max="3183" width="5.81640625" customWidth="1"/>
    <col min="3184" max="3200" width="6.81640625" customWidth="1"/>
    <col min="3201" max="3201" width="5.81640625" customWidth="1"/>
    <col min="3202" max="3202" width="6.81640625" customWidth="1"/>
    <col min="3203" max="3203" width="5.81640625" customWidth="1"/>
    <col min="3204" max="3209" width="6.81640625" customWidth="1"/>
    <col min="3210" max="3210" width="5.81640625" customWidth="1"/>
    <col min="3211" max="3216" width="6.81640625" customWidth="1"/>
    <col min="3217" max="3217" width="5.81640625" customWidth="1"/>
    <col min="3218" max="3227" width="6.81640625" customWidth="1"/>
    <col min="3228" max="3228" width="5.81640625" customWidth="1"/>
    <col min="3229" max="3235" width="6.81640625" customWidth="1"/>
    <col min="3236" max="3236" width="3.81640625" customWidth="1"/>
    <col min="3237" max="3256" width="6.81640625" customWidth="1"/>
    <col min="3257" max="3257" width="5.81640625" customWidth="1"/>
    <col min="3258" max="3278" width="6.81640625" customWidth="1"/>
    <col min="3279" max="3279" width="5.81640625" customWidth="1"/>
    <col min="3280" max="3284" width="6.81640625" customWidth="1"/>
    <col min="3285" max="3285" width="5.81640625" customWidth="1"/>
    <col min="3286" max="3288" width="6.81640625" customWidth="1"/>
    <col min="3289" max="3289" width="3.81640625" customWidth="1"/>
    <col min="3290" max="3306" width="6.81640625" customWidth="1"/>
    <col min="3307" max="3307" width="5.81640625" customWidth="1"/>
    <col min="3308" max="3308" width="6.81640625" customWidth="1"/>
    <col min="3309" max="3309" width="5.81640625" customWidth="1"/>
    <col min="3310" max="3311" width="6.81640625" customWidth="1"/>
    <col min="3312" max="3312" width="3.81640625" customWidth="1"/>
    <col min="3313" max="3315" width="6.81640625" customWidth="1"/>
    <col min="3316" max="3316" width="5.81640625" customWidth="1"/>
    <col min="3317" max="3321" width="6.81640625" customWidth="1"/>
    <col min="3322" max="3322" width="5.81640625" customWidth="1"/>
    <col min="3323" max="3323" width="6.81640625" customWidth="1"/>
    <col min="3324" max="3324" width="5.81640625" customWidth="1"/>
    <col min="3325" max="3325" width="6.81640625" customWidth="1"/>
    <col min="3326" max="3326" width="5.81640625" customWidth="1"/>
    <col min="3327" max="3332" width="6.81640625" customWidth="1"/>
    <col min="3333" max="3333" width="3.81640625" customWidth="1"/>
    <col min="3334" max="3337" width="6.81640625" customWidth="1"/>
    <col min="3338" max="3338" width="5.81640625" customWidth="1"/>
    <col min="3339" max="3370" width="6.81640625" customWidth="1"/>
    <col min="3371" max="3371" width="5.81640625" customWidth="1"/>
    <col min="3372" max="3377" width="6.81640625" customWidth="1"/>
    <col min="3378" max="3378" width="5.81640625" customWidth="1"/>
    <col min="3379" max="3399" width="6.81640625" customWidth="1"/>
    <col min="3400" max="3400" width="5.81640625" customWidth="1"/>
    <col min="3401" max="3403" width="6.81640625" customWidth="1"/>
    <col min="3404" max="3404" width="5.81640625" customWidth="1"/>
    <col min="3405" max="3410" width="6.81640625" customWidth="1"/>
    <col min="3411" max="3411" width="5.81640625" customWidth="1"/>
    <col min="3412" max="3436" width="6.81640625" customWidth="1"/>
    <col min="3437" max="3437" width="5.81640625" customWidth="1"/>
    <col min="3438" max="3440" width="6.81640625" customWidth="1"/>
    <col min="3441" max="3441" width="5.81640625" customWidth="1"/>
    <col min="3442" max="3464" width="6.81640625" customWidth="1"/>
    <col min="3465" max="3465" width="5.81640625" customWidth="1"/>
    <col min="3466" max="3473" width="6.81640625" customWidth="1"/>
    <col min="3474" max="3474" width="5.81640625" customWidth="1"/>
    <col min="3475" max="3486" width="6.81640625" customWidth="1"/>
    <col min="3487" max="3487" width="5.81640625" customWidth="1"/>
    <col min="3488" max="3492" width="6.81640625" customWidth="1"/>
    <col min="3493" max="3493" width="5.81640625" customWidth="1"/>
    <col min="3494" max="3500" width="6.81640625" customWidth="1"/>
    <col min="3501" max="3501" width="5.81640625" customWidth="1"/>
    <col min="3502" max="3507" width="6.81640625" customWidth="1"/>
    <col min="3508" max="3508" width="5.81640625" customWidth="1"/>
    <col min="3509" max="3509" width="6.81640625" customWidth="1"/>
    <col min="3510" max="3510" width="5.81640625" customWidth="1"/>
    <col min="3511" max="3513" width="6.81640625" customWidth="1"/>
    <col min="3514" max="3514" width="5.81640625" customWidth="1"/>
    <col min="3515" max="3523" width="6.81640625" customWidth="1"/>
    <col min="3524" max="3524" width="5.81640625" customWidth="1"/>
    <col min="3525" max="3547" width="6.81640625" customWidth="1"/>
    <col min="3548" max="3548" width="5.81640625" customWidth="1"/>
    <col min="3549" max="3552" width="6.81640625" customWidth="1"/>
    <col min="3553" max="3553" width="5.81640625" customWidth="1"/>
    <col min="3554" max="3562" width="6.81640625" customWidth="1"/>
    <col min="3563" max="3563" width="5.81640625" customWidth="1"/>
    <col min="3564" max="3573" width="6.81640625" customWidth="1"/>
    <col min="3574" max="3574" width="5.81640625" customWidth="1"/>
    <col min="3575" max="3605" width="6.81640625" customWidth="1"/>
    <col min="3606" max="3606" width="5.81640625" customWidth="1"/>
    <col min="3607" max="3607" width="6.81640625" customWidth="1"/>
    <col min="3608" max="3609" width="5.81640625" customWidth="1"/>
    <col min="3610" max="3618" width="6.81640625" customWidth="1"/>
    <col min="3619" max="3619" width="5.81640625" customWidth="1"/>
    <col min="3620" max="3626" width="6.81640625" customWidth="1"/>
    <col min="3627" max="3628" width="5.81640625" customWidth="1"/>
    <col min="3629" max="3629" width="6.81640625" customWidth="1"/>
    <col min="3630" max="3630" width="3.81640625" customWidth="1"/>
    <col min="3631" max="3634" width="6.81640625" customWidth="1"/>
    <col min="3635" max="3635" width="5.81640625" customWidth="1"/>
    <col min="3636" max="3636" width="6.81640625" customWidth="1"/>
    <col min="3637" max="3637" width="5.81640625" customWidth="1"/>
    <col min="3638" max="3638" width="6.81640625" customWidth="1"/>
    <col min="3639" max="3639" width="5.81640625" customWidth="1"/>
    <col min="3640" max="3656" width="6.81640625" customWidth="1"/>
    <col min="3657" max="3657" width="3.81640625" customWidth="1"/>
    <col min="3658" max="3672" width="6.81640625" customWidth="1"/>
    <col min="3673" max="3673" width="5.81640625" customWidth="1"/>
    <col min="3674" max="3677" width="6.81640625" customWidth="1"/>
    <col min="3678" max="3678" width="5.81640625" customWidth="1"/>
    <col min="3679" max="3681" width="6.81640625" customWidth="1"/>
    <col min="3682" max="3682" width="3.81640625" customWidth="1"/>
    <col min="3683" max="3685" width="6.81640625" customWidth="1"/>
    <col min="3686" max="3686" width="5.81640625" customWidth="1"/>
    <col min="3687" max="3701" width="6.81640625" customWidth="1"/>
    <col min="3702" max="3703" width="5.81640625" customWidth="1"/>
    <col min="3704" max="3705" width="6.81640625" customWidth="1"/>
    <col min="3706" max="3707" width="5.81640625" customWidth="1"/>
    <col min="3708" max="3726" width="6.81640625" customWidth="1"/>
    <col min="3727" max="3727" width="5.81640625" customWidth="1"/>
    <col min="3728" max="3728" width="6.81640625" customWidth="1"/>
    <col min="3729" max="3729" width="5.81640625" customWidth="1"/>
    <col min="3730" max="3731" width="6.81640625" customWidth="1"/>
    <col min="3732" max="3732" width="5.81640625" customWidth="1"/>
    <col min="3733" max="3735" width="6.81640625" customWidth="1"/>
    <col min="3736" max="3736" width="3.81640625" customWidth="1"/>
    <col min="3737" max="3747" width="6.81640625" customWidth="1"/>
    <col min="3748" max="3748" width="5.81640625" customWidth="1"/>
    <col min="3749" max="3752" width="6.81640625" customWidth="1"/>
    <col min="3753" max="3753" width="5.81640625" customWidth="1"/>
    <col min="3754" max="3760" width="6.81640625" customWidth="1"/>
    <col min="3761" max="3761" width="5.81640625" customWidth="1"/>
    <col min="3762" max="3764" width="6.81640625" customWidth="1"/>
    <col min="3765" max="3765" width="5.81640625" customWidth="1"/>
    <col min="3766" max="3768" width="6.81640625" customWidth="1"/>
    <col min="3769" max="3769" width="5.81640625" customWidth="1"/>
    <col min="3770" max="3787" width="6.81640625" customWidth="1"/>
    <col min="3788" max="3788" width="5.81640625" customWidth="1"/>
    <col min="3789" max="3790" width="6.81640625" customWidth="1"/>
    <col min="3791" max="3792" width="5.81640625" customWidth="1"/>
    <col min="3793" max="3794" width="6.81640625" customWidth="1"/>
    <col min="3795" max="3795" width="3.81640625" customWidth="1"/>
    <col min="3796" max="3796" width="6.81640625" customWidth="1"/>
    <col min="3797" max="3797" width="5.81640625" customWidth="1"/>
    <col min="3798" max="3804" width="6.81640625" customWidth="1"/>
    <col min="3805" max="3805" width="5.81640625" customWidth="1"/>
    <col min="3806" max="3809" width="6.81640625" customWidth="1"/>
    <col min="3810" max="3810" width="5.81640625" customWidth="1"/>
    <col min="3811" max="3813" width="6.81640625" customWidth="1"/>
    <col min="3814" max="3814" width="5.81640625" customWidth="1"/>
    <col min="3815" max="3827" width="6.81640625" customWidth="1"/>
    <col min="3828" max="3828" width="5.81640625" customWidth="1"/>
    <col min="3829" max="3855" width="6.81640625" customWidth="1"/>
    <col min="3856" max="3856" width="5.81640625" customWidth="1"/>
    <col min="3857" max="3865" width="6.81640625" customWidth="1"/>
    <col min="3866" max="3866" width="5.81640625" customWidth="1"/>
    <col min="3867" max="3880" width="6.81640625" customWidth="1"/>
    <col min="3881" max="3881" width="5.81640625" customWidth="1"/>
    <col min="3882" max="3882" width="6.81640625" customWidth="1"/>
    <col min="3883" max="3883" width="5.81640625" customWidth="1"/>
    <col min="3884" max="3900" width="6.81640625" customWidth="1"/>
    <col min="3901" max="3901" width="5.81640625" customWidth="1"/>
    <col min="3902" max="3927" width="6.81640625" customWidth="1"/>
    <col min="3928" max="3928" width="5.81640625" customWidth="1"/>
    <col min="3929" max="3929" width="6.81640625" customWidth="1"/>
    <col min="3930" max="3930" width="5.81640625" customWidth="1"/>
    <col min="3931" max="3958" width="6.81640625" customWidth="1"/>
    <col min="3959" max="3959" width="5.81640625" customWidth="1"/>
    <col min="3960" max="3973" width="6.81640625" customWidth="1"/>
    <col min="3974" max="3974" width="5.81640625" customWidth="1"/>
    <col min="3975" max="3990" width="6.81640625" customWidth="1"/>
    <col min="3991" max="3991" width="5.81640625" customWidth="1"/>
    <col min="3992" max="4001" width="6.81640625" customWidth="1"/>
    <col min="4002" max="4002" width="5.81640625" customWidth="1"/>
    <col min="4003" max="4013" width="6.81640625" customWidth="1"/>
    <col min="4014" max="4014" width="3.81640625" customWidth="1"/>
    <col min="4015" max="4020" width="6.81640625" customWidth="1"/>
    <col min="4021" max="4021" width="5.81640625" customWidth="1"/>
    <col min="4022" max="4024" width="6.81640625" customWidth="1"/>
    <col min="4025" max="4026" width="5.81640625" customWidth="1"/>
    <col min="4027" max="4032" width="6.81640625" customWidth="1"/>
    <col min="4033" max="4033" width="5.81640625" customWidth="1"/>
    <col min="4034" max="4034" width="3.81640625" customWidth="1"/>
    <col min="4035" max="4047" width="6.81640625" customWidth="1"/>
    <col min="4048" max="4048" width="5.81640625" customWidth="1"/>
    <col min="4049" max="4054" width="6.81640625" customWidth="1"/>
    <col min="4055" max="4055" width="5.81640625" customWidth="1"/>
    <col min="4056" max="4067" width="6.81640625" customWidth="1"/>
    <col min="4068" max="4068" width="5.81640625" customWidth="1"/>
    <col min="4069" max="4076" width="6.81640625" customWidth="1"/>
    <col min="4077" max="4077" width="5.81640625" customWidth="1"/>
    <col min="4078" max="4109" width="6.81640625" customWidth="1"/>
    <col min="4110" max="4110" width="5.81640625" customWidth="1"/>
    <col min="4111" max="4121" width="6.81640625" customWidth="1"/>
    <col min="4122" max="4122" width="5.81640625" customWidth="1"/>
    <col min="4123" max="4124" width="6.81640625" customWidth="1"/>
    <col min="4125" max="4125" width="5.81640625" customWidth="1"/>
    <col min="4126" max="4132" width="6.81640625" customWidth="1"/>
    <col min="4133" max="4133" width="5.81640625" customWidth="1"/>
    <col min="4134" max="4163" width="6.81640625" customWidth="1"/>
    <col min="4164" max="4164" width="5.81640625" customWidth="1"/>
    <col min="4165" max="4177" width="6.81640625" customWidth="1"/>
    <col min="4178" max="4178" width="5.81640625" customWidth="1"/>
    <col min="4179" max="4179" width="6.81640625" customWidth="1"/>
    <col min="4180" max="4180" width="5.81640625" customWidth="1"/>
    <col min="4181" max="4182" width="6.81640625" customWidth="1"/>
    <col min="4183" max="4183" width="3.81640625" customWidth="1"/>
    <col min="4184" max="4190" width="6.81640625" customWidth="1"/>
    <col min="4191" max="4191" width="5.81640625" customWidth="1"/>
    <col min="4192" max="4193" width="6.81640625" customWidth="1"/>
    <col min="4194" max="4194" width="5.81640625" customWidth="1"/>
    <col min="4195" max="4225" width="6.81640625" customWidth="1"/>
    <col min="4226" max="4226" width="5.81640625" customWidth="1"/>
    <col min="4227" max="4236" width="6.81640625" customWidth="1"/>
    <col min="4237" max="4237" width="5.81640625" customWidth="1"/>
    <col min="4238" max="4243" width="6.81640625" customWidth="1"/>
    <col min="4244" max="4244" width="5.81640625" customWidth="1"/>
    <col min="4245" max="4250" width="6.81640625" customWidth="1"/>
    <col min="4251" max="4251" width="5.81640625" customWidth="1"/>
    <col min="4252" max="4252" width="6.81640625" customWidth="1"/>
    <col min="4253" max="4254" width="5.81640625" customWidth="1"/>
    <col min="4255" max="4256" width="6.81640625" customWidth="1"/>
    <col min="4257" max="4257" width="5.81640625" customWidth="1"/>
    <col min="4258" max="4264" width="6.81640625" customWidth="1"/>
    <col min="4265" max="4265" width="5.81640625" customWidth="1"/>
    <col min="4266" max="4270" width="6.81640625" customWidth="1"/>
    <col min="4271" max="4271" width="7.81640625" customWidth="1"/>
    <col min="4272" max="4273" width="6.81640625" customWidth="1"/>
    <col min="4274" max="4279" width="7.81640625" customWidth="1"/>
    <col min="4280" max="4280" width="6.81640625" customWidth="1"/>
    <col min="4281" max="4283" width="7.81640625" customWidth="1"/>
    <col min="4284" max="4284" width="6.81640625" customWidth="1"/>
    <col min="4285" max="4293" width="7.81640625" customWidth="1"/>
    <col min="4294" max="4294" width="6.81640625" customWidth="1"/>
    <col min="4295" max="4307" width="7.81640625" customWidth="1"/>
    <col min="4308" max="4308" width="6.81640625" customWidth="1"/>
    <col min="4309" max="4309" width="7.81640625" customWidth="1"/>
    <col min="4310" max="4310" width="6.81640625" customWidth="1"/>
    <col min="4311" max="4319" width="7.81640625" customWidth="1"/>
    <col min="4320" max="4320" width="6.81640625" customWidth="1"/>
    <col min="4321" max="4321" width="7.81640625" customWidth="1"/>
    <col min="4322" max="4322" width="6.81640625" customWidth="1"/>
    <col min="4323" max="4330" width="7.81640625" customWidth="1"/>
    <col min="4331" max="4331" width="6.81640625" customWidth="1"/>
    <col min="4332" max="4332" width="7.81640625" customWidth="1"/>
    <col min="4333" max="4333" width="6.81640625" customWidth="1"/>
    <col min="4334" max="4337" width="7.81640625" customWidth="1"/>
    <col min="4338" max="4339" width="6.81640625" customWidth="1"/>
    <col min="4340" max="4340" width="7.81640625" customWidth="1"/>
    <col min="4341" max="4341" width="6.81640625" customWidth="1"/>
    <col min="4342" max="4372" width="7.81640625" customWidth="1"/>
    <col min="4373" max="4374" width="6.81640625" customWidth="1"/>
    <col min="4375" max="4375" width="7.81640625" customWidth="1"/>
    <col min="4376" max="4376" width="6.81640625" customWidth="1"/>
    <col min="4377" max="4380" width="7.81640625" customWidth="1"/>
    <col min="4381" max="4381" width="6.81640625" customWidth="1"/>
    <col min="4382" max="4392" width="7.81640625" customWidth="1"/>
    <col min="4393" max="4393" width="4.81640625" customWidth="1"/>
    <col min="4394" max="4403" width="7.81640625" customWidth="1"/>
    <col min="4404" max="4404" width="6.81640625" customWidth="1"/>
    <col min="4405" max="4408" width="7.81640625" customWidth="1"/>
    <col min="4409" max="4409" width="6.81640625" customWidth="1"/>
    <col min="4410" max="4437" width="7.81640625" customWidth="1"/>
    <col min="4438" max="4438" width="6.81640625" customWidth="1"/>
    <col min="4439" max="4447" width="7.81640625" customWidth="1"/>
    <col min="4448" max="4448" width="6.81640625" customWidth="1"/>
    <col min="4449" max="4487" width="7.81640625" customWidth="1"/>
    <col min="4488" max="4488" width="6.81640625" customWidth="1"/>
    <col min="4489" max="4495" width="7.81640625" customWidth="1"/>
    <col min="4496" max="4496" width="6.81640625" customWidth="1"/>
    <col min="4497" max="4497" width="7.81640625" customWidth="1"/>
    <col min="4498" max="4498" width="6.81640625" customWidth="1"/>
    <col min="4499" max="4499" width="4.81640625" customWidth="1"/>
    <col min="4500" max="4503" width="7.81640625" customWidth="1"/>
    <col min="4504" max="4504" width="6.81640625" customWidth="1"/>
    <col min="4505" max="4517" width="7.81640625" customWidth="1"/>
    <col min="4518" max="4518" width="6.81640625" customWidth="1"/>
    <col min="4519" max="4520" width="7.81640625" customWidth="1"/>
    <col min="4521" max="4521" width="6.81640625" customWidth="1"/>
    <col min="4522" max="4542" width="7.81640625" customWidth="1"/>
    <col min="4543" max="4544" width="6.81640625" customWidth="1"/>
    <col min="4545" max="4545" width="7.81640625" customWidth="1"/>
    <col min="4546" max="4546" width="6.81640625" customWidth="1"/>
    <col min="4547" max="4550" width="7.81640625" customWidth="1"/>
    <col min="4551" max="4551" width="6.81640625" customWidth="1"/>
    <col min="4552" max="4558" width="7.81640625" customWidth="1"/>
    <col min="4559" max="4559" width="6.81640625" customWidth="1"/>
    <col min="4560" max="4583" width="7.81640625" customWidth="1"/>
    <col min="4584" max="4584" width="6.81640625" customWidth="1"/>
    <col min="4585" max="4596" width="7.81640625" customWidth="1"/>
    <col min="4597" max="4597" width="6.81640625" customWidth="1"/>
    <col min="4598" max="4603" width="7.81640625" customWidth="1"/>
    <col min="4604" max="4604" width="6.81640625" customWidth="1"/>
    <col min="4605" max="4607" width="7.81640625" customWidth="1"/>
    <col min="4608" max="4609" width="6.81640625" customWidth="1"/>
    <col min="4610" max="4625" width="7.81640625" customWidth="1"/>
    <col min="4626" max="4626" width="6.81640625" customWidth="1"/>
    <col min="4627" max="4635" width="7.81640625" customWidth="1"/>
    <col min="4636" max="4636" width="6.81640625" customWidth="1"/>
    <col min="4637" max="4642" width="7.81640625" customWidth="1"/>
    <col min="4643" max="4643" width="6.81640625" customWidth="1"/>
    <col min="4644" max="4651" width="7.81640625" customWidth="1"/>
    <col min="4652" max="4652" width="6.81640625" customWidth="1"/>
    <col min="4653" max="4667" width="7.81640625" customWidth="1"/>
    <col min="4668" max="4668" width="6.81640625" customWidth="1"/>
    <col min="4669" max="4675" width="7.81640625" customWidth="1"/>
    <col min="4676" max="4676" width="6.81640625" customWidth="1"/>
    <col min="4677" max="4682" width="7.81640625" customWidth="1"/>
    <col min="4683" max="4683" width="10.81640625" bestFit="1" customWidth="1"/>
  </cols>
  <sheetData>
    <row r="3" spans="1:5" x14ac:dyDescent="0.35">
      <c r="A3" s="2" t="s">
        <v>3</v>
      </c>
      <c r="B3" t="s">
        <v>73</v>
      </c>
      <c r="C3" t="s">
        <v>77</v>
      </c>
      <c r="D3" t="s">
        <v>74</v>
      </c>
      <c r="E3" s="4" t="s">
        <v>68</v>
      </c>
    </row>
    <row r="4" spans="1:5" x14ac:dyDescent="0.35">
      <c r="A4" s="3" t="s">
        <v>27</v>
      </c>
      <c r="B4" s="7">
        <v>760419.85909999977</v>
      </c>
      <c r="C4" s="7">
        <v>1499.8419311637076</v>
      </c>
      <c r="D4" s="11">
        <v>507</v>
      </c>
      <c r="E4" s="8">
        <f>B4/SUM($B$4:$B$12)</f>
        <v>0.62784418660535424</v>
      </c>
    </row>
    <row r="5" spans="1:5" x14ac:dyDescent="0.35">
      <c r="A5" s="3" t="s">
        <v>33</v>
      </c>
      <c r="B5" s="7">
        <v>120112.81409999999</v>
      </c>
      <c r="C5" s="7">
        <v>122.1900448626653</v>
      </c>
      <c r="D5" s="11">
        <v>983</v>
      </c>
      <c r="E5" s="8">
        <f t="shared" ref="E5:E13" si="0">B5/SUM($B$4:$B$12)</f>
        <v>9.91717025364766E-2</v>
      </c>
    </row>
    <row r="6" spans="1:5" x14ac:dyDescent="0.35">
      <c r="A6" s="3" t="s">
        <v>20</v>
      </c>
      <c r="B6" s="7">
        <v>98274.774699999849</v>
      </c>
      <c r="C6" s="7">
        <v>117.69434095808366</v>
      </c>
      <c r="D6" s="11">
        <v>835</v>
      </c>
      <c r="E6" s="8">
        <f t="shared" si="0"/>
        <v>8.1141023931664266E-2</v>
      </c>
    </row>
    <row r="7" spans="1:5" x14ac:dyDescent="0.35">
      <c r="A7" s="3" t="s">
        <v>41</v>
      </c>
      <c r="B7" s="7">
        <v>52225.587699999931</v>
      </c>
      <c r="C7" s="7">
        <v>95.476394332723828</v>
      </c>
      <c r="D7" s="11">
        <v>547</v>
      </c>
      <c r="E7" s="8">
        <f t="shared" si="0"/>
        <v>4.3120298920521792E-2</v>
      </c>
    </row>
    <row r="8" spans="1:5" x14ac:dyDescent="0.35">
      <c r="A8" s="3" t="s">
        <v>17</v>
      </c>
      <c r="B8" s="7">
        <v>50994.860299999986</v>
      </c>
      <c r="C8" s="7">
        <v>99.794247162426586</v>
      </c>
      <c r="D8" s="11">
        <v>511</v>
      </c>
      <c r="E8" s="8">
        <f t="shared" si="0"/>
        <v>4.210414312956122E-2</v>
      </c>
    </row>
    <row r="9" spans="1:5" x14ac:dyDescent="0.35">
      <c r="A9" s="3" t="s">
        <v>12</v>
      </c>
      <c r="B9" s="7">
        <v>40516.421000000017</v>
      </c>
      <c r="C9" s="7">
        <v>86.205151063829817</v>
      </c>
      <c r="D9" s="11">
        <v>470</v>
      </c>
      <c r="E9" s="8">
        <f t="shared" si="0"/>
        <v>3.3452571079630178E-2</v>
      </c>
    </row>
    <row r="10" spans="1:5" x14ac:dyDescent="0.35">
      <c r="A10" s="3" t="s">
        <v>22</v>
      </c>
      <c r="B10" s="7">
        <v>39313.441699999981</v>
      </c>
      <c r="C10" s="7">
        <v>137.4595863636363</v>
      </c>
      <c r="D10" s="11">
        <v>286</v>
      </c>
      <c r="E10" s="8">
        <f t="shared" si="0"/>
        <v>3.2459325636243777E-2</v>
      </c>
    </row>
    <row r="11" spans="1:5" x14ac:dyDescent="0.35">
      <c r="A11" s="3" t="s">
        <v>29</v>
      </c>
      <c r="B11" s="7">
        <v>37415.771400000005</v>
      </c>
      <c r="C11" s="7">
        <v>70.729246502835551</v>
      </c>
      <c r="D11" s="11">
        <v>529</v>
      </c>
      <c r="E11" s="8">
        <f t="shared" si="0"/>
        <v>3.0892505343887447E-2</v>
      </c>
    </row>
    <row r="12" spans="1:5" x14ac:dyDescent="0.35">
      <c r="A12" s="3" t="s">
        <v>25</v>
      </c>
      <c r="B12" s="7">
        <v>11886.619800000002</v>
      </c>
      <c r="C12" s="7">
        <v>35.803071686746996</v>
      </c>
      <c r="D12" s="11">
        <v>332</v>
      </c>
      <c r="E12" s="8">
        <f t="shared" si="0"/>
        <v>9.8142428166604189E-3</v>
      </c>
    </row>
    <row r="13" spans="1:5" s="5" customFormat="1" x14ac:dyDescent="0.35">
      <c r="A13" s="5" t="s">
        <v>61</v>
      </c>
      <c r="B13" s="6">
        <v>1211160.1497999975</v>
      </c>
      <c r="C13" s="6">
        <v>242.23202995999949</v>
      </c>
      <c r="D13" s="11">
        <v>5000</v>
      </c>
      <c r="E13" s="12">
        <f t="shared" si="0"/>
        <v>0.99999999999999822</v>
      </c>
    </row>
  </sheetData>
  <pageMargins left="0.7" right="0.7" top="0.75" bottom="0.75" header="0.3" footer="0.3"/>
  <pageSetup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9"/>
  <sheetViews>
    <sheetView workbookViewId="0">
      <selection activeCell="A4" sqref="A4"/>
    </sheetView>
  </sheetViews>
  <sheetFormatPr defaultRowHeight="14.5" x14ac:dyDescent="0.35"/>
  <cols>
    <col min="1" max="1" width="18.08984375" bestFit="1" customWidth="1"/>
    <col min="2" max="2" width="15.26953125" bestFit="1" customWidth="1"/>
    <col min="3" max="3" width="10.81640625" customWidth="1"/>
    <col min="4" max="5" width="11.81640625" bestFit="1" customWidth="1"/>
    <col min="6" max="7" width="10.81640625" bestFit="1" customWidth="1"/>
    <col min="8" max="8" width="12.90625" bestFit="1" customWidth="1"/>
    <col min="9" max="9" width="10.81640625" customWidth="1"/>
    <col min="10" max="10" width="15.7265625" bestFit="1" customWidth="1"/>
    <col min="11" max="11" width="11.81640625" bestFit="1" customWidth="1"/>
    <col min="12" max="12" width="6.6328125" customWidth="1"/>
    <col min="13" max="13" width="9.81640625" bestFit="1" customWidth="1"/>
    <col min="14" max="14" width="8.81640625" bestFit="1" customWidth="1"/>
    <col min="16" max="16" width="5.81640625" customWidth="1"/>
    <col min="17" max="17" width="12.90625" bestFit="1" customWidth="1"/>
    <col min="18" max="18" width="6.1796875" customWidth="1"/>
    <col min="19" max="19" width="15.7265625" bestFit="1" customWidth="1"/>
    <col min="20" max="20" width="22.90625" bestFit="1" customWidth="1"/>
    <col min="21" max="21" width="23.7265625" bestFit="1" customWidth="1"/>
  </cols>
  <sheetData>
    <row r="3" spans="1:11" x14ac:dyDescent="0.35">
      <c r="A3" s="2" t="s">
        <v>73</v>
      </c>
      <c r="B3" s="2" t="s">
        <v>75</v>
      </c>
    </row>
    <row r="4" spans="1:11" x14ac:dyDescent="0.35">
      <c r="A4" s="2" t="s">
        <v>76</v>
      </c>
      <c r="B4" t="s">
        <v>12</v>
      </c>
      <c r="C4" t="s">
        <v>29</v>
      </c>
      <c r="D4" t="s">
        <v>27</v>
      </c>
      <c r="E4" t="s">
        <v>33</v>
      </c>
      <c r="F4" t="s">
        <v>25</v>
      </c>
      <c r="G4" t="s">
        <v>22</v>
      </c>
      <c r="H4" t="s">
        <v>17</v>
      </c>
      <c r="I4" t="s">
        <v>20</v>
      </c>
      <c r="J4" t="s">
        <v>41</v>
      </c>
      <c r="K4" t="s">
        <v>61</v>
      </c>
    </row>
    <row r="5" spans="1:11" x14ac:dyDescent="0.35">
      <c r="A5" s="3" t="s">
        <v>19</v>
      </c>
      <c r="B5" s="10">
        <v>10619.881499999996</v>
      </c>
      <c r="C5" s="10">
        <v>9887.9255000000012</v>
      </c>
      <c r="D5" s="10">
        <v>199757.47629999998</v>
      </c>
      <c r="E5" s="10">
        <v>34492.210300000006</v>
      </c>
      <c r="F5" s="10">
        <v>2839.3617000000004</v>
      </c>
      <c r="G5" s="10">
        <v>11423.5759</v>
      </c>
      <c r="H5" s="10">
        <v>11215.281300000001</v>
      </c>
      <c r="I5" s="10">
        <v>23505.012600000005</v>
      </c>
      <c r="J5" s="10">
        <v>13954.204299999999</v>
      </c>
      <c r="K5" s="10">
        <v>317694.92939999996</v>
      </c>
    </row>
    <row r="6" spans="1:11" x14ac:dyDescent="0.35">
      <c r="A6" s="3" t="s">
        <v>24</v>
      </c>
      <c r="B6" s="10">
        <v>10241.492399999997</v>
      </c>
      <c r="C6" s="10">
        <v>10089.726900000007</v>
      </c>
      <c r="D6" s="10">
        <v>189608.29359999998</v>
      </c>
      <c r="E6" s="10">
        <v>28610.547899999998</v>
      </c>
      <c r="F6" s="10">
        <v>2689.5671999999995</v>
      </c>
      <c r="G6" s="10">
        <v>8422.7512000000006</v>
      </c>
      <c r="H6" s="10">
        <v>13496.913199999997</v>
      </c>
      <c r="I6" s="10">
        <v>26739.188300000009</v>
      </c>
      <c r="J6" s="10">
        <v>13530.151900000003</v>
      </c>
      <c r="K6" s="10">
        <v>303428.63259999995</v>
      </c>
    </row>
    <row r="7" spans="1:11" x14ac:dyDescent="0.35">
      <c r="A7" s="3" t="s">
        <v>31</v>
      </c>
      <c r="B7" s="10">
        <v>10269.454700000002</v>
      </c>
      <c r="C7" s="10">
        <v>7873.8044999999993</v>
      </c>
      <c r="D7" s="10">
        <v>188911.00749999992</v>
      </c>
      <c r="E7" s="10">
        <v>29072.104599999984</v>
      </c>
      <c r="F7" s="10">
        <v>2871.7984999999999</v>
      </c>
      <c r="G7" s="10">
        <v>9475.7592000000004</v>
      </c>
      <c r="H7" s="10">
        <v>14334.425999999994</v>
      </c>
      <c r="I7" s="10">
        <v>23254.763099999996</v>
      </c>
      <c r="J7" s="10">
        <v>11850.738900000006</v>
      </c>
      <c r="K7" s="10">
        <v>297913.8569999999</v>
      </c>
    </row>
    <row r="8" spans="1:11" x14ac:dyDescent="0.35">
      <c r="A8" s="3" t="s">
        <v>14</v>
      </c>
      <c r="B8" s="10">
        <v>9385.5923999999995</v>
      </c>
      <c r="C8" s="10">
        <v>9564.3144999999986</v>
      </c>
      <c r="D8" s="10">
        <v>182143.08170000013</v>
      </c>
      <c r="E8" s="10">
        <v>27937.951300000004</v>
      </c>
      <c r="F8" s="10">
        <v>3485.8924000000006</v>
      </c>
      <c r="G8" s="10">
        <v>9991.3554000000022</v>
      </c>
      <c r="H8" s="10">
        <v>11948.239800000001</v>
      </c>
      <c r="I8" s="10">
        <v>24775.81069999998</v>
      </c>
      <c r="J8" s="10">
        <v>12890.492600000001</v>
      </c>
      <c r="K8" s="10">
        <v>292122.73080000014</v>
      </c>
    </row>
    <row r="9" spans="1:11" x14ac:dyDescent="0.35">
      <c r="A9" s="3" t="s">
        <v>61</v>
      </c>
      <c r="B9" s="10">
        <v>40516.420999999995</v>
      </c>
      <c r="C9" s="10">
        <v>37415.771400000005</v>
      </c>
      <c r="D9" s="10">
        <v>760419.8591</v>
      </c>
      <c r="E9" s="10">
        <v>120112.81409999999</v>
      </c>
      <c r="F9" s="10">
        <v>11886.6198</v>
      </c>
      <c r="G9" s="10">
        <v>39313.441700000003</v>
      </c>
      <c r="H9" s="10">
        <v>50994.860299999993</v>
      </c>
      <c r="I9" s="10">
        <v>98274.774699999994</v>
      </c>
      <c r="J9" s="10">
        <v>52225.587700000011</v>
      </c>
      <c r="K9" s="10">
        <v>1211160.1497999998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36"/>
  <sheetViews>
    <sheetView workbookViewId="0">
      <selection activeCell="D3" sqref="D3"/>
    </sheetView>
  </sheetViews>
  <sheetFormatPr defaultRowHeight="14.5" x14ac:dyDescent="0.35"/>
  <cols>
    <col min="1" max="1" width="22.453125" style="5" bestFit="1" customWidth="1"/>
    <col min="2" max="2" width="17.1796875" style="5" bestFit="1" customWidth="1"/>
    <col min="3" max="3" width="21.6328125" style="5" bestFit="1" customWidth="1"/>
    <col min="4" max="4" width="9.26953125" style="5" bestFit="1" customWidth="1"/>
  </cols>
  <sheetData>
    <row r="3" spans="1:4" x14ac:dyDescent="0.35">
      <c r="A3" s="9" t="s">
        <v>70</v>
      </c>
      <c r="B3" s="5" t="s">
        <v>69</v>
      </c>
      <c r="C3" s="5" t="s">
        <v>78</v>
      </c>
      <c r="D3" s="5" t="s">
        <v>79</v>
      </c>
    </row>
    <row r="4" spans="1:4" x14ac:dyDescent="0.35">
      <c r="A4" s="5">
        <v>36</v>
      </c>
      <c r="B4" s="6">
        <v>168.81</v>
      </c>
      <c r="C4" s="6">
        <v>108.03840000000001</v>
      </c>
      <c r="D4" s="11">
        <v>1</v>
      </c>
    </row>
    <row r="5" spans="1:4" x14ac:dyDescent="0.35">
      <c r="A5" s="5">
        <v>34</v>
      </c>
      <c r="B5" s="6">
        <v>65.271999999999991</v>
      </c>
      <c r="C5" s="6">
        <v>43.079519999999995</v>
      </c>
      <c r="D5" s="11">
        <v>5</v>
      </c>
    </row>
    <row r="6" spans="1:4" x14ac:dyDescent="0.35">
      <c r="A6" s="5">
        <v>32</v>
      </c>
      <c r="B6" s="6">
        <v>475.47562500000004</v>
      </c>
      <c r="C6" s="6">
        <v>323.32342499999999</v>
      </c>
      <c r="D6" s="11">
        <v>16</v>
      </c>
    </row>
    <row r="7" spans="1:4" x14ac:dyDescent="0.35">
      <c r="A7" s="5">
        <v>30</v>
      </c>
      <c r="B7" s="6">
        <v>332.2317142857143</v>
      </c>
      <c r="C7" s="6">
        <v>232.56219999999999</v>
      </c>
      <c r="D7" s="11">
        <v>35</v>
      </c>
    </row>
    <row r="8" spans="1:4" x14ac:dyDescent="0.35">
      <c r="A8" s="5">
        <v>29</v>
      </c>
      <c r="B8" s="6">
        <v>133.97</v>
      </c>
      <c r="C8" s="6">
        <v>95.11869999999999</v>
      </c>
      <c r="D8" s="11">
        <v>6</v>
      </c>
    </row>
    <row r="9" spans="1:4" x14ac:dyDescent="0.35">
      <c r="A9" s="5">
        <v>28</v>
      </c>
      <c r="B9" s="6">
        <v>299.23281249999985</v>
      </c>
      <c r="C9" s="6">
        <v>215.44762500000004</v>
      </c>
      <c r="D9" s="11">
        <v>64</v>
      </c>
    </row>
    <row r="10" spans="1:4" x14ac:dyDescent="0.35">
      <c r="A10" s="5">
        <v>27</v>
      </c>
      <c r="B10" s="6">
        <v>117.73428571428569</v>
      </c>
      <c r="C10" s="6">
        <v>85.94602857142857</v>
      </c>
      <c r="D10" s="11">
        <v>7</v>
      </c>
    </row>
    <row r="11" spans="1:4" x14ac:dyDescent="0.35">
      <c r="A11" s="5">
        <v>26</v>
      </c>
      <c r="B11" s="6">
        <v>273.92606837606843</v>
      </c>
      <c r="C11" s="6">
        <v>202.70529059829059</v>
      </c>
      <c r="D11" s="11">
        <v>117</v>
      </c>
    </row>
    <row r="12" spans="1:4" x14ac:dyDescent="0.35">
      <c r="A12" s="5">
        <v>25</v>
      </c>
      <c r="B12" s="6">
        <v>287.73387096774184</v>
      </c>
      <c r="C12" s="6">
        <v>215.80040322580649</v>
      </c>
      <c r="D12" s="11">
        <v>31</v>
      </c>
    </row>
    <row r="13" spans="1:4" x14ac:dyDescent="0.35">
      <c r="A13" s="5">
        <v>24</v>
      </c>
      <c r="B13" s="6">
        <v>304.77547486033512</v>
      </c>
      <c r="C13" s="6">
        <v>231.62936089385485</v>
      </c>
      <c r="D13" s="11">
        <v>179</v>
      </c>
    </row>
    <row r="14" spans="1:4" x14ac:dyDescent="0.35">
      <c r="A14" s="5">
        <v>23</v>
      </c>
      <c r="B14" s="6">
        <v>422.50909090909084</v>
      </c>
      <c r="C14" s="6">
        <v>325.33200000000011</v>
      </c>
      <c r="D14" s="11">
        <v>55</v>
      </c>
    </row>
    <row r="15" spans="1:4" x14ac:dyDescent="0.35">
      <c r="A15" s="5">
        <v>22</v>
      </c>
      <c r="B15" s="6">
        <v>236.04313725490192</v>
      </c>
      <c r="C15" s="6">
        <v>184.11364705882346</v>
      </c>
      <c r="D15" s="11">
        <v>255</v>
      </c>
    </row>
    <row r="16" spans="1:4" x14ac:dyDescent="0.35">
      <c r="A16" s="5">
        <v>21</v>
      </c>
      <c r="B16" s="6">
        <v>244.80329896907219</v>
      </c>
      <c r="C16" s="6">
        <v>193.394606185567</v>
      </c>
      <c r="D16" s="11">
        <v>97</v>
      </c>
    </row>
    <row r="17" spans="1:4" x14ac:dyDescent="0.35">
      <c r="A17" s="5">
        <v>20</v>
      </c>
      <c r="B17" s="6">
        <v>322.06405660377317</v>
      </c>
      <c r="C17" s="6">
        <v>257.65124528301897</v>
      </c>
      <c r="D17" s="11">
        <v>318</v>
      </c>
    </row>
    <row r="18" spans="1:4" x14ac:dyDescent="0.35">
      <c r="A18" s="5">
        <v>19</v>
      </c>
      <c r="B18" s="6">
        <v>217.8544444444444</v>
      </c>
      <c r="C18" s="6">
        <v>176.46210000000011</v>
      </c>
      <c r="D18" s="11">
        <v>171</v>
      </c>
    </row>
    <row r="19" spans="1:4" x14ac:dyDescent="0.35">
      <c r="A19" s="5">
        <v>18</v>
      </c>
      <c r="B19" s="6">
        <v>319.2415895953759</v>
      </c>
      <c r="C19" s="6">
        <v>261.77810346820814</v>
      </c>
      <c r="D19" s="11">
        <v>346</v>
      </c>
    </row>
    <row r="20" spans="1:4" x14ac:dyDescent="0.35">
      <c r="A20" s="5">
        <v>17</v>
      </c>
      <c r="B20" s="6">
        <v>234.98329113924044</v>
      </c>
      <c r="C20" s="6">
        <v>195.03613164556955</v>
      </c>
      <c r="D20" s="11">
        <v>237</v>
      </c>
    </row>
    <row r="21" spans="1:4" x14ac:dyDescent="0.35">
      <c r="A21" s="5">
        <v>16</v>
      </c>
      <c r="B21" s="6">
        <v>289.22754985755006</v>
      </c>
      <c r="C21" s="6">
        <v>242.95114188034205</v>
      </c>
      <c r="D21" s="11">
        <v>351</v>
      </c>
    </row>
    <row r="22" spans="1:4" x14ac:dyDescent="0.35">
      <c r="A22" s="5">
        <v>15</v>
      </c>
      <c r="B22" s="6">
        <v>269.46227722772244</v>
      </c>
      <c r="C22" s="6">
        <v>229.04293564356425</v>
      </c>
      <c r="D22" s="11">
        <v>303</v>
      </c>
    </row>
    <row r="23" spans="1:4" x14ac:dyDescent="0.35">
      <c r="A23" s="5">
        <v>14</v>
      </c>
      <c r="B23" s="6">
        <v>296.74220735785946</v>
      </c>
      <c r="C23" s="6">
        <v>255.19829832775923</v>
      </c>
      <c r="D23" s="11">
        <v>299</v>
      </c>
    </row>
    <row r="24" spans="1:4" x14ac:dyDescent="0.35">
      <c r="A24" s="5">
        <v>13</v>
      </c>
      <c r="B24" s="6">
        <v>292.29383333333311</v>
      </c>
      <c r="C24" s="6">
        <v>254.29563499999995</v>
      </c>
      <c r="D24" s="11">
        <v>300</v>
      </c>
    </row>
    <row r="25" spans="1:4" x14ac:dyDescent="0.35">
      <c r="A25" s="5">
        <v>12</v>
      </c>
      <c r="B25" s="6">
        <v>308.68376470588254</v>
      </c>
      <c r="C25" s="6">
        <v>271.64171294117648</v>
      </c>
      <c r="D25" s="11">
        <v>340</v>
      </c>
    </row>
    <row r="26" spans="1:4" x14ac:dyDescent="0.35">
      <c r="A26" s="5">
        <v>11</v>
      </c>
      <c r="B26" s="6">
        <v>291.7543644067797</v>
      </c>
      <c r="C26" s="6">
        <v>259.66138432203388</v>
      </c>
      <c r="D26" s="11">
        <v>236</v>
      </c>
    </row>
    <row r="27" spans="1:4" x14ac:dyDescent="0.35">
      <c r="A27" s="5">
        <v>10</v>
      </c>
      <c r="B27" s="6">
        <v>261.58295597484272</v>
      </c>
      <c r="C27" s="6">
        <v>235.42466037735844</v>
      </c>
      <c r="D27" s="11">
        <v>318</v>
      </c>
    </row>
    <row r="28" spans="1:4" x14ac:dyDescent="0.35">
      <c r="A28" s="5">
        <v>9</v>
      </c>
      <c r="B28" s="6">
        <v>316.07916083916086</v>
      </c>
      <c r="C28" s="6">
        <v>287.63203636363642</v>
      </c>
      <c r="D28" s="11">
        <v>143</v>
      </c>
    </row>
    <row r="29" spans="1:4" x14ac:dyDescent="0.35">
      <c r="A29" s="5">
        <v>8</v>
      </c>
      <c r="B29" s="6">
        <v>309.00332236842115</v>
      </c>
      <c r="C29" s="6">
        <v>284.28305657894754</v>
      </c>
      <c r="D29" s="11">
        <v>304</v>
      </c>
    </row>
    <row r="30" spans="1:4" x14ac:dyDescent="0.35">
      <c r="A30" s="5">
        <v>7</v>
      </c>
      <c r="B30" s="6">
        <v>196.29333333333332</v>
      </c>
      <c r="C30" s="6">
        <v>182.55280000000002</v>
      </c>
      <c r="D30" s="11">
        <v>48</v>
      </c>
    </row>
    <row r="31" spans="1:4" x14ac:dyDescent="0.35">
      <c r="A31" s="5">
        <v>6</v>
      </c>
      <c r="B31" s="6">
        <v>264.30544117647065</v>
      </c>
      <c r="C31" s="6">
        <v>248.44711470588226</v>
      </c>
      <c r="D31" s="11">
        <v>204</v>
      </c>
    </row>
    <row r="32" spans="1:4" x14ac:dyDescent="0.35">
      <c r="A32" s="5">
        <v>5</v>
      </c>
      <c r="B32" s="6">
        <v>154.61583333333331</v>
      </c>
      <c r="C32" s="6">
        <v>146.88504166666667</v>
      </c>
      <c r="D32" s="11">
        <v>12</v>
      </c>
    </row>
    <row r="33" spans="1:4" x14ac:dyDescent="0.35">
      <c r="A33" s="5">
        <v>4</v>
      </c>
      <c r="B33" s="6">
        <v>300.04115942028989</v>
      </c>
      <c r="C33" s="6">
        <v>288.03951304347822</v>
      </c>
      <c r="D33" s="11">
        <v>138</v>
      </c>
    </row>
    <row r="34" spans="1:4" x14ac:dyDescent="0.35">
      <c r="A34" s="5">
        <v>2</v>
      </c>
      <c r="B34" s="6">
        <v>195.59909090909093</v>
      </c>
      <c r="C34" s="6">
        <v>191.6871090909091</v>
      </c>
      <c r="D34" s="11">
        <v>55</v>
      </c>
    </row>
    <row r="35" spans="1:4" x14ac:dyDescent="0.35">
      <c r="A35" s="5">
        <v>0</v>
      </c>
      <c r="B35" s="6">
        <v>373.36444444444447</v>
      </c>
      <c r="C35" s="6">
        <v>373.36444444444447</v>
      </c>
      <c r="D35" s="11">
        <v>9</v>
      </c>
    </row>
    <row r="36" spans="1:4" x14ac:dyDescent="0.35">
      <c r="A36" s="5" t="s">
        <v>61</v>
      </c>
      <c r="B36" s="11">
        <v>285.09052200000002</v>
      </c>
      <c r="C36" s="11">
        <v>242.23202996000032</v>
      </c>
      <c r="D36" s="11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8"/>
  <sheetViews>
    <sheetView workbookViewId="0">
      <selection activeCell="I5" sqref="I5"/>
    </sheetView>
  </sheetViews>
  <sheetFormatPr defaultRowHeight="14.5" x14ac:dyDescent="0.35"/>
  <cols>
    <col min="1" max="1" width="12.453125" bestFit="1" customWidth="1"/>
    <col min="2" max="4" width="10.90625" bestFit="1" customWidth="1"/>
    <col min="5" max="5" width="12.453125" bestFit="1" customWidth="1"/>
  </cols>
  <sheetData>
    <row r="3" spans="1:5" x14ac:dyDescent="0.35">
      <c r="A3" s="2" t="s">
        <v>73</v>
      </c>
      <c r="B3" s="2" t="s">
        <v>71</v>
      </c>
    </row>
    <row r="4" spans="1:5" x14ac:dyDescent="0.35">
      <c r="A4" s="2" t="s">
        <v>72</v>
      </c>
      <c r="B4" t="s">
        <v>65</v>
      </c>
      <c r="C4" t="s">
        <v>66</v>
      </c>
      <c r="D4" t="s">
        <v>63</v>
      </c>
      <c r="E4" t="s">
        <v>61</v>
      </c>
    </row>
    <row r="5" spans="1:5" x14ac:dyDescent="0.35">
      <c r="A5" s="3" t="s">
        <v>62</v>
      </c>
      <c r="B5" s="7">
        <v>98067.909600000057</v>
      </c>
      <c r="C5" s="7">
        <v>184345.82880000008</v>
      </c>
      <c r="D5" s="7">
        <v>468387.45919999882</v>
      </c>
      <c r="E5" s="7">
        <v>750801.19759999891</v>
      </c>
    </row>
    <row r="6" spans="1:5" x14ac:dyDescent="0.35">
      <c r="A6" s="3" t="s">
        <v>67</v>
      </c>
      <c r="B6" s="7">
        <v>28429.581999999995</v>
      </c>
      <c r="C6" s="7">
        <v>63870.954599999975</v>
      </c>
      <c r="D6" s="7">
        <v>133945.24320000006</v>
      </c>
      <c r="E6" s="7">
        <v>226245.77980000002</v>
      </c>
    </row>
    <row r="7" spans="1:5" x14ac:dyDescent="0.35">
      <c r="A7" s="3" t="s">
        <v>64</v>
      </c>
      <c r="B7" s="7">
        <v>20962.093100000006</v>
      </c>
      <c r="C7" s="7">
        <v>82475.436799999996</v>
      </c>
      <c r="D7" s="7">
        <v>130675.64249999994</v>
      </c>
      <c r="E7" s="7">
        <v>234113.17239999992</v>
      </c>
    </row>
    <row r="8" spans="1:5" x14ac:dyDescent="0.35">
      <c r="A8" s="3" t="s">
        <v>61</v>
      </c>
      <c r="B8" s="6">
        <v>147459.58470000006</v>
      </c>
      <c r="C8" s="6">
        <v>330692.22020000004</v>
      </c>
      <c r="D8" s="6">
        <v>733008.34489999886</v>
      </c>
      <c r="E8" s="6">
        <v>1211160.1497999988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14"/>
  <sheetViews>
    <sheetView workbookViewId="0">
      <selection activeCell="E16" sqref="E16"/>
    </sheetView>
  </sheetViews>
  <sheetFormatPr defaultRowHeight="14.5" x14ac:dyDescent="0.35"/>
  <cols>
    <col min="1" max="1" width="18.08984375" bestFit="1" customWidth="1"/>
    <col min="2" max="2" width="15.36328125" bestFit="1" customWidth="1"/>
    <col min="3" max="3" width="11.81640625" customWidth="1"/>
    <col min="4" max="4" width="12.453125" bestFit="1" customWidth="1"/>
  </cols>
  <sheetData>
    <row r="3" spans="1:4" x14ac:dyDescent="0.35">
      <c r="A3" s="2" t="s">
        <v>73</v>
      </c>
      <c r="B3" s="2" t="s">
        <v>2</v>
      </c>
    </row>
    <row r="4" spans="1:4" x14ac:dyDescent="0.35">
      <c r="A4" s="2" t="s">
        <v>3</v>
      </c>
      <c r="B4" t="s">
        <v>11</v>
      </c>
      <c r="C4" t="s">
        <v>16</v>
      </c>
      <c r="D4" t="s">
        <v>61</v>
      </c>
    </row>
    <row r="5" spans="1:4" x14ac:dyDescent="0.35">
      <c r="A5" s="3" t="s">
        <v>12</v>
      </c>
      <c r="B5" s="13">
        <v>40516.421000000017</v>
      </c>
      <c r="C5" s="13"/>
      <c r="D5" s="13">
        <v>40516.421000000017</v>
      </c>
    </row>
    <row r="6" spans="1:4" x14ac:dyDescent="0.35">
      <c r="A6" s="3" t="s">
        <v>29</v>
      </c>
      <c r="B6" s="13">
        <v>37415.771400000005</v>
      </c>
      <c r="C6" s="13"/>
      <c r="D6" s="13">
        <v>37415.771400000005</v>
      </c>
    </row>
    <row r="7" spans="1:4" x14ac:dyDescent="0.35">
      <c r="A7" s="3" t="s">
        <v>27</v>
      </c>
      <c r="B7" s="13"/>
      <c r="C7" s="13">
        <v>760419.85909999977</v>
      </c>
      <c r="D7" s="13">
        <v>760419.85909999977</v>
      </c>
    </row>
    <row r="8" spans="1:4" x14ac:dyDescent="0.35">
      <c r="A8" s="3" t="s">
        <v>33</v>
      </c>
      <c r="B8" s="13">
        <v>58388.917899999986</v>
      </c>
      <c r="C8" s="13">
        <v>61723.896199999981</v>
      </c>
      <c r="D8" s="13">
        <v>120112.81409999996</v>
      </c>
    </row>
    <row r="9" spans="1:4" x14ac:dyDescent="0.35">
      <c r="A9" s="3" t="s">
        <v>25</v>
      </c>
      <c r="B9" s="13">
        <v>6114.9838000000027</v>
      </c>
      <c r="C9" s="13">
        <v>5771.6360000000022</v>
      </c>
      <c r="D9" s="13">
        <v>11886.619800000004</v>
      </c>
    </row>
    <row r="10" spans="1:4" x14ac:dyDescent="0.35">
      <c r="A10" s="3" t="s">
        <v>22</v>
      </c>
      <c r="B10" s="13">
        <v>19766.234399999998</v>
      </c>
      <c r="C10" s="13">
        <v>19547.207300000002</v>
      </c>
      <c r="D10" s="13">
        <v>39313.441699999996</v>
      </c>
    </row>
    <row r="11" spans="1:4" x14ac:dyDescent="0.35">
      <c r="A11" s="3" t="s">
        <v>17</v>
      </c>
      <c r="B11" s="13"/>
      <c r="C11" s="13">
        <v>50994.860299999986</v>
      </c>
      <c r="D11" s="13">
        <v>50994.860299999986</v>
      </c>
    </row>
    <row r="12" spans="1:4" x14ac:dyDescent="0.35">
      <c r="A12" s="3" t="s">
        <v>20</v>
      </c>
      <c r="B12" s="13">
        <v>19870.3056</v>
      </c>
      <c r="C12" s="13">
        <v>78404.469100000017</v>
      </c>
      <c r="D12" s="13">
        <v>98274.774700000009</v>
      </c>
    </row>
    <row r="13" spans="1:4" x14ac:dyDescent="0.35">
      <c r="A13" s="3" t="s">
        <v>41</v>
      </c>
      <c r="B13" s="13">
        <v>52225.587699999931</v>
      </c>
      <c r="C13" s="13"/>
      <c r="D13" s="13">
        <v>52225.587699999931</v>
      </c>
    </row>
    <row r="14" spans="1:4" x14ac:dyDescent="0.35">
      <c r="A14" s="3" t="s">
        <v>61</v>
      </c>
      <c r="B14" s="14">
        <v>234298.22179999994</v>
      </c>
      <c r="C14" s="14">
        <v>976861.92799999972</v>
      </c>
      <c r="D14" s="14">
        <v>1211160.1497999998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 Data</vt:lpstr>
      <vt:lpstr>PT1-Revenue by Category</vt:lpstr>
      <vt:lpstr>PT2-Revenue by Season</vt:lpstr>
      <vt:lpstr>PT3-Effect of Discounts on R</vt:lpstr>
      <vt:lpstr>PT4-Age-Loyalty Analysis</vt:lpstr>
      <vt:lpstr>PT5-Gender-category sales perfo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PEMBENI BRANCH MANAGER</dc:creator>
  <cp:lastModifiedBy>Administrator</cp:lastModifiedBy>
  <dcterms:created xsi:type="dcterms:W3CDTF">2026-02-25T17:32:27Z</dcterms:created>
  <dcterms:modified xsi:type="dcterms:W3CDTF">2026-03-17T13:59:14Z</dcterms:modified>
</cp:coreProperties>
</file>